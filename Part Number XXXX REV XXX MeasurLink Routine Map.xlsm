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tables/table2.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d1daea4c3c14db5"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autoCompressPictures="0"/>
  <mc:AlternateContent xmlns:mc="http://schemas.openxmlformats.org/markup-compatibility/2006">
    <mc:Choice Requires="x15">
      <x15ac:absPath xmlns:x15ac="http://schemas.microsoft.com/office/spreadsheetml/2010/11/ac" url="J:\ProcessEngineering\Mark Dieckman\Project Engineer\MeasurLink Routine Upload\"/>
    </mc:Choice>
  </mc:AlternateContent>
  <xr:revisionPtr revIDLastSave="0" documentId="13_ncr:1_{F89C22E1-934E-4F4B-80E8-396F4C234B0F}" xr6:coauthVersionLast="45" xr6:coauthVersionMax="45" xr10:uidLastSave="{00000000-0000-0000-0000-000000000000}"/>
  <bookViews>
    <workbookView xWindow="25080" yWindow="-120" windowWidth="25440" windowHeight="15990" tabRatio="725" xr2:uid="{00000000-000D-0000-FFFF-FFFF00000000}"/>
  </bookViews>
  <sheets>
    <sheet name="START HERE" sheetId="21" r:id="rId1"/>
    <sheet name="Variables" sheetId="22" r:id="rId2"/>
    <sheet name="IEX-DATA" sheetId="23" r:id="rId3"/>
    <sheet name="PartLib Table" sheetId="1" r:id="rId4"/>
    <sheet name="AQL" sheetId="27" state="hidden" r:id="rId5"/>
    <sheet name="PivotFeature" sheetId="25" state="hidden" r:id="rId6"/>
    <sheet name="Calc." sheetId="4" state="hidden" r:id="rId7"/>
    <sheet name="Coat. Calc" sheetId="15" state="hidden" r:id="rId8"/>
    <sheet name="&quot;This&quot; not &quot;That&quot; Text Guide " sheetId="7" state="hidden" r:id="rId9"/>
    <sheet name="Part LIB Design Upload" sheetId="5" state="hidden" r:id="rId10"/>
    <sheet name="Part LIB Custom Field Upload" sheetId="6" state="hidden" r:id="rId11"/>
    <sheet name="MachineOps" sheetId="26" state="hidden" r:id="rId12"/>
    <sheet name="Custom Table to Upload" sheetId="12" state="hidden" r:id="rId13"/>
    <sheet name="Tool Axis Offset Syntax" sheetId="8" state="hidden" r:id="rId14"/>
    <sheet name="GDT-Lexicon" sheetId="24" state="hidden" r:id="rId15"/>
    <sheet name="Upload Table" sheetId="3" state="hidden" r:id="rId16"/>
  </sheets>
  <functionGroups builtInGroupCount="19"/>
  <externalReferences>
    <externalReference r:id="rId17"/>
    <externalReference r:id="rId18"/>
    <externalReference r:id="rId19"/>
    <externalReference r:id="rId20"/>
    <externalReference r:id="rId21"/>
    <externalReference r:id="rId22"/>
    <externalReference r:id="rId23"/>
  </externalReferences>
  <definedNames>
    <definedName name="_xlnm._FilterDatabase" localSheetId="3" hidden="1">'PartLib Table'!$A$3:$CP$3</definedName>
    <definedName name="AxisOffset">[1]!AxisOffset</definedName>
    <definedName name="Description">[1]!Description</definedName>
    <definedName name="FeatureType">[1]!FeatureType</definedName>
    <definedName name="Frequency">[1]!Frequency</definedName>
    <definedName name="InspMethod">[1]!InspMethod</definedName>
    <definedName name="IRCreators">[2]Sheet1!IRCreators</definedName>
    <definedName name="MachineHead">[1]!MachineHead</definedName>
    <definedName name="MachOps">MachineOps!$A$2</definedName>
    <definedName name="Methods">[3]!Tools</definedName>
    <definedName name="MethodsNew">[4]!Tools</definedName>
    <definedName name="Mfg">'[5]1st Article'!$H$18:$H$36,'[5]1st Article'!$H$47:$H$70,'[5]1st Article'!$H$81:$H$104,'[5]1st Article'!$H$115:$H$138,'[5]1st Article'!$H$149:$H$172,'[5]1st Article'!$H$183:$H$206</definedName>
    <definedName name="NA" localSheetId="4">#REF!,#REF!,#REF!,#REF!</definedName>
    <definedName name="NA">#REF!,#REF!,#REF!,#REF!</definedName>
    <definedName name="PackLabel">[5]PackLabel!$J$10:$J$13,[5]PackLabel!$J$16,[5]PackLabel!$U$10:$U$12</definedName>
    <definedName name="THTHTHTHT">[6]!Tools</definedName>
    <definedName name="Tools">[7]Tools!$A:$A</definedName>
    <definedName name="Z_F0DBE041_7F72_4DC6_B849_ADDFA5F25C5A_.wvu.FilterData" localSheetId="3" hidden="1">'PartLib Table'!$A$3:$AQ$40</definedName>
  </definedNames>
  <calcPr calcId="191029"/>
  <customWorkbookViews>
    <customWorkbookView name="Thomas, John - Personal View" guid="{F0DBE041-7F72-4DC6-B849-ADDFA5F25C5A}" mergeInterval="0" personalView="1" maximized="1" yWindow="-4" windowWidth="1688" windowHeight="1014" activeSheetId="4"/>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R9" i="1" l="1"/>
  <c r="R10" i="1"/>
  <c r="R11" i="1"/>
  <c r="R12" i="1"/>
  <c r="R13" i="1"/>
  <c r="R14" i="1"/>
  <c r="R15" i="1"/>
  <c r="R16" i="1"/>
  <c r="R17" i="1"/>
  <c r="R18" i="1"/>
  <c r="R19" i="1"/>
  <c r="K12" i="1" l="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K290" i="1"/>
  <c r="K291" i="1"/>
  <c r="K292" i="1"/>
  <c r="K293" i="1"/>
  <c r="K294" i="1"/>
  <c r="K295" i="1"/>
  <c r="K296" i="1"/>
  <c r="K297" i="1"/>
  <c r="K298" i="1"/>
  <c r="K299" i="1"/>
  <c r="K300" i="1"/>
  <c r="K301" i="1"/>
  <c r="K302" i="1"/>
  <c r="K303" i="1"/>
  <c r="K304" i="1"/>
  <c r="K305" i="1"/>
  <c r="K306" i="1"/>
  <c r="K307" i="1"/>
  <c r="K308" i="1"/>
  <c r="K309" i="1"/>
  <c r="K310" i="1"/>
  <c r="K311" i="1"/>
  <c r="K312" i="1"/>
  <c r="K313" i="1"/>
  <c r="K314" i="1"/>
  <c r="K315" i="1"/>
  <c r="K316" i="1"/>
  <c r="K317" i="1"/>
  <c r="K318" i="1"/>
  <c r="K319" i="1"/>
  <c r="K320" i="1"/>
  <c r="K321" i="1"/>
  <c r="K322" i="1"/>
  <c r="K323" i="1"/>
  <c r="K324" i="1"/>
  <c r="K325" i="1"/>
  <c r="K326" i="1"/>
  <c r="K327" i="1"/>
  <c r="K328" i="1"/>
  <c r="K329" i="1"/>
  <c r="K330" i="1"/>
  <c r="K331" i="1"/>
  <c r="K332" i="1"/>
  <c r="K333" i="1"/>
  <c r="K334" i="1"/>
  <c r="K335" i="1"/>
  <c r="K336" i="1"/>
  <c r="K337" i="1"/>
  <c r="K338" i="1"/>
  <c r="K339" i="1"/>
  <c r="K340" i="1"/>
  <c r="K341" i="1"/>
  <c r="K342" i="1"/>
  <c r="K343" i="1"/>
  <c r="K344" i="1"/>
  <c r="K345" i="1"/>
  <c r="K346" i="1"/>
  <c r="K347" i="1"/>
  <c r="K348" i="1"/>
  <c r="K349" i="1"/>
  <c r="K350" i="1"/>
  <c r="K351" i="1"/>
  <c r="K352" i="1"/>
  <c r="K353" i="1"/>
  <c r="K354" i="1"/>
  <c r="K355" i="1"/>
  <c r="K356" i="1"/>
  <c r="K357" i="1"/>
  <c r="K358" i="1"/>
  <c r="K359" i="1"/>
  <c r="K360" i="1"/>
  <c r="K361" i="1"/>
  <c r="K362" i="1"/>
  <c r="K363" i="1"/>
  <c r="K364" i="1"/>
  <c r="K365" i="1"/>
  <c r="K366" i="1"/>
  <c r="K367" i="1"/>
  <c r="K368" i="1"/>
  <c r="K369" i="1"/>
  <c r="K370" i="1"/>
  <c r="K371" i="1"/>
  <c r="K372" i="1"/>
  <c r="K373" i="1"/>
  <c r="K374" i="1"/>
  <c r="K375" i="1"/>
  <c r="K376" i="1"/>
  <c r="K377" i="1"/>
  <c r="K378" i="1"/>
  <c r="K379" i="1"/>
  <c r="K380" i="1"/>
  <c r="K381" i="1"/>
  <c r="K382" i="1"/>
  <c r="K383" i="1"/>
  <c r="K384" i="1"/>
  <c r="K385" i="1"/>
  <c r="K386" i="1"/>
  <c r="K387" i="1"/>
  <c r="K388" i="1"/>
  <c r="K389" i="1"/>
  <c r="K390" i="1"/>
  <c r="K391" i="1"/>
  <c r="K392" i="1"/>
  <c r="K393" i="1"/>
  <c r="K394" i="1"/>
  <c r="K395" i="1"/>
  <c r="K396" i="1"/>
  <c r="K397" i="1"/>
  <c r="K398" i="1"/>
  <c r="K399" i="1"/>
  <c r="K400" i="1"/>
  <c r="K401" i="1"/>
  <c r="K402" i="1"/>
  <c r="K403" i="1"/>
  <c r="K404" i="1"/>
  <c r="K405" i="1"/>
  <c r="K406" i="1"/>
  <c r="K407" i="1"/>
  <c r="K408" i="1"/>
  <c r="K409" i="1"/>
  <c r="K410" i="1"/>
  <c r="K411" i="1"/>
  <c r="K412" i="1"/>
  <c r="K413" i="1"/>
  <c r="K414" i="1"/>
  <c r="K415" i="1"/>
  <c r="K416" i="1"/>
  <c r="K417" i="1"/>
  <c r="K418" i="1"/>
  <c r="K419" i="1"/>
  <c r="K420" i="1"/>
  <c r="K421" i="1"/>
  <c r="K422" i="1"/>
  <c r="K423" i="1"/>
  <c r="K424" i="1"/>
  <c r="K425" i="1"/>
  <c r="K426" i="1"/>
  <c r="K427" i="1"/>
  <c r="K428" i="1"/>
  <c r="K429" i="1"/>
  <c r="K430" i="1"/>
  <c r="K431" i="1"/>
  <c r="K432" i="1"/>
  <c r="K433" i="1"/>
  <c r="K434" i="1"/>
  <c r="K435" i="1"/>
  <c r="K436" i="1"/>
  <c r="K437" i="1"/>
  <c r="K438" i="1"/>
  <c r="K439" i="1"/>
  <c r="K440" i="1"/>
  <c r="K441" i="1"/>
  <c r="K442" i="1"/>
  <c r="K443" i="1"/>
  <c r="K444" i="1"/>
  <c r="K445" i="1"/>
  <c r="K446" i="1"/>
  <c r="K447" i="1"/>
  <c r="K448" i="1"/>
  <c r="K449" i="1"/>
  <c r="K450" i="1"/>
  <c r="K451" i="1"/>
  <c r="K452" i="1"/>
  <c r="K453" i="1"/>
  <c r="K454" i="1"/>
  <c r="K455" i="1"/>
  <c r="K456" i="1"/>
  <c r="K457" i="1"/>
  <c r="K458" i="1"/>
  <c r="K459" i="1"/>
  <c r="K460" i="1"/>
  <c r="K461" i="1"/>
  <c r="K462" i="1"/>
  <c r="K463" i="1"/>
  <c r="K464" i="1"/>
  <c r="K465" i="1"/>
  <c r="K466" i="1"/>
  <c r="K467" i="1"/>
  <c r="K468" i="1"/>
  <c r="K469" i="1"/>
  <c r="K470" i="1"/>
  <c r="K471" i="1"/>
  <c r="K472" i="1"/>
  <c r="K473" i="1"/>
  <c r="K474" i="1"/>
  <c r="K475" i="1"/>
  <c r="K476" i="1"/>
  <c r="K477" i="1"/>
  <c r="K478" i="1"/>
  <c r="K479" i="1"/>
  <c r="K480" i="1"/>
  <c r="K481" i="1"/>
  <c r="K482" i="1"/>
  <c r="K483" i="1"/>
  <c r="K484" i="1"/>
  <c r="K485" i="1"/>
  <c r="H9" i="1"/>
  <c r="I9" i="1"/>
  <c r="J9" i="1"/>
  <c r="H10" i="1"/>
  <c r="I10" i="1"/>
  <c r="J10" i="1"/>
  <c r="H11" i="1"/>
  <c r="I11" i="1"/>
  <c r="J11" i="1"/>
  <c r="H12" i="1"/>
  <c r="I12" i="1"/>
  <c r="J12" i="1"/>
  <c r="H13" i="1"/>
  <c r="I13" i="1"/>
  <c r="J13" i="1"/>
  <c r="H14" i="1"/>
  <c r="I14" i="1"/>
  <c r="J14" i="1"/>
  <c r="H15" i="1"/>
  <c r="I15" i="1"/>
  <c r="J15" i="1"/>
  <c r="H16" i="1"/>
  <c r="I16" i="1"/>
  <c r="J16" i="1"/>
  <c r="H17" i="1"/>
  <c r="I17" i="1"/>
  <c r="J17" i="1"/>
  <c r="H18" i="1"/>
  <c r="I18" i="1"/>
  <c r="J18" i="1"/>
  <c r="H19" i="1"/>
  <c r="I19" i="1"/>
  <c r="J19" i="1"/>
  <c r="H20" i="1"/>
  <c r="I20" i="1"/>
  <c r="J20" i="1"/>
  <c r="K10" i="1"/>
  <c r="K11" i="1"/>
  <c r="K9" i="1"/>
  <c r="H498" i="12" l="1"/>
  <c r="G498" i="12"/>
  <c r="F498" i="12"/>
  <c r="E498" i="12"/>
  <c r="D498" i="12"/>
  <c r="C498" i="12"/>
  <c r="A498" i="12"/>
  <c r="H497" i="12"/>
  <c r="G497" i="12"/>
  <c r="F497" i="12"/>
  <c r="E497" i="12"/>
  <c r="D497" i="12"/>
  <c r="C497" i="12"/>
  <c r="A497" i="12"/>
  <c r="H496" i="12"/>
  <c r="G496" i="12"/>
  <c r="F496" i="12"/>
  <c r="E496" i="12"/>
  <c r="D496" i="12"/>
  <c r="C496" i="12"/>
  <c r="A496" i="12"/>
  <c r="H495" i="12"/>
  <c r="G495" i="12"/>
  <c r="F495" i="12"/>
  <c r="E495" i="12"/>
  <c r="D495" i="12"/>
  <c r="C495" i="12"/>
  <c r="A495" i="12"/>
  <c r="H494" i="12"/>
  <c r="G494" i="12"/>
  <c r="F494" i="12"/>
  <c r="E494" i="12"/>
  <c r="D494" i="12"/>
  <c r="C494" i="12"/>
  <c r="A494" i="12"/>
  <c r="H493" i="12"/>
  <c r="G493" i="12"/>
  <c r="F493" i="12"/>
  <c r="E493" i="12"/>
  <c r="D493" i="12"/>
  <c r="C493" i="12"/>
  <c r="A493" i="12"/>
  <c r="H492" i="12"/>
  <c r="G492" i="12"/>
  <c r="F492" i="12"/>
  <c r="E492" i="12"/>
  <c r="D492" i="12"/>
  <c r="C492" i="12"/>
  <c r="A492" i="12"/>
  <c r="H491" i="12"/>
  <c r="G491" i="12"/>
  <c r="F491" i="12"/>
  <c r="E491" i="12"/>
  <c r="D491" i="12"/>
  <c r="C491" i="12"/>
  <c r="A491" i="12"/>
  <c r="H490" i="12"/>
  <c r="G490" i="12"/>
  <c r="F490" i="12"/>
  <c r="E490" i="12"/>
  <c r="D490" i="12"/>
  <c r="C490" i="12"/>
  <c r="A490" i="12"/>
  <c r="H489" i="12"/>
  <c r="G489" i="12"/>
  <c r="F489" i="12"/>
  <c r="E489" i="12"/>
  <c r="D489" i="12"/>
  <c r="C489" i="12"/>
  <c r="A489" i="12"/>
  <c r="H488" i="12"/>
  <c r="G488" i="12"/>
  <c r="F488" i="12"/>
  <c r="E488" i="12"/>
  <c r="D488" i="12"/>
  <c r="C488" i="12"/>
  <c r="A488" i="12"/>
  <c r="H487" i="12"/>
  <c r="G487" i="12"/>
  <c r="F487" i="12"/>
  <c r="E487" i="12"/>
  <c r="D487" i="12"/>
  <c r="C487" i="12"/>
  <c r="A487" i="12"/>
  <c r="H486" i="12"/>
  <c r="G486" i="12"/>
  <c r="F486" i="12"/>
  <c r="E486" i="12"/>
  <c r="D486" i="12"/>
  <c r="C486" i="12"/>
  <c r="A486" i="12"/>
  <c r="H485" i="12"/>
  <c r="G485" i="12"/>
  <c r="F485" i="12"/>
  <c r="E485" i="12"/>
  <c r="D485" i="12"/>
  <c r="C485" i="12"/>
  <c r="A485" i="12"/>
  <c r="H484" i="12"/>
  <c r="G484" i="12"/>
  <c r="F484" i="12"/>
  <c r="E484" i="12"/>
  <c r="D484" i="12"/>
  <c r="C484" i="12"/>
  <c r="A484" i="12"/>
  <c r="H483" i="12"/>
  <c r="G483" i="12"/>
  <c r="F483" i="12"/>
  <c r="E483" i="12"/>
  <c r="D483" i="12"/>
  <c r="C483" i="12"/>
  <c r="A483" i="12"/>
  <c r="H482" i="12"/>
  <c r="G482" i="12"/>
  <c r="F482" i="12"/>
  <c r="E482" i="12"/>
  <c r="D482" i="12"/>
  <c r="C482" i="12"/>
  <c r="A482" i="12"/>
  <c r="H481" i="12"/>
  <c r="G481" i="12"/>
  <c r="F481" i="12"/>
  <c r="E481" i="12"/>
  <c r="D481" i="12"/>
  <c r="C481" i="12"/>
  <c r="A481" i="12"/>
  <c r="H480" i="12"/>
  <c r="G480" i="12"/>
  <c r="F480" i="12"/>
  <c r="E480" i="12"/>
  <c r="D480" i="12"/>
  <c r="C480" i="12"/>
  <c r="A480" i="12"/>
  <c r="H479" i="12"/>
  <c r="G479" i="12"/>
  <c r="F479" i="12"/>
  <c r="E479" i="12"/>
  <c r="D479" i="12"/>
  <c r="C479" i="12"/>
  <c r="A479" i="12"/>
  <c r="H478" i="12"/>
  <c r="G478" i="12"/>
  <c r="F478" i="12"/>
  <c r="E478" i="12"/>
  <c r="D478" i="12"/>
  <c r="C478" i="12"/>
  <c r="A478" i="12"/>
  <c r="H477" i="12"/>
  <c r="G477" i="12"/>
  <c r="F477" i="12"/>
  <c r="E477" i="12"/>
  <c r="D477" i="12"/>
  <c r="C477" i="12"/>
  <c r="A477" i="12"/>
  <c r="H476" i="12"/>
  <c r="G476" i="12"/>
  <c r="F476" i="12"/>
  <c r="E476" i="12"/>
  <c r="D476" i="12"/>
  <c r="C476" i="12"/>
  <c r="A476" i="12"/>
  <c r="H475" i="12"/>
  <c r="G475" i="12"/>
  <c r="F475" i="12"/>
  <c r="E475" i="12"/>
  <c r="D475" i="12"/>
  <c r="C475" i="12"/>
  <c r="A475" i="12"/>
  <c r="H474" i="12"/>
  <c r="G474" i="12"/>
  <c r="F474" i="12"/>
  <c r="E474" i="12"/>
  <c r="D474" i="12"/>
  <c r="C474" i="12"/>
  <c r="A474" i="12"/>
  <c r="H473" i="12"/>
  <c r="G473" i="12"/>
  <c r="F473" i="12"/>
  <c r="E473" i="12"/>
  <c r="D473" i="12"/>
  <c r="C473" i="12"/>
  <c r="A473" i="12"/>
  <c r="H472" i="12"/>
  <c r="G472" i="12"/>
  <c r="F472" i="12"/>
  <c r="E472" i="12"/>
  <c r="D472" i="12"/>
  <c r="C472" i="12"/>
  <c r="A472" i="12"/>
  <c r="H471" i="12"/>
  <c r="G471" i="12"/>
  <c r="F471" i="12"/>
  <c r="E471" i="12"/>
  <c r="D471" i="12"/>
  <c r="C471" i="12"/>
  <c r="A471" i="12"/>
  <c r="H470" i="12"/>
  <c r="G470" i="12"/>
  <c r="F470" i="12"/>
  <c r="E470" i="12"/>
  <c r="D470" i="12"/>
  <c r="C470" i="12"/>
  <c r="A470" i="12"/>
  <c r="H469" i="12"/>
  <c r="G469" i="12"/>
  <c r="F469" i="12"/>
  <c r="E469" i="12"/>
  <c r="D469" i="12"/>
  <c r="C469" i="12"/>
  <c r="A469" i="12"/>
  <c r="H468" i="12"/>
  <c r="G468" i="12"/>
  <c r="F468" i="12"/>
  <c r="E468" i="12"/>
  <c r="D468" i="12"/>
  <c r="C468" i="12"/>
  <c r="A468" i="12"/>
  <c r="H467" i="12"/>
  <c r="G467" i="12"/>
  <c r="F467" i="12"/>
  <c r="E467" i="12"/>
  <c r="D467" i="12"/>
  <c r="C467" i="12"/>
  <c r="A467" i="12"/>
  <c r="H466" i="12"/>
  <c r="G466" i="12"/>
  <c r="F466" i="12"/>
  <c r="E466" i="12"/>
  <c r="D466" i="12"/>
  <c r="C466" i="12"/>
  <c r="A466" i="12"/>
  <c r="H465" i="12"/>
  <c r="G465" i="12"/>
  <c r="F465" i="12"/>
  <c r="E465" i="12"/>
  <c r="D465" i="12"/>
  <c r="C465" i="12"/>
  <c r="A465" i="12"/>
  <c r="H464" i="12"/>
  <c r="G464" i="12"/>
  <c r="F464" i="12"/>
  <c r="E464" i="12"/>
  <c r="D464" i="12"/>
  <c r="C464" i="12"/>
  <c r="A464" i="12"/>
  <c r="H463" i="12"/>
  <c r="G463" i="12"/>
  <c r="F463" i="12"/>
  <c r="E463" i="12"/>
  <c r="D463" i="12"/>
  <c r="C463" i="12"/>
  <c r="A463" i="12"/>
  <c r="H462" i="12"/>
  <c r="G462" i="12"/>
  <c r="F462" i="12"/>
  <c r="E462" i="12"/>
  <c r="D462" i="12"/>
  <c r="C462" i="12"/>
  <c r="A462" i="12"/>
  <c r="H461" i="12"/>
  <c r="G461" i="12"/>
  <c r="F461" i="12"/>
  <c r="E461" i="12"/>
  <c r="D461" i="12"/>
  <c r="C461" i="12"/>
  <c r="A461" i="12"/>
  <c r="H460" i="12"/>
  <c r="G460" i="12"/>
  <c r="F460" i="12"/>
  <c r="E460" i="12"/>
  <c r="D460" i="12"/>
  <c r="C460" i="12"/>
  <c r="A460" i="12"/>
  <c r="H459" i="12"/>
  <c r="G459" i="12"/>
  <c r="F459" i="12"/>
  <c r="E459" i="12"/>
  <c r="D459" i="12"/>
  <c r="C459" i="12"/>
  <c r="A459" i="12"/>
  <c r="H458" i="12"/>
  <c r="G458" i="12"/>
  <c r="F458" i="12"/>
  <c r="E458" i="12"/>
  <c r="D458" i="12"/>
  <c r="C458" i="12"/>
  <c r="A458" i="12"/>
  <c r="H457" i="12"/>
  <c r="G457" i="12"/>
  <c r="F457" i="12"/>
  <c r="E457" i="12"/>
  <c r="D457" i="12"/>
  <c r="C457" i="12"/>
  <c r="A457" i="12"/>
  <c r="H456" i="12"/>
  <c r="G456" i="12"/>
  <c r="F456" i="12"/>
  <c r="E456" i="12"/>
  <c r="D456" i="12"/>
  <c r="C456" i="12"/>
  <c r="A456" i="12"/>
  <c r="H455" i="12"/>
  <c r="G455" i="12"/>
  <c r="F455" i="12"/>
  <c r="E455" i="12"/>
  <c r="D455" i="12"/>
  <c r="C455" i="12"/>
  <c r="A455" i="12"/>
  <c r="H454" i="12"/>
  <c r="G454" i="12"/>
  <c r="F454" i="12"/>
  <c r="E454" i="12"/>
  <c r="D454" i="12"/>
  <c r="C454" i="12"/>
  <c r="A454" i="12"/>
  <c r="H453" i="12"/>
  <c r="G453" i="12"/>
  <c r="F453" i="12"/>
  <c r="E453" i="12"/>
  <c r="D453" i="12"/>
  <c r="C453" i="12"/>
  <c r="A453" i="12"/>
  <c r="H452" i="12"/>
  <c r="G452" i="12"/>
  <c r="F452" i="12"/>
  <c r="E452" i="12"/>
  <c r="D452" i="12"/>
  <c r="C452" i="12"/>
  <c r="A452" i="12"/>
  <c r="H451" i="12"/>
  <c r="G451" i="12"/>
  <c r="F451" i="12"/>
  <c r="E451" i="12"/>
  <c r="D451" i="12"/>
  <c r="C451" i="12"/>
  <c r="A451" i="12"/>
  <c r="H450" i="12"/>
  <c r="G450" i="12"/>
  <c r="F450" i="12"/>
  <c r="E450" i="12"/>
  <c r="D450" i="12"/>
  <c r="C450" i="12"/>
  <c r="A450" i="12"/>
  <c r="H449" i="12"/>
  <c r="G449" i="12"/>
  <c r="F449" i="12"/>
  <c r="E449" i="12"/>
  <c r="D449" i="12"/>
  <c r="C449" i="12"/>
  <c r="A449" i="12"/>
  <c r="H448" i="12"/>
  <c r="G448" i="12"/>
  <c r="F448" i="12"/>
  <c r="E448" i="12"/>
  <c r="D448" i="12"/>
  <c r="C448" i="12"/>
  <c r="A448" i="12"/>
  <c r="H447" i="12"/>
  <c r="G447" i="12"/>
  <c r="F447" i="12"/>
  <c r="E447" i="12"/>
  <c r="D447" i="12"/>
  <c r="C447" i="12"/>
  <c r="A447" i="12"/>
  <c r="H446" i="12"/>
  <c r="G446" i="12"/>
  <c r="F446" i="12"/>
  <c r="E446" i="12"/>
  <c r="D446" i="12"/>
  <c r="C446" i="12"/>
  <c r="A446" i="12"/>
  <c r="H445" i="12"/>
  <c r="G445" i="12"/>
  <c r="F445" i="12"/>
  <c r="E445" i="12"/>
  <c r="D445" i="12"/>
  <c r="C445" i="12"/>
  <c r="A445" i="12"/>
  <c r="H444" i="12"/>
  <c r="G444" i="12"/>
  <c r="F444" i="12"/>
  <c r="E444" i="12"/>
  <c r="D444" i="12"/>
  <c r="C444" i="12"/>
  <c r="A444" i="12"/>
  <c r="H443" i="12"/>
  <c r="G443" i="12"/>
  <c r="F443" i="12"/>
  <c r="E443" i="12"/>
  <c r="D443" i="12"/>
  <c r="C443" i="12"/>
  <c r="A443" i="12"/>
  <c r="H442" i="12"/>
  <c r="G442" i="12"/>
  <c r="F442" i="12"/>
  <c r="E442" i="12"/>
  <c r="D442" i="12"/>
  <c r="C442" i="12"/>
  <c r="A442" i="12"/>
  <c r="H441" i="12"/>
  <c r="G441" i="12"/>
  <c r="F441" i="12"/>
  <c r="E441" i="12"/>
  <c r="D441" i="12"/>
  <c r="C441" i="12"/>
  <c r="A441" i="12"/>
  <c r="H440" i="12"/>
  <c r="G440" i="12"/>
  <c r="F440" i="12"/>
  <c r="E440" i="12"/>
  <c r="D440" i="12"/>
  <c r="C440" i="12"/>
  <c r="A440" i="12"/>
  <c r="H439" i="12"/>
  <c r="G439" i="12"/>
  <c r="F439" i="12"/>
  <c r="E439" i="12"/>
  <c r="D439" i="12"/>
  <c r="C439" i="12"/>
  <c r="A439" i="12"/>
  <c r="H438" i="12"/>
  <c r="G438" i="12"/>
  <c r="F438" i="12"/>
  <c r="E438" i="12"/>
  <c r="D438" i="12"/>
  <c r="C438" i="12"/>
  <c r="A438" i="12"/>
  <c r="H437" i="12"/>
  <c r="G437" i="12"/>
  <c r="F437" i="12"/>
  <c r="E437" i="12"/>
  <c r="D437" i="12"/>
  <c r="C437" i="12"/>
  <c r="A437" i="12"/>
  <c r="H436" i="12"/>
  <c r="G436" i="12"/>
  <c r="F436" i="12"/>
  <c r="E436" i="12"/>
  <c r="D436" i="12"/>
  <c r="C436" i="12"/>
  <c r="A436" i="12"/>
  <c r="H435" i="12"/>
  <c r="G435" i="12"/>
  <c r="F435" i="12"/>
  <c r="E435" i="12"/>
  <c r="D435" i="12"/>
  <c r="C435" i="12"/>
  <c r="A435" i="12"/>
  <c r="H434" i="12"/>
  <c r="G434" i="12"/>
  <c r="F434" i="12"/>
  <c r="E434" i="12"/>
  <c r="D434" i="12"/>
  <c r="C434" i="12"/>
  <c r="A434" i="12"/>
  <c r="H433" i="12"/>
  <c r="G433" i="12"/>
  <c r="F433" i="12"/>
  <c r="E433" i="12"/>
  <c r="D433" i="12"/>
  <c r="C433" i="12"/>
  <c r="A433" i="12"/>
  <c r="H432" i="12"/>
  <c r="G432" i="12"/>
  <c r="F432" i="12"/>
  <c r="E432" i="12"/>
  <c r="D432" i="12"/>
  <c r="C432" i="12"/>
  <c r="A432" i="12"/>
  <c r="H431" i="12"/>
  <c r="G431" i="12"/>
  <c r="F431" i="12"/>
  <c r="E431" i="12"/>
  <c r="D431" i="12"/>
  <c r="C431" i="12"/>
  <c r="A431" i="12"/>
  <c r="H430" i="12"/>
  <c r="G430" i="12"/>
  <c r="F430" i="12"/>
  <c r="E430" i="12"/>
  <c r="D430" i="12"/>
  <c r="C430" i="12"/>
  <c r="A430" i="12"/>
  <c r="H429" i="12"/>
  <c r="G429" i="12"/>
  <c r="F429" i="12"/>
  <c r="E429" i="12"/>
  <c r="D429" i="12"/>
  <c r="C429" i="12"/>
  <c r="A429" i="12"/>
  <c r="H428" i="12"/>
  <c r="G428" i="12"/>
  <c r="F428" i="12"/>
  <c r="E428" i="12"/>
  <c r="D428" i="12"/>
  <c r="C428" i="12"/>
  <c r="A428" i="12"/>
  <c r="H427" i="12"/>
  <c r="G427" i="12"/>
  <c r="F427" i="12"/>
  <c r="E427" i="12"/>
  <c r="D427" i="12"/>
  <c r="C427" i="12"/>
  <c r="A427" i="12"/>
  <c r="H426" i="12"/>
  <c r="G426" i="12"/>
  <c r="F426" i="12"/>
  <c r="E426" i="12"/>
  <c r="D426" i="12"/>
  <c r="C426" i="12"/>
  <c r="A426" i="12"/>
  <c r="H425" i="12"/>
  <c r="G425" i="12"/>
  <c r="F425" i="12"/>
  <c r="E425" i="12"/>
  <c r="D425" i="12"/>
  <c r="C425" i="12"/>
  <c r="A425" i="12"/>
  <c r="H424" i="12"/>
  <c r="G424" i="12"/>
  <c r="F424" i="12"/>
  <c r="E424" i="12"/>
  <c r="D424" i="12"/>
  <c r="C424" i="12"/>
  <c r="A424" i="12"/>
  <c r="H423" i="12"/>
  <c r="G423" i="12"/>
  <c r="F423" i="12"/>
  <c r="E423" i="12"/>
  <c r="D423" i="12"/>
  <c r="C423" i="12"/>
  <c r="A423" i="12"/>
  <c r="H422" i="12"/>
  <c r="G422" i="12"/>
  <c r="F422" i="12"/>
  <c r="E422" i="12"/>
  <c r="D422" i="12"/>
  <c r="C422" i="12"/>
  <c r="A422" i="12"/>
  <c r="H421" i="12"/>
  <c r="G421" i="12"/>
  <c r="F421" i="12"/>
  <c r="E421" i="12"/>
  <c r="D421" i="12"/>
  <c r="C421" i="12"/>
  <c r="A421" i="12"/>
  <c r="H420" i="12"/>
  <c r="G420" i="12"/>
  <c r="F420" i="12"/>
  <c r="E420" i="12"/>
  <c r="D420" i="12"/>
  <c r="C420" i="12"/>
  <c r="A420" i="12"/>
  <c r="H419" i="12"/>
  <c r="G419" i="12"/>
  <c r="F419" i="12"/>
  <c r="E419" i="12"/>
  <c r="D419" i="12"/>
  <c r="C419" i="12"/>
  <c r="A419" i="12"/>
  <c r="H418" i="12"/>
  <c r="G418" i="12"/>
  <c r="F418" i="12"/>
  <c r="E418" i="12"/>
  <c r="D418" i="12"/>
  <c r="C418" i="12"/>
  <c r="A418" i="12"/>
  <c r="H417" i="12"/>
  <c r="G417" i="12"/>
  <c r="F417" i="12"/>
  <c r="E417" i="12"/>
  <c r="D417" i="12"/>
  <c r="C417" i="12"/>
  <c r="A417" i="12"/>
  <c r="H416" i="12"/>
  <c r="G416" i="12"/>
  <c r="F416" i="12"/>
  <c r="E416" i="12"/>
  <c r="D416" i="12"/>
  <c r="C416" i="12"/>
  <c r="A416" i="12"/>
  <c r="H415" i="12"/>
  <c r="G415" i="12"/>
  <c r="F415" i="12"/>
  <c r="E415" i="12"/>
  <c r="D415" i="12"/>
  <c r="C415" i="12"/>
  <c r="A415" i="12"/>
  <c r="H414" i="12"/>
  <c r="G414" i="12"/>
  <c r="F414" i="12"/>
  <c r="E414" i="12"/>
  <c r="D414" i="12"/>
  <c r="C414" i="12"/>
  <c r="A414" i="12"/>
  <c r="H413" i="12"/>
  <c r="G413" i="12"/>
  <c r="F413" i="12"/>
  <c r="E413" i="12"/>
  <c r="D413" i="12"/>
  <c r="C413" i="12"/>
  <c r="A413" i="12"/>
  <c r="H412" i="12"/>
  <c r="G412" i="12"/>
  <c r="F412" i="12"/>
  <c r="E412" i="12"/>
  <c r="D412" i="12"/>
  <c r="C412" i="12"/>
  <c r="A412" i="12"/>
  <c r="H411" i="12"/>
  <c r="G411" i="12"/>
  <c r="F411" i="12"/>
  <c r="E411" i="12"/>
  <c r="D411" i="12"/>
  <c r="C411" i="12"/>
  <c r="A411" i="12"/>
  <c r="H410" i="12"/>
  <c r="G410" i="12"/>
  <c r="F410" i="12"/>
  <c r="E410" i="12"/>
  <c r="D410" i="12"/>
  <c r="C410" i="12"/>
  <c r="A410" i="12"/>
  <c r="H409" i="12"/>
  <c r="G409" i="12"/>
  <c r="F409" i="12"/>
  <c r="E409" i="12"/>
  <c r="D409" i="12"/>
  <c r="C409" i="12"/>
  <c r="A409" i="12"/>
  <c r="H408" i="12"/>
  <c r="G408" i="12"/>
  <c r="F408" i="12"/>
  <c r="E408" i="12"/>
  <c r="D408" i="12"/>
  <c r="C408" i="12"/>
  <c r="A408" i="12"/>
  <c r="H407" i="12"/>
  <c r="G407" i="12"/>
  <c r="F407" i="12"/>
  <c r="E407" i="12"/>
  <c r="D407" i="12"/>
  <c r="C407" i="12"/>
  <c r="A407" i="12"/>
  <c r="H406" i="12"/>
  <c r="G406" i="12"/>
  <c r="F406" i="12"/>
  <c r="E406" i="12"/>
  <c r="D406" i="12"/>
  <c r="C406" i="12"/>
  <c r="A406" i="12"/>
  <c r="H405" i="12"/>
  <c r="G405" i="12"/>
  <c r="F405" i="12"/>
  <c r="E405" i="12"/>
  <c r="D405" i="12"/>
  <c r="C405" i="12"/>
  <c r="A405" i="12"/>
  <c r="H404" i="12"/>
  <c r="G404" i="12"/>
  <c r="F404" i="12"/>
  <c r="E404" i="12"/>
  <c r="D404" i="12"/>
  <c r="C404" i="12"/>
  <c r="A404" i="12"/>
  <c r="H403" i="12"/>
  <c r="G403" i="12"/>
  <c r="F403" i="12"/>
  <c r="E403" i="12"/>
  <c r="D403" i="12"/>
  <c r="C403" i="12"/>
  <c r="A403" i="12"/>
  <c r="H402" i="12"/>
  <c r="G402" i="12"/>
  <c r="F402" i="12"/>
  <c r="E402" i="12"/>
  <c r="D402" i="12"/>
  <c r="C402" i="12"/>
  <c r="A402" i="12"/>
  <c r="H401" i="12"/>
  <c r="G401" i="12"/>
  <c r="F401" i="12"/>
  <c r="E401" i="12"/>
  <c r="D401" i="12"/>
  <c r="C401" i="12"/>
  <c r="A401" i="12"/>
  <c r="H400" i="12"/>
  <c r="G400" i="12"/>
  <c r="F400" i="12"/>
  <c r="E400" i="12"/>
  <c r="D400" i="12"/>
  <c r="C400" i="12"/>
  <c r="A400" i="12"/>
  <c r="H399" i="12"/>
  <c r="G399" i="12"/>
  <c r="F399" i="12"/>
  <c r="E399" i="12"/>
  <c r="D399" i="12"/>
  <c r="C399" i="12"/>
  <c r="A399" i="12"/>
  <c r="H398" i="12"/>
  <c r="G398" i="12"/>
  <c r="F398" i="12"/>
  <c r="E398" i="12"/>
  <c r="D398" i="12"/>
  <c r="C398" i="12"/>
  <c r="A398" i="12"/>
  <c r="H397" i="12"/>
  <c r="G397" i="12"/>
  <c r="F397" i="12"/>
  <c r="E397" i="12"/>
  <c r="D397" i="12"/>
  <c r="C397" i="12"/>
  <c r="A397" i="12"/>
  <c r="H396" i="12"/>
  <c r="G396" i="12"/>
  <c r="F396" i="12"/>
  <c r="E396" i="12"/>
  <c r="D396" i="12"/>
  <c r="C396" i="12"/>
  <c r="A396" i="12"/>
  <c r="H395" i="12"/>
  <c r="G395" i="12"/>
  <c r="F395" i="12"/>
  <c r="E395" i="12"/>
  <c r="D395" i="12"/>
  <c r="C395" i="12"/>
  <c r="A395" i="12"/>
  <c r="H394" i="12"/>
  <c r="G394" i="12"/>
  <c r="F394" i="12"/>
  <c r="E394" i="12"/>
  <c r="D394" i="12"/>
  <c r="C394" i="12"/>
  <c r="A394" i="12"/>
  <c r="H393" i="12"/>
  <c r="G393" i="12"/>
  <c r="F393" i="12"/>
  <c r="E393" i="12"/>
  <c r="D393" i="12"/>
  <c r="C393" i="12"/>
  <c r="A393" i="12"/>
  <c r="H392" i="12"/>
  <c r="G392" i="12"/>
  <c r="F392" i="12"/>
  <c r="E392" i="12"/>
  <c r="D392" i="12"/>
  <c r="C392" i="12"/>
  <c r="A392" i="12"/>
  <c r="H391" i="12"/>
  <c r="G391" i="12"/>
  <c r="F391" i="12"/>
  <c r="E391" i="12"/>
  <c r="D391" i="12"/>
  <c r="C391" i="12"/>
  <c r="A391" i="12"/>
  <c r="H390" i="12"/>
  <c r="G390" i="12"/>
  <c r="F390" i="12"/>
  <c r="E390" i="12"/>
  <c r="D390" i="12"/>
  <c r="C390" i="12"/>
  <c r="A390" i="12"/>
  <c r="H389" i="12"/>
  <c r="G389" i="12"/>
  <c r="F389" i="12"/>
  <c r="E389" i="12"/>
  <c r="D389" i="12"/>
  <c r="C389" i="12"/>
  <c r="A389" i="12"/>
  <c r="H388" i="12"/>
  <c r="G388" i="12"/>
  <c r="F388" i="12"/>
  <c r="E388" i="12"/>
  <c r="D388" i="12"/>
  <c r="C388" i="12"/>
  <c r="A388" i="12"/>
  <c r="H387" i="12"/>
  <c r="G387" i="12"/>
  <c r="F387" i="12"/>
  <c r="E387" i="12"/>
  <c r="D387" i="12"/>
  <c r="C387" i="12"/>
  <c r="A387" i="12"/>
  <c r="H386" i="12"/>
  <c r="G386" i="12"/>
  <c r="F386" i="12"/>
  <c r="E386" i="12"/>
  <c r="D386" i="12"/>
  <c r="C386" i="12"/>
  <c r="A386" i="12"/>
  <c r="H385" i="12"/>
  <c r="G385" i="12"/>
  <c r="F385" i="12"/>
  <c r="E385" i="12"/>
  <c r="D385" i="12"/>
  <c r="C385" i="12"/>
  <c r="A385" i="12"/>
  <c r="H384" i="12"/>
  <c r="G384" i="12"/>
  <c r="F384" i="12"/>
  <c r="E384" i="12"/>
  <c r="D384" i="12"/>
  <c r="C384" i="12"/>
  <c r="A384" i="12"/>
  <c r="H383" i="12"/>
  <c r="G383" i="12"/>
  <c r="F383" i="12"/>
  <c r="E383" i="12"/>
  <c r="D383" i="12"/>
  <c r="C383" i="12"/>
  <c r="A383" i="12"/>
  <c r="H382" i="12"/>
  <c r="G382" i="12"/>
  <c r="F382" i="12"/>
  <c r="E382" i="12"/>
  <c r="D382" i="12"/>
  <c r="C382" i="12"/>
  <c r="A382" i="12"/>
  <c r="H381" i="12"/>
  <c r="G381" i="12"/>
  <c r="F381" i="12"/>
  <c r="E381" i="12"/>
  <c r="D381" i="12"/>
  <c r="C381" i="12"/>
  <c r="A381" i="12"/>
  <c r="H380" i="12"/>
  <c r="G380" i="12"/>
  <c r="F380" i="12"/>
  <c r="E380" i="12"/>
  <c r="D380" i="12"/>
  <c r="C380" i="12"/>
  <c r="A380" i="12"/>
  <c r="H379" i="12"/>
  <c r="G379" i="12"/>
  <c r="F379" i="12"/>
  <c r="E379" i="12"/>
  <c r="D379" i="12"/>
  <c r="C379" i="12"/>
  <c r="A379" i="12"/>
  <c r="H378" i="12"/>
  <c r="G378" i="12"/>
  <c r="F378" i="12"/>
  <c r="E378" i="12"/>
  <c r="D378" i="12"/>
  <c r="C378" i="12"/>
  <c r="A378" i="12"/>
  <c r="H377" i="12"/>
  <c r="G377" i="12"/>
  <c r="F377" i="12"/>
  <c r="E377" i="12"/>
  <c r="D377" i="12"/>
  <c r="C377" i="12"/>
  <c r="A377" i="12"/>
  <c r="H376" i="12"/>
  <c r="G376" i="12"/>
  <c r="F376" i="12"/>
  <c r="E376" i="12"/>
  <c r="D376" i="12"/>
  <c r="C376" i="12"/>
  <c r="A376" i="12"/>
  <c r="H375" i="12"/>
  <c r="G375" i="12"/>
  <c r="F375" i="12"/>
  <c r="E375" i="12"/>
  <c r="D375" i="12"/>
  <c r="C375" i="12"/>
  <c r="A375" i="12"/>
  <c r="H374" i="12"/>
  <c r="G374" i="12"/>
  <c r="F374" i="12"/>
  <c r="E374" i="12"/>
  <c r="D374" i="12"/>
  <c r="C374" i="12"/>
  <c r="A374" i="12"/>
  <c r="H373" i="12"/>
  <c r="G373" i="12"/>
  <c r="F373" i="12"/>
  <c r="E373" i="12"/>
  <c r="D373" i="12"/>
  <c r="C373" i="12"/>
  <c r="A373" i="12"/>
  <c r="H372" i="12"/>
  <c r="G372" i="12"/>
  <c r="F372" i="12"/>
  <c r="E372" i="12"/>
  <c r="D372" i="12"/>
  <c r="C372" i="12"/>
  <c r="A372" i="12"/>
  <c r="H371" i="12"/>
  <c r="G371" i="12"/>
  <c r="F371" i="12"/>
  <c r="E371" i="12"/>
  <c r="D371" i="12"/>
  <c r="C371" i="12"/>
  <c r="A371" i="12"/>
  <c r="H370" i="12"/>
  <c r="G370" i="12"/>
  <c r="F370" i="12"/>
  <c r="E370" i="12"/>
  <c r="D370" i="12"/>
  <c r="C370" i="12"/>
  <c r="A370" i="12"/>
  <c r="H369" i="12"/>
  <c r="G369" i="12"/>
  <c r="F369" i="12"/>
  <c r="E369" i="12"/>
  <c r="D369" i="12"/>
  <c r="C369" i="12"/>
  <c r="A369" i="12"/>
  <c r="H368" i="12"/>
  <c r="G368" i="12"/>
  <c r="F368" i="12"/>
  <c r="E368" i="12"/>
  <c r="D368" i="12"/>
  <c r="C368" i="12"/>
  <c r="A368" i="12"/>
  <c r="H367" i="12"/>
  <c r="G367" i="12"/>
  <c r="F367" i="12"/>
  <c r="E367" i="12"/>
  <c r="D367" i="12"/>
  <c r="C367" i="12"/>
  <c r="A367" i="12"/>
  <c r="H366" i="12"/>
  <c r="G366" i="12"/>
  <c r="F366" i="12"/>
  <c r="E366" i="12"/>
  <c r="D366" i="12"/>
  <c r="C366" i="12"/>
  <c r="A366" i="12"/>
  <c r="H365" i="12"/>
  <c r="G365" i="12"/>
  <c r="F365" i="12"/>
  <c r="E365" i="12"/>
  <c r="D365" i="12"/>
  <c r="C365" i="12"/>
  <c r="A365" i="12"/>
  <c r="H364" i="12"/>
  <c r="G364" i="12"/>
  <c r="F364" i="12"/>
  <c r="E364" i="12"/>
  <c r="D364" i="12"/>
  <c r="C364" i="12"/>
  <c r="A364" i="12"/>
  <c r="H363" i="12"/>
  <c r="G363" i="12"/>
  <c r="F363" i="12"/>
  <c r="E363" i="12"/>
  <c r="D363" i="12"/>
  <c r="C363" i="12"/>
  <c r="A363" i="12"/>
  <c r="H362" i="12"/>
  <c r="G362" i="12"/>
  <c r="F362" i="12"/>
  <c r="E362" i="12"/>
  <c r="D362" i="12"/>
  <c r="C362" i="12"/>
  <c r="A362" i="12"/>
  <c r="H361" i="12"/>
  <c r="G361" i="12"/>
  <c r="F361" i="12"/>
  <c r="E361" i="12"/>
  <c r="D361" i="12"/>
  <c r="C361" i="12"/>
  <c r="A361" i="12"/>
  <c r="H360" i="12"/>
  <c r="G360" i="12"/>
  <c r="F360" i="12"/>
  <c r="E360" i="12"/>
  <c r="D360" i="12"/>
  <c r="C360" i="12"/>
  <c r="A360" i="12"/>
  <c r="H359" i="12"/>
  <c r="G359" i="12"/>
  <c r="F359" i="12"/>
  <c r="E359" i="12"/>
  <c r="D359" i="12"/>
  <c r="C359" i="12"/>
  <c r="A359" i="12"/>
  <c r="H358" i="12"/>
  <c r="G358" i="12"/>
  <c r="F358" i="12"/>
  <c r="E358" i="12"/>
  <c r="D358" i="12"/>
  <c r="C358" i="12"/>
  <c r="A358" i="12"/>
  <c r="H357" i="12"/>
  <c r="G357" i="12"/>
  <c r="F357" i="12"/>
  <c r="E357" i="12"/>
  <c r="D357" i="12"/>
  <c r="C357" i="12"/>
  <c r="A357" i="12"/>
  <c r="H356" i="12"/>
  <c r="G356" i="12"/>
  <c r="F356" i="12"/>
  <c r="E356" i="12"/>
  <c r="D356" i="12"/>
  <c r="C356" i="12"/>
  <c r="A356" i="12"/>
  <c r="H355" i="12"/>
  <c r="G355" i="12"/>
  <c r="F355" i="12"/>
  <c r="E355" i="12"/>
  <c r="D355" i="12"/>
  <c r="C355" i="12"/>
  <c r="A355" i="12"/>
  <c r="H354" i="12"/>
  <c r="G354" i="12"/>
  <c r="F354" i="12"/>
  <c r="E354" i="12"/>
  <c r="D354" i="12"/>
  <c r="C354" i="12"/>
  <c r="A354" i="12"/>
  <c r="H353" i="12"/>
  <c r="G353" i="12"/>
  <c r="F353" i="12"/>
  <c r="E353" i="12"/>
  <c r="D353" i="12"/>
  <c r="C353" i="12"/>
  <c r="A353" i="12"/>
  <c r="H352" i="12"/>
  <c r="G352" i="12"/>
  <c r="F352" i="12"/>
  <c r="E352" i="12"/>
  <c r="D352" i="12"/>
  <c r="C352" i="12"/>
  <c r="A352" i="12"/>
  <c r="H351" i="12"/>
  <c r="G351" i="12"/>
  <c r="F351" i="12"/>
  <c r="E351" i="12"/>
  <c r="D351" i="12"/>
  <c r="C351" i="12"/>
  <c r="A351" i="12"/>
  <c r="H350" i="12"/>
  <c r="G350" i="12"/>
  <c r="F350" i="12"/>
  <c r="E350" i="12"/>
  <c r="D350" i="12"/>
  <c r="C350" i="12"/>
  <c r="A350" i="12"/>
  <c r="H349" i="12"/>
  <c r="G349" i="12"/>
  <c r="F349" i="12"/>
  <c r="E349" i="12"/>
  <c r="D349" i="12"/>
  <c r="C349" i="12"/>
  <c r="A349" i="12"/>
  <c r="H348" i="12"/>
  <c r="G348" i="12"/>
  <c r="F348" i="12"/>
  <c r="E348" i="12"/>
  <c r="D348" i="12"/>
  <c r="C348" i="12"/>
  <c r="A348" i="12"/>
  <c r="H347" i="12"/>
  <c r="G347" i="12"/>
  <c r="F347" i="12"/>
  <c r="E347" i="12"/>
  <c r="D347" i="12"/>
  <c r="C347" i="12"/>
  <c r="A347" i="12"/>
  <c r="H346" i="12"/>
  <c r="G346" i="12"/>
  <c r="F346" i="12"/>
  <c r="E346" i="12"/>
  <c r="D346" i="12"/>
  <c r="C346" i="12"/>
  <c r="A346" i="12"/>
  <c r="H345" i="12"/>
  <c r="G345" i="12"/>
  <c r="F345" i="12"/>
  <c r="E345" i="12"/>
  <c r="D345" i="12"/>
  <c r="C345" i="12"/>
  <c r="A345" i="12"/>
  <c r="H344" i="12"/>
  <c r="G344" i="12"/>
  <c r="F344" i="12"/>
  <c r="E344" i="12"/>
  <c r="D344" i="12"/>
  <c r="C344" i="12"/>
  <c r="A344" i="12"/>
  <c r="H343" i="12"/>
  <c r="G343" i="12"/>
  <c r="F343" i="12"/>
  <c r="E343" i="12"/>
  <c r="D343" i="12"/>
  <c r="C343" i="12"/>
  <c r="A343" i="12"/>
  <c r="H342" i="12"/>
  <c r="G342" i="12"/>
  <c r="F342" i="12"/>
  <c r="E342" i="12"/>
  <c r="D342" i="12"/>
  <c r="C342" i="12"/>
  <c r="A342" i="12"/>
  <c r="H341" i="12"/>
  <c r="G341" i="12"/>
  <c r="F341" i="12"/>
  <c r="E341" i="12"/>
  <c r="D341" i="12"/>
  <c r="C341" i="12"/>
  <c r="A341" i="12"/>
  <c r="H340" i="12"/>
  <c r="G340" i="12"/>
  <c r="F340" i="12"/>
  <c r="E340" i="12"/>
  <c r="D340" i="12"/>
  <c r="C340" i="12"/>
  <c r="A340" i="12"/>
  <c r="H339" i="12"/>
  <c r="G339" i="12"/>
  <c r="F339" i="12"/>
  <c r="E339" i="12"/>
  <c r="D339" i="12"/>
  <c r="C339" i="12"/>
  <c r="A339" i="12"/>
  <c r="H338" i="12"/>
  <c r="G338" i="12"/>
  <c r="F338" i="12"/>
  <c r="E338" i="12"/>
  <c r="D338" i="12"/>
  <c r="C338" i="12"/>
  <c r="A338" i="12"/>
  <c r="H337" i="12"/>
  <c r="G337" i="12"/>
  <c r="F337" i="12"/>
  <c r="E337" i="12"/>
  <c r="D337" i="12"/>
  <c r="C337" i="12"/>
  <c r="A337" i="12"/>
  <c r="H336" i="12"/>
  <c r="G336" i="12"/>
  <c r="F336" i="12"/>
  <c r="E336" i="12"/>
  <c r="D336" i="12"/>
  <c r="C336" i="12"/>
  <c r="A336" i="12"/>
  <c r="H335" i="12"/>
  <c r="G335" i="12"/>
  <c r="F335" i="12"/>
  <c r="E335" i="12"/>
  <c r="D335" i="12"/>
  <c r="C335" i="12"/>
  <c r="A335" i="12"/>
  <c r="H334" i="12"/>
  <c r="G334" i="12"/>
  <c r="F334" i="12"/>
  <c r="E334" i="12"/>
  <c r="D334" i="12"/>
  <c r="C334" i="12"/>
  <c r="A334" i="12"/>
  <c r="H333" i="12"/>
  <c r="G333" i="12"/>
  <c r="F333" i="12"/>
  <c r="E333" i="12"/>
  <c r="D333" i="12"/>
  <c r="C333" i="12"/>
  <c r="A333" i="12"/>
  <c r="H332" i="12"/>
  <c r="G332" i="12"/>
  <c r="F332" i="12"/>
  <c r="E332" i="12"/>
  <c r="D332" i="12"/>
  <c r="C332" i="12"/>
  <c r="A332" i="12"/>
  <c r="H331" i="12"/>
  <c r="G331" i="12"/>
  <c r="F331" i="12"/>
  <c r="E331" i="12"/>
  <c r="D331" i="12"/>
  <c r="C331" i="12"/>
  <c r="A331" i="12"/>
  <c r="H330" i="12"/>
  <c r="G330" i="12"/>
  <c r="F330" i="12"/>
  <c r="E330" i="12"/>
  <c r="D330" i="12"/>
  <c r="C330" i="12"/>
  <c r="A330" i="12"/>
  <c r="H329" i="12"/>
  <c r="G329" i="12"/>
  <c r="F329" i="12"/>
  <c r="E329" i="12"/>
  <c r="D329" i="12"/>
  <c r="C329" i="12"/>
  <c r="A329" i="12"/>
  <c r="H328" i="12"/>
  <c r="G328" i="12"/>
  <c r="F328" i="12"/>
  <c r="E328" i="12"/>
  <c r="D328" i="12"/>
  <c r="C328" i="12"/>
  <c r="A328" i="12"/>
  <c r="H327" i="12"/>
  <c r="G327" i="12"/>
  <c r="F327" i="12"/>
  <c r="E327" i="12"/>
  <c r="D327" i="12"/>
  <c r="C327" i="12"/>
  <c r="A327" i="12"/>
  <c r="H326" i="12"/>
  <c r="G326" i="12"/>
  <c r="F326" i="12"/>
  <c r="E326" i="12"/>
  <c r="D326" i="12"/>
  <c r="C326" i="12"/>
  <c r="A326" i="12"/>
  <c r="H325" i="12"/>
  <c r="G325" i="12"/>
  <c r="F325" i="12"/>
  <c r="E325" i="12"/>
  <c r="D325" i="12"/>
  <c r="C325" i="12"/>
  <c r="A325" i="12"/>
  <c r="H324" i="12"/>
  <c r="G324" i="12"/>
  <c r="F324" i="12"/>
  <c r="E324" i="12"/>
  <c r="D324" i="12"/>
  <c r="C324" i="12"/>
  <c r="A324" i="12"/>
  <c r="H323" i="12"/>
  <c r="G323" i="12"/>
  <c r="F323" i="12"/>
  <c r="E323" i="12"/>
  <c r="D323" i="12"/>
  <c r="C323" i="12"/>
  <c r="A323" i="12"/>
  <c r="H322" i="12"/>
  <c r="G322" i="12"/>
  <c r="F322" i="12"/>
  <c r="E322" i="12"/>
  <c r="D322" i="12"/>
  <c r="C322" i="12"/>
  <c r="A322" i="12"/>
  <c r="H321" i="12"/>
  <c r="G321" i="12"/>
  <c r="F321" i="12"/>
  <c r="E321" i="12"/>
  <c r="D321" i="12"/>
  <c r="C321" i="12"/>
  <c r="A321" i="12"/>
  <c r="H320" i="12"/>
  <c r="G320" i="12"/>
  <c r="F320" i="12"/>
  <c r="E320" i="12"/>
  <c r="D320" i="12"/>
  <c r="C320" i="12"/>
  <c r="A320" i="12"/>
  <c r="H319" i="12"/>
  <c r="G319" i="12"/>
  <c r="F319" i="12"/>
  <c r="E319" i="12"/>
  <c r="D319" i="12"/>
  <c r="C319" i="12"/>
  <c r="A319" i="12"/>
  <c r="H318" i="12"/>
  <c r="G318" i="12"/>
  <c r="F318" i="12"/>
  <c r="E318" i="12"/>
  <c r="D318" i="12"/>
  <c r="C318" i="12"/>
  <c r="A318" i="12"/>
  <c r="H317" i="12"/>
  <c r="G317" i="12"/>
  <c r="F317" i="12"/>
  <c r="E317" i="12"/>
  <c r="D317" i="12"/>
  <c r="C317" i="12"/>
  <c r="A317" i="12"/>
  <c r="H316" i="12"/>
  <c r="G316" i="12"/>
  <c r="F316" i="12"/>
  <c r="E316" i="12"/>
  <c r="D316" i="12"/>
  <c r="C316" i="12"/>
  <c r="A316" i="12"/>
  <c r="H315" i="12"/>
  <c r="G315" i="12"/>
  <c r="F315" i="12"/>
  <c r="E315" i="12"/>
  <c r="D315" i="12"/>
  <c r="C315" i="12"/>
  <c r="A315" i="12"/>
  <c r="H314" i="12"/>
  <c r="G314" i="12"/>
  <c r="F314" i="12"/>
  <c r="E314" i="12"/>
  <c r="D314" i="12"/>
  <c r="C314" i="12"/>
  <c r="A314" i="12"/>
  <c r="H313" i="12"/>
  <c r="G313" i="12"/>
  <c r="F313" i="12"/>
  <c r="E313" i="12"/>
  <c r="D313" i="12"/>
  <c r="C313" i="12"/>
  <c r="A313" i="12"/>
  <c r="H312" i="12"/>
  <c r="G312" i="12"/>
  <c r="F312" i="12"/>
  <c r="E312" i="12"/>
  <c r="D312" i="12"/>
  <c r="C312" i="12"/>
  <c r="A312" i="12"/>
  <c r="H311" i="12"/>
  <c r="G311" i="12"/>
  <c r="F311" i="12"/>
  <c r="E311" i="12"/>
  <c r="D311" i="12"/>
  <c r="C311" i="12"/>
  <c r="A311" i="12"/>
  <c r="H310" i="12"/>
  <c r="G310" i="12"/>
  <c r="F310" i="12"/>
  <c r="E310" i="12"/>
  <c r="D310" i="12"/>
  <c r="C310" i="12"/>
  <c r="A310" i="12"/>
  <c r="H309" i="12"/>
  <c r="G309" i="12"/>
  <c r="F309" i="12"/>
  <c r="E309" i="12"/>
  <c r="D309" i="12"/>
  <c r="C309" i="12"/>
  <c r="A309" i="12"/>
  <c r="H308" i="12"/>
  <c r="G308" i="12"/>
  <c r="F308" i="12"/>
  <c r="E308" i="12"/>
  <c r="D308" i="12"/>
  <c r="C308" i="12"/>
  <c r="B308" i="12"/>
  <c r="A308" i="12"/>
  <c r="H307" i="12"/>
  <c r="G307" i="12"/>
  <c r="F307" i="12"/>
  <c r="E307" i="12"/>
  <c r="D307" i="12"/>
  <c r="C307" i="12"/>
  <c r="A307" i="12"/>
  <c r="H306" i="12"/>
  <c r="G306" i="12"/>
  <c r="F306" i="12"/>
  <c r="E306" i="12"/>
  <c r="D306" i="12"/>
  <c r="C306" i="12"/>
  <c r="A306" i="12"/>
  <c r="H305" i="12"/>
  <c r="G305" i="12"/>
  <c r="F305" i="12"/>
  <c r="E305" i="12"/>
  <c r="D305" i="12"/>
  <c r="C305" i="12"/>
  <c r="A305" i="12"/>
  <c r="H304" i="12"/>
  <c r="G304" i="12"/>
  <c r="F304" i="12"/>
  <c r="E304" i="12"/>
  <c r="D304" i="12"/>
  <c r="C304" i="12"/>
  <c r="A304" i="12"/>
  <c r="H303" i="12"/>
  <c r="G303" i="12"/>
  <c r="F303" i="12"/>
  <c r="E303" i="12"/>
  <c r="D303" i="12"/>
  <c r="C303" i="12"/>
  <c r="A303" i="12"/>
  <c r="H302" i="12"/>
  <c r="G302" i="12"/>
  <c r="F302" i="12"/>
  <c r="E302" i="12"/>
  <c r="D302" i="12"/>
  <c r="C302" i="12"/>
  <c r="A302" i="12"/>
  <c r="H301" i="12"/>
  <c r="G301" i="12"/>
  <c r="F301" i="12"/>
  <c r="E301" i="12"/>
  <c r="D301" i="12"/>
  <c r="C301" i="12"/>
  <c r="A301" i="12"/>
  <c r="H300" i="12"/>
  <c r="G300" i="12"/>
  <c r="F300" i="12"/>
  <c r="E300" i="12"/>
  <c r="D300" i="12"/>
  <c r="C300" i="12"/>
  <c r="A300" i="12"/>
  <c r="H299" i="12"/>
  <c r="G299" i="12"/>
  <c r="F299" i="12"/>
  <c r="E299" i="12"/>
  <c r="D299" i="12"/>
  <c r="C299" i="12"/>
  <c r="A299" i="12"/>
  <c r="H298" i="12"/>
  <c r="G298" i="12"/>
  <c r="F298" i="12"/>
  <c r="E298" i="12"/>
  <c r="D298" i="12"/>
  <c r="C298" i="12"/>
  <c r="A298" i="12"/>
  <c r="H297" i="12"/>
  <c r="G297" i="12"/>
  <c r="F297" i="12"/>
  <c r="E297" i="12"/>
  <c r="D297" i="12"/>
  <c r="C297" i="12"/>
  <c r="A297" i="12"/>
  <c r="H296" i="12"/>
  <c r="G296" i="12"/>
  <c r="F296" i="12"/>
  <c r="E296" i="12"/>
  <c r="D296" i="12"/>
  <c r="C296" i="12"/>
  <c r="A296" i="12"/>
  <c r="H295" i="12"/>
  <c r="G295" i="12"/>
  <c r="F295" i="12"/>
  <c r="E295" i="12"/>
  <c r="D295" i="12"/>
  <c r="C295" i="12"/>
  <c r="A295" i="12"/>
  <c r="H294" i="12"/>
  <c r="G294" i="12"/>
  <c r="F294" i="12"/>
  <c r="E294" i="12"/>
  <c r="D294" i="12"/>
  <c r="C294" i="12"/>
  <c r="A294" i="12"/>
  <c r="H293" i="12"/>
  <c r="G293" i="12"/>
  <c r="F293" i="12"/>
  <c r="E293" i="12"/>
  <c r="D293" i="12"/>
  <c r="C293" i="12"/>
  <c r="A293" i="12"/>
  <c r="H292" i="12"/>
  <c r="G292" i="12"/>
  <c r="F292" i="12"/>
  <c r="E292" i="12"/>
  <c r="D292" i="12"/>
  <c r="C292" i="12"/>
  <c r="A292" i="12"/>
  <c r="H291" i="12"/>
  <c r="G291" i="12"/>
  <c r="F291" i="12"/>
  <c r="E291" i="12"/>
  <c r="D291" i="12"/>
  <c r="C291" i="12"/>
  <c r="A291" i="12"/>
  <c r="H290" i="12"/>
  <c r="G290" i="12"/>
  <c r="F290" i="12"/>
  <c r="E290" i="12"/>
  <c r="D290" i="12"/>
  <c r="C290" i="12"/>
  <c r="A290" i="12"/>
  <c r="H289" i="12"/>
  <c r="G289" i="12"/>
  <c r="F289" i="12"/>
  <c r="E289" i="12"/>
  <c r="D289" i="12"/>
  <c r="C289" i="12"/>
  <c r="A289" i="12"/>
  <c r="H288" i="12"/>
  <c r="G288" i="12"/>
  <c r="F288" i="12"/>
  <c r="E288" i="12"/>
  <c r="D288" i="12"/>
  <c r="C288" i="12"/>
  <c r="A288" i="12"/>
  <c r="H287" i="12"/>
  <c r="G287" i="12"/>
  <c r="F287" i="12"/>
  <c r="E287" i="12"/>
  <c r="D287" i="12"/>
  <c r="C287" i="12"/>
  <c r="A287" i="12"/>
  <c r="H286" i="12"/>
  <c r="G286" i="12"/>
  <c r="F286" i="12"/>
  <c r="E286" i="12"/>
  <c r="D286" i="12"/>
  <c r="C286" i="12"/>
  <c r="A286" i="12"/>
  <c r="H285" i="12"/>
  <c r="G285" i="12"/>
  <c r="F285" i="12"/>
  <c r="E285" i="12"/>
  <c r="D285" i="12"/>
  <c r="C285" i="12"/>
  <c r="A285" i="12"/>
  <c r="H284" i="12"/>
  <c r="G284" i="12"/>
  <c r="F284" i="12"/>
  <c r="E284" i="12"/>
  <c r="D284" i="12"/>
  <c r="C284" i="12"/>
  <c r="A284" i="12"/>
  <c r="H283" i="12"/>
  <c r="G283" i="12"/>
  <c r="F283" i="12"/>
  <c r="E283" i="12"/>
  <c r="D283" i="12"/>
  <c r="C283" i="12"/>
  <c r="A283" i="12"/>
  <c r="H282" i="12"/>
  <c r="G282" i="12"/>
  <c r="F282" i="12"/>
  <c r="E282" i="12"/>
  <c r="D282" i="12"/>
  <c r="C282" i="12"/>
  <c r="A282" i="12"/>
  <c r="H281" i="12"/>
  <c r="G281" i="12"/>
  <c r="F281" i="12"/>
  <c r="E281" i="12"/>
  <c r="D281" i="12"/>
  <c r="C281" i="12"/>
  <c r="A281" i="12"/>
  <c r="H280" i="12"/>
  <c r="G280" i="12"/>
  <c r="F280" i="12"/>
  <c r="E280" i="12"/>
  <c r="D280" i="12"/>
  <c r="C280" i="12"/>
  <c r="A280" i="12"/>
  <c r="H279" i="12"/>
  <c r="G279" i="12"/>
  <c r="F279" i="12"/>
  <c r="E279" i="12"/>
  <c r="D279" i="12"/>
  <c r="C279" i="12"/>
  <c r="A279" i="12"/>
  <c r="H278" i="12"/>
  <c r="G278" i="12"/>
  <c r="F278" i="12"/>
  <c r="E278" i="12"/>
  <c r="D278" i="12"/>
  <c r="C278" i="12"/>
  <c r="A278" i="12"/>
  <c r="H277" i="12"/>
  <c r="G277" i="12"/>
  <c r="F277" i="12"/>
  <c r="E277" i="12"/>
  <c r="D277" i="12"/>
  <c r="C277" i="12"/>
  <c r="A277" i="12"/>
  <c r="H276" i="12"/>
  <c r="G276" i="12"/>
  <c r="F276" i="12"/>
  <c r="E276" i="12"/>
  <c r="D276" i="12"/>
  <c r="C276" i="12"/>
  <c r="B276" i="12"/>
  <c r="A276" i="12"/>
  <c r="H275" i="12"/>
  <c r="G275" i="12"/>
  <c r="F275" i="12"/>
  <c r="E275" i="12"/>
  <c r="D275" i="12"/>
  <c r="C275" i="12"/>
  <c r="A275" i="12"/>
  <c r="H274" i="12"/>
  <c r="G274" i="12"/>
  <c r="F274" i="12"/>
  <c r="E274" i="12"/>
  <c r="D274" i="12"/>
  <c r="C274" i="12"/>
  <c r="A274" i="12"/>
  <c r="H273" i="12"/>
  <c r="G273" i="12"/>
  <c r="F273" i="12"/>
  <c r="E273" i="12"/>
  <c r="D273" i="12"/>
  <c r="C273" i="12"/>
  <c r="A273" i="12"/>
  <c r="H272" i="12"/>
  <c r="G272" i="12"/>
  <c r="F272" i="12"/>
  <c r="E272" i="12"/>
  <c r="D272" i="12"/>
  <c r="C272" i="12"/>
  <c r="A272" i="12"/>
  <c r="H271" i="12"/>
  <c r="G271" i="12"/>
  <c r="F271" i="12"/>
  <c r="E271" i="12"/>
  <c r="D271" i="12"/>
  <c r="C271" i="12"/>
  <c r="A271" i="12"/>
  <c r="H270" i="12"/>
  <c r="G270" i="12"/>
  <c r="F270" i="12"/>
  <c r="E270" i="12"/>
  <c r="D270" i="12"/>
  <c r="C270" i="12"/>
  <c r="A270" i="12"/>
  <c r="H269" i="12"/>
  <c r="G269" i="12"/>
  <c r="F269" i="12"/>
  <c r="E269" i="12"/>
  <c r="D269" i="12"/>
  <c r="C269" i="12"/>
  <c r="A269" i="12"/>
  <c r="H268" i="12"/>
  <c r="G268" i="12"/>
  <c r="F268" i="12"/>
  <c r="E268" i="12"/>
  <c r="D268" i="12"/>
  <c r="C268" i="12"/>
  <c r="A268" i="12"/>
  <c r="H267" i="12"/>
  <c r="G267" i="12"/>
  <c r="F267" i="12"/>
  <c r="E267" i="12"/>
  <c r="D267" i="12"/>
  <c r="C267" i="12"/>
  <c r="A267" i="12"/>
  <c r="H266" i="12"/>
  <c r="G266" i="12"/>
  <c r="F266" i="12"/>
  <c r="E266" i="12"/>
  <c r="D266" i="12"/>
  <c r="C266" i="12"/>
  <c r="A266" i="12"/>
  <c r="H265" i="12"/>
  <c r="G265" i="12"/>
  <c r="F265" i="12"/>
  <c r="E265" i="12"/>
  <c r="D265" i="12"/>
  <c r="C265" i="12"/>
  <c r="A265" i="12"/>
  <c r="H264" i="12"/>
  <c r="G264" i="12"/>
  <c r="F264" i="12"/>
  <c r="E264" i="12"/>
  <c r="D264" i="12"/>
  <c r="C264" i="12"/>
  <c r="A264" i="12"/>
  <c r="H263" i="12"/>
  <c r="G263" i="12"/>
  <c r="F263" i="12"/>
  <c r="E263" i="12"/>
  <c r="D263" i="12"/>
  <c r="C263" i="12"/>
  <c r="A263" i="12"/>
  <c r="H262" i="12"/>
  <c r="G262" i="12"/>
  <c r="F262" i="12"/>
  <c r="E262" i="12"/>
  <c r="D262" i="12"/>
  <c r="C262" i="12"/>
  <c r="A262" i="12"/>
  <c r="H261" i="12"/>
  <c r="G261" i="12"/>
  <c r="F261" i="12"/>
  <c r="E261" i="12"/>
  <c r="D261" i="12"/>
  <c r="C261" i="12"/>
  <c r="A261" i="12"/>
  <c r="H260" i="12"/>
  <c r="G260" i="12"/>
  <c r="F260" i="12"/>
  <c r="E260" i="12"/>
  <c r="D260" i="12"/>
  <c r="C260" i="12"/>
  <c r="A260" i="12"/>
  <c r="H259" i="12"/>
  <c r="G259" i="12"/>
  <c r="F259" i="12"/>
  <c r="E259" i="12"/>
  <c r="D259" i="12"/>
  <c r="C259" i="12"/>
  <c r="A259" i="12"/>
  <c r="H258" i="12"/>
  <c r="G258" i="12"/>
  <c r="F258" i="12"/>
  <c r="E258" i="12"/>
  <c r="D258" i="12"/>
  <c r="C258" i="12"/>
  <c r="A258" i="12"/>
  <c r="H257" i="12"/>
  <c r="G257" i="12"/>
  <c r="F257" i="12"/>
  <c r="E257" i="12"/>
  <c r="D257" i="12"/>
  <c r="C257" i="12"/>
  <c r="A257" i="12"/>
  <c r="H256" i="12"/>
  <c r="G256" i="12"/>
  <c r="F256" i="12"/>
  <c r="E256" i="12"/>
  <c r="D256" i="12"/>
  <c r="C256" i="12"/>
  <c r="A256" i="12"/>
  <c r="H255" i="12"/>
  <c r="G255" i="12"/>
  <c r="F255" i="12"/>
  <c r="E255" i="12"/>
  <c r="D255" i="12"/>
  <c r="C255" i="12"/>
  <c r="A255" i="12"/>
  <c r="H254" i="12"/>
  <c r="G254" i="12"/>
  <c r="F254" i="12"/>
  <c r="E254" i="12"/>
  <c r="D254" i="12"/>
  <c r="C254" i="12"/>
  <c r="A254" i="12"/>
  <c r="H253" i="12"/>
  <c r="G253" i="12"/>
  <c r="F253" i="12"/>
  <c r="E253" i="12"/>
  <c r="D253" i="12"/>
  <c r="C253" i="12"/>
  <c r="A253" i="12"/>
  <c r="H252" i="12"/>
  <c r="G252" i="12"/>
  <c r="F252" i="12"/>
  <c r="E252" i="12"/>
  <c r="D252" i="12"/>
  <c r="C252" i="12"/>
  <c r="A252" i="12"/>
  <c r="H251" i="12"/>
  <c r="G251" i="12"/>
  <c r="F251" i="12"/>
  <c r="E251" i="12"/>
  <c r="D251" i="12"/>
  <c r="C251" i="12"/>
  <c r="A251" i="12"/>
  <c r="H250" i="12"/>
  <c r="G250" i="12"/>
  <c r="F250" i="12"/>
  <c r="E250" i="12"/>
  <c r="D250" i="12"/>
  <c r="C250" i="12"/>
  <c r="A250" i="12"/>
  <c r="H249" i="12"/>
  <c r="G249" i="12"/>
  <c r="F249" i="12"/>
  <c r="E249" i="12"/>
  <c r="D249" i="12"/>
  <c r="C249" i="12"/>
  <c r="A249" i="12"/>
  <c r="H248" i="12"/>
  <c r="G248" i="12"/>
  <c r="F248" i="12"/>
  <c r="E248" i="12"/>
  <c r="D248" i="12"/>
  <c r="C248" i="12"/>
  <c r="A248" i="12"/>
  <c r="H247" i="12"/>
  <c r="G247" i="12"/>
  <c r="F247" i="12"/>
  <c r="E247" i="12"/>
  <c r="D247" i="12"/>
  <c r="C247" i="12"/>
  <c r="A247" i="12"/>
  <c r="H246" i="12"/>
  <c r="G246" i="12"/>
  <c r="F246" i="12"/>
  <c r="E246" i="12"/>
  <c r="D246" i="12"/>
  <c r="C246" i="12"/>
  <c r="A246" i="12"/>
  <c r="H245" i="12"/>
  <c r="G245" i="12"/>
  <c r="F245" i="12"/>
  <c r="E245" i="12"/>
  <c r="D245" i="12"/>
  <c r="C245" i="12"/>
  <c r="A245" i="12"/>
  <c r="H244" i="12"/>
  <c r="G244" i="12"/>
  <c r="F244" i="12"/>
  <c r="E244" i="12"/>
  <c r="D244" i="12"/>
  <c r="C244" i="12"/>
  <c r="A244" i="12"/>
  <c r="H243" i="12"/>
  <c r="G243" i="12"/>
  <c r="F243" i="12"/>
  <c r="E243" i="12"/>
  <c r="D243" i="12"/>
  <c r="C243" i="12"/>
  <c r="A243" i="12"/>
  <c r="H242" i="12"/>
  <c r="G242" i="12"/>
  <c r="F242" i="12"/>
  <c r="E242" i="12"/>
  <c r="D242" i="12"/>
  <c r="C242" i="12"/>
  <c r="A242" i="12"/>
  <c r="H241" i="12"/>
  <c r="G241" i="12"/>
  <c r="F241" i="12"/>
  <c r="E241" i="12"/>
  <c r="D241" i="12"/>
  <c r="C241" i="12"/>
  <c r="A241" i="12"/>
  <c r="H240" i="12"/>
  <c r="G240" i="12"/>
  <c r="F240" i="12"/>
  <c r="E240" i="12"/>
  <c r="D240" i="12"/>
  <c r="C240" i="12"/>
  <c r="A240" i="12"/>
  <c r="H239" i="12"/>
  <c r="G239" i="12"/>
  <c r="F239" i="12"/>
  <c r="E239" i="12"/>
  <c r="D239" i="12"/>
  <c r="C239" i="12"/>
  <c r="A239" i="12"/>
  <c r="H238" i="12"/>
  <c r="G238" i="12"/>
  <c r="F238" i="12"/>
  <c r="E238" i="12"/>
  <c r="D238" i="12"/>
  <c r="C238" i="12"/>
  <c r="A238" i="12"/>
  <c r="H237" i="12"/>
  <c r="G237" i="12"/>
  <c r="F237" i="12"/>
  <c r="E237" i="12"/>
  <c r="D237" i="12"/>
  <c r="C237" i="12"/>
  <c r="A237" i="12"/>
  <c r="H236" i="12"/>
  <c r="G236" i="12"/>
  <c r="F236" i="12"/>
  <c r="E236" i="12"/>
  <c r="D236" i="12"/>
  <c r="C236" i="12"/>
  <c r="A236" i="12"/>
  <c r="H235" i="12"/>
  <c r="G235" i="12"/>
  <c r="F235" i="12"/>
  <c r="E235" i="12"/>
  <c r="D235" i="12"/>
  <c r="C235" i="12"/>
  <c r="A235" i="12"/>
  <c r="H234" i="12"/>
  <c r="G234" i="12"/>
  <c r="F234" i="12"/>
  <c r="E234" i="12"/>
  <c r="D234" i="12"/>
  <c r="C234" i="12"/>
  <c r="A234" i="12"/>
  <c r="H233" i="12"/>
  <c r="G233" i="12"/>
  <c r="F233" i="12"/>
  <c r="E233" i="12"/>
  <c r="D233" i="12"/>
  <c r="C233" i="12"/>
  <c r="A233" i="12"/>
  <c r="H232" i="12"/>
  <c r="G232" i="12"/>
  <c r="F232" i="12"/>
  <c r="E232" i="12"/>
  <c r="D232" i="12"/>
  <c r="C232" i="12"/>
  <c r="A232" i="12"/>
  <c r="H231" i="12"/>
  <c r="G231" i="12"/>
  <c r="F231" i="12"/>
  <c r="E231" i="12"/>
  <c r="D231" i="12"/>
  <c r="C231" i="12"/>
  <c r="A231" i="12"/>
  <c r="H230" i="12"/>
  <c r="G230" i="12"/>
  <c r="F230" i="12"/>
  <c r="E230" i="12"/>
  <c r="D230" i="12"/>
  <c r="C230" i="12"/>
  <c r="A230" i="12"/>
  <c r="H229" i="12"/>
  <c r="G229" i="12"/>
  <c r="F229" i="12"/>
  <c r="E229" i="12"/>
  <c r="D229" i="12"/>
  <c r="C229" i="12"/>
  <c r="A229" i="12"/>
  <c r="H228" i="12"/>
  <c r="G228" i="12"/>
  <c r="F228" i="12"/>
  <c r="E228" i="12"/>
  <c r="D228" i="12"/>
  <c r="C228" i="12"/>
  <c r="A228" i="12"/>
  <c r="H227" i="12"/>
  <c r="G227" i="12"/>
  <c r="F227" i="12"/>
  <c r="E227" i="12"/>
  <c r="D227" i="12"/>
  <c r="C227" i="12"/>
  <c r="A227" i="12"/>
  <c r="H226" i="12"/>
  <c r="G226" i="12"/>
  <c r="F226" i="12"/>
  <c r="E226" i="12"/>
  <c r="D226" i="12"/>
  <c r="C226" i="12"/>
  <c r="A226" i="12"/>
  <c r="H225" i="12"/>
  <c r="G225" i="12"/>
  <c r="F225" i="12"/>
  <c r="E225" i="12"/>
  <c r="D225" i="12"/>
  <c r="C225" i="12"/>
  <c r="A225" i="12"/>
  <c r="H224" i="12"/>
  <c r="G224" i="12"/>
  <c r="F224" i="12"/>
  <c r="E224" i="12"/>
  <c r="D224" i="12"/>
  <c r="C224" i="12"/>
  <c r="A224" i="12"/>
  <c r="H223" i="12"/>
  <c r="G223" i="12"/>
  <c r="F223" i="12"/>
  <c r="E223" i="12"/>
  <c r="D223" i="12"/>
  <c r="C223" i="12"/>
  <c r="A223" i="12"/>
  <c r="H222" i="12"/>
  <c r="G222" i="12"/>
  <c r="F222" i="12"/>
  <c r="E222" i="12"/>
  <c r="D222" i="12"/>
  <c r="C222" i="12"/>
  <c r="A222" i="12"/>
  <c r="H221" i="12"/>
  <c r="G221" i="12"/>
  <c r="F221" i="12"/>
  <c r="E221" i="12"/>
  <c r="D221" i="12"/>
  <c r="C221" i="12"/>
  <c r="A221" i="12"/>
  <c r="H220" i="12"/>
  <c r="G220" i="12"/>
  <c r="F220" i="12"/>
  <c r="E220" i="12"/>
  <c r="D220" i="12"/>
  <c r="C220" i="12"/>
  <c r="A220" i="12"/>
  <c r="H219" i="12"/>
  <c r="G219" i="12"/>
  <c r="F219" i="12"/>
  <c r="E219" i="12"/>
  <c r="D219" i="12"/>
  <c r="C219" i="12"/>
  <c r="A219" i="12"/>
  <c r="H218" i="12"/>
  <c r="G218" i="12"/>
  <c r="F218" i="12"/>
  <c r="E218" i="12"/>
  <c r="D218" i="12"/>
  <c r="C218" i="12"/>
  <c r="A218" i="12"/>
  <c r="H217" i="12"/>
  <c r="G217" i="12"/>
  <c r="F217" i="12"/>
  <c r="E217" i="12"/>
  <c r="D217" i="12"/>
  <c r="C217" i="12"/>
  <c r="A217" i="12"/>
  <c r="H216" i="12"/>
  <c r="G216" i="12"/>
  <c r="F216" i="12"/>
  <c r="E216" i="12"/>
  <c r="D216" i="12"/>
  <c r="C216" i="12"/>
  <c r="A216" i="12"/>
  <c r="H215" i="12"/>
  <c r="G215" i="12"/>
  <c r="F215" i="12"/>
  <c r="E215" i="12"/>
  <c r="D215" i="12"/>
  <c r="C215" i="12"/>
  <c r="A215" i="12"/>
  <c r="H214" i="12"/>
  <c r="G214" i="12"/>
  <c r="F214" i="12"/>
  <c r="E214" i="12"/>
  <c r="D214" i="12"/>
  <c r="C214" i="12"/>
  <c r="A214" i="12"/>
  <c r="H213" i="12"/>
  <c r="G213" i="12"/>
  <c r="F213" i="12"/>
  <c r="E213" i="12"/>
  <c r="D213" i="12"/>
  <c r="C213" i="12"/>
  <c r="A213" i="12"/>
  <c r="H212" i="12"/>
  <c r="G212" i="12"/>
  <c r="F212" i="12"/>
  <c r="E212" i="12"/>
  <c r="D212" i="12"/>
  <c r="C212" i="12"/>
  <c r="A212" i="12"/>
  <c r="H211" i="12"/>
  <c r="G211" i="12"/>
  <c r="F211" i="12"/>
  <c r="E211" i="12"/>
  <c r="D211" i="12"/>
  <c r="C211" i="12"/>
  <c r="A211" i="12"/>
  <c r="H210" i="12"/>
  <c r="G210" i="12"/>
  <c r="F210" i="12"/>
  <c r="E210" i="12"/>
  <c r="D210" i="12"/>
  <c r="C210" i="12"/>
  <c r="A210" i="12"/>
  <c r="H209" i="12"/>
  <c r="G209" i="12"/>
  <c r="F209" i="12"/>
  <c r="E209" i="12"/>
  <c r="D209" i="12"/>
  <c r="C209" i="12"/>
  <c r="A209" i="12"/>
  <c r="H208" i="12"/>
  <c r="G208" i="12"/>
  <c r="F208" i="12"/>
  <c r="E208" i="12"/>
  <c r="D208" i="12"/>
  <c r="C208" i="12"/>
  <c r="B208" i="12"/>
  <c r="A208" i="12"/>
  <c r="H207" i="12"/>
  <c r="G207" i="12"/>
  <c r="F207" i="12"/>
  <c r="E207" i="12"/>
  <c r="D207" i="12"/>
  <c r="C207" i="12"/>
  <c r="A207" i="12"/>
  <c r="H206" i="12"/>
  <c r="G206" i="12"/>
  <c r="F206" i="12"/>
  <c r="E206" i="12"/>
  <c r="D206" i="12"/>
  <c r="C206" i="12"/>
  <c r="A206" i="12"/>
  <c r="H205" i="12"/>
  <c r="G205" i="12"/>
  <c r="F205" i="12"/>
  <c r="E205" i="12"/>
  <c r="D205" i="12"/>
  <c r="C205" i="12"/>
  <c r="A205" i="12"/>
  <c r="H204" i="12"/>
  <c r="G204" i="12"/>
  <c r="F204" i="12"/>
  <c r="E204" i="12"/>
  <c r="D204" i="12"/>
  <c r="C204" i="12"/>
  <c r="A204" i="12"/>
  <c r="H203" i="12"/>
  <c r="G203" i="12"/>
  <c r="F203" i="12"/>
  <c r="E203" i="12"/>
  <c r="D203" i="12"/>
  <c r="C203" i="12"/>
  <c r="A203" i="12"/>
  <c r="H202" i="12"/>
  <c r="G202" i="12"/>
  <c r="F202" i="12"/>
  <c r="E202" i="12"/>
  <c r="D202" i="12"/>
  <c r="C202" i="12"/>
  <c r="A202" i="12"/>
  <c r="H201" i="12"/>
  <c r="G201" i="12"/>
  <c r="F201" i="12"/>
  <c r="E201" i="12"/>
  <c r="D201" i="12"/>
  <c r="C201" i="12"/>
  <c r="A201" i="12"/>
  <c r="H200" i="12"/>
  <c r="G200" i="12"/>
  <c r="F200" i="12"/>
  <c r="E200" i="12"/>
  <c r="D200" i="12"/>
  <c r="C200" i="12"/>
  <c r="A200" i="12"/>
  <c r="H199" i="12"/>
  <c r="G199" i="12"/>
  <c r="F199" i="12"/>
  <c r="E199" i="12"/>
  <c r="D199" i="12"/>
  <c r="C199" i="12"/>
  <c r="A199" i="12"/>
  <c r="H198" i="12"/>
  <c r="G198" i="12"/>
  <c r="F198" i="12"/>
  <c r="E198" i="12"/>
  <c r="D198" i="12"/>
  <c r="C198" i="12"/>
  <c r="A198" i="12"/>
  <c r="H197" i="12"/>
  <c r="G197" i="12"/>
  <c r="F197" i="12"/>
  <c r="E197" i="12"/>
  <c r="D197" i="12"/>
  <c r="C197" i="12"/>
  <c r="A197" i="12"/>
  <c r="H196" i="12"/>
  <c r="G196" i="12"/>
  <c r="F196" i="12"/>
  <c r="E196" i="12"/>
  <c r="D196" i="12"/>
  <c r="C196" i="12"/>
  <c r="A196" i="12"/>
  <c r="H195" i="12"/>
  <c r="G195" i="12"/>
  <c r="F195" i="12"/>
  <c r="E195" i="12"/>
  <c r="D195" i="12"/>
  <c r="C195" i="12"/>
  <c r="A195" i="12"/>
  <c r="H194" i="12"/>
  <c r="G194" i="12"/>
  <c r="F194" i="12"/>
  <c r="E194" i="12"/>
  <c r="D194" i="12"/>
  <c r="C194" i="12"/>
  <c r="A194" i="12"/>
  <c r="H193" i="12"/>
  <c r="G193" i="12"/>
  <c r="F193" i="12"/>
  <c r="E193" i="12"/>
  <c r="D193" i="12"/>
  <c r="C193" i="12"/>
  <c r="A193" i="12"/>
  <c r="H192" i="12"/>
  <c r="G192" i="12"/>
  <c r="F192" i="12"/>
  <c r="E192" i="12"/>
  <c r="D192" i="12"/>
  <c r="C192" i="12"/>
  <c r="A192" i="12"/>
  <c r="H191" i="12"/>
  <c r="G191" i="12"/>
  <c r="F191" i="12"/>
  <c r="E191" i="12"/>
  <c r="D191" i="12"/>
  <c r="C191" i="12"/>
  <c r="A191" i="12"/>
  <c r="H190" i="12"/>
  <c r="G190" i="12"/>
  <c r="F190" i="12"/>
  <c r="E190" i="12"/>
  <c r="D190" i="12"/>
  <c r="C190" i="12"/>
  <c r="A190" i="12"/>
  <c r="H189" i="12"/>
  <c r="G189" i="12"/>
  <c r="F189" i="12"/>
  <c r="E189" i="12"/>
  <c r="D189" i="12"/>
  <c r="C189" i="12"/>
  <c r="A189" i="12"/>
  <c r="H188" i="12"/>
  <c r="G188" i="12"/>
  <c r="F188" i="12"/>
  <c r="E188" i="12"/>
  <c r="D188" i="12"/>
  <c r="C188" i="12"/>
  <c r="A188" i="12"/>
  <c r="H187" i="12"/>
  <c r="G187" i="12"/>
  <c r="F187" i="12"/>
  <c r="E187" i="12"/>
  <c r="D187" i="12"/>
  <c r="C187" i="12"/>
  <c r="A187" i="12"/>
  <c r="H186" i="12"/>
  <c r="G186" i="12"/>
  <c r="F186" i="12"/>
  <c r="E186" i="12"/>
  <c r="D186" i="12"/>
  <c r="C186" i="12"/>
  <c r="A186" i="12"/>
  <c r="H185" i="12"/>
  <c r="G185" i="12"/>
  <c r="F185" i="12"/>
  <c r="E185" i="12"/>
  <c r="D185" i="12"/>
  <c r="C185" i="12"/>
  <c r="A185" i="12"/>
  <c r="H184" i="12"/>
  <c r="G184" i="12"/>
  <c r="F184" i="12"/>
  <c r="E184" i="12"/>
  <c r="D184" i="12"/>
  <c r="C184" i="12"/>
  <c r="A184" i="12"/>
  <c r="H183" i="12"/>
  <c r="G183" i="12"/>
  <c r="F183" i="12"/>
  <c r="E183" i="12"/>
  <c r="D183" i="12"/>
  <c r="C183" i="12"/>
  <c r="A183" i="12"/>
  <c r="H182" i="12"/>
  <c r="G182" i="12"/>
  <c r="F182" i="12"/>
  <c r="E182" i="12"/>
  <c r="D182" i="12"/>
  <c r="C182" i="12"/>
  <c r="A182" i="12"/>
  <c r="H181" i="12"/>
  <c r="G181" i="12"/>
  <c r="F181" i="12"/>
  <c r="E181" i="12"/>
  <c r="D181" i="12"/>
  <c r="C181" i="12"/>
  <c r="A181" i="12"/>
  <c r="H180" i="12"/>
  <c r="G180" i="12"/>
  <c r="F180" i="12"/>
  <c r="E180" i="12"/>
  <c r="D180" i="12"/>
  <c r="C180" i="12"/>
  <c r="A180" i="12"/>
  <c r="H179" i="12"/>
  <c r="G179" i="12"/>
  <c r="F179" i="12"/>
  <c r="E179" i="12"/>
  <c r="D179" i="12"/>
  <c r="C179" i="12"/>
  <c r="A179" i="12"/>
  <c r="H178" i="12"/>
  <c r="G178" i="12"/>
  <c r="F178" i="12"/>
  <c r="E178" i="12"/>
  <c r="D178" i="12"/>
  <c r="C178" i="12"/>
  <c r="A178" i="12"/>
  <c r="H177" i="12"/>
  <c r="G177" i="12"/>
  <c r="F177" i="12"/>
  <c r="E177" i="12"/>
  <c r="D177" i="12"/>
  <c r="C177" i="12"/>
  <c r="A177" i="12"/>
  <c r="H176" i="12"/>
  <c r="G176" i="12"/>
  <c r="F176" i="12"/>
  <c r="E176" i="12"/>
  <c r="D176" i="12"/>
  <c r="C176" i="12"/>
  <c r="A176" i="12"/>
  <c r="H175" i="12"/>
  <c r="G175" i="12"/>
  <c r="F175" i="12"/>
  <c r="E175" i="12"/>
  <c r="D175" i="12"/>
  <c r="C175" i="12"/>
  <c r="A175" i="12"/>
  <c r="H174" i="12"/>
  <c r="G174" i="12"/>
  <c r="F174" i="12"/>
  <c r="E174" i="12"/>
  <c r="D174" i="12"/>
  <c r="C174" i="12"/>
  <c r="A174" i="12"/>
  <c r="H173" i="12"/>
  <c r="G173" i="12"/>
  <c r="F173" i="12"/>
  <c r="E173" i="12"/>
  <c r="D173" i="12"/>
  <c r="C173" i="12"/>
  <c r="A173" i="12"/>
  <c r="H172" i="12"/>
  <c r="G172" i="12"/>
  <c r="F172" i="12"/>
  <c r="E172" i="12"/>
  <c r="D172" i="12"/>
  <c r="C172" i="12"/>
  <c r="A172" i="12"/>
  <c r="H171" i="12"/>
  <c r="G171" i="12"/>
  <c r="F171" i="12"/>
  <c r="E171" i="12"/>
  <c r="D171" i="12"/>
  <c r="C171" i="12"/>
  <c r="A171" i="12"/>
  <c r="H170" i="12"/>
  <c r="G170" i="12"/>
  <c r="F170" i="12"/>
  <c r="E170" i="12"/>
  <c r="D170" i="12"/>
  <c r="C170" i="12"/>
  <c r="A170" i="12"/>
  <c r="H169" i="12"/>
  <c r="G169" i="12"/>
  <c r="F169" i="12"/>
  <c r="E169" i="12"/>
  <c r="D169" i="12"/>
  <c r="C169" i="12"/>
  <c r="A169" i="12"/>
  <c r="H168" i="12"/>
  <c r="G168" i="12"/>
  <c r="F168" i="12"/>
  <c r="E168" i="12"/>
  <c r="D168" i="12"/>
  <c r="C168" i="12"/>
  <c r="A168" i="12"/>
  <c r="H167" i="12"/>
  <c r="G167" i="12"/>
  <c r="F167" i="12"/>
  <c r="E167" i="12"/>
  <c r="D167" i="12"/>
  <c r="C167" i="12"/>
  <c r="A167" i="12"/>
  <c r="H166" i="12"/>
  <c r="G166" i="12"/>
  <c r="F166" i="12"/>
  <c r="E166" i="12"/>
  <c r="D166" i="12"/>
  <c r="C166" i="12"/>
  <c r="A166" i="12"/>
  <c r="H165" i="12"/>
  <c r="G165" i="12"/>
  <c r="F165" i="12"/>
  <c r="E165" i="12"/>
  <c r="D165" i="12"/>
  <c r="C165" i="12"/>
  <c r="A165" i="12"/>
  <c r="H164" i="12"/>
  <c r="G164" i="12"/>
  <c r="F164" i="12"/>
  <c r="E164" i="12"/>
  <c r="D164" i="12"/>
  <c r="C164" i="12"/>
  <c r="A164" i="12"/>
  <c r="H163" i="12"/>
  <c r="G163" i="12"/>
  <c r="F163" i="12"/>
  <c r="E163" i="12"/>
  <c r="D163" i="12"/>
  <c r="C163" i="12"/>
  <c r="A163" i="12"/>
  <c r="H162" i="12"/>
  <c r="G162" i="12"/>
  <c r="F162" i="12"/>
  <c r="E162" i="12"/>
  <c r="D162" i="12"/>
  <c r="C162" i="12"/>
  <c r="A162" i="12"/>
  <c r="H161" i="12"/>
  <c r="G161" i="12"/>
  <c r="F161" i="12"/>
  <c r="E161" i="12"/>
  <c r="D161" i="12"/>
  <c r="C161" i="12"/>
  <c r="A161" i="12"/>
  <c r="H160" i="12"/>
  <c r="G160" i="12"/>
  <c r="F160" i="12"/>
  <c r="E160" i="12"/>
  <c r="D160" i="12"/>
  <c r="C160" i="12"/>
  <c r="A160" i="12"/>
  <c r="H159" i="12"/>
  <c r="G159" i="12"/>
  <c r="F159" i="12"/>
  <c r="E159" i="12"/>
  <c r="D159" i="12"/>
  <c r="C159" i="12"/>
  <c r="A159" i="12"/>
  <c r="H158" i="12"/>
  <c r="G158" i="12"/>
  <c r="F158" i="12"/>
  <c r="E158" i="12"/>
  <c r="D158" i="12"/>
  <c r="C158" i="12"/>
  <c r="A158" i="12"/>
  <c r="H157" i="12"/>
  <c r="G157" i="12"/>
  <c r="F157" i="12"/>
  <c r="E157" i="12"/>
  <c r="D157" i="12"/>
  <c r="C157" i="12"/>
  <c r="A157" i="12"/>
  <c r="H156" i="12"/>
  <c r="G156" i="12"/>
  <c r="F156" i="12"/>
  <c r="E156" i="12"/>
  <c r="D156" i="12"/>
  <c r="C156" i="12"/>
  <c r="A156" i="12"/>
  <c r="H155" i="12"/>
  <c r="G155" i="12"/>
  <c r="F155" i="12"/>
  <c r="E155" i="12"/>
  <c r="D155" i="12"/>
  <c r="C155" i="12"/>
  <c r="A155" i="12"/>
  <c r="H154" i="12"/>
  <c r="G154" i="12"/>
  <c r="F154" i="12"/>
  <c r="E154" i="12"/>
  <c r="D154" i="12"/>
  <c r="C154" i="12"/>
  <c r="A154" i="12"/>
  <c r="H153" i="12"/>
  <c r="G153" i="12"/>
  <c r="F153" i="12"/>
  <c r="E153" i="12"/>
  <c r="D153" i="12"/>
  <c r="C153" i="12"/>
  <c r="A153" i="12"/>
  <c r="H152" i="12"/>
  <c r="G152" i="12"/>
  <c r="F152" i="12"/>
  <c r="E152" i="12"/>
  <c r="D152" i="12"/>
  <c r="C152" i="12"/>
  <c r="A152" i="12"/>
  <c r="H151" i="12"/>
  <c r="G151" i="12"/>
  <c r="F151" i="12"/>
  <c r="E151" i="12"/>
  <c r="D151" i="12"/>
  <c r="C151" i="12"/>
  <c r="A151" i="12"/>
  <c r="H150" i="12"/>
  <c r="G150" i="12"/>
  <c r="F150" i="12"/>
  <c r="E150" i="12"/>
  <c r="D150" i="12"/>
  <c r="C150" i="12"/>
  <c r="A150" i="12"/>
  <c r="H149" i="12"/>
  <c r="G149" i="12"/>
  <c r="F149" i="12"/>
  <c r="E149" i="12"/>
  <c r="D149" i="12"/>
  <c r="C149" i="12"/>
  <c r="A149" i="12"/>
  <c r="H148" i="12"/>
  <c r="G148" i="12"/>
  <c r="F148" i="12"/>
  <c r="E148" i="12"/>
  <c r="D148" i="12"/>
  <c r="C148" i="12"/>
  <c r="A148" i="12"/>
  <c r="H147" i="12"/>
  <c r="G147" i="12"/>
  <c r="F147" i="12"/>
  <c r="E147" i="12"/>
  <c r="D147" i="12"/>
  <c r="C147" i="12"/>
  <c r="A147" i="12"/>
  <c r="H146" i="12"/>
  <c r="G146" i="12"/>
  <c r="F146" i="12"/>
  <c r="E146" i="12"/>
  <c r="D146" i="12"/>
  <c r="C146" i="12"/>
  <c r="A146" i="12"/>
  <c r="H145" i="12"/>
  <c r="G145" i="12"/>
  <c r="F145" i="12"/>
  <c r="E145" i="12"/>
  <c r="D145" i="12"/>
  <c r="C145" i="12"/>
  <c r="A145" i="12"/>
  <c r="H144" i="12"/>
  <c r="G144" i="12"/>
  <c r="F144" i="12"/>
  <c r="E144" i="12"/>
  <c r="D144" i="12"/>
  <c r="C144" i="12"/>
  <c r="B144" i="12"/>
  <c r="A144" i="12"/>
  <c r="H143" i="12"/>
  <c r="G143" i="12"/>
  <c r="F143" i="12"/>
  <c r="E143" i="12"/>
  <c r="D143" i="12"/>
  <c r="C143" i="12"/>
  <c r="A143" i="12"/>
  <c r="H142" i="12"/>
  <c r="G142" i="12"/>
  <c r="F142" i="12"/>
  <c r="E142" i="12"/>
  <c r="D142" i="12"/>
  <c r="C142" i="12"/>
  <c r="A142" i="12"/>
  <c r="H141" i="12"/>
  <c r="G141" i="12"/>
  <c r="F141" i="12"/>
  <c r="E141" i="12"/>
  <c r="D141" i="12"/>
  <c r="C141" i="12"/>
  <c r="A141" i="12"/>
  <c r="H140" i="12"/>
  <c r="G140" i="12"/>
  <c r="F140" i="12"/>
  <c r="E140" i="12"/>
  <c r="D140" i="12"/>
  <c r="C140" i="12"/>
  <c r="A140" i="12"/>
  <c r="H139" i="12"/>
  <c r="G139" i="12"/>
  <c r="F139" i="12"/>
  <c r="E139" i="12"/>
  <c r="D139" i="12"/>
  <c r="C139" i="12"/>
  <c r="A139" i="12"/>
  <c r="H138" i="12"/>
  <c r="G138" i="12"/>
  <c r="F138" i="12"/>
  <c r="E138" i="12"/>
  <c r="D138" i="12"/>
  <c r="C138" i="12"/>
  <c r="A138" i="12"/>
  <c r="H137" i="12"/>
  <c r="G137" i="12"/>
  <c r="F137" i="12"/>
  <c r="E137" i="12"/>
  <c r="D137" i="12"/>
  <c r="C137" i="12"/>
  <c r="A137" i="12"/>
  <c r="H136" i="12"/>
  <c r="G136" i="12"/>
  <c r="F136" i="12"/>
  <c r="E136" i="12"/>
  <c r="D136" i="12"/>
  <c r="C136" i="12"/>
  <c r="A136" i="12"/>
  <c r="H135" i="12"/>
  <c r="G135" i="12"/>
  <c r="F135" i="12"/>
  <c r="E135" i="12"/>
  <c r="D135" i="12"/>
  <c r="C135" i="12"/>
  <c r="A135" i="12"/>
  <c r="H134" i="12"/>
  <c r="G134" i="12"/>
  <c r="F134" i="12"/>
  <c r="E134" i="12"/>
  <c r="D134" i="12"/>
  <c r="C134" i="12"/>
  <c r="A134" i="12"/>
  <c r="H133" i="12"/>
  <c r="G133" i="12"/>
  <c r="F133" i="12"/>
  <c r="E133" i="12"/>
  <c r="D133" i="12"/>
  <c r="C133" i="12"/>
  <c r="A133" i="12"/>
  <c r="H132" i="12"/>
  <c r="G132" i="12"/>
  <c r="F132" i="12"/>
  <c r="E132" i="12"/>
  <c r="D132" i="12"/>
  <c r="C132" i="12"/>
  <c r="A132" i="12"/>
  <c r="H131" i="12"/>
  <c r="G131" i="12"/>
  <c r="F131" i="12"/>
  <c r="E131" i="12"/>
  <c r="D131" i="12"/>
  <c r="C131" i="12"/>
  <c r="A131" i="12"/>
  <c r="H130" i="12"/>
  <c r="G130" i="12"/>
  <c r="F130" i="12"/>
  <c r="E130" i="12"/>
  <c r="D130" i="12"/>
  <c r="C130" i="12"/>
  <c r="A130" i="12"/>
  <c r="H129" i="12"/>
  <c r="G129" i="12"/>
  <c r="F129" i="12"/>
  <c r="E129" i="12"/>
  <c r="D129" i="12"/>
  <c r="C129" i="12"/>
  <c r="A129" i="12"/>
  <c r="H128" i="12"/>
  <c r="G128" i="12"/>
  <c r="F128" i="12"/>
  <c r="E128" i="12"/>
  <c r="D128" i="12"/>
  <c r="C128" i="12"/>
  <c r="A128" i="12"/>
  <c r="H127" i="12"/>
  <c r="G127" i="12"/>
  <c r="F127" i="12"/>
  <c r="E127" i="12"/>
  <c r="D127" i="12"/>
  <c r="C127" i="12"/>
  <c r="A127" i="12"/>
  <c r="H126" i="12"/>
  <c r="G126" i="12"/>
  <c r="F126" i="12"/>
  <c r="E126" i="12"/>
  <c r="D126" i="12"/>
  <c r="C126" i="12"/>
  <c r="A126" i="12"/>
  <c r="H125" i="12"/>
  <c r="G125" i="12"/>
  <c r="F125" i="12"/>
  <c r="E125" i="12"/>
  <c r="D125" i="12"/>
  <c r="C125" i="12"/>
  <c r="A125" i="12"/>
  <c r="H124" i="12"/>
  <c r="G124" i="12"/>
  <c r="F124" i="12"/>
  <c r="E124" i="12"/>
  <c r="D124" i="12"/>
  <c r="C124" i="12"/>
  <c r="A124" i="12"/>
  <c r="H123" i="12"/>
  <c r="G123" i="12"/>
  <c r="F123" i="12"/>
  <c r="E123" i="12"/>
  <c r="D123" i="12"/>
  <c r="C123" i="12"/>
  <c r="A123" i="12"/>
  <c r="H122" i="12"/>
  <c r="G122" i="12"/>
  <c r="F122" i="12"/>
  <c r="E122" i="12"/>
  <c r="D122" i="12"/>
  <c r="C122" i="12"/>
  <c r="A122" i="12"/>
  <c r="H121" i="12"/>
  <c r="G121" i="12"/>
  <c r="F121" i="12"/>
  <c r="E121" i="12"/>
  <c r="D121" i="12"/>
  <c r="C121" i="12"/>
  <c r="A121" i="12"/>
  <c r="H120" i="12"/>
  <c r="G120" i="12"/>
  <c r="F120" i="12"/>
  <c r="E120" i="12"/>
  <c r="D120" i="12"/>
  <c r="C120" i="12"/>
  <c r="A120" i="12"/>
  <c r="H119" i="12"/>
  <c r="G119" i="12"/>
  <c r="F119" i="12"/>
  <c r="E119" i="12"/>
  <c r="D119" i="12"/>
  <c r="C119" i="12"/>
  <c r="A119" i="12"/>
  <c r="H118" i="12"/>
  <c r="G118" i="12"/>
  <c r="F118" i="12"/>
  <c r="E118" i="12"/>
  <c r="D118" i="12"/>
  <c r="C118" i="12"/>
  <c r="A118" i="12"/>
  <c r="H117" i="12"/>
  <c r="G117" i="12"/>
  <c r="F117" i="12"/>
  <c r="E117" i="12"/>
  <c r="D117" i="12"/>
  <c r="C117" i="12"/>
  <c r="A117" i="12"/>
  <c r="H116" i="12"/>
  <c r="G116" i="12"/>
  <c r="F116" i="12"/>
  <c r="E116" i="12"/>
  <c r="D116" i="12"/>
  <c r="C116" i="12"/>
  <c r="A116" i="12"/>
  <c r="H115" i="12"/>
  <c r="G115" i="12"/>
  <c r="F115" i="12"/>
  <c r="E115" i="12"/>
  <c r="D115" i="12"/>
  <c r="C115" i="12"/>
  <c r="A115" i="12"/>
  <c r="H114" i="12"/>
  <c r="G114" i="12"/>
  <c r="F114" i="12"/>
  <c r="E114" i="12"/>
  <c r="D114" i="12"/>
  <c r="C114" i="12"/>
  <c r="A114" i="12"/>
  <c r="H113" i="12"/>
  <c r="G113" i="12"/>
  <c r="F113" i="12"/>
  <c r="E113" i="12"/>
  <c r="D113" i="12"/>
  <c r="C113" i="12"/>
  <c r="A113" i="12"/>
  <c r="H112" i="12"/>
  <c r="G112" i="12"/>
  <c r="F112" i="12"/>
  <c r="E112" i="12"/>
  <c r="D112" i="12"/>
  <c r="C112" i="12"/>
  <c r="A112" i="12"/>
  <c r="H111" i="12"/>
  <c r="G111" i="12"/>
  <c r="F111" i="12"/>
  <c r="E111" i="12"/>
  <c r="D111" i="12"/>
  <c r="C111" i="12"/>
  <c r="A111" i="12"/>
  <c r="H110" i="12"/>
  <c r="G110" i="12"/>
  <c r="F110" i="12"/>
  <c r="E110" i="12"/>
  <c r="D110" i="12"/>
  <c r="C110" i="12"/>
  <c r="A110" i="12"/>
  <c r="H109" i="12"/>
  <c r="G109" i="12"/>
  <c r="F109" i="12"/>
  <c r="E109" i="12"/>
  <c r="D109" i="12"/>
  <c r="C109" i="12"/>
  <c r="A109" i="12"/>
  <c r="H108" i="12"/>
  <c r="G108" i="12"/>
  <c r="F108" i="12"/>
  <c r="E108" i="12"/>
  <c r="D108" i="12"/>
  <c r="C108" i="12"/>
  <c r="A108" i="12"/>
  <c r="H107" i="12"/>
  <c r="G107" i="12"/>
  <c r="F107" i="12"/>
  <c r="E107" i="12"/>
  <c r="D107" i="12"/>
  <c r="C107" i="12"/>
  <c r="A107" i="12"/>
  <c r="H106" i="12"/>
  <c r="G106" i="12"/>
  <c r="F106" i="12"/>
  <c r="E106" i="12"/>
  <c r="D106" i="12"/>
  <c r="C106" i="12"/>
  <c r="A106" i="12"/>
  <c r="H105" i="12"/>
  <c r="G105" i="12"/>
  <c r="F105" i="12"/>
  <c r="E105" i="12"/>
  <c r="D105" i="12"/>
  <c r="C105" i="12"/>
  <c r="A105" i="12"/>
  <c r="H104" i="12"/>
  <c r="G104" i="12"/>
  <c r="F104" i="12"/>
  <c r="E104" i="12"/>
  <c r="D104" i="12"/>
  <c r="C104" i="12"/>
  <c r="A104" i="12"/>
  <c r="H103" i="12"/>
  <c r="G103" i="12"/>
  <c r="F103" i="12"/>
  <c r="E103" i="12"/>
  <c r="D103" i="12"/>
  <c r="C103" i="12"/>
  <c r="A103" i="12"/>
  <c r="H102" i="12"/>
  <c r="G102" i="12"/>
  <c r="F102" i="12"/>
  <c r="E102" i="12"/>
  <c r="D102" i="12"/>
  <c r="C102" i="12"/>
  <c r="A102" i="12"/>
  <c r="H101" i="12"/>
  <c r="G101" i="12"/>
  <c r="F101" i="12"/>
  <c r="E101" i="12"/>
  <c r="D101" i="12"/>
  <c r="C101" i="12"/>
  <c r="A101" i="12"/>
  <c r="H100" i="12"/>
  <c r="G100" i="12"/>
  <c r="F100" i="12"/>
  <c r="E100" i="12"/>
  <c r="D100" i="12"/>
  <c r="C100" i="12"/>
  <c r="A100" i="12"/>
  <c r="H99" i="12"/>
  <c r="G99" i="12"/>
  <c r="F99" i="12"/>
  <c r="E99" i="12"/>
  <c r="D99" i="12"/>
  <c r="C99" i="12"/>
  <c r="A99" i="12"/>
  <c r="H98" i="12"/>
  <c r="G98" i="12"/>
  <c r="F98" i="12"/>
  <c r="E98" i="12"/>
  <c r="D98" i="12"/>
  <c r="C98" i="12"/>
  <c r="A98" i="12"/>
  <c r="H97" i="12"/>
  <c r="G97" i="12"/>
  <c r="F97" i="12"/>
  <c r="E97" i="12"/>
  <c r="D97" i="12"/>
  <c r="C97" i="12"/>
  <c r="A97" i="12"/>
  <c r="H96" i="12"/>
  <c r="G96" i="12"/>
  <c r="F96" i="12"/>
  <c r="E96" i="12"/>
  <c r="D96" i="12"/>
  <c r="C96" i="12"/>
  <c r="A96" i="12"/>
  <c r="H95" i="12"/>
  <c r="G95" i="12"/>
  <c r="F95" i="12"/>
  <c r="E95" i="12"/>
  <c r="D95" i="12"/>
  <c r="C95" i="12"/>
  <c r="A95" i="12"/>
  <c r="H94" i="12"/>
  <c r="G94" i="12"/>
  <c r="F94" i="12"/>
  <c r="E94" i="12"/>
  <c r="D94" i="12"/>
  <c r="C94" i="12"/>
  <c r="A94" i="12"/>
  <c r="H93" i="12"/>
  <c r="G93" i="12"/>
  <c r="F93" i="12"/>
  <c r="E93" i="12"/>
  <c r="D93" i="12"/>
  <c r="C93" i="12"/>
  <c r="A93" i="12"/>
  <c r="H92" i="12"/>
  <c r="G92" i="12"/>
  <c r="F92" i="12"/>
  <c r="E92" i="12"/>
  <c r="D92" i="12"/>
  <c r="C92" i="12"/>
  <c r="A92" i="12"/>
  <c r="H91" i="12"/>
  <c r="G91" i="12"/>
  <c r="F91" i="12"/>
  <c r="E91" i="12"/>
  <c r="D91" i="12"/>
  <c r="C91" i="12"/>
  <c r="A91" i="12"/>
  <c r="H90" i="12"/>
  <c r="G90" i="12"/>
  <c r="F90" i="12"/>
  <c r="E90" i="12"/>
  <c r="D90" i="12"/>
  <c r="C90" i="12"/>
  <c r="A90" i="12"/>
  <c r="H89" i="12"/>
  <c r="G89" i="12"/>
  <c r="F89" i="12"/>
  <c r="E89" i="12"/>
  <c r="D89" i="12"/>
  <c r="C89" i="12"/>
  <c r="A89" i="12"/>
  <c r="H88" i="12"/>
  <c r="G88" i="12"/>
  <c r="F88" i="12"/>
  <c r="E88" i="12"/>
  <c r="D88" i="12"/>
  <c r="C88" i="12"/>
  <c r="A88" i="12"/>
  <c r="H87" i="12"/>
  <c r="G87" i="12"/>
  <c r="F87" i="12"/>
  <c r="E87" i="12"/>
  <c r="D87" i="12"/>
  <c r="C87" i="12"/>
  <c r="A87" i="12"/>
  <c r="H86" i="12"/>
  <c r="G86" i="12"/>
  <c r="F86" i="12"/>
  <c r="E86" i="12"/>
  <c r="D86" i="12"/>
  <c r="C86" i="12"/>
  <c r="A86" i="12"/>
  <c r="H85" i="12"/>
  <c r="G85" i="12"/>
  <c r="F85" i="12"/>
  <c r="E85" i="12"/>
  <c r="D85" i="12"/>
  <c r="C85" i="12"/>
  <c r="A85" i="12"/>
  <c r="H84" i="12"/>
  <c r="G84" i="12"/>
  <c r="F84" i="12"/>
  <c r="E84" i="12"/>
  <c r="D84" i="12"/>
  <c r="C84" i="12"/>
  <c r="A84" i="12"/>
  <c r="H83" i="12"/>
  <c r="G83" i="12"/>
  <c r="F83" i="12"/>
  <c r="E83" i="12"/>
  <c r="D83" i="12"/>
  <c r="C83" i="12"/>
  <c r="A83" i="12"/>
  <c r="H82" i="12"/>
  <c r="G82" i="12"/>
  <c r="F82" i="12"/>
  <c r="E82" i="12"/>
  <c r="D82" i="12"/>
  <c r="C82" i="12"/>
  <c r="A82" i="12"/>
  <c r="H81" i="12"/>
  <c r="G81" i="12"/>
  <c r="F81" i="12"/>
  <c r="E81" i="12"/>
  <c r="D81" i="12"/>
  <c r="C81" i="12"/>
  <c r="A81" i="12"/>
  <c r="H80" i="12"/>
  <c r="G80" i="12"/>
  <c r="F80" i="12"/>
  <c r="E80" i="12"/>
  <c r="D80" i="12"/>
  <c r="C80" i="12"/>
  <c r="B80" i="12"/>
  <c r="A80" i="12"/>
  <c r="H79" i="12"/>
  <c r="G79" i="12"/>
  <c r="F79" i="12"/>
  <c r="E79" i="12"/>
  <c r="D79" i="12"/>
  <c r="C79" i="12"/>
  <c r="A79" i="12"/>
  <c r="H78" i="12"/>
  <c r="G78" i="12"/>
  <c r="F78" i="12"/>
  <c r="E78" i="12"/>
  <c r="D78" i="12"/>
  <c r="C78" i="12"/>
  <c r="A78" i="12"/>
  <c r="H77" i="12"/>
  <c r="G77" i="12"/>
  <c r="F77" i="12"/>
  <c r="E77" i="12"/>
  <c r="D77" i="12"/>
  <c r="C77" i="12"/>
  <c r="A77" i="12"/>
  <c r="H76" i="12"/>
  <c r="G76" i="12"/>
  <c r="F76" i="12"/>
  <c r="E76" i="12"/>
  <c r="D76" i="12"/>
  <c r="C76" i="12"/>
  <c r="A76" i="12"/>
  <c r="H75" i="12"/>
  <c r="G75" i="12"/>
  <c r="F75" i="12"/>
  <c r="E75" i="12"/>
  <c r="D75" i="12"/>
  <c r="C75" i="12"/>
  <c r="A75" i="12"/>
  <c r="H74" i="12"/>
  <c r="G74" i="12"/>
  <c r="F74" i="12"/>
  <c r="E74" i="12"/>
  <c r="D74" i="12"/>
  <c r="C74" i="12"/>
  <c r="A74" i="12"/>
  <c r="H73" i="12"/>
  <c r="G73" i="12"/>
  <c r="F73" i="12"/>
  <c r="E73" i="12"/>
  <c r="D73" i="12"/>
  <c r="C73" i="12"/>
  <c r="A73" i="12"/>
  <c r="H72" i="12"/>
  <c r="G72" i="12"/>
  <c r="F72" i="12"/>
  <c r="E72" i="12"/>
  <c r="D72" i="12"/>
  <c r="C72" i="12"/>
  <c r="A72" i="12"/>
  <c r="H71" i="12"/>
  <c r="G71" i="12"/>
  <c r="F71" i="12"/>
  <c r="E71" i="12"/>
  <c r="D71" i="12"/>
  <c r="C71" i="12"/>
  <c r="A71" i="12"/>
  <c r="H70" i="12"/>
  <c r="G70" i="12"/>
  <c r="F70" i="12"/>
  <c r="E70" i="12"/>
  <c r="D70" i="12"/>
  <c r="C70" i="12"/>
  <c r="A70" i="12"/>
  <c r="H69" i="12"/>
  <c r="G69" i="12"/>
  <c r="F69" i="12"/>
  <c r="E69" i="12"/>
  <c r="D69" i="12"/>
  <c r="C69" i="12"/>
  <c r="A69" i="12"/>
  <c r="H68" i="12"/>
  <c r="G68" i="12"/>
  <c r="F68" i="12"/>
  <c r="E68" i="12"/>
  <c r="D68" i="12"/>
  <c r="C68" i="12"/>
  <c r="A68" i="12"/>
  <c r="H67" i="12"/>
  <c r="G67" i="12"/>
  <c r="F67" i="12"/>
  <c r="E67" i="12"/>
  <c r="D67" i="12"/>
  <c r="C67" i="12"/>
  <c r="A67" i="12"/>
  <c r="H66" i="12"/>
  <c r="G66" i="12"/>
  <c r="F66" i="12"/>
  <c r="E66" i="12"/>
  <c r="D66" i="12"/>
  <c r="C66" i="12"/>
  <c r="A66" i="12"/>
  <c r="H65" i="12"/>
  <c r="G65" i="12"/>
  <c r="F65" i="12"/>
  <c r="E65" i="12"/>
  <c r="D65" i="12"/>
  <c r="C65" i="12"/>
  <c r="A65" i="12"/>
  <c r="H64" i="12"/>
  <c r="G64" i="12"/>
  <c r="F64" i="12"/>
  <c r="E64" i="12"/>
  <c r="D64" i="12"/>
  <c r="C64" i="12"/>
  <c r="A64" i="12"/>
  <c r="H63" i="12"/>
  <c r="G63" i="12"/>
  <c r="F63" i="12"/>
  <c r="E63" i="12"/>
  <c r="D63" i="12"/>
  <c r="C63" i="12"/>
  <c r="A63" i="12"/>
  <c r="H62" i="12"/>
  <c r="G62" i="12"/>
  <c r="F62" i="12"/>
  <c r="E62" i="12"/>
  <c r="D62" i="12"/>
  <c r="C62" i="12"/>
  <c r="A62" i="12"/>
  <c r="H61" i="12"/>
  <c r="G61" i="12"/>
  <c r="F61" i="12"/>
  <c r="E61" i="12"/>
  <c r="D61" i="12"/>
  <c r="C61" i="12"/>
  <c r="A61" i="12"/>
  <c r="H60" i="12"/>
  <c r="G60" i="12"/>
  <c r="F60" i="12"/>
  <c r="E60" i="12"/>
  <c r="D60" i="12"/>
  <c r="C60" i="12"/>
  <c r="A60" i="12"/>
  <c r="H59" i="12"/>
  <c r="G59" i="12"/>
  <c r="F59" i="12"/>
  <c r="E59" i="12"/>
  <c r="D59" i="12"/>
  <c r="C59" i="12"/>
  <c r="A59" i="12"/>
  <c r="H58" i="12"/>
  <c r="G58" i="12"/>
  <c r="F58" i="12"/>
  <c r="E58" i="12"/>
  <c r="D58" i="12"/>
  <c r="C58" i="12"/>
  <c r="A58" i="12"/>
  <c r="H57" i="12"/>
  <c r="G57" i="12"/>
  <c r="F57" i="12"/>
  <c r="E57" i="12"/>
  <c r="D57" i="12"/>
  <c r="C57" i="12"/>
  <c r="A57" i="12"/>
  <c r="H56" i="12"/>
  <c r="G56" i="12"/>
  <c r="F56" i="12"/>
  <c r="E56" i="12"/>
  <c r="D56" i="12"/>
  <c r="C56" i="12"/>
  <c r="A56" i="12"/>
  <c r="H55" i="12"/>
  <c r="G55" i="12"/>
  <c r="F55" i="12"/>
  <c r="E55" i="12"/>
  <c r="D55" i="12"/>
  <c r="C55" i="12"/>
  <c r="A55" i="12"/>
  <c r="H54" i="12"/>
  <c r="G54" i="12"/>
  <c r="F54" i="12"/>
  <c r="E54" i="12"/>
  <c r="D54" i="12"/>
  <c r="C54" i="12"/>
  <c r="A54" i="12"/>
  <c r="H53" i="12"/>
  <c r="G53" i="12"/>
  <c r="F53" i="12"/>
  <c r="E53" i="12"/>
  <c r="D53" i="12"/>
  <c r="C53" i="12"/>
  <c r="A53" i="12"/>
  <c r="H52" i="12"/>
  <c r="G52" i="12"/>
  <c r="F52" i="12"/>
  <c r="E52" i="12"/>
  <c r="D52" i="12"/>
  <c r="C52" i="12"/>
  <c r="A52" i="12"/>
  <c r="H51" i="12"/>
  <c r="G51" i="12"/>
  <c r="F51" i="12"/>
  <c r="E51" i="12"/>
  <c r="D51" i="12"/>
  <c r="C51" i="12"/>
  <c r="A51" i="12"/>
  <c r="H50" i="12"/>
  <c r="G50" i="12"/>
  <c r="F50" i="12"/>
  <c r="E50" i="12"/>
  <c r="D50" i="12"/>
  <c r="C50" i="12"/>
  <c r="A50" i="12"/>
  <c r="H49" i="12"/>
  <c r="G49" i="12"/>
  <c r="F49" i="12"/>
  <c r="E49" i="12"/>
  <c r="D49" i="12"/>
  <c r="C49" i="12"/>
  <c r="A49" i="12"/>
  <c r="H48" i="12"/>
  <c r="G48" i="12"/>
  <c r="F48" i="12"/>
  <c r="E48" i="12"/>
  <c r="D48" i="12"/>
  <c r="C48" i="12"/>
  <c r="A48" i="12"/>
  <c r="H47" i="12"/>
  <c r="G47" i="12"/>
  <c r="F47" i="12"/>
  <c r="E47" i="12"/>
  <c r="D47" i="12"/>
  <c r="C47" i="12"/>
  <c r="A47" i="12"/>
  <c r="H46" i="12"/>
  <c r="G46" i="12"/>
  <c r="F46" i="12"/>
  <c r="E46" i="12"/>
  <c r="D46" i="12"/>
  <c r="C46" i="12"/>
  <c r="A46" i="12"/>
  <c r="H45" i="12"/>
  <c r="G45" i="12"/>
  <c r="F45" i="12"/>
  <c r="E45" i="12"/>
  <c r="D45" i="12"/>
  <c r="C45" i="12"/>
  <c r="A45" i="12"/>
  <c r="H44" i="12"/>
  <c r="G44" i="12"/>
  <c r="F44" i="12"/>
  <c r="E44" i="12"/>
  <c r="D44" i="12"/>
  <c r="C44" i="12"/>
  <c r="A44" i="12"/>
  <c r="H43" i="12"/>
  <c r="G43" i="12"/>
  <c r="F43" i="12"/>
  <c r="E43" i="12"/>
  <c r="D43" i="12"/>
  <c r="C43" i="12"/>
  <c r="A43" i="12"/>
  <c r="H42" i="12"/>
  <c r="G42" i="12"/>
  <c r="F42" i="12"/>
  <c r="E42" i="12"/>
  <c r="D42" i="12"/>
  <c r="C42" i="12"/>
  <c r="A42" i="12"/>
  <c r="H41" i="12"/>
  <c r="G41" i="12"/>
  <c r="F41" i="12"/>
  <c r="E41" i="12"/>
  <c r="D41" i="12"/>
  <c r="C41" i="12"/>
  <c r="A41" i="12"/>
  <c r="H40" i="12"/>
  <c r="G40" i="12"/>
  <c r="F40" i="12"/>
  <c r="E40" i="12"/>
  <c r="D40" i="12"/>
  <c r="C40" i="12"/>
  <c r="A40" i="12"/>
  <c r="H39" i="12"/>
  <c r="G39" i="12"/>
  <c r="F39" i="12"/>
  <c r="E39" i="12"/>
  <c r="D39" i="12"/>
  <c r="C39" i="12"/>
  <c r="A39" i="12"/>
  <c r="H38" i="12"/>
  <c r="G38" i="12"/>
  <c r="F38" i="12"/>
  <c r="E38" i="12"/>
  <c r="D38" i="12"/>
  <c r="C38" i="12"/>
  <c r="A38" i="12"/>
  <c r="H37" i="12"/>
  <c r="G37" i="12"/>
  <c r="F37" i="12"/>
  <c r="E37" i="12"/>
  <c r="D37" i="12"/>
  <c r="C37" i="12"/>
  <c r="A37" i="12"/>
  <c r="H36" i="12"/>
  <c r="G36" i="12"/>
  <c r="F36" i="12"/>
  <c r="E36" i="12"/>
  <c r="D36" i="12"/>
  <c r="C36" i="12"/>
  <c r="A36" i="12"/>
  <c r="H35" i="12"/>
  <c r="G35" i="12"/>
  <c r="F35" i="12"/>
  <c r="E35" i="12"/>
  <c r="D35" i="12"/>
  <c r="C35" i="12"/>
  <c r="A35" i="12"/>
  <c r="H34" i="12"/>
  <c r="G34" i="12"/>
  <c r="F34" i="12"/>
  <c r="E34" i="12"/>
  <c r="D34" i="12"/>
  <c r="C34" i="12"/>
  <c r="A34" i="12"/>
  <c r="H33" i="12"/>
  <c r="G33" i="12"/>
  <c r="F33" i="12"/>
  <c r="E33" i="12"/>
  <c r="D33" i="12"/>
  <c r="C33" i="12"/>
  <c r="A33" i="12"/>
  <c r="H32" i="12"/>
  <c r="G32" i="12"/>
  <c r="F32" i="12"/>
  <c r="E32" i="12"/>
  <c r="D32" i="12"/>
  <c r="C32" i="12"/>
  <c r="A32" i="12"/>
  <c r="H31" i="12"/>
  <c r="G31" i="12"/>
  <c r="F31" i="12"/>
  <c r="E31" i="12"/>
  <c r="D31" i="12"/>
  <c r="C31" i="12"/>
  <c r="A31" i="12"/>
  <c r="H30" i="12"/>
  <c r="G30" i="12"/>
  <c r="F30" i="12"/>
  <c r="E30" i="12"/>
  <c r="D30" i="12"/>
  <c r="C30" i="12"/>
  <c r="A30" i="12"/>
  <c r="H29" i="12"/>
  <c r="G29" i="12"/>
  <c r="F29" i="12"/>
  <c r="E29" i="12"/>
  <c r="D29" i="12"/>
  <c r="C29" i="12"/>
  <c r="A29" i="12"/>
  <c r="H28" i="12"/>
  <c r="G28" i="12"/>
  <c r="F28" i="12"/>
  <c r="E28" i="12"/>
  <c r="D28" i="12"/>
  <c r="C28" i="12"/>
  <c r="A28" i="12"/>
  <c r="H27" i="12"/>
  <c r="G27" i="12"/>
  <c r="F27" i="12"/>
  <c r="E27" i="12"/>
  <c r="D27" i="12"/>
  <c r="C27" i="12"/>
  <c r="A27" i="12"/>
  <c r="H26" i="12"/>
  <c r="G26" i="12"/>
  <c r="F26" i="12"/>
  <c r="E26" i="12"/>
  <c r="D26" i="12"/>
  <c r="C26" i="12"/>
  <c r="A26" i="12"/>
  <c r="H25" i="12"/>
  <c r="G25" i="12"/>
  <c r="F25" i="12"/>
  <c r="E25" i="12"/>
  <c r="D25" i="12"/>
  <c r="C25" i="12"/>
  <c r="A25" i="12"/>
  <c r="H24" i="12"/>
  <c r="G24" i="12"/>
  <c r="F24" i="12"/>
  <c r="E24" i="12"/>
  <c r="D24" i="12"/>
  <c r="C24" i="12"/>
  <c r="A24" i="12"/>
  <c r="H23" i="12"/>
  <c r="G23" i="12"/>
  <c r="F23" i="12"/>
  <c r="E23" i="12"/>
  <c r="D23" i="12"/>
  <c r="C23" i="12"/>
  <c r="A23" i="12"/>
  <c r="H22" i="12"/>
  <c r="G22" i="12"/>
  <c r="F22" i="12"/>
  <c r="E22" i="12"/>
  <c r="D22" i="12"/>
  <c r="C22" i="12"/>
  <c r="A22" i="12"/>
  <c r="H21" i="12"/>
  <c r="G21" i="12"/>
  <c r="F21" i="12"/>
  <c r="E21" i="12"/>
  <c r="D21" i="12"/>
  <c r="C21" i="12"/>
  <c r="A21" i="12"/>
  <c r="H20" i="12"/>
  <c r="G20" i="12"/>
  <c r="F20" i="12"/>
  <c r="E20" i="12"/>
  <c r="D20" i="12"/>
  <c r="C20" i="12"/>
  <c r="A20" i="12"/>
  <c r="H19" i="12"/>
  <c r="G19" i="12"/>
  <c r="F19" i="12"/>
  <c r="E19" i="12"/>
  <c r="D19" i="12"/>
  <c r="C19" i="12"/>
  <c r="A19" i="12"/>
  <c r="H18" i="12"/>
  <c r="G18" i="12"/>
  <c r="F18" i="12"/>
  <c r="E18" i="12"/>
  <c r="D18" i="12"/>
  <c r="C18" i="12"/>
  <c r="A18" i="12"/>
  <c r="H17" i="12"/>
  <c r="G17" i="12"/>
  <c r="F17" i="12"/>
  <c r="E17" i="12"/>
  <c r="D17" i="12"/>
  <c r="C17" i="12"/>
  <c r="A17" i="12"/>
  <c r="H16" i="12"/>
  <c r="G16" i="12"/>
  <c r="F16" i="12"/>
  <c r="E16" i="12"/>
  <c r="D16" i="12"/>
  <c r="C16" i="12"/>
  <c r="B16" i="12"/>
  <c r="A16" i="12"/>
  <c r="H15" i="12"/>
  <c r="G15" i="12"/>
  <c r="F15" i="12"/>
  <c r="E15" i="12"/>
  <c r="D15" i="12"/>
  <c r="C15" i="12"/>
  <c r="A15" i="12"/>
  <c r="H14" i="12"/>
  <c r="G14" i="12"/>
  <c r="F14" i="12"/>
  <c r="E14" i="12"/>
  <c r="D14" i="12"/>
  <c r="C14" i="12"/>
  <c r="A14" i="12"/>
  <c r="H13" i="12"/>
  <c r="G13" i="12"/>
  <c r="F13" i="12"/>
  <c r="E13" i="12"/>
  <c r="D13" i="12"/>
  <c r="C13" i="12"/>
  <c r="A13" i="12"/>
  <c r="H12" i="12"/>
  <c r="G12" i="12"/>
  <c r="F12" i="12"/>
  <c r="E12" i="12"/>
  <c r="D12" i="12"/>
  <c r="C12" i="12"/>
  <c r="A12" i="12"/>
  <c r="H11" i="12"/>
  <c r="G11" i="12"/>
  <c r="F11" i="12"/>
  <c r="E11" i="12"/>
  <c r="D11" i="12"/>
  <c r="C11" i="12"/>
  <c r="A11" i="12"/>
  <c r="H10" i="12"/>
  <c r="G10" i="12"/>
  <c r="F10" i="12"/>
  <c r="E10" i="12"/>
  <c r="D10" i="12"/>
  <c r="C10" i="12"/>
  <c r="A10" i="12"/>
  <c r="H9" i="12"/>
  <c r="G9" i="12"/>
  <c r="F9" i="12"/>
  <c r="E9" i="12"/>
  <c r="D9" i="12"/>
  <c r="C9" i="12"/>
  <c r="A9" i="12"/>
  <c r="H8" i="12"/>
  <c r="G8" i="12"/>
  <c r="F8" i="12"/>
  <c r="E8" i="12"/>
  <c r="D8" i="12"/>
  <c r="C8" i="12"/>
  <c r="A8" i="12"/>
  <c r="H7" i="12"/>
  <c r="G7" i="12"/>
  <c r="F7" i="12"/>
  <c r="E7" i="12"/>
  <c r="D7" i="12"/>
  <c r="C7" i="12"/>
  <c r="A7" i="12"/>
  <c r="H6" i="12"/>
  <c r="G6" i="12"/>
  <c r="F6" i="12"/>
  <c r="E6" i="12"/>
  <c r="D6" i="12"/>
  <c r="C6" i="12"/>
  <c r="A6" i="12"/>
  <c r="H5" i="12"/>
  <c r="G5" i="12"/>
  <c r="F5" i="12"/>
  <c r="E5" i="12"/>
  <c r="D5" i="12"/>
  <c r="C5" i="12"/>
  <c r="A5" i="12"/>
  <c r="H4" i="12"/>
  <c r="G4" i="12"/>
  <c r="F4" i="12"/>
  <c r="E4" i="12"/>
  <c r="D4" i="12"/>
  <c r="C4" i="12"/>
  <c r="A4" i="12"/>
  <c r="H3" i="12"/>
  <c r="G3" i="12"/>
  <c r="F3" i="12"/>
  <c r="E3" i="12"/>
  <c r="D3" i="12"/>
  <c r="C3" i="12"/>
  <c r="A3" i="12"/>
  <c r="H2" i="12"/>
  <c r="G2" i="12"/>
  <c r="F2" i="12"/>
  <c r="E2" i="12"/>
  <c r="D2" i="12"/>
  <c r="C2" i="12"/>
  <c r="A2" i="12"/>
  <c r="H1" i="12"/>
  <c r="G1" i="12"/>
  <c r="F1" i="12"/>
  <c r="E1" i="12"/>
  <c r="D1" i="12"/>
  <c r="C1" i="12"/>
  <c r="B1" i="12"/>
  <c r="A1" i="12"/>
  <c r="E406" i="7" a="1"/>
  <c r="E406" i="7" s="1"/>
  <c r="E405" i="7" a="1"/>
  <c r="E405" i="7" s="1"/>
  <c r="E404" i="7" a="1"/>
  <c r="E404" i="7" s="1"/>
  <c r="E403" i="7" a="1"/>
  <c r="E403" i="7" s="1"/>
  <c r="E402" i="7" a="1"/>
  <c r="E402" i="7" s="1"/>
  <c r="E401" i="7" a="1"/>
  <c r="E401" i="7" s="1"/>
  <c r="E400" i="7" a="1"/>
  <c r="E400" i="7" s="1"/>
  <c r="E399" i="7" a="1"/>
  <c r="E399" i="7" s="1"/>
  <c r="E398" i="7" a="1"/>
  <c r="E398" i="7" s="1"/>
  <c r="E397" i="7" a="1"/>
  <c r="E397" i="7" s="1"/>
  <c r="E396" i="7" a="1"/>
  <c r="E396" i="7" s="1"/>
  <c r="E395" i="7" a="1"/>
  <c r="E395" i="7" s="1"/>
  <c r="E394" i="7" a="1"/>
  <c r="E394" i="7" s="1"/>
  <c r="E393" i="7" a="1"/>
  <c r="E393" i="7" s="1"/>
  <c r="E392" i="7" a="1"/>
  <c r="E392" i="7" s="1"/>
  <c r="E391" i="7" a="1"/>
  <c r="E391" i="7" s="1"/>
  <c r="E390" i="7" a="1"/>
  <c r="E390" i="7" s="1"/>
  <c r="E389" i="7" a="1"/>
  <c r="E389" i="7" s="1"/>
  <c r="E388" i="7" a="1"/>
  <c r="E388" i="7" s="1"/>
  <c r="E387" i="7" a="1"/>
  <c r="E387" i="7" s="1"/>
  <c r="E386" i="7" a="1"/>
  <c r="E386" i="7" s="1"/>
  <c r="E385" i="7" a="1"/>
  <c r="E385" i="7" s="1"/>
  <c r="E384" i="7" a="1"/>
  <c r="E384" i="7" s="1"/>
  <c r="E383" i="7" a="1"/>
  <c r="E383" i="7" s="1"/>
  <c r="E382" i="7" a="1"/>
  <c r="E382" i="7" s="1"/>
  <c r="E381" i="7" a="1"/>
  <c r="E381" i="7" s="1"/>
  <c r="E380" i="7" a="1"/>
  <c r="E380" i="7" s="1"/>
  <c r="E379" i="7" a="1"/>
  <c r="E379" i="7" s="1"/>
  <c r="E378" i="7" a="1"/>
  <c r="E378" i="7" s="1"/>
  <c r="E377" i="7" a="1"/>
  <c r="E377" i="7" s="1"/>
  <c r="E376" i="7" a="1"/>
  <c r="E376" i="7" s="1"/>
  <c r="E375" i="7" a="1"/>
  <c r="E375" i="7" s="1"/>
  <c r="E374" i="7" a="1"/>
  <c r="E374" i="7" s="1"/>
  <c r="E373" i="7" a="1"/>
  <c r="E373" i="7" s="1"/>
  <c r="E372" i="7" a="1"/>
  <c r="E372" i="7" s="1"/>
  <c r="E371" i="7" a="1"/>
  <c r="E371" i="7" s="1"/>
  <c r="E370" i="7" a="1"/>
  <c r="E370" i="7" s="1"/>
  <c r="E369" i="7" a="1"/>
  <c r="E369" i="7" s="1"/>
  <c r="E368" i="7" a="1"/>
  <c r="E368" i="7" s="1"/>
  <c r="E367" i="7" a="1"/>
  <c r="E367" i="7" s="1"/>
  <c r="E366" i="7" a="1"/>
  <c r="E366" i="7" s="1"/>
  <c r="E365" i="7" a="1"/>
  <c r="E365" i="7" s="1"/>
  <c r="E364" i="7" a="1"/>
  <c r="E364" i="7" s="1"/>
  <c r="E363" i="7" a="1"/>
  <c r="E363" i="7" s="1"/>
  <c r="E362" i="7" a="1"/>
  <c r="E362" i="7" s="1"/>
  <c r="E361" i="7" a="1"/>
  <c r="E361" i="7" s="1"/>
  <c r="E360" i="7" a="1"/>
  <c r="E360" i="7" s="1"/>
  <c r="E359" i="7" a="1"/>
  <c r="E359" i="7" s="1"/>
  <c r="E358" i="7" a="1"/>
  <c r="E358" i="7" s="1"/>
  <c r="E357" i="7" a="1"/>
  <c r="E357" i="7" s="1"/>
  <c r="E356" i="7" a="1"/>
  <c r="E356" i="7" s="1"/>
  <c r="E355" i="7" a="1"/>
  <c r="E355" i="7" s="1"/>
  <c r="E354" i="7" a="1"/>
  <c r="E354" i="7" s="1"/>
  <c r="E353" i="7" a="1"/>
  <c r="E353" i="7" s="1"/>
  <c r="E352" i="7" a="1"/>
  <c r="E352" i="7" s="1"/>
  <c r="E351" i="7" a="1"/>
  <c r="E351" i="7" s="1"/>
  <c r="E350" i="7" a="1"/>
  <c r="E350" i="7" s="1"/>
  <c r="E349" i="7" a="1"/>
  <c r="E349" i="7" s="1"/>
  <c r="E348" i="7" a="1"/>
  <c r="E348" i="7" s="1"/>
  <c r="E347" i="7" a="1"/>
  <c r="E347" i="7" s="1"/>
  <c r="E346" i="7" a="1"/>
  <c r="E346" i="7" s="1"/>
  <c r="E345" i="7" a="1"/>
  <c r="E345" i="7" s="1"/>
  <c r="E344" i="7" a="1"/>
  <c r="E344" i="7" s="1"/>
  <c r="E343" i="7" a="1"/>
  <c r="E343" i="7" s="1"/>
  <c r="E342" i="7" a="1"/>
  <c r="E342" i="7" s="1"/>
  <c r="E341" i="7" a="1"/>
  <c r="E341" i="7" s="1"/>
  <c r="E340" i="7" a="1"/>
  <c r="E340" i="7" s="1"/>
  <c r="E339" i="7" a="1"/>
  <c r="E339" i="7" s="1"/>
  <c r="E338" i="7" a="1"/>
  <c r="E338" i="7" s="1"/>
  <c r="E337" i="7" a="1"/>
  <c r="E337" i="7" s="1"/>
  <c r="E336" i="7" a="1"/>
  <c r="E336" i="7" s="1"/>
  <c r="E335" i="7" a="1"/>
  <c r="E335" i="7" s="1"/>
  <c r="E334" i="7" a="1"/>
  <c r="E334" i="7" s="1"/>
  <c r="E333" i="7" a="1"/>
  <c r="E333" i="7" s="1"/>
  <c r="E332" i="7" a="1"/>
  <c r="E332" i="7" s="1"/>
  <c r="E331" i="7" a="1"/>
  <c r="E331" i="7" s="1"/>
  <c r="E330" i="7" a="1"/>
  <c r="E330" i="7" s="1"/>
  <c r="E329" i="7" a="1"/>
  <c r="E329" i="7" s="1"/>
  <c r="E328" i="7" a="1"/>
  <c r="E328" i="7" s="1"/>
  <c r="E327" i="7" a="1"/>
  <c r="E327" i="7" s="1"/>
  <c r="E326" i="7" a="1"/>
  <c r="E326" i="7" s="1"/>
  <c r="E325" i="7" a="1"/>
  <c r="E325" i="7" s="1"/>
  <c r="E324" i="7" a="1"/>
  <c r="E324" i="7" s="1"/>
  <c r="E323" i="7" a="1"/>
  <c r="E323" i="7" s="1"/>
  <c r="E322" i="7" a="1"/>
  <c r="E322" i="7" s="1"/>
  <c r="E321" i="7" a="1"/>
  <c r="E321" i="7" s="1"/>
  <c r="E320" i="7" a="1"/>
  <c r="E320" i="7" s="1"/>
  <c r="E319" i="7" a="1"/>
  <c r="E319" i="7" s="1"/>
  <c r="E318" i="7" a="1"/>
  <c r="E318" i="7" s="1"/>
  <c r="E317" i="7" a="1"/>
  <c r="E317" i="7" s="1"/>
  <c r="E316" i="7" a="1"/>
  <c r="E316" i="7" s="1"/>
  <c r="E315" i="7" a="1"/>
  <c r="E315" i="7" s="1"/>
  <c r="E314" i="7" a="1"/>
  <c r="E314" i="7" s="1"/>
  <c r="E313" i="7" a="1"/>
  <c r="E313" i="7" s="1"/>
  <c r="E312" i="7" a="1"/>
  <c r="E312" i="7" s="1"/>
  <c r="E311" i="7" a="1"/>
  <c r="E311" i="7" s="1"/>
  <c r="E310" i="7" a="1"/>
  <c r="E310" i="7" s="1"/>
  <c r="E309" i="7" a="1"/>
  <c r="E309" i="7" s="1"/>
  <c r="E308" i="7" a="1"/>
  <c r="E308" i="7" s="1"/>
  <c r="E307" i="7" a="1"/>
  <c r="E307" i="7" s="1"/>
  <c r="E306" i="7" a="1"/>
  <c r="E306" i="7" s="1"/>
  <c r="E305" i="7" a="1"/>
  <c r="E305" i="7" s="1"/>
  <c r="E304" i="7" a="1"/>
  <c r="E304" i="7" s="1"/>
  <c r="E303" i="7" a="1"/>
  <c r="E303" i="7" s="1"/>
  <c r="E302" i="7" a="1"/>
  <c r="E302" i="7" s="1"/>
  <c r="E301" i="7" a="1"/>
  <c r="E301" i="7" s="1"/>
  <c r="E300" i="7" a="1"/>
  <c r="E300" i="7" s="1"/>
  <c r="E299" i="7" a="1"/>
  <c r="E299" i="7" s="1"/>
  <c r="E298" i="7" a="1"/>
  <c r="E298" i="7" s="1"/>
  <c r="E297" i="7" a="1"/>
  <c r="E297" i="7" s="1"/>
  <c r="E296" i="7" a="1"/>
  <c r="E296" i="7" s="1"/>
  <c r="E295" i="7" a="1"/>
  <c r="E295" i="7" s="1"/>
  <c r="E294" i="7" a="1"/>
  <c r="E294" i="7" s="1"/>
  <c r="E293" i="7" a="1"/>
  <c r="E293" i="7" s="1"/>
  <c r="E292" i="7" a="1"/>
  <c r="E292" i="7" s="1"/>
  <c r="E291" i="7" a="1"/>
  <c r="E291" i="7" s="1"/>
  <c r="E290" i="7" a="1"/>
  <c r="E290" i="7" s="1"/>
  <c r="E289" i="7" a="1"/>
  <c r="E289" i="7" s="1"/>
  <c r="E288" i="7" a="1"/>
  <c r="E288" i="7" s="1"/>
  <c r="E287" i="7" a="1"/>
  <c r="E287" i="7" s="1"/>
  <c r="E286" i="7" a="1"/>
  <c r="E286" i="7" s="1"/>
  <c r="E285" i="7" a="1"/>
  <c r="E285" i="7" s="1"/>
  <c r="E284" i="7" a="1"/>
  <c r="E284" i="7" s="1"/>
  <c r="E283" i="7" a="1"/>
  <c r="E283" i="7" s="1"/>
  <c r="E282" i="7" a="1"/>
  <c r="E282" i="7" s="1"/>
  <c r="E281" i="7" a="1"/>
  <c r="E281" i="7" s="1"/>
  <c r="E280" i="7" a="1"/>
  <c r="E280" i="7" s="1"/>
  <c r="E279" i="7" a="1"/>
  <c r="E279" i="7" s="1"/>
  <c r="E278" i="7" a="1"/>
  <c r="E278" i="7" s="1"/>
  <c r="E277" i="7" a="1"/>
  <c r="E277" i="7" s="1"/>
  <c r="E276" i="7" a="1"/>
  <c r="E276" i="7" s="1"/>
  <c r="E275" i="7" a="1"/>
  <c r="E275" i="7" s="1"/>
  <c r="E274" i="7" a="1"/>
  <c r="E274" i="7" s="1"/>
  <c r="E273" i="7" a="1"/>
  <c r="E273" i="7" s="1"/>
  <c r="E272" i="7" a="1"/>
  <c r="E272" i="7" s="1"/>
  <c r="E271" i="7" a="1"/>
  <c r="E271" i="7" s="1"/>
  <c r="E270" i="7" a="1"/>
  <c r="E270" i="7" s="1"/>
  <c r="E269" i="7" a="1"/>
  <c r="E269" i="7" s="1"/>
  <c r="E268" i="7" a="1"/>
  <c r="E268" i="7" s="1"/>
  <c r="E267" i="7" a="1"/>
  <c r="E267" i="7" s="1"/>
  <c r="E266" i="7" a="1"/>
  <c r="E266" i="7" s="1"/>
  <c r="E265" i="7" a="1"/>
  <c r="E265" i="7" s="1"/>
  <c r="E264" i="7" a="1"/>
  <c r="E264" i="7" s="1"/>
  <c r="E263" i="7" a="1"/>
  <c r="E263" i="7" s="1"/>
  <c r="E262" i="7" a="1"/>
  <c r="E262" i="7" s="1"/>
  <c r="E261" i="7" a="1"/>
  <c r="E261" i="7" s="1"/>
  <c r="E260" i="7" a="1"/>
  <c r="E260" i="7" s="1"/>
  <c r="E259" i="7" a="1"/>
  <c r="E259" i="7" s="1"/>
  <c r="E258" i="7" a="1"/>
  <c r="E258" i="7" s="1"/>
  <c r="E257" i="7" a="1"/>
  <c r="E257" i="7" s="1"/>
  <c r="E256" i="7" a="1"/>
  <c r="E256" i="7" s="1"/>
  <c r="E255" i="7" a="1"/>
  <c r="E255" i="7" s="1"/>
  <c r="E254" i="7" a="1"/>
  <c r="E254" i="7" s="1"/>
  <c r="E253" i="7" a="1"/>
  <c r="E253" i="7" s="1"/>
  <c r="E252" i="7" a="1"/>
  <c r="E252" i="7" s="1"/>
  <c r="E251" i="7" a="1"/>
  <c r="E251" i="7" s="1"/>
  <c r="E250" i="7" a="1"/>
  <c r="E250" i="7" s="1"/>
  <c r="E249" i="7" a="1"/>
  <c r="E249" i="7" s="1"/>
  <c r="E248" i="7" a="1"/>
  <c r="E248" i="7" s="1"/>
  <c r="E247" i="7" a="1"/>
  <c r="E247" i="7" s="1"/>
  <c r="E246" i="7" a="1"/>
  <c r="E246" i="7" s="1"/>
  <c r="E245" i="7" a="1"/>
  <c r="E245" i="7" s="1"/>
  <c r="E244" i="7" a="1"/>
  <c r="E244" i="7" s="1"/>
  <c r="E243" i="7" a="1"/>
  <c r="E243" i="7" s="1"/>
  <c r="E242" i="7" a="1"/>
  <c r="E242" i="7" s="1"/>
  <c r="E241" i="7" a="1"/>
  <c r="E241" i="7" s="1"/>
  <c r="E240" i="7" a="1"/>
  <c r="E240" i="7" s="1"/>
  <c r="E239" i="7" a="1"/>
  <c r="E239" i="7" s="1"/>
  <c r="E238" i="7" a="1"/>
  <c r="E238" i="7" s="1"/>
  <c r="E237" i="7" a="1"/>
  <c r="E237" i="7" s="1"/>
  <c r="E236" i="7" a="1"/>
  <c r="E236" i="7" s="1"/>
  <c r="E235" i="7" a="1"/>
  <c r="E235" i="7" s="1"/>
  <c r="E234" i="7" a="1"/>
  <c r="E234" i="7" s="1"/>
  <c r="E233" i="7" a="1"/>
  <c r="E233" i="7" s="1"/>
  <c r="E232" i="7" a="1"/>
  <c r="E232" i="7" s="1"/>
  <c r="E231" i="7" a="1"/>
  <c r="E231" i="7" s="1"/>
  <c r="E230" i="7" a="1"/>
  <c r="E230" i="7" s="1"/>
  <c r="E229" i="7" a="1"/>
  <c r="E229" i="7" s="1"/>
  <c r="E228" i="7" a="1"/>
  <c r="E228" i="7" s="1"/>
  <c r="E227" i="7" a="1"/>
  <c r="E227" i="7" s="1"/>
  <c r="E226" i="7" a="1"/>
  <c r="E226" i="7" s="1"/>
  <c r="E225" i="7" a="1"/>
  <c r="E225" i="7" s="1"/>
  <c r="E224" i="7" a="1"/>
  <c r="E224" i="7" s="1"/>
  <c r="E223" i="7" a="1"/>
  <c r="E223" i="7" s="1"/>
  <c r="E222" i="7" a="1"/>
  <c r="E222" i="7" s="1"/>
  <c r="E221" i="7" a="1"/>
  <c r="E221" i="7" s="1"/>
  <c r="E220" i="7" a="1"/>
  <c r="E220" i="7" s="1"/>
  <c r="E219" i="7" a="1"/>
  <c r="E219" i="7" s="1"/>
  <c r="E218" i="7" a="1"/>
  <c r="E218" i="7" s="1"/>
  <c r="E217" i="7" a="1"/>
  <c r="E217" i="7" s="1"/>
  <c r="E216" i="7" a="1"/>
  <c r="E216" i="7" s="1"/>
  <c r="E215" i="7" a="1"/>
  <c r="E215" i="7" s="1"/>
  <c r="E214" i="7" a="1"/>
  <c r="E214" i="7" s="1"/>
  <c r="E213" i="7" a="1"/>
  <c r="E213" i="7" s="1"/>
  <c r="E212" i="7" a="1"/>
  <c r="E212" i="7" s="1"/>
  <c r="E211" i="7" a="1"/>
  <c r="E211" i="7" s="1"/>
  <c r="E210" i="7" a="1"/>
  <c r="E210" i="7" s="1"/>
  <c r="E209" i="7" a="1"/>
  <c r="E209" i="7" s="1"/>
  <c r="E208" i="7" a="1"/>
  <c r="E208" i="7" s="1"/>
  <c r="E207" i="7" a="1"/>
  <c r="E207" i="7" s="1"/>
  <c r="E206" i="7" a="1"/>
  <c r="E206" i="7" s="1"/>
  <c r="E205" i="7" a="1"/>
  <c r="E205" i="7" s="1"/>
  <c r="E204" i="7" a="1"/>
  <c r="E204" i="7" s="1"/>
  <c r="E203" i="7" a="1"/>
  <c r="E203" i="7" s="1"/>
  <c r="E202" i="7" a="1"/>
  <c r="E202" i="7" s="1"/>
  <c r="E201" i="7" a="1"/>
  <c r="E201" i="7" s="1"/>
  <c r="E200" i="7" a="1"/>
  <c r="E200" i="7" s="1"/>
  <c r="E199" i="7" a="1"/>
  <c r="E199" i="7" s="1"/>
  <c r="E198" i="7" a="1"/>
  <c r="E198" i="7" s="1"/>
  <c r="E197" i="7" a="1"/>
  <c r="E197" i="7" s="1"/>
  <c r="E196" i="7" a="1"/>
  <c r="E196" i="7" s="1"/>
  <c r="E195" i="7" a="1"/>
  <c r="E195" i="7" s="1"/>
  <c r="E194" i="7" a="1"/>
  <c r="E194" i="7" s="1"/>
  <c r="E193" i="7" a="1"/>
  <c r="E193" i="7" s="1"/>
  <c r="E192" i="7" a="1"/>
  <c r="E192" i="7" s="1"/>
  <c r="E191" i="7" a="1"/>
  <c r="E191" i="7" s="1"/>
  <c r="E190" i="7" a="1"/>
  <c r="E190" i="7" s="1"/>
  <c r="E189" i="7" a="1"/>
  <c r="E189" i="7" s="1"/>
  <c r="E188" i="7" a="1"/>
  <c r="E188" i="7" s="1"/>
  <c r="E187" i="7" a="1"/>
  <c r="E187" i="7" s="1"/>
  <c r="E186" i="7" a="1"/>
  <c r="E186" i="7" s="1"/>
  <c r="E185" i="7" a="1"/>
  <c r="E185" i="7" s="1"/>
  <c r="E184" i="7" a="1"/>
  <c r="E184" i="7" s="1"/>
  <c r="E183" i="7" a="1"/>
  <c r="E183" i="7" s="1"/>
  <c r="E182" i="7" a="1"/>
  <c r="E182" i="7" s="1"/>
  <c r="E181" i="7" a="1"/>
  <c r="E181" i="7" s="1"/>
  <c r="E180" i="7" a="1"/>
  <c r="E180" i="7" s="1"/>
  <c r="E179" i="7" a="1"/>
  <c r="E179" i="7" s="1"/>
  <c r="E178" i="7" a="1"/>
  <c r="E178" i="7" s="1"/>
  <c r="E177" i="7" a="1"/>
  <c r="E177" i="7" s="1"/>
  <c r="E176" i="7" a="1"/>
  <c r="E176" i="7" s="1"/>
  <c r="E175" i="7" a="1"/>
  <c r="E175" i="7" s="1"/>
  <c r="E174" i="7" a="1"/>
  <c r="E174" i="7" s="1"/>
  <c r="E173" i="7" a="1"/>
  <c r="E173" i="7" s="1"/>
  <c r="E172" i="7" a="1"/>
  <c r="E172" i="7" s="1"/>
  <c r="E171" i="7" a="1"/>
  <c r="E171" i="7" s="1"/>
  <c r="E170" i="7" a="1"/>
  <c r="E170" i="7" s="1"/>
  <c r="E169" i="7" a="1"/>
  <c r="E169" i="7" s="1"/>
  <c r="E168" i="7" a="1"/>
  <c r="E168" i="7" s="1"/>
  <c r="E167" i="7" a="1"/>
  <c r="E167" i="7" s="1"/>
  <c r="E166" i="7" a="1"/>
  <c r="E166" i="7" s="1"/>
  <c r="E165" i="7" a="1"/>
  <c r="E165" i="7" s="1"/>
  <c r="E164" i="7" a="1"/>
  <c r="E164" i="7" s="1"/>
  <c r="E163" i="7" a="1"/>
  <c r="E163" i="7" s="1"/>
  <c r="E162" i="7" a="1"/>
  <c r="E162" i="7" s="1"/>
  <c r="E161" i="7" a="1"/>
  <c r="E161" i="7" s="1"/>
  <c r="E160" i="7" a="1"/>
  <c r="E160" i="7" s="1"/>
  <c r="E159" i="7" a="1"/>
  <c r="E159" i="7" s="1"/>
  <c r="E158" i="7" a="1"/>
  <c r="E158" i="7" s="1"/>
  <c r="E157" i="7" a="1"/>
  <c r="E157" i="7" s="1"/>
  <c r="E156" i="7" a="1"/>
  <c r="E156" i="7" s="1"/>
  <c r="E155" i="7" a="1"/>
  <c r="E155" i="7" s="1"/>
  <c r="E154" i="7" a="1"/>
  <c r="E154" i="7" s="1"/>
  <c r="E153" i="7" a="1"/>
  <c r="E153" i="7" s="1"/>
  <c r="E152" i="7" a="1"/>
  <c r="E152" i="7" s="1"/>
  <c r="E151" i="7" a="1"/>
  <c r="E151" i="7" s="1"/>
  <c r="E150" i="7" a="1"/>
  <c r="E150" i="7" s="1"/>
  <c r="E149" i="7" a="1"/>
  <c r="E149" i="7" s="1"/>
  <c r="E148" i="7" a="1"/>
  <c r="E148" i="7" s="1"/>
  <c r="E147" i="7" a="1"/>
  <c r="E147" i="7" s="1"/>
  <c r="E146" i="7" a="1"/>
  <c r="E146" i="7" s="1"/>
  <c r="E145" i="7" a="1"/>
  <c r="E145" i="7" s="1"/>
  <c r="E144" i="7" a="1"/>
  <c r="E144" i="7" s="1"/>
  <c r="E143" i="7" a="1"/>
  <c r="E143" i="7" s="1"/>
  <c r="E142" i="7" a="1"/>
  <c r="E142" i="7" s="1"/>
  <c r="E141" i="7" a="1"/>
  <c r="E141" i="7" s="1"/>
  <c r="E140" i="7" a="1"/>
  <c r="E140" i="7" s="1"/>
  <c r="E139" i="7" a="1"/>
  <c r="E139" i="7" s="1"/>
  <c r="E138" i="7" a="1"/>
  <c r="E138" i="7" s="1"/>
  <c r="E137" i="7" a="1"/>
  <c r="E137" i="7" s="1"/>
  <c r="E136" i="7" a="1"/>
  <c r="E136" i="7" s="1"/>
  <c r="E135" i="7" a="1"/>
  <c r="E135" i="7" s="1"/>
  <c r="E134" i="7" a="1"/>
  <c r="E134" i="7" s="1"/>
  <c r="E133" i="7" a="1"/>
  <c r="E133" i="7" s="1"/>
  <c r="E132" i="7" a="1"/>
  <c r="E132" i="7" s="1"/>
  <c r="E131" i="7" a="1"/>
  <c r="E131" i="7" s="1"/>
  <c r="E130" i="7" a="1"/>
  <c r="E130" i="7" s="1"/>
  <c r="E129" i="7" a="1"/>
  <c r="E129" i="7" s="1"/>
  <c r="E128" i="7" a="1"/>
  <c r="E128" i="7" s="1"/>
  <c r="E127" i="7" a="1"/>
  <c r="E127" i="7" s="1"/>
  <c r="E126" i="7" a="1"/>
  <c r="E126" i="7" s="1"/>
  <c r="E125" i="7" a="1"/>
  <c r="E125" i="7" s="1"/>
  <c r="E124" i="7" a="1"/>
  <c r="E124" i="7" s="1"/>
  <c r="E123" i="7" a="1"/>
  <c r="E123" i="7" s="1"/>
  <c r="E122" i="7" a="1"/>
  <c r="E122" i="7" s="1"/>
  <c r="E121" i="7" a="1"/>
  <c r="E121" i="7" s="1"/>
  <c r="E120" i="7" a="1"/>
  <c r="E120" i="7" s="1"/>
  <c r="E119" i="7" a="1"/>
  <c r="E119" i="7" s="1"/>
  <c r="E118" i="7" a="1"/>
  <c r="E118" i="7" s="1"/>
  <c r="E117" i="7" a="1"/>
  <c r="E117" i="7" s="1"/>
  <c r="E116" i="7" a="1"/>
  <c r="E116" i="7" s="1"/>
  <c r="E115" i="7" a="1"/>
  <c r="E115" i="7" s="1"/>
  <c r="E114" i="7" a="1"/>
  <c r="E114" i="7" s="1"/>
  <c r="E113" i="7" a="1"/>
  <c r="E113" i="7" s="1"/>
  <c r="E112" i="7" a="1"/>
  <c r="E112" i="7" s="1"/>
  <c r="E111" i="7" a="1"/>
  <c r="E111" i="7" s="1"/>
  <c r="E110" i="7" a="1"/>
  <c r="E110" i="7" s="1"/>
  <c r="E109" i="7" a="1"/>
  <c r="E109" i="7" s="1"/>
  <c r="E108" i="7" a="1"/>
  <c r="E108" i="7" s="1"/>
  <c r="E107" i="7" a="1"/>
  <c r="E107" i="7" s="1"/>
  <c r="E106" i="7" a="1"/>
  <c r="E106" i="7" s="1"/>
  <c r="E105" i="7" a="1"/>
  <c r="E105" i="7" s="1"/>
  <c r="E104" i="7" a="1"/>
  <c r="E104" i="7" s="1"/>
  <c r="E103" i="7" a="1"/>
  <c r="E103" i="7" s="1"/>
  <c r="E102" i="7" a="1"/>
  <c r="E102" i="7" s="1"/>
  <c r="E101" i="7" a="1"/>
  <c r="E101" i="7" s="1"/>
  <c r="E100" i="7" a="1"/>
  <c r="E100" i="7" s="1"/>
  <c r="E99" i="7" a="1"/>
  <c r="E99" i="7" s="1"/>
  <c r="E98" i="7" a="1"/>
  <c r="E98" i="7" s="1"/>
  <c r="E97" i="7" a="1"/>
  <c r="E97" i="7" s="1"/>
  <c r="E96" i="7" a="1"/>
  <c r="E96" i="7" s="1"/>
  <c r="E95" i="7" a="1"/>
  <c r="E95" i="7" s="1"/>
  <c r="E94" i="7" a="1"/>
  <c r="E94" i="7" s="1"/>
  <c r="E93" i="7" a="1"/>
  <c r="E93" i="7" s="1"/>
  <c r="E92" i="7" a="1"/>
  <c r="E92" i="7" s="1"/>
  <c r="E91" i="7" a="1"/>
  <c r="E91" i="7" s="1"/>
  <c r="E90" i="7" a="1"/>
  <c r="E90" i="7" s="1"/>
  <c r="E89" i="7" a="1"/>
  <c r="E89" i="7" s="1"/>
  <c r="E88" i="7" a="1"/>
  <c r="E88" i="7" s="1"/>
  <c r="E87" i="7" a="1"/>
  <c r="E87" i="7" s="1"/>
  <c r="E86" i="7" a="1"/>
  <c r="E86" i="7" s="1"/>
  <c r="E85" i="7" a="1"/>
  <c r="E85" i="7" s="1"/>
  <c r="E84" i="7" a="1"/>
  <c r="E84" i="7" s="1"/>
  <c r="E83" i="7" a="1"/>
  <c r="E83" i="7" s="1"/>
  <c r="E82" i="7" a="1"/>
  <c r="E82" i="7" s="1"/>
  <c r="E81" i="7" a="1"/>
  <c r="E81" i="7" s="1"/>
  <c r="E80" i="7" a="1"/>
  <c r="F80" i="7" s="1"/>
  <c r="E79" i="7" a="1"/>
  <c r="E78" i="7" a="1"/>
  <c r="E77" i="7" a="1"/>
  <c r="F77" i="7" s="1"/>
  <c r="E76" i="7" a="1"/>
  <c r="E75" i="7" a="1"/>
  <c r="E74" i="7" a="1"/>
  <c r="K74" i="7" s="1"/>
  <c r="E73" i="7" a="1"/>
  <c r="J73" i="7" s="1"/>
  <c r="E72" i="7" a="1"/>
  <c r="H72" i="7" s="1"/>
  <c r="E71" i="7" a="1"/>
  <c r="I71" i="7" s="1"/>
  <c r="E70" i="7" a="1"/>
  <c r="E69" i="7" a="1"/>
  <c r="P69" i="7" s="1"/>
  <c r="E68" i="7" a="1"/>
  <c r="E67" i="7" a="1"/>
  <c r="N67" i="7" s="1"/>
  <c r="E66" i="7" a="1"/>
  <c r="P66" i="7" s="1"/>
  <c r="E65" i="7" a="1"/>
  <c r="N65" i="7" s="1"/>
  <c r="E64" i="7" a="1"/>
  <c r="U64" i="7" s="1"/>
  <c r="E63" i="7" a="1"/>
  <c r="S63" i="7" s="1"/>
  <c r="E62" i="7" a="1"/>
  <c r="X62" i="7" s="1"/>
  <c r="E61" i="7" a="1"/>
  <c r="E60" i="7" a="1"/>
  <c r="Y60" i="7" s="1"/>
  <c r="E59" i="7" a="1"/>
  <c r="E58" i="7" a="1"/>
  <c r="U58" i="7" s="1"/>
  <c r="E57" i="7" a="1"/>
  <c r="E57" i="7" s="1"/>
  <c r="E56" i="7" a="1"/>
  <c r="X56" i="7" s="1"/>
  <c r="E55" i="7" a="1"/>
  <c r="O55" i="7" s="1"/>
  <c r="E54" i="7" a="1"/>
  <c r="V54" i="7" s="1"/>
  <c r="E53" i="7" a="1"/>
  <c r="AG53" i="7" s="1"/>
  <c r="E52" i="7" a="1"/>
  <c r="P52" i="7" s="1"/>
  <c r="E51" i="7" a="1"/>
  <c r="AA51" i="7" s="1"/>
  <c r="E50" i="7" a="1"/>
  <c r="Q50" i="7" s="1"/>
  <c r="E49" i="7" a="1"/>
  <c r="E49" i="7" s="1"/>
  <c r="E48" i="7" a="1"/>
  <c r="E47" i="7" a="1"/>
  <c r="Q47" i="7" s="1"/>
  <c r="E46" i="7" a="1"/>
  <c r="E45" i="7" a="1"/>
  <c r="AG45" i="7" s="1"/>
  <c r="E44" i="7" a="1"/>
  <c r="AL44" i="7" s="1"/>
  <c r="E43" i="7" a="1"/>
  <c r="AE43" i="7" s="1"/>
  <c r="E42" i="7" a="1"/>
  <c r="AJ42" i="7" s="1"/>
  <c r="E42" i="7"/>
  <c r="E41" i="7" a="1"/>
  <c r="AH41" i="7" s="1"/>
  <c r="E40" i="7" a="1"/>
  <c r="AF40" i="7" s="1"/>
  <c r="E39" i="7" a="1"/>
  <c r="E38" i="7" a="1"/>
  <c r="AW38" i="7" s="1"/>
  <c r="E37" i="7" a="1"/>
  <c r="AS37" i="7" s="1"/>
  <c r="E36" i="7" a="1"/>
  <c r="J36" i="7" s="1"/>
  <c r="E35" i="7" a="1"/>
  <c r="E35" i="7" s="1"/>
  <c r="E34" i="7" a="1"/>
  <c r="E33" i="7" a="1"/>
  <c r="AT33" i="7" s="1"/>
  <c r="E32" i="7" a="1"/>
  <c r="AL32" i="7" s="1"/>
  <c r="E31" i="7" a="1"/>
  <c r="AP31" i="7" s="1"/>
  <c r="E30" i="7" a="1"/>
  <c r="AP30" i="7" s="1"/>
  <c r="E29" i="7" a="1"/>
  <c r="BC29" i="7" s="1"/>
  <c r="E28" i="7" a="1"/>
  <c r="AB28" i="7" s="1"/>
  <c r="E27" i="7" a="1"/>
  <c r="AX27" i="7" s="1"/>
  <c r="E26" i="7" a="1"/>
  <c r="BB26" i="7" s="1"/>
  <c r="E25" i="7" a="1"/>
  <c r="AX25" i="7" s="1"/>
  <c r="E24" i="7" a="1"/>
  <c r="V24" i="7" s="1"/>
  <c r="E23" i="7" a="1"/>
  <c r="BH23" i="7" s="1"/>
  <c r="E22" i="7" a="1"/>
  <c r="AX22" i="7" s="1"/>
  <c r="E21" i="7" a="1"/>
  <c r="BM21" i="7" s="1"/>
  <c r="E20" i="7" a="1"/>
  <c r="BF20" i="7" s="1"/>
  <c r="E19" i="7" a="1"/>
  <c r="BF19" i="7" s="1"/>
  <c r="E18" i="7" a="1"/>
  <c r="BO18" i="7" s="1"/>
  <c r="E17" i="7" a="1"/>
  <c r="BN17" i="7" s="1"/>
  <c r="E16" i="7" a="1"/>
  <c r="AB16" i="7" s="1"/>
  <c r="E15" i="7" a="1"/>
  <c r="AM15" i="7" s="1"/>
  <c r="E14" i="7" a="1"/>
  <c r="BN14" i="7" s="1"/>
  <c r="E13" i="7" a="1"/>
  <c r="BQ13" i="7" s="1"/>
  <c r="E12" i="7" a="1"/>
  <c r="E11" i="7" a="1"/>
  <c r="BW11" i="7" s="1"/>
  <c r="E10" i="7" a="1"/>
  <c r="AV10" i="7" s="1"/>
  <c r="E9" i="7" a="1"/>
  <c r="BK9" i="7" s="1"/>
  <c r="E8" i="7" a="1"/>
  <c r="AV8" i="7" s="1"/>
  <c r="E7" i="7" a="1"/>
  <c r="BY7" i="7" s="1"/>
  <c r="E6" i="7" a="1"/>
  <c r="I6" i="7" s="1"/>
  <c r="E5" i="7" a="1"/>
  <c r="E4" i="7" a="1"/>
  <c r="AN4" i="7" s="1"/>
  <c r="E3" i="7" a="1"/>
  <c r="BS3" i="7" s="1"/>
  <c r="K6" i="15"/>
  <c r="L6" i="15" s="1"/>
  <c r="E6" i="15"/>
  <c r="C6" i="15"/>
  <c r="I6" i="15" s="1"/>
  <c r="J6" i="15" s="1"/>
  <c r="E5" i="15"/>
  <c r="K5" i="15" s="1"/>
  <c r="C5" i="15"/>
  <c r="I5" i="15" s="1"/>
  <c r="J5" i="15" s="1"/>
  <c r="E4" i="15"/>
  <c r="K4" i="15" s="1"/>
  <c r="C4" i="15"/>
  <c r="I4" i="15" s="1"/>
  <c r="K3" i="15"/>
  <c r="L3" i="15" s="1"/>
  <c r="J3" i="15"/>
  <c r="I3" i="15"/>
  <c r="E3" i="15"/>
  <c r="C3" i="15"/>
  <c r="D20" i="4"/>
  <c r="B14" i="4"/>
  <c r="D14" i="4" s="1"/>
  <c r="B13" i="4"/>
  <c r="C20" i="4" s="1"/>
  <c r="B12" i="4"/>
  <c r="B20" i="4" s="1"/>
  <c r="R500" i="1"/>
  <c r="K500" i="1"/>
  <c r="B498" i="12" s="1"/>
  <c r="R499" i="1"/>
  <c r="K499" i="1"/>
  <c r="B497" i="12" s="1"/>
  <c r="R498" i="1"/>
  <c r="K498" i="1"/>
  <c r="B496" i="12" s="1"/>
  <c r="R497" i="1"/>
  <c r="K497" i="1"/>
  <c r="B495" i="12" s="1"/>
  <c r="R496" i="1"/>
  <c r="K496" i="1"/>
  <c r="B494" i="12" s="1"/>
  <c r="R495" i="1"/>
  <c r="K495" i="1"/>
  <c r="B493" i="12" s="1"/>
  <c r="R494" i="1"/>
  <c r="K494" i="1"/>
  <c r="B492" i="12" s="1"/>
  <c r="R493" i="1"/>
  <c r="K493" i="1"/>
  <c r="B491" i="12" s="1"/>
  <c r="R492" i="1"/>
  <c r="K492" i="1"/>
  <c r="B490" i="12" s="1"/>
  <c r="R491" i="1"/>
  <c r="K491" i="1"/>
  <c r="B489" i="12" s="1"/>
  <c r="R490" i="1"/>
  <c r="K490" i="1"/>
  <c r="B488" i="12" s="1"/>
  <c r="R489" i="1"/>
  <c r="K489" i="1"/>
  <c r="B487" i="12" s="1"/>
  <c r="R488" i="1"/>
  <c r="K488" i="1"/>
  <c r="B486" i="12" s="1"/>
  <c r="R487" i="1"/>
  <c r="K487" i="1"/>
  <c r="B485" i="12" s="1"/>
  <c r="R486" i="1"/>
  <c r="K486" i="1"/>
  <c r="B484" i="12" s="1"/>
  <c r="R485" i="1"/>
  <c r="B483" i="12"/>
  <c r="R484" i="1"/>
  <c r="B482" i="12"/>
  <c r="R483" i="1"/>
  <c r="B481" i="12"/>
  <c r="R482" i="1"/>
  <c r="B480" i="12"/>
  <c r="R481" i="1"/>
  <c r="B479" i="12"/>
  <c r="R480" i="1"/>
  <c r="B478" i="12"/>
  <c r="R479" i="1"/>
  <c r="B477" i="12"/>
  <c r="R478" i="1"/>
  <c r="B476" i="12"/>
  <c r="R477" i="1"/>
  <c r="B475" i="12"/>
  <c r="R476" i="1"/>
  <c r="B474" i="12"/>
  <c r="R475" i="1"/>
  <c r="B473" i="12"/>
  <c r="R474" i="1"/>
  <c r="B472" i="12"/>
  <c r="R473" i="1"/>
  <c r="B471" i="12"/>
  <c r="R472" i="1"/>
  <c r="B470" i="12"/>
  <c r="R471" i="1"/>
  <c r="B469" i="12"/>
  <c r="R470" i="1"/>
  <c r="B468" i="12"/>
  <c r="R469" i="1"/>
  <c r="B467" i="12"/>
  <c r="R468" i="1"/>
  <c r="B466" i="12"/>
  <c r="R467" i="1"/>
  <c r="B465" i="12"/>
  <c r="R466" i="1"/>
  <c r="B464" i="12"/>
  <c r="R465" i="1"/>
  <c r="B463" i="12"/>
  <c r="R464" i="1"/>
  <c r="B462" i="12"/>
  <c r="R463" i="1"/>
  <c r="B461" i="12"/>
  <c r="R462" i="1"/>
  <c r="B460" i="12"/>
  <c r="R461" i="1"/>
  <c r="B459" i="12"/>
  <c r="R460" i="1"/>
  <c r="B458" i="12"/>
  <c r="R459" i="1"/>
  <c r="B457" i="12"/>
  <c r="R458" i="1"/>
  <c r="B456" i="12"/>
  <c r="R457" i="1"/>
  <c r="B455" i="12"/>
  <c r="R456" i="1"/>
  <c r="B454" i="12"/>
  <c r="R455" i="1"/>
  <c r="B453" i="12"/>
  <c r="R454" i="1"/>
  <c r="B452" i="12"/>
  <c r="R453" i="1"/>
  <c r="B451" i="12"/>
  <c r="R452" i="1"/>
  <c r="B450" i="12"/>
  <c r="R451" i="1"/>
  <c r="B449" i="12"/>
  <c r="R450" i="1"/>
  <c r="B448" i="12"/>
  <c r="R449" i="1"/>
  <c r="B447" i="12"/>
  <c r="R448" i="1"/>
  <c r="B446" i="12"/>
  <c r="R447" i="1"/>
  <c r="B445" i="12"/>
  <c r="R446" i="1"/>
  <c r="B444" i="12"/>
  <c r="R445" i="1"/>
  <c r="B443" i="12"/>
  <c r="R444" i="1"/>
  <c r="B442" i="12"/>
  <c r="R443" i="1"/>
  <c r="B441" i="12"/>
  <c r="R442" i="1"/>
  <c r="B440" i="12"/>
  <c r="R441" i="1"/>
  <c r="B439" i="12"/>
  <c r="R440" i="1"/>
  <c r="B438" i="12"/>
  <c r="R439" i="1"/>
  <c r="B437" i="12"/>
  <c r="R438" i="1"/>
  <c r="B436" i="12"/>
  <c r="R437" i="1"/>
  <c r="B435" i="12"/>
  <c r="R436" i="1"/>
  <c r="B434" i="12"/>
  <c r="R435" i="1"/>
  <c r="B433" i="12"/>
  <c r="R434" i="1"/>
  <c r="B432" i="12"/>
  <c r="R433" i="1"/>
  <c r="B431" i="12"/>
  <c r="R432" i="1"/>
  <c r="B430" i="12"/>
  <c r="R431" i="1"/>
  <c r="B429" i="12"/>
  <c r="R430" i="1"/>
  <c r="B428" i="12"/>
  <c r="R429" i="1"/>
  <c r="B427" i="12"/>
  <c r="R428" i="1"/>
  <c r="B426" i="12"/>
  <c r="R427" i="1"/>
  <c r="B425" i="12"/>
  <c r="R426" i="1"/>
  <c r="B424" i="12"/>
  <c r="R425" i="1"/>
  <c r="B423" i="12"/>
  <c r="R424" i="1"/>
  <c r="B422" i="12"/>
  <c r="R423" i="1"/>
  <c r="B421" i="12"/>
  <c r="R422" i="1"/>
  <c r="B420" i="12"/>
  <c r="R421" i="1"/>
  <c r="B419" i="12"/>
  <c r="R420" i="1"/>
  <c r="B418" i="12"/>
  <c r="R419" i="1"/>
  <c r="B417" i="12"/>
  <c r="R418" i="1"/>
  <c r="B416" i="12"/>
  <c r="R417" i="1"/>
  <c r="B415" i="12"/>
  <c r="R416" i="1"/>
  <c r="B414" i="12"/>
  <c r="R415" i="1"/>
  <c r="B413" i="12"/>
  <c r="R414" i="1"/>
  <c r="B412" i="12"/>
  <c r="R413" i="1"/>
  <c r="B411" i="12"/>
  <c r="R412" i="1"/>
  <c r="B410" i="12"/>
  <c r="R411" i="1"/>
  <c r="B409" i="12"/>
  <c r="R410" i="1"/>
  <c r="B408" i="12"/>
  <c r="R409" i="1"/>
  <c r="B407" i="12"/>
  <c r="R408" i="1"/>
  <c r="B406" i="12"/>
  <c r="R407" i="1"/>
  <c r="B405" i="12"/>
  <c r="R406" i="1"/>
  <c r="B404" i="12"/>
  <c r="R405" i="1"/>
  <c r="B403" i="12"/>
  <c r="R404" i="1"/>
  <c r="B402" i="12"/>
  <c r="R403" i="1"/>
  <c r="B401" i="12"/>
  <c r="R402" i="1"/>
  <c r="B400" i="12"/>
  <c r="R401" i="1"/>
  <c r="B399" i="12"/>
  <c r="R400" i="1"/>
  <c r="B398" i="12"/>
  <c r="R399" i="1"/>
  <c r="B397" i="12"/>
  <c r="R398" i="1"/>
  <c r="B396" i="12"/>
  <c r="R397" i="1"/>
  <c r="B395" i="12"/>
  <c r="R396" i="1"/>
  <c r="B394" i="12"/>
  <c r="R395" i="1"/>
  <c r="B393" i="12"/>
  <c r="R394" i="1"/>
  <c r="B392" i="12"/>
  <c r="R393" i="1"/>
  <c r="B391" i="12"/>
  <c r="R392" i="1"/>
  <c r="B390" i="12"/>
  <c r="R391" i="1"/>
  <c r="B389" i="12"/>
  <c r="R390" i="1"/>
  <c r="B388" i="12"/>
  <c r="R389" i="1"/>
  <c r="B387" i="12"/>
  <c r="R388" i="1"/>
  <c r="B386" i="12"/>
  <c r="R387" i="1"/>
  <c r="B385" i="12"/>
  <c r="R386" i="1"/>
  <c r="B384" i="12"/>
  <c r="R385" i="1"/>
  <c r="B383" i="12"/>
  <c r="R384" i="1"/>
  <c r="B382" i="12"/>
  <c r="R383" i="1"/>
  <c r="B381" i="12"/>
  <c r="R382" i="1"/>
  <c r="B380" i="12"/>
  <c r="R381" i="1"/>
  <c r="B379" i="12"/>
  <c r="R380" i="1"/>
  <c r="B378" i="12"/>
  <c r="R379" i="1"/>
  <c r="B377" i="12"/>
  <c r="R378" i="1"/>
  <c r="B376" i="12"/>
  <c r="R377" i="1"/>
  <c r="B375" i="12"/>
  <c r="R376" i="1"/>
  <c r="B374" i="12"/>
  <c r="R375" i="1"/>
  <c r="B373" i="12"/>
  <c r="R374" i="1"/>
  <c r="B372" i="12"/>
  <c r="R373" i="1"/>
  <c r="B371" i="12"/>
  <c r="R372" i="1"/>
  <c r="B370" i="12"/>
  <c r="R371" i="1"/>
  <c r="B369" i="12"/>
  <c r="R370" i="1"/>
  <c r="B368" i="12"/>
  <c r="R369" i="1"/>
  <c r="B367" i="12"/>
  <c r="R368" i="1"/>
  <c r="B366" i="12"/>
  <c r="R367" i="1"/>
  <c r="B365" i="12"/>
  <c r="R366" i="1"/>
  <c r="B364" i="12"/>
  <c r="R365" i="1"/>
  <c r="B363" i="12"/>
  <c r="R364" i="1"/>
  <c r="B362" i="12"/>
  <c r="R363" i="1"/>
  <c r="B361" i="12"/>
  <c r="R362" i="1"/>
  <c r="B360" i="12"/>
  <c r="R361" i="1"/>
  <c r="B359" i="12"/>
  <c r="R360" i="1"/>
  <c r="B358" i="12"/>
  <c r="R359" i="1"/>
  <c r="B357" i="12"/>
  <c r="R358" i="1"/>
  <c r="B356" i="12"/>
  <c r="R357" i="1"/>
  <c r="B355" i="12"/>
  <c r="R356" i="1"/>
  <c r="B354" i="12"/>
  <c r="R355" i="1"/>
  <c r="B353" i="12"/>
  <c r="R354" i="1"/>
  <c r="B352" i="12"/>
  <c r="R353" i="1"/>
  <c r="B351" i="12"/>
  <c r="R352" i="1"/>
  <c r="B350" i="12"/>
  <c r="R351" i="1"/>
  <c r="B349" i="12"/>
  <c r="R350" i="1"/>
  <c r="B348" i="12"/>
  <c r="R349" i="1"/>
  <c r="B347" i="12"/>
  <c r="R348" i="1"/>
  <c r="B346" i="12"/>
  <c r="R347" i="1"/>
  <c r="B345" i="12"/>
  <c r="R346" i="1"/>
  <c r="B344" i="12"/>
  <c r="R345" i="1"/>
  <c r="B343" i="12"/>
  <c r="R344" i="1"/>
  <c r="B342" i="12"/>
  <c r="R343" i="1"/>
  <c r="B341" i="12"/>
  <c r="R342" i="1"/>
  <c r="B340" i="12"/>
  <c r="R341" i="1"/>
  <c r="B339" i="12"/>
  <c r="R340" i="1"/>
  <c r="B338" i="12"/>
  <c r="R339" i="1"/>
  <c r="B337" i="12"/>
  <c r="R338" i="1"/>
  <c r="B336" i="12"/>
  <c r="R337" i="1"/>
  <c r="B335" i="12"/>
  <c r="R336" i="1"/>
  <c r="B334" i="12"/>
  <c r="R335" i="1"/>
  <c r="B333" i="12"/>
  <c r="R334" i="1"/>
  <c r="B332" i="12"/>
  <c r="R333" i="1"/>
  <c r="B331" i="12"/>
  <c r="R332" i="1"/>
  <c r="B330" i="12"/>
  <c r="R331" i="1"/>
  <c r="B329" i="12"/>
  <c r="R330" i="1"/>
  <c r="B328" i="12"/>
  <c r="R329" i="1"/>
  <c r="B327" i="12"/>
  <c r="R328" i="1"/>
  <c r="B326" i="12"/>
  <c r="R327" i="1"/>
  <c r="B325" i="12"/>
  <c r="R326" i="1"/>
  <c r="B324" i="12"/>
  <c r="R325" i="1"/>
  <c r="B323" i="12"/>
  <c r="R324" i="1"/>
  <c r="B322" i="12"/>
  <c r="R323" i="1"/>
  <c r="B321" i="12"/>
  <c r="R322" i="1"/>
  <c r="B320" i="12"/>
  <c r="R321" i="1"/>
  <c r="B319" i="12"/>
  <c r="R320" i="1"/>
  <c r="B318" i="12"/>
  <c r="R319" i="1"/>
  <c r="B317" i="12"/>
  <c r="R318" i="1"/>
  <c r="B316" i="12"/>
  <c r="R317" i="1"/>
  <c r="B315" i="12"/>
  <c r="R316" i="1"/>
  <c r="B314" i="12"/>
  <c r="R315" i="1"/>
  <c r="B313" i="12"/>
  <c r="R314" i="1"/>
  <c r="B312" i="12"/>
  <c r="R313" i="1"/>
  <c r="B311" i="12"/>
  <c r="R312" i="1"/>
  <c r="B310" i="12"/>
  <c r="R311" i="1"/>
  <c r="B309" i="12"/>
  <c r="R310" i="1"/>
  <c r="R309" i="1"/>
  <c r="B307" i="12"/>
  <c r="R308" i="1"/>
  <c r="B306" i="12"/>
  <c r="R307" i="1"/>
  <c r="B305" i="12"/>
  <c r="R306" i="1"/>
  <c r="B304" i="12"/>
  <c r="R305" i="1"/>
  <c r="B303" i="12"/>
  <c r="R304" i="1"/>
  <c r="B302" i="12"/>
  <c r="R303" i="1"/>
  <c r="B301" i="12"/>
  <c r="R302" i="1"/>
  <c r="B300" i="12"/>
  <c r="R301" i="1"/>
  <c r="B299" i="12"/>
  <c r="R300" i="1"/>
  <c r="B298" i="12"/>
  <c r="R299" i="1"/>
  <c r="B297" i="12"/>
  <c r="R298" i="1"/>
  <c r="B296" i="12"/>
  <c r="R297" i="1"/>
  <c r="B295" i="12"/>
  <c r="R296" i="1"/>
  <c r="B294" i="12"/>
  <c r="R295" i="1"/>
  <c r="B293" i="12"/>
  <c r="R294" i="1"/>
  <c r="B292" i="12"/>
  <c r="R293" i="1"/>
  <c r="B291" i="12"/>
  <c r="R292" i="1"/>
  <c r="B290" i="12"/>
  <c r="R291" i="1"/>
  <c r="B289" i="12"/>
  <c r="R290" i="1"/>
  <c r="B288" i="12"/>
  <c r="R289" i="1"/>
  <c r="B287" i="12"/>
  <c r="R288" i="1"/>
  <c r="B286" i="12"/>
  <c r="R287" i="1"/>
  <c r="B285" i="12"/>
  <c r="R286" i="1"/>
  <c r="B284" i="12"/>
  <c r="R285" i="1"/>
  <c r="B283" i="12"/>
  <c r="R284" i="1"/>
  <c r="B282" i="12"/>
  <c r="R283" i="1"/>
  <c r="B281" i="12"/>
  <c r="R282" i="1"/>
  <c r="B280" i="12"/>
  <c r="R281" i="1"/>
  <c r="B279" i="12"/>
  <c r="R280" i="1"/>
  <c r="B278" i="12"/>
  <c r="R279" i="1"/>
  <c r="B277" i="12"/>
  <c r="R278" i="1"/>
  <c r="R277" i="1"/>
  <c r="B275" i="12"/>
  <c r="R276" i="1"/>
  <c r="B274" i="12"/>
  <c r="R275" i="1"/>
  <c r="B273" i="12"/>
  <c r="R274" i="1"/>
  <c r="B272" i="12"/>
  <c r="R273" i="1"/>
  <c r="B271" i="12"/>
  <c r="R272" i="1"/>
  <c r="B270" i="12"/>
  <c r="R271" i="1"/>
  <c r="B269" i="12"/>
  <c r="R270" i="1"/>
  <c r="B268" i="12"/>
  <c r="R269" i="1"/>
  <c r="B267" i="12"/>
  <c r="R268" i="1"/>
  <c r="B266" i="12"/>
  <c r="R267" i="1"/>
  <c r="B265" i="12"/>
  <c r="R266" i="1"/>
  <c r="B264" i="12"/>
  <c r="R265" i="1"/>
  <c r="B263" i="12"/>
  <c r="R264" i="1"/>
  <c r="B262" i="12"/>
  <c r="R263" i="1"/>
  <c r="B261" i="12"/>
  <c r="R262" i="1"/>
  <c r="B260" i="12"/>
  <c r="R261" i="1"/>
  <c r="B259" i="12"/>
  <c r="R260" i="1"/>
  <c r="B258" i="12"/>
  <c r="R259" i="1"/>
  <c r="B257" i="12"/>
  <c r="R258" i="1"/>
  <c r="B256" i="12"/>
  <c r="R257" i="1"/>
  <c r="B255" i="12"/>
  <c r="R256" i="1"/>
  <c r="B254" i="12"/>
  <c r="R255" i="1"/>
  <c r="B253" i="12"/>
  <c r="R254" i="1"/>
  <c r="B252" i="12"/>
  <c r="R253" i="1"/>
  <c r="B251" i="12"/>
  <c r="R252" i="1"/>
  <c r="B250" i="12"/>
  <c r="R251" i="1"/>
  <c r="B249" i="12"/>
  <c r="R250" i="1"/>
  <c r="B248" i="12"/>
  <c r="J250" i="1"/>
  <c r="I250" i="1"/>
  <c r="H250" i="1"/>
  <c r="R249" i="1"/>
  <c r="B247" i="12"/>
  <c r="J249" i="1"/>
  <c r="I249" i="1"/>
  <c r="H249" i="1"/>
  <c r="R248" i="1"/>
  <c r="B246" i="12"/>
  <c r="J248" i="1"/>
  <c r="I248" i="1"/>
  <c r="H248" i="1"/>
  <c r="R247" i="1"/>
  <c r="B245" i="12"/>
  <c r="J247" i="1"/>
  <c r="I247" i="1"/>
  <c r="H247" i="1"/>
  <c r="R246" i="1"/>
  <c r="B244" i="12"/>
  <c r="J246" i="1"/>
  <c r="I246" i="1"/>
  <c r="H246" i="1"/>
  <c r="R245" i="1"/>
  <c r="B243" i="12"/>
  <c r="J245" i="1"/>
  <c r="I245" i="1"/>
  <c r="H245" i="1"/>
  <c r="R244" i="1"/>
  <c r="B242" i="12"/>
  <c r="J244" i="1"/>
  <c r="I244" i="1"/>
  <c r="H244" i="1"/>
  <c r="R243" i="1"/>
  <c r="B241" i="12"/>
  <c r="J243" i="1"/>
  <c r="I243" i="1"/>
  <c r="H243" i="1"/>
  <c r="R242" i="1"/>
  <c r="B240" i="12"/>
  <c r="J242" i="1"/>
  <c r="I242" i="1"/>
  <c r="H242" i="1"/>
  <c r="R241" i="1"/>
  <c r="B239" i="12"/>
  <c r="J241" i="1"/>
  <c r="I241" i="1"/>
  <c r="H241" i="1"/>
  <c r="R240" i="1"/>
  <c r="B238" i="12"/>
  <c r="J240" i="1"/>
  <c r="I240" i="1"/>
  <c r="H240" i="1"/>
  <c r="R239" i="1"/>
  <c r="B237" i="12"/>
  <c r="J239" i="1"/>
  <c r="I239" i="1"/>
  <c r="H239" i="1"/>
  <c r="R238" i="1"/>
  <c r="B236" i="12"/>
  <c r="J238" i="1"/>
  <c r="I238" i="1"/>
  <c r="H238" i="1"/>
  <c r="R237" i="1"/>
  <c r="B235" i="12"/>
  <c r="J237" i="1"/>
  <c r="I237" i="1"/>
  <c r="H237" i="1"/>
  <c r="R236" i="1"/>
  <c r="B234" i="12"/>
  <c r="J236" i="1"/>
  <c r="I236" i="1"/>
  <c r="H236" i="1"/>
  <c r="R235" i="1"/>
  <c r="B233" i="12"/>
  <c r="J235" i="1"/>
  <c r="I235" i="1"/>
  <c r="H235" i="1"/>
  <c r="R234" i="1"/>
  <c r="B232" i="12"/>
  <c r="J234" i="1"/>
  <c r="I234" i="1"/>
  <c r="H234" i="1"/>
  <c r="R233" i="1"/>
  <c r="B231" i="12"/>
  <c r="J233" i="1"/>
  <c r="I233" i="1"/>
  <c r="H233" i="1"/>
  <c r="R232" i="1"/>
  <c r="B230" i="12"/>
  <c r="J232" i="1"/>
  <c r="I232" i="1"/>
  <c r="H232" i="1"/>
  <c r="R231" i="1"/>
  <c r="B229" i="12"/>
  <c r="J231" i="1"/>
  <c r="I231" i="1"/>
  <c r="H231" i="1"/>
  <c r="R230" i="1"/>
  <c r="B228" i="12"/>
  <c r="J230" i="1"/>
  <c r="I230" i="1"/>
  <c r="H230" i="1"/>
  <c r="R229" i="1"/>
  <c r="B227" i="12"/>
  <c r="J229" i="1"/>
  <c r="I229" i="1"/>
  <c r="H229" i="1"/>
  <c r="R228" i="1"/>
  <c r="B226" i="12"/>
  <c r="J228" i="1"/>
  <c r="I228" i="1"/>
  <c r="H228" i="1"/>
  <c r="R227" i="1"/>
  <c r="B225" i="12"/>
  <c r="J227" i="1"/>
  <c r="I227" i="1"/>
  <c r="H227" i="1"/>
  <c r="R226" i="1"/>
  <c r="B224" i="12"/>
  <c r="J226" i="1"/>
  <c r="I226" i="1"/>
  <c r="H226" i="1"/>
  <c r="R225" i="1"/>
  <c r="B223" i="12"/>
  <c r="J225" i="1"/>
  <c r="I225" i="1"/>
  <c r="H225" i="1"/>
  <c r="R224" i="1"/>
  <c r="B222" i="12"/>
  <c r="J224" i="1"/>
  <c r="I224" i="1"/>
  <c r="H224" i="1"/>
  <c r="R223" i="1"/>
  <c r="B221" i="12"/>
  <c r="J223" i="1"/>
  <c r="I223" i="1"/>
  <c r="H223" i="1"/>
  <c r="R222" i="1"/>
  <c r="B220" i="12"/>
  <c r="J222" i="1"/>
  <c r="I222" i="1"/>
  <c r="H222" i="1"/>
  <c r="R221" i="1"/>
  <c r="B219" i="12"/>
  <c r="J221" i="1"/>
  <c r="I221" i="1"/>
  <c r="H221" i="1"/>
  <c r="R220" i="1"/>
  <c r="B218" i="12"/>
  <c r="J220" i="1"/>
  <c r="I220" i="1"/>
  <c r="H220" i="1"/>
  <c r="R219" i="1"/>
  <c r="B217" i="12"/>
  <c r="J219" i="1"/>
  <c r="I219" i="1"/>
  <c r="H219" i="1"/>
  <c r="R218" i="1"/>
  <c r="B216" i="12"/>
  <c r="J218" i="1"/>
  <c r="I218" i="1"/>
  <c r="H218" i="1"/>
  <c r="R217" i="1"/>
  <c r="B215" i="12"/>
  <c r="J217" i="1"/>
  <c r="I217" i="1"/>
  <c r="H217" i="1"/>
  <c r="R216" i="1"/>
  <c r="B214" i="12"/>
  <c r="J216" i="1"/>
  <c r="I216" i="1"/>
  <c r="H216" i="1"/>
  <c r="R215" i="1"/>
  <c r="B213" i="12"/>
  <c r="J215" i="1"/>
  <c r="I215" i="1"/>
  <c r="H215" i="1"/>
  <c r="R214" i="1"/>
  <c r="B212" i="12"/>
  <c r="J214" i="1"/>
  <c r="I214" i="1"/>
  <c r="H214" i="1"/>
  <c r="R213" i="1"/>
  <c r="B211" i="12"/>
  <c r="J213" i="1"/>
  <c r="I213" i="1"/>
  <c r="H213" i="1"/>
  <c r="R212" i="1"/>
  <c r="B210" i="12"/>
  <c r="J212" i="1"/>
  <c r="I212" i="1"/>
  <c r="H212" i="1"/>
  <c r="R211" i="1"/>
  <c r="B209" i="12"/>
  <c r="J211" i="1"/>
  <c r="I211" i="1"/>
  <c r="H211" i="1"/>
  <c r="R210" i="1"/>
  <c r="J210" i="1"/>
  <c r="I210" i="1"/>
  <c r="H210" i="1"/>
  <c r="R209" i="1"/>
  <c r="B207" i="12"/>
  <c r="J209" i="1"/>
  <c r="I209" i="1"/>
  <c r="H209" i="1"/>
  <c r="R208" i="1"/>
  <c r="B206" i="12"/>
  <c r="J208" i="1"/>
  <c r="I208" i="1"/>
  <c r="H208" i="1"/>
  <c r="R207" i="1"/>
  <c r="B205" i="12"/>
  <c r="J207" i="1"/>
  <c r="I207" i="1"/>
  <c r="H207" i="1"/>
  <c r="R206" i="1"/>
  <c r="B204" i="12"/>
  <c r="J206" i="1"/>
  <c r="I206" i="1"/>
  <c r="H206" i="1"/>
  <c r="R205" i="1"/>
  <c r="B203" i="12"/>
  <c r="J205" i="1"/>
  <c r="I205" i="1"/>
  <c r="H205" i="1"/>
  <c r="R204" i="1"/>
  <c r="B202" i="12"/>
  <c r="J204" i="1"/>
  <c r="I204" i="1"/>
  <c r="H204" i="1"/>
  <c r="R203" i="1"/>
  <c r="B201" i="12"/>
  <c r="J203" i="1"/>
  <c r="I203" i="1"/>
  <c r="H203" i="1"/>
  <c r="R202" i="1"/>
  <c r="B200" i="12"/>
  <c r="J202" i="1"/>
  <c r="I202" i="1"/>
  <c r="H202" i="1"/>
  <c r="R201" i="1"/>
  <c r="B199" i="12"/>
  <c r="J201" i="1"/>
  <c r="I201" i="1"/>
  <c r="H201" i="1"/>
  <c r="R200" i="1"/>
  <c r="B198" i="12"/>
  <c r="J200" i="1"/>
  <c r="I200" i="1"/>
  <c r="H200" i="1"/>
  <c r="R199" i="1"/>
  <c r="B197" i="12"/>
  <c r="J199" i="1"/>
  <c r="I199" i="1"/>
  <c r="H199" i="1"/>
  <c r="R198" i="1"/>
  <c r="B196" i="12"/>
  <c r="J198" i="1"/>
  <c r="I198" i="1"/>
  <c r="H198" i="1"/>
  <c r="R197" i="1"/>
  <c r="B195" i="12"/>
  <c r="J197" i="1"/>
  <c r="I197" i="1"/>
  <c r="H197" i="1"/>
  <c r="R196" i="1"/>
  <c r="B194" i="12"/>
  <c r="J196" i="1"/>
  <c r="I196" i="1"/>
  <c r="H196" i="1"/>
  <c r="R195" i="1"/>
  <c r="B193" i="12"/>
  <c r="J195" i="1"/>
  <c r="I195" i="1"/>
  <c r="H195" i="1"/>
  <c r="R194" i="1"/>
  <c r="B192" i="12"/>
  <c r="J194" i="1"/>
  <c r="I194" i="1"/>
  <c r="H194" i="1"/>
  <c r="R193" i="1"/>
  <c r="B191" i="12"/>
  <c r="J193" i="1"/>
  <c r="I193" i="1"/>
  <c r="H193" i="1"/>
  <c r="R192" i="1"/>
  <c r="B190" i="12"/>
  <c r="J192" i="1"/>
  <c r="I192" i="1"/>
  <c r="H192" i="1"/>
  <c r="R191" i="1"/>
  <c r="B189" i="12"/>
  <c r="J191" i="1"/>
  <c r="I191" i="1"/>
  <c r="H191" i="1"/>
  <c r="R190" i="1"/>
  <c r="B188" i="12"/>
  <c r="J190" i="1"/>
  <c r="I190" i="1"/>
  <c r="H190" i="1"/>
  <c r="R189" i="1"/>
  <c r="B187" i="12"/>
  <c r="J189" i="1"/>
  <c r="I189" i="1"/>
  <c r="H189" i="1"/>
  <c r="R188" i="1"/>
  <c r="B186" i="12"/>
  <c r="J188" i="1"/>
  <c r="I188" i="1"/>
  <c r="H188" i="1"/>
  <c r="R187" i="1"/>
  <c r="B185" i="12"/>
  <c r="J187" i="1"/>
  <c r="I187" i="1"/>
  <c r="H187" i="1"/>
  <c r="R186" i="1"/>
  <c r="B184" i="12"/>
  <c r="J186" i="1"/>
  <c r="I186" i="1"/>
  <c r="H186" i="1"/>
  <c r="R185" i="1"/>
  <c r="B183" i="12"/>
  <c r="J185" i="1"/>
  <c r="I185" i="1"/>
  <c r="H185" i="1"/>
  <c r="R184" i="1"/>
  <c r="B182" i="12"/>
  <c r="J184" i="1"/>
  <c r="I184" i="1"/>
  <c r="H184" i="1"/>
  <c r="R183" i="1"/>
  <c r="B181" i="12"/>
  <c r="J183" i="1"/>
  <c r="I183" i="1"/>
  <c r="H183" i="1"/>
  <c r="R182" i="1"/>
  <c r="B180" i="12"/>
  <c r="J182" i="1"/>
  <c r="I182" i="1"/>
  <c r="H182" i="1"/>
  <c r="R181" i="1"/>
  <c r="B179" i="12"/>
  <c r="J181" i="1"/>
  <c r="I181" i="1"/>
  <c r="H181" i="1"/>
  <c r="R180" i="1"/>
  <c r="B178" i="12"/>
  <c r="J180" i="1"/>
  <c r="I180" i="1"/>
  <c r="H180" i="1"/>
  <c r="R179" i="1"/>
  <c r="B177" i="12"/>
  <c r="J179" i="1"/>
  <c r="I179" i="1"/>
  <c r="H179" i="1"/>
  <c r="R178" i="1"/>
  <c r="B176" i="12"/>
  <c r="J178" i="1"/>
  <c r="I178" i="1"/>
  <c r="H178" i="1"/>
  <c r="R177" i="1"/>
  <c r="B175" i="12"/>
  <c r="J177" i="1"/>
  <c r="I177" i="1"/>
  <c r="H177" i="1"/>
  <c r="R176" i="1"/>
  <c r="B174" i="12"/>
  <c r="J176" i="1"/>
  <c r="I176" i="1"/>
  <c r="H176" i="1"/>
  <c r="R175" i="1"/>
  <c r="B173" i="12"/>
  <c r="J175" i="1"/>
  <c r="I175" i="1"/>
  <c r="H175" i="1"/>
  <c r="R174" i="1"/>
  <c r="B172" i="12"/>
  <c r="J174" i="1"/>
  <c r="I174" i="1"/>
  <c r="H174" i="1"/>
  <c r="R173" i="1"/>
  <c r="B171" i="12"/>
  <c r="J173" i="1"/>
  <c r="I173" i="1"/>
  <c r="H173" i="1"/>
  <c r="R172" i="1"/>
  <c r="B170" i="12"/>
  <c r="J172" i="1"/>
  <c r="I172" i="1"/>
  <c r="H172" i="1"/>
  <c r="R171" i="1"/>
  <c r="B169" i="12"/>
  <c r="J171" i="1"/>
  <c r="I171" i="1"/>
  <c r="H171" i="1"/>
  <c r="R170" i="1"/>
  <c r="B168" i="12"/>
  <c r="J170" i="1"/>
  <c r="I170" i="1"/>
  <c r="H170" i="1"/>
  <c r="R169" i="1"/>
  <c r="B167" i="12"/>
  <c r="J169" i="1"/>
  <c r="I169" i="1"/>
  <c r="H169" i="1"/>
  <c r="R168" i="1"/>
  <c r="B166" i="12"/>
  <c r="J168" i="1"/>
  <c r="I168" i="1"/>
  <c r="H168" i="1"/>
  <c r="R167" i="1"/>
  <c r="B165" i="12"/>
  <c r="J167" i="1"/>
  <c r="I167" i="1"/>
  <c r="H167" i="1"/>
  <c r="R166" i="1"/>
  <c r="B164" i="12"/>
  <c r="J166" i="1"/>
  <c r="I166" i="1"/>
  <c r="H166" i="1"/>
  <c r="R165" i="1"/>
  <c r="B163" i="12"/>
  <c r="J165" i="1"/>
  <c r="I165" i="1"/>
  <c r="H165" i="1"/>
  <c r="R164" i="1"/>
  <c r="B162" i="12"/>
  <c r="J164" i="1"/>
  <c r="I164" i="1"/>
  <c r="H164" i="1"/>
  <c r="R163" i="1"/>
  <c r="B161" i="12"/>
  <c r="J163" i="1"/>
  <c r="I163" i="1"/>
  <c r="H163" i="1"/>
  <c r="R162" i="1"/>
  <c r="B160" i="12"/>
  <c r="J162" i="1"/>
  <c r="I162" i="1"/>
  <c r="H162" i="1"/>
  <c r="R161" i="1"/>
  <c r="B159" i="12"/>
  <c r="J161" i="1"/>
  <c r="I161" i="1"/>
  <c r="H161" i="1"/>
  <c r="R160" i="1"/>
  <c r="B158" i="12"/>
  <c r="J160" i="1"/>
  <c r="I160" i="1"/>
  <c r="H160" i="1"/>
  <c r="R159" i="1"/>
  <c r="B157" i="12"/>
  <c r="J159" i="1"/>
  <c r="I159" i="1"/>
  <c r="H159" i="1"/>
  <c r="R158" i="1"/>
  <c r="B156" i="12"/>
  <c r="J158" i="1"/>
  <c r="I158" i="1"/>
  <c r="H158" i="1"/>
  <c r="R157" i="1"/>
  <c r="B155" i="12"/>
  <c r="J157" i="1"/>
  <c r="I157" i="1"/>
  <c r="H157" i="1"/>
  <c r="R156" i="1"/>
  <c r="B154" i="12"/>
  <c r="J156" i="1"/>
  <c r="I156" i="1"/>
  <c r="H156" i="1"/>
  <c r="R155" i="1"/>
  <c r="B153" i="12"/>
  <c r="J155" i="1"/>
  <c r="I155" i="1"/>
  <c r="H155" i="1"/>
  <c r="R154" i="1"/>
  <c r="B152" i="12"/>
  <c r="J154" i="1"/>
  <c r="I154" i="1"/>
  <c r="H154" i="1"/>
  <c r="R153" i="1"/>
  <c r="B151" i="12"/>
  <c r="J153" i="1"/>
  <c r="I153" i="1"/>
  <c r="H153" i="1"/>
  <c r="R152" i="1"/>
  <c r="B150" i="12"/>
  <c r="J152" i="1"/>
  <c r="I152" i="1"/>
  <c r="H152" i="1"/>
  <c r="R151" i="1"/>
  <c r="B149" i="12"/>
  <c r="J151" i="1"/>
  <c r="I151" i="1"/>
  <c r="H151" i="1"/>
  <c r="R150" i="1"/>
  <c r="B148" i="12"/>
  <c r="J150" i="1"/>
  <c r="I150" i="1"/>
  <c r="H150" i="1"/>
  <c r="R149" i="1"/>
  <c r="B147" i="12"/>
  <c r="J149" i="1"/>
  <c r="I149" i="1"/>
  <c r="H149" i="1"/>
  <c r="R148" i="1"/>
  <c r="B146" i="12"/>
  <c r="J148" i="1"/>
  <c r="I148" i="1"/>
  <c r="H148" i="1"/>
  <c r="R147" i="1"/>
  <c r="B145" i="12"/>
  <c r="J147" i="1"/>
  <c r="I147" i="1"/>
  <c r="H147" i="1"/>
  <c r="R146" i="1"/>
  <c r="J146" i="1"/>
  <c r="I146" i="1"/>
  <c r="H146" i="1"/>
  <c r="R145" i="1"/>
  <c r="B143" i="12"/>
  <c r="J145" i="1"/>
  <c r="I145" i="1"/>
  <c r="H145" i="1"/>
  <c r="R144" i="1"/>
  <c r="B142" i="12"/>
  <c r="J144" i="1"/>
  <c r="I144" i="1"/>
  <c r="H144" i="1"/>
  <c r="R143" i="1"/>
  <c r="B141" i="12"/>
  <c r="J143" i="1"/>
  <c r="I143" i="1"/>
  <c r="H143" i="1"/>
  <c r="R142" i="1"/>
  <c r="B140" i="12"/>
  <c r="J142" i="1"/>
  <c r="I142" i="1"/>
  <c r="H142" i="1"/>
  <c r="R141" i="1"/>
  <c r="B139" i="12"/>
  <c r="J141" i="1"/>
  <c r="I141" i="1"/>
  <c r="H141" i="1"/>
  <c r="R140" i="1"/>
  <c r="B138" i="12"/>
  <c r="J140" i="1"/>
  <c r="I140" i="1"/>
  <c r="H140" i="1"/>
  <c r="R139" i="1"/>
  <c r="B137" i="12"/>
  <c r="J139" i="1"/>
  <c r="I139" i="1"/>
  <c r="H139" i="1"/>
  <c r="R138" i="1"/>
  <c r="B136" i="12"/>
  <c r="J138" i="1"/>
  <c r="I138" i="1"/>
  <c r="H138" i="1"/>
  <c r="R137" i="1"/>
  <c r="B135" i="12"/>
  <c r="J137" i="1"/>
  <c r="I137" i="1"/>
  <c r="H137" i="1"/>
  <c r="R136" i="1"/>
  <c r="B134" i="12"/>
  <c r="J136" i="1"/>
  <c r="I136" i="1"/>
  <c r="H136" i="1"/>
  <c r="R135" i="1"/>
  <c r="B133" i="12"/>
  <c r="J135" i="1"/>
  <c r="I135" i="1"/>
  <c r="H135" i="1"/>
  <c r="R134" i="1"/>
  <c r="B132" i="12"/>
  <c r="J134" i="1"/>
  <c r="I134" i="1"/>
  <c r="H134" i="1"/>
  <c r="R133" i="1"/>
  <c r="B131" i="12"/>
  <c r="J133" i="1"/>
  <c r="I133" i="1"/>
  <c r="H133" i="1"/>
  <c r="R132" i="1"/>
  <c r="B130" i="12"/>
  <c r="J132" i="1"/>
  <c r="I132" i="1"/>
  <c r="H132" i="1"/>
  <c r="R131" i="1"/>
  <c r="B129" i="12"/>
  <c r="J131" i="1"/>
  <c r="I131" i="1"/>
  <c r="H131" i="1"/>
  <c r="R130" i="1"/>
  <c r="B128" i="12"/>
  <c r="J130" i="1"/>
  <c r="I130" i="1"/>
  <c r="H130" i="1"/>
  <c r="R129" i="1"/>
  <c r="B127" i="12"/>
  <c r="J129" i="1"/>
  <c r="I129" i="1"/>
  <c r="H129" i="1"/>
  <c r="R128" i="1"/>
  <c r="B126" i="12"/>
  <c r="J128" i="1"/>
  <c r="I128" i="1"/>
  <c r="H128" i="1"/>
  <c r="R127" i="1"/>
  <c r="B125" i="12"/>
  <c r="J127" i="1"/>
  <c r="I127" i="1"/>
  <c r="H127" i="1"/>
  <c r="R126" i="1"/>
  <c r="B124" i="12"/>
  <c r="J126" i="1"/>
  <c r="I126" i="1"/>
  <c r="H126" i="1"/>
  <c r="R125" i="1"/>
  <c r="B123" i="12"/>
  <c r="J125" i="1"/>
  <c r="I125" i="1"/>
  <c r="H125" i="1"/>
  <c r="R124" i="1"/>
  <c r="B122" i="12"/>
  <c r="J124" i="1"/>
  <c r="I124" i="1"/>
  <c r="H124" i="1"/>
  <c r="R123" i="1"/>
  <c r="B121" i="12"/>
  <c r="J123" i="1"/>
  <c r="I123" i="1"/>
  <c r="H123" i="1"/>
  <c r="R122" i="1"/>
  <c r="B120" i="12"/>
  <c r="J122" i="1"/>
  <c r="I122" i="1"/>
  <c r="H122" i="1"/>
  <c r="R121" i="1"/>
  <c r="B119" i="12"/>
  <c r="J121" i="1"/>
  <c r="I121" i="1"/>
  <c r="H121" i="1"/>
  <c r="R120" i="1"/>
  <c r="B118" i="12"/>
  <c r="J120" i="1"/>
  <c r="I120" i="1"/>
  <c r="H120" i="1"/>
  <c r="R119" i="1"/>
  <c r="B117" i="12"/>
  <c r="J119" i="1"/>
  <c r="I119" i="1"/>
  <c r="H119" i="1"/>
  <c r="R118" i="1"/>
  <c r="B116" i="12"/>
  <c r="J118" i="1"/>
  <c r="I118" i="1"/>
  <c r="H118" i="1"/>
  <c r="R117" i="1"/>
  <c r="B115" i="12"/>
  <c r="J117" i="1"/>
  <c r="I117" i="1"/>
  <c r="H117" i="1"/>
  <c r="R116" i="1"/>
  <c r="B114" i="12"/>
  <c r="J116" i="1"/>
  <c r="I116" i="1"/>
  <c r="H116" i="1"/>
  <c r="R115" i="1"/>
  <c r="B113" i="12"/>
  <c r="J115" i="1"/>
  <c r="I115" i="1"/>
  <c r="H115" i="1"/>
  <c r="R114" i="1"/>
  <c r="B112" i="12"/>
  <c r="J114" i="1"/>
  <c r="I114" i="1"/>
  <c r="H114" i="1"/>
  <c r="R113" i="1"/>
  <c r="B111" i="12"/>
  <c r="J113" i="1"/>
  <c r="I113" i="1"/>
  <c r="H113" i="1"/>
  <c r="R112" i="1"/>
  <c r="B110" i="12"/>
  <c r="J112" i="1"/>
  <c r="I112" i="1"/>
  <c r="H112" i="1"/>
  <c r="R111" i="1"/>
  <c r="B109" i="12"/>
  <c r="J111" i="1"/>
  <c r="I111" i="1"/>
  <c r="H111" i="1"/>
  <c r="R110" i="1"/>
  <c r="B108" i="12"/>
  <c r="J110" i="1"/>
  <c r="I110" i="1"/>
  <c r="H110" i="1"/>
  <c r="R109" i="1"/>
  <c r="B107" i="12"/>
  <c r="J109" i="1"/>
  <c r="I109" i="1"/>
  <c r="H109" i="1"/>
  <c r="R108" i="1"/>
  <c r="B106" i="12"/>
  <c r="J108" i="1"/>
  <c r="I108" i="1"/>
  <c r="H108" i="1"/>
  <c r="R107" i="1"/>
  <c r="B105" i="12"/>
  <c r="J107" i="1"/>
  <c r="I107" i="1"/>
  <c r="H107" i="1"/>
  <c r="R106" i="1"/>
  <c r="B104" i="12"/>
  <c r="J106" i="1"/>
  <c r="I106" i="1"/>
  <c r="H106" i="1"/>
  <c r="R105" i="1"/>
  <c r="B103" i="12"/>
  <c r="J105" i="1"/>
  <c r="I105" i="1"/>
  <c r="H105" i="1"/>
  <c r="R104" i="1"/>
  <c r="B102" i="12"/>
  <c r="J104" i="1"/>
  <c r="I104" i="1"/>
  <c r="H104" i="1"/>
  <c r="R103" i="1"/>
  <c r="B101" i="12"/>
  <c r="J103" i="1"/>
  <c r="I103" i="1"/>
  <c r="H103" i="1"/>
  <c r="R102" i="1"/>
  <c r="B100" i="12"/>
  <c r="J102" i="1"/>
  <c r="I102" i="1"/>
  <c r="H102" i="1"/>
  <c r="R101" i="1"/>
  <c r="B99" i="12"/>
  <c r="J101" i="1"/>
  <c r="I101" i="1"/>
  <c r="H101" i="1"/>
  <c r="R100" i="1"/>
  <c r="B98" i="12"/>
  <c r="J100" i="1"/>
  <c r="I100" i="1"/>
  <c r="H100" i="1"/>
  <c r="R99" i="1"/>
  <c r="B97" i="12"/>
  <c r="J99" i="1"/>
  <c r="I99" i="1"/>
  <c r="H99" i="1"/>
  <c r="R98" i="1"/>
  <c r="B96" i="12"/>
  <c r="J98" i="1"/>
  <c r="I98" i="1"/>
  <c r="H98" i="1"/>
  <c r="R97" i="1"/>
  <c r="B95" i="12"/>
  <c r="J97" i="1"/>
  <c r="I97" i="1"/>
  <c r="H97" i="1"/>
  <c r="R96" i="1"/>
  <c r="B94" i="12"/>
  <c r="J96" i="1"/>
  <c r="I96" i="1"/>
  <c r="H96" i="1"/>
  <c r="R95" i="1"/>
  <c r="B93" i="12"/>
  <c r="J95" i="1"/>
  <c r="I95" i="1"/>
  <c r="H95" i="1"/>
  <c r="R94" i="1"/>
  <c r="B92" i="12"/>
  <c r="J94" i="1"/>
  <c r="I94" i="1"/>
  <c r="H94" i="1"/>
  <c r="R93" i="1"/>
  <c r="B91" i="12"/>
  <c r="J93" i="1"/>
  <c r="I93" i="1"/>
  <c r="H93" i="1"/>
  <c r="R92" i="1"/>
  <c r="B90" i="12"/>
  <c r="J92" i="1"/>
  <c r="I92" i="1"/>
  <c r="H92" i="1"/>
  <c r="R91" i="1"/>
  <c r="B89" i="12"/>
  <c r="J91" i="1"/>
  <c r="I91" i="1"/>
  <c r="H91" i="1"/>
  <c r="R90" i="1"/>
  <c r="B88" i="12"/>
  <c r="J90" i="1"/>
  <c r="I90" i="1"/>
  <c r="H90" i="1"/>
  <c r="R89" i="1"/>
  <c r="B87" i="12"/>
  <c r="J89" i="1"/>
  <c r="I89" i="1"/>
  <c r="H89" i="1"/>
  <c r="R88" i="1"/>
  <c r="B86" i="12"/>
  <c r="J88" i="1"/>
  <c r="I88" i="1"/>
  <c r="H88" i="1"/>
  <c r="R87" i="1"/>
  <c r="B85" i="12"/>
  <c r="J87" i="1"/>
  <c r="I87" i="1"/>
  <c r="H87" i="1"/>
  <c r="R86" i="1"/>
  <c r="B84" i="12"/>
  <c r="J86" i="1"/>
  <c r="I86" i="1"/>
  <c r="H86" i="1"/>
  <c r="R85" i="1"/>
  <c r="B83" i="12"/>
  <c r="J85" i="1"/>
  <c r="I85" i="1"/>
  <c r="H85" i="1"/>
  <c r="R84" i="1"/>
  <c r="B82" i="12"/>
  <c r="J84" i="1"/>
  <c r="I84" i="1"/>
  <c r="H84" i="1"/>
  <c r="R83" i="1"/>
  <c r="B81" i="12"/>
  <c r="J83" i="1"/>
  <c r="I83" i="1"/>
  <c r="H83" i="1"/>
  <c r="R82" i="1"/>
  <c r="J82" i="1"/>
  <c r="I82" i="1"/>
  <c r="H82" i="1"/>
  <c r="R81" i="1"/>
  <c r="B79" i="12"/>
  <c r="J81" i="1"/>
  <c r="I81" i="1"/>
  <c r="H81" i="1"/>
  <c r="R80" i="1"/>
  <c r="B78" i="12"/>
  <c r="J80" i="1"/>
  <c r="I80" i="1"/>
  <c r="H80" i="1"/>
  <c r="R79" i="1"/>
  <c r="B77" i="12"/>
  <c r="J79" i="1"/>
  <c r="I79" i="1"/>
  <c r="H79" i="1"/>
  <c r="R78" i="1"/>
  <c r="B76" i="12"/>
  <c r="J78" i="1"/>
  <c r="I78" i="1"/>
  <c r="H78" i="1"/>
  <c r="R77" i="1"/>
  <c r="B75" i="12"/>
  <c r="J77" i="1"/>
  <c r="I77" i="1"/>
  <c r="H77" i="1"/>
  <c r="R76" i="1"/>
  <c r="B74" i="12"/>
  <c r="J76" i="1"/>
  <c r="I76" i="1"/>
  <c r="H76" i="1"/>
  <c r="R75" i="1"/>
  <c r="B73" i="12"/>
  <c r="J75" i="1"/>
  <c r="I75" i="1"/>
  <c r="H75" i="1"/>
  <c r="R74" i="1"/>
  <c r="B72" i="12"/>
  <c r="J74" i="1"/>
  <c r="I74" i="1"/>
  <c r="H74" i="1"/>
  <c r="R73" i="1"/>
  <c r="B71" i="12"/>
  <c r="J73" i="1"/>
  <c r="I73" i="1"/>
  <c r="H73" i="1"/>
  <c r="R72" i="1"/>
  <c r="B70" i="12"/>
  <c r="J72" i="1"/>
  <c r="I72" i="1"/>
  <c r="H72" i="1"/>
  <c r="R71" i="1"/>
  <c r="B69" i="12"/>
  <c r="J71" i="1"/>
  <c r="I71" i="1"/>
  <c r="H71" i="1"/>
  <c r="R70" i="1"/>
  <c r="B68" i="12"/>
  <c r="J70" i="1"/>
  <c r="I70" i="1"/>
  <c r="H70" i="1"/>
  <c r="R69" i="1"/>
  <c r="B67" i="12"/>
  <c r="J69" i="1"/>
  <c r="I69" i="1"/>
  <c r="H69" i="1"/>
  <c r="R68" i="1"/>
  <c r="B66" i="12"/>
  <c r="J68" i="1"/>
  <c r="I68" i="1"/>
  <c r="H68" i="1"/>
  <c r="R67" i="1"/>
  <c r="B65" i="12"/>
  <c r="J67" i="1"/>
  <c r="I67" i="1"/>
  <c r="H67" i="1"/>
  <c r="R66" i="1"/>
  <c r="B64" i="12"/>
  <c r="J66" i="1"/>
  <c r="I66" i="1"/>
  <c r="H66" i="1"/>
  <c r="R65" i="1"/>
  <c r="B63" i="12"/>
  <c r="J65" i="1"/>
  <c r="I65" i="1"/>
  <c r="H65" i="1"/>
  <c r="R64" i="1"/>
  <c r="B62" i="12"/>
  <c r="J64" i="1"/>
  <c r="I64" i="1"/>
  <c r="H64" i="1"/>
  <c r="R63" i="1"/>
  <c r="B61" i="12"/>
  <c r="J63" i="1"/>
  <c r="I63" i="1"/>
  <c r="H63" i="1"/>
  <c r="R62" i="1"/>
  <c r="B60" i="12"/>
  <c r="J62" i="1"/>
  <c r="I62" i="1"/>
  <c r="H62" i="1"/>
  <c r="R61" i="1"/>
  <c r="B59" i="12"/>
  <c r="J61" i="1"/>
  <c r="I61" i="1"/>
  <c r="H61" i="1"/>
  <c r="R60" i="1"/>
  <c r="B58" i="12"/>
  <c r="J60" i="1"/>
  <c r="I60" i="1"/>
  <c r="H60" i="1"/>
  <c r="R59" i="1"/>
  <c r="B57" i="12"/>
  <c r="J59" i="1"/>
  <c r="I59" i="1"/>
  <c r="H59" i="1"/>
  <c r="R58" i="1"/>
  <c r="B56" i="12"/>
  <c r="J58" i="1"/>
  <c r="I58" i="1"/>
  <c r="H58" i="1"/>
  <c r="R57" i="1"/>
  <c r="B55" i="12"/>
  <c r="J57" i="1"/>
  <c r="I57" i="1"/>
  <c r="H57" i="1"/>
  <c r="R56" i="1"/>
  <c r="B54" i="12"/>
  <c r="J56" i="1"/>
  <c r="I56" i="1"/>
  <c r="H56" i="1"/>
  <c r="R55" i="1"/>
  <c r="B53" i="12"/>
  <c r="J55" i="1"/>
  <c r="I55" i="1"/>
  <c r="H55" i="1"/>
  <c r="R54" i="1"/>
  <c r="B52" i="12"/>
  <c r="J54" i="1"/>
  <c r="I54" i="1"/>
  <c r="H54" i="1"/>
  <c r="R53" i="1"/>
  <c r="B51" i="12"/>
  <c r="J53" i="1"/>
  <c r="I53" i="1"/>
  <c r="H53" i="1"/>
  <c r="R52" i="1"/>
  <c r="B50" i="12"/>
  <c r="J52" i="1"/>
  <c r="I52" i="1"/>
  <c r="H52" i="1"/>
  <c r="R51" i="1"/>
  <c r="B49" i="12"/>
  <c r="J51" i="1"/>
  <c r="I51" i="1"/>
  <c r="H51" i="1"/>
  <c r="R50" i="1"/>
  <c r="B48" i="12"/>
  <c r="J50" i="1"/>
  <c r="I50" i="1"/>
  <c r="H50" i="1"/>
  <c r="R49" i="1"/>
  <c r="B47" i="12"/>
  <c r="J49" i="1"/>
  <c r="I49" i="1"/>
  <c r="H49" i="1"/>
  <c r="R48" i="1"/>
  <c r="B46" i="12"/>
  <c r="J48" i="1"/>
  <c r="I48" i="1"/>
  <c r="H48" i="1"/>
  <c r="R47" i="1"/>
  <c r="B45" i="12"/>
  <c r="J47" i="1"/>
  <c r="I47" i="1"/>
  <c r="H47" i="1"/>
  <c r="R46" i="1"/>
  <c r="B44" i="12"/>
  <c r="J46" i="1"/>
  <c r="I46" i="1"/>
  <c r="H46" i="1"/>
  <c r="R45" i="1"/>
  <c r="B43" i="12"/>
  <c r="J45" i="1"/>
  <c r="I45" i="1"/>
  <c r="H45" i="1"/>
  <c r="R44" i="1"/>
  <c r="B42" i="12"/>
  <c r="J44" i="1"/>
  <c r="I44" i="1"/>
  <c r="H44" i="1"/>
  <c r="R43" i="1"/>
  <c r="B41" i="12"/>
  <c r="J43" i="1"/>
  <c r="I43" i="1"/>
  <c r="H43" i="1"/>
  <c r="R42" i="1"/>
  <c r="B40" i="12"/>
  <c r="J42" i="1"/>
  <c r="I42" i="1"/>
  <c r="H42" i="1"/>
  <c r="R41" i="1"/>
  <c r="B39" i="12"/>
  <c r="J41" i="1"/>
  <c r="I41" i="1"/>
  <c r="H41" i="1"/>
  <c r="R40" i="1"/>
  <c r="B38" i="12"/>
  <c r="J40" i="1"/>
  <c r="I40" i="1"/>
  <c r="H40" i="1"/>
  <c r="R39" i="1"/>
  <c r="B37" i="12"/>
  <c r="J39" i="1"/>
  <c r="I39" i="1"/>
  <c r="H39" i="1"/>
  <c r="R38" i="1"/>
  <c r="B36" i="12"/>
  <c r="J38" i="1"/>
  <c r="I38" i="1"/>
  <c r="H38" i="1"/>
  <c r="R37" i="1"/>
  <c r="B35" i="12"/>
  <c r="J37" i="1"/>
  <c r="I37" i="1"/>
  <c r="H37" i="1"/>
  <c r="R36" i="1"/>
  <c r="B34" i="12"/>
  <c r="J36" i="1"/>
  <c r="I36" i="1"/>
  <c r="H36" i="1"/>
  <c r="R35" i="1"/>
  <c r="B33" i="12"/>
  <c r="J35" i="1"/>
  <c r="I35" i="1"/>
  <c r="H35" i="1"/>
  <c r="R34" i="1"/>
  <c r="B32" i="12"/>
  <c r="J34" i="1"/>
  <c r="I34" i="1"/>
  <c r="H34" i="1"/>
  <c r="R33" i="1"/>
  <c r="B31" i="12"/>
  <c r="J33" i="1"/>
  <c r="I33" i="1"/>
  <c r="H33" i="1"/>
  <c r="R32" i="1"/>
  <c r="B30" i="12"/>
  <c r="J32" i="1"/>
  <c r="I32" i="1"/>
  <c r="H32" i="1"/>
  <c r="R31" i="1"/>
  <c r="B29" i="12"/>
  <c r="J31" i="1"/>
  <c r="I31" i="1"/>
  <c r="H31" i="1"/>
  <c r="R30" i="1"/>
  <c r="B28" i="12"/>
  <c r="J30" i="1"/>
  <c r="I30" i="1"/>
  <c r="H30" i="1"/>
  <c r="R29" i="1"/>
  <c r="B27" i="12"/>
  <c r="J29" i="1"/>
  <c r="I29" i="1"/>
  <c r="H29" i="1"/>
  <c r="R28" i="1"/>
  <c r="B26" i="12"/>
  <c r="J28" i="1"/>
  <c r="I28" i="1"/>
  <c r="H28" i="1"/>
  <c r="R27" i="1"/>
  <c r="B25" i="12"/>
  <c r="J27" i="1"/>
  <c r="I27" i="1"/>
  <c r="H27" i="1"/>
  <c r="R26" i="1"/>
  <c r="B24" i="12"/>
  <c r="J26" i="1"/>
  <c r="I26" i="1"/>
  <c r="H26" i="1"/>
  <c r="R25" i="1"/>
  <c r="B23" i="12"/>
  <c r="J25" i="1"/>
  <c r="I25" i="1"/>
  <c r="H25" i="1"/>
  <c r="R24" i="1"/>
  <c r="B22" i="12"/>
  <c r="J24" i="1"/>
  <c r="I24" i="1"/>
  <c r="H24" i="1"/>
  <c r="R23" i="1"/>
  <c r="B21" i="12"/>
  <c r="J23" i="1"/>
  <c r="I23" i="1"/>
  <c r="H23" i="1"/>
  <c r="R22" i="1"/>
  <c r="B20" i="12"/>
  <c r="J22" i="1"/>
  <c r="I22" i="1"/>
  <c r="H22" i="1"/>
  <c r="R21" i="1"/>
  <c r="B19" i="12"/>
  <c r="J21" i="1"/>
  <c r="I21" i="1"/>
  <c r="H21" i="1"/>
  <c r="R20" i="1"/>
  <c r="B18" i="12"/>
  <c r="B17" i="12"/>
  <c r="B15" i="12"/>
  <c r="B14" i="12"/>
  <c r="B13" i="12"/>
  <c r="B12" i="12"/>
  <c r="B11" i="12"/>
  <c r="B10" i="12"/>
  <c r="B9" i="12"/>
  <c r="B8" i="12"/>
  <c r="B7" i="12"/>
  <c r="R8" i="1"/>
  <c r="K8" i="1"/>
  <c r="B6" i="12" s="1"/>
  <c r="J8" i="1"/>
  <c r="I8" i="1"/>
  <c r="H8" i="1"/>
  <c r="R7" i="1"/>
  <c r="K7" i="1"/>
  <c r="B5" i="12" s="1"/>
  <c r="J7" i="1"/>
  <c r="I7" i="1"/>
  <c r="H7" i="1"/>
  <c r="R6" i="1"/>
  <c r="K6" i="1"/>
  <c r="B4" i="12" s="1"/>
  <c r="J6" i="1"/>
  <c r="I6" i="1"/>
  <c r="H6" i="1"/>
  <c r="R5" i="1"/>
  <c r="K5" i="1"/>
  <c r="B3" i="12" s="1"/>
  <c r="J5" i="1"/>
  <c r="I5" i="1"/>
  <c r="H5" i="1"/>
  <c r="R4" i="1"/>
  <c r="K4" i="1"/>
  <c r="B2" i="12" s="1"/>
  <c r="J4" i="1"/>
  <c r="I4" i="1"/>
  <c r="H4" i="1"/>
  <c r="C6" i="21"/>
  <c r="AQ42" i="7" l="1"/>
  <c r="F29" i="7"/>
  <c r="X25" i="7"/>
  <c r="Q29" i="7"/>
  <c r="E56" i="7"/>
  <c r="AM25" i="7"/>
  <c r="BB29" i="7"/>
  <c r="W42" i="7"/>
  <c r="G30" i="7"/>
  <c r="I29" i="7"/>
  <c r="H29" i="7"/>
  <c r="AK30" i="7"/>
  <c r="AA42" i="7"/>
  <c r="AC21" i="7"/>
  <c r="AL29" i="7"/>
  <c r="P43" i="7"/>
  <c r="AO21" i="7"/>
  <c r="AD43" i="7"/>
  <c r="E67" i="7"/>
  <c r="AY17" i="7"/>
  <c r="F30" i="7"/>
  <c r="L42" i="7"/>
  <c r="AP41" i="7"/>
  <c r="AQ17" i="7"/>
  <c r="AE21" i="7"/>
  <c r="Y25" i="7"/>
  <c r="AQ41" i="7"/>
  <c r="Y42" i="7"/>
  <c r="E66" i="7"/>
  <c r="BH25" i="7"/>
  <c r="AK42" i="7"/>
  <c r="AA29" i="7"/>
  <c r="O30" i="7"/>
  <c r="J41" i="7"/>
  <c r="J42" i="7"/>
  <c r="AM42" i="7"/>
  <c r="G41" i="7"/>
  <c r="AG29" i="7"/>
  <c r="AF30" i="7"/>
  <c r="K41" i="7"/>
  <c r="K42" i="7"/>
  <c r="AO42" i="7"/>
  <c r="W41" i="7"/>
  <c r="AU16" i="7"/>
  <c r="W21" i="7"/>
  <c r="L25" i="7"/>
  <c r="AT29" i="7"/>
  <c r="BD30" i="7"/>
  <c r="AC41" i="7"/>
  <c r="M42" i="7"/>
  <c r="AE16" i="7"/>
  <c r="AS17" i="7"/>
  <c r="O25" i="7"/>
  <c r="E26" i="7"/>
  <c r="G29" i="7"/>
  <c r="AF29" i="7"/>
  <c r="BC30" i="7"/>
  <c r="H41" i="7"/>
  <c r="AF41" i="7"/>
  <c r="AC43" i="7"/>
  <c r="AW16" i="7"/>
  <c r="X26" i="7"/>
  <c r="AT37" i="7"/>
  <c r="W15" i="7"/>
  <c r="BE16" i="7"/>
  <c r="AB25" i="7"/>
  <c r="BC26" i="7"/>
  <c r="K29" i="7"/>
  <c r="AS29" i="7"/>
  <c r="N30" i="7"/>
  <c r="E32" i="7"/>
  <c r="N41" i="7"/>
  <c r="AS41" i="7"/>
  <c r="G43" i="7"/>
  <c r="AL43" i="7"/>
  <c r="Y56" i="7"/>
  <c r="E64" i="7"/>
  <c r="J43" i="7"/>
  <c r="AM43" i="7"/>
  <c r="BE15" i="7"/>
  <c r="J17" i="7"/>
  <c r="E25" i="7"/>
  <c r="AP25" i="7"/>
  <c r="X29" i="7"/>
  <c r="AU29" i="7"/>
  <c r="R30" i="7"/>
  <c r="AA41" i="7"/>
  <c r="AC42" i="7"/>
  <c r="K43" i="7"/>
  <c r="S64" i="7"/>
  <c r="AF43" i="7"/>
  <c r="E16" i="7"/>
  <c r="T17" i="7"/>
  <c r="AY25" i="7"/>
  <c r="Y29" i="7"/>
  <c r="AZ29" i="7"/>
  <c r="AB41" i="7"/>
  <c r="N43" i="7"/>
  <c r="AV9" i="7"/>
  <c r="BT9" i="7"/>
  <c r="CE3" i="7"/>
  <c r="AP3" i="7"/>
  <c r="AU3" i="7"/>
  <c r="AD26" i="7"/>
  <c r="BD26" i="7"/>
  <c r="I28" i="7"/>
  <c r="AI28" i="7"/>
  <c r="I45" i="7"/>
  <c r="AP45" i="7"/>
  <c r="N49" i="7"/>
  <c r="N50" i="7"/>
  <c r="AC53" i="7"/>
  <c r="T64" i="7"/>
  <c r="BD20" i="7"/>
  <c r="BD31" i="7"/>
  <c r="I33" i="7"/>
  <c r="AF33" i="7"/>
  <c r="F38" i="7"/>
  <c r="O40" i="7"/>
  <c r="F64" i="7"/>
  <c r="K69" i="7"/>
  <c r="AC23" i="7"/>
  <c r="BK24" i="7"/>
  <c r="J33" i="7"/>
  <c r="M45" i="7"/>
  <c r="G56" i="7"/>
  <c r="M57" i="7"/>
  <c r="G62" i="7"/>
  <c r="G64" i="7"/>
  <c r="K72" i="7"/>
  <c r="M26" i="7"/>
  <c r="AM26" i="7"/>
  <c r="AQ27" i="7"/>
  <c r="P28" i="7"/>
  <c r="AT28" i="7"/>
  <c r="M33" i="7"/>
  <c r="AK33" i="7"/>
  <c r="R42" i="7"/>
  <c r="AE42" i="7"/>
  <c r="AR42" i="7"/>
  <c r="Z3" i="7"/>
  <c r="BR3" i="7"/>
  <c r="AW4" i="7"/>
  <c r="BL8" i="7"/>
  <c r="S16" i="7"/>
  <c r="S19" i="7"/>
  <c r="H21" i="7"/>
  <c r="BA21" i="7"/>
  <c r="AX23" i="7"/>
  <c r="N26" i="7"/>
  <c r="AN26" i="7"/>
  <c r="AT27" i="7"/>
  <c r="S28" i="7"/>
  <c r="AZ28" i="7"/>
  <c r="N29" i="7"/>
  <c r="AJ29" i="7"/>
  <c r="AA32" i="7"/>
  <c r="O33" i="7"/>
  <c r="AL33" i="7"/>
  <c r="AO36" i="7"/>
  <c r="AD38" i="7"/>
  <c r="E41" i="7"/>
  <c r="P41" i="7"/>
  <c r="AI41" i="7"/>
  <c r="G42" i="7"/>
  <c r="S42" i="7"/>
  <c r="AF42" i="7"/>
  <c r="AS42" i="7"/>
  <c r="U43" i="7"/>
  <c r="AO43" i="7"/>
  <c r="W45" i="7"/>
  <c r="AK47" i="7"/>
  <c r="AI49" i="7"/>
  <c r="AB50" i="7"/>
  <c r="AA54" i="7"/>
  <c r="P56" i="7"/>
  <c r="AC57" i="7"/>
  <c r="K64" i="7"/>
  <c r="M73" i="7"/>
  <c r="AA33" i="7"/>
  <c r="AW33" i="7"/>
  <c r="AO45" i="7"/>
  <c r="BA20" i="7"/>
  <c r="K24" i="7"/>
  <c r="G72" i="7"/>
  <c r="F3" i="7"/>
  <c r="BB3" i="7"/>
  <c r="Y4" i="7"/>
  <c r="R8" i="7"/>
  <c r="G26" i="7"/>
  <c r="BH26" i="7"/>
  <c r="AR28" i="7"/>
  <c r="L45" i="7"/>
  <c r="M28" i="7"/>
  <c r="AS28" i="7"/>
  <c r="N38" i="7"/>
  <c r="Z40" i="7"/>
  <c r="W49" i="7"/>
  <c r="T50" i="7"/>
  <c r="BF16" i="7"/>
  <c r="AX21" i="7"/>
  <c r="AN23" i="7"/>
  <c r="AM19" i="7"/>
  <c r="M21" i="7"/>
  <c r="BK21" i="7"/>
  <c r="AY23" i="7"/>
  <c r="P26" i="7"/>
  <c r="AS26" i="7"/>
  <c r="Y28" i="7"/>
  <c r="BD28" i="7"/>
  <c r="AJ32" i="7"/>
  <c r="S33" i="7"/>
  <c r="AP33" i="7"/>
  <c r="AM38" i="7"/>
  <c r="T41" i="7"/>
  <c r="AL41" i="7"/>
  <c r="H42" i="7"/>
  <c r="T42" i="7"/>
  <c r="AH42" i="7"/>
  <c r="V43" i="7"/>
  <c r="AP43" i="7"/>
  <c r="Y45" i="7"/>
  <c r="AJ49" i="7"/>
  <c r="R56" i="7"/>
  <c r="J63" i="7"/>
  <c r="M64" i="7"/>
  <c r="F71" i="7"/>
  <c r="AG28" i="7"/>
  <c r="F33" i="7"/>
  <c r="AC33" i="7"/>
  <c r="AX33" i="7"/>
  <c r="U23" i="7"/>
  <c r="BA24" i="7"/>
  <c r="AI26" i="7"/>
  <c r="K28" i="7"/>
  <c r="Q49" i="7"/>
  <c r="O50" i="7"/>
  <c r="F56" i="7"/>
  <c r="G57" i="7"/>
  <c r="O3" i="7"/>
  <c r="BD3" i="7"/>
  <c r="AH4" i="7"/>
  <c r="AH8" i="7"/>
  <c r="I26" i="7"/>
  <c r="AL26" i="7"/>
  <c r="AG33" i="7"/>
  <c r="S3" i="7"/>
  <c r="BI3" i="7"/>
  <c r="AB38" i="7"/>
  <c r="AD40" i="7"/>
  <c r="O45" i="7"/>
  <c r="AA49" i="7"/>
  <c r="AA50" i="7"/>
  <c r="O56" i="7"/>
  <c r="O57" i="7"/>
  <c r="P62" i="7"/>
  <c r="J64" i="7"/>
  <c r="AC3" i="7"/>
  <c r="BW3" i="7"/>
  <c r="V16" i="7"/>
  <c r="AG3" i="7"/>
  <c r="CC3" i="7"/>
  <c r="Y9" i="7"/>
  <c r="AN19" i="7"/>
  <c r="U21" i="7"/>
  <c r="V26" i="7"/>
  <c r="E28" i="7"/>
  <c r="W29" i="7"/>
  <c r="AQ29" i="7"/>
  <c r="U33" i="7"/>
  <c r="AV33" i="7"/>
  <c r="F41" i="7"/>
  <c r="V41" i="7"/>
  <c r="AN41" i="7"/>
  <c r="I42" i="7"/>
  <c r="U42" i="7"/>
  <c r="AI42" i="7"/>
  <c r="F43" i="7"/>
  <c r="Z43" i="7"/>
  <c r="AE45" i="7"/>
  <c r="E50" i="7"/>
  <c r="Y55" i="7"/>
  <c r="O64" i="7"/>
  <c r="G74" i="7"/>
  <c r="AN39" i="7"/>
  <c r="F39" i="7"/>
  <c r="Y39" i="7"/>
  <c r="X39" i="7"/>
  <c r="O39" i="7"/>
  <c r="N39" i="7"/>
  <c r="AV39" i="7"/>
  <c r="H39" i="7"/>
  <c r="AT35" i="7"/>
  <c r="AD39" i="7"/>
  <c r="J9" i="7"/>
  <c r="AI9" i="7"/>
  <c r="BF9" i="7"/>
  <c r="AR20" i="7"/>
  <c r="BB20" i="7"/>
  <c r="U20" i="7"/>
  <c r="AO20" i="7"/>
  <c r="J20" i="7"/>
  <c r="AN20" i="7"/>
  <c r="I20" i="7"/>
  <c r="AL20" i="7"/>
  <c r="G20" i="7"/>
  <c r="BJ20" i="7"/>
  <c r="AF20" i="7"/>
  <c r="BN20" i="7"/>
  <c r="BB27" i="7"/>
  <c r="BA27" i="7"/>
  <c r="AC27" i="7"/>
  <c r="K27" i="7"/>
  <c r="AP27" i="7"/>
  <c r="M27" i="7"/>
  <c r="AI27" i="7"/>
  <c r="L27" i="7"/>
  <c r="AH27" i="7"/>
  <c r="J27" i="7"/>
  <c r="AZ27" i="7"/>
  <c r="Z27" i="7"/>
  <c r="AK32" i="7"/>
  <c r="V32" i="7"/>
  <c r="G32" i="7"/>
  <c r="BB32" i="7"/>
  <c r="AI32" i="7"/>
  <c r="O32" i="7"/>
  <c r="AX32" i="7"/>
  <c r="AH32" i="7"/>
  <c r="M32" i="7"/>
  <c r="AW32" i="7"/>
  <c r="AE32" i="7"/>
  <c r="L32" i="7"/>
  <c r="AT32" i="7"/>
  <c r="Z32" i="7"/>
  <c r="J32" i="7"/>
  <c r="AS32" i="7"/>
  <c r="AF39" i="7"/>
  <c r="BV4" i="7"/>
  <c r="BS4" i="7"/>
  <c r="AR4" i="7"/>
  <c r="P4" i="7"/>
  <c r="CB4" i="7"/>
  <c r="AV4" i="7"/>
  <c r="M4" i="7"/>
  <c r="BX4" i="7"/>
  <c r="BP4" i="7"/>
  <c r="AM4" i="7"/>
  <c r="G4" i="7"/>
  <c r="BJ4" i="7"/>
  <c r="AE4" i="7"/>
  <c r="E4" i="7"/>
  <c r="BE4" i="7"/>
  <c r="K9" i="7"/>
  <c r="AJ9" i="7"/>
  <c r="BH9" i="7"/>
  <c r="BQ16" i="7"/>
  <c r="BN16" i="7"/>
  <c r="BC16" i="7"/>
  <c r="AQ16" i="7"/>
  <c r="AD16" i="7"/>
  <c r="R16" i="7"/>
  <c r="G16" i="7"/>
  <c r="BS16" i="7"/>
  <c r="BD16" i="7"/>
  <c r="AN16" i="7"/>
  <c r="AA16" i="7"/>
  <c r="L16" i="7"/>
  <c r="BO16" i="7"/>
  <c r="BB16" i="7"/>
  <c r="AM16" i="7"/>
  <c r="Z16" i="7"/>
  <c r="K16" i="7"/>
  <c r="BM16" i="7"/>
  <c r="AZ16" i="7"/>
  <c r="AL16" i="7"/>
  <c r="Y16" i="7"/>
  <c r="J16" i="7"/>
  <c r="BK16" i="7"/>
  <c r="AV16" i="7"/>
  <c r="AI16" i="7"/>
  <c r="T16" i="7"/>
  <c r="H16" i="7"/>
  <c r="AH16" i="7"/>
  <c r="BJ16" i="7"/>
  <c r="AI31" i="7"/>
  <c r="I31" i="7"/>
  <c r="AX31" i="7"/>
  <c r="S31" i="7"/>
  <c r="AT31" i="7"/>
  <c r="O31" i="7"/>
  <c r="AR31" i="7"/>
  <c r="N31" i="7"/>
  <c r="AF31" i="7"/>
  <c r="E31" i="7"/>
  <c r="K32" i="7"/>
  <c r="AU32" i="7"/>
  <c r="H44" i="7"/>
  <c r="L4" i="7"/>
  <c r="BF4" i="7"/>
  <c r="P9" i="7"/>
  <c r="AM9" i="7"/>
  <c r="I16" i="7"/>
  <c r="AJ16" i="7"/>
  <c r="BL16" i="7"/>
  <c r="T20" i="7"/>
  <c r="R27" i="7"/>
  <c r="V31" i="7"/>
  <c r="T32" i="7"/>
  <c r="P37" i="7"/>
  <c r="AB37" i="7"/>
  <c r="Z37" i="7"/>
  <c r="X37" i="7"/>
  <c r="W37" i="7"/>
  <c r="O37" i="7"/>
  <c r="AG44" i="7"/>
  <c r="AP6" i="7"/>
  <c r="BA6" i="7"/>
  <c r="AF6" i="7"/>
  <c r="BY9" i="7"/>
  <c r="BW9" i="7"/>
  <c r="BM9" i="7"/>
  <c r="BC9" i="7"/>
  <c r="AR9" i="7"/>
  <c r="AH9" i="7"/>
  <c r="X9" i="7"/>
  <c r="L9" i="7"/>
  <c r="E9" i="7"/>
  <c r="BO9" i="7"/>
  <c r="BD9" i="7"/>
  <c r="AQ9" i="7"/>
  <c r="AE9" i="7"/>
  <c r="S9" i="7"/>
  <c r="H9" i="7"/>
  <c r="BN9" i="7"/>
  <c r="BB9" i="7"/>
  <c r="AP9" i="7"/>
  <c r="AD9" i="7"/>
  <c r="R9" i="7"/>
  <c r="G9" i="7"/>
  <c r="BX9" i="7"/>
  <c r="BL9" i="7"/>
  <c r="AZ9" i="7"/>
  <c r="AN9" i="7"/>
  <c r="AB9" i="7"/>
  <c r="Q9" i="7"/>
  <c r="F9" i="7"/>
  <c r="BU9" i="7"/>
  <c r="BJ9" i="7"/>
  <c r="AW9" i="7"/>
  <c r="AL9" i="7"/>
  <c r="Z9" i="7"/>
  <c r="O9" i="7"/>
  <c r="AA9" i="7"/>
  <c r="AY9" i="7"/>
  <c r="BV9" i="7"/>
  <c r="AO6" i="7"/>
  <c r="I9" i="7"/>
  <c r="AG9" i="7"/>
  <c r="BE9" i="7"/>
  <c r="N27" i="7"/>
  <c r="AO39" i="7"/>
  <c r="P16" i="7"/>
  <c r="AR16" i="7"/>
  <c r="Y27" i="7"/>
  <c r="AD31" i="7"/>
  <c r="U32" i="7"/>
  <c r="M37" i="7"/>
  <c r="Z35" i="7"/>
  <c r="T44" i="7"/>
  <c r="AJ44" i="7"/>
  <c r="I44" i="7"/>
  <c r="AE44" i="7"/>
  <c r="Y44" i="7"/>
  <c r="V44" i="7"/>
  <c r="P44" i="7"/>
  <c r="O44" i="7"/>
  <c r="Q20" i="7"/>
  <c r="U4" i="7"/>
  <c r="BN4" i="7"/>
  <c r="T9" i="7"/>
  <c r="AT9" i="7"/>
  <c r="BR9" i="7"/>
  <c r="BA17" i="7"/>
  <c r="BK17" i="7"/>
  <c r="V17" i="7"/>
  <c r="AP17" i="7"/>
  <c r="AF17" i="7"/>
  <c r="X17" i="7"/>
  <c r="AZ17" i="7"/>
  <c r="K17" i="7"/>
  <c r="AB20" i="7"/>
  <c r="V4" i="7"/>
  <c r="V9" i="7"/>
  <c r="AU9" i="7"/>
  <c r="BS9" i="7"/>
  <c r="Q16" i="7"/>
  <c r="AT16" i="7"/>
  <c r="H17" i="7"/>
  <c r="AJ20" i="7"/>
  <c r="AB27" i="7"/>
  <c r="AE31" i="7"/>
  <c r="Y32" i="7"/>
  <c r="AV34" i="7"/>
  <c r="AA34" i="7"/>
  <c r="AC34" i="7"/>
  <c r="T34" i="7"/>
  <c r="O34" i="7"/>
  <c r="K34" i="7"/>
  <c r="AP37" i="7"/>
  <c r="AM44" i="7"/>
  <c r="H48" i="7"/>
  <c r="U48" i="7"/>
  <c r="Z54" i="7"/>
  <c r="K54" i="7"/>
  <c r="Y54" i="7"/>
  <c r="I54" i="7"/>
  <c r="S54" i="7"/>
  <c r="E54" i="7"/>
  <c r="AE54" i="7"/>
  <c r="AD3" i="7"/>
  <c r="BE3" i="7"/>
  <c r="BQ15" i="7"/>
  <c r="Q15" i="7"/>
  <c r="BD25" i="7"/>
  <c r="AE25" i="7"/>
  <c r="F25" i="7"/>
  <c r="AL25" i="7"/>
  <c r="BJ25" i="7"/>
  <c r="E36" i="7"/>
  <c r="T48" i="7"/>
  <c r="G54" i="7"/>
  <c r="P71" i="7"/>
  <c r="L71" i="7"/>
  <c r="K71" i="7"/>
  <c r="H71" i="7"/>
  <c r="AO40" i="7"/>
  <c r="P40" i="7"/>
  <c r="AG40" i="7"/>
  <c r="L54" i="7"/>
  <c r="K3" i="7"/>
  <c r="AN3" i="7"/>
  <c r="BO3" i="7"/>
  <c r="AL15" i="7"/>
  <c r="AS21" i="7"/>
  <c r="J21" i="7"/>
  <c r="AH21" i="7"/>
  <c r="BK23" i="7"/>
  <c r="H23" i="7"/>
  <c r="N25" i="7"/>
  <c r="AN25" i="7"/>
  <c r="AZ26" i="7"/>
  <c r="AV26" i="7"/>
  <c r="AC26" i="7"/>
  <c r="L26" i="7"/>
  <c r="W26" i="7"/>
  <c r="AR26" i="7"/>
  <c r="BE28" i="7"/>
  <c r="AL28" i="7"/>
  <c r="Q28" i="7"/>
  <c r="AA28" i="7"/>
  <c r="AV28" i="7"/>
  <c r="X36" i="7"/>
  <c r="H40" i="7"/>
  <c r="AJ40" i="7"/>
  <c r="AF49" i="7"/>
  <c r="H49" i="7"/>
  <c r="AB49" i="7"/>
  <c r="G49" i="7"/>
  <c r="V49" i="7"/>
  <c r="M54" i="7"/>
  <c r="G71" i="7"/>
  <c r="AV19" i="7"/>
  <c r="BD19" i="7"/>
  <c r="AE36" i="7"/>
  <c r="I40" i="7"/>
  <c r="AR40" i="7"/>
  <c r="AB47" i="7"/>
  <c r="X47" i="7"/>
  <c r="I47" i="7"/>
  <c r="V53" i="7"/>
  <c r="F53" i="7"/>
  <c r="O54" i="7"/>
  <c r="E69" i="7"/>
  <c r="R69" i="7"/>
  <c r="Q69" i="7"/>
  <c r="M69" i="7"/>
  <c r="P3" i="7"/>
  <c r="AQ3" i="7"/>
  <c r="BC15" i="7"/>
  <c r="R19" i="7"/>
  <c r="I21" i="7"/>
  <c r="AW21" i="7"/>
  <c r="X23" i="7"/>
  <c r="S25" i="7"/>
  <c r="AW25" i="7"/>
  <c r="H26" i="7"/>
  <c r="AB26" i="7"/>
  <c r="AY26" i="7"/>
  <c r="J28" i="7"/>
  <c r="AD28" i="7"/>
  <c r="BC28" i="7"/>
  <c r="AZ30" i="7"/>
  <c r="AJ30" i="7"/>
  <c r="AL30" i="7"/>
  <c r="AF36" i="7"/>
  <c r="N40" i="7"/>
  <c r="O47" i="7"/>
  <c r="P49" i="7"/>
  <c r="AB53" i="7"/>
  <c r="U54" i="7"/>
  <c r="F69" i="7"/>
  <c r="O72" i="7"/>
  <c r="I72" i="7"/>
  <c r="S43" i="7"/>
  <c r="AH43" i="7"/>
  <c r="U57" i="7"/>
  <c r="R64" i="7"/>
  <c r="T29" i="7"/>
  <c r="AK29" i="7"/>
  <c r="W33" i="7"/>
  <c r="S41" i="7"/>
  <c r="Q42" i="7"/>
  <c r="AB42" i="7"/>
  <c r="AN42" i="7"/>
  <c r="H43" i="7"/>
  <c r="X43" i="7"/>
  <c r="AN43" i="7"/>
  <c r="Q58" i="7"/>
  <c r="R62" i="7"/>
  <c r="H64" i="7"/>
  <c r="BT8" i="7"/>
  <c r="BQ8" i="7"/>
  <c r="BB8" i="7"/>
  <c r="AM8" i="7"/>
  <c r="AA8" i="7"/>
  <c r="L8" i="7"/>
  <c r="BN8" i="7"/>
  <c r="S8" i="7"/>
  <c r="AI8" i="7"/>
  <c r="AY8" i="7"/>
  <c r="BR8" i="7"/>
  <c r="AX35" i="7"/>
  <c r="AN35" i="7"/>
  <c r="AC35" i="7"/>
  <c r="S35" i="7"/>
  <c r="I35" i="7"/>
  <c r="AR35" i="7"/>
  <c r="AF35" i="7"/>
  <c r="T35" i="7"/>
  <c r="H35" i="7"/>
  <c r="AW35" i="7"/>
  <c r="AJ35" i="7"/>
  <c r="V35" i="7"/>
  <c r="J35" i="7"/>
  <c r="AV35" i="7"/>
  <c r="AI35" i="7"/>
  <c r="U35" i="7"/>
  <c r="F35" i="7"/>
  <c r="AQ35" i="7"/>
  <c r="AB35" i="7"/>
  <c r="P35" i="7"/>
  <c r="AA35" i="7"/>
  <c r="AZ35" i="7"/>
  <c r="F8" i="7"/>
  <c r="U8" i="7"/>
  <c r="AK8" i="7"/>
  <c r="BA8" i="7"/>
  <c r="BS8" i="7"/>
  <c r="L60" i="7"/>
  <c r="F81" i="7"/>
  <c r="CD3" i="7"/>
  <c r="BV3" i="7"/>
  <c r="BJ3" i="7"/>
  <c r="AW3" i="7"/>
  <c r="AL3" i="7"/>
  <c r="Y3" i="7"/>
  <c r="M3" i="7"/>
  <c r="Q3" i="7"/>
  <c r="AE3" i="7"/>
  <c r="AS3" i="7"/>
  <c r="BF3" i="7"/>
  <c r="BT3" i="7"/>
  <c r="BT6" i="7"/>
  <c r="AD6" i="7"/>
  <c r="AY6" i="7"/>
  <c r="G8" i="7"/>
  <c r="W8" i="7"/>
  <c r="AL8" i="7"/>
  <c r="BC8" i="7"/>
  <c r="BV8" i="7"/>
  <c r="Q10" i="7"/>
  <c r="R13" i="7"/>
  <c r="N14" i="7"/>
  <c r="AI14" i="7"/>
  <c r="BE14" i="7"/>
  <c r="H15" i="7"/>
  <c r="AA15" i="7"/>
  <c r="AR15" i="7"/>
  <c r="BL15" i="7"/>
  <c r="F19" i="7"/>
  <c r="AA19" i="7"/>
  <c r="AS19" i="7"/>
  <c r="BI19" i="7"/>
  <c r="J22" i="7"/>
  <c r="AO22" i="7"/>
  <c r="BE23" i="7"/>
  <c r="BD23" i="7"/>
  <c r="AH23" i="7"/>
  <c r="M23" i="7"/>
  <c r="AZ23" i="7"/>
  <c r="AF23" i="7"/>
  <c r="K23" i="7"/>
  <c r="AE23" i="7"/>
  <c r="BI23" i="7"/>
  <c r="BI25" i="7"/>
  <c r="BC25" i="7"/>
  <c r="AT25" i="7"/>
  <c r="AJ25" i="7"/>
  <c r="AA25" i="7"/>
  <c r="R25" i="7"/>
  <c r="I25" i="7"/>
  <c r="BB25" i="7"/>
  <c r="AR25" i="7"/>
  <c r="AI25" i="7"/>
  <c r="Z25" i="7"/>
  <c r="Q25" i="7"/>
  <c r="H25" i="7"/>
  <c r="P25" i="7"/>
  <c r="AD25" i="7"/>
  <c r="AO25" i="7"/>
  <c r="AZ25" i="7"/>
  <c r="BA31" i="7"/>
  <c r="AZ31" i="7"/>
  <c r="AQ31" i="7"/>
  <c r="AH31" i="7"/>
  <c r="Y31" i="7"/>
  <c r="P31" i="7"/>
  <c r="G31" i="7"/>
  <c r="AW31" i="7"/>
  <c r="AM31" i="7"/>
  <c r="AB31" i="7"/>
  <c r="R31" i="7"/>
  <c r="H31" i="7"/>
  <c r="AV31" i="7"/>
  <c r="AL31" i="7"/>
  <c r="AA31" i="7"/>
  <c r="Q31" i="7"/>
  <c r="F31" i="7"/>
  <c r="T31" i="7"/>
  <c r="AG31" i="7"/>
  <c r="AU31" i="7"/>
  <c r="L35" i="7"/>
  <c r="AH35" i="7"/>
  <c r="AP36" i="7"/>
  <c r="AB36" i="7"/>
  <c r="M36" i="7"/>
  <c r="AN36" i="7"/>
  <c r="W36" i="7"/>
  <c r="H36" i="7"/>
  <c r="AH36" i="7"/>
  <c r="R36" i="7"/>
  <c r="AY36" i="7"/>
  <c r="AG36" i="7"/>
  <c r="O36" i="7"/>
  <c r="AR36" i="7"/>
  <c r="Y36" i="7"/>
  <c r="I36" i="7"/>
  <c r="AI36" i="7"/>
  <c r="AF53" i="7"/>
  <c r="T53" i="7"/>
  <c r="H53" i="7"/>
  <c r="Y53" i="7"/>
  <c r="L53" i="7"/>
  <c r="X53" i="7"/>
  <c r="K53" i="7"/>
  <c r="U53" i="7"/>
  <c r="E53" i="7"/>
  <c r="S53" i="7"/>
  <c r="AH53" i="7"/>
  <c r="Q53" i="7"/>
  <c r="AD53" i="7"/>
  <c r="M53" i="7"/>
  <c r="R60" i="7"/>
  <c r="U65" i="7"/>
  <c r="T65" i="7"/>
  <c r="K65" i="7"/>
  <c r="Q65" i="7"/>
  <c r="G65" i="7"/>
  <c r="P65" i="7"/>
  <c r="F65" i="7"/>
  <c r="S65" i="7"/>
  <c r="I65" i="7"/>
  <c r="L65" i="7"/>
  <c r="J65" i="7"/>
  <c r="H65" i="7"/>
  <c r="V65" i="7"/>
  <c r="E65" i="7"/>
  <c r="M67" i="7"/>
  <c r="J67" i="7"/>
  <c r="G67" i="7"/>
  <c r="Q67" i="7"/>
  <c r="F67" i="7"/>
  <c r="J77" i="7"/>
  <c r="H77" i="7"/>
  <c r="Z52" i="7"/>
  <c r="R52" i="7"/>
  <c r="AB52" i="7"/>
  <c r="X52" i="7"/>
  <c r="AG52" i="7"/>
  <c r="AD52" i="7"/>
  <c r="N52" i="7"/>
  <c r="X59" i="7"/>
  <c r="R59" i="7"/>
  <c r="P59" i="7"/>
  <c r="G59" i="7"/>
  <c r="J52" i="7"/>
  <c r="J75" i="7"/>
  <c r="H75" i="7"/>
  <c r="G75" i="7"/>
  <c r="F75" i="7"/>
  <c r="I22" i="7"/>
  <c r="AN22" i="7"/>
  <c r="BM22" i="7"/>
  <c r="H8" i="7"/>
  <c r="X8" i="7"/>
  <c r="AQ8" i="7"/>
  <c r="BF8" i="7"/>
  <c r="BW8" i="7"/>
  <c r="AB10" i="7"/>
  <c r="AB13" i="7"/>
  <c r="R14" i="7"/>
  <c r="AM14" i="7"/>
  <c r="BH14" i="7"/>
  <c r="K15" i="7"/>
  <c r="AB15" i="7"/>
  <c r="AS15" i="7"/>
  <c r="BM15" i="7"/>
  <c r="U60" i="7"/>
  <c r="G3" i="7"/>
  <c r="U3" i="7"/>
  <c r="AH3" i="7"/>
  <c r="AV3" i="7"/>
  <c r="BK3" i="7"/>
  <c r="BY3" i="7"/>
  <c r="J6" i="7"/>
  <c r="BJ6" i="7"/>
  <c r="K8" i="7"/>
  <c r="AB8" i="7"/>
  <c r="AR8" i="7"/>
  <c r="BH8" i="7"/>
  <c r="BX8" i="7"/>
  <c r="AL10" i="7"/>
  <c r="BG13" i="7"/>
  <c r="T14" i="7"/>
  <c r="AO14" i="7"/>
  <c r="L15" i="7"/>
  <c r="AC15" i="7"/>
  <c r="AY15" i="7"/>
  <c r="E17" i="7"/>
  <c r="AC17" i="7"/>
  <c r="M19" i="7"/>
  <c r="AD19" i="7"/>
  <c r="E20" i="7"/>
  <c r="V20" i="7"/>
  <c r="BN21" i="7"/>
  <c r="BJ21" i="7"/>
  <c r="AN21" i="7"/>
  <c r="T21" i="7"/>
  <c r="BH21" i="7"/>
  <c r="AM21" i="7"/>
  <c r="R21" i="7"/>
  <c r="AD21" i="7"/>
  <c r="BC21" i="7"/>
  <c r="U22" i="7"/>
  <c r="AW22" i="7"/>
  <c r="J23" i="7"/>
  <c r="AO23" i="7"/>
  <c r="BC24" i="7"/>
  <c r="AQ24" i="7"/>
  <c r="AF24" i="7"/>
  <c r="G25" i="7"/>
  <c r="T25" i="7"/>
  <c r="AF25" i="7"/>
  <c r="AQ25" i="7"/>
  <c r="BE25" i="7"/>
  <c r="E27" i="7"/>
  <c r="U27" i="7"/>
  <c r="AJ27" i="7"/>
  <c r="T30" i="7"/>
  <c r="AR30" i="7"/>
  <c r="J31" i="7"/>
  <c r="W31" i="7"/>
  <c r="AJ31" i="7"/>
  <c r="AY31" i="7"/>
  <c r="AN34" i="7"/>
  <c r="Q35" i="7"/>
  <c r="AL35" i="7"/>
  <c r="L36" i="7"/>
  <c r="AQ36" i="7"/>
  <c r="T40" i="7"/>
  <c r="AN40" i="7"/>
  <c r="AM46" i="7"/>
  <c r="Y46" i="7"/>
  <c r="AG46" i="7"/>
  <c r="X46" i="7"/>
  <c r="M46" i="7"/>
  <c r="K46" i="7"/>
  <c r="J53" i="7"/>
  <c r="O65" i="7"/>
  <c r="G77" i="7"/>
  <c r="BJ14" i="7"/>
  <c r="AS14" i="7"/>
  <c r="AD14" i="7"/>
  <c r="M14" i="7"/>
  <c r="BI14" i="7"/>
  <c r="AR14" i="7"/>
  <c r="AC14" i="7"/>
  <c r="K14" i="7"/>
  <c r="Y14" i="7"/>
  <c r="AY14" i="7"/>
  <c r="BS14" i="7"/>
  <c r="H22" i="7"/>
  <c r="AE22" i="7"/>
  <c r="BK22" i="7"/>
  <c r="V60" i="7"/>
  <c r="Q60" i="7"/>
  <c r="F60" i="7"/>
  <c r="P60" i="7"/>
  <c r="O60" i="7"/>
  <c r="T60" i="7"/>
  <c r="G60" i="7"/>
  <c r="J60" i="7"/>
  <c r="I60" i="7"/>
  <c r="Z60" i="7"/>
  <c r="H60" i="7"/>
  <c r="X60" i="7"/>
  <c r="BT15" i="7"/>
  <c r="BK15" i="7"/>
  <c r="AV15" i="7"/>
  <c r="AI15" i="7"/>
  <c r="U15" i="7"/>
  <c r="G15" i="7"/>
  <c r="BI15" i="7"/>
  <c r="AU15" i="7"/>
  <c r="AG15" i="7"/>
  <c r="S15" i="7"/>
  <c r="F15" i="7"/>
  <c r="X15" i="7"/>
  <c r="AQ15" i="7"/>
  <c r="BH15" i="7"/>
  <c r="BK19" i="7"/>
  <c r="BM19" i="7"/>
  <c r="AX19" i="7"/>
  <c r="AL19" i="7"/>
  <c r="W19" i="7"/>
  <c r="I19" i="7"/>
  <c r="BL19" i="7"/>
  <c r="AW19" i="7"/>
  <c r="AI19" i="7"/>
  <c r="V19" i="7"/>
  <c r="H19" i="7"/>
  <c r="X19" i="7"/>
  <c r="AP19" i="7"/>
  <c r="BG19" i="7"/>
  <c r="K35" i="7"/>
  <c r="AD35" i="7"/>
  <c r="K19" i="7"/>
  <c r="AC19" i="7"/>
  <c r="AT19" i="7"/>
  <c r="BN19" i="7"/>
  <c r="M35" i="7"/>
  <c r="AK35" i="7"/>
  <c r="H3" i="7"/>
  <c r="V3" i="7"/>
  <c r="AI3" i="7"/>
  <c r="AY3" i="7"/>
  <c r="BM3" i="7"/>
  <c r="CA3" i="7"/>
  <c r="S6" i="7"/>
  <c r="BK6" i="7"/>
  <c r="N8" i="7"/>
  <c r="AC8" i="7"/>
  <c r="AS8" i="7"/>
  <c r="BI8" i="7"/>
  <c r="CA8" i="7"/>
  <c r="U14" i="7"/>
  <c r="AP14" i="7"/>
  <c r="BO14" i="7"/>
  <c r="N15" i="7"/>
  <c r="AF15" i="7"/>
  <c r="BA15" i="7"/>
  <c r="BR15" i="7"/>
  <c r="BI17" i="7"/>
  <c r="AN17" i="7"/>
  <c r="S17" i="7"/>
  <c r="BC17" i="7"/>
  <c r="AI17" i="7"/>
  <c r="N17" i="7"/>
  <c r="AE17" i="7"/>
  <c r="BJ17" i="7"/>
  <c r="N19" i="7"/>
  <c r="AF19" i="7"/>
  <c r="BB19" i="7"/>
  <c r="BL20" i="7"/>
  <c r="AV20" i="7"/>
  <c r="AE20" i="7"/>
  <c r="N20" i="7"/>
  <c r="BK20" i="7"/>
  <c r="AT20" i="7"/>
  <c r="AD20" i="7"/>
  <c r="L20" i="7"/>
  <c r="Y20" i="7"/>
  <c r="AX20" i="7"/>
  <c r="W22" i="7"/>
  <c r="S23" i="7"/>
  <c r="AP23" i="7"/>
  <c r="J25" i="7"/>
  <c r="V25" i="7"/>
  <c r="AG25" i="7"/>
  <c r="AU25" i="7"/>
  <c r="BF25" i="7"/>
  <c r="AY27" i="7"/>
  <c r="AL27" i="7"/>
  <c r="BH27" i="7"/>
  <c r="AS27" i="7"/>
  <c r="AG27" i="7"/>
  <c r="T27" i="7"/>
  <c r="I27" i="7"/>
  <c r="BF27" i="7"/>
  <c r="AR27" i="7"/>
  <c r="AD27" i="7"/>
  <c r="S27" i="7"/>
  <c r="F27" i="7"/>
  <c r="V27" i="7"/>
  <c r="AO27" i="7"/>
  <c r="BE27" i="7"/>
  <c r="X30" i="7"/>
  <c r="K31" i="7"/>
  <c r="X31" i="7"/>
  <c r="AN31" i="7"/>
  <c r="BB31" i="7"/>
  <c r="R35" i="7"/>
  <c r="AO35" i="7"/>
  <c r="S36" i="7"/>
  <c r="AS36" i="7"/>
  <c r="E40" i="7"/>
  <c r="V40" i="7"/>
  <c r="N53" i="7"/>
  <c r="R65" i="7"/>
  <c r="F78" i="7"/>
  <c r="G78" i="7"/>
  <c r="E78" i="7"/>
  <c r="BD22" i="7"/>
  <c r="BG22" i="7"/>
  <c r="AM22" i="7"/>
  <c r="R22" i="7"/>
  <c r="BC22" i="7"/>
  <c r="AG22" i="7"/>
  <c r="M22" i="7"/>
  <c r="AD22" i="7"/>
  <c r="BI22" i="7"/>
  <c r="BY10" i="7"/>
  <c r="BQ10" i="7"/>
  <c r="BG10" i="7"/>
  <c r="BO13" i="7"/>
  <c r="AW13" i="7"/>
  <c r="AL13" i="7"/>
  <c r="G14" i="7"/>
  <c r="AE14" i="7"/>
  <c r="AZ14" i="7"/>
  <c r="BU14" i="7"/>
  <c r="F10" i="7"/>
  <c r="F13" i="7"/>
  <c r="I14" i="7"/>
  <c r="AH14" i="7"/>
  <c r="BB14" i="7"/>
  <c r="S22" i="7"/>
  <c r="AS22" i="7"/>
  <c r="J3" i="7"/>
  <c r="X3" i="7"/>
  <c r="AM3" i="7"/>
  <c r="BA3" i="7"/>
  <c r="BN3" i="7"/>
  <c r="CB3" i="7"/>
  <c r="U6" i="7"/>
  <c r="BU6" i="7"/>
  <c r="P8" i="7"/>
  <c r="AF8" i="7"/>
  <c r="AU8" i="7"/>
  <c r="BK8" i="7"/>
  <c r="E14" i="7"/>
  <c r="W14" i="7"/>
  <c r="AX14" i="7"/>
  <c r="BR14" i="7"/>
  <c r="P15" i="7"/>
  <c r="AK15" i="7"/>
  <c r="BB15" i="7"/>
  <c r="BS15" i="7"/>
  <c r="Q19" i="7"/>
  <c r="AG19" i="7"/>
  <c r="BC19" i="7"/>
  <c r="AC22" i="7"/>
  <c r="AY22" i="7"/>
  <c r="T23" i="7"/>
  <c r="AR23" i="7"/>
  <c r="K25" i="7"/>
  <c r="W25" i="7"/>
  <c r="AH25" i="7"/>
  <c r="AV25" i="7"/>
  <c r="BG25" i="7"/>
  <c r="AX30" i="7"/>
  <c r="AG30" i="7"/>
  <c r="Q30" i="7"/>
  <c r="AU30" i="7"/>
  <c r="AC30" i="7"/>
  <c r="J30" i="7"/>
  <c r="AS30" i="7"/>
  <c r="Z30" i="7"/>
  <c r="H30" i="7"/>
  <c r="Y30" i="7"/>
  <c r="BB30" i="7"/>
  <c r="L31" i="7"/>
  <c r="Z31" i="7"/>
  <c r="AO31" i="7"/>
  <c r="BC31" i="7"/>
  <c r="AS34" i="7"/>
  <c r="AP34" i="7"/>
  <c r="U34" i="7"/>
  <c r="AM34" i="7"/>
  <c r="N34" i="7"/>
  <c r="AJ34" i="7"/>
  <c r="G34" i="7"/>
  <c r="AI34" i="7"/>
  <c r="F34" i="7"/>
  <c r="AZ34" i="7"/>
  <c r="Z34" i="7"/>
  <c r="AX34" i="7"/>
  <c r="Y35" i="7"/>
  <c r="AS35" i="7"/>
  <c r="U36" i="7"/>
  <c r="AX36" i="7"/>
  <c r="AS40" i="7"/>
  <c r="AU40" i="7"/>
  <c r="AL40" i="7"/>
  <c r="AB40" i="7"/>
  <c r="S40" i="7"/>
  <c r="J40" i="7"/>
  <c r="AM40" i="7"/>
  <c r="AA40" i="7"/>
  <c r="Q40" i="7"/>
  <c r="G40" i="7"/>
  <c r="AI40" i="7"/>
  <c r="X40" i="7"/>
  <c r="L40" i="7"/>
  <c r="AT40" i="7"/>
  <c r="AH40" i="7"/>
  <c r="W40" i="7"/>
  <c r="K40" i="7"/>
  <c r="AP40" i="7"/>
  <c r="AE40" i="7"/>
  <c r="R40" i="7"/>
  <c r="F40" i="7"/>
  <c r="Y40" i="7"/>
  <c r="AQ40" i="7"/>
  <c r="AP38" i="7"/>
  <c r="M38" i="7"/>
  <c r="O38" i="7"/>
  <c r="AT38" i="7"/>
  <c r="AH44" i="7"/>
  <c r="X44" i="7"/>
  <c r="M44" i="7"/>
  <c r="E44" i="7"/>
  <c r="AP44" i="7"/>
  <c r="AD44" i="7"/>
  <c r="R44" i="7"/>
  <c r="G44" i="7"/>
  <c r="AN44" i="7"/>
  <c r="AC44" i="7"/>
  <c r="Q44" i="7"/>
  <c r="F44" i="7"/>
  <c r="U44" i="7"/>
  <c r="AK44" i="7"/>
  <c r="AK49" i="7"/>
  <c r="AG49" i="7"/>
  <c r="X49" i="7"/>
  <c r="O49" i="7"/>
  <c r="F49" i="7"/>
  <c r="AE49" i="7"/>
  <c r="T49" i="7"/>
  <c r="J49" i="7"/>
  <c r="AD49" i="7"/>
  <c r="S49" i="7"/>
  <c r="I49" i="7"/>
  <c r="R49" i="7"/>
  <c r="AH49" i="7"/>
  <c r="AC56" i="7"/>
  <c r="Z56" i="7"/>
  <c r="Q56" i="7"/>
  <c r="H56" i="7"/>
  <c r="AE56" i="7"/>
  <c r="T56" i="7"/>
  <c r="J56" i="7"/>
  <c r="AD56" i="7"/>
  <c r="S56" i="7"/>
  <c r="I56" i="7"/>
  <c r="W56" i="7"/>
  <c r="L56" i="7"/>
  <c r="V56" i="7"/>
  <c r="W63" i="7"/>
  <c r="U63" i="7"/>
  <c r="AE55" i="7"/>
  <c r="T55" i="7"/>
  <c r="X55" i="7"/>
  <c r="Q55" i="7"/>
  <c r="AF55" i="7"/>
  <c r="E55" i="7"/>
  <c r="N66" i="7"/>
  <c r="I66" i="7"/>
  <c r="G66" i="7"/>
  <c r="O66" i="7"/>
  <c r="I73" i="7"/>
  <c r="G73" i="7"/>
  <c r="L73" i="7"/>
  <c r="K73" i="7"/>
  <c r="E73" i="7"/>
  <c r="AZ32" i="7"/>
  <c r="AO32" i="7"/>
  <c r="BA32" i="7"/>
  <c r="AM32" i="7"/>
  <c r="AC32" i="7"/>
  <c r="S32" i="7"/>
  <c r="I32" i="7"/>
  <c r="Q32" i="7"/>
  <c r="AB32" i="7"/>
  <c r="AQ32" i="7"/>
  <c r="BC32" i="7"/>
  <c r="Y38" i="7"/>
  <c r="J44" i="7"/>
  <c r="Z44" i="7"/>
  <c r="AM45" i="7"/>
  <c r="V45" i="7"/>
  <c r="G45" i="7"/>
  <c r="AN45" i="7"/>
  <c r="U45" i="7"/>
  <c r="AJ45" i="7"/>
  <c r="Q45" i="7"/>
  <c r="AB45" i="7"/>
  <c r="K49" i="7"/>
  <c r="Y49" i="7"/>
  <c r="AL49" i="7"/>
  <c r="G55" i="7"/>
  <c r="K56" i="7"/>
  <c r="AA56" i="7"/>
  <c r="F66" i="7"/>
  <c r="F73" i="7"/>
  <c r="N16" i="7"/>
  <c r="W16" i="7"/>
  <c r="AF16" i="7"/>
  <c r="AO16" i="7"/>
  <c r="AX16" i="7"/>
  <c r="BG16" i="7"/>
  <c r="BP16" i="7"/>
  <c r="AD4" i="7"/>
  <c r="BA4" i="7"/>
  <c r="BY4" i="7"/>
  <c r="N9" i="7"/>
  <c r="W9" i="7"/>
  <c r="AF9" i="7"/>
  <c r="AO9" i="7"/>
  <c r="AX9" i="7"/>
  <c r="BG9" i="7"/>
  <c r="BP9" i="7"/>
  <c r="BZ9" i="7"/>
  <c r="F16" i="7"/>
  <c r="O16" i="7"/>
  <c r="X16" i="7"/>
  <c r="AG16" i="7"/>
  <c r="AP16" i="7"/>
  <c r="AY16" i="7"/>
  <c r="BH16" i="7"/>
  <c r="BR16" i="7"/>
  <c r="T26" i="7"/>
  <c r="AJ26" i="7"/>
  <c r="BD29" i="7"/>
  <c r="AR29" i="7"/>
  <c r="AC29" i="7"/>
  <c r="O29" i="7"/>
  <c r="S29" i="7"/>
  <c r="AI29" i="7"/>
  <c r="AY29" i="7"/>
  <c r="F32" i="7"/>
  <c r="R32" i="7"/>
  <c r="AD32" i="7"/>
  <c r="AR32" i="7"/>
  <c r="AY33" i="7"/>
  <c r="AM33" i="7"/>
  <c r="X33" i="7"/>
  <c r="K33" i="7"/>
  <c r="AU33" i="7"/>
  <c r="AE33" i="7"/>
  <c r="N33" i="7"/>
  <c r="V33" i="7"/>
  <c r="AN33" i="7"/>
  <c r="AX37" i="7"/>
  <c r="AC37" i="7"/>
  <c r="H37" i="7"/>
  <c r="AJ37" i="7"/>
  <c r="G37" i="7"/>
  <c r="AL37" i="7"/>
  <c r="AA38" i="7"/>
  <c r="L44" i="7"/>
  <c r="AB44" i="7"/>
  <c r="H45" i="7"/>
  <c r="AD45" i="7"/>
  <c r="L49" i="7"/>
  <c r="Z49" i="7"/>
  <c r="I55" i="7"/>
  <c r="N56" i="7"/>
  <c r="AB56" i="7"/>
  <c r="M66" i="7"/>
  <c r="I69" i="7"/>
  <c r="J69" i="7"/>
  <c r="H69" i="7"/>
  <c r="L69" i="7"/>
  <c r="M72" i="7"/>
  <c r="J72" i="7"/>
  <c r="N72" i="7"/>
  <c r="E72" i="7"/>
  <c r="L72" i="7"/>
  <c r="F72" i="7"/>
  <c r="H73" i="7"/>
  <c r="H76" i="7"/>
  <c r="K76" i="7"/>
  <c r="G76" i="7"/>
  <c r="Z57" i="7"/>
  <c r="L57" i="7"/>
  <c r="Y58" i="7"/>
  <c r="H58" i="7"/>
  <c r="X50" i="7"/>
  <c r="AD50" i="7"/>
  <c r="L50" i="7"/>
  <c r="AC50" i="7"/>
  <c r="AD54" i="7"/>
  <c r="T54" i="7"/>
  <c r="J54" i="7"/>
  <c r="Q54" i="7"/>
  <c r="AB54" i="7"/>
  <c r="W57" i="7"/>
  <c r="N61" i="7"/>
  <c r="R61" i="7"/>
  <c r="U28" i="7"/>
  <c r="AM28" i="7"/>
  <c r="AJ39" i="7"/>
  <c r="AR39" i="7"/>
  <c r="P39" i="7"/>
  <c r="AE39" i="7"/>
  <c r="AK41" i="7"/>
  <c r="X41" i="7"/>
  <c r="M41" i="7"/>
  <c r="R41" i="7"/>
  <c r="AE41" i="7"/>
  <c r="AR41" i="7"/>
  <c r="AF47" i="7"/>
  <c r="AC47" i="7"/>
  <c r="F50" i="7"/>
  <c r="AJ50" i="7"/>
  <c r="F54" i="7"/>
  <c r="R54" i="7"/>
  <c r="AC54" i="7"/>
  <c r="X57" i="7"/>
  <c r="V64" i="7"/>
  <c r="L64" i="7"/>
  <c r="P64" i="7"/>
  <c r="J71" i="7"/>
  <c r="O71" i="7"/>
  <c r="P42" i="7"/>
  <c r="Z42" i="7"/>
  <c r="Q43" i="7"/>
  <c r="O9" i="4"/>
  <c r="L9" i="4"/>
  <c r="L4" i="15"/>
  <c r="J4" i="15"/>
  <c r="L5" i="15"/>
  <c r="BS12" i="7"/>
  <c r="BK12" i="7"/>
  <c r="BC12" i="7"/>
  <c r="AU12" i="7"/>
  <c r="AM12" i="7"/>
  <c r="AE12" i="7"/>
  <c r="W12" i="7"/>
  <c r="O12" i="7"/>
  <c r="G12" i="7"/>
  <c r="BR12" i="7"/>
  <c r="BI12" i="7"/>
  <c r="AZ12" i="7"/>
  <c r="AQ12" i="7"/>
  <c r="AH12" i="7"/>
  <c r="Y12" i="7"/>
  <c r="P12" i="7"/>
  <c r="F12" i="7"/>
  <c r="Q12" i="7"/>
  <c r="AA12" i="7"/>
  <c r="AK12" i="7"/>
  <c r="AV12" i="7"/>
  <c r="BF12" i="7"/>
  <c r="BP12" i="7"/>
  <c r="BM17" i="7"/>
  <c r="BE17" i="7"/>
  <c r="AW17" i="7"/>
  <c r="AO17" i="7"/>
  <c r="AG17" i="7"/>
  <c r="Y17" i="7"/>
  <c r="Q17" i="7"/>
  <c r="I17" i="7"/>
  <c r="BO17" i="7"/>
  <c r="BF17" i="7"/>
  <c r="AV17" i="7"/>
  <c r="AM17" i="7"/>
  <c r="AD17" i="7"/>
  <c r="U17" i="7"/>
  <c r="L17" i="7"/>
  <c r="O17" i="7"/>
  <c r="Z17" i="7"/>
  <c r="AJ17" i="7"/>
  <c r="AT17" i="7"/>
  <c r="BD17" i="7"/>
  <c r="BP17" i="7"/>
  <c r="K18" i="7"/>
  <c r="U18" i="7"/>
  <c r="AF18" i="7"/>
  <c r="AP18" i="7"/>
  <c r="AZ18" i="7"/>
  <c r="BK18" i="7"/>
  <c r="BO20" i="7"/>
  <c r="BG20" i="7"/>
  <c r="AY20" i="7"/>
  <c r="AQ20" i="7"/>
  <c r="AI20" i="7"/>
  <c r="AA20" i="7"/>
  <c r="S20" i="7"/>
  <c r="K20" i="7"/>
  <c r="BI20" i="7"/>
  <c r="AZ20" i="7"/>
  <c r="AP20" i="7"/>
  <c r="AG20" i="7"/>
  <c r="X20" i="7"/>
  <c r="O20" i="7"/>
  <c r="F20" i="7"/>
  <c r="P20" i="7"/>
  <c r="Z20" i="7"/>
  <c r="AK20" i="7"/>
  <c r="AU20" i="7"/>
  <c r="BE20" i="7"/>
  <c r="E21" i="7"/>
  <c r="N21" i="7"/>
  <c r="Y21" i="7"/>
  <c r="AJ21" i="7"/>
  <c r="AT21" i="7"/>
  <c r="BD21" i="7"/>
  <c r="N22" i="7"/>
  <c r="X22" i="7"/>
  <c r="AI22" i="7"/>
  <c r="AT22" i="7"/>
  <c r="E23" i="7"/>
  <c r="O23" i="7"/>
  <c r="Y23" i="7"/>
  <c r="AI23" i="7"/>
  <c r="AU23" i="7"/>
  <c r="F24" i="7"/>
  <c r="P24" i="7"/>
  <c r="AA24" i="7"/>
  <c r="AK24" i="7"/>
  <c r="AU24" i="7"/>
  <c r="BG24" i="7"/>
  <c r="AF51" i="7"/>
  <c r="X51" i="7"/>
  <c r="P51" i="7"/>
  <c r="H51" i="7"/>
  <c r="AB51" i="7"/>
  <c r="S51" i="7"/>
  <c r="J51" i="7"/>
  <c r="AC51" i="7"/>
  <c r="R51" i="7"/>
  <c r="G51" i="7"/>
  <c r="AE51" i="7"/>
  <c r="U51" i="7"/>
  <c r="K51" i="7"/>
  <c r="Z51" i="7"/>
  <c r="M51" i="7"/>
  <c r="Y51" i="7"/>
  <c r="L51" i="7"/>
  <c r="AJ51" i="7"/>
  <c r="W51" i="7"/>
  <c r="I51" i="7"/>
  <c r="AG51" i="7"/>
  <c r="Q51" i="7"/>
  <c r="E51" i="7"/>
  <c r="AD51" i="7"/>
  <c r="O51" i="7"/>
  <c r="T51" i="7"/>
  <c r="N51" i="7"/>
  <c r="F51" i="7"/>
  <c r="AI51" i="7"/>
  <c r="AH51" i="7"/>
  <c r="V51" i="7"/>
  <c r="BW5" i="7"/>
  <c r="BO5" i="7"/>
  <c r="BG5" i="7"/>
  <c r="AY5" i="7"/>
  <c r="AQ5" i="7"/>
  <c r="AI5" i="7"/>
  <c r="AA5" i="7"/>
  <c r="S5" i="7"/>
  <c r="K5" i="7"/>
  <c r="CD5" i="7"/>
  <c r="W5" i="7"/>
  <c r="AO5" i="7"/>
  <c r="AX5" i="7"/>
  <c r="BZ5" i="7"/>
  <c r="L10" i="7"/>
  <c r="V10" i="7"/>
  <c r="AF10" i="7"/>
  <c r="AQ10" i="7"/>
  <c r="BB10" i="7"/>
  <c r="BL10" i="7"/>
  <c r="BW10" i="7"/>
  <c r="K11" i="7"/>
  <c r="U11" i="7"/>
  <c r="AE11" i="7"/>
  <c r="AP11" i="7"/>
  <c r="BA11" i="7"/>
  <c r="BK11" i="7"/>
  <c r="BV11" i="7"/>
  <c r="K12" i="7"/>
  <c r="U12" i="7"/>
  <c r="AF12" i="7"/>
  <c r="AP12" i="7"/>
  <c r="BA12" i="7"/>
  <c r="BL12" i="7"/>
  <c r="BV12" i="7"/>
  <c r="L13" i="7"/>
  <c r="V13" i="7"/>
  <c r="AG13" i="7"/>
  <c r="AQ13" i="7"/>
  <c r="BM13" i="7"/>
  <c r="M10" i="7"/>
  <c r="W10" i="7"/>
  <c r="AG10" i="7"/>
  <c r="AS10" i="7"/>
  <c r="BC10" i="7"/>
  <c r="BM10" i="7"/>
  <c r="BX10" i="7"/>
  <c r="L11" i="7"/>
  <c r="V11" i="7"/>
  <c r="AG11" i="7"/>
  <c r="AR11" i="7"/>
  <c r="BB11" i="7"/>
  <c r="BM11" i="7"/>
  <c r="L12" i="7"/>
  <c r="V12" i="7"/>
  <c r="AG12" i="7"/>
  <c r="AR12" i="7"/>
  <c r="BB12" i="7"/>
  <c r="BM12" i="7"/>
  <c r="BW12" i="7"/>
  <c r="M13" i="7"/>
  <c r="X13" i="7"/>
  <c r="AH13" i="7"/>
  <c r="AS13" i="7"/>
  <c r="BD13" i="7"/>
  <c r="BN13" i="7"/>
  <c r="BG21" i="7"/>
  <c r="AY21" i="7"/>
  <c r="AQ21" i="7"/>
  <c r="AI21" i="7"/>
  <c r="AA21" i="7"/>
  <c r="S21" i="7"/>
  <c r="K21" i="7"/>
  <c r="BI21" i="7"/>
  <c r="AZ21" i="7"/>
  <c r="AP21" i="7"/>
  <c r="AG21" i="7"/>
  <c r="X21" i="7"/>
  <c r="O21" i="7"/>
  <c r="F21" i="7"/>
  <c r="P21" i="7"/>
  <c r="Z21" i="7"/>
  <c r="AK21" i="7"/>
  <c r="AU21" i="7"/>
  <c r="BE21" i="7"/>
  <c r="AF5" i="7"/>
  <c r="BQ5" i="7"/>
  <c r="D13" i="4"/>
  <c r="BT11" i="7"/>
  <c r="BL11" i="7"/>
  <c r="BD11" i="7"/>
  <c r="AV11" i="7"/>
  <c r="AN11" i="7"/>
  <c r="AF11" i="7"/>
  <c r="X11" i="7"/>
  <c r="P11" i="7"/>
  <c r="H11" i="7"/>
  <c r="BR11" i="7"/>
  <c r="BI11" i="7"/>
  <c r="AZ11" i="7"/>
  <c r="AQ11" i="7"/>
  <c r="AH11" i="7"/>
  <c r="Y11" i="7"/>
  <c r="O11" i="7"/>
  <c r="F11" i="7"/>
  <c r="Q11" i="7"/>
  <c r="AA11" i="7"/>
  <c r="AK11" i="7"/>
  <c r="AU11" i="7"/>
  <c r="BF11" i="7"/>
  <c r="BP11" i="7"/>
  <c r="I5" i="7"/>
  <c r="R5" i="7"/>
  <c r="AB5" i="7"/>
  <c r="AK5" i="7"/>
  <c r="AT5" i="7"/>
  <c r="BC5" i="7"/>
  <c r="BL5" i="7"/>
  <c r="BU5" i="7"/>
  <c r="BX6" i="7"/>
  <c r="BP6" i="7"/>
  <c r="BH6" i="7"/>
  <c r="AZ6" i="7"/>
  <c r="AR6" i="7"/>
  <c r="AJ6" i="7"/>
  <c r="AB6" i="7"/>
  <c r="T6" i="7"/>
  <c r="L6" i="7"/>
  <c r="E6" i="7"/>
  <c r="BY6" i="7"/>
  <c r="BO6" i="7"/>
  <c r="BF6" i="7"/>
  <c r="AW6" i="7"/>
  <c r="AN6" i="7"/>
  <c r="AE6" i="7"/>
  <c r="V6" i="7"/>
  <c r="M6" i="7"/>
  <c r="O6" i="7"/>
  <c r="Y6" i="7"/>
  <c r="AI6" i="7"/>
  <c r="AT6" i="7"/>
  <c r="BD6" i="7"/>
  <c r="BN6" i="7"/>
  <c r="BZ6" i="7"/>
  <c r="J7" i="7"/>
  <c r="T7" i="7"/>
  <c r="AE7" i="7"/>
  <c r="AO7" i="7"/>
  <c r="AY7" i="7"/>
  <c r="BI7" i="7"/>
  <c r="BU7" i="7"/>
  <c r="J18" i="7"/>
  <c r="T18" i="7"/>
  <c r="AE18" i="7"/>
  <c r="AO18" i="7"/>
  <c r="AY18" i="7"/>
  <c r="BI18" i="7"/>
  <c r="H4" i="7"/>
  <c r="Q4" i="7"/>
  <c r="Z4" i="7"/>
  <c r="AJ4" i="7"/>
  <c r="AS4" i="7"/>
  <c r="BB4" i="7"/>
  <c r="BK4" i="7"/>
  <c r="BT4" i="7"/>
  <c r="CC4" i="7"/>
  <c r="J5" i="7"/>
  <c r="T5" i="7"/>
  <c r="AC5" i="7"/>
  <c r="AL5" i="7"/>
  <c r="AU5" i="7"/>
  <c r="BD5" i="7"/>
  <c r="BM5" i="7"/>
  <c r="BV5" i="7"/>
  <c r="F6" i="7"/>
  <c r="P6" i="7"/>
  <c r="Z6" i="7"/>
  <c r="AK6" i="7"/>
  <c r="AU6" i="7"/>
  <c r="BE6" i="7"/>
  <c r="BQ6" i="7"/>
  <c r="CA6" i="7"/>
  <c r="K7" i="7"/>
  <c r="U7" i="7"/>
  <c r="AF7" i="7"/>
  <c r="AP7" i="7"/>
  <c r="AZ7" i="7"/>
  <c r="BL7" i="7"/>
  <c r="BV7" i="7"/>
  <c r="BB13" i="7"/>
  <c r="D12" i="4"/>
  <c r="I4" i="7"/>
  <c r="R4" i="7"/>
  <c r="AB4" i="7"/>
  <c r="AK4" i="7"/>
  <c r="AT4" i="7"/>
  <c r="BC4" i="7"/>
  <c r="BL4" i="7"/>
  <c r="BU4" i="7"/>
  <c r="CD4" i="7"/>
  <c r="L5" i="7"/>
  <c r="U5" i="7"/>
  <c r="AD5" i="7"/>
  <c r="AM5" i="7"/>
  <c r="AV5" i="7"/>
  <c r="BE5" i="7"/>
  <c r="BN5" i="7"/>
  <c r="BX5" i="7"/>
  <c r="G6" i="7"/>
  <c r="Q6" i="7"/>
  <c r="AA6" i="7"/>
  <c r="AL6" i="7"/>
  <c r="AV6" i="7"/>
  <c r="BG6" i="7"/>
  <c r="BR6" i="7"/>
  <c r="CB6" i="7"/>
  <c r="L7" i="7"/>
  <c r="W7" i="7"/>
  <c r="AG7" i="7"/>
  <c r="AQ7" i="7"/>
  <c r="BC7" i="7"/>
  <c r="BM7" i="7"/>
  <c r="BW7" i="7"/>
  <c r="BT14" i="7"/>
  <c r="BL14" i="7"/>
  <c r="BD14" i="7"/>
  <c r="AV14" i="7"/>
  <c r="AN14" i="7"/>
  <c r="AF14" i="7"/>
  <c r="X14" i="7"/>
  <c r="P14" i="7"/>
  <c r="H14" i="7"/>
  <c r="BM14" i="7"/>
  <c r="BC14" i="7"/>
  <c r="AT14" i="7"/>
  <c r="AK14" i="7"/>
  <c r="AB14" i="7"/>
  <c r="S14" i="7"/>
  <c r="J14" i="7"/>
  <c r="O14" i="7"/>
  <c r="Z14" i="7"/>
  <c r="AJ14" i="7"/>
  <c r="AU14" i="7"/>
  <c r="BF14" i="7"/>
  <c r="BP14" i="7"/>
  <c r="F17" i="7"/>
  <c r="P17" i="7"/>
  <c r="AA17" i="7"/>
  <c r="AK17" i="7"/>
  <c r="AU17" i="7"/>
  <c r="BG17" i="7"/>
  <c r="BQ17" i="7"/>
  <c r="L18" i="7"/>
  <c r="W18" i="7"/>
  <c r="AG18" i="7"/>
  <c r="AQ18" i="7"/>
  <c r="BA18" i="7"/>
  <c r="BM18" i="7"/>
  <c r="BH22" i="7"/>
  <c r="AZ22" i="7"/>
  <c r="AR22" i="7"/>
  <c r="AJ22" i="7"/>
  <c r="AB22" i="7"/>
  <c r="T22" i="7"/>
  <c r="L22" i="7"/>
  <c r="E22" i="7"/>
  <c r="BJ22" i="7"/>
  <c r="BA22" i="7"/>
  <c r="AQ22" i="7"/>
  <c r="AH22" i="7"/>
  <c r="Y22" i="7"/>
  <c r="P22" i="7"/>
  <c r="G22" i="7"/>
  <c r="O22" i="7"/>
  <c r="Z22" i="7"/>
  <c r="AK22" i="7"/>
  <c r="AU22" i="7"/>
  <c r="BE22" i="7"/>
  <c r="BJ23" i="7"/>
  <c r="BB23" i="7"/>
  <c r="AT23" i="7"/>
  <c r="AL23" i="7"/>
  <c r="AD23" i="7"/>
  <c r="V23" i="7"/>
  <c r="N23" i="7"/>
  <c r="F23" i="7"/>
  <c r="BL23" i="7"/>
  <c r="BC23" i="7"/>
  <c r="AS23" i="7"/>
  <c r="AJ23" i="7"/>
  <c r="AA23" i="7"/>
  <c r="R23" i="7"/>
  <c r="I23" i="7"/>
  <c r="P23" i="7"/>
  <c r="Z23" i="7"/>
  <c r="AK23" i="7"/>
  <c r="AV23" i="7"/>
  <c r="BF23" i="7"/>
  <c r="G24" i="7"/>
  <c r="R24" i="7"/>
  <c r="AB24" i="7"/>
  <c r="AL24" i="7"/>
  <c r="AX24" i="7"/>
  <c r="BH24" i="7"/>
  <c r="I3" i="7"/>
  <c r="R3" i="7"/>
  <c r="AA3" i="7"/>
  <c r="AK3" i="7"/>
  <c r="AT3" i="7"/>
  <c r="BC3" i="7"/>
  <c r="BL3" i="7"/>
  <c r="BU3" i="7"/>
  <c r="J4" i="7"/>
  <c r="T4" i="7"/>
  <c r="AC4" i="7"/>
  <c r="AL4" i="7"/>
  <c r="AU4" i="7"/>
  <c r="BD4" i="7"/>
  <c r="BM4" i="7"/>
  <c r="E5" i="7"/>
  <c r="M5" i="7"/>
  <c r="V5" i="7"/>
  <c r="AE5" i="7"/>
  <c r="AN5" i="7"/>
  <c r="AW5" i="7"/>
  <c r="BF5" i="7"/>
  <c r="BP5" i="7"/>
  <c r="BY5" i="7"/>
  <c r="H6" i="7"/>
  <c r="R6" i="7"/>
  <c r="AC6" i="7"/>
  <c r="AM6" i="7"/>
  <c r="AX6" i="7"/>
  <c r="BI6" i="7"/>
  <c r="BS6" i="7"/>
  <c r="CC6" i="7"/>
  <c r="M7" i="7"/>
  <c r="X7" i="7"/>
  <c r="AH7" i="7"/>
  <c r="AS7" i="7"/>
  <c r="BD7" i="7"/>
  <c r="BN7" i="7"/>
  <c r="BX7" i="7"/>
  <c r="J8" i="7"/>
  <c r="T8" i="7"/>
  <c r="AD8" i="7"/>
  <c r="AP8" i="7"/>
  <c r="AZ8" i="7"/>
  <c r="BJ8" i="7"/>
  <c r="E10" i="7"/>
  <c r="N10" i="7"/>
  <c r="X10" i="7"/>
  <c r="AJ10" i="7"/>
  <c r="AT10" i="7"/>
  <c r="BD10" i="7"/>
  <c r="BO10" i="7"/>
  <c r="M11" i="7"/>
  <c r="W11" i="7"/>
  <c r="AI11" i="7"/>
  <c r="AS11" i="7"/>
  <c r="BC11" i="7"/>
  <c r="BN11" i="7"/>
  <c r="BX11" i="7"/>
  <c r="M12" i="7"/>
  <c r="X12" i="7"/>
  <c r="AI12" i="7"/>
  <c r="AS12" i="7"/>
  <c r="BD12" i="7"/>
  <c r="BN12" i="7"/>
  <c r="E13" i="7"/>
  <c r="N13" i="7"/>
  <c r="Y13" i="7"/>
  <c r="AJ13" i="7"/>
  <c r="AT13" i="7"/>
  <c r="BE13" i="7"/>
  <c r="F14" i="7"/>
  <c r="Q14" i="7"/>
  <c r="AA14" i="7"/>
  <c r="AL14" i="7"/>
  <c r="AW14" i="7"/>
  <c r="BG14" i="7"/>
  <c r="BQ14" i="7"/>
  <c r="I15" i="7"/>
  <c r="T15" i="7"/>
  <c r="AD15" i="7"/>
  <c r="AO15" i="7"/>
  <c r="AZ15" i="7"/>
  <c r="BJ15" i="7"/>
  <c r="G17" i="7"/>
  <c r="R17" i="7"/>
  <c r="AB17" i="7"/>
  <c r="AL17" i="7"/>
  <c r="AX17" i="7"/>
  <c r="BH17" i="7"/>
  <c r="BR17" i="7"/>
  <c r="M18" i="7"/>
  <c r="X18" i="7"/>
  <c r="AH18" i="7"/>
  <c r="AR18" i="7"/>
  <c r="BD18" i="7"/>
  <c r="BN18" i="7"/>
  <c r="J19" i="7"/>
  <c r="U19" i="7"/>
  <c r="AE19" i="7"/>
  <c r="AO19" i="7"/>
  <c r="AY19" i="7"/>
  <c r="H20" i="7"/>
  <c r="R20" i="7"/>
  <c r="AC20" i="7"/>
  <c r="AM20" i="7"/>
  <c r="AW20" i="7"/>
  <c r="BH20" i="7"/>
  <c r="G21" i="7"/>
  <c r="Q21" i="7"/>
  <c r="AB21" i="7"/>
  <c r="AL21" i="7"/>
  <c r="AV21" i="7"/>
  <c r="BF21" i="7"/>
  <c r="F22" i="7"/>
  <c r="Q22" i="7"/>
  <c r="AA22" i="7"/>
  <c r="AL22" i="7"/>
  <c r="AV22" i="7"/>
  <c r="BF22" i="7"/>
  <c r="G23" i="7"/>
  <c r="Q23" i="7"/>
  <c r="AB23" i="7"/>
  <c r="AM23" i="7"/>
  <c r="AW23" i="7"/>
  <c r="BG23" i="7"/>
  <c r="H24" i="7"/>
  <c r="S24" i="7"/>
  <c r="AC24" i="7"/>
  <c r="AN24" i="7"/>
  <c r="AY24" i="7"/>
  <c r="BI24" i="7"/>
  <c r="BF26" i="7"/>
  <c r="AX26" i="7"/>
  <c r="AP26" i="7"/>
  <c r="AH26" i="7"/>
  <c r="Z26" i="7"/>
  <c r="R26" i="7"/>
  <c r="J26" i="7"/>
  <c r="BE26" i="7"/>
  <c r="AW26" i="7"/>
  <c r="AO26" i="7"/>
  <c r="AG26" i="7"/>
  <c r="Y26" i="7"/>
  <c r="Q26" i="7"/>
  <c r="BA26" i="7"/>
  <c r="AQ26" i="7"/>
  <c r="AE26" i="7"/>
  <c r="U26" i="7"/>
  <c r="K26" i="7"/>
  <c r="BG26" i="7"/>
  <c r="AU26" i="7"/>
  <c r="AK26" i="7"/>
  <c r="AA26" i="7"/>
  <c r="O26" i="7"/>
  <c r="F26" i="7"/>
  <c r="S26" i="7"/>
  <c r="AF26" i="7"/>
  <c r="AT26" i="7"/>
  <c r="BI26" i="7"/>
  <c r="BF28" i="7"/>
  <c r="AX28" i="7"/>
  <c r="AP28" i="7"/>
  <c r="AH28" i="7"/>
  <c r="Z28" i="7"/>
  <c r="AY28" i="7"/>
  <c r="AO28" i="7"/>
  <c r="AF28" i="7"/>
  <c r="W28" i="7"/>
  <c r="O28" i="7"/>
  <c r="G28" i="7"/>
  <c r="BG28" i="7"/>
  <c r="AW28" i="7"/>
  <c r="AN28" i="7"/>
  <c r="AE28" i="7"/>
  <c r="V28" i="7"/>
  <c r="N28" i="7"/>
  <c r="F28" i="7"/>
  <c r="AU28" i="7"/>
  <c r="AJ28" i="7"/>
  <c r="X28" i="7"/>
  <c r="L28" i="7"/>
  <c r="BB28" i="7"/>
  <c r="AQ28" i="7"/>
  <c r="AC28" i="7"/>
  <c r="R28" i="7"/>
  <c r="H28" i="7"/>
  <c r="T28" i="7"/>
  <c r="AK28" i="7"/>
  <c r="BA28" i="7"/>
  <c r="E7" i="7"/>
  <c r="O7" i="7"/>
  <c r="Y7" i="7"/>
  <c r="AJ7" i="7"/>
  <c r="AU7" i="7"/>
  <c r="BE7" i="7"/>
  <c r="BO7" i="7"/>
  <c r="BV10" i="7"/>
  <c r="BN10" i="7"/>
  <c r="BF10" i="7"/>
  <c r="AX10" i="7"/>
  <c r="AP10" i="7"/>
  <c r="AH10" i="7"/>
  <c r="Z10" i="7"/>
  <c r="R10" i="7"/>
  <c r="J10" i="7"/>
  <c r="BS10" i="7"/>
  <c r="BJ10" i="7"/>
  <c r="BA10" i="7"/>
  <c r="AR10" i="7"/>
  <c r="AI10" i="7"/>
  <c r="Y10" i="7"/>
  <c r="P10" i="7"/>
  <c r="G10" i="7"/>
  <c r="O10" i="7"/>
  <c r="AA10" i="7"/>
  <c r="AK10" i="7"/>
  <c r="AU10" i="7"/>
  <c r="BE10" i="7"/>
  <c r="BP10" i="7"/>
  <c r="E11" i="7"/>
  <c r="N11" i="7"/>
  <c r="Z11" i="7"/>
  <c r="AJ11" i="7"/>
  <c r="AT11" i="7"/>
  <c r="BE11" i="7"/>
  <c r="BO11" i="7"/>
  <c r="E12" i="7"/>
  <c r="N12" i="7"/>
  <c r="Z12" i="7"/>
  <c r="AJ12" i="7"/>
  <c r="AT12" i="7"/>
  <c r="BE12" i="7"/>
  <c r="BO12" i="7"/>
  <c r="BS13" i="7"/>
  <c r="BK13" i="7"/>
  <c r="BC13" i="7"/>
  <c r="AU13" i="7"/>
  <c r="AM13" i="7"/>
  <c r="AE13" i="7"/>
  <c r="W13" i="7"/>
  <c r="O13" i="7"/>
  <c r="G13" i="7"/>
  <c r="BT13" i="7"/>
  <c r="BJ13" i="7"/>
  <c r="BA13" i="7"/>
  <c r="AR13" i="7"/>
  <c r="AI13" i="7"/>
  <c r="Z13" i="7"/>
  <c r="Q13" i="7"/>
  <c r="H13" i="7"/>
  <c r="P13" i="7"/>
  <c r="AA13" i="7"/>
  <c r="AK13" i="7"/>
  <c r="AV13" i="7"/>
  <c r="BF13" i="7"/>
  <c r="BP13" i="7"/>
  <c r="E18" i="7"/>
  <c r="O18" i="7"/>
  <c r="Y18" i="7"/>
  <c r="AI18" i="7"/>
  <c r="AU18" i="7"/>
  <c r="BE18" i="7"/>
  <c r="J24" i="7"/>
  <c r="T24" i="7"/>
  <c r="AE24" i="7"/>
  <c r="AP24" i="7"/>
  <c r="AZ24" i="7"/>
  <c r="BJ24" i="7"/>
  <c r="BZ7" i="7"/>
  <c r="BR7" i="7"/>
  <c r="BJ7" i="7"/>
  <c r="BB7" i="7"/>
  <c r="AT7" i="7"/>
  <c r="AL7" i="7"/>
  <c r="AD7" i="7"/>
  <c r="V7" i="7"/>
  <c r="N7" i="7"/>
  <c r="F7" i="7"/>
  <c r="BT7" i="7"/>
  <c r="BK7" i="7"/>
  <c r="BA7" i="7"/>
  <c r="AR7" i="7"/>
  <c r="AI7" i="7"/>
  <c r="Z7" i="7"/>
  <c r="Q7" i="7"/>
  <c r="H7" i="7"/>
  <c r="P7" i="7"/>
  <c r="AA7" i="7"/>
  <c r="AK7" i="7"/>
  <c r="AV7" i="7"/>
  <c r="BF7" i="7"/>
  <c r="BP7" i="7"/>
  <c r="CA7" i="7"/>
  <c r="BJ18" i="7"/>
  <c r="BB18" i="7"/>
  <c r="AT18" i="7"/>
  <c r="AL18" i="7"/>
  <c r="AD18" i="7"/>
  <c r="V18" i="7"/>
  <c r="N18" i="7"/>
  <c r="F18" i="7"/>
  <c r="BL18" i="7"/>
  <c r="BC18" i="7"/>
  <c r="AS18" i="7"/>
  <c r="AJ18" i="7"/>
  <c r="AA18" i="7"/>
  <c r="R18" i="7"/>
  <c r="I18" i="7"/>
  <c r="P18" i="7"/>
  <c r="Z18" i="7"/>
  <c r="AK18" i="7"/>
  <c r="AV18" i="7"/>
  <c r="BF18" i="7"/>
  <c r="BP18" i="7"/>
  <c r="CE4" i="7"/>
  <c r="BW4" i="7"/>
  <c r="BO4" i="7"/>
  <c r="BG4" i="7"/>
  <c r="AY4" i="7"/>
  <c r="AQ4" i="7"/>
  <c r="AI4" i="7"/>
  <c r="AA4" i="7"/>
  <c r="S4" i="7"/>
  <c r="K4" i="7"/>
  <c r="N4" i="7"/>
  <c r="W4" i="7"/>
  <c r="AF4" i="7"/>
  <c r="AO4" i="7"/>
  <c r="BH4" i="7"/>
  <c r="BQ4" i="7"/>
  <c r="BZ4" i="7"/>
  <c r="G5" i="7"/>
  <c r="P5" i="7"/>
  <c r="Y5" i="7"/>
  <c r="AH5" i="7"/>
  <c r="AR5" i="7"/>
  <c r="BA5" i="7"/>
  <c r="BJ5" i="7"/>
  <c r="BS5" i="7"/>
  <c r="CB5" i="7"/>
  <c r="K6" i="7"/>
  <c r="W6" i="7"/>
  <c r="AG6" i="7"/>
  <c r="AQ6" i="7"/>
  <c r="BB6" i="7"/>
  <c r="BL6" i="7"/>
  <c r="BV6" i="7"/>
  <c r="G7" i="7"/>
  <c r="R7" i="7"/>
  <c r="AB7" i="7"/>
  <c r="AM7" i="7"/>
  <c r="AW7" i="7"/>
  <c r="BG7" i="7"/>
  <c r="BQ7" i="7"/>
  <c r="CB7" i="7"/>
  <c r="G18" i="7"/>
  <c r="Q18" i="7"/>
  <c r="AB18" i="7"/>
  <c r="AM18" i="7"/>
  <c r="AW18" i="7"/>
  <c r="BG18" i="7"/>
  <c r="BQ18" i="7"/>
  <c r="BH5" i="7"/>
  <c r="AX4" i="7"/>
  <c r="H10" i="7"/>
  <c r="S10" i="7"/>
  <c r="AC10" i="7"/>
  <c r="AM10" i="7"/>
  <c r="AW10" i="7"/>
  <c r="BH10" i="7"/>
  <c r="BR10" i="7"/>
  <c r="G11" i="7"/>
  <c r="R11" i="7"/>
  <c r="AB11" i="7"/>
  <c r="AL11" i="7"/>
  <c r="AW11" i="7"/>
  <c r="BG11" i="7"/>
  <c r="BQ11" i="7"/>
  <c r="H12" i="7"/>
  <c r="R12" i="7"/>
  <c r="AB12" i="7"/>
  <c r="AL12" i="7"/>
  <c r="AW12" i="7"/>
  <c r="BG12" i="7"/>
  <c r="BQ12" i="7"/>
  <c r="I13" i="7"/>
  <c r="S13" i="7"/>
  <c r="AC13" i="7"/>
  <c r="AN13" i="7"/>
  <c r="AX13" i="7"/>
  <c r="BH13" i="7"/>
  <c r="BR13" i="7"/>
  <c r="M24" i="7"/>
  <c r="W24" i="7"/>
  <c r="AH24" i="7"/>
  <c r="AR24" i="7"/>
  <c r="BB24" i="7"/>
  <c r="CF3" i="7"/>
  <c r="BX3" i="7"/>
  <c r="BP3" i="7"/>
  <c r="BH3" i="7"/>
  <c r="AZ3" i="7"/>
  <c r="AR3" i="7"/>
  <c r="AJ3" i="7"/>
  <c r="AB3" i="7"/>
  <c r="T3" i="7"/>
  <c r="L3" i="7"/>
  <c r="E3" i="7"/>
  <c r="N3" i="7"/>
  <c r="W3" i="7"/>
  <c r="AF3" i="7"/>
  <c r="AO3" i="7"/>
  <c r="AX3" i="7"/>
  <c r="BG3" i="7"/>
  <c r="BQ3" i="7"/>
  <c r="BZ3" i="7"/>
  <c r="F4" i="7"/>
  <c r="O4" i="7"/>
  <c r="X4" i="7"/>
  <c r="AG4" i="7"/>
  <c r="AP4" i="7"/>
  <c r="AZ4" i="7"/>
  <c r="BI4" i="7"/>
  <c r="BR4" i="7"/>
  <c r="CA4" i="7"/>
  <c r="H5" i="7"/>
  <c r="Q5" i="7"/>
  <c r="Z5" i="7"/>
  <c r="AJ5" i="7"/>
  <c r="AS5" i="7"/>
  <c r="BB5" i="7"/>
  <c r="BK5" i="7"/>
  <c r="BT5" i="7"/>
  <c r="CC5" i="7"/>
  <c r="N6" i="7"/>
  <c r="X6" i="7"/>
  <c r="AH6" i="7"/>
  <c r="AS6" i="7"/>
  <c r="BC6" i="7"/>
  <c r="BM6" i="7"/>
  <c r="BW6" i="7"/>
  <c r="I7" i="7"/>
  <c r="S7" i="7"/>
  <c r="AC7" i="7"/>
  <c r="AN7" i="7"/>
  <c r="AX7" i="7"/>
  <c r="BH7" i="7"/>
  <c r="BS7" i="7"/>
  <c r="BU8" i="7"/>
  <c r="BM8" i="7"/>
  <c r="BE8" i="7"/>
  <c r="AW8" i="7"/>
  <c r="AO8" i="7"/>
  <c r="AG8" i="7"/>
  <c r="Y8" i="7"/>
  <c r="Q8" i="7"/>
  <c r="I8" i="7"/>
  <c r="BY8" i="7"/>
  <c r="BP8" i="7"/>
  <c r="BG8" i="7"/>
  <c r="AX8" i="7"/>
  <c r="AN8" i="7"/>
  <c r="AE8" i="7"/>
  <c r="V8" i="7"/>
  <c r="M8" i="7"/>
  <c r="E8" i="7"/>
  <c r="O8" i="7"/>
  <c r="Z8" i="7"/>
  <c r="AJ8" i="7"/>
  <c r="AT8" i="7"/>
  <c r="BD8" i="7"/>
  <c r="BO8" i="7"/>
  <c r="BZ8" i="7"/>
  <c r="I10" i="7"/>
  <c r="T10" i="7"/>
  <c r="AD10" i="7"/>
  <c r="AN10" i="7"/>
  <c r="AY10" i="7"/>
  <c r="BI10" i="7"/>
  <c r="BT10" i="7"/>
  <c r="I11" i="7"/>
  <c r="S11" i="7"/>
  <c r="AC11" i="7"/>
  <c r="AM11" i="7"/>
  <c r="AX11" i="7"/>
  <c r="BH11" i="7"/>
  <c r="BS11" i="7"/>
  <c r="I12" i="7"/>
  <c r="S12" i="7"/>
  <c r="AC12" i="7"/>
  <c r="AN12" i="7"/>
  <c r="AX12" i="7"/>
  <c r="BH12" i="7"/>
  <c r="BT12" i="7"/>
  <c r="J13" i="7"/>
  <c r="T13" i="7"/>
  <c r="AD13" i="7"/>
  <c r="AO13" i="7"/>
  <c r="AY13" i="7"/>
  <c r="BI13" i="7"/>
  <c r="BU13" i="7"/>
  <c r="L14" i="7"/>
  <c r="V14" i="7"/>
  <c r="AG14" i="7"/>
  <c r="AQ14" i="7"/>
  <c r="BA14" i="7"/>
  <c r="BK14" i="7"/>
  <c r="BN15" i="7"/>
  <c r="BF15" i="7"/>
  <c r="AX15" i="7"/>
  <c r="AP15" i="7"/>
  <c r="AH15" i="7"/>
  <c r="Z15" i="7"/>
  <c r="R15" i="7"/>
  <c r="J15" i="7"/>
  <c r="BP15" i="7"/>
  <c r="BG15" i="7"/>
  <c r="AW15" i="7"/>
  <c r="AN15" i="7"/>
  <c r="AE15" i="7"/>
  <c r="V15" i="7"/>
  <c r="M15" i="7"/>
  <c r="E15" i="7"/>
  <c r="O15" i="7"/>
  <c r="Y15" i="7"/>
  <c r="AJ15" i="7"/>
  <c r="AT15" i="7"/>
  <c r="BD15" i="7"/>
  <c r="BO15" i="7"/>
  <c r="M17" i="7"/>
  <c r="W17" i="7"/>
  <c r="AH17" i="7"/>
  <c r="AR17" i="7"/>
  <c r="BB17" i="7"/>
  <c r="BL17" i="7"/>
  <c r="H18" i="7"/>
  <c r="S18" i="7"/>
  <c r="AC18" i="7"/>
  <c r="AN18" i="7"/>
  <c r="AX18" i="7"/>
  <c r="BH18" i="7"/>
  <c r="BP19" i="7"/>
  <c r="BH19" i="7"/>
  <c r="AZ19" i="7"/>
  <c r="AR19" i="7"/>
  <c r="AJ19" i="7"/>
  <c r="AB19" i="7"/>
  <c r="T19" i="7"/>
  <c r="L19" i="7"/>
  <c r="E19" i="7"/>
  <c r="BJ19" i="7"/>
  <c r="BA19" i="7"/>
  <c r="AQ19" i="7"/>
  <c r="AH19" i="7"/>
  <c r="Y19" i="7"/>
  <c r="P19" i="7"/>
  <c r="G19" i="7"/>
  <c r="O19" i="7"/>
  <c r="Z19" i="7"/>
  <c r="AK19" i="7"/>
  <c r="AU19" i="7"/>
  <c r="BE19" i="7"/>
  <c r="BO19" i="7"/>
  <c r="M20" i="7"/>
  <c r="W20" i="7"/>
  <c r="AH20" i="7"/>
  <c r="AS20" i="7"/>
  <c r="BC20" i="7"/>
  <c r="BM20" i="7"/>
  <c r="L21" i="7"/>
  <c r="V21" i="7"/>
  <c r="AF21" i="7"/>
  <c r="AR21" i="7"/>
  <c r="BB21" i="7"/>
  <c r="BL21" i="7"/>
  <c r="K22" i="7"/>
  <c r="V22" i="7"/>
  <c r="AF22" i="7"/>
  <c r="AP22" i="7"/>
  <c r="BB22" i="7"/>
  <c r="BL22" i="7"/>
  <c r="L23" i="7"/>
  <c r="W23" i="7"/>
  <c r="AG23" i="7"/>
  <c r="AQ23" i="7"/>
  <c r="BA23" i="7"/>
  <c r="E24" i="7"/>
  <c r="N24" i="7"/>
  <c r="X24" i="7"/>
  <c r="AI24" i="7"/>
  <c r="AS24" i="7"/>
  <c r="N5" i="7"/>
  <c r="F5" i="7"/>
  <c r="O5" i="7"/>
  <c r="X5" i="7"/>
  <c r="AG5" i="7"/>
  <c r="AP5" i="7"/>
  <c r="AZ5" i="7"/>
  <c r="BI5" i="7"/>
  <c r="BR5" i="7"/>
  <c r="CA5" i="7"/>
  <c r="K10" i="7"/>
  <c r="U10" i="7"/>
  <c r="AE10" i="7"/>
  <c r="AO10" i="7"/>
  <c r="AZ10" i="7"/>
  <c r="BK10" i="7"/>
  <c r="BU10" i="7"/>
  <c r="J11" i="7"/>
  <c r="T11" i="7"/>
  <c r="AD11" i="7"/>
  <c r="AO11" i="7"/>
  <c r="AY11" i="7"/>
  <c r="BJ11" i="7"/>
  <c r="BU11" i="7"/>
  <c r="J12" i="7"/>
  <c r="T12" i="7"/>
  <c r="AD12" i="7"/>
  <c r="AO12" i="7"/>
  <c r="AY12" i="7"/>
  <c r="BJ12" i="7"/>
  <c r="BU12" i="7"/>
  <c r="K13" i="7"/>
  <c r="U13" i="7"/>
  <c r="AF13" i="7"/>
  <c r="AP13" i="7"/>
  <c r="AZ13" i="7"/>
  <c r="BL13" i="7"/>
  <c r="BV13" i="7"/>
  <c r="BE24" i="7"/>
  <c r="AW24" i="7"/>
  <c r="AO24" i="7"/>
  <c r="AG24" i="7"/>
  <c r="Y24" i="7"/>
  <c r="Q24" i="7"/>
  <c r="I24" i="7"/>
  <c r="BF24" i="7"/>
  <c r="AV24" i="7"/>
  <c r="AM24" i="7"/>
  <c r="AD24" i="7"/>
  <c r="U24" i="7"/>
  <c r="L24" i="7"/>
  <c r="O24" i="7"/>
  <c r="Z24" i="7"/>
  <c r="AJ24" i="7"/>
  <c r="AT24" i="7"/>
  <c r="BD24" i="7"/>
  <c r="AV38" i="7"/>
  <c r="AN38" i="7"/>
  <c r="AF38" i="7"/>
  <c r="X38" i="7"/>
  <c r="P38" i="7"/>
  <c r="H38" i="7"/>
  <c r="AU38" i="7"/>
  <c r="AL38" i="7"/>
  <c r="AC38" i="7"/>
  <c r="T38" i="7"/>
  <c r="K38" i="7"/>
  <c r="AQ38" i="7"/>
  <c r="AG38" i="7"/>
  <c r="V38" i="7"/>
  <c r="L38" i="7"/>
  <c r="AS38" i="7"/>
  <c r="AH38" i="7"/>
  <c r="U38" i="7"/>
  <c r="I38" i="7"/>
  <c r="AR38" i="7"/>
  <c r="AE38" i="7"/>
  <c r="S38" i="7"/>
  <c r="G38" i="7"/>
  <c r="W38" i="7"/>
  <c r="AK38" i="7"/>
  <c r="AG48" i="7"/>
  <c r="Y48" i="7"/>
  <c r="Q48" i="7"/>
  <c r="I48" i="7"/>
  <c r="AH48" i="7"/>
  <c r="X48" i="7"/>
  <c r="O48" i="7"/>
  <c r="F48" i="7"/>
  <c r="AJ48" i="7"/>
  <c r="Z48" i="7"/>
  <c r="N48" i="7"/>
  <c r="E48" i="7"/>
  <c r="AL48" i="7"/>
  <c r="AB48" i="7"/>
  <c r="R48" i="7"/>
  <c r="G48" i="7"/>
  <c r="AA48" i="7"/>
  <c r="L48" i="7"/>
  <c r="AM48" i="7"/>
  <c r="W48" i="7"/>
  <c r="K48" i="7"/>
  <c r="AK48" i="7"/>
  <c r="V48" i="7"/>
  <c r="J48" i="7"/>
  <c r="AE48" i="7"/>
  <c r="S48" i="7"/>
  <c r="AD48" i="7"/>
  <c r="P48" i="7"/>
  <c r="AY30" i="7"/>
  <c r="AQ30" i="7"/>
  <c r="AI30" i="7"/>
  <c r="AA30" i="7"/>
  <c r="S30" i="7"/>
  <c r="K30" i="7"/>
  <c r="AW30" i="7"/>
  <c r="AN30" i="7"/>
  <c r="AE30" i="7"/>
  <c r="V30" i="7"/>
  <c r="M30" i="7"/>
  <c r="E30" i="7"/>
  <c r="BE30" i="7"/>
  <c r="AV30" i="7"/>
  <c r="AM30" i="7"/>
  <c r="AD30" i="7"/>
  <c r="U30" i="7"/>
  <c r="L30" i="7"/>
  <c r="P30" i="7"/>
  <c r="AB30" i="7"/>
  <c r="AO30" i="7"/>
  <c r="BA30" i="7"/>
  <c r="H34" i="7"/>
  <c r="X34" i="7"/>
  <c r="AL34" i="7"/>
  <c r="AY34" i="7"/>
  <c r="L37" i="7"/>
  <c r="Y37" i="7"/>
  <c r="AO37" i="7"/>
  <c r="J38" i="7"/>
  <c r="Z38" i="7"/>
  <c r="AO38" i="7"/>
  <c r="M39" i="7"/>
  <c r="AA39" i="7"/>
  <c r="AQ39" i="7"/>
  <c r="U46" i="7"/>
  <c r="M48" i="7"/>
  <c r="E79" i="7"/>
  <c r="H79" i="7"/>
  <c r="G79" i="7"/>
  <c r="F79" i="7"/>
  <c r="AC48" i="7"/>
  <c r="BD27" i="7"/>
  <c r="AV27" i="7"/>
  <c r="AN27" i="7"/>
  <c r="AF27" i="7"/>
  <c r="X27" i="7"/>
  <c r="P27" i="7"/>
  <c r="H27" i="7"/>
  <c r="BC27" i="7"/>
  <c r="AU27" i="7"/>
  <c r="AM27" i="7"/>
  <c r="AE27" i="7"/>
  <c r="W27" i="7"/>
  <c r="O27" i="7"/>
  <c r="G27" i="7"/>
  <c r="Q27" i="7"/>
  <c r="AA27" i="7"/>
  <c r="AK27" i="7"/>
  <c r="AW27" i="7"/>
  <c r="BG27" i="7"/>
  <c r="BF29" i="7"/>
  <c r="AX29" i="7"/>
  <c r="AP29" i="7"/>
  <c r="AH29" i="7"/>
  <c r="Z29" i="7"/>
  <c r="R29" i="7"/>
  <c r="J29" i="7"/>
  <c r="AW29" i="7"/>
  <c r="AN29" i="7"/>
  <c r="AE29" i="7"/>
  <c r="V29" i="7"/>
  <c r="M29" i="7"/>
  <c r="E29" i="7"/>
  <c r="BE29" i="7"/>
  <c r="AV29" i="7"/>
  <c r="AM29" i="7"/>
  <c r="AD29" i="7"/>
  <c r="U29" i="7"/>
  <c r="L29" i="7"/>
  <c r="P29" i="7"/>
  <c r="AB29" i="7"/>
  <c r="AO29" i="7"/>
  <c r="BA29" i="7"/>
  <c r="I30" i="7"/>
  <c r="W30" i="7"/>
  <c r="AH30" i="7"/>
  <c r="AT30" i="7"/>
  <c r="AZ33" i="7"/>
  <c r="AR33" i="7"/>
  <c r="AJ33" i="7"/>
  <c r="AB33" i="7"/>
  <c r="T33" i="7"/>
  <c r="L33" i="7"/>
  <c r="E33" i="7"/>
  <c r="BB33" i="7"/>
  <c r="AS33" i="7"/>
  <c r="AI33" i="7"/>
  <c r="Z33" i="7"/>
  <c r="Q33" i="7"/>
  <c r="H33" i="7"/>
  <c r="BA33" i="7"/>
  <c r="AQ33" i="7"/>
  <c r="AH33" i="7"/>
  <c r="Y33" i="7"/>
  <c r="P33" i="7"/>
  <c r="G33" i="7"/>
  <c r="R33" i="7"/>
  <c r="AD33" i="7"/>
  <c r="AO33" i="7"/>
  <c r="E34" i="7"/>
  <c r="P34" i="7"/>
  <c r="AD34" i="7"/>
  <c r="E37" i="7"/>
  <c r="Q37" i="7"/>
  <c r="AH37" i="7"/>
  <c r="Q38" i="7"/>
  <c r="AI38" i="7"/>
  <c r="E39" i="7"/>
  <c r="S39" i="7"/>
  <c r="AF48" i="7"/>
  <c r="AW34" i="7"/>
  <c r="AO34" i="7"/>
  <c r="AG34" i="7"/>
  <c r="Y34" i="7"/>
  <c r="Q34" i="7"/>
  <c r="I34" i="7"/>
  <c r="AT34" i="7"/>
  <c r="AK34" i="7"/>
  <c r="AB34" i="7"/>
  <c r="S34" i="7"/>
  <c r="J34" i="7"/>
  <c r="AR34" i="7"/>
  <c r="AH34" i="7"/>
  <c r="W34" i="7"/>
  <c r="M34" i="7"/>
  <c r="BA34" i="7"/>
  <c r="AQ34" i="7"/>
  <c r="AF34" i="7"/>
  <c r="V34" i="7"/>
  <c r="L34" i="7"/>
  <c r="R34" i="7"/>
  <c r="AE34" i="7"/>
  <c r="AU34" i="7"/>
  <c r="AU37" i="7"/>
  <c r="AM37" i="7"/>
  <c r="AE37" i="7"/>
  <c r="AW37" i="7"/>
  <c r="AN37" i="7"/>
  <c r="AD37" i="7"/>
  <c r="V37" i="7"/>
  <c r="N37" i="7"/>
  <c r="F37" i="7"/>
  <c r="AV37" i="7"/>
  <c r="AK37" i="7"/>
  <c r="AA37" i="7"/>
  <c r="R37" i="7"/>
  <c r="I37" i="7"/>
  <c r="AR37" i="7"/>
  <c r="AG37" i="7"/>
  <c r="U37" i="7"/>
  <c r="K37" i="7"/>
  <c r="AQ37" i="7"/>
  <c r="AF37" i="7"/>
  <c r="T37" i="7"/>
  <c r="J37" i="7"/>
  <c r="S37" i="7"/>
  <c r="AI37" i="7"/>
  <c r="E38" i="7"/>
  <c r="R38" i="7"/>
  <c r="AJ38" i="7"/>
  <c r="AP39" i="7"/>
  <c r="AH39" i="7"/>
  <c r="Z39" i="7"/>
  <c r="R39" i="7"/>
  <c r="J39" i="7"/>
  <c r="AU39" i="7"/>
  <c r="AL39" i="7"/>
  <c r="AC39" i="7"/>
  <c r="T39" i="7"/>
  <c r="K39" i="7"/>
  <c r="AM39" i="7"/>
  <c r="AB39" i="7"/>
  <c r="Q39" i="7"/>
  <c r="G39" i="7"/>
  <c r="AT39" i="7"/>
  <c r="AI39" i="7"/>
  <c r="W39" i="7"/>
  <c r="L39" i="7"/>
  <c r="AS39" i="7"/>
  <c r="AG39" i="7"/>
  <c r="V39" i="7"/>
  <c r="I39" i="7"/>
  <c r="U39" i="7"/>
  <c r="AK39" i="7"/>
  <c r="AJ46" i="7"/>
  <c r="AB46" i="7"/>
  <c r="T46" i="7"/>
  <c r="L46" i="7"/>
  <c r="E46" i="7"/>
  <c r="AI46" i="7"/>
  <c r="Z46" i="7"/>
  <c r="Q46" i="7"/>
  <c r="H46" i="7"/>
  <c r="AL46" i="7"/>
  <c r="AA46" i="7"/>
  <c r="P46" i="7"/>
  <c r="F46" i="7"/>
  <c r="AN46" i="7"/>
  <c r="AD46" i="7"/>
  <c r="S46" i="7"/>
  <c r="I46" i="7"/>
  <c r="AF46" i="7"/>
  <c r="R46" i="7"/>
  <c r="AE46" i="7"/>
  <c r="O46" i="7"/>
  <c r="AC46" i="7"/>
  <c r="N46" i="7"/>
  <c r="AK46" i="7"/>
  <c r="W46" i="7"/>
  <c r="J46" i="7"/>
  <c r="AH46" i="7"/>
  <c r="V46" i="7"/>
  <c r="G46" i="7"/>
  <c r="AO46" i="7"/>
  <c r="AI48" i="7"/>
  <c r="S61" i="7"/>
  <c r="K61" i="7"/>
  <c r="Z61" i="7"/>
  <c r="Q61" i="7"/>
  <c r="H61" i="7"/>
  <c r="Y61" i="7"/>
  <c r="P61" i="7"/>
  <c r="G61" i="7"/>
  <c r="X61" i="7"/>
  <c r="M61" i="7"/>
  <c r="W61" i="7"/>
  <c r="L61" i="7"/>
  <c r="U61" i="7"/>
  <c r="I61" i="7"/>
  <c r="O61" i="7"/>
  <c r="E61" i="7"/>
  <c r="V61" i="7"/>
  <c r="T61" i="7"/>
  <c r="J61" i="7"/>
  <c r="F61" i="7"/>
  <c r="O68" i="7"/>
  <c r="G68" i="7"/>
  <c r="S68" i="7"/>
  <c r="J68" i="7"/>
  <c r="M68" i="7"/>
  <c r="E68" i="7"/>
  <c r="L68" i="7"/>
  <c r="N68" i="7"/>
  <c r="K68" i="7"/>
  <c r="I68" i="7"/>
  <c r="H68" i="7"/>
  <c r="Q68" i="7"/>
  <c r="P68" i="7"/>
  <c r="F68" i="7"/>
  <c r="R68" i="7"/>
  <c r="P70" i="7"/>
  <c r="H70" i="7"/>
  <c r="O70" i="7"/>
  <c r="F70" i="7"/>
  <c r="J70" i="7"/>
  <c r="I70" i="7"/>
  <c r="E70" i="7"/>
  <c r="Q70" i="7"/>
  <c r="N70" i="7"/>
  <c r="M70" i="7"/>
  <c r="G70" i="7"/>
  <c r="L70" i="7"/>
  <c r="K70" i="7"/>
  <c r="AI45" i="7"/>
  <c r="AA45" i="7"/>
  <c r="S45" i="7"/>
  <c r="K45" i="7"/>
  <c r="AL45" i="7"/>
  <c r="AC45" i="7"/>
  <c r="T45" i="7"/>
  <c r="J45" i="7"/>
  <c r="AH45" i="7"/>
  <c r="X45" i="7"/>
  <c r="N45" i="7"/>
  <c r="E45" i="7"/>
  <c r="AK45" i="7"/>
  <c r="Z45" i="7"/>
  <c r="P45" i="7"/>
  <c r="F45" i="7"/>
  <c r="R45" i="7"/>
  <c r="AF45" i="7"/>
  <c r="K47" i="7"/>
  <c r="Z47" i="7"/>
  <c r="AM47" i="7"/>
  <c r="H50" i="7"/>
  <c r="V50" i="7"/>
  <c r="AK50" i="7"/>
  <c r="K52" i="7"/>
  <c r="Y52" i="7"/>
  <c r="K55" i="7"/>
  <c r="AB55" i="7"/>
  <c r="K58" i="7"/>
  <c r="H59" i="7"/>
  <c r="H62" i="7"/>
  <c r="K63" i="7"/>
  <c r="AT36" i="7"/>
  <c r="AL36" i="7"/>
  <c r="AD36" i="7"/>
  <c r="V36" i="7"/>
  <c r="N36" i="7"/>
  <c r="F36" i="7"/>
  <c r="AV36" i="7"/>
  <c r="AM36" i="7"/>
  <c r="AC36" i="7"/>
  <c r="T36" i="7"/>
  <c r="K36" i="7"/>
  <c r="P36" i="7"/>
  <c r="Z36" i="7"/>
  <c r="AJ36" i="7"/>
  <c r="AU36" i="7"/>
  <c r="M9" i="7"/>
  <c r="U9" i="7"/>
  <c r="AC9" i="7"/>
  <c r="AK9" i="7"/>
  <c r="AS9" i="7"/>
  <c r="BA9" i="7"/>
  <c r="BI9" i="7"/>
  <c r="BQ9" i="7"/>
  <c r="M16" i="7"/>
  <c r="U16" i="7"/>
  <c r="AC16" i="7"/>
  <c r="AK16" i="7"/>
  <c r="AS16" i="7"/>
  <c r="BA16" i="7"/>
  <c r="BI16" i="7"/>
  <c r="M25" i="7"/>
  <c r="U25" i="7"/>
  <c r="AC25" i="7"/>
  <c r="AK25" i="7"/>
  <c r="AS25" i="7"/>
  <c r="BA25" i="7"/>
  <c r="AV32" i="7"/>
  <c r="AN32" i="7"/>
  <c r="AF32" i="7"/>
  <c r="X32" i="7"/>
  <c r="P32" i="7"/>
  <c r="H32" i="7"/>
  <c r="N32" i="7"/>
  <c r="W32" i="7"/>
  <c r="AG32" i="7"/>
  <c r="AP32" i="7"/>
  <c r="AY32" i="7"/>
  <c r="G36" i="7"/>
  <c r="Q36" i="7"/>
  <c r="AA36" i="7"/>
  <c r="AK36" i="7"/>
  <c r="AW36" i="7"/>
  <c r="M47" i="7"/>
  <c r="AA47" i="7"/>
  <c r="AN47" i="7"/>
  <c r="I50" i="7"/>
  <c r="L52" i="7"/>
  <c r="N55" i="7"/>
  <c r="M58" i="7"/>
  <c r="M59" i="7"/>
  <c r="J62" i="7"/>
  <c r="M63" i="7"/>
  <c r="E47" i="7"/>
  <c r="R47" i="7"/>
  <c r="W58" i="7"/>
  <c r="V59" i="7"/>
  <c r="S62" i="7"/>
  <c r="AL47" i="7"/>
  <c r="AD47" i="7"/>
  <c r="V47" i="7"/>
  <c r="N47" i="7"/>
  <c r="F47" i="7"/>
  <c r="AH47" i="7"/>
  <c r="Y47" i="7"/>
  <c r="P47" i="7"/>
  <c r="G47" i="7"/>
  <c r="AE47" i="7"/>
  <c r="T47" i="7"/>
  <c r="J47" i="7"/>
  <c r="AG47" i="7"/>
  <c r="W47" i="7"/>
  <c r="L47" i="7"/>
  <c r="S47" i="7"/>
  <c r="AI47" i="7"/>
  <c r="AE52" i="7"/>
  <c r="W52" i="7"/>
  <c r="O52" i="7"/>
  <c r="G52" i="7"/>
  <c r="AF52" i="7"/>
  <c r="V52" i="7"/>
  <c r="M52" i="7"/>
  <c r="E52" i="7"/>
  <c r="AA52" i="7"/>
  <c r="Q52" i="7"/>
  <c r="F52" i="7"/>
  <c r="AC52" i="7"/>
  <c r="S52" i="7"/>
  <c r="I52" i="7"/>
  <c r="T52" i="7"/>
  <c r="AH52" i="7"/>
  <c r="Z55" i="7"/>
  <c r="R55" i="7"/>
  <c r="J55" i="7"/>
  <c r="AD55" i="7"/>
  <c r="U55" i="7"/>
  <c r="L55" i="7"/>
  <c r="AA55" i="7"/>
  <c r="P55" i="7"/>
  <c r="F55" i="7"/>
  <c r="W55" i="7"/>
  <c r="M55" i="7"/>
  <c r="AC55" i="7"/>
  <c r="S55" i="7"/>
  <c r="H55" i="7"/>
  <c r="V55" i="7"/>
  <c r="H47" i="7"/>
  <c r="U47" i="7"/>
  <c r="AJ47" i="7"/>
  <c r="AH50" i="7"/>
  <c r="Z50" i="7"/>
  <c r="R50" i="7"/>
  <c r="J50" i="7"/>
  <c r="AI50" i="7"/>
  <c r="Y50" i="7"/>
  <c r="P50" i="7"/>
  <c r="G50" i="7"/>
  <c r="AE50" i="7"/>
  <c r="U50" i="7"/>
  <c r="K50" i="7"/>
  <c r="AG50" i="7"/>
  <c r="W50" i="7"/>
  <c r="M50" i="7"/>
  <c r="S50" i="7"/>
  <c r="AF50" i="7"/>
  <c r="H52" i="7"/>
  <c r="U52" i="7"/>
  <c r="AI52" i="7"/>
  <c r="V58" i="7"/>
  <c r="N58" i="7"/>
  <c r="F58" i="7"/>
  <c r="AB58" i="7"/>
  <c r="S58" i="7"/>
  <c r="J58" i="7"/>
  <c r="AA58" i="7"/>
  <c r="R58" i="7"/>
  <c r="I58" i="7"/>
  <c r="AC58" i="7"/>
  <c r="P58" i="7"/>
  <c r="E58" i="7"/>
  <c r="Z58" i="7"/>
  <c r="O58" i="7"/>
  <c r="X58" i="7"/>
  <c r="L58" i="7"/>
  <c r="T58" i="7"/>
  <c r="G58" i="7"/>
  <c r="AB59" i="7"/>
  <c r="T59" i="7"/>
  <c r="L59" i="7"/>
  <c r="E59" i="7"/>
  <c r="U59" i="7"/>
  <c r="K59" i="7"/>
  <c r="S59" i="7"/>
  <c r="J59" i="7"/>
  <c r="Z59" i="7"/>
  <c r="O59" i="7"/>
  <c r="Y59" i="7"/>
  <c r="N59" i="7"/>
  <c r="W59" i="7"/>
  <c r="I59" i="7"/>
  <c r="Q59" i="7"/>
  <c r="F59" i="7"/>
  <c r="AA59" i="7"/>
  <c r="T62" i="7"/>
  <c r="L62" i="7"/>
  <c r="E62" i="7"/>
  <c r="V62" i="7"/>
  <c r="M62" i="7"/>
  <c r="U62" i="7"/>
  <c r="K62" i="7"/>
  <c r="O62" i="7"/>
  <c r="Y62" i="7"/>
  <c r="N62" i="7"/>
  <c r="W62" i="7"/>
  <c r="I62" i="7"/>
  <c r="Q62" i="7"/>
  <c r="F62" i="7"/>
  <c r="V63" i="7"/>
  <c r="N63" i="7"/>
  <c r="F63" i="7"/>
  <c r="R63" i="7"/>
  <c r="I63" i="7"/>
  <c r="Q63" i="7"/>
  <c r="H63" i="7"/>
  <c r="P63" i="7"/>
  <c r="E63" i="7"/>
  <c r="O63" i="7"/>
  <c r="X63" i="7"/>
  <c r="L63" i="7"/>
  <c r="T63" i="7"/>
  <c r="G63" i="7"/>
  <c r="AR43" i="7"/>
  <c r="AJ43" i="7"/>
  <c r="AB43" i="7"/>
  <c r="T43" i="7"/>
  <c r="L43" i="7"/>
  <c r="E43" i="7"/>
  <c r="AK43" i="7"/>
  <c r="AA43" i="7"/>
  <c r="R43" i="7"/>
  <c r="I43" i="7"/>
  <c r="O43" i="7"/>
  <c r="Y43" i="7"/>
  <c r="AI43" i="7"/>
  <c r="K57" i="7"/>
  <c r="V57" i="7"/>
  <c r="P67" i="7"/>
  <c r="H67" i="7"/>
  <c r="R67" i="7"/>
  <c r="I67" i="7"/>
  <c r="L67" i="7"/>
  <c r="T67" i="7"/>
  <c r="K67" i="7"/>
  <c r="S67" i="7"/>
  <c r="L75" i="7"/>
  <c r="E75" i="7"/>
  <c r="I75" i="7"/>
  <c r="K75" i="7"/>
  <c r="N57" i="7"/>
  <c r="F74" i="7"/>
  <c r="J74" i="7"/>
  <c r="M74" i="7"/>
  <c r="E74" i="7"/>
  <c r="L74" i="7"/>
  <c r="Y57" i="7"/>
  <c r="Q57" i="7"/>
  <c r="I57" i="7"/>
  <c r="AB57" i="7"/>
  <c r="S57" i="7"/>
  <c r="J57" i="7"/>
  <c r="AA57" i="7"/>
  <c r="R57" i="7"/>
  <c r="H57" i="7"/>
  <c r="P57" i="7"/>
  <c r="AD57" i="7"/>
  <c r="H74" i="7"/>
  <c r="I76" i="7"/>
  <c r="J76" i="7"/>
  <c r="E76" i="7"/>
  <c r="AU35" i="7"/>
  <c r="AM35" i="7"/>
  <c r="AE35" i="7"/>
  <c r="W35" i="7"/>
  <c r="O35" i="7"/>
  <c r="G35" i="7"/>
  <c r="N35" i="7"/>
  <c r="X35" i="7"/>
  <c r="AG35" i="7"/>
  <c r="AP35" i="7"/>
  <c r="AY35" i="7"/>
  <c r="AO41" i="7"/>
  <c r="AG41" i="7"/>
  <c r="Y41" i="7"/>
  <c r="Q41" i="7"/>
  <c r="I41" i="7"/>
  <c r="AM41" i="7"/>
  <c r="AD41" i="7"/>
  <c r="U41" i="7"/>
  <c r="L41" i="7"/>
  <c r="O41" i="7"/>
  <c r="Z41" i="7"/>
  <c r="AJ41" i="7"/>
  <c r="AT41" i="7"/>
  <c r="M43" i="7"/>
  <c r="W43" i="7"/>
  <c r="AG43" i="7"/>
  <c r="AQ43" i="7"/>
  <c r="AE53" i="7"/>
  <c r="W53" i="7"/>
  <c r="O53" i="7"/>
  <c r="G53" i="7"/>
  <c r="AA53" i="7"/>
  <c r="R53" i="7"/>
  <c r="I53" i="7"/>
  <c r="P53" i="7"/>
  <c r="Z53" i="7"/>
  <c r="F57" i="7"/>
  <c r="T57" i="7"/>
  <c r="R66" i="7"/>
  <c r="J66" i="7"/>
  <c r="Q66" i="7"/>
  <c r="H66" i="7"/>
  <c r="U66" i="7"/>
  <c r="L66" i="7"/>
  <c r="T66" i="7"/>
  <c r="K66" i="7"/>
  <c r="S66" i="7"/>
  <c r="O67" i="7"/>
  <c r="I74" i="7"/>
  <c r="F76" i="7"/>
  <c r="M31" i="7"/>
  <c r="U31" i="7"/>
  <c r="AC31" i="7"/>
  <c r="AK31" i="7"/>
  <c r="AS31" i="7"/>
  <c r="AL42" i="7"/>
  <c r="AD42" i="7"/>
  <c r="V42" i="7"/>
  <c r="N42" i="7"/>
  <c r="F42" i="7"/>
  <c r="O42" i="7"/>
  <c r="X42" i="7"/>
  <c r="AG42" i="7"/>
  <c r="AP42" i="7"/>
  <c r="AQ44" i="7"/>
  <c r="AI44" i="7"/>
  <c r="AA44" i="7"/>
  <c r="S44" i="7"/>
  <c r="K44" i="7"/>
  <c r="N44" i="7"/>
  <c r="W44" i="7"/>
  <c r="AF44" i="7"/>
  <c r="AO44" i="7"/>
  <c r="AF54" i="7"/>
  <c r="X54" i="7"/>
  <c r="P54" i="7"/>
  <c r="H54" i="7"/>
  <c r="N54" i="7"/>
  <c r="W54" i="7"/>
  <c r="AG54" i="7"/>
  <c r="E60" i="7"/>
  <c r="M60" i="7"/>
  <c r="Q64" i="7"/>
  <c r="I64" i="7"/>
  <c r="N64" i="7"/>
  <c r="W64" i="7"/>
  <c r="O69" i="7"/>
  <c r="G69" i="7"/>
  <c r="N69" i="7"/>
  <c r="E71" i="7"/>
  <c r="M71" i="7"/>
  <c r="N73" i="7"/>
  <c r="I77" i="7"/>
  <c r="E77" i="7"/>
  <c r="H78" i="7"/>
  <c r="AA60" i="7"/>
  <c r="S60" i="7"/>
  <c r="K60" i="7"/>
  <c r="N60" i="7"/>
  <c r="W60" i="7"/>
  <c r="N71" i="7"/>
  <c r="I78" i="7"/>
  <c r="G80" i="7"/>
  <c r="E80" i="7"/>
  <c r="M40" i="7"/>
  <c r="U40" i="7"/>
  <c r="AC40" i="7"/>
  <c r="AK40" i="7"/>
  <c r="M49" i="7"/>
  <c r="U49" i="7"/>
  <c r="AC49" i="7"/>
  <c r="M56" i="7"/>
  <c r="U56" i="7"/>
  <c r="M65" i="7"/>
  <c r="O7" i="4" l="1"/>
  <c r="O8" i="4" s="1"/>
  <c r="L7" i="4"/>
  <c r="L11" i="4"/>
  <c r="L12" i="4" s="1"/>
  <c r="L8" i="4" l="1"/>
  <c r="G22" i="4"/>
  <c r="O11" i="4"/>
  <c r="O12" i="4" s="1"/>
  <c r="O13" i="4" s="1"/>
  <c r="O14" i="4" l="1"/>
  <c r="G21" i="4" s="1"/>
  <c r="L14" i="4"/>
  <c r="L13" i="4"/>
  <c r="G20"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2" authorId="0" shapeId="0" xr:uid="{00000000-0006-0000-0300-000001000000}">
      <text>
        <r>
          <rPr>
            <b/>
            <sz val="8"/>
            <rFont val="Tahoma"/>
            <family val="2"/>
          </rPr>
          <t xml:space="preserve">Thomas, John:  </t>
        </r>
        <r>
          <rPr>
            <sz val="8"/>
            <rFont val="Tahoma"/>
            <family val="2"/>
          </rPr>
          <t xml:space="preserve">
For ME and QE to share information</t>
        </r>
      </text>
    </comment>
    <comment ref="C2" authorId="0" shapeId="0" xr:uid="{00000000-0006-0000-0300-000002000000}">
      <text>
        <r>
          <rPr>
            <b/>
            <sz val="8"/>
            <rFont val="Tahoma"/>
            <family val="2"/>
          </rPr>
          <t>Thomas, John:</t>
        </r>
        <r>
          <rPr>
            <sz val="8"/>
            <rFont val="Tahoma"/>
            <family val="2"/>
          </rPr>
          <t xml:space="preserve">
When the map is done, sort this column A to Z and resequece column A.</t>
        </r>
      </text>
    </comment>
    <comment ref="L2" authorId="0" shapeId="0" xr:uid="{00000000-0006-0000-0300-000003000000}">
      <text>
        <r>
          <rPr>
            <b/>
            <sz val="8"/>
            <rFont val="Tahoma"/>
            <family val="2"/>
          </rPr>
          <t>Thomas, John:</t>
        </r>
        <r>
          <rPr>
            <sz val="8"/>
            <rFont val="Tahoma"/>
            <family val="2"/>
          </rPr>
          <t xml:space="preserve">
--Ø(Alt+0216), °(Alt+0176) and µ (Alt+0181) are only symbols that work in MeasurLink. List Dim. As shown on Drawing.
For Example, R.005 NOT .005
Select Cell For More Instructions</t>
        </r>
      </text>
    </comment>
    <comment ref="M2" authorId="0" shapeId="0" xr:uid="{00000000-0006-0000-0300-000004000000}">
      <text>
        <r>
          <rPr>
            <b/>
            <sz val="8"/>
            <rFont val="Tahoma"/>
            <family val="2"/>
          </rPr>
          <t>Thomas, John:</t>
        </r>
        <r>
          <rPr>
            <sz val="8"/>
            <rFont val="Tahoma"/>
            <family val="2"/>
          </rPr>
          <t xml:space="preserve">
See "Text Guide" Worksheet
It has many, "This, Not, That examples." For Example, Section instead of Section Part or Blank instead of Make Blank. Document reasons for Mfg. Tol. In Chenge Log</t>
        </r>
      </text>
    </comment>
    <comment ref="O2" authorId="0" shapeId="0" xr:uid="{00000000-0006-0000-0300-000005000000}">
      <text>
        <r>
          <rPr>
            <b/>
            <sz val="8"/>
            <rFont val="Tahoma"/>
            <family val="2"/>
          </rPr>
          <t>Thomas, John:</t>
        </r>
        <r>
          <rPr>
            <sz val="8"/>
            <rFont val="Tahoma"/>
            <family val="2"/>
          </rPr>
          <t xml:space="preserve">
Select NA if check ONLY at Final. </t>
        </r>
      </text>
    </comment>
    <comment ref="P2" authorId="0" shapeId="0" xr:uid="{00000000-0006-0000-0300-000006000000}">
      <text>
        <r>
          <rPr>
            <b/>
            <sz val="8"/>
            <rFont val="Tahoma"/>
            <family val="2"/>
          </rPr>
          <t>Thomas, John:  If the gauge also has a set gauge attach the following image "SET FULL GAUGES.GIF" If the pins use both  SET and FULL attach the following image "SET FULL PINS.GIF"</t>
        </r>
        <r>
          <rPr>
            <sz val="8"/>
            <rFont val="Tahoma"/>
            <family val="2"/>
          </rPr>
          <t xml:space="preserve">
This column serves as a list to issue all gauges except thread plugs and rings. Select Cell for More Instructions. If you use Same As, Do not use Brackets ()</t>
        </r>
      </text>
    </comment>
    <comment ref="Q2" authorId="0" shapeId="0" xr:uid="{00000000-0006-0000-0300-000007000000}">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U2" authorId="0" shapeId="0" xr:uid="{00000000-0006-0000-0300-000008000000}">
      <text>
        <r>
          <rPr>
            <b/>
            <sz val="8"/>
            <rFont val="Tahoma"/>
            <family val="2"/>
          </rPr>
          <t>Thomas, John:</t>
        </r>
        <r>
          <rPr>
            <sz val="8"/>
            <rFont val="Tahoma"/>
            <family val="2"/>
          </rPr>
          <t xml:space="preserve">
--Identify Primary Control Head
Select cell for more information</t>
        </r>
      </text>
    </comment>
    <comment ref="X2" authorId="0" shapeId="0" xr:uid="{E5EEE2A3-6230-4BB8-B218-F594CAC77A34}">
      <text>
        <r>
          <rPr>
            <b/>
            <sz val="8"/>
            <rFont val="Tahoma"/>
            <family val="2"/>
          </rPr>
          <t>Thomas, John:</t>
        </r>
        <r>
          <rPr>
            <sz val="8"/>
            <rFont val="Tahoma"/>
            <family val="2"/>
          </rPr>
          <t xml:space="preserve">
--Identify Primary Control Head
Select cell for more information</t>
        </r>
      </text>
    </comment>
    <comment ref="Y2" authorId="0" shapeId="0" xr:uid="{00000000-0006-0000-0300-000009000000}">
      <text>
        <r>
          <rPr>
            <b/>
            <sz val="8"/>
            <rFont val="Tahoma"/>
            <family val="2"/>
          </rPr>
          <t>Thomas, John: Refer to the SET FULL images for Gauges and Pins when required. See Column P instructions</t>
        </r>
        <r>
          <rPr>
            <sz val="8"/>
            <rFont val="Tahoma"/>
            <family val="2"/>
          </rPr>
          <t xml:space="preserve">
Name the gif the same as the Part number_REV_Balloon Number. Select cell for more information.</t>
        </r>
      </text>
    </comment>
    <comment ref="Z2" authorId="0" shapeId="0" xr:uid="{CF646A4D-3059-4234-A95A-D9AA36C41AEC}">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A3" authorId="0" shapeId="0" xr:uid="{00000000-0006-0000-0300-000017000000}">
      <text>
        <r>
          <rPr>
            <b/>
            <sz val="8"/>
            <rFont val="Tahoma"/>
            <family val="2"/>
          </rPr>
          <t>Thomas, John:</t>
        </r>
        <r>
          <rPr>
            <sz val="8"/>
            <rFont val="Tahoma"/>
            <family val="2"/>
          </rPr>
          <t xml:space="preserve">
Never insert Rows. If you forgot a feature, add it at the end. </t>
        </r>
      </text>
    </comment>
    <comment ref="C3" authorId="0" shapeId="0" xr:uid="{00000000-0006-0000-0300-000018000000}">
      <text>
        <r>
          <rPr>
            <b/>
            <sz val="8"/>
            <rFont val="Tahoma"/>
            <family val="2"/>
          </rPr>
          <t>Thomas, John:</t>
        </r>
        <r>
          <rPr>
            <sz val="8"/>
            <rFont val="Tahoma"/>
            <family val="2"/>
          </rPr>
          <t xml:space="preserve">
If Dim. Is 2X or more, the last two digits will be _01, _02 etc…
If one or more Sub prints the first digit will be the LETTER on the  sub print BALLOON Different for each sub print
Click For Examples, See WI-82-036, section 6.4</t>
        </r>
      </text>
    </comment>
    <comment ref="D3" authorId="0" shapeId="0" xr:uid="{00000000-0006-0000-0300-000019000000}">
      <text>
        <r>
          <rPr>
            <b/>
            <sz val="8"/>
            <rFont val="Tahoma"/>
            <family val="2"/>
          </rPr>
          <t>Thomas, John:</t>
        </r>
        <r>
          <rPr>
            <sz val="8"/>
            <rFont val="Tahoma"/>
            <family val="2"/>
          </rPr>
          <t xml:space="preserve">
If the feaqture does not have a Numerical Value input NA</t>
        </r>
      </text>
    </comment>
    <comment ref="E3" authorId="0" shapeId="0" xr:uid="{00000000-0006-0000-0300-00001A000000}">
      <text>
        <r>
          <rPr>
            <b/>
            <sz val="8"/>
            <rFont val="Tahoma"/>
            <family val="2"/>
          </rPr>
          <t>Thomas, John:</t>
        </r>
        <r>
          <rPr>
            <sz val="8"/>
            <rFont val="Tahoma"/>
            <family val="2"/>
          </rPr>
          <t xml:space="preserve">
If the feaqture does not have a Numerical Value input NA</t>
        </r>
      </text>
    </comment>
    <comment ref="F3" authorId="0" shapeId="0" xr:uid="{00000000-0006-0000-0300-00001B000000}">
      <text>
        <r>
          <rPr>
            <b/>
            <sz val="8"/>
            <rFont val="Tahoma"/>
            <family val="2"/>
          </rPr>
          <t>Thomas, John:</t>
        </r>
        <r>
          <rPr>
            <sz val="8"/>
            <rFont val="Tahoma"/>
            <family val="2"/>
          </rPr>
          <t xml:space="preserve">
If the feaqture does not have a Numerical Value input NA</t>
        </r>
      </text>
    </comment>
    <comment ref="H3" authorId="0" shapeId="0" xr:uid="{00000000-0006-0000-0300-00001C000000}">
      <text>
        <r>
          <rPr>
            <b/>
            <sz val="8"/>
            <rFont val="Tahoma"/>
            <family val="2"/>
          </rPr>
          <t>Thomas, John:</t>
        </r>
        <r>
          <rPr>
            <sz val="8"/>
            <rFont val="Tahoma"/>
            <family val="2"/>
          </rPr>
          <t xml:space="preserve">
These Cells Autofil. Do not alter.</t>
        </r>
      </text>
    </comment>
    <comment ref="I3" authorId="0" shapeId="0" xr:uid="{00000000-0006-0000-0300-00001D000000}">
      <text>
        <r>
          <rPr>
            <b/>
            <sz val="8"/>
            <rFont val="Tahoma"/>
            <family val="2"/>
          </rPr>
          <t>Thomas, John:</t>
        </r>
        <r>
          <rPr>
            <sz val="8"/>
            <rFont val="Tahoma"/>
            <family val="2"/>
          </rPr>
          <t xml:space="preserve">
These Cells Autofil. Do not alter.</t>
        </r>
      </text>
    </comment>
    <comment ref="J3" authorId="0" shapeId="0" xr:uid="{00000000-0006-0000-0300-00001E000000}">
      <text>
        <r>
          <rPr>
            <b/>
            <sz val="8"/>
            <rFont val="Tahoma"/>
            <family val="2"/>
          </rPr>
          <t>Thomas, John:</t>
        </r>
        <r>
          <rPr>
            <sz val="8"/>
            <rFont val="Tahoma"/>
            <family val="2"/>
          </rPr>
          <t xml:space="preserve">
These Cells Autofil. Do not alter.</t>
        </r>
      </text>
    </comment>
    <comment ref="K3" authorId="0" shapeId="0" xr:uid="{00000000-0006-0000-0300-00001F000000}">
      <text>
        <r>
          <rPr>
            <b/>
            <sz val="8"/>
            <rFont val="Tahoma"/>
            <family val="2"/>
          </rPr>
          <t>Thomas, John:</t>
        </r>
        <r>
          <rPr>
            <sz val="8"/>
            <rFont val="Tahoma"/>
            <family val="2"/>
          </rPr>
          <t xml:space="preserve">
These Cells Autofil. Do not alter.
</t>
        </r>
      </text>
    </comment>
    <comment ref="L3" authorId="0" shapeId="0" xr:uid="{00000000-0006-0000-0300-000020000000}">
      <text>
        <r>
          <rPr>
            <b/>
            <sz val="8"/>
            <rFont val="Tahoma"/>
            <family val="2"/>
          </rPr>
          <t>Thomas, John:</t>
        </r>
        <r>
          <rPr>
            <sz val="8"/>
            <rFont val="Tahoma"/>
            <family val="2"/>
          </rPr>
          <t xml:space="preserve">
             Add the gauge description. For Example, T32 Hehalobe, HEX, Butress, Ring, and so on
type in cell and click down arrow to get short list</t>
        </r>
      </text>
    </comment>
    <comment ref="M3" authorId="0" shapeId="0" xr:uid="{00000000-0006-0000-0300-000021000000}">
      <text>
        <r>
          <rPr>
            <b/>
            <sz val="8"/>
            <rFont val="Tahoma"/>
            <family val="2"/>
          </rPr>
          <t>Thomas, John:</t>
        </r>
        <r>
          <rPr>
            <sz val="8"/>
            <rFont val="Tahoma"/>
            <family val="2"/>
          </rPr>
          <t xml:space="preserve">
type in cell and click down arrow to get short list</t>
        </r>
      </text>
    </comment>
    <comment ref="N3" authorId="0" shapeId="0" xr:uid="{00000000-0006-0000-0300-000022000000}">
      <text>
        <r>
          <rPr>
            <b/>
            <sz val="8"/>
            <rFont val="Tahoma"/>
            <family val="2"/>
          </rPr>
          <t>Thomas, John:</t>
        </r>
        <r>
          <rPr>
            <sz val="8"/>
            <rFont val="Tahoma"/>
            <family val="2"/>
          </rPr>
          <t xml:space="preserve">
 DO NOT USE FREE-FORM TEXT
type in cell and click down arrow to get short list</t>
        </r>
      </text>
    </comment>
    <comment ref="O3" authorId="0" shapeId="0" xr:uid="{00000000-0006-0000-0300-000023000000}">
      <text>
        <r>
          <rPr>
            <b/>
            <sz val="8"/>
            <rFont val="Tahoma"/>
            <family val="2"/>
          </rPr>
          <t>Thomas, John
type in cell and click down arrow to get short list</t>
        </r>
      </text>
    </comment>
    <comment ref="P3" authorId="0" shapeId="0" xr:uid="{00000000-0006-0000-0300-000024000000}">
      <text>
        <r>
          <rPr>
            <b/>
            <sz val="8"/>
            <rFont val="Tahoma"/>
            <family val="2"/>
          </rPr>
          <t>Thomas, John:</t>
        </r>
        <r>
          <rPr>
            <sz val="8"/>
            <rFont val="Tahoma"/>
            <family val="2"/>
          </rPr>
          <t xml:space="preserve">
Add gauge descripton to column L. See it's note</t>
        </r>
      </text>
    </comment>
    <comment ref="Q3" authorId="0" shapeId="0" xr:uid="{00000000-0006-0000-0300-000025000000}">
      <text>
        <r>
          <rPr>
            <b/>
            <sz val="8"/>
            <rFont val="Tahoma"/>
            <family val="2"/>
          </rPr>
          <t>Thomas, John:</t>
        </r>
        <r>
          <rPr>
            <sz val="8"/>
            <rFont val="Tahoma"/>
            <family val="2"/>
          </rPr>
          <t xml:space="preserve">
Do not use T1 through T9. Use T01 through T09 instead. </t>
        </r>
      </text>
    </comment>
    <comment ref="R3" authorId="0" shapeId="0" xr:uid="{00000000-0006-0000-0300-000026000000}">
      <text>
        <r>
          <rPr>
            <b/>
            <sz val="8"/>
            <rFont val="Tahoma"/>
            <family val="2"/>
          </rPr>
          <t>Thomas, John:</t>
        </r>
        <r>
          <rPr>
            <sz val="8"/>
            <rFont val="Tahoma"/>
            <family val="2"/>
          </rPr>
          <t xml:space="preserve">
These cells autofill do not alter. They show total tolerance range. If you see "#VALUE!" it means the feature does not have a numerical tolerance. Blasting, for Example
</t>
        </r>
      </text>
    </comment>
    <comment ref="S3" authorId="0" shapeId="0" xr:uid="{00000000-0006-0000-0300-000027000000}">
      <text>
        <r>
          <rPr>
            <b/>
            <sz val="8"/>
            <rFont val="Tahoma"/>
            <family val="2"/>
          </rPr>
          <t>Thomas, John:</t>
        </r>
        <r>
          <rPr>
            <sz val="8"/>
            <rFont val="Tahoma"/>
            <family val="2"/>
          </rPr>
          <t xml:space="preserve">
--Identify Primary Control Tool Offset Number. Select cell for more information.</t>
        </r>
      </text>
    </comment>
    <comment ref="T3" authorId="0" shapeId="0" xr:uid="{00000000-0006-0000-0300-000028000000}">
      <text>
        <r>
          <rPr>
            <b/>
            <sz val="8"/>
            <rFont val="Tahoma"/>
            <family val="2"/>
          </rPr>
          <t>Thomas, John:</t>
        </r>
        <r>
          <rPr>
            <sz val="8"/>
            <rFont val="Tahoma"/>
            <family val="2"/>
          </rPr>
          <t xml:space="preserve">
--Identify Primary Control Tool Offset Number. Select cell for more information.</t>
        </r>
      </text>
    </comment>
    <comment ref="Y3" authorId="0" shapeId="0" xr:uid="{00000000-0006-0000-0300-000029000000}">
      <text>
        <r>
          <rPr>
            <b/>
            <sz val="8"/>
            <rFont val="Tahoma"/>
            <family val="2"/>
          </rPr>
          <t>Thomas, John:</t>
        </r>
        <r>
          <rPr>
            <sz val="8"/>
            <rFont val="Tahoma"/>
            <family val="2"/>
          </rPr>
          <t xml:space="preserve">
If the same image is needed for several balloons use _zz (Lower case) instead of the exact balloon number. For example, 8_1, 8_2, and 8_3 would be connected to the same image 8_zz. So the entire file name will be DrawingNumber_REV_8_zz
If a gauge also has a set gauge attach the following image "SET FULL GAUGES.GIF" If gauge pins have set pins attach the following image, "SET FULL PINS.GIF"</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2" authorId="0" shapeId="0" xr:uid="{87062D06-7D34-42C4-A7BA-40C21C1FCF12}">
      <text>
        <r>
          <rPr>
            <b/>
            <sz val="8"/>
            <rFont val="Tahoma"/>
            <family val="2"/>
          </rPr>
          <t>Thomas, John:</t>
        </r>
        <r>
          <rPr>
            <sz val="8"/>
            <rFont val="Tahoma"/>
            <family val="2"/>
          </rPr>
          <t xml:space="preserve">
Never insert Rows. If you forgot a feature, add it at the end. </t>
        </r>
      </text>
    </comment>
    <comment ref="A3" authorId="0" shapeId="0" xr:uid="{7506EE97-A2F1-41E9-A62C-4EE5139B5CA8}">
      <text>
        <r>
          <rPr>
            <b/>
            <sz val="8"/>
            <rFont val="Tahoma"/>
            <family val="2"/>
          </rPr>
          <t xml:space="preserve">Thomas, John:  </t>
        </r>
        <r>
          <rPr>
            <sz val="8"/>
            <rFont val="Tahoma"/>
            <family val="2"/>
          </rPr>
          <t xml:space="preserve">
For ME and QE to share information</t>
        </r>
      </text>
    </comment>
    <comment ref="B4" authorId="0" shapeId="0" xr:uid="{300A3794-6C57-4CA9-8E8F-C603FD9F5429}">
      <text>
        <r>
          <rPr>
            <b/>
            <sz val="8"/>
            <rFont val="Tahoma"/>
            <family val="2"/>
          </rPr>
          <t>Thomas, John:</t>
        </r>
        <r>
          <rPr>
            <sz val="8"/>
            <rFont val="Tahoma"/>
            <family val="2"/>
          </rPr>
          <t xml:space="preserve">
If the feaqture does not have a Numerical Value input NA</t>
        </r>
      </text>
    </comment>
    <comment ref="B5" authorId="0" shapeId="0" xr:uid="{90F17993-E619-46F8-B654-DE9FE5027DB7}">
      <text>
        <r>
          <rPr>
            <b/>
            <sz val="8"/>
            <rFont val="Tahoma"/>
            <family val="2"/>
          </rPr>
          <t>Thomas, John:</t>
        </r>
        <r>
          <rPr>
            <sz val="8"/>
            <rFont val="Tahoma"/>
            <family val="2"/>
          </rPr>
          <t xml:space="preserve">
If the feaqture does not have a Numerical Value input NA</t>
        </r>
      </text>
    </comment>
    <comment ref="B6" authorId="0" shapeId="0" xr:uid="{2027DEC5-5EA7-49F7-8E96-A3D0CA36A23B}">
      <text>
        <r>
          <rPr>
            <b/>
            <sz val="8"/>
            <rFont val="Tahoma"/>
            <family val="2"/>
          </rPr>
          <t>Thomas, John:</t>
        </r>
        <r>
          <rPr>
            <sz val="8"/>
            <rFont val="Tahoma"/>
            <family val="2"/>
          </rPr>
          <t xml:space="preserve">
If the feaqture does not have a Numerical Value input NA</t>
        </r>
      </text>
    </comment>
    <comment ref="B8" authorId="0" shapeId="0" xr:uid="{A97FAADF-F733-45AD-9CE7-345B46350B57}">
      <text>
        <r>
          <rPr>
            <b/>
            <sz val="8"/>
            <rFont val="Tahoma"/>
            <family val="2"/>
          </rPr>
          <t>Thomas, John:</t>
        </r>
        <r>
          <rPr>
            <sz val="8"/>
            <rFont val="Tahoma"/>
            <family val="2"/>
          </rPr>
          <t xml:space="preserve">
These Cells Autofil. Do not alter.</t>
        </r>
      </text>
    </comment>
    <comment ref="B9" authorId="0" shapeId="0" xr:uid="{B74CBC30-660C-407B-A0D5-DD3C1817ABE9}">
      <text>
        <r>
          <rPr>
            <b/>
            <sz val="8"/>
            <rFont val="Tahoma"/>
            <family val="2"/>
          </rPr>
          <t>Thomas, John:</t>
        </r>
        <r>
          <rPr>
            <sz val="8"/>
            <rFont val="Tahoma"/>
            <family val="2"/>
          </rPr>
          <t xml:space="preserve">
These Cells Autofil. Do not alter.</t>
        </r>
      </text>
    </comment>
    <comment ref="B10" authorId="0" shapeId="0" xr:uid="{31212B8C-8F79-4D45-BDD2-49ADEE3EFFBA}">
      <text>
        <r>
          <rPr>
            <b/>
            <sz val="8"/>
            <rFont val="Tahoma"/>
            <family val="2"/>
          </rPr>
          <t>Thomas, John:</t>
        </r>
        <r>
          <rPr>
            <sz val="8"/>
            <rFont val="Tahoma"/>
            <family val="2"/>
          </rPr>
          <t xml:space="preserve">
These Cells Autofil. Do not alter.</t>
        </r>
      </text>
    </comment>
    <comment ref="B11" authorId="0" shapeId="0" xr:uid="{8123A93B-6808-4930-8561-F2055C5587BD}">
      <text>
        <r>
          <rPr>
            <b/>
            <sz val="8"/>
            <rFont val="Tahoma"/>
            <family val="2"/>
          </rPr>
          <t>Thomas, John:</t>
        </r>
        <r>
          <rPr>
            <sz val="8"/>
            <rFont val="Tahoma"/>
            <family val="2"/>
          </rPr>
          <t xml:space="preserve">
These Cells Autofil. Do not alter.
</t>
        </r>
      </text>
    </comment>
    <comment ref="A12" authorId="0" shapeId="0" xr:uid="{C329A1FE-4847-4228-875E-D7B79B0FCBE7}">
      <text>
        <r>
          <rPr>
            <b/>
            <sz val="8"/>
            <rFont val="Tahoma"/>
            <family val="2"/>
          </rPr>
          <t>Thomas, John:</t>
        </r>
        <r>
          <rPr>
            <sz val="8"/>
            <rFont val="Tahoma"/>
            <family val="2"/>
          </rPr>
          <t xml:space="preserve">
--Ø(Alt+0216), °(Alt+0176) and µ (Alt+0181) are only symbols that work in MeasurLink. List Dim. As shown on Drawing.
For Example, R.005 NOT .005
Select Cell For More Instructions</t>
        </r>
      </text>
    </comment>
    <comment ref="B12" authorId="0" shapeId="0" xr:uid="{4C05C630-5E88-436B-BAE9-6488E5C97EAD}">
      <text>
        <r>
          <rPr>
            <b/>
            <sz val="8"/>
            <rFont val="Tahoma"/>
            <family val="2"/>
          </rPr>
          <t>Thomas, John:</t>
        </r>
        <r>
          <rPr>
            <sz val="8"/>
            <rFont val="Tahoma"/>
            <family val="2"/>
          </rPr>
          <t xml:space="preserve">
             Add the gauge description. For Example, T32 Hehalobe, HEX, Butress, Ring, and so on
type in cell and click down arrow to get short list</t>
        </r>
      </text>
    </comment>
    <comment ref="A13" authorId="0" shapeId="0" xr:uid="{FFFC8C84-2B2D-413E-AA64-E7AF8003D5DF}">
      <text>
        <r>
          <rPr>
            <b/>
            <sz val="8"/>
            <rFont val="Tahoma"/>
            <family val="2"/>
          </rPr>
          <t>Thomas, John:</t>
        </r>
        <r>
          <rPr>
            <sz val="8"/>
            <rFont val="Tahoma"/>
            <family val="2"/>
          </rPr>
          <t xml:space="preserve">
See "Text Guide" Worksheet
It has many, "This, Not, That examples." For Example, Section instead of Section Part or Blank instead of Make Blank. Document reasons for Mfg. Tol. In Chenge Log</t>
        </r>
      </text>
    </comment>
    <comment ref="B13" authorId="0" shapeId="0" xr:uid="{0629FF95-8CED-4A99-BB6D-C00FF406DA47}">
      <text>
        <r>
          <rPr>
            <b/>
            <sz val="8"/>
            <rFont val="Tahoma"/>
            <family val="2"/>
          </rPr>
          <t>Thomas, John:</t>
        </r>
        <r>
          <rPr>
            <sz val="8"/>
            <rFont val="Tahoma"/>
            <family val="2"/>
          </rPr>
          <t xml:space="preserve">
type in cell and click down arrow to get short list</t>
        </r>
      </text>
    </comment>
    <comment ref="B14" authorId="0" shapeId="0" xr:uid="{1BFF374E-1017-4894-94CD-5B32C0D622C9}">
      <text>
        <r>
          <rPr>
            <b/>
            <sz val="8"/>
            <rFont val="Tahoma"/>
            <family val="2"/>
          </rPr>
          <t>Thomas, John:</t>
        </r>
        <r>
          <rPr>
            <sz val="8"/>
            <rFont val="Tahoma"/>
            <family val="2"/>
          </rPr>
          <t xml:space="preserve">
 DO NOT USE FREE-FORM TEXT
type in cell and click down arrow to get short list</t>
        </r>
      </text>
    </comment>
    <comment ref="A15" authorId="0" shapeId="0" xr:uid="{B36D6C3B-0242-46E6-B1F2-AB71BEF3DCDF}">
      <text>
        <r>
          <rPr>
            <b/>
            <sz val="8"/>
            <rFont val="Tahoma"/>
            <family val="2"/>
          </rPr>
          <t>Thomas, John:</t>
        </r>
        <r>
          <rPr>
            <sz val="8"/>
            <rFont val="Tahoma"/>
            <family val="2"/>
          </rPr>
          <t xml:space="preserve">
Select NA if check ONLY at Final. </t>
        </r>
      </text>
    </comment>
    <comment ref="B15" authorId="0" shapeId="0" xr:uid="{45533E8F-1C65-4A52-A351-3BB7E9D3FFE4}">
      <text>
        <r>
          <rPr>
            <b/>
            <sz val="8"/>
            <rFont val="Tahoma"/>
            <family val="2"/>
          </rPr>
          <t>Thomas, John
type in cell and click down arrow to get short list</t>
        </r>
      </text>
    </comment>
    <comment ref="A16" authorId="0" shapeId="0" xr:uid="{AA9086AF-4619-44C8-A9F5-EE0D9D62A704}">
      <text>
        <r>
          <rPr>
            <b/>
            <sz val="8"/>
            <rFont val="Tahoma"/>
            <family val="2"/>
          </rPr>
          <t>Thomas, John:  If the gauge also has a set gauge attach the following image "SET FULL GAUGES.GIF" If the pins use both  SET and FULL attach the following image "SET FULL PINS.GIF"</t>
        </r>
        <r>
          <rPr>
            <sz val="8"/>
            <rFont val="Tahoma"/>
            <family val="2"/>
          </rPr>
          <t xml:space="preserve">
This column serves as a list to issue all gauges except thread plugs and rings. Select Cell for More Instructions. If you use Same As, Do not use Brackets ()</t>
        </r>
      </text>
    </comment>
    <comment ref="B16" authorId="0" shapeId="0" xr:uid="{51CC1D6E-5C28-43D5-9BAD-71075B28650A}">
      <text>
        <r>
          <rPr>
            <b/>
            <sz val="8"/>
            <rFont val="Tahoma"/>
            <family val="2"/>
          </rPr>
          <t>Thomas, John:</t>
        </r>
        <r>
          <rPr>
            <sz val="8"/>
            <rFont val="Tahoma"/>
            <family val="2"/>
          </rPr>
          <t xml:space="preserve">
Add gauge descripton to column L. See it's note</t>
        </r>
      </text>
    </comment>
    <comment ref="A17" authorId="0" shapeId="0" xr:uid="{1BA18C23-291A-424D-AC9D-6910AB1D51D1}">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B17" authorId="0" shapeId="0" xr:uid="{93C3B553-3B9A-4F0B-8B4E-C56DF08E9FC6}">
      <text>
        <r>
          <rPr>
            <b/>
            <sz val="8"/>
            <rFont val="Tahoma"/>
            <family val="2"/>
          </rPr>
          <t>Thomas, John:</t>
        </r>
        <r>
          <rPr>
            <sz val="8"/>
            <rFont val="Tahoma"/>
            <family val="2"/>
          </rPr>
          <t xml:space="preserve">
Do not use T1 through T9. Use T01 through T09 instead. </t>
        </r>
      </text>
    </comment>
    <comment ref="B18" authorId="0" shapeId="0" xr:uid="{821DF793-7DFF-4B19-9461-5A0B1D765D7E}">
      <text>
        <r>
          <rPr>
            <b/>
            <sz val="8"/>
            <rFont val="Tahoma"/>
            <family val="2"/>
          </rPr>
          <t>Thomas, John:</t>
        </r>
        <r>
          <rPr>
            <sz val="8"/>
            <rFont val="Tahoma"/>
            <family val="2"/>
          </rPr>
          <t xml:space="preserve">
These cells autofill do not alter. They show total tolerance range. If you see "#VALUE!" it means the feature does not have a numerical tolerance. Blasting, for Example
</t>
        </r>
      </text>
    </comment>
    <comment ref="B19" authorId="0" shapeId="0" xr:uid="{75027A77-3848-4C30-AC0F-CF0EF19C7838}">
      <text>
        <r>
          <rPr>
            <b/>
            <sz val="8"/>
            <rFont val="Tahoma"/>
            <family val="2"/>
          </rPr>
          <t>Thomas, John:</t>
        </r>
        <r>
          <rPr>
            <sz val="8"/>
            <rFont val="Tahoma"/>
            <family val="2"/>
          </rPr>
          <t xml:space="preserve">
--Identify Primary Control Tool Offset Number. Select cell for more information.</t>
        </r>
      </text>
    </comment>
    <comment ref="B20" authorId="0" shapeId="0" xr:uid="{4DBA18F2-7817-471C-AA72-1F7DF4C145DC}">
      <text>
        <r>
          <rPr>
            <b/>
            <sz val="8"/>
            <rFont val="Tahoma"/>
            <family val="2"/>
          </rPr>
          <t>Thomas, John:</t>
        </r>
        <r>
          <rPr>
            <sz val="8"/>
            <rFont val="Tahoma"/>
            <family val="2"/>
          </rPr>
          <t xml:space="preserve">
--Identify Primary Control Tool Offset Number. Select cell for more information.</t>
        </r>
      </text>
    </comment>
    <comment ref="A21" authorId="0" shapeId="0" xr:uid="{67613E3B-4532-4A21-84BB-400B5B6233FE}">
      <text>
        <r>
          <rPr>
            <b/>
            <sz val="8"/>
            <rFont val="Tahoma"/>
            <family val="2"/>
          </rPr>
          <t>Thomas, John:</t>
        </r>
        <r>
          <rPr>
            <sz val="8"/>
            <rFont val="Tahoma"/>
            <family val="2"/>
          </rPr>
          <t xml:space="preserve">
--Identify Primary Control Head
Select cell for more information</t>
        </r>
      </text>
    </comment>
    <comment ref="A24" authorId="0" shapeId="0" xr:uid="{F5B86CF1-6D4D-4517-A48E-B6C17EAE1EE6}">
      <text>
        <r>
          <rPr>
            <b/>
            <sz val="8"/>
            <rFont val="Tahoma"/>
            <family val="2"/>
          </rPr>
          <t>Thomas, John:</t>
        </r>
        <r>
          <rPr>
            <sz val="8"/>
            <rFont val="Tahoma"/>
            <family val="2"/>
          </rPr>
          <t xml:space="preserve">
--Identify Primary Control Head
Select cell for more information</t>
        </r>
      </text>
    </comment>
    <comment ref="A25" authorId="0" shapeId="0" xr:uid="{F862379D-3316-4824-91AD-4FC02B40331C}">
      <text>
        <r>
          <rPr>
            <b/>
            <sz val="8"/>
            <rFont val="Tahoma"/>
            <family val="2"/>
          </rPr>
          <t>Thomas, John: Refer to the SET FULL images for Gauges and Pins when required. See Column P instructions</t>
        </r>
        <r>
          <rPr>
            <sz val="8"/>
            <rFont val="Tahoma"/>
            <family val="2"/>
          </rPr>
          <t xml:space="preserve">
Name the gif the same as the Part number_REV_Balloon Number. Select cell for more information.</t>
        </r>
      </text>
    </comment>
    <comment ref="B25" authorId="0" shapeId="0" xr:uid="{309E7F1B-64B2-4890-AE82-25DDF341328E}">
      <text>
        <r>
          <rPr>
            <b/>
            <sz val="8"/>
            <rFont val="Tahoma"/>
            <family val="2"/>
          </rPr>
          <t>Thomas, John:</t>
        </r>
        <r>
          <rPr>
            <sz val="8"/>
            <rFont val="Tahoma"/>
            <family val="2"/>
          </rPr>
          <t xml:space="preserve">
If the same image is needed for several balloons use _zz (Lower case) instead of the exact balloon number. For example, 8_1, 8_2, and 8_3 would be connected to the same image 8_zz. So the entire file name will be DrawingNumber_REV_8_zz
If a gauge also has a set gauge attach the following image "SET FULL GAUGES.GIF" If gauge pins have set pins attach the following image, "SET FULL PINS.GIF"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6" authorId="0" shapeId="0" xr:uid="{00000000-0006-0000-0400-000001000000}">
      <text>
        <r>
          <rPr>
            <b/>
            <sz val="8"/>
            <rFont val="Tahoma"/>
            <family val="2"/>
          </rPr>
          <t>Thomas, John:</t>
        </r>
        <r>
          <rPr>
            <sz val="8"/>
            <rFont val="Tahoma"/>
            <family val="2"/>
          </rPr>
          <t xml:space="preserve">
Use Inch or Metric as per print.</t>
        </r>
      </text>
    </comment>
    <comment ref="K6" authorId="0" shapeId="0" xr:uid="{00000000-0006-0000-0400-000002000000}">
      <text>
        <r>
          <rPr>
            <b/>
            <sz val="8"/>
            <rFont val="Tahoma"/>
            <family val="2"/>
          </rPr>
          <t>Thomas, John:</t>
        </r>
        <r>
          <rPr>
            <sz val="8"/>
            <rFont val="Tahoma"/>
            <family val="2"/>
          </rPr>
          <t xml:space="preserve">
If metric, convert to inch before entering values</t>
        </r>
      </text>
    </comment>
    <comment ref="N6" authorId="0" shapeId="0" xr:uid="{00000000-0006-0000-0400-000003000000}">
      <text>
        <r>
          <rPr>
            <b/>
            <sz val="8"/>
            <rFont val="Tahoma"/>
            <family val="2"/>
          </rPr>
          <t>Thomas, John:</t>
        </r>
        <r>
          <rPr>
            <sz val="8"/>
            <rFont val="Tahoma"/>
            <family val="2"/>
          </rPr>
          <t xml:space="preserve">
If metric, convert to inch before entering values</t>
        </r>
      </text>
    </comment>
    <comment ref="A17" authorId="0" shapeId="0" xr:uid="{00000000-0006-0000-0400-000004000000}">
      <text>
        <r>
          <rPr>
            <b/>
            <sz val="8"/>
            <rFont val="Tahoma"/>
            <family val="2"/>
          </rPr>
          <t>Thomas, John:</t>
        </r>
        <r>
          <rPr>
            <sz val="8"/>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10" authorId="0" shapeId="0" xr:uid="{00000000-0006-0000-0600-000001000000}">
      <text>
        <r>
          <rPr>
            <b/>
            <sz val="8"/>
            <rFont val="Tahoma"/>
            <family val="2"/>
          </rPr>
          <t>Thomas, John:</t>
        </r>
        <r>
          <rPr>
            <sz val="8"/>
            <rFont val="Tahoma"/>
            <family val="2"/>
          </rPr>
          <t xml:space="preserve">
All MFG. Tol. Must have Change  Log entry that explaines the reason for the adjusted tolerance</t>
        </r>
      </text>
    </comment>
    <comment ref="B28" authorId="0" shapeId="0" xr:uid="{00000000-0006-0000-0600-000002000000}">
      <text>
        <r>
          <rPr>
            <b/>
            <sz val="8"/>
            <rFont val="Tahoma"/>
            <family val="2"/>
          </rPr>
          <t>Thomas, John:</t>
        </r>
        <r>
          <rPr>
            <sz val="8"/>
            <rFont val="Tahoma"/>
            <family val="2"/>
          </rPr>
          <t xml:space="preserve">
Controlled by Setup Sheet</t>
        </r>
      </text>
    </comment>
    <comment ref="D28" authorId="0" shapeId="0" xr:uid="{00000000-0006-0000-0600-000003000000}">
      <text>
        <r>
          <rPr>
            <b/>
            <sz val="8"/>
            <rFont val="Tahoma"/>
            <family val="2"/>
          </rPr>
          <t>Thomas, John:</t>
        </r>
        <r>
          <rPr>
            <sz val="8"/>
            <rFont val="Tahoma"/>
            <family val="2"/>
          </rPr>
          <t xml:space="preserve">
This should be on the setup sheet, not in MeasurLink</t>
        </r>
      </text>
    </comment>
    <comment ref="B40" authorId="0" shapeId="0" xr:uid="{00000000-0006-0000-0600-000004000000}">
      <text>
        <r>
          <rPr>
            <b/>
            <sz val="8"/>
            <rFont val="Tahoma"/>
            <family val="2"/>
          </rPr>
          <t>Thomas, John:</t>
        </r>
        <r>
          <rPr>
            <sz val="8"/>
            <rFont val="Tahoma"/>
            <family val="2"/>
          </rPr>
          <t xml:space="preserve">
Identify Dimension Features like HEX and HEXALOBE for clarity if it is checked with Gauges because the inspection device is listed ad Gauge Go/No Go</t>
        </r>
      </text>
    </comment>
    <comment ref="D59" authorId="0" shapeId="0" xr:uid="{00000000-0006-0000-0600-000005000000}">
      <text>
        <r>
          <rPr>
            <b/>
            <sz val="8"/>
            <rFont val="Tahoma"/>
            <family val="2"/>
          </rPr>
          <t>Thomas, John:</t>
        </r>
        <r>
          <rPr>
            <sz val="8"/>
            <rFont val="Tahoma"/>
            <family val="2"/>
          </rPr>
          <t xml:space="preserve">
It is redundant. The Offset is listed and an R offset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2" authorId="0" shapeId="0" xr:uid="{00000000-0006-0000-0900-000001000000}">
      <text>
        <r>
          <rPr>
            <b/>
            <sz val="8"/>
            <rFont val="Tahoma"/>
            <family val="2"/>
          </rPr>
          <t>Thomas, John:</t>
        </r>
        <r>
          <rPr>
            <sz val="8"/>
            <rFont val="Tahoma"/>
            <family val="2"/>
          </rPr>
          <t xml:space="preserve">
Paste  "123" Here. Green Column Data. Not Headers</t>
        </r>
      </text>
    </comment>
  </commentList>
</comments>
</file>

<file path=xl/sharedStrings.xml><?xml version="1.0" encoding="utf-8"?>
<sst xmlns="http://schemas.openxmlformats.org/spreadsheetml/2006/main" count="1457" uniqueCount="615">
  <si>
    <t>Characteristic Name</t>
  </si>
  <si>
    <t>Attribute Pin Sizes</t>
  </si>
  <si>
    <t>Balloon</t>
  </si>
  <si>
    <t>Characteristic Description</t>
  </si>
  <si>
    <t>Comments</t>
  </si>
  <si>
    <t>Inspection Method</t>
  </si>
  <si>
    <t>Inspect. Freq.</t>
  </si>
  <si>
    <t>Tool Axis Offset</t>
  </si>
  <si>
    <t>(i)</t>
  </si>
  <si>
    <t>(ii)</t>
  </si>
  <si>
    <t>(iii)</t>
  </si>
  <si>
    <t>(iv)</t>
  </si>
  <si>
    <t>(vi)</t>
  </si>
  <si>
    <t>0_001_00</t>
  </si>
  <si>
    <t>0_002_00</t>
  </si>
  <si>
    <t>0_005_00</t>
  </si>
  <si>
    <t>0_006_00</t>
  </si>
  <si>
    <t>0_007_00</t>
  </si>
  <si>
    <t>0_008_00</t>
  </si>
  <si>
    <t>0_009_00</t>
  </si>
  <si>
    <t>0_010_00</t>
  </si>
  <si>
    <t>0_011_00</t>
  </si>
  <si>
    <t>0_012_00</t>
  </si>
  <si>
    <t>0_013_00</t>
  </si>
  <si>
    <t>0_014_00</t>
  </si>
  <si>
    <t>0_015_00</t>
  </si>
  <si>
    <t>0_016_00</t>
  </si>
  <si>
    <t>0_017_00</t>
  </si>
  <si>
    <t>0_018_00</t>
  </si>
  <si>
    <t>0_019_00</t>
  </si>
  <si>
    <t>0_020_00</t>
  </si>
  <si>
    <t>0_021_00</t>
  </si>
  <si>
    <t>0_022_00</t>
  </si>
  <si>
    <t>NA</t>
  </si>
  <si>
    <t>i</t>
  </si>
  <si>
    <t>ii</t>
  </si>
  <si>
    <t>iii</t>
  </si>
  <si>
    <t>iv</t>
  </si>
  <si>
    <t>vi</t>
  </si>
  <si>
    <t xml:space="preserve"> No Nicks,Scratches,Tool Marks,etc.</t>
  </si>
  <si>
    <t xml:space="preserve"> Deburred</t>
  </si>
  <si>
    <t xml:space="preserve"> Chips/Debris Removed</t>
  </si>
  <si>
    <t>Overall Length Equal in All Tray Cavities (if applicable)</t>
  </si>
  <si>
    <t>Gauges issued &amp; verified per FO-82-026</t>
  </si>
  <si>
    <t>2-56 UNC 2B 2 STARTS</t>
  </si>
  <si>
    <t>.060 HEX DEPTH</t>
  </si>
  <si>
    <t>Ø.0815</t>
  </si>
  <si>
    <t>Ø.096 PILOT HOLE</t>
  </si>
  <si>
    <t>Ø.141</t>
  </si>
  <si>
    <t>R.012</t>
  </si>
  <si>
    <t>R.003</t>
  </si>
  <si>
    <t>5-44 UNF-2A</t>
  </si>
  <si>
    <t>.1219 MAJOR</t>
  </si>
  <si>
    <t>.1082 PITCH DIA.</t>
  </si>
  <si>
    <t>.002 ROOT RADIUS</t>
  </si>
  <si>
    <t>Ø.097</t>
  </si>
  <si>
    <t>32µIN</t>
  </si>
  <si>
    <t>Carbide Gauge</t>
  </si>
  <si>
    <t>Set to .202, Zero on Thread Lead</t>
  </si>
  <si>
    <t>Visual · 2.25×</t>
  </si>
  <si>
    <t>Gauge · Go/NoGo</t>
  </si>
  <si>
    <t>Gauge · Go / Caliper</t>
  </si>
  <si>
    <t>Gauge Pins · Go/NoGo</t>
  </si>
  <si>
    <t>Sylvac Scan</t>
  </si>
  <si>
    <t>Hex Gauge</t>
  </si>
  <si>
    <t>100%</t>
  </si>
  <si>
    <t>FAI and FIRST VISUAL</t>
  </si>
  <si>
    <t>1/30, Final-Dim AQL 1.0</t>
  </si>
  <si>
    <t>FAI ONLY</t>
  </si>
  <si>
    <t>T22, X-HD2</t>
  </si>
  <si>
    <t>T24,Z-HD2</t>
  </si>
  <si>
    <t>T22,Z-HD2</t>
  </si>
  <si>
    <t>0_003_00</t>
  </si>
  <si>
    <t>THRD DEPTH</t>
  </si>
  <si>
    <t>RAM - Var.Meas.</t>
  </si>
  <si>
    <t xml:space="preserve">Sylvac Scan </t>
  </si>
  <si>
    <t>Visual 10.x</t>
  </si>
  <si>
    <t>TEST</t>
  </si>
  <si>
    <t>QE</t>
  </si>
  <si>
    <t>ME</t>
  </si>
  <si>
    <t>Index #</t>
  </si>
  <si>
    <t>Attribute</t>
  </si>
  <si>
    <t>X</t>
  </si>
  <si>
    <t>Deburred</t>
  </si>
  <si>
    <t>Chips/Debris Removed</t>
  </si>
  <si>
    <t>(v)</t>
  </si>
  <si>
    <t>Target</t>
  </si>
  <si>
    <t>Lower 
Limit</t>
  </si>
  <si>
    <t>Upper 
Limit</t>
  </si>
  <si>
    <t>Column C</t>
  </si>
  <si>
    <t>Visual</t>
  </si>
  <si>
    <t>Set Pin, Go</t>
  </si>
  <si>
    <t>Set Pin, No Go</t>
  </si>
  <si>
    <t>(50% Truncation, &gt;= .002)</t>
  </si>
  <si>
    <t>HD1</t>
  </si>
  <si>
    <t>HD2</t>
  </si>
  <si>
    <t>HD3</t>
  </si>
  <si>
    <t>OL1234</t>
  </si>
  <si>
    <t>Overlay OL1234</t>
  </si>
  <si>
    <t>AQL 1.0</t>
  </si>
  <si>
    <t>AQL 1.00</t>
  </si>
  <si>
    <t>Final AQL 1.0</t>
  </si>
  <si>
    <t>(.2160 .2200 SET) (.2150 .2250 FINAL)</t>
  </si>
  <si>
    <t>(.216/.22 set) (.215-.225 final)</t>
  </si>
  <si>
    <t>Section</t>
  </si>
  <si>
    <t>Blank</t>
  </si>
  <si>
    <t>Section Part, Overlay OL02560</t>
  </si>
  <si>
    <t>Section, OL02560</t>
  </si>
  <si>
    <t xml:space="preserve">FAI or FIRST VISUAL </t>
  </si>
  <si>
    <t>Manufacturing Tolerance</t>
  </si>
  <si>
    <t>Mfg. Tol.</t>
  </si>
  <si>
    <t>Make Section Part or Section Part</t>
  </si>
  <si>
    <t>Grv. Wth.</t>
  </si>
  <si>
    <t>Groove Width</t>
  </si>
  <si>
    <t>This</t>
  </si>
  <si>
    <t>Ind. Tip</t>
  </si>
  <si>
    <t>Indicator Tip</t>
  </si>
  <si>
    <t>Insp.</t>
  </si>
  <si>
    <t>Inspect</t>
  </si>
  <si>
    <t>Diff.</t>
  </si>
  <si>
    <t>Difference</t>
  </si>
  <si>
    <t>Same as 38_1</t>
  </si>
  <si>
    <t>Same as 0_038_01</t>
  </si>
  <si>
    <t>See Drawing Note 3</t>
  </si>
  <si>
    <t>Drawing Note 3</t>
  </si>
  <si>
    <t>Make Blank Part or Make Blank</t>
  </si>
  <si>
    <t>Assure smooth transition to .340 Diameter</t>
  </si>
  <si>
    <t>Radius at Intersection of ID and Face</t>
  </si>
  <si>
    <t>ID @ Face</t>
  </si>
  <si>
    <t>FINAL AQL 1.00</t>
  </si>
  <si>
    <t>Check adjacent to Rod Slot</t>
  </si>
  <si>
    <t>Check close to Rod Slot</t>
  </si>
  <si>
    <t>True Pos.</t>
  </si>
  <si>
    <t>True Position</t>
  </si>
  <si>
    <t>Run Balloon 7 Blank, Datum A Ø.370</t>
  </si>
  <si>
    <t>Balloon 7 Blank, Datum A = Ø.370</t>
  </si>
  <si>
    <t>Run CMM Blank</t>
  </si>
  <si>
    <t>CMM Blank</t>
  </si>
  <si>
    <t>Check across from slot, Final AQL 1.0</t>
  </si>
  <si>
    <t>Final AQL 1.0, Check across from slot</t>
  </si>
  <si>
    <t>Check at ID &amp; FACE</t>
  </si>
  <si>
    <t>@ ID &amp; FACE</t>
  </si>
  <si>
    <t>Check at OD and BACK-FACE</t>
  </si>
  <si>
    <t>@ OD &amp; BACK FACE</t>
  </si>
  <si>
    <t>Make Blank without thread or Make thredless blank</t>
  </si>
  <si>
    <t>Check one side of slot</t>
  </si>
  <si>
    <t>One side of slot</t>
  </si>
  <si>
    <t>Edit #121 Smaller to Make Bigger</t>
  </si>
  <si>
    <t>Thread Minor Diameter</t>
  </si>
  <si>
    <t>Thrd. Minor Ø</t>
  </si>
  <si>
    <t>Thread Relief Diameter</t>
  </si>
  <si>
    <t>Thrd. Relief Ø</t>
  </si>
  <si>
    <t>Make Threaded Blank</t>
  </si>
  <si>
    <t xml:space="preserve">Blank, Thrd. </t>
  </si>
  <si>
    <t>T3-HD1-TOOL-SFI</t>
  </si>
  <si>
    <t>T3 HD1 TOOL SFI</t>
  </si>
  <si>
    <t xml:space="preserve">Center of V Grv. </t>
  </si>
  <si>
    <t>Measure center of vee groove feature</t>
  </si>
  <si>
    <t>Measure at Tangent Point</t>
  </si>
  <si>
    <t>Tangent Point</t>
  </si>
  <si>
    <t>Measure at Beginning of Radius</t>
  </si>
  <si>
    <t>Start of Radius</t>
  </si>
  <si>
    <t>PEAKS OF HEX AND HEXALOBE FEATURES TO BE ORIENTED RELATIVE TO EACH OTHER</t>
  </si>
  <si>
    <t>Hex &amp; Lobe Oriented</t>
  </si>
  <si>
    <t>Over All Length</t>
  </si>
  <si>
    <t>O.A.L.</t>
  </si>
  <si>
    <t>Truncated +/- Tolerance</t>
  </si>
  <si>
    <t>Full Range</t>
  </si>
  <si>
    <t>(25 % Truncation, &gt; .001, &lt; .002)</t>
  </si>
  <si>
    <t>Start of Radius @ .21 Ø</t>
  </si>
  <si>
    <t>Check at the beginning point of the radius and the .210 Diameter</t>
  </si>
  <si>
    <t>Use Go Hex</t>
  </si>
  <si>
    <t>Use with Go HEX Pin</t>
  </si>
  <si>
    <t>.1250 HEX</t>
  </si>
  <si>
    <t>.1250</t>
  </si>
  <si>
    <t>Do not apply this guide to Characteristic Descriptions unless the drawing used a sentence like index # 35</t>
  </si>
  <si>
    <t>|SUR. PROFILE|.0016|B|D|</t>
  </si>
  <si>
    <t>Profile|.0016|B|D|</t>
  </si>
  <si>
    <t>|TRUE POS.|.001|B|</t>
  </si>
  <si>
    <t>True Pos.|.001|B|</t>
  </si>
  <si>
    <t>Create center points for minor of hexalobe and OD. Measure distance between centers. Distance must be .0005 or less</t>
  </si>
  <si>
    <t>Hex Minor to OD .0005 or less = Pass</t>
  </si>
  <si>
    <t>See Image</t>
  </si>
  <si>
    <t>Dimension is to center of R.005 in Corner</t>
  </si>
  <si>
    <t>To center of R.005</t>
  </si>
  <si>
    <t>Changes Needed/Notes/Comments</t>
  </si>
  <si>
    <t>True Position|Ø.03 Max Material|A</t>
  </si>
  <si>
    <t>True Pos.|Ø.03 (M)|A</t>
  </si>
  <si>
    <t>SURFACE FINISH: MASS MEDIA, GRADE 6</t>
  </si>
  <si>
    <t>Surface Finish Per Note 1</t>
  </si>
  <si>
    <t>Perpendicular|0.05|A|</t>
  </si>
  <si>
    <t>Perp.|0.05|A|</t>
  </si>
  <si>
    <t>Counter Sink</t>
  </si>
  <si>
    <t>C-Sink</t>
  </si>
  <si>
    <t>Plus Tolerance</t>
  </si>
  <si>
    <t>Minus Tolerance</t>
  </si>
  <si>
    <t>Nominal (Print) Size</t>
  </si>
  <si>
    <t>Upper Limit</t>
  </si>
  <si>
    <t>Lower Limit</t>
  </si>
  <si>
    <t>Variable Target and Limits</t>
  </si>
  <si>
    <t>Pins 50% Truncation</t>
  </si>
  <si>
    <t>Pins 25% Truncation</t>
  </si>
  <si>
    <t>NO</t>
  </si>
  <si>
    <t>Values Above Metric?</t>
  </si>
  <si>
    <t>Inch Values--&gt;</t>
  </si>
  <si>
    <t>Lower Size (Full Pin, Go)</t>
  </si>
  <si>
    <t>Upper Size (Full Pin, No Go)</t>
  </si>
  <si>
    <t>(No set Pin {Only Full} &lt;= .001)</t>
  </si>
  <si>
    <t>MATTE FINISH SIZE 10 GLASS BEAD</t>
  </si>
  <si>
    <t>EXTERNAL Sphere Location</t>
  </si>
  <si>
    <t>EXT. Sphere Location</t>
  </si>
  <si>
    <t>INT. Sphere Location.</t>
  </si>
  <si>
    <t>INTERNAL Sphere Location.</t>
  </si>
  <si>
    <t>SØ.331</t>
  </si>
  <si>
    <t>Sphere Diameter .331</t>
  </si>
  <si>
    <t>16 GRIT ALUMINUM OXIDE</t>
  </si>
  <si>
    <t>Not That</t>
  </si>
  <si>
    <t>Theoretical</t>
  </si>
  <si>
    <t>Theo.</t>
  </si>
  <si>
    <t>BLAST Per Note 3</t>
  </si>
  <si>
    <r>
      <t xml:space="preserve">Tolerance ranges for 50%, 25% and </t>
    </r>
    <r>
      <rPr>
        <b/>
        <u/>
        <sz val="12"/>
        <color theme="1"/>
        <rFont val="Calibri"/>
        <family val="2"/>
        <scheme val="minor"/>
      </rPr>
      <t>NO</t>
    </r>
    <r>
      <rPr>
        <b/>
        <sz val="12"/>
        <color theme="1"/>
        <rFont val="Calibri"/>
        <family val="2"/>
        <scheme val="minor"/>
      </rPr>
      <t xml:space="preserve"> Truncation</t>
    </r>
  </si>
  <si>
    <t>Minus tolerance can be with or without sign</t>
  </si>
  <si>
    <t xml:space="preserve">The formula uses  the absolute value of both the plus and minus tolerance </t>
  </si>
  <si>
    <t xml:space="preserve">When you select yes for metric, the values also convert to inch because all pins are bought in inch. </t>
  </si>
  <si>
    <t>Blast Per Note 4</t>
  </si>
  <si>
    <t>Pointed or rounded Tip</t>
  </si>
  <si>
    <t>Point Tip</t>
  </si>
  <si>
    <t>Unidirectional</t>
  </si>
  <si>
    <t>UNI.</t>
  </si>
  <si>
    <t>Check for Taper</t>
  </si>
  <si>
    <t>Taper Check</t>
  </si>
  <si>
    <t xml:space="preserve">Rotate part and use surface illumination to view feature. </t>
  </si>
  <si>
    <t>No Section</t>
  </si>
  <si>
    <t>Do not use X offset to adjust</t>
  </si>
  <si>
    <t>|Surface Profile|.010|A|B|</t>
  </si>
  <si>
    <t>Profile|.010|A|B|</t>
  </si>
  <si>
    <t>Column D</t>
  </si>
  <si>
    <t>50% Truncate</t>
  </si>
  <si>
    <t>Column G</t>
  </si>
  <si>
    <t>25% Truncate</t>
  </si>
  <si>
    <t>No Truncate</t>
  </si>
  <si>
    <t>Use Yellow</t>
  </si>
  <si>
    <t>Enter values in GREEN FIELDS, COPY VALUES BELOW 
The correct truncation field name will highlight Yellow</t>
  </si>
  <si>
    <t>|j|n.001m|A|</t>
  </si>
  <si>
    <t>True. Pos.|Ø.001(M)|A|</t>
  </si>
  <si>
    <t>|d|.005|A|C|</t>
  </si>
  <si>
    <t>Profile|.005|A|C|</t>
  </si>
  <si>
    <t>Profile|.001|A|B| A&lt;-&gt;B C&lt;-&gt;D</t>
  </si>
  <si>
    <t>See instructions in image</t>
  </si>
  <si>
    <r>
      <t>|</t>
    </r>
    <r>
      <rPr>
        <sz val="11"/>
        <color theme="1"/>
        <rFont val="GD&amp;T"/>
        <family val="2"/>
        <charset val="2"/>
      </rPr>
      <t></t>
    </r>
    <r>
      <rPr>
        <sz val="11"/>
        <color theme="1"/>
        <rFont val="Calibri"/>
        <family val="2"/>
        <scheme val="minor"/>
      </rPr>
      <t>|.001|A|B| A-B  C-D</t>
    </r>
  </si>
  <si>
    <t>Blend to .340 Ø</t>
  </si>
  <si>
    <t>Threadless Blank</t>
  </si>
  <si>
    <t>Blanlk, Without Thread</t>
  </si>
  <si>
    <t>Gauges issued &amp; verified per FO-82-030</t>
  </si>
  <si>
    <t>VBU Pin Tolerances.GIF</t>
  </si>
  <si>
    <t>PINS / GAUGES</t>
  </si>
  <si>
    <t>BALLOON NO.</t>
  </si>
  <si>
    <t>COMMENTS</t>
  </si>
  <si>
    <t>INSPECTION METHOD</t>
  </si>
  <si>
    <t>Cust. Gauge</t>
  </si>
  <si>
    <t>Customer Gauge</t>
  </si>
  <si>
    <t>Center feature within .001 or less equils Pass</t>
  </si>
  <si>
    <t>Centered within .001 or Less=Pass</t>
  </si>
  <si>
    <t>Insp. Fixt.</t>
  </si>
  <si>
    <t>Inspection Fixture</t>
  </si>
  <si>
    <t>Calc.</t>
  </si>
  <si>
    <t>Calculation</t>
  </si>
  <si>
    <t>IN-PROCESS, INSPECTION FREQUENCY</t>
  </si>
  <si>
    <t>Total Runout</t>
  </si>
  <si>
    <t>Tot. Runout</t>
  </si>
  <si>
    <t>Sharp Okay, No Burr</t>
  </si>
  <si>
    <t>No Sharp Edge Allowed</t>
  </si>
  <si>
    <t>T.S.C.</t>
  </si>
  <si>
    <t>Theoretical Sharp Corner</t>
  </si>
  <si>
    <t>Run part without broach to check</t>
  </si>
  <si>
    <t>Broachless Blank</t>
  </si>
  <si>
    <t>Mill marks not allowed on turned diameter</t>
  </si>
  <si>
    <t>Turn Ø Free of Mill Marks</t>
  </si>
  <si>
    <t>Follow instructions in the comments Sheet</t>
  </si>
  <si>
    <t>See Comments Sheet</t>
  </si>
  <si>
    <t>Length Equal in all Tray Cavities/Racks</t>
  </si>
  <si>
    <t>No Nicks, Scratches, Tool Marks,etc.</t>
  </si>
  <si>
    <t>GO GAUGE FUNCTION</t>
  </si>
  <si>
    <t>Favored Andle Alignment</t>
  </si>
  <si>
    <t>Fav. Ang. Align</t>
  </si>
  <si>
    <t>Tol. Range</t>
  </si>
  <si>
    <t>QE &amp; ME</t>
  </si>
  <si>
    <t xml:space="preserve">QE &amp; ME </t>
  </si>
  <si>
    <t>AUTO</t>
  </si>
  <si>
    <t>Make sure the part has a through pilot hole</t>
  </si>
  <si>
    <t>Column E</t>
  </si>
  <si>
    <t>Parts should not exhibit any copper deposits</t>
  </si>
  <si>
    <t>No Copper Deposits Allowed</t>
  </si>
  <si>
    <t>View feature through rod-slot on RAM</t>
  </si>
  <si>
    <t>Rotate Part</t>
  </si>
  <si>
    <t xml:space="preserve"> Note: Use Gauge Part Numbers</t>
  </si>
  <si>
    <t>Assure the go pin contacts the radius and no light is visible.</t>
  </si>
  <si>
    <t>Go Pin, No Light, at Radius</t>
  </si>
  <si>
    <t>Fill in yellow fields. Blue fields auto calculate</t>
  </si>
  <si>
    <t>Balloon Number</t>
  </si>
  <si>
    <t>INTERNAL/EXTERNAL</t>
  </si>
  <si>
    <t>DWG MIN</t>
  </si>
  <si>
    <t>DWG MEAN</t>
  </si>
  <si>
    <t>DWG MAX</t>
  </si>
  <si>
    <t>DWG Tol +/-</t>
  </si>
  <si>
    <t>COAT MIN*2</t>
  </si>
  <si>
    <t>COAT MAX*2</t>
  </si>
  <si>
    <t>MFG MIN</t>
  </si>
  <si>
    <t>MFG MEAN</t>
  </si>
  <si>
    <t>MFG MAX</t>
  </si>
  <si>
    <t>MFG+/- TOL</t>
  </si>
  <si>
    <t>EXTERNAL</t>
  </si>
  <si>
    <t>Note: ? to ? coating range</t>
  </si>
  <si>
    <t>The Go-Gage pin must go through the entire length of the part</t>
  </si>
  <si>
    <t>Go Pin must pass through</t>
  </si>
  <si>
    <r>
      <t xml:space="preserve">Drawing NumberXXXXXXXX, Part Number XXXXXXX REV CCC, Note: Change Rows to </t>
    </r>
    <r>
      <rPr>
        <b/>
        <i/>
        <u/>
        <sz val="11"/>
        <color theme="1"/>
        <rFont val="Calibri"/>
        <family val="2"/>
        <scheme val="minor"/>
      </rPr>
      <t>Yellow when the features are customer required inspections</t>
    </r>
    <r>
      <rPr>
        <i/>
        <u/>
        <sz val="11"/>
        <color theme="1"/>
        <rFont val="Calibri"/>
        <family val="2"/>
        <scheme val="minor"/>
      </rPr>
      <t>,</t>
    </r>
    <r>
      <rPr>
        <b/>
        <i/>
        <u/>
        <sz val="11"/>
        <color theme="1"/>
        <rFont val="Calibri"/>
        <family val="2"/>
        <scheme val="minor"/>
      </rPr>
      <t xml:space="preserve"> Light Blue for features that chenge in a Family</t>
    </r>
    <r>
      <rPr>
        <b/>
        <i/>
        <sz val="11"/>
        <color theme="1"/>
        <rFont val="Calibri"/>
        <family val="2"/>
        <scheme val="minor"/>
      </rPr>
      <t xml:space="preserve"> Green Columns are "Custom" Measure Link Fields</t>
    </r>
  </si>
  <si>
    <t>Y</t>
  </si>
  <si>
    <t>Z</t>
  </si>
  <si>
    <t>A</t>
  </si>
  <si>
    <t>B</t>
  </si>
  <si>
    <t>C</t>
  </si>
  <si>
    <t>TOOL</t>
  </si>
  <si>
    <t>PROG</t>
  </si>
  <si>
    <t>R</t>
  </si>
  <si>
    <t>Data VAL Prep</t>
  </si>
  <si>
    <t>Go GaugeFunc.</t>
  </si>
  <si>
    <t>Thru. Hole Present</t>
  </si>
  <si>
    <t>Tool Offset Number</t>
  </si>
  <si>
    <t>T11</t>
  </si>
  <si>
    <t>Control</t>
  </si>
  <si>
    <t>,X</t>
  </si>
  <si>
    <t>,Z</t>
  </si>
  <si>
    <t>,#541</t>
  </si>
  <si>
    <t>,D11</t>
  </si>
  <si>
    <t>,H11</t>
  </si>
  <si>
    <t>Head (Not Used In Mill)</t>
  </si>
  <si>
    <t>Examples</t>
  </si>
  <si>
    <t>T11,X HD1</t>
  </si>
  <si>
    <t>T11 PROG HD1</t>
  </si>
  <si>
    <t>Primary Control</t>
  </si>
  <si>
    <t>Secondary Control, On the same Head</t>
  </si>
  <si>
    <t>T1 through T9 must have leading zeros. i.e., T01 T09</t>
  </si>
  <si>
    <t>T11,X T02,Y HD1</t>
  </si>
  <si>
    <t>T11 PROG T05,R HD1</t>
  </si>
  <si>
    <t>,R</t>
  </si>
  <si>
    <t>T11,X HD1 &amp; T02,Y HD2</t>
  </si>
  <si>
    <t>T11 PROG HD3 &amp; T05,R HD1</t>
  </si>
  <si>
    <t>Fill in Columns S,T,U for Primary Control</t>
  </si>
  <si>
    <t>T11,X HD1 SFI</t>
  </si>
  <si>
    <t>T11 PROG HD3 &amp; T05,R HD1 SFI</t>
  </si>
  <si>
    <r>
      <t>Filter Columns S,T,U &amp; View Column R (</t>
    </r>
    <r>
      <rPr>
        <i/>
        <sz val="11"/>
        <color theme="1"/>
        <rFont val="Calibri"/>
        <family val="2"/>
        <scheme val="minor"/>
      </rPr>
      <t>Tolerance Range</t>
    </r>
    <r>
      <rPr>
        <sz val="11"/>
        <color theme="1"/>
        <rFont val="Calibri"/>
        <family val="2"/>
        <scheme val="minor"/>
      </rPr>
      <t xml:space="preserve">) to find </t>
    </r>
    <r>
      <rPr>
        <b/>
        <sz val="11"/>
        <color theme="1"/>
        <rFont val="Calibri"/>
        <family val="2"/>
        <scheme val="minor"/>
      </rPr>
      <t>SFI</t>
    </r>
  </si>
  <si>
    <t>Instructions below for QE's</t>
  </si>
  <si>
    <t>Swiss</t>
  </si>
  <si>
    <t>Mill</t>
  </si>
  <si>
    <t xml:space="preserve"> (Not Used In Mill)</t>
  </si>
  <si>
    <t>T04</t>
  </si>
  <si>
    <t>D04</t>
  </si>
  <si>
    <t>T10</t>
  </si>
  <si>
    <t>H</t>
  </si>
  <si>
    <t>T03</t>
  </si>
  <si>
    <t>#541</t>
  </si>
  <si>
    <t>T04,D04,H</t>
  </si>
  <si>
    <t>T04,D04</t>
  </si>
  <si>
    <t xml:space="preserve">T11 PROG </t>
  </si>
  <si>
    <t>T10,#541 H,D10</t>
  </si>
  <si>
    <t>T11 PROG H,D11</t>
  </si>
  <si>
    <t>T10,H,D22,D42</t>
  </si>
  <si>
    <t>T19</t>
  </si>
  <si>
    <t>T34</t>
  </si>
  <si>
    <t>Non-Primary Control After Primary</t>
  </si>
  <si>
    <t>Non-Primary Control, After Primary, On the same Head</t>
  </si>
  <si>
    <r>
      <t xml:space="preserve">Non-Primary Control,After Primary On the </t>
    </r>
    <r>
      <rPr>
        <b/>
        <sz val="11"/>
        <color theme="1"/>
        <rFont val="Calibri"/>
        <family val="2"/>
        <scheme val="minor"/>
      </rPr>
      <t>DIFFERENT</t>
    </r>
    <r>
      <rPr>
        <sz val="11"/>
        <color theme="1"/>
        <rFont val="Calibri"/>
        <family val="2"/>
        <scheme val="minor"/>
      </rPr>
      <t xml:space="preserve"> Head USE </t>
    </r>
    <r>
      <rPr>
        <b/>
        <i/>
        <sz val="11"/>
        <color theme="1"/>
        <rFont val="Calibri"/>
        <family val="2"/>
        <scheme val="minor"/>
      </rPr>
      <t>&amp;</t>
    </r>
  </si>
  <si>
    <r>
      <t>Attached Image(s) [</t>
    </r>
    <r>
      <rPr>
        <b/>
        <sz val="11"/>
        <color theme="1"/>
        <rFont val="Calibri"/>
        <family val="2"/>
        <scheme val="minor"/>
      </rPr>
      <t>Double Click</t>
    </r>
    <r>
      <rPr>
        <sz val="11"/>
        <color theme="1"/>
        <rFont val="Calibri"/>
        <family val="2"/>
        <scheme val="minor"/>
      </rPr>
      <t>]</t>
    </r>
  </si>
  <si>
    <t>Customer:</t>
  </si>
  <si>
    <t>Drawing Number:</t>
  </si>
  <si>
    <t>Title/Description:</t>
  </si>
  <si>
    <t>Part Number:</t>
  </si>
  <si>
    <t>AQL LEVEL:</t>
  </si>
  <si>
    <t>Revision:</t>
  </si>
  <si>
    <t>PART#</t>
  </si>
  <si>
    <t>ANO1</t>
  </si>
  <si>
    <t>OL1</t>
  </si>
  <si>
    <t>OL1B</t>
  </si>
  <si>
    <t>OL2</t>
  </si>
  <si>
    <t>OL2B</t>
  </si>
  <si>
    <t>OL3</t>
  </si>
  <si>
    <t>OL3B</t>
  </si>
  <si>
    <t>OL4</t>
  </si>
  <si>
    <t>OL4B</t>
  </si>
  <si>
    <t>OL5</t>
  </si>
  <si>
    <t>OL5B</t>
  </si>
  <si>
    <t>OL6</t>
  </si>
  <si>
    <t>OL6B</t>
  </si>
  <si>
    <t>OL7</t>
  </si>
  <si>
    <t>OL7B</t>
  </si>
  <si>
    <t>OL8</t>
  </si>
  <si>
    <t>OL8B</t>
  </si>
  <si>
    <t>OL9</t>
  </si>
  <si>
    <t>OL9B</t>
  </si>
  <si>
    <t>Desc</t>
  </si>
  <si>
    <t>Var2</t>
  </si>
  <si>
    <t>Var3</t>
  </si>
  <si>
    <t>Var4</t>
  </si>
  <si>
    <t>Anodize Color</t>
  </si>
  <si>
    <t xml:space="preserve"> </t>
  </si>
  <si>
    <t>PrePost Anodization Comments</t>
  </si>
  <si>
    <t>="Anodize "&amp;VLOOKUP('START HERE'!$C$8,'Variables'!$A$2:$AJ$500,10,FALSE)&amp;" per Danco# "&amp;VLOOKUP('START HERE'!$C$8,'Variables'!$A$2:$AJ$500,11,FALSE)</t>
  </si>
  <si>
    <t>Certification Required</t>
  </si>
  <si>
    <t>Procedure:</t>
  </si>
  <si>
    <t>1. Enter all part numbers per print in column A</t>
  </si>
  <si>
    <t>2. Enter inspection criteria ,as needed, in columns labeled as follows:</t>
  </si>
  <si>
    <t>'MeasurLink Routine name'(ML1 through 8), 'Anodize Color'(ANO1), 'Anodize #'(ANO2), 'Open'(ANO3), 'KEY#####'(KEY1 through 6), 'OL#####'(OL1 through 6)</t>
  </si>
  <si>
    <t>(if no criteria exists for corresponding part #, then leave blank)</t>
  </si>
  <si>
    <t>3. Copy formula from 'FORMULA TO COPY' column, then</t>
  </si>
  <si>
    <t>paste into cell on tab where corresponding criteria is used.</t>
  </si>
  <si>
    <t>4. MUST make sure cell format is set to 'Text' where formula is copied for</t>
  </si>
  <si>
    <t>VLOOKUP to work properly.</t>
  </si>
  <si>
    <t>BALLOON</t>
  </si>
  <si>
    <t>VALUE</t>
  </si>
  <si>
    <t>LOWER LIMIT</t>
  </si>
  <si>
    <t>UPPER LIMIT</t>
  </si>
  <si>
    <t>TYPE</t>
  </si>
  <si>
    <t>SUBTYPE</t>
  </si>
  <si>
    <t>Units</t>
  </si>
  <si>
    <t>DESCRIPTION</t>
  </si>
  <si>
    <t>?</t>
  </si>
  <si>
    <t>o</t>
  </si>
  <si>
    <t></t>
  </si>
  <si>
    <t>(U)</t>
  </si>
  <si>
    <t>U</t>
  </si>
  <si>
    <t></t>
  </si>
  <si>
    <t>(P)</t>
  </si>
  <si>
    <t>p</t>
  </si>
  <si>
    <t></t>
  </si>
  <si>
    <t>[ST]</t>
  </si>
  <si>
    <t></t>
  </si>
  <si>
    <t>(F)</t>
  </si>
  <si>
    <t>@</t>
  </si>
  <si>
    <t></t>
  </si>
  <si>
    <t>(T)</t>
  </si>
  <si>
    <t>$</t>
  </si>
  <si>
    <t></t>
  </si>
  <si>
    <t>(S)</t>
  </si>
  <si>
    <t>s</t>
  </si>
  <si>
    <t></t>
  </si>
  <si>
    <t>(L)</t>
  </si>
  <si>
    <t>l</t>
  </si>
  <si>
    <t></t>
  </si>
  <si>
    <t>Sø</t>
  </si>
  <si>
    <t>Sn</t>
  </si>
  <si>
    <t></t>
  </si>
  <si>
    <t>(M)</t>
  </si>
  <si>
    <t>m</t>
  </si>
  <si>
    <t></t>
  </si>
  <si>
    <t>Ø</t>
  </si>
  <si>
    <t>n</t>
  </si>
  <si>
    <t></t>
  </si>
  <si>
    <t></t>
  </si>
  <si>
    <t></t>
  </si>
  <si>
    <t></t>
  </si>
  <si>
    <t>W</t>
  </si>
  <si>
    <t></t>
  </si>
  <si>
    <t>V</t>
  </si>
  <si>
    <t></t>
  </si>
  <si>
    <t></t>
  </si>
  <si>
    <t>T</t>
  </si>
  <si>
    <t></t>
  </si>
  <si>
    <t>S</t>
  </si>
  <si>
    <t></t>
  </si>
  <si>
    <t></t>
  </si>
  <si>
    <t>Q</t>
  </si>
  <si>
    <t></t>
  </si>
  <si>
    <t>P</t>
  </si>
  <si>
    <t></t>
  </si>
  <si>
    <t>O</t>
  </si>
  <si>
    <t></t>
  </si>
  <si>
    <t>N</t>
  </si>
  <si>
    <t></t>
  </si>
  <si>
    <t>M</t>
  </si>
  <si>
    <t></t>
  </si>
  <si>
    <t>L</t>
  </si>
  <si>
    <t></t>
  </si>
  <si>
    <t>K</t>
  </si>
  <si>
    <t></t>
  </si>
  <si>
    <t>J</t>
  </si>
  <si>
    <t></t>
  </si>
  <si>
    <t>I</t>
  </si>
  <si>
    <t></t>
  </si>
  <si>
    <t></t>
  </si>
  <si>
    <t>G</t>
  </si>
  <si>
    <t></t>
  </si>
  <si>
    <t>F</t>
  </si>
  <si>
    <t></t>
  </si>
  <si>
    <t>E</t>
  </si>
  <si>
    <t></t>
  </si>
  <si>
    <t>D</t>
  </si>
  <si>
    <t></t>
  </si>
  <si>
    <t></t>
  </si>
  <si>
    <t></t>
  </si>
  <si>
    <t></t>
  </si>
  <si>
    <t>|</t>
  </si>
  <si>
    <t></t>
  </si>
  <si>
    <t></t>
  </si>
  <si>
    <t></t>
  </si>
  <si>
    <t></t>
  </si>
  <si>
    <t></t>
  </si>
  <si>
    <t></t>
  </si>
  <si>
    <t></t>
  </si>
  <si>
    <t></t>
  </si>
  <si>
    <t></t>
  </si>
  <si>
    <t></t>
  </si>
  <si>
    <t></t>
  </si>
  <si>
    <t>+</t>
  </si>
  <si>
    <t></t>
  </si>
  <si>
    <t>)</t>
  </si>
  <si>
    <t></t>
  </si>
  <si>
    <t>(</t>
  </si>
  <si>
    <t></t>
  </si>
  <si>
    <t>*</t>
  </si>
  <si>
    <t></t>
  </si>
  <si>
    <t></t>
  </si>
  <si>
    <t>.</t>
  </si>
  <si>
    <t></t>
  </si>
  <si>
    <t>Cylindricity</t>
  </si>
  <si>
    <t>|g</t>
  </si>
  <si>
    <t></t>
  </si>
  <si>
    <t>Straightness</t>
  </si>
  <si>
    <t>|u</t>
  </si>
  <si>
    <t></t>
  </si>
  <si>
    <t>Parallelism</t>
  </si>
  <si>
    <t>|f</t>
  </si>
  <si>
    <t></t>
  </si>
  <si>
    <t>Symmetry</t>
  </si>
  <si>
    <t>|i</t>
  </si>
  <si>
    <t></t>
  </si>
  <si>
    <t>Cocentr.</t>
  </si>
  <si>
    <t>|r</t>
  </si>
  <si>
    <t></t>
  </si>
  <si>
    <t>Profile-Line</t>
  </si>
  <si>
    <t>|k</t>
  </si>
  <si>
    <t></t>
  </si>
  <si>
    <t>|t</t>
  </si>
  <si>
    <t></t>
  </si>
  <si>
    <t>Runout</t>
  </si>
  <si>
    <t>|h</t>
  </si>
  <si>
    <t></t>
  </si>
  <si>
    <t>Circularity</t>
  </si>
  <si>
    <t>|e</t>
  </si>
  <si>
    <t></t>
  </si>
  <si>
    <t>Angularity</t>
  </si>
  <si>
    <t>|a</t>
  </si>
  <si>
    <t></t>
  </si>
  <si>
    <t>Perpin.</t>
  </si>
  <si>
    <t>|b</t>
  </si>
  <si>
    <t></t>
  </si>
  <si>
    <t>Flatness</t>
  </si>
  <si>
    <t>|c</t>
  </si>
  <si>
    <t></t>
  </si>
  <si>
    <t>|j</t>
  </si>
  <si>
    <t></t>
  </si>
  <si>
    <t>Profile</t>
  </si>
  <si>
    <t>|d</t>
  </si>
  <si>
    <t></t>
  </si>
  <si>
    <t>MeasurLink Callout</t>
  </si>
  <si>
    <t>AMGDT Letter</t>
  </si>
  <si>
    <t>UTF-8 Code</t>
  </si>
  <si>
    <t>InspectionXpert Symbol</t>
  </si>
  <si>
    <t>#Instances</t>
  </si>
  <si>
    <t>CHARACTERISTIC DESCRIPTION</t>
  </si>
  <si>
    <t>iex:INSPECTIONXPERT/INSPECTION_SHEET/ATTRIBUTES/ATTRIBUTE/@BalloonID</t>
  </si>
  <si>
    <t>iex:INSPECTIONXPERT/INSPECTION_SHEET/ATTRIBUTES/ATTRIBUTE/@NominalTextOnly</t>
  </si>
  <si>
    <t>iex:INSPECTIONXPERT/INSPECTION_SHEET/ATTRIBUTES/ATTRIBUTE/@LowerLimit</t>
  </si>
  <si>
    <t>iex:INSPECTIONXPERT/INSPECTION_SHEET/ATTRIBUTES/ATTRIBUTE/@UpperLimit</t>
  </si>
  <si>
    <t>iex:INSPECTIONXPERT/INSPECTION_SHEET/ATTRIBUTES/ATTRIBUTE/@Type</t>
  </si>
  <si>
    <t>iex:INSPECTIONXPERT/INSPECTION_SHEET/ATTRIBUTES/ATTRIBUTE/@SubType</t>
  </si>
  <si>
    <t>iex:INSPECTIONXPERT/INSPECTION_SHEET/ATTRIBUTES/ATTRIBUTE/@UofM</t>
  </si>
  <si>
    <t>iex:INSPECTIONXPERT/INSPECTION_SHEET/ATTRIBUTES/ATTRIBUTE/@FullSpecification</t>
  </si>
  <si>
    <t>Inspection Type</t>
  </si>
  <si>
    <t>Ltol</t>
  </si>
  <si>
    <t>Nominal</t>
  </si>
  <si>
    <t>Utol</t>
  </si>
  <si>
    <t>Secondary Head</t>
  </si>
  <si>
    <t>Secondary Control</t>
  </si>
  <si>
    <t>2 DIGIT Primary Tool</t>
  </si>
  <si>
    <t>2 DIGIT Secondary Tool</t>
  </si>
  <si>
    <t>Primary Head</t>
  </si>
  <si>
    <t>TOOL AXIS OFFSET</t>
  </si>
  <si>
    <t>Var5</t>
  </si>
  <si>
    <t>Var6</t>
  </si>
  <si>
    <t>Var7</t>
  </si>
  <si>
    <t>Var8</t>
  </si>
  <si>
    <t>=VLOOKUP('START HERE'!$C$8,Variables!$A$2:$AJ$500,2,FALSE)</t>
  </si>
  <si>
    <t>=VLOOKUP('START HERE'!$C$8,Variables!$A$2:$AZ$500,3,FALSE)</t>
  </si>
  <si>
    <t>=VLOOKUP('START HERE'!$C$8,Variables!$A$2:$AZ$500,5,FALSE)</t>
  </si>
  <si>
    <t>=VLOOKUP('START HERE'!$C$8,Variables!$A$2:$AZ$500,7,FALSE)</t>
  </si>
  <si>
    <t>=VLOOKUP('START HERE'!$C$8,Variables!$A$2:$AZ$500,9,FALSE)</t>
  </si>
  <si>
    <t>=VLOOKUP('START HERE'!$C$8,Variables!$A$2:$AZ$500,11,FALSE)</t>
  </si>
  <si>
    <t>=VLOOKUP('START HERE'!$C$8,Variables!$A$2:$AZ$500,13,FALSE)</t>
  </si>
  <si>
    <t>=VLOOKUP('START HERE'!$C$8,Variables!$A$2:$AZ$500,15,FALSE)</t>
  </si>
  <si>
    <t>=VLOOKUP('START HERE'!$C$8,Variables!$A$2:$AZ$500,17,FALSE)</t>
  </si>
  <si>
    <t>=VLOOKUP('START HERE'!$C$8,Variables!$A$2:$AZ$500,19,FALSE)</t>
  </si>
  <si>
    <t>=VLOOKUP('START HERE'!$C$8,Variables!$A$2:$AZ$500,21,FALSE)</t>
  </si>
  <si>
    <t>=VLOOKUP('START HERE'!$C$8,Variables!$A$2:$AZ$500,22,FALSE)</t>
  </si>
  <si>
    <t>=VLOOKUP('START HERE'!$C$8,Variables!$A$2:$AZ$500,23,FALSE)</t>
  </si>
  <si>
    <t>=VLOOKUP('START HERE'!$C$8,Variables!$A$2:$AZ$500,24,FALSE)</t>
  </si>
  <si>
    <t>=VLOOKUP('START HERE'!$C$8,Variables!$A$2:$AZ$500,25,FALSE)</t>
  </si>
  <si>
    <t>=VLOOKUP('START HERE'!$C$8,Variables!$A$2:$AZ$500,26,FALSE)</t>
  </si>
  <si>
    <t>=VLOOKUP('START HERE'!$C$8,Variables!$A$2:$AZ$500,27,FALSE)</t>
  </si>
  <si>
    <t>=VLOOKUP('START HERE'!$C$8,Variables!$A$2:$AZ$500,28,FALSE)</t>
  </si>
  <si>
    <t>Operation</t>
  </si>
  <si>
    <t>FI_OP50_RECINSP</t>
  </si>
  <si>
    <t>FI_DIM</t>
  </si>
  <si>
    <t>FI_VIS</t>
  </si>
  <si>
    <t>FI_CMM</t>
  </si>
  <si>
    <t>Mach Op Names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</si>
</sst>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000"/>
    <numFmt numFmtId="165" formatCode="0.00000"/>
    <numFmt numFmtId="166" formatCode="0.000000"/>
    <numFmt numFmtId="167" formatCode="0."/>
    <numFmt numFmtId="168" formatCode="0.0"/>
    <numFmt numFmtId="169" formatCode="0.00_);\(0.00\)"/>
  </numFmts>
  <fonts count="41">
    <font>
      <sz val="11"/>
      <color theme="1"/>
      <name val="Calibri"/>
      <family val="2"/>
      <scheme val="minor"/>
    </font>
    <font>
      <sz val="10"/>
      <color theme="1"/>
      <name val="Arial"/>
      <family val="2"/>
    </font>
    <font>
      <sz val="10"/>
      <name val="Arial"/>
      <family val="2"/>
    </font>
    <font>
      <b/>
      <sz val="11"/>
      <color theme="1"/>
      <name val="Calibri"/>
      <family val="2"/>
      <scheme val="minor"/>
    </font>
    <font>
      <b/>
      <i/>
      <sz val="11"/>
      <color theme="1"/>
      <name val="Calibri"/>
      <family val="2"/>
      <scheme val="minor"/>
    </font>
    <font>
      <sz val="11"/>
      <name val="Calibri"/>
      <family val="2"/>
      <scheme val="minor"/>
    </font>
    <font>
      <b/>
      <sz val="8"/>
      <name val="Tahoma"/>
      <family val="2"/>
    </font>
    <font>
      <sz val="8"/>
      <name val="Tahoma"/>
      <family val="2"/>
    </font>
    <font>
      <i/>
      <sz val="11"/>
      <color theme="1"/>
      <name val="Calibri"/>
      <family val="2"/>
      <scheme val="minor"/>
    </font>
    <font>
      <b/>
      <u/>
      <sz val="24"/>
      <color theme="1"/>
      <name val="Calibri"/>
      <family val="2"/>
      <scheme val="minor"/>
    </font>
    <font>
      <b/>
      <u/>
      <sz val="11"/>
      <color theme="1"/>
      <name val="Calibri"/>
      <family val="2"/>
      <scheme val="minor"/>
    </font>
    <font>
      <b/>
      <i/>
      <u/>
      <sz val="11"/>
      <color theme="1"/>
      <name val="Calibri"/>
      <family val="2"/>
      <scheme val="minor"/>
    </font>
    <font>
      <b/>
      <sz val="12"/>
      <color theme="1"/>
      <name val="Calibri"/>
      <family val="2"/>
      <scheme val="minor"/>
    </font>
    <font>
      <b/>
      <u/>
      <sz val="12"/>
      <color theme="1"/>
      <name val="Calibri"/>
      <family val="2"/>
      <scheme val="minor"/>
    </font>
    <font>
      <b/>
      <sz val="14"/>
      <color theme="1"/>
      <name val="Calibri"/>
      <family val="2"/>
      <scheme val="minor"/>
    </font>
    <font>
      <b/>
      <sz val="8"/>
      <name val="AMGDT_IV50"/>
      <family val="2"/>
    </font>
    <font>
      <sz val="11"/>
      <color theme="1"/>
      <name val="GD&amp;T"/>
      <family val="2"/>
      <charset val="2"/>
    </font>
    <font>
      <i/>
      <u/>
      <sz val="11"/>
      <color theme="1"/>
      <name val="Calibri"/>
      <family val="2"/>
      <scheme val="minor"/>
    </font>
    <font>
      <b/>
      <u/>
      <sz val="18"/>
      <color theme="1"/>
      <name val="Calibri"/>
      <family val="2"/>
      <scheme val="minor"/>
    </font>
    <font>
      <b/>
      <sz val="11"/>
      <color theme="3"/>
      <name val="Calibri"/>
      <family val="2"/>
      <scheme val="minor"/>
    </font>
    <font>
      <b/>
      <sz val="11"/>
      <color theme="0"/>
      <name val="Calibri"/>
      <family val="2"/>
      <scheme val="minor"/>
    </font>
    <font>
      <sz val="10"/>
      <name val="Tahoma"/>
      <family val="2"/>
    </font>
    <font>
      <sz val="10"/>
      <color rgb="FF008000"/>
      <name val="Arial"/>
      <family val="2"/>
    </font>
    <font>
      <sz val="11"/>
      <name val="Tahoma"/>
      <family val="2"/>
    </font>
    <font>
      <b/>
      <sz val="11"/>
      <name val="Arial Narrow"/>
      <family val="2"/>
    </font>
    <font>
      <b/>
      <i/>
      <u/>
      <sz val="10"/>
      <name val="Arial"/>
      <family val="2"/>
    </font>
    <font>
      <b/>
      <u/>
      <sz val="11"/>
      <name val="Arial"/>
      <family val="2"/>
    </font>
    <font>
      <b/>
      <sz val="10"/>
      <name val="Arial"/>
      <family val="2"/>
    </font>
    <font>
      <b/>
      <i/>
      <u/>
      <sz val="12"/>
      <name val="Arial"/>
      <family val="2"/>
    </font>
    <font>
      <sz val="12"/>
      <name val="Arial"/>
      <family val="2"/>
    </font>
    <font>
      <sz val="10"/>
      <color rgb="FF000000"/>
      <name val="Arial"/>
      <family val="2"/>
    </font>
    <font>
      <b/>
      <sz val="8"/>
      <name val="Arial"/>
      <family val="2"/>
    </font>
    <font>
      <sz val="10"/>
      <name val="InspectionXpert GDT"/>
      <family val="2"/>
    </font>
    <font>
      <sz val="11"/>
      <color theme="1"/>
      <name val="AMGDT_IV50"/>
      <family val="2"/>
    </font>
    <font>
      <sz val="11"/>
      <color theme="1"/>
      <name val="InspectionXpert GDT"/>
      <family val="2"/>
    </font>
    <font>
      <b/>
      <sz val="10"/>
      <color rgb="FF000000"/>
      <name val="Arial"/>
      <family val="2"/>
    </font>
    <font>
      <b/>
      <sz val="8"/>
      <color theme="1"/>
      <name val="Arial"/>
      <family val="2"/>
    </font>
    <font>
      <sz val="11"/>
      <color rgb="FF000000"/>
      <name val="Calibri"/>
      <family val="2"/>
      <scheme val="minor"/>
    </font>
    <font>
      <sz val="11"/>
      <color theme="1"/>
      <name val="Calibri"/>
      <family val="2"/>
      <scheme val="minor"/>
    </font>
    <font>
      <sz val="11"/>
      <color theme="1" tint="0.34998626667073579"/>
      <name val="Calibri"/>
      <family val="2"/>
      <scheme val="minor"/>
    </font>
    <font>
      <sz val="12"/>
      <color theme="0"/>
      <name val="Arial"/>
      <family val="2"/>
    </font>
  </fonts>
  <fills count="25">
    <fill>
      <patternFill patternType="none"/>
    </fill>
    <fill>
      <patternFill patternType="gray125"/>
    </fill>
    <fill>
      <patternFill patternType="solid">
        <fgColor rgb="FFFFFF00"/>
        <bgColor indexed="64"/>
      </patternFill>
    </fill>
    <fill>
      <patternFill patternType="solid">
        <fgColor theme="1"/>
        <bgColor indexed="64"/>
      </patternFill>
    </fill>
    <fill>
      <patternFill patternType="solid">
        <fgColor rgb="FFFF0000"/>
        <bgColor indexed="64"/>
      </patternFill>
    </fill>
    <fill>
      <patternFill patternType="solid">
        <fgColor theme="9" tint="0.59996337778862885"/>
        <bgColor indexed="64"/>
      </patternFill>
    </fill>
    <fill>
      <patternFill patternType="solid">
        <fgColor theme="4" tint="0.59996337778862885"/>
        <bgColor indexed="64"/>
      </patternFill>
    </fill>
    <fill>
      <patternFill patternType="solid">
        <fgColor theme="4" tint="0.79995117038483843"/>
        <bgColor indexed="64"/>
      </patternFill>
    </fill>
    <fill>
      <patternFill patternType="solid">
        <fgColor rgb="FF00B050"/>
        <bgColor indexed="64"/>
      </patternFill>
    </fill>
    <fill>
      <patternFill patternType="solid">
        <fgColor theme="5" tint="0.59996337778862885"/>
        <bgColor indexed="64"/>
      </patternFill>
    </fill>
    <fill>
      <patternFill patternType="solid">
        <fgColor rgb="FF92D050"/>
        <bgColor indexed="64"/>
      </patternFill>
    </fill>
    <fill>
      <patternFill patternType="solid">
        <fgColor theme="4" tint="0.39997558519241921"/>
        <bgColor indexed="64"/>
      </patternFill>
    </fill>
    <fill>
      <patternFill patternType="solid">
        <fgColor theme="1" tint="4.9989318521683403E-2"/>
        <bgColor indexed="64"/>
      </patternFill>
    </fill>
    <fill>
      <patternFill patternType="solid">
        <fgColor theme="7" tint="0.59993285927915285"/>
        <bgColor indexed="64"/>
      </patternFill>
    </fill>
    <fill>
      <patternFill patternType="solid">
        <fgColor theme="0"/>
        <bgColor indexed="64"/>
      </patternFill>
    </fill>
    <fill>
      <patternFill patternType="solid">
        <fgColor rgb="FFFF5050"/>
        <bgColor indexed="64"/>
      </patternFill>
    </fill>
    <fill>
      <patternFill patternType="solid">
        <fgColor rgb="FF00CC66"/>
        <bgColor indexed="64"/>
      </patternFill>
    </fill>
    <fill>
      <patternFill patternType="solid">
        <fgColor rgb="FFFFCC66"/>
        <bgColor indexed="64"/>
      </patternFill>
    </fill>
    <fill>
      <patternFill patternType="solid">
        <fgColor rgb="FF3366FF"/>
        <bgColor indexed="64"/>
      </patternFill>
    </fill>
    <fill>
      <patternFill patternType="solid">
        <fgColor rgb="FF66FF33"/>
        <bgColor indexed="64"/>
      </patternFill>
    </fill>
    <fill>
      <patternFill patternType="solid">
        <fgColor theme="4" tint="0.79998168889431442"/>
        <bgColor indexed="64"/>
      </patternFill>
    </fill>
    <fill>
      <patternFill patternType="solid">
        <fgColor rgb="FFF8CBAD"/>
        <bgColor indexed="64"/>
      </patternFill>
    </fill>
    <fill>
      <patternFill patternType="solid">
        <fgColor rgb="FFFFFFFF"/>
        <bgColor indexed="64"/>
      </patternFill>
    </fill>
    <fill>
      <patternFill patternType="solid">
        <fgColor rgb="FF00FF00"/>
        <bgColor indexed="64"/>
      </patternFill>
    </fill>
    <fill>
      <patternFill patternType="solid">
        <fgColor rgb="FFC0C0FF"/>
        <bgColor indexed="64"/>
      </patternFill>
    </fill>
  </fills>
  <borders count="42">
    <border>
      <left/>
      <right/>
      <top/>
      <bottom/>
      <diagonal/>
    </border>
    <border>
      <left/>
      <right/>
      <top/>
      <bottom style="medium">
        <color theme="4" tint="0.3999755851924192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ck">
        <color auto="1"/>
      </left>
      <right style="thick">
        <color auto="1"/>
      </right>
      <top style="thick">
        <color auto="1"/>
      </top>
      <bottom style="thick">
        <color auto="1"/>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right/>
      <top/>
      <bottom style="medium">
        <color auto="1"/>
      </bottom>
      <diagonal/>
    </border>
    <border>
      <left/>
      <right style="medium">
        <color auto="1"/>
      </right>
      <top/>
      <bottom style="medium">
        <color auto="1"/>
      </bottom>
      <diagonal/>
    </border>
    <border>
      <left/>
      <right/>
      <top style="hair">
        <color auto="1"/>
      </top>
      <bottom style="hair">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right style="thin">
        <color auto="1"/>
      </right>
      <top style="thin">
        <color auto="1"/>
      </top>
      <bottom style="thin">
        <color auto="1"/>
      </bottom>
      <diagonal/>
    </border>
    <border>
      <left style="thin">
        <color rgb="FFC00000"/>
      </left>
      <right style="thin">
        <color rgb="FFC00000"/>
      </right>
      <top style="thin">
        <color rgb="FFC00000"/>
      </top>
      <bottom style="thin">
        <color rgb="FFC00000"/>
      </bottom>
      <diagonal/>
    </border>
    <border>
      <left/>
      <right/>
      <top/>
      <bottom style="thin">
        <color theme="5"/>
      </bottom>
      <diagonal/>
    </border>
    <border>
      <left/>
      <right style="thin">
        <color theme="5"/>
      </right>
      <top/>
      <bottom style="thin">
        <color theme="5"/>
      </bottom>
      <diagonal/>
    </border>
    <border>
      <left style="medium">
        <color auto="1"/>
      </left>
      <right style="thin">
        <color auto="1"/>
      </right>
      <top style="medium">
        <color auto="1"/>
      </top>
      <bottom style="thin">
        <color auto="1"/>
      </bottom>
      <diagonal/>
    </border>
    <border>
      <left style="thin">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diagonal/>
    </border>
    <border>
      <left/>
      <right style="medium">
        <color auto="1"/>
      </right>
      <top style="thin">
        <color auto="1"/>
      </top>
      <bottom/>
      <diagonal/>
    </border>
    <border>
      <left style="medium">
        <color auto="1"/>
      </left>
      <right/>
      <top/>
      <bottom style="thin">
        <color auto="1"/>
      </bottom>
      <diagonal/>
    </border>
    <border>
      <left/>
      <right style="medium">
        <color auto="1"/>
      </right>
      <top/>
      <bottom style="thin">
        <color auto="1"/>
      </bottom>
      <diagonal/>
    </border>
    <border>
      <left style="medium">
        <color auto="1"/>
      </left>
      <right style="thin">
        <color auto="1"/>
      </right>
      <top style="thin">
        <color auto="1"/>
      </top>
      <bottom/>
      <diagonal/>
    </border>
    <border>
      <left style="thin">
        <color auto="1"/>
      </left>
      <right/>
      <top style="thin">
        <color auto="1"/>
      </top>
      <bottom/>
      <diagonal/>
    </border>
    <border>
      <left style="medium">
        <color auto="1"/>
      </left>
      <right style="thin">
        <color auto="1"/>
      </right>
      <top/>
      <bottom/>
      <diagonal/>
    </border>
    <border>
      <left style="thin">
        <color auto="1"/>
      </left>
      <right/>
      <top/>
      <bottom/>
      <diagonal/>
    </border>
    <border>
      <left style="medium">
        <color auto="1"/>
      </left>
      <right style="thin">
        <color auto="1"/>
      </right>
      <top/>
      <bottom style="medium">
        <color auto="1"/>
      </bottom>
      <diagonal/>
    </border>
    <border>
      <left style="thin">
        <color auto="1"/>
      </left>
      <right/>
      <top/>
      <bottom style="medium">
        <color auto="1"/>
      </bottom>
      <diagonal/>
    </border>
    <border>
      <left/>
      <right style="thin">
        <color auto="1"/>
      </right>
      <top/>
      <bottom style="thin">
        <color auto="1"/>
      </bottom>
      <diagonal/>
    </border>
    <border>
      <left/>
      <right style="thin">
        <color auto="1"/>
      </right>
      <top/>
      <bottom/>
      <diagonal/>
    </border>
    <border>
      <left style="thick">
        <color auto="1"/>
      </left>
      <right/>
      <top/>
      <bottom/>
      <diagonal/>
    </border>
    <border>
      <left style="thin">
        <color auto="1"/>
      </left>
      <right/>
      <top/>
      <bottom style="thin">
        <color auto="1"/>
      </bottom>
      <diagonal/>
    </border>
  </borders>
  <cellStyleXfs count="10">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38" fillId="0" borderId="0"/>
    <xf numFmtId="0" fontId="19" fillId="0" borderId="1" applyNumberFormat="0" applyFill="0" applyAlignment="0" applyProtection="0"/>
    <xf numFmtId="0" fontId="38" fillId="0" borderId="0"/>
  </cellStyleXfs>
  <cellXfs count="364">
    <xf numFmtId="0" fontId="0" fillId="0" borderId="0" xfId="0"/>
    <xf numFmtId="0" fontId="0" fillId="0" borderId="2" xfId="0" applyFill="1" applyBorder="1" applyAlignment="1">
      <alignment horizontal="right"/>
    </xf>
    <xf numFmtId="0" fontId="0" fillId="0" borderId="2" xfId="0" applyFill="1" applyBorder="1"/>
    <xf numFmtId="0" fontId="0" fillId="0" borderId="0" xfId="0" applyAlignment="1">
      <alignment wrapText="1"/>
    </xf>
    <xf numFmtId="0" fontId="0" fillId="0" borderId="2" xfId="0" applyFill="1" applyBorder="1" applyAlignment="1">
      <alignment horizontal="center" vertical="center"/>
    </xf>
    <xf numFmtId="0" fontId="0" fillId="0" borderId="2" xfId="0" applyFill="1" applyBorder="1" applyAlignment="1">
      <alignment horizontal="right" vertical="center"/>
    </xf>
    <xf numFmtId="0" fontId="0" fillId="0" borderId="2" xfId="7" applyFont="1" applyFill="1" applyBorder="1"/>
    <xf numFmtId="9" fontId="0" fillId="0" borderId="2" xfId="0" applyNumberFormat="1" applyFill="1" applyBorder="1" applyAlignment="1">
      <alignment horizontal="center" vertical="center"/>
    </xf>
    <xf numFmtId="0" fontId="0" fillId="0" borderId="2" xfId="0" quotePrefix="1" applyFill="1" applyBorder="1"/>
    <xf numFmtId="0" fontId="0" fillId="0" borderId="2" xfId="0" applyFont="1" applyFill="1" applyBorder="1" applyAlignment="1">
      <alignment horizontal="right"/>
    </xf>
    <xf numFmtId="0" fontId="0" fillId="0" borderId="2" xfId="0" applyFill="1" applyBorder="1" applyAlignment="1">
      <alignment horizontal="left"/>
    </xf>
    <xf numFmtId="0" fontId="0" fillId="0" borderId="2" xfId="0" quotePrefix="1" applyFill="1" applyBorder="1" applyAlignment="1">
      <alignment horizontal="center" vertical="center"/>
    </xf>
    <xf numFmtId="0" fontId="3" fillId="0" borderId="2" xfId="0" applyFont="1" applyFill="1" applyBorder="1" applyAlignment="1">
      <alignment horizontal="right"/>
    </xf>
    <xf numFmtId="0" fontId="0" fillId="0" borderId="2" xfId="0" applyFont="1" applyBorder="1" applyAlignment="1">
      <alignment horizontal="center" vertical="center"/>
    </xf>
    <xf numFmtId="0" fontId="0" fillId="2" borderId="2" xfId="0" applyFill="1" applyBorder="1" applyAlignment="1">
      <alignment horizontal="right" vertical="center"/>
    </xf>
    <xf numFmtId="0" fontId="0" fillId="2" borderId="2" xfId="0" applyFill="1" applyBorder="1"/>
    <xf numFmtId="0" fontId="0" fillId="2" borderId="2" xfId="0" applyFill="1" applyBorder="1" applyAlignment="1">
      <alignment horizontal="right"/>
    </xf>
    <xf numFmtId="0" fontId="0" fillId="0" borderId="2" xfId="0" applyFill="1" applyBorder="1" applyAlignment="1">
      <alignment horizontal="left" vertical="center"/>
    </xf>
    <xf numFmtId="0" fontId="0" fillId="0" borderId="2" xfId="0" applyFill="1" applyBorder="1" applyAlignment="1">
      <alignment horizontal="left" vertical="center" wrapText="1"/>
    </xf>
    <xf numFmtId="0" fontId="0" fillId="2" borderId="2" xfId="0" applyFill="1" applyBorder="1" applyAlignment="1">
      <alignment horizontal="left"/>
    </xf>
    <xf numFmtId="49" fontId="5" fillId="0" borderId="2" xfId="6" applyNumberFormat="1" applyFont="1" applyFill="1" applyBorder="1" applyAlignment="1" applyProtection="1">
      <alignment horizontal="left" vertical="center"/>
      <protection locked="0"/>
    </xf>
    <xf numFmtId="0" fontId="0" fillId="0" borderId="2" xfId="0" applyFont="1" applyFill="1" applyBorder="1" applyAlignment="1">
      <alignment horizontal="left"/>
    </xf>
    <xf numFmtId="0" fontId="5" fillId="0" borderId="2" xfId="6" applyNumberFormat="1" applyFont="1" applyFill="1" applyBorder="1" applyAlignment="1" applyProtection="1">
      <alignment vertical="center"/>
      <protection locked="0"/>
    </xf>
    <xf numFmtId="0" fontId="5" fillId="0" borderId="2" xfId="6" applyNumberFormat="1" applyFont="1" applyFill="1" applyBorder="1" applyAlignment="1" applyProtection="1">
      <alignment horizontal="left" vertical="center"/>
      <protection locked="0"/>
    </xf>
    <xf numFmtId="0" fontId="0" fillId="0" borderId="2" xfId="0" applyNumberFormat="1" applyFont="1" applyFill="1" applyBorder="1"/>
    <xf numFmtId="0" fontId="0" fillId="0" borderId="2" xfId="0" applyNumberFormat="1" applyFont="1" applyFill="1" applyBorder="1" applyAlignment="1">
      <alignment horizontal="left"/>
    </xf>
    <xf numFmtId="0" fontId="0" fillId="2" borderId="2" xfId="0" quotePrefix="1" applyFill="1" applyBorder="1" applyAlignment="1">
      <alignment horizontal="center" vertical="center"/>
    </xf>
    <xf numFmtId="16" fontId="0" fillId="0" borderId="2" xfId="0" quotePrefix="1" applyNumberFormat="1" applyFill="1" applyBorder="1" applyAlignment="1">
      <alignment horizontal="center" vertical="center"/>
    </xf>
    <xf numFmtId="0" fontId="3" fillId="2" borderId="2" xfId="0" applyFont="1" applyFill="1" applyBorder="1" applyAlignment="1">
      <alignment horizontal="right"/>
    </xf>
    <xf numFmtId="0" fontId="3" fillId="0" borderId="0" xfId="0" applyFont="1"/>
    <xf numFmtId="0" fontId="0" fillId="0" borderId="2" xfId="0" applyBorder="1" applyAlignment="1">
      <alignment vertical="center"/>
    </xf>
    <xf numFmtId="0" fontId="0" fillId="0" borderId="2" xfId="0" applyBorder="1"/>
    <xf numFmtId="164" fontId="0" fillId="0" borderId="0" xfId="0" applyNumberFormat="1"/>
    <xf numFmtId="0" fontId="0" fillId="3" borderId="0" xfId="0" applyFill="1"/>
    <xf numFmtId="0" fontId="0" fillId="0" borderId="2" xfId="0" applyBorder="1" applyAlignment="1">
      <alignment horizontal="center" vertical="center"/>
    </xf>
    <xf numFmtId="0" fontId="0" fillId="3" borderId="3" xfId="0" quotePrefix="1" applyFill="1" applyBorder="1" applyAlignment="1">
      <alignment horizontal="left"/>
    </xf>
    <xf numFmtId="0" fontId="10" fillId="4" borderId="2" xfId="0" applyFont="1" applyFill="1" applyBorder="1" applyAlignment="1">
      <alignment horizontal="center" vertical="center"/>
    </xf>
    <xf numFmtId="0" fontId="0" fillId="0" borderId="4" xfId="0" applyBorder="1"/>
    <xf numFmtId="0" fontId="0" fillId="3" borderId="2" xfId="0" applyFill="1" applyBorder="1"/>
    <xf numFmtId="0" fontId="0" fillId="0" borderId="0" xfId="0" applyBorder="1"/>
    <xf numFmtId="0" fontId="0" fillId="0" borderId="0" xfId="0" applyFill="1" applyBorder="1"/>
    <xf numFmtId="0" fontId="0" fillId="0" borderId="0" xfId="0" applyBorder="1" applyProtection="1">
      <protection hidden="1"/>
    </xf>
    <xf numFmtId="165" fontId="0" fillId="5" borderId="5" xfId="0" applyNumberFormat="1" applyFill="1" applyBorder="1" applyProtection="1">
      <protection locked="0"/>
    </xf>
    <xf numFmtId="0" fontId="0" fillId="0" borderId="6" xfId="0" applyBorder="1"/>
    <xf numFmtId="164" fontId="0" fillId="0" borderId="7" xfId="0" applyNumberFormat="1" applyBorder="1"/>
    <xf numFmtId="0" fontId="0" fillId="0" borderId="6" xfId="0" applyBorder="1" applyProtection="1">
      <protection hidden="1"/>
    </xf>
    <xf numFmtId="164" fontId="0" fillId="0" borderId="7" xfId="0" applyNumberFormat="1" applyBorder="1" applyProtection="1">
      <protection hidden="1"/>
    </xf>
    <xf numFmtId="0" fontId="0" fillId="0" borderId="8" xfId="0" applyBorder="1"/>
    <xf numFmtId="165" fontId="0" fillId="0" borderId="0" xfId="0" applyNumberFormat="1" applyFill="1" applyBorder="1" applyProtection="1">
      <protection locked="0"/>
    </xf>
    <xf numFmtId="0" fontId="0" fillId="0" borderId="0" xfId="0" applyFill="1" applyBorder="1" applyAlignment="1">
      <alignment horizontal="center"/>
    </xf>
    <xf numFmtId="0" fontId="0" fillId="0" borderId="7" xfId="0" applyBorder="1"/>
    <xf numFmtId="0" fontId="0" fillId="0" borderId="6" xfId="0" applyFill="1" applyBorder="1"/>
    <xf numFmtId="0" fontId="0" fillId="0" borderId="5" xfId="0" applyBorder="1" applyAlignment="1" applyProtection="1">
      <alignment horizontal="center"/>
      <protection locked="0"/>
    </xf>
    <xf numFmtId="0" fontId="14" fillId="0" borderId="0" xfId="0" applyFont="1"/>
    <xf numFmtId="0" fontId="12" fillId="0" borderId="9" xfId="0" applyFont="1" applyBorder="1"/>
    <xf numFmtId="0" fontId="14" fillId="0" borderId="10" xfId="0" applyFont="1" applyBorder="1"/>
    <xf numFmtId="0" fontId="14" fillId="0" borderId="11" xfId="0" applyFont="1" applyBorder="1"/>
    <xf numFmtId="0" fontId="12" fillId="0" borderId="6" xfId="0" applyFont="1" applyBorder="1"/>
    <xf numFmtId="0" fontId="14" fillId="0" borderId="0" xfId="0" applyFont="1" applyBorder="1"/>
    <xf numFmtId="0" fontId="14" fillId="0" borderId="7" xfId="0" applyFont="1" applyBorder="1"/>
    <xf numFmtId="0" fontId="0" fillId="0" borderId="12" xfId="0" applyBorder="1"/>
    <xf numFmtId="0" fontId="0" fillId="0" borderId="13" xfId="0" applyBorder="1"/>
    <xf numFmtId="164" fontId="14" fillId="0" borderId="10" xfId="0" applyNumberFormat="1" applyFont="1" applyBorder="1"/>
    <xf numFmtId="164" fontId="14" fillId="0" borderId="0" xfId="0" applyNumberFormat="1" applyFont="1" applyBorder="1"/>
    <xf numFmtId="164" fontId="0" fillId="6" borderId="2" xfId="0" applyNumberFormat="1" applyFill="1" applyBorder="1" applyAlignment="1">
      <alignment horizontal="center" vertical="center"/>
    </xf>
    <xf numFmtId="0" fontId="0" fillId="0" borderId="2" xfId="0" applyFill="1" applyBorder="1" applyAlignment="1">
      <alignment vertical="center"/>
    </xf>
    <xf numFmtId="164" fontId="0" fillId="0" borderId="2" xfId="0" applyNumberFormat="1" applyBorder="1"/>
    <xf numFmtId="165" fontId="0" fillId="0" borderId="0" xfId="0" applyNumberFormat="1" applyFill="1" applyBorder="1"/>
    <xf numFmtId="165" fontId="0" fillId="0" borderId="12" xfId="0" applyNumberFormat="1" applyFill="1" applyBorder="1"/>
    <xf numFmtId="164" fontId="0" fillId="0" borderId="7" xfId="0" applyNumberFormat="1" applyFill="1" applyBorder="1"/>
    <xf numFmtId="164" fontId="0" fillId="0" borderId="13" xfId="0" applyNumberFormat="1" applyFill="1" applyBorder="1"/>
    <xf numFmtId="0" fontId="14" fillId="0" borderId="0" xfId="0" applyFont="1" applyFill="1"/>
    <xf numFmtId="0" fontId="0" fillId="0" borderId="0" xfId="0" applyFill="1"/>
    <xf numFmtId="0" fontId="0" fillId="0" borderId="0" xfId="0"/>
    <xf numFmtId="49" fontId="15" fillId="0" borderId="14" xfId="6" applyNumberFormat="1" applyFont="1" applyBorder="1" applyAlignment="1" applyProtection="1">
      <alignment vertical="center"/>
      <protection locked="0"/>
    </xf>
    <xf numFmtId="9" fontId="0" fillId="0" borderId="2" xfId="0" applyNumberFormat="1" applyBorder="1" applyAlignment="1">
      <alignment horizontal="left" vertical="center"/>
    </xf>
    <xf numFmtId="0" fontId="0" fillId="0" borderId="0" xfId="0" applyAlignment="1">
      <alignment horizontal="left" vertical="center"/>
    </xf>
    <xf numFmtId="0" fontId="0" fillId="0" borderId="2" xfId="0" applyBorder="1" applyAlignment="1">
      <alignment horizontal="left" vertical="center"/>
    </xf>
    <xf numFmtId="0" fontId="0" fillId="0" borderId="15" xfId="0" applyBorder="1"/>
    <xf numFmtId="0" fontId="0" fillId="0" borderId="0" xfId="0" applyProtection="1">
      <protection locked="0"/>
    </xf>
    <xf numFmtId="0" fontId="0" fillId="0" borderId="0" xfId="0" applyAlignment="1" applyProtection="1">
      <alignment wrapText="1"/>
      <protection locked="0"/>
    </xf>
    <xf numFmtId="0" fontId="0" fillId="7" borderId="2" xfId="0" applyFont="1" applyFill="1" applyBorder="1" applyAlignment="1" applyProtection="1">
      <alignment horizontal="center" vertical="center"/>
      <protection locked="0"/>
    </xf>
    <xf numFmtId="0" fontId="0" fillId="7" borderId="2" xfId="0" applyFill="1" applyBorder="1" applyAlignment="1" applyProtection="1">
      <alignment horizontal="right" vertical="center"/>
      <protection locked="0"/>
    </xf>
    <xf numFmtId="0" fontId="0" fillId="7" borderId="2" xfId="0" applyFill="1" applyBorder="1" applyProtection="1">
      <protection locked="0"/>
    </xf>
    <xf numFmtId="0" fontId="0" fillId="7" borderId="2" xfId="0" applyFill="1" applyBorder="1" applyAlignment="1" applyProtection="1">
      <alignment horizontal="left"/>
      <protection locked="0"/>
    </xf>
    <xf numFmtId="0" fontId="0" fillId="7" borderId="2" xfId="7" applyFont="1" applyFill="1" applyBorder="1" applyAlignment="1" applyProtection="1">
      <alignment horizontal="left"/>
      <protection locked="0"/>
    </xf>
    <xf numFmtId="0" fontId="0" fillId="7" borderId="2" xfId="0" applyFill="1" applyBorder="1" applyAlignment="1" applyProtection="1">
      <alignment horizontal="right"/>
      <protection locked="0"/>
    </xf>
    <xf numFmtId="0" fontId="0" fillId="7" borderId="0" xfId="0" applyFill="1" applyProtection="1">
      <protection locked="0"/>
    </xf>
    <xf numFmtId="0" fontId="0" fillId="7" borderId="2" xfId="0" applyFont="1" applyFill="1" applyBorder="1" applyAlignment="1" applyProtection="1">
      <alignment horizontal="left"/>
      <protection locked="0"/>
    </xf>
    <xf numFmtId="0" fontId="0" fillId="7" borderId="2" xfId="0" applyFont="1" applyFill="1" applyBorder="1" applyAlignment="1" applyProtection="1">
      <alignment horizontal="right"/>
      <protection locked="0"/>
    </xf>
    <xf numFmtId="0" fontId="0" fillId="0" borderId="0" xfId="0" applyAlignment="1" applyProtection="1">
      <alignment horizontal="center" vertical="center"/>
      <protection locked="0"/>
    </xf>
    <xf numFmtId="49" fontId="0" fillId="0" borderId="0" xfId="0" applyNumberFormat="1" applyProtection="1">
      <protection locked="0"/>
    </xf>
    <xf numFmtId="9" fontId="0" fillId="0" borderId="2" xfId="0" applyNumberFormat="1" applyFill="1" applyBorder="1" applyAlignment="1" applyProtection="1">
      <alignment horizontal="left" vertical="center"/>
      <protection locked="0"/>
    </xf>
    <xf numFmtId="0" fontId="0" fillId="0" borderId="0" xfId="0" applyAlignment="1" applyProtection="1">
      <alignment horizontal="right"/>
      <protection locked="0"/>
    </xf>
    <xf numFmtId="0" fontId="0" fillId="7" borderId="2" xfId="7" applyFont="1" applyFill="1" applyBorder="1" applyAlignment="1" applyProtection="1">
      <alignment horizontal="left"/>
    </xf>
    <xf numFmtId="0" fontId="3" fillId="0" borderId="2" xfId="0" applyFont="1" applyFill="1" applyBorder="1" applyAlignment="1" applyProtection="1">
      <alignment horizontal="center" vertical="center" wrapText="1"/>
    </xf>
    <xf numFmtId="0" fontId="3" fillId="8" borderId="2" xfId="0" applyFont="1" applyFill="1" applyBorder="1" applyAlignment="1" applyProtection="1">
      <alignment horizontal="center" vertical="center" wrapText="1"/>
    </xf>
    <xf numFmtId="0" fontId="0" fillId="0" borderId="2" xfId="0" applyFill="1" applyBorder="1" applyAlignment="1" applyProtection="1">
      <alignment horizontal="center" vertical="center" wrapText="1"/>
    </xf>
    <xf numFmtId="0" fontId="0" fillId="0" borderId="2" xfId="0" applyFont="1" applyBorder="1" applyAlignment="1" applyProtection="1">
      <alignment horizontal="center" vertical="center"/>
    </xf>
    <xf numFmtId="0" fontId="0" fillId="0" borderId="2" xfId="0" applyFont="1" applyBorder="1" applyAlignment="1" applyProtection="1">
      <alignment horizontal="center" vertical="center" wrapText="1"/>
    </xf>
    <xf numFmtId="0" fontId="0" fillId="7" borderId="2" xfId="0" applyFill="1" applyBorder="1" applyAlignment="1" applyProtection="1">
      <alignment horizontal="right"/>
    </xf>
    <xf numFmtId="0" fontId="8" fillId="0" borderId="16" xfId="0" applyFont="1" applyBorder="1" applyAlignment="1" applyProtection="1">
      <protection locked="0"/>
    </xf>
    <xf numFmtId="0" fontId="0" fillId="9" borderId="2" xfId="0" applyFont="1" applyFill="1" applyBorder="1" applyAlignment="1" applyProtection="1">
      <alignment horizontal="center" vertical="center"/>
    </xf>
    <xf numFmtId="0" fontId="0" fillId="0" borderId="17" xfId="0" applyFill="1" applyBorder="1"/>
    <xf numFmtId="0" fontId="4" fillId="0" borderId="16" xfId="0" applyFont="1" applyBorder="1" applyAlignment="1" applyProtection="1">
      <protection locked="0"/>
    </xf>
    <xf numFmtId="165" fontId="0" fillId="6" borderId="2" xfId="0" applyNumberFormat="1" applyFill="1" applyBorder="1"/>
    <xf numFmtId="165" fontId="0" fillId="2" borderId="2" xfId="0" applyNumberFormat="1" applyFill="1" applyBorder="1"/>
    <xf numFmtId="166" fontId="0" fillId="6" borderId="2" xfId="0" applyNumberFormat="1" applyFill="1" applyBorder="1"/>
    <xf numFmtId="164" fontId="0" fillId="6" borderId="2" xfId="0" applyNumberFormat="1" applyFill="1" applyBorder="1"/>
    <xf numFmtId="165" fontId="0" fillId="6" borderId="0" xfId="0" applyNumberFormat="1" applyFill="1"/>
    <xf numFmtId="166" fontId="0" fillId="6" borderId="0" xfId="0" applyNumberFormat="1" applyFill="1"/>
    <xf numFmtId="165" fontId="0" fillId="2" borderId="0" xfId="0" applyNumberFormat="1" applyFill="1"/>
    <xf numFmtId="0" fontId="0" fillId="2" borderId="0" xfId="0" applyFill="1"/>
    <xf numFmtId="0" fontId="0" fillId="0" borderId="18" xfId="0" applyBorder="1" applyAlignment="1">
      <alignment horizontal="left" vertical="center"/>
    </xf>
    <xf numFmtId="0" fontId="0" fillId="0" borderId="3" xfId="0" applyBorder="1"/>
    <xf numFmtId="0" fontId="0" fillId="0" borderId="19" xfId="0" applyBorder="1"/>
    <xf numFmtId="0" fontId="0" fillId="0" borderId="16" xfId="0" applyBorder="1"/>
    <xf numFmtId="0" fontId="10" fillId="10" borderId="16" xfId="0" applyFont="1" applyFill="1" applyBorder="1" applyAlignment="1">
      <alignment horizontal="center" vertical="center"/>
    </xf>
    <xf numFmtId="0" fontId="0" fillId="11" borderId="2" xfId="0" applyFill="1" applyBorder="1" applyAlignment="1">
      <alignment wrapText="1"/>
    </xf>
    <xf numFmtId="0" fontId="0" fillId="11" borderId="2" xfId="0" applyFill="1" applyBorder="1"/>
    <xf numFmtId="0" fontId="0" fillId="0" borderId="2" xfId="0" applyBorder="1" applyAlignment="1">
      <alignment wrapText="1"/>
    </xf>
    <xf numFmtId="0" fontId="0" fillId="2" borderId="2" xfId="0" applyFont="1" applyFill="1" applyBorder="1" applyAlignment="1" applyProtection="1">
      <alignment horizontal="center" vertical="center"/>
    </xf>
    <xf numFmtId="0" fontId="0" fillId="2" borderId="2" xfId="0" applyFont="1" applyFill="1" applyBorder="1" applyAlignment="1" applyProtection="1">
      <alignment horizontal="center" vertical="center" wrapText="1"/>
    </xf>
    <xf numFmtId="0" fontId="0" fillId="0" borderId="18" xfId="0" applyBorder="1" applyAlignment="1">
      <alignment horizontal="left" wrapText="1"/>
    </xf>
    <xf numFmtId="0" fontId="0" fillId="0" borderId="3" xfId="0" applyBorder="1" applyAlignment="1">
      <alignment horizontal="left" wrapText="1"/>
    </xf>
    <xf numFmtId="0" fontId="0" fillId="0" borderId="20" xfId="0" applyBorder="1" applyAlignment="1">
      <alignment horizontal="left" wrapText="1"/>
    </xf>
    <xf numFmtId="0" fontId="0" fillId="2" borderId="18" xfId="0" applyFill="1" applyBorder="1" applyAlignment="1">
      <alignment horizontal="center" wrapText="1"/>
    </xf>
    <xf numFmtId="0" fontId="0" fillId="2" borderId="3" xfId="0" applyFill="1" applyBorder="1" applyAlignment="1">
      <alignment horizontal="center" wrapText="1"/>
    </xf>
    <xf numFmtId="0" fontId="0" fillId="2" borderId="20" xfId="0" applyFill="1" applyBorder="1" applyAlignment="1">
      <alignment horizontal="center" wrapText="1"/>
    </xf>
    <xf numFmtId="0" fontId="0" fillId="12" borderId="2" xfId="0" applyFill="1" applyBorder="1"/>
    <xf numFmtId="0" fontId="0" fillId="12" borderId="2" xfId="0" applyFill="1" applyBorder="1" applyAlignment="1">
      <alignment wrapText="1"/>
    </xf>
    <xf numFmtId="0" fontId="0" fillId="0" borderId="2" xfId="0" applyFill="1" applyBorder="1" applyAlignment="1">
      <alignment wrapText="1"/>
    </xf>
    <xf numFmtId="9" fontId="0" fillId="0" borderId="0" xfId="0" applyNumberFormat="1" applyAlignment="1">
      <alignment horizontal="left" vertical="center"/>
    </xf>
    <xf numFmtId="167" fontId="2" fillId="0" borderId="0" xfId="6" applyNumberFormat="1"/>
    <xf numFmtId="0" fontId="21" fillId="0" borderId="0" xfId="6" applyFont="1"/>
    <xf numFmtId="0" fontId="21" fillId="0" borderId="0" xfId="6" applyFont="1" applyAlignment="1">
      <alignment vertical="center"/>
    </xf>
    <xf numFmtId="0" fontId="2" fillId="0" borderId="21" xfId="6" applyBorder="1" applyAlignment="1" applyProtection="1">
      <alignment horizontal="left" vertical="center" indent="1"/>
      <protection locked="0"/>
    </xf>
    <xf numFmtId="0" fontId="21" fillId="0" borderId="0" xfId="6" applyFont="1" applyAlignment="1">
      <alignment horizontal="left" vertical="center"/>
    </xf>
    <xf numFmtId="49" fontId="2" fillId="0" borderId="21" xfId="6" applyNumberFormat="1" applyBorder="1" applyAlignment="1" applyProtection="1">
      <alignment horizontal="left" vertical="center" indent="1"/>
      <protection locked="0"/>
    </xf>
    <xf numFmtId="0" fontId="22" fillId="0" borderId="21" xfId="6" applyFont="1" applyBorder="1" applyAlignment="1" applyProtection="1">
      <alignment horizontal="left" vertical="center" indent="1"/>
      <protection locked="0"/>
    </xf>
    <xf numFmtId="0" fontId="23" fillId="0" borderId="0" xfId="6" applyFont="1" applyAlignment="1">
      <alignment horizontal="center"/>
    </xf>
    <xf numFmtId="0" fontId="21" fillId="0" borderId="22" xfId="6" applyFont="1" applyBorder="1"/>
    <xf numFmtId="2" fontId="21" fillId="0" borderId="23" xfId="6" applyNumberFormat="1" applyFont="1" applyBorder="1" applyProtection="1">
      <protection locked="0"/>
    </xf>
    <xf numFmtId="0" fontId="21" fillId="0" borderId="0" xfId="6" applyFont="1" applyProtection="1">
      <protection locked="0"/>
    </xf>
    <xf numFmtId="167" fontId="2" fillId="0" borderId="0" xfId="6" applyNumberFormat="1" applyProtection="1">
      <protection locked="0"/>
    </xf>
    <xf numFmtId="0" fontId="24" fillId="0" borderId="0" xfId="8" applyNumberFormat="1" applyFont="1" applyBorder="1" applyAlignment="1">
      <alignment horizontal="center" vertical="center"/>
    </xf>
    <xf numFmtId="0" fontId="24" fillId="13" borderId="0" xfId="8" applyNumberFormat="1" applyFont="1" applyFill="1" applyBorder="1" applyAlignment="1">
      <alignment horizontal="center" vertical="center"/>
    </xf>
    <xf numFmtId="0" fontId="24" fillId="8" borderId="0" xfId="8" applyNumberFormat="1" applyFont="1" applyFill="1" applyBorder="1" applyAlignment="1">
      <alignment horizontal="center" vertical="center"/>
    </xf>
    <xf numFmtId="0" fontId="24" fillId="2" borderId="0" xfId="8" applyNumberFormat="1" applyFont="1" applyFill="1" applyBorder="1" applyAlignment="1">
      <alignment horizontal="center" vertical="center"/>
    </xf>
    <xf numFmtId="0" fontId="2" fillId="14" borderId="0" xfId="6" applyFill="1"/>
    <xf numFmtId="0" fontId="2" fillId="0" borderId="0" xfId="6"/>
    <xf numFmtId="0" fontId="0" fillId="0" borderId="0" xfId="6" applyFont="1" applyAlignment="1">
      <alignment horizontal="center" vertical="center"/>
    </xf>
    <xf numFmtId="0" fontId="2" fillId="0" borderId="0" xfId="6" applyAlignment="1">
      <alignment horizontal="center" vertical="center"/>
    </xf>
    <xf numFmtId="0" fontId="0" fillId="14" borderId="0" xfId="6" applyFont="1" applyFill="1" applyAlignment="1">
      <alignment horizontal="center" vertical="center"/>
    </xf>
    <xf numFmtId="0" fontId="25" fillId="14" borderId="0" xfId="6" applyFont="1" applyFill="1"/>
    <xf numFmtId="0" fontId="2" fillId="14" borderId="12" xfId="6" applyFill="1" applyBorder="1"/>
    <xf numFmtId="0" fontId="2" fillId="14" borderId="9" xfId="6" applyFill="1" applyBorder="1"/>
    <xf numFmtId="0" fontId="2" fillId="14" borderId="10" xfId="6" applyFill="1" applyBorder="1"/>
    <xf numFmtId="0" fontId="2" fillId="14" borderId="11" xfId="6" applyFill="1" applyBorder="1"/>
    <xf numFmtId="0" fontId="26" fillId="14" borderId="6" xfId="6" applyFont="1" applyFill="1" applyBorder="1" applyAlignment="1">
      <alignment horizontal="right" vertical="center"/>
    </xf>
    <xf numFmtId="0" fontId="26" fillId="14" borderId="0" xfId="6" applyFont="1" applyFill="1" applyAlignment="1">
      <alignment vertical="center"/>
    </xf>
    <xf numFmtId="0" fontId="2" fillId="14" borderId="7" xfId="6" applyFill="1" applyBorder="1"/>
    <xf numFmtId="0" fontId="27" fillId="13" borderId="6" xfId="6" applyFont="1" applyFill="1" applyBorder="1" applyAlignment="1">
      <alignment horizontal="right" vertical="center"/>
    </xf>
    <xf numFmtId="49" fontId="2" fillId="13" borderId="0" xfId="6" applyNumberFormat="1" applyFill="1" applyAlignment="1">
      <alignment horizontal="left" vertical="center"/>
    </xf>
    <xf numFmtId="0" fontId="2" fillId="13" borderId="0" xfId="6" applyFill="1" applyAlignment="1">
      <alignment vertical="center"/>
    </xf>
    <xf numFmtId="0" fontId="2" fillId="14" borderId="0" xfId="6" applyFill="1" applyAlignment="1">
      <alignment horizontal="left"/>
    </xf>
    <xf numFmtId="0" fontId="27" fillId="8" borderId="6" xfId="6" applyFont="1" applyFill="1" applyBorder="1" applyAlignment="1">
      <alignment horizontal="right" vertical="center"/>
    </xf>
    <xf numFmtId="49" fontId="2" fillId="8" borderId="0" xfId="6" applyNumberFormat="1" applyFill="1" applyAlignment="1">
      <alignment horizontal="left" vertical="center"/>
    </xf>
    <xf numFmtId="0" fontId="2" fillId="8" borderId="0" xfId="6" applyFill="1"/>
    <xf numFmtId="0" fontId="27" fillId="2" borderId="6" xfId="6" applyFont="1" applyFill="1" applyBorder="1" applyAlignment="1">
      <alignment horizontal="right" vertical="center"/>
    </xf>
    <xf numFmtId="49" fontId="2" fillId="2" borderId="0" xfId="6" applyNumberFormat="1" applyFill="1" applyAlignment="1">
      <alignment horizontal="left" vertical="center"/>
    </xf>
    <xf numFmtId="0" fontId="2" fillId="2" borderId="0" xfId="6" applyFill="1"/>
    <xf numFmtId="0" fontId="0" fillId="14" borderId="0" xfId="6" applyFont="1" applyFill="1" applyAlignment="1">
      <alignment vertical="top"/>
    </xf>
    <xf numFmtId="0" fontId="2" fillId="14" borderId="12" xfId="6" applyFill="1" applyBorder="1" applyAlignment="1">
      <alignment vertical="top"/>
    </xf>
    <xf numFmtId="0" fontId="2" fillId="14" borderId="13" xfId="6" applyFill="1" applyBorder="1"/>
    <xf numFmtId="0" fontId="27" fillId="14" borderId="10" xfId="6" applyFont="1" applyFill="1" applyBorder="1" applyAlignment="1">
      <alignment wrapText="1"/>
    </xf>
    <xf numFmtId="0" fontId="28" fillId="14" borderId="0" xfId="6" applyFont="1" applyFill="1"/>
    <xf numFmtId="0" fontId="29" fillId="14" borderId="24" xfId="6" applyFont="1" applyFill="1" applyBorder="1"/>
    <xf numFmtId="0" fontId="2" fillId="14" borderId="25" xfId="6" applyFill="1" applyBorder="1"/>
    <xf numFmtId="0" fontId="2" fillId="14" borderId="26" xfId="6" applyFill="1" applyBorder="1"/>
    <xf numFmtId="0" fontId="2" fillId="14" borderId="27" xfId="6" applyFill="1" applyBorder="1"/>
    <xf numFmtId="0" fontId="2" fillId="14" borderId="19" xfId="6" applyFill="1" applyBorder="1"/>
    <xf numFmtId="0" fontId="2" fillId="14" borderId="29" xfId="6" applyFill="1" applyBorder="1"/>
    <xf numFmtId="0" fontId="2" fillId="14" borderId="16" xfId="6" applyFill="1" applyBorder="1"/>
    <xf numFmtId="0" fontId="2" fillId="14" borderId="31" xfId="6" applyFill="1" applyBorder="1"/>
    <xf numFmtId="0" fontId="2" fillId="14" borderId="33" xfId="6" applyFill="1" applyBorder="1"/>
    <xf numFmtId="0" fontId="2" fillId="14" borderId="35" xfId="6" applyFill="1" applyBorder="1"/>
    <xf numFmtId="0" fontId="2" fillId="14" borderId="37" xfId="6" applyFill="1" applyBorder="1"/>
    <xf numFmtId="0" fontId="29" fillId="14" borderId="10" xfId="6" applyFont="1" applyFill="1" applyBorder="1"/>
    <xf numFmtId="0" fontId="29" fillId="14" borderId="0" xfId="6" applyFont="1" applyFill="1"/>
    <xf numFmtId="0" fontId="2" fillId="14" borderId="0" xfId="6" applyFill="1" applyAlignment="1">
      <alignment horizontal="center" vertical="center"/>
    </xf>
    <xf numFmtId="49" fontId="27" fillId="15" borderId="0" xfId="6" applyNumberFormat="1" applyFont="1" applyFill="1" applyAlignment="1">
      <alignment horizontal="center" vertical="center"/>
    </xf>
    <xf numFmtId="49" fontId="27" fillId="0" borderId="0" xfId="6" applyNumberFormat="1" applyFont="1" applyAlignment="1">
      <alignment horizontal="center" vertical="center"/>
    </xf>
    <xf numFmtId="49" fontId="31" fillId="0" borderId="0" xfId="6" applyNumberFormat="1" applyFont="1" applyAlignment="1">
      <alignment horizontal="right"/>
    </xf>
    <xf numFmtId="49" fontId="2" fillId="0" borderId="0" xfId="6" applyNumberFormat="1" applyAlignment="1">
      <alignment horizontal="right"/>
    </xf>
    <xf numFmtId="49" fontId="2" fillId="0" borderId="0" xfId="6" applyNumberFormat="1"/>
    <xf numFmtId="49" fontId="32" fillId="0" borderId="0" xfId="6" applyNumberFormat="1" applyFont="1" applyAlignment="1">
      <alignment horizontal="right"/>
    </xf>
    <xf numFmtId="2" fontId="2" fillId="0" borderId="0" xfId="6" applyNumberFormat="1" applyAlignment="1">
      <alignment horizontal="right"/>
    </xf>
    <xf numFmtId="0" fontId="32" fillId="0" borderId="0" xfId="6" applyFont="1"/>
    <xf numFmtId="168" fontId="2" fillId="0" borderId="0" xfId="6" applyNumberFormat="1" applyAlignment="1">
      <alignment horizontal="right"/>
    </xf>
    <xf numFmtId="0" fontId="38" fillId="0" borderId="0" xfId="9"/>
    <xf numFmtId="0" fontId="33" fillId="0" borderId="0" xfId="9" applyFont="1" applyAlignment="1">
      <alignment horizontal="center"/>
    </xf>
    <xf numFmtId="0" fontId="34" fillId="0" borderId="0" xfId="9" applyFont="1" applyAlignment="1">
      <alignment horizontal="center"/>
    </xf>
    <xf numFmtId="0" fontId="38" fillId="0" borderId="15" xfId="9" applyBorder="1"/>
    <xf numFmtId="0" fontId="33" fillId="0" borderId="15" xfId="9" applyFont="1" applyBorder="1" applyAlignment="1">
      <alignment horizontal="center"/>
    </xf>
    <xf numFmtId="0" fontId="32" fillId="0" borderId="38" xfId="9" applyFont="1" applyBorder="1" applyAlignment="1">
      <alignment horizontal="center"/>
    </xf>
    <xf numFmtId="0" fontId="38" fillId="0" borderId="17" xfId="9" applyBorder="1"/>
    <xf numFmtId="0" fontId="33" fillId="0" borderId="17" xfId="9" applyFont="1" applyBorder="1" applyAlignment="1">
      <alignment horizontal="center"/>
    </xf>
    <xf numFmtId="0" fontId="32" fillId="0" borderId="39" xfId="9" applyFont="1" applyBorder="1" applyAlignment="1">
      <alignment horizontal="center"/>
    </xf>
    <xf numFmtId="0" fontId="20" fillId="15" borderId="17" xfId="9" applyFont="1" applyFill="1" applyBorder="1" applyAlignment="1">
      <alignment horizontal="center" vertical="center" wrapText="1"/>
    </xf>
    <xf numFmtId="0" fontId="20" fillId="16" borderId="17" xfId="9" applyFont="1" applyFill="1" applyBorder="1" applyAlignment="1">
      <alignment horizontal="center" vertical="center" wrapText="1"/>
    </xf>
    <xf numFmtId="0" fontId="38" fillId="17" borderId="17" xfId="9" applyFill="1" applyBorder="1" applyAlignment="1">
      <alignment horizontal="center" vertical="center" wrapText="1"/>
    </xf>
    <xf numFmtId="0" fontId="20" fillId="18" borderId="39" xfId="9" applyFont="1" applyFill="1" applyBorder="1" applyAlignment="1">
      <alignment horizontal="center" vertical="center" wrapText="1"/>
    </xf>
    <xf numFmtId="49" fontId="30" fillId="0" borderId="0" xfId="6" applyNumberFormat="1" applyFont="1" applyProtection="1">
      <protection locked="0"/>
    </xf>
    <xf numFmtId="49" fontId="1" fillId="0" borderId="0" xfId="6" applyNumberFormat="1" applyFont="1" applyProtection="1">
      <protection locked="0"/>
    </xf>
    <xf numFmtId="49" fontId="35" fillId="19" borderId="0" xfId="6" applyNumberFormat="1" applyFont="1" applyFill="1" applyAlignment="1" applyProtection="1">
      <alignment horizontal="center" vertical="center"/>
      <protection locked="0"/>
    </xf>
    <xf numFmtId="0" fontId="27" fillId="0" borderId="0" xfId="6" applyFont="1" applyAlignment="1" applyProtection="1">
      <alignment horizontal="center"/>
      <protection locked="0"/>
    </xf>
    <xf numFmtId="0" fontId="3" fillId="0" borderId="2" xfId="0" applyNumberFormat="1" applyFont="1" applyFill="1" applyBorder="1" applyAlignment="1" applyProtection="1">
      <alignment horizontal="center" vertical="center" wrapText="1"/>
    </xf>
    <xf numFmtId="0" fontId="0" fillId="9" borderId="2" xfId="0" applyNumberFormat="1" applyFont="1" applyFill="1" applyBorder="1" applyAlignment="1" applyProtection="1">
      <alignment horizontal="center" vertical="center"/>
    </xf>
    <xf numFmtId="0" fontId="0" fillId="0" borderId="0" xfId="0" applyNumberFormat="1" applyProtection="1">
      <protection locked="0"/>
    </xf>
    <xf numFmtId="0" fontId="0" fillId="2" borderId="2" xfId="0" applyNumberFormat="1" applyFont="1" applyFill="1" applyBorder="1" applyAlignment="1" applyProtection="1">
      <alignment horizontal="center" vertical="center" wrapText="1"/>
    </xf>
    <xf numFmtId="0" fontId="0" fillId="7" borderId="2" xfId="0" applyNumberFormat="1" applyFill="1" applyBorder="1" applyAlignment="1" applyProtection="1">
      <alignment horizontal="left"/>
      <protection locked="0"/>
    </xf>
    <xf numFmtId="49" fontId="36" fillId="19" borderId="0" xfId="6" applyNumberFormat="1" applyFont="1" applyFill="1" applyAlignment="1" applyProtection="1">
      <alignment horizontal="center" vertical="center"/>
      <protection locked="0"/>
    </xf>
    <xf numFmtId="0" fontId="0" fillId="9" borderId="2" xfId="0" applyFill="1" applyBorder="1" applyAlignment="1" applyProtection="1">
      <alignment horizontal="center" vertical="center" wrapText="1"/>
    </xf>
    <xf numFmtId="0" fontId="0" fillId="9" borderId="0" xfId="0" applyFill="1" applyAlignment="1" applyProtection="1">
      <alignment horizontal="center" vertical="center"/>
      <protection locked="0"/>
    </xf>
    <xf numFmtId="0" fontId="37" fillId="7" borderId="2" xfId="0" applyFont="1" applyFill="1" applyBorder="1" applyAlignment="1" applyProtection="1">
      <alignment horizontal="center"/>
    </xf>
    <xf numFmtId="2" fontId="2" fillId="0" borderId="0" xfId="6" applyNumberFormat="1" applyAlignment="1">
      <alignment horizontal="right"/>
    </xf>
    <xf numFmtId="0" fontId="39" fillId="7" borderId="2" xfId="0" applyFont="1" applyFill="1" applyBorder="1" applyAlignment="1" applyProtection="1">
      <alignment horizontal="center" vertical="center"/>
    </xf>
    <xf numFmtId="0" fontId="39" fillId="7" borderId="2" xfId="0" applyFont="1" applyFill="1" applyBorder="1" applyProtection="1">
      <protection locked="0"/>
    </xf>
    <xf numFmtId="0" fontId="39" fillId="7" borderId="2" xfId="0" applyFont="1" applyFill="1" applyBorder="1" applyAlignment="1" applyProtection="1">
      <alignment horizontal="right" vertical="center"/>
    </xf>
    <xf numFmtId="0" fontId="39" fillId="9" borderId="2" xfId="0" applyFont="1" applyFill="1" applyBorder="1" applyAlignment="1" applyProtection="1">
      <alignment horizontal="center" vertical="center"/>
    </xf>
    <xf numFmtId="0" fontId="39" fillId="7" borderId="2" xfId="0" applyFont="1" applyFill="1" applyBorder="1" applyAlignment="1" applyProtection="1">
      <alignment horizontal="center"/>
    </xf>
    <xf numFmtId="0" fontId="39" fillId="9" borderId="2" xfId="0" applyNumberFormat="1" applyFont="1" applyFill="1" applyBorder="1" applyAlignment="1" applyProtection="1">
      <alignment horizontal="center" vertical="center"/>
    </xf>
    <xf numFmtId="0" fontId="39" fillId="7" borderId="2" xfId="0" applyNumberFormat="1" applyFont="1" applyFill="1" applyBorder="1" applyAlignment="1" applyProtection="1">
      <alignment horizontal="left" vertical="center"/>
    </xf>
    <xf numFmtId="0" fontId="39" fillId="7" borderId="2" xfId="0" applyFont="1" applyFill="1" applyBorder="1" applyAlignment="1" applyProtection="1">
      <alignment horizontal="left"/>
    </xf>
    <xf numFmtId="0" fontId="39" fillId="7" borderId="2" xfId="7" applyFont="1" applyFill="1" applyBorder="1" applyAlignment="1" applyProtection="1">
      <alignment horizontal="left"/>
    </xf>
    <xf numFmtId="9" fontId="39" fillId="7" borderId="2" xfId="0" applyNumberFormat="1" applyFont="1" applyFill="1" applyBorder="1" applyAlignment="1" applyProtection="1">
      <alignment horizontal="left" vertical="center"/>
    </xf>
    <xf numFmtId="0" fontId="39" fillId="7" borderId="2" xfId="0" applyFont="1" applyFill="1" applyBorder="1" applyAlignment="1" applyProtection="1">
      <alignment horizontal="right"/>
    </xf>
    <xf numFmtId="0" fontId="39" fillId="7" borderId="0" xfId="0" applyFont="1" applyFill="1" applyProtection="1">
      <protection locked="0"/>
    </xf>
    <xf numFmtId="0" fontId="39" fillId="7" borderId="2" xfId="0" applyNumberFormat="1" applyFont="1" applyFill="1" applyBorder="1" applyAlignment="1" applyProtection="1">
      <alignment horizontal="left" vertical="center" wrapText="1"/>
    </xf>
    <xf numFmtId="0" fontId="39" fillId="7" borderId="2" xfId="0" applyFont="1" applyFill="1" applyBorder="1" applyAlignment="1" applyProtection="1">
      <alignment horizontal="left" vertical="center" wrapText="1"/>
    </xf>
    <xf numFmtId="0" fontId="39" fillId="7" borderId="2" xfId="0" applyFont="1" applyFill="1" applyBorder="1" applyAlignment="1" applyProtection="1">
      <alignment horizontal="center" vertical="center"/>
      <protection locked="0"/>
    </xf>
    <xf numFmtId="0" fontId="39" fillId="7" borderId="2" xfId="0" applyFont="1" applyFill="1" applyBorder="1" applyAlignment="1" applyProtection="1">
      <alignment horizontal="right" vertical="center"/>
      <protection locked="0"/>
    </xf>
    <xf numFmtId="0" fontId="39" fillId="7" borderId="2" xfId="0" applyNumberFormat="1" applyFont="1" applyFill="1" applyBorder="1" applyAlignment="1" applyProtection="1">
      <alignment horizontal="left" vertical="center" wrapText="1"/>
      <protection locked="0"/>
    </xf>
    <xf numFmtId="0" fontId="39" fillId="7" borderId="2" xfId="0" applyFont="1" applyFill="1" applyBorder="1" applyAlignment="1" applyProtection="1">
      <alignment horizontal="left"/>
      <protection locked="0"/>
    </xf>
    <xf numFmtId="0" fontId="39" fillId="7" borderId="2" xfId="0" applyFont="1" applyFill="1" applyBorder="1" applyAlignment="1" applyProtection="1">
      <alignment horizontal="right"/>
      <protection locked="0"/>
    </xf>
    <xf numFmtId="0" fontId="0" fillId="0" borderId="2" xfId="0" applyBorder="1" applyAlignment="1">
      <alignment horizontal="center" vertical="center" wrapText="1"/>
    </xf>
    <xf numFmtId="0" fontId="2" fillId="0" borderId="0" xfId="6" applyFont="1" applyAlignment="1">
      <alignment horizontal="center" vertical="center"/>
    </xf>
    <xf numFmtId="0" fontId="2" fillId="8" borderId="0" xfId="6" applyFill="1" applyAlignment="1">
      <alignment vertical="center"/>
    </xf>
    <xf numFmtId="0" fontId="40" fillId="14" borderId="28" xfId="6" applyFont="1" applyFill="1" applyBorder="1"/>
    <xf numFmtId="0" fontId="40" fillId="14" borderId="6" xfId="6" quotePrefix="1" applyFont="1" applyFill="1" applyBorder="1"/>
    <xf numFmtId="0" fontId="40" fillId="14" borderId="30" xfId="6" applyFont="1" applyFill="1" applyBorder="1"/>
    <xf numFmtId="0" fontId="40" fillId="14" borderId="32" xfId="6" applyFont="1" applyFill="1" applyBorder="1"/>
    <xf numFmtId="0" fontId="40" fillId="14" borderId="34" xfId="6" applyFont="1" applyFill="1" applyBorder="1"/>
    <xf numFmtId="0" fontId="40" fillId="14" borderId="36" xfId="6" applyFont="1" applyFill="1" applyBorder="1"/>
    <xf numFmtId="49" fontId="0" fillId="0" borderId="0" xfId="6" applyNumberFormat="1" applyFont="1" applyAlignment="1">
      <alignment horizontal="center" vertical="center"/>
    </xf>
    <xf numFmtId="0" fontId="0" fillId="0" borderId="0" xfId="0" applyProtection="1"/>
    <xf numFmtId="0" fontId="0" fillId="0" borderId="0" xfId="0" applyAlignment="1" applyProtection="1">
      <alignment horizontal="center"/>
    </xf>
    <xf numFmtId="0" fontId="3" fillId="0" borderId="0" xfId="0" applyFont="1" applyAlignment="1" applyProtection="1">
      <alignment horizontal="center"/>
    </xf>
    <xf numFmtId="0" fontId="3" fillId="0" borderId="0" xfId="0" applyFont="1" applyFill="1" applyBorder="1" applyAlignment="1">
      <alignment horizontal="center"/>
    </xf>
    <xf numFmtId="0" fontId="3" fillId="0" borderId="0" xfId="0" applyFont="1" applyFill="1" applyBorder="1" applyAlignment="1" applyProtection="1">
      <alignment horizontal="center"/>
    </xf>
    <xf numFmtId="0" fontId="0" fillId="0" borderId="0" xfId="0" applyFill="1" applyBorder="1" applyAlignment="1" applyProtection="1">
      <alignment horizontal="center"/>
    </xf>
    <xf numFmtId="0" fontId="3" fillId="0" borderId="15" xfId="0" applyFont="1" applyFill="1" applyBorder="1" applyAlignment="1" applyProtection="1">
      <alignment horizontal="center" vertical="center" wrapText="1"/>
    </xf>
    <xf numFmtId="0" fontId="14" fillId="0" borderId="16" xfId="0" applyFont="1" applyBorder="1" applyAlignment="1" applyProtection="1">
      <alignment horizontal="center" vertical="center"/>
    </xf>
    <xf numFmtId="0" fontId="14" fillId="0" borderId="16" xfId="0" applyFont="1" applyBorder="1" applyAlignment="1" applyProtection="1">
      <alignment vertical="center"/>
    </xf>
    <xf numFmtId="0" fontId="0" fillId="20" borderId="2" xfId="0" applyFont="1" applyFill="1" applyBorder="1" applyAlignment="1" applyProtection="1">
      <alignment horizontal="center" vertical="center"/>
      <protection locked="0"/>
    </xf>
    <xf numFmtId="0" fontId="0" fillId="20" borderId="2" xfId="0" applyFill="1" applyBorder="1" applyProtection="1">
      <protection locked="0"/>
    </xf>
    <xf numFmtId="0" fontId="0" fillId="20" borderId="2" xfId="0" applyFill="1" applyBorder="1" applyAlignment="1" applyProtection="1">
      <alignment horizontal="right" vertical="center"/>
      <protection locked="0"/>
    </xf>
    <xf numFmtId="0" fontId="37" fillId="20" borderId="2" xfId="0" applyFont="1" applyFill="1" applyBorder="1" applyAlignment="1" applyProtection="1">
      <alignment horizontal="center"/>
    </xf>
    <xf numFmtId="0" fontId="0" fillId="20" borderId="2" xfId="0" applyNumberFormat="1" applyFill="1" applyBorder="1"/>
    <xf numFmtId="0" fontId="0" fillId="20" borderId="2" xfId="0" applyFill="1" applyBorder="1" applyAlignment="1" applyProtection="1">
      <alignment horizontal="left"/>
      <protection locked="0"/>
    </xf>
    <xf numFmtId="0" fontId="0" fillId="20" borderId="2" xfId="0" applyFont="1" applyFill="1" applyBorder="1" applyAlignment="1" applyProtection="1">
      <alignment horizontal="left"/>
      <protection locked="0"/>
    </xf>
    <xf numFmtId="0" fontId="0" fillId="20" borderId="2" xfId="0" applyFont="1" applyFill="1" applyBorder="1" applyAlignment="1" applyProtection="1">
      <alignment horizontal="right"/>
      <protection locked="0"/>
    </xf>
    <xf numFmtId="0" fontId="0" fillId="20" borderId="2" xfId="0" applyFill="1" applyBorder="1" applyAlignment="1" applyProtection="1">
      <alignment horizontal="right"/>
    </xf>
    <xf numFmtId="0" fontId="0" fillId="20" borderId="0" xfId="0" applyFill="1" applyProtection="1">
      <protection locked="0"/>
    </xf>
    <xf numFmtId="0" fontId="37" fillId="20" borderId="2" xfId="0" applyNumberFormat="1" applyFont="1" applyFill="1" applyBorder="1" applyAlignment="1" applyProtection="1">
      <alignment horizontal="center"/>
    </xf>
    <xf numFmtId="0" fontId="0" fillId="20" borderId="2" xfId="0" applyNumberFormat="1" applyFill="1" applyBorder="1" applyAlignment="1" applyProtection="1">
      <alignment horizontal="left"/>
      <protection locked="0"/>
    </xf>
    <xf numFmtId="0" fontId="0" fillId="20" borderId="2" xfId="0" quotePrefix="1" applyNumberFormat="1" applyFill="1" applyBorder="1" applyAlignment="1" applyProtection="1">
      <alignment horizontal="left"/>
      <protection locked="0"/>
    </xf>
    <xf numFmtId="0" fontId="0" fillId="20" borderId="2" xfId="7" applyNumberFormat="1" applyFont="1" applyFill="1" applyBorder="1" applyAlignment="1" applyProtection="1">
      <alignment horizontal="left"/>
    </xf>
    <xf numFmtId="0" fontId="0" fillId="20" borderId="2" xfId="0" applyNumberFormat="1" applyFill="1" applyBorder="1" applyAlignment="1" applyProtection="1">
      <alignment horizontal="left" vertical="center"/>
    </xf>
    <xf numFmtId="0" fontId="0" fillId="20" borderId="2" xfId="0" applyNumberFormat="1" applyFont="1" applyFill="1" applyBorder="1" applyAlignment="1" applyProtection="1">
      <alignment horizontal="left"/>
      <protection locked="0"/>
    </xf>
    <xf numFmtId="0" fontId="0" fillId="20" borderId="2" xfId="0" applyNumberFormat="1" applyFill="1" applyBorder="1" applyProtection="1">
      <protection locked="0"/>
    </xf>
    <xf numFmtId="0" fontId="14" fillId="0" borderId="0" xfId="0" applyFont="1" applyFill="1" applyBorder="1" applyAlignment="1" applyProtection="1">
      <alignment horizontal="center" vertical="center"/>
    </xf>
    <xf numFmtId="0" fontId="0" fillId="0" borderId="41" xfId="0" applyFill="1" applyBorder="1" applyAlignment="1" applyProtection="1">
      <alignment horizontal="center" vertical="center" wrapText="1"/>
    </xf>
    <xf numFmtId="0" fontId="0" fillId="0" borderId="18" xfId="0" applyFill="1" applyBorder="1" applyAlignment="1" applyProtection="1">
      <alignment horizontal="center" vertical="center" wrapText="1"/>
    </xf>
    <xf numFmtId="0" fontId="0" fillId="9" borderId="18" xfId="0" applyFill="1" applyBorder="1" applyAlignment="1" applyProtection="1">
      <alignment horizontal="center" vertical="center" wrapText="1"/>
    </xf>
    <xf numFmtId="0" fontId="0" fillId="0" borderId="18" xfId="0" applyFont="1" applyBorder="1" applyAlignment="1" applyProtection="1">
      <alignment horizontal="center" vertical="center" wrapText="1"/>
    </xf>
    <xf numFmtId="0" fontId="0" fillId="9" borderId="18" xfId="0" applyFont="1" applyFill="1" applyBorder="1" applyAlignment="1" applyProtection="1">
      <alignment horizontal="center" vertical="center"/>
    </xf>
    <xf numFmtId="0" fontId="0" fillId="9" borderId="18" xfId="0" applyNumberFormat="1" applyFont="1" applyFill="1" applyBorder="1" applyAlignment="1" applyProtection="1">
      <alignment horizontal="center" vertical="center"/>
    </xf>
    <xf numFmtId="0" fontId="0" fillId="2" borderId="18" xfId="0" applyNumberFormat="1" applyFont="1" applyFill="1" applyBorder="1" applyAlignment="1" applyProtection="1">
      <alignment horizontal="center" vertical="center" wrapText="1"/>
    </xf>
    <xf numFmtId="0" fontId="0" fillId="2" borderId="18" xfId="0" applyFont="1" applyFill="1" applyBorder="1" applyAlignment="1" applyProtection="1">
      <alignment horizontal="center" vertical="center"/>
    </xf>
    <xf numFmtId="0" fontId="0" fillId="2" borderId="18" xfId="0" applyFont="1" applyFill="1" applyBorder="1" applyAlignment="1" applyProtection="1">
      <alignment horizontal="center" vertical="center" wrapText="1"/>
    </xf>
    <xf numFmtId="0" fontId="0" fillId="0" borderId="18" xfId="0" applyFont="1" applyBorder="1" applyAlignment="1" applyProtection="1">
      <alignment horizontal="center" vertical="center"/>
    </xf>
    <xf numFmtId="0" fontId="0" fillId="0" borderId="18" xfId="0" applyBorder="1" applyAlignment="1" applyProtection="1">
      <alignment horizontal="center" vertical="center" wrapText="1"/>
    </xf>
    <xf numFmtId="0" fontId="0" fillId="0" borderId="2" xfId="0" applyFill="1" applyBorder="1" applyAlignment="1" applyProtection="1">
      <alignment horizontal="center"/>
    </xf>
    <xf numFmtId="0" fontId="0" fillId="21" borderId="2" xfId="0" applyFill="1" applyBorder="1" applyAlignment="1" applyProtection="1">
      <alignment horizontal="center"/>
    </xf>
    <xf numFmtId="0" fontId="0" fillId="22" borderId="2" xfId="0" applyFill="1" applyBorder="1" applyAlignment="1" applyProtection="1">
      <alignment horizontal="center"/>
    </xf>
    <xf numFmtId="0" fontId="0" fillId="2" borderId="2" xfId="0" applyFill="1" applyBorder="1" applyAlignment="1" applyProtection="1">
      <alignment horizontal="center"/>
    </xf>
    <xf numFmtId="0" fontId="3" fillId="0" borderId="18" xfId="0" applyFont="1" applyFill="1" applyBorder="1" applyAlignment="1" applyProtection="1"/>
    <xf numFmtId="0" fontId="3" fillId="0" borderId="3" xfId="0" applyFont="1" applyFill="1" applyBorder="1" applyAlignment="1" applyProtection="1"/>
    <xf numFmtId="0" fontId="3" fillId="0" borderId="20" xfId="0" applyFont="1" applyFill="1" applyBorder="1" applyAlignment="1" applyProtection="1"/>
    <xf numFmtId="0" fontId="3" fillId="0" borderId="16" xfId="0" applyFont="1" applyFill="1" applyBorder="1" applyAlignment="1" applyProtection="1"/>
    <xf numFmtId="0" fontId="0" fillId="0" borderId="2" xfId="0" applyFill="1" applyBorder="1" applyAlignment="1" applyProtection="1">
      <alignment horizontal="center" vertical="center"/>
    </xf>
    <xf numFmtId="0" fontId="39" fillId="0" borderId="2" xfId="0" applyFont="1" applyFill="1" applyBorder="1" applyAlignment="1" applyProtection="1">
      <alignment horizontal="center" vertical="center"/>
      <protection locked="0"/>
    </xf>
    <xf numFmtId="0" fontId="0" fillId="0" borderId="2" xfId="0" applyFill="1" applyBorder="1" applyAlignment="1" applyProtection="1">
      <alignment horizontal="center" vertical="center"/>
      <protection locked="0"/>
    </xf>
    <xf numFmtId="0" fontId="0" fillId="0" borderId="0" xfId="0" applyFill="1" applyAlignment="1" applyProtection="1">
      <alignment horizontal="center" vertical="center"/>
      <protection locked="0"/>
    </xf>
    <xf numFmtId="0" fontId="0" fillId="0" borderId="0" xfId="0" applyFill="1" applyProtection="1">
      <protection locked="0"/>
    </xf>
    <xf numFmtId="0" fontId="3" fillId="0" borderId="2" xfId="0" applyFont="1" applyFill="1" applyBorder="1" applyAlignment="1">
      <alignment horizontal="center"/>
    </xf>
    <xf numFmtId="0" fontId="0" fillId="0" borderId="18" xfId="0" applyFill="1" applyBorder="1" applyAlignment="1">
      <alignment horizontal="center"/>
    </xf>
    <xf numFmtId="0" fontId="0" fillId="0" borderId="0" xfId="0" applyAlignment="1" applyProtection="1">
      <alignment horizontal="center" wrapText="1"/>
      <protection locked="0"/>
    </xf>
    <xf numFmtId="0" fontId="0" fillId="23" borderId="2" xfId="0" applyFill="1" applyBorder="1" applyAlignment="1">
      <alignment horizontal="center"/>
    </xf>
    <xf numFmtId="0" fontId="3" fillId="23" borderId="2" xfId="0" applyFont="1" applyFill="1" applyBorder="1" applyAlignment="1">
      <alignment horizontal="center"/>
    </xf>
    <xf numFmtId="0" fontId="0" fillId="24" borderId="2" xfId="0" applyFill="1" applyBorder="1" applyAlignment="1">
      <alignment horizontal="center"/>
    </xf>
    <xf numFmtId="0" fontId="3" fillId="24" borderId="2" xfId="0" applyFont="1" applyFill="1" applyBorder="1" applyAlignment="1">
      <alignment horizontal="center"/>
    </xf>
    <xf numFmtId="0" fontId="0" fillId="23" borderId="2" xfId="0" applyFill="1" applyBorder="1" applyAlignment="1" applyProtection="1">
      <alignment horizontal="center"/>
    </xf>
    <xf numFmtId="0" fontId="0" fillId="24" borderId="2" xfId="0" applyFill="1" applyBorder="1" applyAlignment="1" applyProtection="1">
      <alignment horizontal="center"/>
    </xf>
    <xf numFmtId="0" fontId="0" fillId="0" borderId="2" xfId="0" applyFill="1" applyBorder="1" applyAlignment="1" applyProtection="1">
      <alignment horizontal="center" vertical="center" wrapText="1"/>
      <protection locked="0"/>
    </xf>
    <xf numFmtId="0" fontId="0" fillId="11" borderId="0" xfId="0" applyFill="1" applyAlignment="1">
      <alignment horizontal="center" vertical="center"/>
    </xf>
    <xf numFmtId="0" fontId="0" fillId="0" borderId="0" xfId="0" applyAlignment="1">
      <alignment horizontal="center" vertical="center"/>
    </xf>
    <xf numFmtId="169" fontId="2" fillId="0" borderId="0" xfId="6" applyNumberFormat="1" applyAlignment="1">
      <alignment horizontal="center"/>
    </xf>
    <xf numFmtId="49" fontId="2" fillId="0" borderId="0" xfId="6" applyNumberFormat="1" applyAlignment="1">
      <alignment horizontal="center"/>
    </xf>
    <xf numFmtId="0" fontId="2" fillId="0" borderId="0" xfId="6" applyAlignment="1">
      <alignment horizontal="center"/>
    </xf>
    <xf numFmtId="0" fontId="3" fillId="8" borderId="2" xfId="0" applyNumberFormat="1" applyFont="1" applyFill="1" applyBorder="1" applyAlignment="1" applyProtection="1">
      <alignment horizontal="center" vertical="center" wrapText="1"/>
    </xf>
    <xf numFmtId="0" fontId="0" fillId="2" borderId="2" xfId="0" applyNumberFormat="1" applyFont="1" applyFill="1" applyBorder="1" applyAlignment="1" applyProtection="1">
      <alignment horizontal="center" vertical="center"/>
    </xf>
    <xf numFmtId="0" fontId="39" fillId="7" borderId="2" xfId="0" applyNumberFormat="1" applyFont="1" applyFill="1" applyBorder="1" applyAlignment="1" applyProtection="1">
      <alignment horizontal="left"/>
    </xf>
    <xf numFmtId="0" fontId="0" fillId="7" borderId="2" xfId="0" quotePrefix="1" applyNumberFormat="1" applyFill="1" applyBorder="1" applyAlignment="1" applyProtection="1">
      <alignment horizontal="left"/>
      <protection locked="0"/>
    </xf>
    <xf numFmtId="0" fontId="0" fillId="7" borderId="2" xfId="0" applyNumberFormat="1" applyFill="1" applyBorder="1" applyAlignment="1" applyProtection="1">
      <alignment horizontal="left" vertical="center"/>
    </xf>
    <xf numFmtId="0" fontId="0" fillId="7" borderId="2" xfId="0" applyNumberFormat="1" applyFill="1" applyBorder="1" applyAlignment="1" applyProtection="1">
      <alignment horizontal="left" vertical="center"/>
      <protection locked="0"/>
    </xf>
    <xf numFmtId="0" fontId="27" fillId="14" borderId="6" xfId="6" applyFont="1" applyFill="1" applyBorder="1" applyAlignment="1">
      <alignment horizontal="right" wrapText="1"/>
    </xf>
    <xf numFmtId="0" fontId="27" fillId="14" borderId="8" xfId="6" applyFont="1" applyFill="1" applyBorder="1" applyAlignment="1">
      <alignment horizontal="right" wrapText="1"/>
    </xf>
    <xf numFmtId="0" fontId="8" fillId="0" borderId="16" xfId="0" applyFont="1" applyBorder="1" applyAlignment="1" applyProtection="1">
      <alignment horizontal="left"/>
      <protection locked="0"/>
    </xf>
    <xf numFmtId="0" fontId="0" fillId="0" borderId="9" xfId="0" applyBorder="1" applyAlignment="1">
      <alignment horizontal="center"/>
    </xf>
    <xf numFmtId="0" fontId="0" fillId="0" borderId="11" xfId="0" applyBorder="1" applyAlignment="1">
      <alignment horizontal="center"/>
    </xf>
    <xf numFmtId="0" fontId="0" fillId="0" borderId="10" xfId="0" applyBorder="1" applyAlignment="1">
      <alignment horizontal="center"/>
    </xf>
    <xf numFmtId="0" fontId="9" fillId="0" borderId="0" xfId="0" applyFont="1" applyAlignment="1">
      <alignment horizontal="center" wrapText="1"/>
    </xf>
    <xf numFmtId="0" fontId="9" fillId="0" borderId="0" xfId="0" applyFont="1" applyAlignment="1">
      <alignment horizontal="center"/>
    </xf>
    <xf numFmtId="0" fontId="0" fillId="0" borderId="16" xfId="0" applyBorder="1" applyAlignment="1">
      <alignment horizontal="left"/>
    </xf>
    <xf numFmtId="0" fontId="11" fillId="0" borderId="0" xfId="0" applyFont="1" applyAlignment="1">
      <alignment horizontal="center"/>
    </xf>
    <xf numFmtId="0" fontId="0" fillId="0" borderId="0" xfId="0" applyAlignment="1"/>
    <xf numFmtId="0" fontId="0" fillId="12" borderId="18" xfId="0" applyFill="1" applyBorder="1" applyAlignment="1">
      <alignment horizontal="left" wrapText="1"/>
    </xf>
    <xf numFmtId="0" fontId="0" fillId="12" borderId="3" xfId="0" applyFill="1" applyBorder="1" applyAlignment="1">
      <alignment horizontal="left" wrapText="1"/>
    </xf>
    <xf numFmtId="0" fontId="0" fillId="12" borderId="20" xfId="0" applyFill="1" applyBorder="1" applyAlignment="1">
      <alignment horizontal="left" wrapText="1"/>
    </xf>
    <xf numFmtId="0" fontId="18" fillId="2" borderId="40" xfId="0" applyFont="1" applyFill="1" applyBorder="1" applyAlignment="1">
      <alignment horizontal="center" vertical="center" wrapText="1"/>
    </xf>
    <xf numFmtId="0" fontId="18" fillId="2" borderId="0" xfId="0" applyFont="1" applyFill="1" applyBorder="1" applyAlignment="1">
      <alignment horizontal="center" vertical="center" wrapText="1"/>
    </xf>
    <xf numFmtId="0" fontId="0" fillId="11" borderId="18" xfId="0" applyFill="1" applyBorder="1" applyAlignment="1">
      <alignment horizontal="center" wrapText="1"/>
    </xf>
    <xf numFmtId="0" fontId="0" fillId="11" borderId="3" xfId="0" applyFill="1" applyBorder="1" applyAlignment="1">
      <alignment horizontal="center" wrapText="1"/>
    </xf>
    <xf numFmtId="0" fontId="0" fillId="11" borderId="20" xfId="0" applyFill="1" applyBorder="1" applyAlignment="1">
      <alignment horizontal="center" wrapText="1"/>
    </xf>
    <xf numFmtId="0" fontId="0" fillId="0" borderId="18" xfId="0" applyBorder="1" applyAlignment="1">
      <alignment horizontal="left" wrapText="1"/>
    </xf>
    <xf numFmtId="0" fontId="0" fillId="0" borderId="3" xfId="0" applyBorder="1" applyAlignment="1">
      <alignment horizontal="left" wrapText="1"/>
    </xf>
    <xf numFmtId="0" fontId="0" fillId="0" borderId="20" xfId="0" applyBorder="1" applyAlignment="1">
      <alignment horizontal="left" wrapText="1"/>
    </xf>
    <xf numFmtId="0" fontId="0" fillId="12" borderId="16" xfId="0" applyFill="1" applyBorder="1" applyAlignment="1">
      <alignment horizontal="center" wrapText="1"/>
    </xf>
    <xf numFmtId="0" fontId="0" fillId="12" borderId="18" xfId="0" applyFill="1" applyBorder="1" applyAlignment="1">
      <alignment horizontal="center" wrapText="1"/>
    </xf>
    <xf numFmtId="0" fontId="0" fillId="12" borderId="3" xfId="0" applyFill="1" applyBorder="1" applyAlignment="1">
      <alignment horizontal="center" wrapText="1"/>
    </xf>
    <xf numFmtId="0" fontId="0" fillId="12" borderId="20" xfId="0" applyFill="1" applyBorder="1" applyAlignment="1">
      <alignment horizontal="center" wrapText="1"/>
    </xf>
    <xf numFmtId="0" fontId="10" fillId="2" borderId="2" xfId="0" applyFont="1" applyFill="1" applyBorder="1" applyAlignment="1">
      <alignment horizontal="center" wrapText="1"/>
    </xf>
    <xf numFmtId="0" fontId="0" fillId="11" borderId="16" xfId="0" applyFill="1" applyBorder="1" applyAlignment="1">
      <alignment horizontal="center" wrapText="1"/>
    </xf>
    <xf numFmtId="0" fontId="0" fillId="0" borderId="18" xfId="0" applyFill="1" applyBorder="1" applyAlignment="1">
      <alignment horizontal="center" wrapText="1"/>
    </xf>
    <xf numFmtId="0" fontId="0" fillId="0" borderId="3" xfId="0" applyFill="1" applyBorder="1" applyAlignment="1">
      <alignment horizontal="center" wrapText="1"/>
    </xf>
    <xf numFmtId="0" fontId="0" fillId="0" borderId="20" xfId="0" applyFill="1" applyBorder="1" applyAlignment="1">
      <alignment horizontal="center" wrapText="1"/>
    </xf>
    <xf numFmtId="0" fontId="0" fillId="4" borderId="18" xfId="0" applyFill="1" applyBorder="1" applyAlignment="1">
      <alignment horizontal="center" wrapText="1"/>
    </xf>
    <xf numFmtId="0" fontId="0" fillId="4" borderId="3" xfId="0" applyFill="1" applyBorder="1" applyAlignment="1">
      <alignment horizontal="center" wrapText="1"/>
    </xf>
    <xf numFmtId="0" fontId="0" fillId="4" borderId="20" xfId="0" applyFill="1" applyBorder="1" applyAlignment="1">
      <alignment horizontal="center" wrapText="1"/>
    </xf>
    <xf numFmtId="49" fontId="24" fillId="0" borderId="0" xfId="8" applyNumberFormat="1" applyFont="1" applyBorder="1" applyAlignment="1">
      <alignment horizontal="center" vertical="center"/>
    </xf>
    <xf numFmtId="49" fontId="2" fillId="0" borderId="0" xfId="6" applyNumberFormat="1" applyAlignment="1">
      <alignment horizontal="center" vertical="center"/>
    </xf>
  </cellXfs>
  <cellStyles count="10">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eading 3 2" xfId="8" xr:uid="{00000000-0005-0000-0000-000008000000}"/>
    <cellStyle name="Normal" xfId="0" builtinId="0"/>
    <cellStyle name="Normal 2" xfId="6" xr:uid="{00000000-0005-0000-0000-000006000000}"/>
    <cellStyle name="Normal 6" xfId="7" xr:uid="{00000000-0005-0000-0000-000007000000}"/>
    <cellStyle name="Normal 7" xfId="9" xr:uid="{00000000-0005-0000-0000-000009000000}"/>
    <cellStyle name="Percent" xfId="1" xr:uid="{00000000-0005-0000-0000-000001000000}"/>
  </cellStyles>
  <dxfs count="121">
    <dxf>
      <numFmt numFmtId="30" formatCode="@"/>
      <alignment horizontal="center" vertical="center" textRotation="0" wrapText="0" shrinkToFit="0" readingOrder="0"/>
    </dxf>
    <dxf>
      <alignment horizontal="center" vertical="center" textRotation="0" wrapText="0" shrinkToFit="0" readingOrder="0"/>
    </dxf>
    <dxf>
      <border>
        <left/>
        <right/>
        <top style="thin">
          <color auto="1"/>
        </top>
        <bottom style="thin">
          <color auto="1"/>
        </bottom>
      </border>
    </dxf>
    <dxf>
      <border>
        <left style="thin">
          <color auto="1"/>
        </left>
        <right style="thin">
          <color auto="1"/>
        </right>
        <top style="thin">
          <color auto="1"/>
        </top>
        <bottom style="thin">
          <color auto="1"/>
        </bottom>
      </border>
    </dxf>
    <dxf>
      <border>
        <bottom style="thin">
          <color auto="1"/>
        </bottom>
      </border>
    </dxf>
    <dxf>
      <font>
        <b/>
        <i val="0"/>
        <strike val="0"/>
        <u/>
        <sz val="11"/>
        <color theme="1"/>
        <name val="Calibri"/>
        <family val="2"/>
      </font>
      <fill>
        <patternFill patternType="solid">
          <bgColor rgb="FF92D050"/>
        </patternFill>
      </fill>
      <alignment horizontal="center" vertical="center" textRotation="0" wrapText="0" shrinkToFit="0" readingOrder="0"/>
    </dxf>
    <dxf>
      <font>
        <b/>
        <i val="0"/>
      </font>
      <fill>
        <patternFill>
          <bgColor rgb="FFFF0000"/>
        </patternFill>
      </fill>
    </dxf>
    <dxf>
      <font>
        <b/>
        <i val="0"/>
      </font>
      <fill>
        <patternFill>
          <bgColor rgb="FFFF0000"/>
        </patternFill>
      </fill>
    </dxf>
    <dxf>
      <font>
        <color rgb="FFFF0000"/>
      </font>
      <fill>
        <patternFill patternType="none"/>
      </fill>
    </dxf>
    <dxf>
      <font>
        <color rgb="FFFF0000"/>
      </font>
      <fill>
        <patternFill patternType="none"/>
      </fill>
    </dxf>
    <dxf>
      <font>
        <b/>
        <i val="0"/>
      </font>
      <fill>
        <patternFill>
          <bgColor rgb="FFFF0000"/>
        </patternFill>
      </fill>
    </dxf>
    <dxf>
      <font>
        <color rgb="FFFF0000"/>
      </font>
      <fill>
        <patternFill patternType="none"/>
      </fill>
    </dxf>
    <dxf>
      <font>
        <b/>
        <i val="0"/>
      </font>
      <fill>
        <patternFill>
          <bgColor rgb="FFFF0000"/>
        </patternFill>
      </fill>
    </dxf>
    <dxf>
      <font>
        <b/>
        <i val="0"/>
      </font>
      <fill>
        <patternFill>
          <bgColor rgb="FFFF0000"/>
        </patternFill>
      </fill>
    </dxf>
    <dxf>
      <font>
        <color rgb="FFFF0000"/>
      </font>
      <fill>
        <patternFill patternType="none"/>
      </fill>
    </dxf>
    <dxf>
      <font>
        <b/>
        <i val="0"/>
      </font>
      <fill>
        <patternFill>
          <bgColor rgb="FFFF0000"/>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b/>
        <i val="0"/>
      </font>
      <fill>
        <patternFill>
          <bgColor rgb="FFFF0000"/>
        </patternFill>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alignment horizontal="center" vertical="center" textRotation="0" wrapText="0" shrinkToFit="0" readingOrder="0"/>
    </dxf>
    <dxf>
      <font>
        <b/>
        <i val="0"/>
        <strike val="0"/>
        <u val="none"/>
        <sz val="11"/>
        <color auto="1"/>
        <name val="Arial Narrow"/>
      </font>
      <alignment horizontal="center" vertical="center" textRotation="0" wrapText="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externalLink" Target="externalLinks/externalLink5.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7.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6.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133350</xdr:colOff>
          <xdr:row>0</xdr:row>
          <xdr:rowOff>0</xdr:rowOff>
        </xdr:from>
        <xdr:to>
          <xdr:col>12</xdr:col>
          <xdr:colOff>552450</xdr:colOff>
          <xdr:row>1</xdr:row>
          <xdr:rowOff>9525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200-000001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257175</xdr:colOff>
          <xdr:row>0</xdr:row>
          <xdr:rowOff>0</xdr:rowOff>
        </xdr:from>
        <xdr:to>
          <xdr:col>16</xdr:col>
          <xdr:colOff>66675</xdr:colOff>
          <xdr:row>1</xdr:row>
          <xdr:rowOff>9525</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200-000002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TRANSFER DATA</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Measurlink%20Files/QA/RoutineMapDataValid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ProcessEngineering/Inspection_Report_Reference_Info/IR_Creators_Lis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U:\QA\Masters\Forms\IR%20Tables.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JADE-8\JPMCFiles\QualityAssurance\QMS%20Docs\Forms\IR%20Tables.xlsx" TargetMode="External"/></Relationships>
</file>

<file path=xl/externalLinks/_rels/externalLink5.xml.rels><?xml version="1.0" encoding="UTF-8" standalone="yes"?>
<Relationships xmlns="http://schemas.openxmlformats.org/package/2006/relationships"><Relationship Id="rId1" Type="http://schemas.microsoft.com/office/2006/relationships/xlExternalLinkPath/xlPathMissing" Target="IR%20Master%20Template_Generic1"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jade-8\jpmcfiles\JPMC%20QMS\Drafts\IR%20Tables.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jade76\IQS%20Documents\Current\IR%20Tabl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Validations"/>
      <sheetName val="Description"/>
      <sheetName val="StandardComments"/>
      <sheetName val="InspMethods"/>
      <sheetName val="Sheet1"/>
      <sheetName val="Sheet2"/>
    </sheetNames>
    <definedNames>
      <definedName name="AxisOffset" refersTo="='Data Validations'!$G$2:$G$14"/>
      <definedName name="Description"/>
      <definedName name="FeatureType" refersTo="='Data Validations'!$A$2:$A$3"/>
      <definedName name="Frequency" refersTo="='Data Validations'!$H$2:$H$14"/>
      <definedName name="InspMethod" refersTo="='Data Validations'!$E$2:$E$47"/>
      <definedName name="MachineHead" refersTo="='Data Validations'!$C$2:$C$5"/>
    </definedNames>
    <sheetDataSet>
      <sheetData sheetId="0">
        <row r="2">
          <cell r="A2" t="str">
            <v>Attribute</v>
          </cell>
          <cell r="C2" t="str">
            <v>HD1</v>
          </cell>
          <cell r="E2" t="str">
            <v>Caliper</v>
          </cell>
          <cell r="G2" t="str">
            <v>X</v>
          </cell>
          <cell r="H2" t="str">
            <v>100%</v>
          </cell>
        </row>
        <row r="3">
          <cell r="A3" t="str">
            <v>Variable</v>
          </cell>
          <cell r="C3" t="str">
            <v>HD2</v>
          </cell>
          <cell r="E3" t="str">
            <v>Caliper/Go Pin</v>
          </cell>
          <cell r="G3" t="str">
            <v>Y</v>
          </cell>
          <cell r="H3" t="str">
            <v>1 X SHIFT, LAST</v>
          </cell>
        </row>
        <row r="4">
          <cell r="C4" t="str">
            <v>HD3</v>
          </cell>
          <cell r="E4" t="str">
            <v>Caliper/Go Gauge</v>
          </cell>
          <cell r="G4" t="str">
            <v>Z</v>
          </cell>
          <cell r="H4" t="str">
            <v>1 X SHIFT</v>
          </cell>
        </row>
        <row r="5">
          <cell r="C5" t="str">
            <v>NA</v>
          </cell>
          <cell r="E5" t="str">
            <v>Caliper/Internal (IDT)</v>
          </cell>
          <cell r="G5" t="str">
            <v>R</v>
          </cell>
          <cell r="H5" t="str">
            <v>1 X SHIFT, MINI</v>
          </cell>
        </row>
        <row r="6">
          <cell r="E6" t="str">
            <v>GCMM-000X (CMM) · Var.Meas.</v>
          </cell>
          <cell r="G6" t="str">
            <v>A</v>
          </cell>
          <cell r="H6" t="str">
            <v>AQL FREQ.</v>
          </cell>
        </row>
        <row r="7">
          <cell r="E7" t="str">
            <v>GCMM-000X (CMM) · Pass / Fail</v>
          </cell>
          <cell r="G7" t="str">
            <v>B</v>
          </cell>
          <cell r="H7" t="str">
            <v>AQL FREQ., LAST</v>
          </cell>
        </row>
        <row r="8">
          <cell r="E8" t="str">
            <v>Comparator / Var.Meas.</v>
          </cell>
          <cell r="G8" t="str">
            <v>C</v>
          </cell>
          <cell r="H8" t="str">
            <v>AQL FREQ., MINI</v>
          </cell>
        </row>
        <row r="9">
          <cell r="E9" t="str">
            <v xml:space="preserve">Test Indicator/Concent. Ga. </v>
          </cell>
          <cell r="G9" t="str">
            <v>TOOL</v>
          </cell>
          <cell r="H9" t="str">
            <v>FAI &amp; LAST</v>
          </cell>
        </row>
        <row r="10">
          <cell r="E10" t="str">
            <v>Function Part</v>
          </cell>
          <cell r="G10" t="str">
            <v>PROG</v>
          </cell>
          <cell r="H10" t="str">
            <v>FAI ONLY</v>
          </cell>
        </row>
        <row r="11">
          <cell r="E11" t="str">
            <v>Functional · Gauge</v>
          </cell>
          <cell r="G11" t="str">
            <v>#XXX</v>
          </cell>
          <cell r="H11" t="str">
            <v xml:space="preserve">FAI or FIRST VISUAL </v>
          </cell>
        </row>
        <row r="12">
          <cell r="E12" t="str">
            <v>Gauge Pins · Var.Best.Fit.</v>
          </cell>
          <cell r="G12" t="str">
            <v>NA</v>
          </cell>
          <cell r="H12" t="str">
            <v xml:space="preserve">FAI, FIRST VISUAL or MINI </v>
          </cell>
        </row>
        <row r="13">
          <cell r="E13" t="str">
            <v>Gauge Pins · Go/NoGo</v>
          </cell>
          <cell r="G13" t="str">
            <v>H</v>
          </cell>
          <cell r="H13" t="str">
            <v>FAI, LAST &amp; MINI</v>
          </cell>
        </row>
        <row r="14">
          <cell r="E14" t="str">
            <v>Gauge Pins · Go</v>
          </cell>
          <cell r="G14" t="str">
            <v>DXXX</v>
          </cell>
          <cell r="H14" t="str">
            <v>NA</v>
          </cell>
        </row>
        <row r="15">
          <cell r="E15" t="str">
            <v>Gauge Pins · NoGo</v>
          </cell>
        </row>
        <row r="16">
          <cell r="E16" t="str">
            <v>Gauge · Go/NoGo</v>
          </cell>
        </row>
        <row r="17">
          <cell r="E17" t="str">
            <v>Gauge · Go</v>
          </cell>
        </row>
        <row r="18">
          <cell r="E18" t="str">
            <v>Gauge · NoGo</v>
          </cell>
        </row>
        <row r="19">
          <cell r="E19" t="str">
            <v>Groove Width Micrometer</v>
          </cell>
        </row>
        <row r="20">
          <cell r="E20" t="str">
            <v>GRAM-00XX (RAM) · Pass / Fail</v>
          </cell>
        </row>
        <row r="21">
          <cell r="E21" t="str">
            <v>GRAM-00XX (RAM) · Program</v>
          </cell>
        </row>
        <row r="22">
          <cell r="E22" t="str">
            <v>GRAM-00XX (RAM) · Var.Meas.</v>
          </cell>
        </row>
        <row r="23">
          <cell r="E23" t="str">
            <v>GRAM-00XX (RAM) · Visual</v>
          </cell>
        </row>
        <row r="24">
          <cell r="E24" t="str">
            <v>GOMS-000X (Sylvac)</v>
          </cell>
        </row>
        <row r="25">
          <cell r="E25" t="str">
            <v>GTIC-00XX Test Indicator</v>
          </cell>
        </row>
        <row r="26">
          <cell r="E26" t="str">
            <v>Indicator / Drop</v>
          </cell>
        </row>
        <row r="27">
          <cell r="E27" t="str">
            <v>Inspection Fixture · Go</v>
          </cell>
        </row>
        <row r="28">
          <cell r="E28" t="str">
            <v>Inspection Fixture · NoGo</v>
          </cell>
        </row>
        <row r="29">
          <cell r="E29" t="str">
            <v>Micrometer · Anvil GMAN-XXXX</v>
          </cell>
        </row>
        <row r="30">
          <cell r="E30" t="str">
            <v>Micrometer · Blade</v>
          </cell>
        </row>
        <row r="31">
          <cell r="E31" t="str">
            <v>Micrometer · Disc</v>
          </cell>
        </row>
        <row r="32">
          <cell r="E32" t="str">
            <v>Micrometer · Outside</v>
          </cell>
        </row>
        <row r="33">
          <cell r="E33" t="str">
            <v>Micrometer · Pitch</v>
          </cell>
        </row>
        <row r="34">
          <cell r="E34" t="str">
            <v>Micrometer · Point</v>
          </cell>
        </row>
        <row r="35">
          <cell r="E35" t="str">
            <v>Micrometer · Spline</v>
          </cell>
        </row>
        <row r="36">
          <cell r="E36" t="str">
            <v xml:space="preserve">Micrometer · Spline / Calc. </v>
          </cell>
        </row>
        <row r="37">
          <cell r="E37" t="str">
            <v>Ring/Internal (IDT)</v>
          </cell>
        </row>
        <row r="38">
          <cell r="E38" t="str">
            <v>Thread Ring Gauge · Go/NoGo</v>
          </cell>
        </row>
        <row r="39">
          <cell r="E39" t="str">
            <v>Thread Ring Gauge · Go</v>
          </cell>
        </row>
        <row r="40">
          <cell r="E40" t="str">
            <v>Thread Ring Gauge · NoGo</v>
          </cell>
        </row>
        <row r="41">
          <cell r="E41" t="str">
            <v>Thread Plug Gauge · Go/NoGo</v>
          </cell>
        </row>
        <row r="42">
          <cell r="E42" t="str">
            <v>Thread Plug Gauge · Go</v>
          </cell>
        </row>
        <row r="43">
          <cell r="E43" t="str">
            <v>Thread Plug Gauge · NoGo</v>
          </cell>
        </row>
        <row r="44">
          <cell r="E44" t="str">
            <v>Visual</v>
          </cell>
        </row>
        <row r="45">
          <cell r="E45" t="str">
            <v>Visual · 2.25×</v>
          </cell>
        </row>
        <row r="46">
          <cell r="E46" t="str">
            <v>Visual · 10×</v>
          </cell>
        </row>
        <row r="47">
          <cell r="E47" t="str">
            <v>Visual · (Microscope)</v>
          </cell>
        </row>
      </sheetData>
      <sheetData sheetId="1">
        <row r="2">
          <cell r="A2" t="str">
            <v>No Nicks,Scratches,Tool Marks,etc.</v>
          </cell>
          <cell r="C2" t="str">
            <v>not found</v>
          </cell>
        </row>
        <row r="3">
          <cell r="A3" t="str">
            <v>Deburred</v>
          </cell>
          <cell r="C3" t="str">
            <v>not found</v>
          </cell>
        </row>
        <row r="4">
          <cell r="C4" t="str">
            <v>not found</v>
          </cell>
        </row>
        <row r="5">
          <cell r="C5" t="str">
            <v>not found</v>
          </cell>
        </row>
      </sheetData>
      <sheetData sheetId="2">
        <row r="2">
          <cell r="A2" t="str">
            <v xml:space="preserve"> 'C', Whirl Blank</v>
          </cell>
          <cell r="C2" t="str">
            <v>not found</v>
          </cell>
        </row>
        <row r="3">
          <cell r="A3" t="str">
            <v xml:space="preserve"> See Image, Constrained</v>
          </cell>
          <cell r="C3" t="str">
            <v>not found</v>
          </cell>
        </row>
        <row r="4">
          <cell r="C4" t="str">
            <v>not found</v>
          </cell>
        </row>
        <row r="5">
          <cell r="C5" t="str">
            <v>not found</v>
          </cell>
        </row>
      </sheetData>
      <sheetData sheetId="3">
        <row r="2">
          <cell r="A2" t="str">
            <v>Caliper</v>
          </cell>
          <cell r="C2" t="str">
            <v>not found</v>
          </cell>
        </row>
        <row r="3">
          <cell r="A3" t="str">
            <v>Caliper/Go Pin</v>
          </cell>
          <cell r="C3" t="str">
            <v>not found</v>
          </cell>
        </row>
        <row r="4">
          <cell r="C4" t="str">
            <v>not found</v>
          </cell>
        </row>
        <row r="5">
          <cell r="C5" t="str">
            <v>not found</v>
          </cell>
        </row>
      </sheetData>
      <sheetData sheetId="4"/>
      <sheetData sheetId="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IRCreators" sheetId="0"/>
    </definedNames>
    <sheetDataSet>
      <sheetData sheetId="0">
        <row r="1">
          <cell r="A1"/>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(Go-Nom-NoGo)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 Handle GO</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Ga./Test 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 - Nom - 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Trajectory</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Extension Handle GO</v>
          </cell>
        </row>
      </sheetData>
      <sheetData sheetId="1"/>
      <sheetData sheetId="2"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Variables"/>
      <sheetName val="IEX-DATA"/>
      <sheetName val="Methods&amp;IDs"/>
      <sheetName val="1st Article"/>
      <sheetName val="1st Article (2)"/>
      <sheetName val="Special"/>
      <sheetName val="In-Process"/>
      <sheetName val="In-Process (2)"/>
      <sheetName val="ML Frequency Chart"/>
      <sheetName val="Final Dimensional"/>
      <sheetName val="Final Visual"/>
      <sheetName val="OutsideMach"/>
      <sheetName val="Comments"/>
      <sheetName val="Q Alert"/>
      <sheetName val="Swiss Checklist"/>
      <sheetName val="Mill Checklist"/>
      <sheetName val="PrePostMach"/>
      <sheetName val="Laser"/>
      <sheetName val="Process Cert"/>
      <sheetName val="PackLabel"/>
      <sheetName val="RecordsChecklist"/>
      <sheetName val="Change Log"/>
      <sheetName val="GDT-Lexicon"/>
      <sheetName val="AQL"/>
    </sheetNames>
    <sheetDataSet>
      <sheetData sheetId="0" refreshError="1"/>
      <sheetData sheetId="1">
        <row r="2">
          <cell r="AV2" t="str">
            <v>Formulas:</v>
          </cell>
        </row>
        <row r="4">
          <cell r="AV4" t="str">
            <v>ID NUMBER</v>
          </cell>
          <cell r="AW4" t="str">
            <v>FORMULA TO COPY</v>
          </cell>
        </row>
        <row r="5">
          <cell r="AV5" t="str">
            <v>ANO1</v>
          </cell>
          <cell r="AW5" t="str">
            <v>=VLOOKUP('START HERE'!$C$8,Variables!$A$2:$AJ$500,10,FALSE)</v>
          </cell>
          <cell r="AY5" t="str">
            <v>Anodize Color</v>
          </cell>
        </row>
        <row r="6">
          <cell r="AV6" t="str">
            <v>ANO2</v>
          </cell>
          <cell r="AW6" t="str">
            <v>=VLOOKUP('START HERE'!$C$8,Variables!$A$2:$AJ$500,11,FALSE)</v>
          </cell>
          <cell r="AY6" t="str">
            <v>Anodize #</v>
          </cell>
        </row>
        <row r="7">
          <cell r="AV7" t="str">
            <v>ANO3</v>
          </cell>
          <cell r="AW7" t="str">
            <v>=VLOOKUP('START HERE'!$C$8,Variables!$A$2:$AJ$500,12,FALSE)</v>
          </cell>
          <cell r="AY7" t="str">
            <v>Open</v>
          </cell>
        </row>
        <row r="8">
          <cell r="AV8" t="str">
            <v>OL4</v>
          </cell>
          <cell r="AW8" t="str">
            <v>=VLOOKUP('START HERE'!$C$8,Variables!$A$2:$AZ$500,31,FALSE)</v>
          </cell>
        </row>
        <row r="9">
          <cell r="K9" t="str">
            <v xml:space="preserve"> </v>
          </cell>
          <cell r="L9" t="str">
            <v xml:space="preserve"> </v>
          </cell>
          <cell r="M9" t="str">
            <v xml:space="preserve"> </v>
          </cell>
          <cell r="AV9" t="str">
            <v>OL5</v>
          </cell>
          <cell r="AW9" t="str">
            <v>=VLOOKUP('START HERE'!$C$8,Variables!$A$2:$AZ$500,33,FALSE)</v>
          </cell>
        </row>
        <row r="10">
          <cell r="K10" t="str">
            <v xml:space="preserve"> </v>
          </cell>
          <cell r="L10" t="str">
            <v xml:space="preserve"> </v>
          </cell>
          <cell r="M10" t="str">
            <v xml:space="preserve"> </v>
          </cell>
          <cell r="AV10" t="str">
            <v>OL6</v>
          </cell>
          <cell r="AW10" t="str">
            <v>=VLOOKUP('START HERE'!$C$8,Variables!$A$2:$AZ$500,35,FALSE)</v>
          </cell>
        </row>
        <row r="11">
          <cell r="K11" t="str">
            <v xml:space="preserve"> </v>
          </cell>
          <cell r="L11" t="str">
            <v xml:space="preserve"> </v>
          </cell>
          <cell r="M11" t="str">
            <v xml:space="preserve"> </v>
          </cell>
          <cell r="AV11" t="str">
            <v>OL7</v>
          </cell>
          <cell r="AW11" t="str">
            <v>=VLOOKUP('START HERE'!$C$8,Variables!$A$2:$AZ$500,37,FALSE)</v>
          </cell>
        </row>
        <row r="12">
          <cell r="K12" t="str">
            <v xml:space="preserve"> </v>
          </cell>
          <cell r="L12" t="str">
            <v xml:space="preserve"> </v>
          </cell>
          <cell r="M12" t="str">
            <v xml:space="preserve"> </v>
          </cell>
          <cell r="AV12" t="str">
            <v>OL8</v>
          </cell>
          <cell r="AW12" t="str">
            <v>=VLOOKUP('START HERE'!$C$8,Variables!$A$2:$AZ$500,39,FALSE)</v>
          </cell>
        </row>
        <row r="13">
          <cell r="K13" t="str">
            <v xml:space="preserve"> </v>
          </cell>
          <cell r="L13" t="str">
            <v xml:space="preserve"> </v>
          </cell>
          <cell r="M13" t="str">
            <v xml:space="preserve"> </v>
          </cell>
          <cell r="AV13" t="str">
            <v>OL9</v>
          </cell>
          <cell r="AW13" t="str">
            <v>=VLOOKUP('START HERE'!$C$8,Variables!$A$2:$AZ$500,41,FALSE)</v>
          </cell>
        </row>
        <row r="14">
          <cell r="J14" t="str">
            <v xml:space="preserve"> </v>
          </cell>
          <cell r="K14" t="str">
            <v xml:space="preserve"> </v>
          </cell>
          <cell r="L14" t="str">
            <v xml:space="preserve"> </v>
          </cell>
          <cell r="M14" t="str">
            <v xml:space="preserve"> </v>
          </cell>
          <cell r="AV14" t="str">
            <v>Desc</v>
          </cell>
          <cell r="AW14" t="str">
            <v>=VLOOKUP('START HERE'!$C$8,Variables!$A$2:$AZ$500,43,FALSE)</v>
          </cell>
        </row>
        <row r="15">
          <cell r="J15" t="str">
            <v xml:space="preserve"> </v>
          </cell>
          <cell r="K15" t="str">
            <v xml:space="preserve"> </v>
          </cell>
          <cell r="L15" t="str">
            <v xml:space="preserve"> </v>
          </cell>
          <cell r="M15" t="str">
            <v xml:space="preserve"> </v>
          </cell>
          <cell r="AV15" t="str">
            <v>Var2</v>
          </cell>
          <cell r="AW15" t="str">
            <v>=VLOOKUP('START HERE'!$C$8,Variables!$A$2:$AZ$500,44,FALSE)</v>
          </cell>
        </row>
        <row r="16">
          <cell r="J16" t="str">
            <v xml:space="preserve"> </v>
          </cell>
          <cell r="K16" t="str">
            <v xml:space="preserve"> </v>
          </cell>
          <cell r="L16" t="str">
            <v xml:space="preserve"> </v>
          </cell>
          <cell r="M16" t="str">
            <v xml:space="preserve"> </v>
          </cell>
          <cell r="AV16" t="str">
            <v>Var3</v>
          </cell>
          <cell r="AW16" t="str">
            <v>=VLOOKUP('START HERE'!$C$8,Variables!$A$2:$AZ$500,45,FALSE)</v>
          </cell>
        </row>
        <row r="17">
          <cell r="J17" t="str">
            <v xml:space="preserve"> </v>
          </cell>
          <cell r="K17" t="str">
            <v xml:space="preserve"> </v>
          </cell>
          <cell r="L17" t="str">
            <v xml:space="preserve"> </v>
          </cell>
          <cell r="M17" t="str">
            <v xml:space="preserve"> </v>
          </cell>
          <cell r="AV17" t="str">
            <v>Var4</v>
          </cell>
          <cell r="AW17" t="str">
            <v>=VLOOKUP('START HERE'!$C$8,Variables!$A$2:$AZ$500,46,FALSE)</v>
          </cell>
        </row>
        <row r="18">
          <cell r="J18" t="str">
            <v xml:space="preserve"> </v>
          </cell>
          <cell r="K18" t="str">
            <v xml:space="preserve"> </v>
          </cell>
          <cell r="L18" t="str">
            <v xml:space="preserve"> </v>
          </cell>
          <cell r="M18" t="str">
            <v xml:space="preserve"> </v>
          </cell>
          <cell r="AV18" t="str">
            <v>PrePost Anodization Comments</v>
          </cell>
        </row>
        <row r="19">
          <cell r="J19" t="str">
            <v xml:space="preserve"> </v>
          </cell>
          <cell r="K19" t="str">
            <v xml:space="preserve"> </v>
          </cell>
          <cell r="L19" t="str">
            <v xml:space="preserve"> </v>
          </cell>
          <cell r="M19" t="str">
            <v xml:space="preserve"> </v>
          </cell>
          <cell r="AW19" t="str">
            <v>="Anodize "&amp;VLOOKUP('START HERE'!$C$8,'Variables'!$A$2:$AJ$500,10,FALSE)&amp;" per Danco# "&amp;VLOOKUP('START HERE'!$C$8,'Variables'!$A$2:$AJ$500,11,FALSE)</v>
          </cell>
        </row>
        <row r="20">
          <cell r="J20" t="str">
            <v xml:space="preserve"> </v>
          </cell>
          <cell r="K20" t="str">
            <v xml:space="preserve"> </v>
          </cell>
          <cell r="L20" t="str">
            <v xml:space="preserve"> </v>
          </cell>
          <cell r="M20" t="str">
            <v xml:space="preserve"> </v>
          </cell>
          <cell r="AW20" t="str">
            <v>Certification Required</v>
          </cell>
        </row>
        <row r="21">
          <cell r="J21" t="str">
            <v xml:space="preserve"> </v>
          </cell>
          <cell r="K21" t="str">
            <v xml:space="preserve"> </v>
          </cell>
          <cell r="L21" t="str">
            <v xml:space="preserve"> </v>
          </cell>
          <cell r="M21" t="str">
            <v xml:space="preserve"> </v>
          </cell>
        </row>
        <row r="22">
          <cell r="B22" t="str">
            <v xml:space="preserve"> </v>
          </cell>
          <cell r="C22" t="str">
            <v xml:space="preserve"> </v>
          </cell>
          <cell r="D22" t="str">
            <v xml:space="preserve"> </v>
          </cell>
          <cell r="E22" t="str">
            <v xml:space="preserve"> </v>
          </cell>
          <cell r="F22" t="str">
            <v xml:space="preserve"> </v>
          </cell>
          <cell r="G22" t="str">
            <v xml:space="preserve"> </v>
          </cell>
          <cell r="H22" t="str">
            <v xml:space="preserve"> </v>
          </cell>
          <cell r="I22" t="str">
            <v xml:space="preserve"> </v>
          </cell>
          <cell r="J22" t="str">
            <v xml:space="preserve"> </v>
          </cell>
          <cell r="K22" t="str">
            <v xml:space="preserve"> </v>
          </cell>
          <cell r="L22" t="str">
            <v xml:space="preserve"> </v>
          </cell>
          <cell r="M22" t="str">
            <v xml:space="preserve"> </v>
          </cell>
          <cell r="AV22" t="str">
            <v>Procedure:</v>
          </cell>
        </row>
        <row r="23">
          <cell r="B23" t="str">
            <v xml:space="preserve"> </v>
          </cell>
          <cell r="C23" t="str">
            <v xml:space="preserve"> </v>
          </cell>
          <cell r="D23" t="str">
            <v xml:space="preserve"> </v>
          </cell>
          <cell r="E23" t="str">
            <v xml:space="preserve"> </v>
          </cell>
          <cell r="F23" t="str">
            <v xml:space="preserve"> </v>
          </cell>
          <cell r="G23" t="str">
            <v xml:space="preserve"> </v>
          </cell>
          <cell r="H23" t="str">
            <v xml:space="preserve"> </v>
          </cell>
          <cell r="I23" t="str">
            <v xml:space="preserve"> </v>
          </cell>
          <cell r="J23" t="str">
            <v xml:space="preserve"> </v>
          </cell>
          <cell r="K23" t="str">
            <v xml:space="preserve"> </v>
          </cell>
          <cell r="L23" t="str">
            <v xml:space="preserve"> </v>
          </cell>
          <cell r="M23" t="str">
            <v xml:space="preserve"> </v>
          </cell>
          <cell r="AV23" t="str">
            <v>1. Enter all part numbers per print in column A</v>
          </cell>
        </row>
        <row r="24">
          <cell r="B24" t="str">
            <v xml:space="preserve"> </v>
          </cell>
          <cell r="C24" t="str">
            <v xml:space="preserve"> </v>
          </cell>
          <cell r="D24" t="str">
            <v xml:space="preserve"> </v>
          </cell>
          <cell r="E24" t="str">
            <v xml:space="preserve"> </v>
          </cell>
          <cell r="F24" t="str">
            <v xml:space="preserve"> </v>
          </cell>
          <cell r="G24" t="str">
            <v xml:space="preserve"> </v>
          </cell>
          <cell r="H24" t="str">
            <v xml:space="preserve"> </v>
          </cell>
          <cell r="I24" t="str">
            <v xml:space="preserve"> </v>
          </cell>
          <cell r="J24" t="str">
            <v xml:space="preserve"> </v>
          </cell>
          <cell r="K24" t="str">
            <v xml:space="preserve"> </v>
          </cell>
          <cell r="L24" t="str">
            <v xml:space="preserve"> </v>
          </cell>
          <cell r="M24" t="str">
            <v xml:space="preserve"> </v>
          </cell>
          <cell r="AV24" t="str">
            <v>2. Enter inspection criteria ,as needed, in columns labeled as follows:</v>
          </cell>
        </row>
        <row r="25">
          <cell r="B25" t="str">
            <v xml:space="preserve"> </v>
          </cell>
          <cell r="C25" t="str">
            <v xml:space="preserve"> </v>
          </cell>
          <cell r="D25" t="str">
            <v xml:space="preserve"> </v>
          </cell>
          <cell r="E25" t="str">
            <v xml:space="preserve"> </v>
          </cell>
          <cell r="F25" t="str">
            <v xml:space="preserve"> </v>
          </cell>
          <cell r="G25" t="str">
            <v xml:space="preserve"> </v>
          </cell>
          <cell r="H25" t="str">
            <v xml:space="preserve"> </v>
          </cell>
          <cell r="I25" t="str">
            <v xml:space="preserve"> </v>
          </cell>
          <cell r="J25" t="str">
            <v xml:space="preserve"> </v>
          </cell>
          <cell r="K25" t="str">
            <v xml:space="preserve"> </v>
          </cell>
          <cell r="L25" t="str">
            <v xml:space="preserve"> </v>
          </cell>
          <cell r="M25" t="str">
            <v xml:space="preserve"> </v>
          </cell>
          <cell r="AV25" t="str">
            <v>'MeasurLink Routine name'(ML1 through 8), 'Anodize Color'(ANO1), 'Anodize #'(ANO2), 'Open'(ANO3), 'KEY#####'(KEY1 through 6), 'OL#####'(OL1 through 6)</v>
          </cell>
        </row>
        <row r="26">
          <cell r="B26" t="str">
            <v xml:space="preserve"> </v>
          </cell>
          <cell r="C26" t="str">
            <v xml:space="preserve"> </v>
          </cell>
          <cell r="D26" t="str">
            <v xml:space="preserve"> </v>
          </cell>
          <cell r="E26" t="str">
            <v xml:space="preserve"> </v>
          </cell>
          <cell r="F26" t="str">
            <v xml:space="preserve"> </v>
          </cell>
          <cell r="G26" t="str">
            <v xml:space="preserve"> </v>
          </cell>
          <cell r="H26" t="str">
            <v xml:space="preserve"> </v>
          </cell>
          <cell r="I26" t="str">
            <v xml:space="preserve"> </v>
          </cell>
          <cell r="J26" t="str">
            <v xml:space="preserve"> </v>
          </cell>
          <cell r="K26" t="str">
            <v xml:space="preserve"> </v>
          </cell>
          <cell r="L26" t="str">
            <v xml:space="preserve"> </v>
          </cell>
          <cell r="M26" t="str">
            <v xml:space="preserve"> </v>
          </cell>
          <cell r="AV26" t="str">
            <v>(if no criteria exists for corresponding part #, then leave blank)</v>
          </cell>
        </row>
        <row r="27">
          <cell r="B27" t="str">
            <v xml:space="preserve"> </v>
          </cell>
          <cell r="C27" t="str">
            <v xml:space="preserve"> </v>
          </cell>
          <cell r="D27" t="str">
            <v xml:space="preserve"> </v>
          </cell>
          <cell r="E27" t="str">
            <v xml:space="preserve"> </v>
          </cell>
          <cell r="F27" t="str">
            <v xml:space="preserve"> </v>
          </cell>
          <cell r="G27" t="str">
            <v xml:space="preserve"> </v>
          </cell>
          <cell r="H27" t="str">
            <v xml:space="preserve"> </v>
          </cell>
          <cell r="I27" t="str">
            <v xml:space="preserve"> </v>
          </cell>
          <cell r="J27" t="str">
            <v xml:space="preserve"> </v>
          </cell>
          <cell r="K27" t="str">
            <v xml:space="preserve"> </v>
          </cell>
          <cell r="L27" t="str">
            <v xml:space="preserve"> </v>
          </cell>
          <cell r="M27" t="str">
            <v xml:space="preserve"> </v>
          </cell>
          <cell r="AV27" t="str">
            <v>3. Copy formula from 'FORMULA TO COPY' column, then</v>
          </cell>
        </row>
        <row r="28">
          <cell r="B28" t="str">
            <v xml:space="preserve"> </v>
          </cell>
          <cell r="C28" t="str">
            <v xml:space="preserve"> </v>
          </cell>
          <cell r="D28" t="str">
            <v xml:space="preserve"> </v>
          </cell>
          <cell r="E28" t="str">
            <v xml:space="preserve"> </v>
          </cell>
          <cell r="F28" t="str">
            <v xml:space="preserve"> </v>
          </cell>
          <cell r="G28" t="str">
            <v xml:space="preserve"> </v>
          </cell>
          <cell r="H28" t="str">
            <v xml:space="preserve"> </v>
          </cell>
          <cell r="I28" t="str">
            <v xml:space="preserve"> </v>
          </cell>
          <cell r="J28" t="str">
            <v xml:space="preserve"> </v>
          </cell>
          <cell r="K28" t="str">
            <v xml:space="preserve"> </v>
          </cell>
          <cell r="L28" t="str">
            <v xml:space="preserve"> </v>
          </cell>
          <cell r="M28" t="str">
            <v xml:space="preserve"> </v>
          </cell>
          <cell r="AV28" t="str">
            <v>paste into cell on tab where corresponding criteria is used.</v>
          </cell>
        </row>
        <row r="29">
          <cell r="B29" t="str">
            <v xml:space="preserve"> </v>
          </cell>
          <cell r="C29" t="str">
            <v xml:space="preserve"> </v>
          </cell>
          <cell r="D29" t="str">
            <v xml:space="preserve"> </v>
          </cell>
          <cell r="E29" t="str">
            <v xml:space="preserve"> </v>
          </cell>
          <cell r="F29" t="str">
            <v xml:space="preserve"> </v>
          </cell>
          <cell r="G29" t="str">
            <v xml:space="preserve"> </v>
          </cell>
          <cell r="H29" t="str">
            <v xml:space="preserve"> </v>
          </cell>
          <cell r="I29" t="str">
            <v xml:space="preserve"> </v>
          </cell>
          <cell r="J29" t="str">
            <v xml:space="preserve"> </v>
          </cell>
          <cell r="K29" t="str">
            <v xml:space="preserve"> </v>
          </cell>
          <cell r="L29" t="str">
            <v xml:space="preserve"> </v>
          </cell>
          <cell r="M29" t="str">
            <v xml:space="preserve"> </v>
          </cell>
          <cell r="AV29" t="str">
            <v>4. MUST make sure cell format is set to 'Text' where formula is copied for</v>
          </cell>
        </row>
        <row r="30">
          <cell r="B30" t="str">
            <v xml:space="preserve"> </v>
          </cell>
          <cell r="C30" t="str">
            <v xml:space="preserve"> </v>
          </cell>
          <cell r="D30" t="str">
            <v xml:space="preserve"> </v>
          </cell>
          <cell r="E30" t="str">
            <v xml:space="preserve"> </v>
          </cell>
          <cell r="F30" t="str">
            <v xml:space="preserve"> </v>
          </cell>
          <cell r="G30" t="str">
            <v xml:space="preserve"> </v>
          </cell>
          <cell r="H30" t="str">
            <v xml:space="preserve"> </v>
          </cell>
          <cell r="I30" t="str">
            <v xml:space="preserve"> </v>
          </cell>
          <cell r="J30" t="str">
            <v xml:space="preserve"> </v>
          </cell>
          <cell r="K30" t="str">
            <v xml:space="preserve"> </v>
          </cell>
          <cell r="L30" t="str">
            <v xml:space="preserve"> </v>
          </cell>
          <cell r="M30" t="str">
            <v xml:space="preserve"> </v>
          </cell>
          <cell r="AV30" t="str">
            <v>VLOOKUP to work properly.</v>
          </cell>
        </row>
        <row r="31">
          <cell r="B31" t="str">
            <v xml:space="preserve"> </v>
          </cell>
          <cell r="C31" t="str">
            <v xml:space="preserve"> </v>
          </cell>
          <cell r="D31" t="str">
            <v xml:space="preserve"> </v>
          </cell>
          <cell r="E31" t="str">
            <v xml:space="preserve"> </v>
          </cell>
          <cell r="F31" t="str">
            <v xml:space="preserve"> </v>
          </cell>
          <cell r="G31" t="str">
            <v xml:space="preserve"> </v>
          </cell>
          <cell r="H31" t="str">
            <v xml:space="preserve"> </v>
          </cell>
          <cell r="I31" t="str">
            <v xml:space="preserve"> </v>
          </cell>
          <cell r="J31" t="str">
            <v xml:space="preserve"> </v>
          </cell>
          <cell r="K31" t="str">
            <v xml:space="preserve"> </v>
          </cell>
          <cell r="L31" t="str">
            <v xml:space="preserve"> </v>
          </cell>
          <cell r="M31" t="str">
            <v xml:space="preserve"> </v>
          </cell>
        </row>
        <row r="32">
          <cell r="B32" t="str">
            <v xml:space="preserve"> </v>
          </cell>
          <cell r="C32" t="str">
            <v xml:space="preserve"> </v>
          </cell>
          <cell r="D32" t="str">
            <v xml:space="preserve"> </v>
          </cell>
          <cell r="E32" t="str">
            <v xml:space="preserve"> </v>
          </cell>
          <cell r="F32" t="str">
            <v xml:space="preserve"> </v>
          </cell>
          <cell r="G32" t="str">
            <v xml:space="preserve"> </v>
          </cell>
          <cell r="H32" t="str">
            <v xml:space="preserve"> </v>
          </cell>
          <cell r="I32" t="str">
            <v xml:space="preserve"> </v>
          </cell>
          <cell r="J32" t="str">
            <v xml:space="preserve"> </v>
          </cell>
          <cell r="K32" t="str">
            <v xml:space="preserve"> </v>
          </cell>
          <cell r="L32" t="str">
            <v xml:space="preserve"> </v>
          </cell>
          <cell r="M32" t="str">
            <v xml:space="preserve"> </v>
          </cell>
        </row>
        <row r="33">
          <cell r="B33" t="str">
            <v xml:space="preserve"> </v>
          </cell>
          <cell r="C33" t="str">
            <v xml:space="preserve"> </v>
          </cell>
          <cell r="D33" t="str">
            <v xml:space="preserve"> </v>
          </cell>
          <cell r="E33" t="str">
            <v xml:space="preserve"> </v>
          </cell>
          <cell r="F33" t="str">
            <v xml:space="preserve"> </v>
          </cell>
          <cell r="G33" t="str">
            <v xml:space="preserve"> </v>
          </cell>
          <cell r="H33" t="str">
            <v xml:space="preserve"> </v>
          </cell>
          <cell r="I33" t="str">
            <v xml:space="preserve"> </v>
          </cell>
          <cell r="J33" t="str">
            <v xml:space="preserve"> </v>
          </cell>
          <cell r="K33" t="str">
            <v xml:space="preserve"> </v>
          </cell>
          <cell r="L33" t="str">
            <v xml:space="preserve"> </v>
          </cell>
          <cell r="M33" t="str">
            <v xml:space="preserve"> </v>
          </cell>
        </row>
        <row r="34">
          <cell r="B34" t="str">
            <v xml:space="preserve"> </v>
          </cell>
          <cell r="C34" t="str">
            <v xml:space="preserve"> </v>
          </cell>
          <cell r="D34" t="str">
            <v xml:space="preserve"> </v>
          </cell>
          <cell r="E34" t="str">
            <v xml:space="preserve"> </v>
          </cell>
          <cell r="F34" t="str">
            <v xml:space="preserve"> </v>
          </cell>
          <cell r="G34" t="str">
            <v xml:space="preserve"> </v>
          </cell>
          <cell r="H34" t="str">
            <v xml:space="preserve"> </v>
          </cell>
          <cell r="I34" t="str">
            <v xml:space="preserve"> </v>
          </cell>
          <cell r="J34" t="str">
            <v xml:space="preserve"> </v>
          </cell>
          <cell r="K34" t="str">
            <v xml:space="preserve"> </v>
          </cell>
          <cell r="L34" t="str">
            <v xml:space="preserve"> </v>
          </cell>
          <cell r="M34" t="str">
            <v xml:space="preserve"> </v>
          </cell>
        </row>
        <row r="35">
          <cell r="B35" t="str">
            <v xml:space="preserve"> </v>
          </cell>
          <cell r="C35" t="str">
            <v xml:space="preserve"> </v>
          </cell>
          <cell r="D35" t="str">
            <v xml:space="preserve"> </v>
          </cell>
          <cell r="E35" t="str">
            <v xml:space="preserve"> </v>
          </cell>
          <cell r="F35" t="str">
            <v xml:space="preserve"> </v>
          </cell>
          <cell r="G35" t="str">
            <v xml:space="preserve"> </v>
          </cell>
          <cell r="H35" t="str">
            <v xml:space="preserve"> </v>
          </cell>
          <cell r="I35" t="str">
            <v xml:space="preserve"> </v>
          </cell>
          <cell r="J35" t="str">
            <v xml:space="preserve"> </v>
          </cell>
          <cell r="K35" t="str">
            <v xml:space="preserve"> </v>
          </cell>
          <cell r="L35" t="str">
            <v xml:space="preserve"> </v>
          </cell>
          <cell r="M35" t="str">
            <v xml:space="preserve"> </v>
          </cell>
        </row>
        <row r="36">
          <cell r="B36" t="str">
            <v xml:space="preserve"> </v>
          </cell>
          <cell r="C36" t="str">
            <v xml:space="preserve"> </v>
          </cell>
          <cell r="D36" t="str">
            <v xml:space="preserve"> </v>
          </cell>
          <cell r="E36" t="str">
            <v xml:space="preserve"> </v>
          </cell>
          <cell r="F36" t="str">
            <v xml:space="preserve"> </v>
          </cell>
          <cell r="G36" t="str">
            <v xml:space="preserve"> </v>
          </cell>
          <cell r="H36" t="str">
            <v xml:space="preserve"> </v>
          </cell>
          <cell r="I36" t="str">
            <v xml:space="preserve"> </v>
          </cell>
          <cell r="J36" t="str">
            <v xml:space="preserve"> </v>
          </cell>
          <cell r="K36" t="str">
            <v xml:space="preserve"> </v>
          </cell>
          <cell r="L36" t="str">
            <v xml:space="preserve"> </v>
          </cell>
          <cell r="M36" t="str">
            <v xml:space="preserve"> </v>
          </cell>
        </row>
        <row r="37">
          <cell r="B37" t="str">
            <v xml:space="preserve"> </v>
          </cell>
          <cell r="C37" t="str">
            <v xml:space="preserve"> </v>
          </cell>
          <cell r="D37" t="str">
            <v xml:space="preserve"> </v>
          </cell>
          <cell r="E37" t="str">
            <v xml:space="preserve"> </v>
          </cell>
          <cell r="F37" t="str">
            <v xml:space="preserve"> </v>
          </cell>
          <cell r="G37" t="str">
            <v xml:space="preserve"> </v>
          </cell>
          <cell r="H37" t="str">
            <v xml:space="preserve"> </v>
          </cell>
          <cell r="I37" t="str">
            <v xml:space="preserve"> </v>
          </cell>
          <cell r="J37" t="str">
            <v xml:space="preserve"> </v>
          </cell>
          <cell r="K37" t="str">
            <v xml:space="preserve"> </v>
          </cell>
          <cell r="L37" t="str">
            <v xml:space="preserve"> </v>
          </cell>
          <cell r="M37" t="str">
            <v xml:space="preserve"> </v>
          </cell>
        </row>
        <row r="38">
          <cell r="B38" t="str">
            <v xml:space="preserve"> </v>
          </cell>
          <cell r="C38" t="str">
            <v xml:space="preserve"> </v>
          </cell>
          <cell r="D38" t="str">
            <v xml:space="preserve"> </v>
          </cell>
          <cell r="E38" t="str">
            <v xml:space="preserve"> </v>
          </cell>
          <cell r="F38" t="str">
            <v xml:space="preserve"> </v>
          </cell>
          <cell r="G38" t="str">
            <v xml:space="preserve"> </v>
          </cell>
          <cell r="H38" t="str">
            <v xml:space="preserve"> </v>
          </cell>
          <cell r="I38" t="str">
            <v xml:space="preserve"> </v>
          </cell>
          <cell r="J38" t="str">
            <v xml:space="preserve"> </v>
          </cell>
          <cell r="K38" t="str">
            <v xml:space="preserve"> </v>
          </cell>
          <cell r="L38" t="str">
            <v xml:space="preserve"> </v>
          </cell>
          <cell r="M38" t="str">
            <v xml:space="preserve"> </v>
          </cell>
        </row>
        <row r="39">
          <cell r="B39" t="str">
            <v xml:space="preserve"> </v>
          </cell>
          <cell r="C39" t="str">
            <v xml:space="preserve"> </v>
          </cell>
          <cell r="D39" t="str">
            <v xml:space="preserve"> </v>
          </cell>
          <cell r="E39" t="str">
            <v xml:space="preserve"> </v>
          </cell>
          <cell r="F39" t="str">
            <v xml:space="preserve"> </v>
          </cell>
          <cell r="G39" t="str">
            <v xml:space="preserve"> </v>
          </cell>
          <cell r="H39" t="str">
            <v xml:space="preserve"> </v>
          </cell>
          <cell r="I39" t="str">
            <v xml:space="preserve"> </v>
          </cell>
          <cell r="J39" t="str">
            <v xml:space="preserve"> </v>
          </cell>
          <cell r="K39" t="str">
            <v xml:space="preserve"> </v>
          </cell>
          <cell r="L39" t="str">
            <v xml:space="preserve"> </v>
          </cell>
          <cell r="M39" t="str">
            <v xml:space="preserve"> </v>
          </cell>
        </row>
        <row r="40">
          <cell r="B40" t="str">
            <v xml:space="preserve"> </v>
          </cell>
          <cell r="C40" t="str">
            <v xml:space="preserve"> </v>
          </cell>
          <cell r="D40" t="str">
            <v xml:space="preserve"> </v>
          </cell>
          <cell r="E40" t="str">
            <v xml:space="preserve"> </v>
          </cell>
          <cell r="F40" t="str">
            <v xml:space="preserve"> </v>
          </cell>
          <cell r="G40" t="str">
            <v xml:space="preserve"> </v>
          </cell>
          <cell r="H40" t="str">
            <v xml:space="preserve"> </v>
          </cell>
          <cell r="I40" t="str">
            <v xml:space="preserve"> </v>
          </cell>
          <cell r="J40" t="str">
            <v xml:space="preserve"> </v>
          </cell>
          <cell r="K40" t="str">
            <v xml:space="preserve"> </v>
          </cell>
          <cell r="L40" t="str">
            <v xml:space="preserve"> </v>
          </cell>
          <cell r="M40" t="str">
            <v xml:space="preserve"> </v>
          </cell>
        </row>
        <row r="41">
          <cell r="B41" t="str">
            <v xml:space="preserve"> </v>
          </cell>
          <cell r="C41" t="str">
            <v xml:space="preserve"> </v>
          </cell>
          <cell r="D41" t="str">
            <v xml:space="preserve"> </v>
          </cell>
          <cell r="E41" t="str">
            <v xml:space="preserve"> </v>
          </cell>
          <cell r="F41" t="str">
            <v xml:space="preserve"> </v>
          </cell>
          <cell r="G41" t="str">
            <v xml:space="preserve"> </v>
          </cell>
          <cell r="H41" t="str">
            <v xml:space="preserve"> </v>
          </cell>
          <cell r="I41" t="str">
            <v xml:space="preserve"> </v>
          </cell>
          <cell r="J41" t="str">
            <v xml:space="preserve"> </v>
          </cell>
          <cell r="K41" t="str">
            <v xml:space="preserve"> </v>
          </cell>
          <cell r="L41" t="str">
            <v xml:space="preserve"> </v>
          </cell>
          <cell r="M41" t="str">
            <v xml:space="preserve"> </v>
          </cell>
        </row>
        <row r="42">
          <cell r="B42" t="str">
            <v xml:space="preserve"> </v>
          </cell>
          <cell r="C42" t="str">
            <v xml:space="preserve"> </v>
          </cell>
          <cell r="D42" t="str">
            <v xml:space="preserve"> </v>
          </cell>
          <cell r="E42" t="str">
            <v xml:space="preserve"> </v>
          </cell>
          <cell r="F42" t="str">
            <v xml:space="preserve"> </v>
          </cell>
          <cell r="G42" t="str">
            <v xml:space="preserve"> </v>
          </cell>
          <cell r="H42" t="str">
            <v xml:space="preserve"> </v>
          </cell>
          <cell r="I42" t="str">
            <v xml:space="preserve"> </v>
          </cell>
          <cell r="J42" t="str">
            <v xml:space="preserve"> </v>
          </cell>
          <cell r="K42" t="str">
            <v xml:space="preserve"> </v>
          </cell>
          <cell r="L42" t="str">
            <v xml:space="preserve"> </v>
          </cell>
          <cell r="M42" t="str">
            <v xml:space="preserve"> </v>
          </cell>
        </row>
        <row r="43">
          <cell r="B43" t="str">
            <v xml:space="preserve"> </v>
          </cell>
          <cell r="C43" t="str">
            <v xml:space="preserve"> </v>
          </cell>
          <cell r="D43" t="str">
            <v xml:space="preserve"> </v>
          </cell>
          <cell r="E43" t="str">
            <v xml:space="preserve"> </v>
          </cell>
          <cell r="F43" t="str">
            <v xml:space="preserve"> </v>
          </cell>
          <cell r="G43" t="str">
            <v xml:space="preserve"> </v>
          </cell>
          <cell r="H43" t="str">
            <v xml:space="preserve"> </v>
          </cell>
          <cell r="I43" t="str">
            <v xml:space="preserve"> </v>
          </cell>
          <cell r="J43" t="str">
            <v xml:space="preserve"> </v>
          </cell>
          <cell r="K43" t="str">
            <v xml:space="preserve"> </v>
          </cell>
          <cell r="L43" t="str">
            <v xml:space="preserve"> </v>
          </cell>
          <cell r="M43" t="str">
            <v xml:space="preserve"> </v>
          </cell>
        </row>
        <row r="44">
          <cell r="B44" t="str">
            <v xml:space="preserve"> </v>
          </cell>
          <cell r="C44" t="str">
            <v xml:space="preserve"> </v>
          </cell>
          <cell r="D44" t="str">
            <v xml:space="preserve"> </v>
          </cell>
          <cell r="E44" t="str">
            <v xml:space="preserve"> </v>
          </cell>
          <cell r="F44" t="str">
            <v xml:space="preserve"> </v>
          </cell>
          <cell r="G44" t="str">
            <v xml:space="preserve"> </v>
          </cell>
          <cell r="H44" t="str">
            <v xml:space="preserve"> </v>
          </cell>
          <cell r="I44" t="str">
            <v xml:space="preserve"> </v>
          </cell>
          <cell r="J44" t="str">
            <v xml:space="preserve"> </v>
          </cell>
          <cell r="K44" t="str">
            <v xml:space="preserve"> </v>
          </cell>
          <cell r="L44" t="str">
            <v xml:space="preserve"> </v>
          </cell>
          <cell r="M44" t="str">
            <v xml:space="preserve"> </v>
          </cell>
        </row>
        <row r="45">
          <cell r="B45" t="str">
            <v xml:space="preserve"> </v>
          </cell>
          <cell r="C45" t="str">
            <v xml:space="preserve"> </v>
          </cell>
          <cell r="D45" t="str">
            <v xml:space="preserve"> </v>
          </cell>
          <cell r="E45" t="str">
            <v xml:space="preserve"> </v>
          </cell>
          <cell r="F45" t="str">
            <v xml:space="preserve"> </v>
          </cell>
          <cell r="G45" t="str">
            <v xml:space="preserve"> </v>
          </cell>
          <cell r="H45" t="str">
            <v xml:space="preserve"> </v>
          </cell>
          <cell r="I45" t="str">
            <v xml:space="preserve"> </v>
          </cell>
          <cell r="J45" t="str">
            <v xml:space="preserve"> </v>
          </cell>
          <cell r="K45" t="str">
            <v xml:space="preserve"> </v>
          </cell>
          <cell r="L45" t="str">
            <v xml:space="preserve"> </v>
          </cell>
          <cell r="M45" t="str">
            <v xml:space="preserve"> </v>
          </cell>
        </row>
        <row r="46">
          <cell r="B46" t="str">
            <v xml:space="preserve"> </v>
          </cell>
          <cell r="C46" t="str">
            <v xml:space="preserve"> </v>
          </cell>
          <cell r="D46" t="str">
            <v xml:space="preserve"> </v>
          </cell>
          <cell r="E46" t="str">
            <v xml:space="preserve"> </v>
          </cell>
          <cell r="F46" t="str">
            <v xml:space="preserve"> </v>
          </cell>
          <cell r="G46" t="str">
            <v xml:space="preserve"> </v>
          </cell>
          <cell r="H46" t="str">
            <v xml:space="preserve"> </v>
          </cell>
          <cell r="I46" t="str">
            <v xml:space="preserve"> </v>
          </cell>
          <cell r="J46" t="str">
            <v xml:space="preserve"> </v>
          </cell>
          <cell r="K46" t="str">
            <v xml:space="preserve"> </v>
          </cell>
          <cell r="L46" t="str">
            <v xml:space="preserve"> </v>
          </cell>
          <cell r="M46" t="str">
            <v xml:space="preserve"> </v>
          </cell>
        </row>
        <row r="47">
          <cell r="B47" t="str">
            <v xml:space="preserve"> </v>
          </cell>
          <cell r="C47" t="str">
            <v xml:space="preserve"> </v>
          </cell>
          <cell r="D47" t="str">
            <v xml:space="preserve"> </v>
          </cell>
          <cell r="E47" t="str">
            <v xml:space="preserve"> </v>
          </cell>
          <cell r="F47" t="str">
            <v xml:space="preserve"> </v>
          </cell>
          <cell r="G47" t="str">
            <v xml:space="preserve"> </v>
          </cell>
          <cell r="H47" t="str">
            <v xml:space="preserve"> </v>
          </cell>
          <cell r="I47" t="str">
            <v xml:space="preserve"> </v>
          </cell>
          <cell r="J47" t="str">
            <v xml:space="preserve"> </v>
          </cell>
          <cell r="K47" t="str">
            <v xml:space="preserve"> </v>
          </cell>
          <cell r="L47" t="str">
            <v xml:space="preserve"> </v>
          </cell>
          <cell r="M47" t="str">
            <v xml:space="preserve"> </v>
          </cell>
        </row>
        <row r="48">
          <cell r="B48" t="str">
            <v xml:space="preserve"> </v>
          </cell>
          <cell r="C48" t="str">
            <v xml:space="preserve"> </v>
          </cell>
          <cell r="D48" t="str">
            <v xml:space="preserve"> </v>
          </cell>
          <cell r="E48" t="str">
            <v xml:space="preserve"> </v>
          </cell>
          <cell r="F48" t="str">
            <v xml:space="preserve"> </v>
          </cell>
          <cell r="G48" t="str">
            <v xml:space="preserve"> </v>
          </cell>
          <cell r="H48" t="str">
            <v xml:space="preserve"> </v>
          </cell>
          <cell r="I48" t="str">
            <v xml:space="preserve"> </v>
          </cell>
          <cell r="J48" t="str">
            <v xml:space="preserve"> </v>
          </cell>
          <cell r="K48" t="str">
            <v xml:space="preserve"> </v>
          </cell>
          <cell r="L48" t="str">
            <v xml:space="preserve"> </v>
          </cell>
          <cell r="M48" t="str">
            <v xml:space="preserve"> </v>
          </cell>
        </row>
        <row r="49">
          <cell r="B49" t="str">
            <v xml:space="preserve"> </v>
          </cell>
          <cell r="C49" t="str">
            <v xml:space="preserve"> </v>
          </cell>
          <cell r="D49" t="str">
            <v xml:space="preserve"> </v>
          </cell>
          <cell r="E49" t="str">
            <v xml:space="preserve"> </v>
          </cell>
          <cell r="F49" t="str">
            <v xml:space="preserve"> </v>
          </cell>
          <cell r="G49" t="str">
            <v xml:space="preserve"> </v>
          </cell>
          <cell r="H49" t="str">
            <v xml:space="preserve"> </v>
          </cell>
          <cell r="I49" t="str">
            <v xml:space="preserve"> </v>
          </cell>
          <cell r="J49" t="str">
            <v xml:space="preserve"> </v>
          </cell>
          <cell r="K49" t="str">
            <v xml:space="preserve"> </v>
          </cell>
          <cell r="L49" t="str">
            <v xml:space="preserve"> </v>
          </cell>
          <cell r="M49" t="str">
            <v xml:space="preserve"> </v>
          </cell>
        </row>
        <row r="50">
          <cell r="B50" t="str">
            <v xml:space="preserve"> </v>
          </cell>
          <cell r="C50" t="str">
            <v xml:space="preserve"> </v>
          </cell>
          <cell r="D50" t="str">
            <v xml:space="preserve"> </v>
          </cell>
          <cell r="E50" t="str">
            <v xml:space="preserve"> </v>
          </cell>
          <cell r="F50" t="str">
            <v xml:space="preserve"> </v>
          </cell>
          <cell r="G50" t="str">
            <v xml:space="preserve"> </v>
          </cell>
          <cell r="H50" t="str">
            <v xml:space="preserve"> </v>
          </cell>
          <cell r="I50" t="str">
            <v xml:space="preserve"> </v>
          </cell>
          <cell r="J50" t="str">
            <v xml:space="preserve"> </v>
          </cell>
          <cell r="K50" t="str">
            <v xml:space="preserve"> </v>
          </cell>
          <cell r="L50" t="str">
            <v xml:space="preserve"> </v>
          </cell>
          <cell r="M50" t="str">
            <v xml:space="preserve"> </v>
          </cell>
        </row>
        <row r="51">
          <cell r="B51" t="str">
            <v xml:space="preserve"> </v>
          </cell>
          <cell r="C51" t="str">
            <v xml:space="preserve"> </v>
          </cell>
          <cell r="D51" t="str">
            <v xml:space="preserve"> </v>
          </cell>
          <cell r="E51" t="str">
            <v xml:space="preserve"> </v>
          </cell>
          <cell r="F51" t="str">
            <v xml:space="preserve"> </v>
          </cell>
          <cell r="G51" t="str">
            <v xml:space="preserve"> </v>
          </cell>
          <cell r="H51" t="str">
            <v xml:space="preserve"> </v>
          </cell>
          <cell r="I51" t="str">
            <v xml:space="preserve"> </v>
          </cell>
          <cell r="J51" t="str">
            <v xml:space="preserve"> </v>
          </cell>
          <cell r="K51" t="str">
            <v xml:space="preserve"> </v>
          </cell>
          <cell r="L51" t="str">
            <v xml:space="preserve"> </v>
          </cell>
          <cell r="M51" t="str">
            <v xml:space="preserve"> </v>
          </cell>
        </row>
        <row r="52">
          <cell r="B52" t="str">
            <v xml:space="preserve"> </v>
          </cell>
          <cell r="C52" t="str">
            <v xml:space="preserve"> </v>
          </cell>
          <cell r="D52" t="str">
            <v xml:space="preserve"> </v>
          </cell>
          <cell r="E52" t="str">
            <v xml:space="preserve"> </v>
          </cell>
          <cell r="F52" t="str">
            <v xml:space="preserve"> </v>
          </cell>
          <cell r="G52" t="str">
            <v xml:space="preserve"> </v>
          </cell>
          <cell r="H52" t="str">
            <v xml:space="preserve"> </v>
          </cell>
          <cell r="I52" t="str">
            <v xml:space="preserve"> </v>
          </cell>
          <cell r="J52" t="str">
            <v xml:space="preserve"> </v>
          </cell>
          <cell r="K52" t="str">
            <v xml:space="preserve"> </v>
          </cell>
          <cell r="L52" t="str">
            <v xml:space="preserve"> </v>
          </cell>
          <cell r="M52" t="str">
            <v xml:space="preserve"> </v>
          </cell>
        </row>
        <row r="53">
          <cell r="B53" t="str">
            <v xml:space="preserve"> </v>
          </cell>
          <cell r="C53" t="str">
            <v xml:space="preserve"> </v>
          </cell>
          <cell r="D53" t="str">
            <v xml:space="preserve"> </v>
          </cell>
          <cell r="E53" t="str">
            <v xml:space="preserve"> </v>
          </cell>
          <cell r="F53" t="str">
            <v xml:space="preserve"> </v>
          </cell>
          <cell r="G53" t="str">
            <v xml:space="preserve"> </v>
          </cell>
          <cell r="H53" t="str">
            <v xml:space="preserve"> </v>
          </cell>
          <cell r="I53" t="str">
            <v xml:space="preserve"> </v>
          </cell>
          <cell r="J53" t="str">
            <v xml:space="preserve"> </v>
          </cell>
          <cell r="K53" t="str">
            <v xml:space="preserve"> </v>
          </cell>
          <cell r="L53" t="str">
            <v xml:space="preserve"> </v>
          </cell>
          <cell r="M53" t="str">
            <v xml:space="preserve"> </v>
          </cell>
        </row>
        <row r="54">
          <cell r="B54" t="str">
            <v xml:space="preserve"> </v>
          </cell>
          <cell r="C54" t="str">
            <v xml:space="preserve"> </v>
          </cell>
          <cell r="D54" t="str">
            <v xml:space="preserve"> </v>
          </cell>
          <cell r="E54" t="str">
            <v xml:space="preserve"> </v>
          </cell>
          <cell r="F54" t="str">
            <v xml:space="preserve"> </v>
          </cell>
          <cell r="G54" t="str">
            <v xml:space="preserve"> </v>
          </cell>
          <cell r="H54" t="str">
            <v xml:space="preserve"> </v>
          </cell>
          <cell r="I54" t="str">
            <v xml:space="preserve"> </v>
          </cell>
          <cell r="J54" t="str">
            <v xml:space="preserve"> </v>
          </cell>
          <cell r="K54" t="str">
            <v xml:space="preserve"> </v>
          </cell>
          <cell r="L54" t="str">
            <v xml:space="preserve"> </v>
          </cell>
          <cell r="M54" t="str">
            <v xml:space="preserve"> </v>
          </cell>
        </row>
        <row r="55">
          <cell r="B55" t="str">
            <v xml:space="preserve"> </v>
          </cell>
          <cell r="C55" t="str">
            <v xml:space="preserve"> </v>
          </cell>
          <cell r="D55" t="str">
            <v xml:space="preserve"> </v>
          </cell>
          <cell r="E55" t="str">
            <v xml:space="preserve"> </v>
          </cell>
          <cell r="F55" t="str">
            <v xml:space="preserve"> </v>
          </cell>
          <cell r="G55" t="str">
            <v xml:space="preserve"> </v>
          </cell>
          <cell r="H55" t="str">
            <v xml:space="preserve"> </v>
          </cell>
          <cell r="I55" t="str">
            <v xml:space="preserve"> </v>
          </cell>
          <cell r="J55" t="str">
            <v xml:space="preserve"> </v>
          </cell>
          <cell r="K55" t="str">
            <v xml:space="preserve"> </v>
          </cell>
          <cell r="L55" t="str">
            <v xml:space="preserve"> </v>
          </cell>
          <cell r="M55" t="str">
            <v xml:space="preserve"> </v>
          </cell>
        </row>
        <row r="56">
          <cell r="B56" t="str">
            <v xml:space="preserve"> </v>
          </cell>
          <cell r="C56" t="str">
            <v xml:space="preserve"> </v>
          </cell>
          <cell r="D56" t="str">
            <v xml:space="preserve"> </v>
          </cell>
          <cell r="E56" t="str">
            <v xml:space="preserve"> </v>
          </cell>
          <cell r="F56" t="str">
            <v xml:space="preserve"> </v>
          </cell>
          <cell r="G56" t="str">
            <v xml:space="preserve"> </v>
          </cell>
          <cell r="H56" t="str">
            <v xml:space="preserve"> </v>
          </cell>
          <cell r="I56" t="str">
            <v xml:space="preserve"> </v>
          </cell>
          <cell r="J56" t="str">
            <v xml:space="preserve"> </v>
          </cell>
          <cell r="K56" t="str">
            <v xml:space="preserve"> </v>
          </cell>
          <cell r="L56" t="str">
            <v xml:space="preserve"> </v>
          </cell>
          <cell r="M56" t="str">
            <v xml:space="preserve"> </v>
          </cell>
        </row>
        <row r="57">
          <cell r="B57" t="str">
            <v xml:space="preserve"> </v>
          </cell>
          <cell r="C57" t="str">
            <v xml:space="preserve"> </v>
          </cell>
          <cell r="D57" t="str">
            <v xml:space="preserve"> </v>
          </cell>
          <cell r="E57" t="str">
            <v xml:space="preserve"> </v>
          </cell>
          <cell r="F57" t="str">
            <v xml:space="preserve"> </v>
          </cell>
          <cell r="G57" t="str">
            <v xml:space="preserve"> </v>
          </cell>
          <cell r="H57" t="str">
            <v xml:space="preserve"> </v>
          </cell>
          <cell r="I57" t="str">
            <v xml:space="preserve"> </v>
          </cell>
          <cell r="J57" t="str">
            <v xml:space="preserve"> </v>
          </cell>
          <cell r="K57" t="str">
            <v xml:space="preserve"> </v>
          </cell>
          <cell r="L57" t="str">
            <v xml:space="preserve"> </v>
          </cell>
          <cell r="M57" t="str">
            <v xml:space="preserve"> </v>
          </cell>
        </row>
        <row r="58">
          <cell r="B58" t="str">
            <v xml:space="preserve"> </v>
          </cell>
          <cell r="C58" t="str">
            <v xml:space="preserve"> </v>
          </cell>
          <cell r="D58" t="str">
            <v xml:space="preserve"> </v>
          </cell>
          <cell r="E58" t="str">
            <v xml:space="preserve"> </v>
          </cell>
          <cell r="F58" t="str">
            <v xml:space="preserve"> </v>
          </cell>
          <cell r="G58" t="str">
            <v xml:space="preserve"> </v>
          </cell>
          <cell r="H58" t="str">
            <v xml:space="preserve"> </v>
          </cell>
          <cell r="I58" t="str">
            <v xml:space="preserve"> </v>
          </cell>
          <cell r="J58" t="str">
            <v xml:space="preserve"> </v>
          </cell>
          <cell r="K58" t="str">
            <v xml:space="preserve"> </v>
          </cell>
          <cell r="L58" t="str">
            <v xml:space="preserve"> </v>
          </cell>
          <cell r="M58" t="str">
            <v xml:space="preserve"> </v>
          </cell>
        </row>
        <row r="59">
          <cell r="B59" t="str">
            <v xml:space="preserve"> </v>
          </cell>
          <cell r="C59" t="str">
            <v xml:space="preserve"> </v>
          </cell>
          <cell r="D59" t="str">
            <v xml:space="preserve"> </v>
          </cell>
          <cell r="E59" t="str">
            <v xml:space="preserve"> </v>
          </cell>
          <cell r="F59" t="str">
            <v xml:space="preserve"> </v>
          </cell>
          <cell r="G59" t="str">
            <v xml:space="preserve"> </v>
          </cell>
          <cell r="H59" t="str">
            <v xml:space="preserve"> </v>
          </cell>
          <cell r="I59" t="str">
            <v xml:space="preserve"> </v>
          </cell>
          <cell r="J59" t="str">
            <v xml:space="preserve"> </v>
          </cell>
          <cell r="K59" t="str">
            <v xml:space="preserve"> </v>
          </cell>
          <cell r="L59" t="str">
            <v xml:space="preserve"> </v>
          </cell>
          <cell r="M59" t="str">
            <v xml:space="preserve"> </v>
          </cell>
        </row>
        <row r="60">
          <cell r="B60" t="str">
            <v xml:space="preserve"> </v>
          </cell>
          <cell r="C60" t="str">
            <v xml:space="preserve"> </v>
          </cell>
          <cell r="D60" t="str">
            <v xml:space="preserve"> </v>
          </cell>
          <cell r="E60" t="str">
            <v xml:space="preserve"> </v>
          </cell>
          <cell r="F60" t="str">
            <v xml:space="preserve"> </v>
          </cell>
          <cell r="G60" t="str">
            <v xml:space="preserve"> </v>
          </cell>
          <cell r="H60" t="str">
            <v xml:space="preserve"> </v>
          </cell>
          <cell r="I60" t="str">
            <v xml:space="preserve"> </v>
          </cell>
          <cell r="J60" t="str">
            <v xml:space="preserve"> </v>
          </cell>
          <cell r="K60" t="str">
            <v xml:space="preserve"> </v>
          </cell>
          <cell r="L60" t="str">
            <v xml:space="preserve"> </v>
          </cell>
          <cell r="M60" t="str">
            <v xml:space="preserve"> </v>
          </cell>
        </row>
        <row r="61">
          <cell r="B61" t="str">
            <v xml:space="preserve"> </v>
          </cell>
          <cell r="C61" t="str">
            <v xml:space="preserve"> </v>
          </cell>
          <cell r="D61" t="str">
            <v xml:space="preserve"> </v>
          </cell>
          <cell r="E61" t="str">
            <v xml:space="preserve"> </v>
          </cell>
          <cell r="F61" t="str">
            <v xml:space="preserve"> </v>
          </cell>
          <cell r="G61" t="str">
            <v xml:space="preserve"> </v>
          </cell>
          <cell r="H61" t="str">
            <v xml:space="preserve"> </v>
          </cell>
          <cell r="I61" t="str">
            <v xml:space="preserve"> </v>
          </cell>
          <cell r="J61" t="str">
            <v xml:space="preserve"> </v>
          </cell>
          <cell r="K61" t="str">
            <v xml:space="preserve"> </v>
          </cell>
          <cell r="L61" t="str">
            <v xml:space="preserve"> </v>
          </cell>
          <cell r="M61" t="str">
            <v xml:space="preserve"> </v>
          </cell>
        </row>
        <row r="62">
          <cell r="B62" t="str">
            <v xml:space="preserve"> </v>
          </cell>
          <cell r="C62" t="str">
            <v xml:space="preserve"> </v>
          </cell>
          <cell r="D62" t="str">
            <v xml:space="preserve"> </v>
          </cell>
          <cell r="E62" t="str">
            <v xml:space="preserve"> </v>
          </cell>
          <cell r="F62" t="str">
            <v xml:space="preserve"> </v>
          </cell>
          <cell r="G62" t="str">
            <v xml:space="preserve"> </v>
          </cell>
          <cell r="H62" t="str">
            <v xml:space="preserve"> </v>
          </cell>
          <cell r="I62" t="str">
            <v xml:space="preserve"> </v>
          </cell>
          <cell r="J62" t="str">
            <v xml:space="preserve"> </v>
          </cell>
          <cell r="K62" t="str">
            <v xml:space="preserve"> </v>
          </cell>
          <cell r="L62" t="str">
            <v xml:space="preserve"> </v>
          </cell>
          <cell r="M62" t="str">
            <v xml:space="preserve"> </v>
          </cell>
        </row>
        <row r="63">
          <cell r="B63" t="str">
            <v xml:space="preserve"> </v>
          </cell>
          <cell r="C63" t="str">
            <v xml:space="preserve"> </v>
          </cell>
          <cell r="D63" t="str">
            <v xml:space="preserve"> </v>
          </cell>
          <cell r="E63" t="str">
            <v xml:space="preserve"> </v>
          </cell>
          <cell r="F63" t="str">
            <v xml:space="preserve"> </v>
          </cell>
          <cell r="G63" t="str">
            <v xml:space="preserve"> </v>
          </cell>
          <cell r="H63" t="str">
            <v xml:space="preserve"> </v>
          </cell>
          <cell r="I63" t="str">
            <v xml:space="preserve"> </v>
          </cell>
          <cell r="J63" t="str">
            <v xml:space="preserve"> </v>
          </cell>
          <cell r="K63" t="str">
            <v xml:space="preserve"> </v>
          </cell>
          <cell r="L63" t="str">
            <v xml:space="preserve"> </v>
          </cell>
          <cell r="M63" t="str">
            <v xml:space="preserve"> </v>
          </cell>
        </row>
        <row r="64">
          <cell r="B64" t="str">
            <v xml:space="preserve"> </v>
          </cell>
          <cell r="C64" t="str">
            <v xml:space="preserve"> </v>
          </cell>
          <cell r="D64" t="str">
            <v xml:space="preserve"> </v>
          </cell>
          <cell r="E64" t="str">
            <v xml:space="preserve"> </v>
          </cell>
          <cell r="F64" t="str">
            <v xml:space="preserve"> </v>
          </cell>
          <cell r="G64" t="str">
            <v xml:space="preserve"> </v>
          </cell>
          <cell r="H64" t="str">
            <v xml:space="preserve"> </v>
          </cell>
          <cell r="I64" t="str">
            <v xml:space="preserve"> </v>
          </cell>
          <cell r="J64" t="str">
            <v xml:space="preserve"> </v>
          </cell>
          <cell r="K64" t="str">
            <v xml:space="preserve"> </v>
          </cell>
          <cell r="L64" t="str">
            <v xml:space="preserve"> </v>
          </cell>
          <cell r="M64" t="str">
            <v xml:space="preserve"> </v>
          </cell>
        </row>
        <row r="65">
          <cell r="B65" t="str">
            <v xml:space="preserve"> </v>
          </cell>
          <cell r="C65" t="str">
            <v xml:space="preserve"> </v>
          </cell>
          <cell r="D65" t="str">
            <v xml:space="preserve"> </v>
          </cell>
          <cell r="E65" t="str">
            <v xml:space="preserve"> </v>
          </cell>
          <cell r="F65" t="str">
            <v xml:space="preserve"> </v>
          </cell>
          <cell r="G65" t="str">
            <v xml:space="preserve"> </v>
          </cell>
          <cell r="H65" t="str">
            <v xml:space="preserve"> </v>
          </cell>
          <cell r="I65" t="str">
            <v xml:space="preserve"> </v>
          </cell>
          <cell r="J65" t="str">
            <v xml:space="preserve"> </v>
          </cell>
          <cell r="K65" t="str">
            <v xml:space="preserve"> </v>
          </cell>
          <cell r="L65" t="str">
            <v xml:space="preserve"> </v>
          </cell>
          <cell r="M65" t="str">
            <v xml:space="preserve"> </v>
          </cell>
        </row>
        <row r="66">
          <cell r="B66" t="str">
            <v xml:space="preserve"> </v>
          </cell>
          <cell r="C66" t="str">
            <v xml:space="preserve"> </v>
          </cell>
          <cell r="D66" t="str">
            <v xml:space="preserve"> </v>
          </cell>
          <cell r="E66" t="str">
            <v xml:space="preserve"> </v>
          </cell>
          <cell r="F66" t="str">
            <v xml:space="preserve"> </v>
          </cell>
          <cell r="G66" t="str">
            <v xml:space="preserve"> </v>
          </cell>
          <cell r="H66" t="str">
            <v xml:space="preserve"> </v>
          </cell>
          <cell r="I66" t="str">
            <v xml:space="preserve"> </v>
          </cell>
          <cell r="J66" t="str">
            <v xml:space="preserve"> </v>
          </cell>
          <cell r="K66" t="str">
            <v xml:space="preserve"> </v>
          </cell>
          <cell r="L66" t="str">
            <v xml:space="preserve"> </v>
          </cell>
          <cell r="M66" t="str">
            <v xml:space="preserve"> </v>
          </cell>
        </row>
        <row r="67">
          <cell r="B67" t="str">
            <v xml:space="preserve"> </v>
          </cell>
          <cell r="C67" t="str">
            <v xml:space="preserve"> </v>
          </cell>
          <cell r="D67" t="str">
            <v xml:space="preserve"> </v>
          </cell>
          <cell r="E67" t="str">
            <v xml:space="preserve"> </v>
          </cell>
          <cell r="F67" t="str">
            <v xml:space="preserve"> </v>
          </cell>
          <cell r="G67" t="str">
            <v xml:space="preserve"> </v>
          </cell>
          <cell r="H67" t="str">
            <v xml:space="preserve"> </v>
          </cell>
          <cell r="I67" t="str">
            <v xml:space="preserve"> </v>
          </cell>
          <cell r="J67" t="str">
            <v xml:space="preserve"> </v>
          </cell>
          <cell r="K67" t="str">
            <v xml:space="preserve"> </v>
          </cell>
          <cell r="L67" t="str">
            <v xml:space="preserve"> </v>
          </cell>
          <cell r="M67" t="str">
            <v xml:space="preserve"> </v>
          </cell>
        </row>
        <row r="68">
          <cell r="B68" t="str">
            <v xml:space="preserve"> </v>
          </cell>
          <cell r="C68" t="str">
            <v xml:space="preserve"> </v>
          </cell>
          <cell r="D68" t="str">
            <v xml:space="preserve"> </v>
          </cell>
          <cell r="E68" t="str">
            <v xml:space="preserve"> </v>
          </cell>
          <cell r="F68" t="str">
            <v xml:space="preserve"> </v>
          </cell>
          <cell r="G68" t="str">
            <v xml:space="preserve"> </v>
          </cell>
          <cell r="H68" t="str">
            <v xml:space="preserve"> </v>
          </cell>
          <cell r="I68" t="str">
            <v xml:space="preserve"> </v>
          </cell>
          <cell r="J68" t="str">
            <v xml:space="preserve"> </v>
          </cell>
          <cell r="K68" t="str">
            <v xml:space="preserve"> </v>
          </cell>
          <cell r="L68" t="str">
            <v xml:space="preserve"> </v>
          </cell>
          <cell r="M68" t="str">
            <v xml:space="preserve"> </v>
          </cell>
        </row>
        <row r="69">
          <cell r="B69" t="str">
            <v xml:space="preserve"> </v>
          </cell>
          <cell r="C69" t="str">
            <v xml:space="preserve"> </v>
          </cell>
          <cell r="D69" t="str">
            <v xml:space="preserve"> </v>
          </cell>
          <cell r="E69" t="str">
            <v xml:space="preserve"> </v>
          </cell>
          <cell r="F69" t="str">
            <v xml:space="preserve"> </v>
          </cell>
          <cell r="G69" t="str">
            <v xml:space="preserve"> </v>
          </cell>
          <cell r="H69" t="str">
            <v xml:space="preserve"> </v>
          </cell>
          <cell r="I69" t="str">
            <v xml:space="preserve"> </v>
          </cell>
          <cell r="J69" t="str">
            <v xml:space="preserve"> </v>
          </cell>
          <cell r="K69" t="str">
            <v xml:space="preserve"> </v>
          </cell>
          <cell r="L69" t="str">
            <v xml:space="preserve"> </v>
          </cell>
          <cell r="M69" t="str">
            <v xml:space="preserve"> </v>
          </cell>
        </row>
        <row r="70">
          <cell r="B70" t="str">
            <v xml:space="preserve"> </v>
          </cell>
          <cell r="C70" t="str">
            <v xml:space="preserve"> </v>
          </cell>
          <cell r="D70" t="str">
            <v xml:space="preserve"> </v>
          </cell>
          <cell r="E70" t="str">
            <v xml:space="preserve"> </v>
          </cell>
          <cell r="F70" t="str">
            <v xml:space="preserve"> </v>
          </cell>
          <cell r="G70" t="str">
            <v xml:space="preserve"> </v>
          </cell>
          <cell r="H70" t="str">
            <v xml:space="preserve"> </v>
          </cell>
          <cell r="I70" t="str">
            <v xml:space="preserve"> </v>
          </cell>
          <cell r="J70" t="str">
            <v xml:space="preserve"> </v>
          </cell>
          <cell r="K70" t="str">
            <v xml:space="preserve"> </v>
          </cell>
          <cell r="L70" t="str">
            <v xml:space="preserve"> </v>
          </cell>
          <cell r="M70" t="str">
            <v xml:space="preserve"> </v>
          </cell>
        </row>
        <row r="71">
          <cell r="B71" t="str">
            <v xml:space="preserve"> </v>
          </cell>
          <cell r="C71" t="str">
            <v xml:space="preserve"> </v>
          </cell>
          <cell r="D71" t="str">
            <v xml:space="preserve"> </v>
          </cell>
          <cell r="E71" t="str">
            <v xml:space="preserve"> </v>
          </cell>
          <cell r="F71" t="str">
            <v xml:space="preserve"> </v>
          </cell>
          <cell r="G71" t="str">
            <v xml:space="preserve"> </v>
          </cell>
          <cell r="H71" t="str">
            <v xml:space="preserve"> </v>
          </cell>
          <cell r="I71" t="str">
            <v xml:space="preserve"> </v>
          </cell>
          <cell r="J71" t="str">
            <v xml:space="preserve"> </v>
          </cell>
          <cell r="K71" t="str">
            <v xml:space="preserve"> </v>
          </cell>
          <cell r="L71" t="str">
            <v xml:space="preserve"> </v>
          </cell>
          <cell r="M71" t="str">
            <v xml:space="preserve"> </v>
          </cell>
        </row>
        <row r="72">
          <cell r="B72" t="str">
            <v xml:space="preserve"> </v>
          </cell>
          <cell r="C72" t="str">
            <v xml:space="preserve"> </v>
          </cell>
          <cell r="D72" t="str">
            <v xml:space="preserve"> </v>
          </cell>
          <cell r="E72" t="str">
            <v xml:space="preserve"> </v>
          </cell>
          <cell r="F72" t="str">
            <v xml:space="preserve"> </v>
          </cell>
          <cell r="G72" t="str">
            <v xml:space="preserve"> </v>
          </cell>
          <cell r="H72" t="str">
            <v xml:space="preserve"> </v>
          </cell>
          <cell r="I72" t="str">
            <v xml:space="preserve"> </v>
          </cell>
          <cell r="J72" t="str">
            <v xml:space="preserve"> </v>
          </cell>
          <cell r="K72" t="str">
            <v xml:space="preserve"> </v>
          </cell>
          <cell r="L72" t="str">
            <v xml:space="preserve"> </v>
          </cell>
          <cell r="M72" t="str">
            <v xml:space="preserve"> </v>
          </cell>
        </row>
        <row r="73">
          <cell r="B73" t="str">
            <v xml:space="preserve"> </v>
          </cell>
          <cell r="C73" t="str">
            <v xml:space="preserve"> </v>
          </cell>
          <cell r="D73" t="str">
            <v xml:space="preserve"> </v>
          </cell>
          <cell r="E73" t="str">
            <v xml:space="preserve"> </v>
          </cell>
          <cell r="F73" t="str">
            <v xml:space="preserve"> </v>
          </cell>
          <cell r="G73" t="str">
            <v xml:space="preserve"> </v>
          </cell>
          <cell r="H73" t="str">
            <v xml:space="preserve"> </v>
          </cell>
          <cell r="I73" t="str">
            <v xml:space="preserve"> </v>
          </cell>
          <cell r="J73" t="str">
            <v xml:space="preserve"> </v>
          </cell>
          <cell r="K73" t="str">
            <v xml:space="preserve"> </v>
          </cell>
          <cell r="L73" t="str">
            <v xml:space="preserve"> </v>
          </cell>
          <cell r="M73" t="str">
            <v xml:space="preserve"> </v>
          </cell>
        </row>
        <row r="74">
          <cell r="B74" t="str">
            <v xml:space="preserve"> </v>
          </cell>
          <cell r="C74" t="str">
            <v xml:space="preserve"> </v>
          </cell>
          <cell r="D74" t="str">
            <v xml:space="preserve"> </v>
          </cell>
          <cell r="E74" t="str">
            <v xml:space="preserve"> </v>
          </cell>
          <cell r="F74" t="str">
            <v xml:space="preserve"> </v>
          </cell>
          <cell r="G74" t="str">
            <v xml:space="preserve"> </v>
          </cell>
          <cell r="H74" t="str">
            <v xml:space="preserve"> </v>
          </cell>
          <cell r="I74" t="str">
            <v xml:space="preserve"> </v>
          </cell>
          <cell r="J74" t="str">
            <v xml:space="preserve"> </v>
          </cell>
          <cell r="K74" t="str">
            <v xml:space="preserve"> </v>
          </cell>
          <cell r="L74" t="str">
            <v xml:space="preserve"> </v>
          </cell>
          <cell r="M74" t="str">
            <v xml:space="preserve"> </v>
          </cell>
        </row>
        <row r="75">
          <cell r="B75" t="str">
            <v xml:space="preserve"> </v>
          </cell>
          <cell r="C75" t="str">
            <v xml:space="preserve"> </v>
          </cell>
          <cell r="D75" t="str">
            <v xml:space="preserve"> </v>
          </cell>
          <cell r="E75" t="str">
            <v xml:space="preserve"> </v>
          </cell>
          <cell r="F75" t="str">
            <v xml:space="preserve"> </v>
          </cell>
          <cell r="G75" t="str">
            <v xml:space="preserve"> </v>
          </cell>
          <cell r="H75" t="str">
            <v xml:space="preserve"> </v>
          </cell>
          <cell r="I75" t="str">
            <v xml:space="preserve"> </v>
          </cell>
          <cell r="J75" t="str">
            <v xml:space="preserve"> </v>
          </cell>
          <cell r="K75" t="str">
            <v xml:space="preserve"> </v>
          </cell>
          <cell r="L75" t="str">
            <v xml:space="preserve"> </v>
          </cell>
          <cell r="M75" t="str">
            <v xml:space="preserve"> </v>
          </cell>
        </row>
        <row r="76">
          <cell r="B76" t="str">
            <v xml:space="preserve"> </v>
          </cell>
          <cell r="C76" t="str">
            <v xml:space="preserve"> </v>
          </cell>
          <cell r="D76" t="str">
            <v xml:space="preserve"> </v>
          </cell>
          <cell r="E76" t="str">
            <v xml:space="preserve"> </v>
          </cell>
          <cell r="F76" t="str">
            <v xml:space="preserve"> </v>
          </cell>
          <cell r="G76" t="str">
            <v xml:space="preserve"> </v>
          </cell>
          <cell r="H76" t="str">
            <v xml:space="preserve"> </v>
          </cell>
          <cell r="I76" t="str">
            <v xml:space="preserve"> </v>
          </cell>
          <cell r="J76" t="str">
            <v xml:space="preserve"> </v>
          </cell>
          <cell r="K76" t="str">
            <v xml:space="preserve"> </v>
          </cell>
          <cell r="L76" t="str">
            <v xml:space="preserve"> </v>
          </cell>
          <cell r="M76" t="str">
            <v xml:space="preserve"> </v>
          </cell>
        </row>
        <row r="77">
          <cell r="B77" t="str">
            <v xml:space="preserve"> </v>
          </cell>
          <cell r="C77" t="str">
            <v xml:space="preserve"> </v>
          </cell>
          <cell r="D77" t="str">
            <v xml:space="preserve"> </v>
          </cell>
          <cell r="E77" t="str">
            <v xml:space="preserve"> </v>
          </cell>
          <cell r="F77" t="str">
            <v xml:space="preserve"> </v>
          </cell>
          <cell r="G77" t="str">
            <v xml:space="preserve"> </v>
          </cell>
          <cell r="H77" t="str">
            <v xml:space="preserve"> </v>
          </cell>
          <cell r="I77" t="str">
            <v xml:space="preserve"> </v>
          </cell>
          <cell r="J77" t="str">
            <v xml:space="preserve"> </v>
          </cell>
          <cell r="K77" t="str">
            <v xml:space="preserve"> </v>
          </cell>
          <cell r="L77" t="str">
            <v xml:space="preserve"> </v>
          </cell>
          <cell r="M77" t="str">
            <v xml:space="preserve"> </v>
          </cell>
        </row>
        <row r="78">
          <cell r="B78" t="str">
            <v xml:space="preserve"> </v>
          </cell>
          <cell r="C78" t="str">
            <v xml:space="preserve"> </v>
          </cell>
          <cell r="D78" t="str">
            <v xml:space="preserve"> </v>
          </cell>
          <cell r="E78" t="str">
            <v xml:space="preserve"> </v>
          </cell>
          <cell r="F78" t="str">
            <v xml:space="preserve"> </v>
          </cell>
          <cell r="G78" t="str">
            <v xml:space="preserve"> </v>
          </cell>
          <cell r="H78" t="str">
            <v xml:space="preserve"> </v>
          </cell>
          <cell r="I78" t="str">
            <v xml:space="preserve"> </v>
          </cell>
          <cell r="J78" t="str">
            <v xml:space="preserve"> </v>
          </cell>
          <cell r="K78" t="str">
            <v xml:space="preserve"> </v>
          </cell>
          <cell r="L78" t="str">
            <v xml:space="preserve"> </v>
          </cell>
          <cell r="M78" t="str">
            <v xml:space="preserve"> </v>
          </cell>
        </row>
        <row r="79">
          <cell r="B79" t="str">
            <v xml:space="preserve"> </v>
          </cell>
          <cell r="C79" t="str">
            <v xml:space="preserve"> </v>
          </cell>
          <cell r="D79" t="str">
            <v xml:space="preserve"> </v>
          </cell>
          <cell r="E79" t="str">
            <v xml:space="preserve"> </v>
          </cell>
          <cell r="F79" t="str">
            <v xml:space="preserve"> </v>
          </cell>
          <cell r="G79" t="str">
            <v xml:space="preserve"> </v>
          </cell>
          <cell r="H79" t="str">
            <v xml:space="preserve"> </v>
          </cell>
          <cell r="I79" t="str">
            <v xml:space="preserve"> </v>
          </cell>
          <cell r="J79" t="str">
            <v xml:space="preserve"> </v>
          </cell>
          <cell r="K79" t="str">
            <v xml:space="preserve"> </v>
          </cell>
          <cell r="L79" t="str">
            <v xml:space="preserve"> </v>
          </cell>
          <cell r="M79" t="str">
            <v xml:space="preserve"> </v>
          </cell>
        </row>
        <row r="80">
          <cell r="B80" t="str">
            <v xml:space="preserve"> </v>
          </cell>
          <cell r="C80" t="str">
            <v xml:space="preserve"> </v>
          </cell>
          <cell r="D80" t="str">
            <v xml:space="preserve"> </v>
          </cell>
          <cell r="E80" t="str">
            <v xml:space="preserve"> </v>
          </cell>
          <cell r="F80" t="str">
            <v xml:space="preserve"> </v>
          </cell>
          <cell r="G80" t="str">
            <v xml:space="preserve"> </v>
          </cell>
          <cell r="H80" t="str">
            <v xml:space="preserve"> </v>
          </cell>
          <cell r="I80" t="str">
            <v xml:space="preserve"> </v>
          </cell>
          <cell r="J80" t="str">
            <v xml:space="preserve"> </v>
          </cell>
          <cell r="K80" t="str">
            <v xml:space="preserve"> </v>
          </cell>
          <cell r="L80" t="str">
            <v xml:space="preserve"> </v>
          </cell>
          <cell r="M80" t="str">
            <v xml:space="preserve"> </v>
          </cell>
        </row>
        <row r="81">
          <cell r="B81" t="str">
            <v xml:space="preserve"> </v>
          </cell>
          <cell r="C81" t="str">
            <v xml:space="preserve"> </v>
          </cell>
          <cell r="D81" t="str">
            <v xml:space="preserve"> </v>
          </cell>
          <cell r="E81" t="str">
            <v xml:space="preserve"> </v>
          </cell>
          <cell r="F81" t="str">
            <v xml:space="preserve"> </v>
          </cell>
          <cell r="G81" t="str">
            <v xml:space="preserve"> </v>
          </cell>
          <cell r="H81" t="str">
            <v xml:space="preserve"> </v>
          </cell>
          <cell r="I81" t="str">
            <v xml:space="preserve"> </v>
          </cell>
          <cell r="J81" t="str">
            <v xml:space="preserve"> </v>
          </cell>
          <cell r="K81" t="str">
            <v xml:space="preserve"> </v>
          </cell>
          <cell r="L81" t="str">
            <v xml:space="preserve"> </v>
          </cell>
          <cell r="M81" t="str">
            <v xml:space="preserve"> </v>
          </cell>
        </row>
        <row r="82">
          <cell r="B82" t="str">
            <v xml:space="preserve"> </v>
          </cell>
          <cell r="C82" t="str">
            <v xml:space="preserve"> </v>
          </cell>
          <cell r="D82" t="str">
            <v xml:space="preserve"> </v>
          </cell>
          <cell r="E82" t="str">
            <v xml:space="preserve"> </v>
          </cell>
          <cell r="F82" t="str">
            <v xml:space="preserve"> </v>
          </cell>
          <cell r="G82" t="str">
            <v xml:space="preserve"> </v>
          </cell>
          <cell r="H82" t="str">
            <v xml:space="preserve"> </v>
          </cell>
          <cell r="I82" t="str">
            <v xml:space="preserve"> </v>
          </cell>
          <cell r="J82" t="str">
            <v xml:space="preserve"> </v>
          </cell>
          <cell r="K82" t="str">
            <v xml:space="preserve"> </v>
          </cell>
          <cell r="L82" t="str">
            <v xml:space="preserve"> </v>
          </cell>
          <cell r="M82" t="str">
            <v xml:space="preserve"> </v>
          </cell>
        </row>
        <row r="83">
          <cell r="B83" t="str">
            <v xml:space="preserve"> </v>
          </cell>
          <cell r="C83" t="str">
            <v xml:space="preserve"> </v>
          </cell>
          <cell r="D83" t="str">
            <v xml:space="preserve"> </v>
          </cell>
          <cell r="E83" t="str">
            <v xml:space="preserve"> </v>
          </cell>
          <cell r="F83" t="str">
            <v xml:space="preserve"> </v>
          </cell>
          <cell r="G83" t="str">
            <v xml:space="preserve"> </v>
          </cell>
          <cell r="H83" t="str">
            <v xml:space="preserve"> </v>
          </cell>
          <cell r="I83" t="str">
            <v xml:space="preserve"> </v>
          </cell>
          <cell r="J83" t="str">
            <v xml:space="preserve"> </v>
          </cell>
          <cell r="K83" t="str">
            <v xml:space="preserve"> </v>
          </cell>
          <cell r="L83" t="str">
            <v xml:space="preserve"> </v>
          </cell>
          <cell r="M83" t="str">
            <v xml:space="preserve"> </v>
          </cell>
        </row>
        <row r="84">
          <cell r="B84" t="str">
            <v xml:space="preserve"> </v>
          </cell>
          <cell r="C84" t="str">
            <v xml:space="preserve"> </v>
          </cell>
          <cell r="D84" t="str">
            <v xml:space="preserve"> </v>
          </cell>
          <cell r="E84" t="str">
            <v xml:space="preserve"> </v>
          </cell>
          <cell r="F84" t="str">
            <v xml:space="preserve"> </v>
          </cell>
          <cell r="G84" t="str">
            <v xml:space="preserve"> </v>
          </cell>
          <cell r="H84" t="str">
            <v xml:space="preserve"> </v>
          </cell>
          <cell r="I84" t="str">
            <v xml:space="preserve"> </v>
          </cell>
          <cell r="J84" t="str">
            <v xml:space="preserve"> </v>
          </cell>
          <cell r="K84" t="str">
            <v xml:space="preserve"> </v>
          </cell>
          <cell r="L84" t="str">
            <v xml:space="preserve"> </v>
          </cell>
          <cell r="M84" t="str">
            <v xml:space="preserve"> </v>
          </cell>
        </row>
        <row r="85">
          <cell r="B85" t="str">
            <v xml:space="preserve"> </v>
          </cell>
          <cell r="C85" t="str">
            <v xml:space="preserve"> </v>
          </cell>
          <cell r="D85" t="str">
            <v xml:space="preserve"> </v>
          </cell>
          <cell r="E85" t="str">
            <v xml:space="preserve"> </v>
          </cell>
          <cell r="F85" t="str">
            <v xml:space="preserve"> </v>
          </cell>
          <cell r="G85" t="str">
            <v xml:space="preserve"> </v>
          </cell>
          <cell r="H85" t="str">
            <v xml:space="preserve"> </v>
          </cell>
          <cell r="I85" t="str">
            <v xml:space="preserve"> </v>
          </cell>
          <cell r="J85" t="str">
            <v xml:space="preserve"> </v>
          </cell>
          <cell r="K85" t="str">
            <v xml:space="preserve"> </v>
          </cell>
          <cell r="L85" t="str">
            <v xml:space="preserve"> </v>
          </cell>
          <cell r="M85" t="str">
            <v xml:space="preserve"> </v>
          </cell>
        </row>
        <row r="86">
          <cell r="B86" t="str">
            <v xml:space="preserve"> </v>
          </cell>
          <cell r="C86" t="str">
            <v xml:space="preserve"> </v>
          </cell>
          <cell r="D86" t="str">
            <v xml:space="preserve"> </v>
          </cell>
          <cell r="E86" t="str">
            <v xml:space="preserve"> </v>
          </cell>
          <cell r="F86" t="str">
            <v xml:space="preserve"> </v>
          </cell>
          <cell r="G86" t="str">
            <v xml:space="preserve"> </v>
          </cell>
          <cell r="H86" t="str">
            <v xml:space="preserve"> </v>
          </cell>
          <cell r="I86" t="str">
            <v xml:space="preserve"> </v>
          </cell>
          <cell r="J86" t="str">
            <v xml:space="preserve"> </v>
          </cell>
          <cell r="K86" t="str">
            <v xml:space="preserve"> </v>
          </cell>
          <cell r="L86" t="str">
            <v xml:space="preserve"> </v>
          </cell>
          <cell r="M86" t="str">
            <v xml:space="preserve"> </v>
          </cell>
        </row>
        <row r="87">
          <cell r="B87" t="str">
            <v xml:space="preserve"> </v>
          </cell>
          <cell r="C87" t="str">
            <v xml:space="preserve"> </v>
          </cell>
          <cell r="D87" t="str">
            <v xml:space="preserve"> </v>
          </cell>
          <cell r="E87" t="str">
            <v xml:space="preserve"> </v>
          </cell>
          <cell r="F87" t="str">
            <v xml:space="preserve"> </v>
          </cell>
          <cell r="G87" t="str">
            <v xml:space="preserve"> </v>
          </cell>
          <cell r="H87" t="str">
            <v xml:space="preserve"> </v>
          </cell>
          <cell r="I87" t="str">
            <v xml:space="preserve"> </v>
          </cell>
          <cell r="J87" t="str">
            <v xml:space="preserve"> </v>
          </cell>
          <cell r="K87" t="str">
            <v xml:space="preserve"> </v>
          </cell>
          <cell r="L87" t="str">
            <v xml:space="preserve"> </v>
          </cell>
          <cell r="M87" t="str">
            <v xml:space="preserve"> </v>
          </cell>
        </row>
        <row r="88">
          <cell r="B88" t="str">
            <v xml:space="preserve"> </v>
          </cell>
          <cell r="C88" t="str">
            <v xml:space="preserve"> </v>
          </cell>
          <cell r="D88" t="str">
            <v xml:space="preserve"> </v>
          </cell>
          <cell r="E88" t="str">
            <v xml:space="preserve"> </v>
          </cell>
          <cell r="F88" t="str">
            <v xml:space="preserve"> </v>
          </cell>
          <cell r="G88" t="str">
            <v xml:space="preserve"> </v>
          </cell>
          <cell r="H88" t="str">
            <v xml:space="preserve"> </v>
          </cell>
          <cell r="I88" t="str">
            <v xml:space="preserve"> </v>
          </cell>
          <cell r="J88" t="str">
            <v xml:space="preserve"> </v>
          </cell>
          <cell r="K88" t="str">
            <v xml:space="preserve"> </v>
          </cell>
          <cell r="L88" t="str">
            <v xml:space="preserve"> </v>
          </cell>
          <cell r="M88" t="str">
            <v xml:space="preserve"> </v>
          </cell>
        </row>
        <row r="89">
          <cell r="B89" t="str">
            <v xml:space="preserve"> </v>
          </cell>
          <cell r="C89" t="str">
            <v xml:space="preserve"> </v>
          </cell>
          <cell r="D89" t="str">
            <v xml:space="preserve"> </v>
          </cell>
          <cell r="E89" t="str">
            <v xml:space="preserve"> </v>
          </cell>
          <cell r="F89" t="str">
            <v xml:space="preserve"> </v>
          </cell>
          <cell r="G89" t="str">
            <v xml:space="preserve"> </v>
          </cell>
          <cell r="H89" t="str">
            <v xml:space="preserve"> </v>
          </cell>
          <cell r="I89" t="str">
            <v xml:space="preserve"> </v>
          </cell>
          <cell r="J89" t="str">
            <v xml:space="preserve"> </v>
          </cell>
          <cell r="K89" t="str">
            <v xml:space="preserve"> </v>
          </cell>
          <cell r="L89" t="str">
            <v xml:space="preserve"> </v>
          </cell>
          <cell r="M89" t="str">
            <v xml:space="preserve"> </v>
          </cell>
        </row>
        <row r="90">
          <cell r="B90" t="str">
            <v xml:space="preserve"> </v>
          </cell>
          <cell r="C90" t="str">
            <v xml:space="preserve"> </v>
          </cell>
          <cell r="D90" t="str">
            <v xml:space="preserve"> </v>
          </cell>
          <cell r="E90" t="str">
            <v xml:space="preserve"> </v>
          </cell>
          <cell r="F90" t="str">
            <v xml:space="preserve"> </v>
          </cell>
          <cell r="G90" t="str">
            <v xml:space="preserve"> </v>
          </cell>
          <cell r="H90" t="str">
            <v xml:space="preserve"> </v>
          </cell>
          <cell r="I90" t="str">
            <v xml:space="preserve"> </v>
          </cell>
          <cell r="J90" t="str">
            <v xml:space="preserve"> </v>
          </cell>
          <cell r="K90" t="str">
            <v xml:space="preserve"> </v>
          </cell>
          <cell r="L90" t="str">
            <v xml:space="preserve"> </v>
          </cell>
          <cell r="M90" t="str">
            <v xml:space="preserve"> </v>
          </cell>
        </row>
        <row r="91">
          <cell r="B91" t="str">
            <v xml:space="preserve"> </v>
          </cell>
          <cell r="C91" t="str">
            <v xml:space="preserve"> </v>
          </cell>
          <cell r="D91" t="str">
            <v xml:space="preserve"> </v>
          </cell>
          <cell r="E91" t="str">
            <v xml:space="preserve"> </v>
          </cell>
          <cell r="F91" t="str">
            <v xml:space="preserve"> </v>
          </cell>
          <cell r="G91" t="str">
            <v xml:space="preserve"> </v>
          </cell>
          <cell r="H91" t="str">
            <v xml:space="preserve"> </v>
          </cell>
          <cell r="I91" t="str">
            <v xml:space="preserve"> </v>
          </cell>
          <cell r="J91" t="str">
            <v xml:space="preserve"> </v>
          </cell>
          <cell r="K91" t="str">
            <v xml:space="preserve"> </v>
          </cell>
          <cell r="L91" t="str">
            <v xml:space="preserve"> </v>
          </cell>
          <cell r="M91" t="str">
            <v xml:space="preserve"> </v>
          </cell>
        </row>
        <row r="92">
          <cell r="B92" t="str">
            <v xml:space="preserve"> </v>
          </cell>
          <cell r="C92" t="str">
            <v xml:space="preserve"> </v>
          </cell>
          <cell r="D92" t="str">
            <v xml:space="preserve"> </v>
          </cell>
          <cell r="E92" t="str">
            <v xml:space="preserve"> </v>
          </cell>
          <cell r="F92" t="str">
            <v xml:space="preserve"> </v>
          </cell>
          <cell r="G92" t="str">
            <v xml:space="preserve"> </v>
          </cell>
          <cell r="H92" t="str">
            <v xml:space="preserve"> </v>
          </cell>
          <cell r="I92" t="str">
            <v xml:space="preserve"> </v>
          </cell>
          <cell r="J92" t="str">
            <v xml:space="preserve"> </v>
          </cell>
          <cell r="K92" t="str">
            <v xml:space="preserve"> </v>
          </cell>
          <cell r="L92" t="str">
            <v xml:space="preserve"> </v>
          </cell>
          <cell r="M92" t="str">
            <v xml:space="preserve"> </v>
          </cell>
        </row>
        <row r="93">
          <cell r="B93" t="str">
            <v xml:space="preserve"> </v>
          </cell>
          <cell r="C93" t="str">
            <v xml:space="preserve"> </v>
          </cell>
          <cell r="D93" t="str">
            <v xml:space="preserve"> </v>
          </cell>
          <cell r="E93" t="str">
            <v xml:space="preserve"> </v>
          </cell>
          <cell r="F93" t="str">
            <v xml:space="preserve"> </v>
          </cell>
          <cell r="G93" t="str">
            <v xml:space="preserve"> </v>
          </cell>
          <cell r="H93" t="str">
            <v xml:space="preserve"> </v>
          </cell>
          <cell r="I93" t="str">
            <v xml:space="preserve"> </v>
          </cell>
          <cell r="J93" t="str">
            <v xml:space="preserve"> </v>
          </cell>
          <cell r="K93" t="str">
            <v xml:space="preserve"> </v>
          </cell>
          <cell r="L93" t="str">
            <v xml:space="preserve"> </v>
          </cell>
          <cell r="M93" t="str">
            <v xml:space="preserve"> </v>
          </cell>
        </row>
        <row r="94">
          <cell r="B94" t="str">
            <v xml:space="preserve"> </v>
          </cell>
          <cell r="C94" t="str">
            <v xml:space="preserve"> </v>
          </cell>
          <cell r="D94" t="str">
            <v xml:space="preserve"> </v>
          </cell>
          <cell r="E94" t="str">
            <v xml:space="preserve"> </v>
          </cell>
          <cell r="F94" t="str">
            <v xml:space="preserve"> </v>
          </cell>
          <cell r="G94" t="str">
            <v xml:space="preserve"> </v>
          </cell>
          <cell r="H94" t="str">
            <v xml:space="preserve"> </v>
          </cell>
          <cell r="I94" t="str">
            <v xml:space="preserve"> </v>
          </cell>
          <cell r="J94" t="str">
            <v xml:space="preserve"> </v>
          </cell>
          <cell r="K94" t="str">
            <v xml:space="preserve"> </v>
          </cell>
          <cell r="L94" t="str">
            <v xml:space="preserve"> </v>
          </cell>
          <cell r="M94" t="str">
            <v xml:space="preserve"> </v>
          </cell>
        </row>
        <row r="95">
          <cell r="B95" t="str">
            <v xml:space="preserve"> </v>
          </cell>
          <cell r="C95" t="str">
            <v xml:space="preserve"> </v>
          </cell>
          <cell r="D95" t="str">
            <v xml:space="preserve"> </v>
          </cell>
          <cell r="E95" t="str">
            <v xml:space="preserve"> </v>
          </cell>
          <cell r="F95" t="str">
            <v xml:space="preserve"> </v>
          </cell>
          <cell r="G95" t="str">
            <v xml:space="preserve"> </v>
          </cell>
          <cell r="H95" t="str">
            <v xml:space="preserve"> </v>
          </cell>
          <cell r="I95" t="str">
            <v xml:space="preserve"> </v>
          </cell>
          <cell r="J95" t="str">
            <v xml:space="preserve"> </v>
          </cell>
          <cell r="K95" t="str">
            <v xml:space="preserve"> </v>
          </cell>
          <cell r="L95" t="str">
            <v xml:space="preserve"> </v>
          </cell>
          <cell r="M95" t="str">
            <v xml:space="preserve"> </v>
          </cell>
        </row>
        <row r="96">
          <cell r="B96" t="str">
            <v xml:space="preserve"> </v>
          </cell>
          <cell r="C96" t="str">
            <v xml:space="preserve"> </v>
          </cell>
          <cell r="D96" t="str">
            <v xml:space="preserve"> </v>
          </cell>
          <cell r="E96" t="str">
            <v xml:space="preserve"> </v>
          </cell>
          <cell r="F96" t="str">
            <v xml:space="preserve"> </v>
          </cell>
          <cell r="G96" t="str">
            <v xml:space="preserve"> </v>
          </cell>
          <cell r="H96" t="str">
            <v xml:space="preserve"> </v>
          </cell>
          <cell r="I96" t="str">
            <v xml:space="preserve"> </v>
          </cell>
          <cell r="J96" t="str">
            <v xml:space="preserve"> </v>
          </cell>
          <cell r="K96" t="str">
            <v xml:space="preserve"> </v>
          </cell>
          <cell r="L96" t="str">
            <v xml:space="preserve"> </v>
          </cell>
          <cell r="M96" t="str">
            <v xml:space="preserve"> </v>
          </cell>
        </row>
        <row r="97">
          <cell r="B97" t="str">
            <v xml:space="preserve"> </v>
          </cell>
          <cell r="C97" t="str">
            <v xml:space="preserve"> </v>
          </cell>
          <cell r="D97" t="str">
            <v xml:space="preserve"> </v>
          </cell>
          <cell r="E97" t="str">
            <v xml:space="preserve"> </v>
          </cell>
          <cell r="F97" t="str">
            <v xml:space="preserve"> </v>
          </cell>
          <cell r="G97" t="str">
            <v xml:space="preserve"> </v>
          </cell>
          <cell r="H97" t="str">
            <v xml:space="preserve"> </v>
          </cell>
          <cell r="I97" t="str">
            <v xml:space="preserve"> </v>
          </cell>
          <cell r="J97" t="str">
            <v xml:space="preserve"> </v>
          </cell>
          <cell r="K97" t="str">
            <v xml:space="preserve"> </v>
          </cell>
          <cell r="L97" t="str">
            <v xml:space="preserve"> </v>
          </cell>
          <cell r="M97" t="str">
            <v xml:space="preserve"> </v>
          </cell>
        </row>
        <row r="98">
          <cell r="B98" t="str">
            <v xml:space="preserve"> </v>
          </cell>
          <cell r="C98" t="str">
            <v xml:space="preserve"> </v>
          </cell>
          <cell r="D98" t="str">
            <v xml:space="preserve"> </v>
          </cell>
          <cell r="E98" t="str">
            <v xml:space="preserve"> </v>
          </cell>
          <cell r="F98" t="str">
            <v xml:space="preserve"> </v>
          </cell>
          <cell r="G98" t="str">
            <v xml:space="preserve"> </v>
          </cell>
          <cell r="H98" t="str">
            <v xml:space="preserve"> </v>
          </cell>
          <cell r="I98" t="str">
            <v xml:space="preserve"> </v>
          </cell>
          <cell r="J98" t="str">
            <v xml:space="preserve"> </v>
          </cell>
          <cell r="K98" t="str">
            <v xml:space="preserve"> </v>
          </cell>
          <cell r="L98" t="str">
            <v xml:space="preserve"> </v>
          </cell>
          <cell r="M98" t="str">
            <v xml:space="preserve"> </v>
          </cell>
        </row>
        <row r="99">
          <cell r="B99" t="str">
            <v xml:space="preserve"> </v>
          </cell>
          <cell r="C99" t="str">
            <v xml:space="preserve"> </v>
          </cell>
          <cell r="D99" t="str">
            <v xml:space="preserve"> </v>
          </cell>
          <cell r="E99" t="str">
            <v xml:space="preserve"> </v>
          </cell>
          <cell r="F99" t="str">
            <v xml:space="preserve"> </v>
          </cell>
          <cell r="G99" t="str">
            <v xml:space="preserve"> </v>
          </cell>
          <cell r="H99" t="str">
            <v xml:space="preserve"> </v>
          </cell>
          <cell r="I99" t="str">
            <v xml:space="preserve"> </v>
          </cell>
          <cell r="J99" t="str">
            <v xml:space="preserve"> </v>
          </cell>
          <cell r="K99" t="str">
            <v xml:space="preserve"> </v>
          </cell>
          <cell r="L99" t="str">
            <v xml:space="preserve"> </v>
          </cell>
          <cell r="M99" t="str">
            <v xml:space="preserve"> </v>
          </cell>
        </row>
        <row r="100">
          <cell r="B100" t="str">
            <v xml:space="preserve"> </v>
          </cell>
          <cell r="C100" t="str">
            <v xml:space="preserve"> </v>
          </cell>
          <cell r="D100" t="str">
            <v xml:space="preserve"> </v>
          </cell>
          <cell r="E100" t="str">
            <v xml:space="preserve"> </v>
          </cell>
          <cell r="F100" t="str">
            <v xml:space="preserve"> </v>
          </cell>
          <cell r="G100" t="str">
            <v xml:space="preserve"> </v>
          </cell>
          <cell r="H100" t="str">
            <v xml:space="preserve"> </v>
          </cell>
          <cell r="I100" t="str">
            <v xml:space="preserve"> </v>
          </cell>
          <cell r="J100" t="str">
            <v xml:space="preserve"> </v>
          </cell>
          <cell r="K100" t="str">
            <v xml:space="preserve"> </v>
          </cell>
          <cell r="L100" t="str">
            <v xml:space="preserve"> </v>
          </cell>
          <cell r="M100" t="str">
            <v xml:space="preserve"> </v>
          </cell>
        </row>
        <row r="101">
          <cell r="B101" t="str">
            <v xml:space="preserve"> </v>
          </cell>
          <cell r="C101" t="str">
            <v xml:space="preserve"> </v>
          </cell>
          <cell r="D101" t="str">
            <v xml:space="preserve"> </v>
          </cell>
          <cell r="E101" t="str">
            <v xml:space="preserve"> </v>
          </cell>
          <cell r="F101" t="str">
            <v xml:space="preserve"> </v>
          </cell>
          <cell r="G101" t="str">
            <v xml:space="preserve"> </v>
          </cell>
          <cell r="H101" t="str">
            <v xml:space="preserve"> </v>
          </cell>
          <cell r="I101" t="str">
            <v xml:space="preserve"> </v>
          </cell>
          <cell r="J101" t="str">
            <v xml:space="preserve"> </v>
          </cell>
          <cell r="K101" t="str">
            <v xml:space="preserve"> </v>
          </cell>
          <cell r="L101" t="str">
            <v xml:space="preserve"> </v>
          </cell>
          <cell r="M101" t="str">
            <v xml:space="preserve"> </v>
          </cell>
        </row>
        <row r="102">
          <cell r="B102" t="str">
            <v xml:space="preserve"> </v>
          </cell>
          <cell r="C102" t="str">
            <v xml:space="preserve"> </v>
          </cell>
          <cell r="D102" t="str">
            <v xml:space="preserve"> </v>
          </cell>
          <cell r="E102" t="str">
            <v xml:space="preserve"> </v>
          </cell>
          <cell r="F102" t="str">
            <v xml:space="preserve"> </v>
          </cell>
          <cell r="G102" t="str">
            <v xml:space="preserve"> </v>
          </cell>
          <cell r="H102" t="str">
            <v xml:space="preserve"> </v>
          </cell>
          <cell r="I102" t="str">
            <v xml:space="preserve"> </v>
          </cell>
          <cell r="J102" t="str">
            <v xml:space="preserve"> </v>
          </cell>
          <cell r="K102" t="str">
            <v xml:space="preserve"> </v>
          </cell>
          <cell r="L102" t="str">
            <v xml:space="preserve"> </v>
          </cell>
          <cell r="M102" t="str">
            <v xml:space="preserve"> </v>
          </cell>
        </row>
        <row r="103">
          <cell r="B103" t="str">
            <v xml:space="preserve"> </v>
          </cell>
          <cell r="C103" t="str">
            <v xml:space="preserve"> </v>
          </cell>
          <cell r="D103" t="str">
            <v xml:space="preserve"> </v>
          </cell>
          <cell r="E103" t="str">
            <v xml:space="preserve"> </v>
          </cell>
          <cell r="F103" t="str">
            <v xml:space="preserve"> </v>
          </cell>
          <cell r="G103" t="str">
            <v xml:space="preserve"> </v>
          </cell>
          <cell r="H103" t="str">
            <v xml:space="preserve"> </v>
          </cell>
          <cell r="I103" t="str">
            <v xml:space="preserve"> </v>
          </cell>
          <cell r="J103" t="str">
            <v xml:space="preserve"> </v>
          </cell>
          <cell r="K103" t="str">
            <v xml:space="preserve"> </v>
          </cell>
          <cell r="L103" t="str">
            <v xml:space="preserve"> </v>
          </cell>
          <cell r="M103" t="str">
            <v xml:space="preserve"> </v>
          </cell>
        </row>
        <row r="104">
          <cell r="B104" t="str">
            <v xml:space="preserve"> </v>
          </cell>
          <cell r="C104" t="str">
            <v xml:space="preserve"> </v>
          </cell>
          <cell r="D104" t="str">
            <v xml:space="preserve"> </v>
          </cell>
          <cell r="E104" t="str">
            <v xml:space="preserve"> </v>
          </cell>
          <cell r="F104" t="str">
            <v xml:space="preserve"> </v>
          </cell>
          <cell r="G104" t="str">
            <v xml:space="preserve"> </v>
          </cell>
          <cell r="H104" t="str">
            <v xml:space="preserve"> </v>
          </cell>
          <cell r="I104" t="str">
            <v xml:space="preserve"> </v>
          </cell>
          <cell r="J104" t="str">
            <v xml:space="preserve"> </v>
          </cell>
          <cell r="K104" t="str">
            <v xml:space="preserve"> </v>
          </cell>
          <cell r="L104" t="str">
            <v xml:space="preserve"> </v>
          </cell>
          <cell r="M104" t="str">
            <v xml:space="preserve"> </v>
          </cell>
        </row>
        <row r="105">
          <cell r="B105" t="str">
            <v xml:space="preserve"> </v>
          </cell>
          <cell r="C105" t="str">
            <v xml:space="preserve"> </v>
          </cell>
          <cell r="D105" t="str">
            <v xml:space="preserve"> </v>
          </cell>
          <cell r="E105" t="str">
            <v xml:space="preserve"> </v>
          </cell>
          <cell r="F105" t="str">
            <v xml:space="preserve"> </v>
          </cell>
          <cell r="G105" t="str">
            <v xml:space="preserve"> </v>
          </cell>
          <cell r="H105" t="str">
            <v xml:space="preserve"> </v>
          </cell>
          <cell r="I105" t="str">
            <v xml:space="preserve"> </v>
          </cell>
          <cell r="J105" t="str">
            <v xml:space="preserve"> </v>
          </cell>
          <cell r="K105" t="str">
            <v xml:space="preserve"> </v>
          </cell>
          <cell r="L105" t="str">
            <v xml:space="preserve"> </v>
          </cell>
          <cell r="M105" t="str">
            <v xml:space="preserve"> </v>
          </cell>
        </row>
        <row r="106">
          <cell r="B106" t="str">
            <v xml:space="preserve"> </v>
          </cell>
          <cell r="C106" t="str">
            <v xml:space="preserve"> </v>
          </cell>
          <cell r="D106" t="str">
            <v xml:space="preserve"> </v>
          </cell>
          <cell r="E106" t="str">
            <v xml:space="preserve"> </v>
          </cell>
          <cell r="F106" t="str">
            <v xml:space="preserve"> </v>
          </cell>
          <cell r="G106" t="str">
            <v xml:space="preserve"> </v>
          </cell>
          <cell r="H106" t="str">
            <v xml:space="preserve"> </v>
          </cell>
          <cell r="I106" t="str">
            <v xml:space="preserve"> </v>
          </cell>
          <cell r="J106" t="str">
            <v xml:space="preserve"> </v>
          </cell>
          <cell r="K106" t="str">
            <v xml:space="preserve"> </v>
          </cell>
          <cell r="L106" t="str">
            <v xml:space="preserve"> </v>
          </cell>
          <cell r="M106" t="str">
            <v xml:space="preserve"> </v>
          </cell>
        </row>
        <row r="107">
          <cell r="B107" t="str">
            <v xml:space="preserve"> </v>
          </cell>
          <cell r="C107" t="str">
            <v xml:space="preserve"> </v>
          </cell>
          <cell r="D107" t="str">
            <v xml:space="preserve"> </v>
          </cell>
          <cell r="E107" t="str">
            <v xml:space="preserve"> </v>
          </cell>
          <cell r="F107" t="str">
            <v xml:space="preserve"> </v>
          </cell>
          <cell r="G107" t="str">
            <v xml:space="preserve"> </v>
          </cell>
          <cell r="H107" t="str">
            <v xml:space="preserve"> </v>
          </cell>
          <cell r="I107" t="str">
            <v xml:space="preserve"> </v>
          </cell>
          <cell r="J107" t="str">
            <v xml:space="preserve"> </v>
          </cell>
          <cell r="K107" t="str">
            <v xml:space="preserve"> </v>
          </cell>
          <cell r="L107" t="str">
            <v xml:space="preserve"> </v>
          </cell>
          <cell r="M107" t="str">
            <v xml:space="preserve"> </v>
          </cell>
        </row>
        <row r="108">
          <cell r="B108" t="str">
            <v xml:space="preserve"> </v>
          </cell>
          <cell r="C108" t="str">
            <v xml:space="preserve"> </v>
          </cell>
          <cell r="D108" t="str">
            <v xml:space="preserve"> </v>
          </cell>
          <cell r="E108" t="str">
            <v xml:space="preserve"> </v>
          </cell>
          <cell r="F108" t="str">
            <v xml:space="preserve"> </v>
          </cell>
          <cell r="G108" t="str">
            <v xml:space="preserve"> </v>
          </cell>
          <cell r="H108" t="str">
            <v xml:space="preserve"> </v>
          </cell>
          <cell r="I108" t="str">
            <v xml:space="preserve"> </v>
          </cell>
          <cell r="J108" t="str">
            <v xml:space="preserve"> </v>
          </cell>
          <cell r="K108" t="str">
            <v xml:space="preserve"> </v>
          </cell>
          <cell r="L108" t="str">
            <v xml:space="preserve"> </v>
          </cell>
          <cell r="M108" t="str">
            <v xml:space="preserve"> </v>
          </cell>
        </row>
        <row r="109">
          <cell r="B109" t="str">
            <v xml:space="preserve"> </v>
          </cell>
          <cell r="C109" t="str">
            <v xml:space="preserve"> </v>
          </cell>
          <cell r="D109" t="str">
            <v xml:space="preserve"> </v>
          </cell>
          <cell r="E109" t="str">
            <v xml:space="preserve"> </v>
          </cell>
          <cell r="F109" t="str">
            <v xml:space="preserve"> </v>
          </cell>
          <cell r="G109" t="str">
            <v xml:space="preserve"> </v>
          </cell>
          <cell r="H109" t="str">
            <v xml:space="preserve"> </v>
          </cell>
          <cell r="I109" t="str">
            <v xml:space="preserve"> </v>
          </cell>
          <cell r="J109" t="str">
            <v xml:space="preserve"> </v>
          </cell>
          <cell r="K109" t="str">
            <v xml:space="preserve"> </v>
          </cell>
          <cell r="L109" t="str">
            <v xml:space="preserve"> </v>
          </cell>
          <cell r="M109" t="str">
            <v xml:space="preserve"> </v>
          </cell>
        </row>
        <row r="110">
          <cell r="B110" t="str">
            <v xml:space="preserve"> </v>
          </cell>
          <cell r="C110" t="str">
            <v xml:space="preserve"> </v>
          </cell>
          <cell r="D110" t="str">
            <v xml:space="preserve"> </v>
          </cell>
          <cell r="E110" t="str">
            <v xml:space="preserve"> </v>
          </cell>
          <cell r="F110" t="str">
            <v xml:space="preserve"> </v>
          </cell>
          <cell r="G110" t="str">
            <v xml:space="preserve"> </v>
          </cell>
          <cell r="H110" t="str">
            <v xml:space="preserve"> </v>
          </cell>
          <cell r="I110" t="str">
            <v xml:space="preserve"> </v>
          </cell>
          <cell r="J110" t="str">
            <v xml:space="preserve"> </v>
          </cell>
          <cell r="K110" t="str">
            <v xml:space="preserve"> </v>
          </cell>
          <cell r="L110" t="str">
            <v xml:space="preserve"> </v>
          </cell>
          <cell r="M110" t="str">
            <v xml:space="preserve"> </v>
          </cell>
        </row>
        <row r="111">
          <cell r="B111" t="str">
            <v xml:space="preserve"> </v>
          </cell>
          <cell r="C111" t="str">
            <v xml:space="preserve"> </v>
          </cell>
          <cell r="D111" t="str">
            <v xml:space="preserve"> </v>
          </cell>
          <cell r="E111" t="str">
            <v xml:space="preserve"> </v>
          </cell>
          <cell r="F111" t="str">
            <v xml:space="preserve"> </v>
          </cell>
          <cell r="G111" t="str">
            <v xml:space="preserve"> </v>
          </cell>
          <cell r="H111" t="str">
            <v xml:space="preserve"> </v>
          </cell>
          <cell r="I111" t="str">
            <v xml:space="preserve"> </v>
          </cell>
          <cell r="J111" t="str">
            <v xml:space="preserve"> </v>
          </cell>
          <cell r="K111" t="str">
            <v xml:space="preserve"> </v>
          </cell>
          <cell r="L111" t="str">
            <v xml:space="preserve"> </v>
          </cell>
          <cell r="M111" t="str">
            <v xml:space="preserve"> </v>
          </cell>
        </row>
        <row r="112">
          <cell r="B112" t="str">
            <v xml:space="preserve"> </v>
          </cell>
          <cell r="C112" t="str">
            <v xml:space="preserve"> </v>
          </cell>
          <cell r="D112" t="str">
            <v xml:space="preserve"> </v>
          </cell>
          <cell r="E112" t="str">
            <v xml:space="preserve"> </v>
          </cell>
          <cell r="F112" t="str">
            <v xml:space="preserve"> </v>
          </cell>
          <cell r="G112" t="str">
            <v xml:space="preserve"> </v>
          </cell>
          <cell r="H112" t="str">
            <v xml:space="preserve"> </v>
          </cell>
          <cell r="I112" t="str">
            <v xml:space="preserve"> </v>
          </cell>
          <cell r="J112" t="str">
            <v xml:space="preserve"> </v>
          </cell>
          <cell r="K112" t="str">
            <v xml:space="preserve"> </v>
          </cell>
          <cell r="L112" t="str">
            <v xml:space="preserve"> </v>
          </cell>
          <cell r="M112" t="str">
            <v xml:space="preserve"> </v>
          </cell>
        </row>
        <row r="113">
          <cell r="B113" t="str">
            <v xml:space="preserve"> </v>
          </cell>
          <cell r="C113" t="str">
            <v xml:space="preserve"> </v>
          </cell>
          <cell r="D113" t="str">
            <v xml:space="preserve"> </v>
          </cell>
          <cell r="E113" t="str">
            <v xml:space="preserve"> </v>
          </cell>
          <cell r="F113" t="str">
            <v xml:space="preserve"> </v>
          </cell>
          <cell r="G113" t="str">
            <v xml:space="preserve"> </v>
          </cell>
          <cell r="H113" t="str">
            <v xml:space="preserve"> </v>
          </cell>
          <cell r="I113" t="str">
            <v xml:space="preserve"> </v>
          </cell>
          <cell r="J113" t="str">
            <v xml:space="preserve"> </v>
          </cell>
          <cell r="K113" t="str">
            <v xml:space="preserve"> </v>
          </cell>
          <cell r="L113" t="str">
            <v xml:space="preserve"> </v>
          </cell>
          <cell r="M113" t="str">
            <v xml:space="preserve"> </v>
          </cell>
        </row>
        <row r="114">
          <cell r="B114" t="str">
            <v xml:space="preserve"> </v>
          </cell>
          <cell r="C114" t="str">
            <v xml:space="preserve"> </v>
          </cell>
          <cell r="D114" t="str">
            <v xml:space="preserve"> </v>
          </cell>
          <cell r="E114" t="str">
            <v xml:space="preserve"> </v>
          </cell>
          <cell r="F114" t="str">
            <v xml:space="preserve"> </v>
          </cell>
          <cell r="G114" t="str">
            <v xml:space="preserve"> </v>
          </cell>
          <cell r="H114" t="str">
            <v xml:space="preserve"> </v>
          </cell>
          <cell r="I114" t="str">
            <v xml:space="preserve"> </v>
          </cell>
          <cell r="J114" t="str">
            <v xml:space="preserve"> </v>
          </cell>
          <cell r="K114" t="str">
            <v xml:space="preserve"> </v>
          </cell>
          <cell r="L114" t="str">
            <v xml:space="preserve"> </v>
          </cell>
          <cell r="M114" t="str">
            <v xml:space="preserve"> </v>
          </cell>
        </row>
        <row r="115">
          <cell r="B115" t="str">
            <v xml:space="preserve"> </v>
          </cell>
          <cell r="C115" t="str">
            <v xml:space="preserve"> </v>
          </cell>
          <cell r="D115" t="str">
            <v xml:space="preserve"> </v>
          </cell>
          <cell r="E115" t="str">
            <v xml:space="preserve"> </v>
          </cell>
          <cell r="F115" t="str">
            <v xml:space="preserve"> </v>
          </cell>
          <cell r="G115" t="str">
            <v xml:space="preserve"> </v>
          </cell>
          <cell r="H115" t="str">
            <v xml:space="preserve"> </v>
          </cell>
          <cell r="I115" t="str">
            <v xml:space="preserve"> </v>
          </cell>
          <cell r="J115" t="str">
            <v xml:space="preserve"> </v>
          </cell>
          <cell r="K115" t="str">
            <v xml:space="preserve"> </v>
          </cell>
          <cell r="L115" t="str">
            <v xml:space="preserve"> </v>
          </cell>
          <cell r="M115" t="str">
            <v xml:space="preserve"> </v>
          </cell>
        </row>
        <row r="116">
          <cell r="B116" t="str">
            <v xml:space="preserve"> </v>
          </cell>
          <cell r="C116" t="str">
            <v xml:space="preserve"> </v>
          </cell>
          <cell r="D116" t="str">
            <v xml:space="preserve"> </v>
          </cell>
          <cell r="E116" t="str">
            <v xml:space="preserve"> </v>
          </cell>
          <cell r="F116" t="str">
            <v xml:space="preserve"> </v>
          </cell>
          <cell r="G116" t="str">
            <v xml:space="preserve"> </v>
          </cell>
          <cell r="H116" t="str">
            <v xml:space="preserve"> </v>
          </cell>
          <cell r="I116" t="str">
            <v xml:space="preserve"> </v>
          </cell>
          <cell r="J116" t="str">
            <v xml:space="preserve"> </v>
          </cell>
          <cell r="K116" t="str">
            <v xml:space="preserve"> </v>
          </cell>
          <cell r="L116" t="str">
            <v xml:space="preserve"> </v>
          </cell>
          <cell r="M116" t="str">
            <v xml:space="preserve"> </v>
          </cell>
        </row>
        <row r="117">
          <cell r="B117" t="str">
            <v xml:space="preserve"> </v>
          </cell>
          <cell r="C117" t="str">
            <v xml:space="preserve"> </v>
          </cell>
          <cell r="D117" t="str">
            <v xml:space="preserve"> </v>
          </cell>
          <cell r="E117" t="str">
            <v xml:space="preserve"> </v>
          </cell>
          <cell r="F117" t="str">
            <v xml:space="preserve"> </v>
          </cell>
          <cell r="G117" t="str">
            <v xml:space="preserve"> </v>
          </cell>
          <cell r="H117" t="str">
            <v xml:space="preserve"> </v>
          </cell>
          <cell r="I117" t="str">
            <v xml:space="preserve"> </v>
          </cell>
          <cell r="J117" t="str">
            <v xml:space="preserve"> </v>
          </cell>
          <cell r="K117" t="str">
            <v xml:space="preserve"> </v>
          </cell>
          <cell r="L117" t="str">
            <v xml:space="preserve"> </v>
          </cell>
          <cell r="M117" t="str">
            <v xml:space="preserve"> </v>
          </cell>
        </row>
        <row r="118">
          <cell r="B118" t="str">
            <v xml:space="preserve"> </v>
          </cell>
          <cell r="C118" t="str">
            <v xml:space="preserve"> </v>
          </cell>
          <cell r="D118" t="str">
            <v xml:space="preserve"> </v>
          </cell>
          <cell r="E118" t="str">
            <v xml:space="preserve"> </v>
          </cell>
          <cell r="F118" t="str">
            <v xml:space="preserve"> </v>
          </cell>
          <cell r="G118" t="str">
            <v xml:space="preserve"> </v>
          </cell>
          <cell r="H118" t="str">
            <v xml:space="preserve"> </v>
          </cell>
          <cell r="I118" t="str">
            <v xml:space="preserve"> </v>
          </cell>
          <cell r="J118" t="str">
            <v xml:space="preserve"> </v>
          </cell>
          <cell r="K118" t="str">
            <v xml:space="preserve"> </v>
          </cell>
          <cell r="L118" t="str">
            <v xml:space="preserve"> </v>
          </cell>
          <cell r="M118" t="str">
            <v xml:space="preserve"> </v>
          </cell>
        </row>
        <row r="119">
          <cell r="B119" t="str">
            <v xml:space="preserve"> </v>
          </cell>
          <cell r="C119" t="str">
            <v xml:space="preserve"> </v>
          </cell>
          <cell r="D119" t="str">
            <v xml:space="preserve"> </v>
          </cell>
          <cell r="E119" t="str">
            <v xml:space="preserve"> </v>
          </cell>
          <cell r="F119" t="str">
            <v xml:space="preserve"> </v>
          </cell>
          <cell r="G119" t="str">
            <v xml:space="preserve"> </v>
          </cell>
          <cell r="H119" t="str">
            <v xml:space="preserve"> </v>
          </cell>
          <cell r="I119" t="str">
            <v xml:space="preserve"> </v>
          </cell>
          <cell r="J119" t="str">
            <v xml:space="preserve"> </v>
          </cell>
          <cell r="K119" t="str">
            <v xml:space="preserve"> </v>
          </cell>
          <cell r="L119" t="str">
            <v xml:space="preserve"> </v>
          </cell>
          <cell r="M119" t="str">
            <v xml:space="preserve"> </v>
          </cell>
        </row>
        <row r="120">
          <cell r="B120" t="str">
            <v xml:space="preserve"> </v>
          </cell>
          <cell r="C120" t="str">
            <v xml:space="preserve"> </v>
          </cell>
          <cell r="D120" t="str">
            <v xml:space="preserve"> </v>
          </cell>
          <cell r="E120" t="str">
            <v xml:space="preserve"> </v>
          </cell>
          <cell r="F120" t="str">
            <v xml:space="preserve"> </v>
          </cell>
          <cell r="G120" t="str">
            <v xml:space="preserve"> </v>
          </cell>
          <cell r="H120" t="str">
            <v xml:space="preserve"> </v>
          </cell>
          <cell r="I120" t="str">
            <v xml:space="preserve"> </v>
          </cell>
          <cell r="J120" t="str">
            <v xml:space="preserve"> </v>
          </cell>
          <cell r="K120" t="str">
            <v xml:space="preserve"> </v>
          </cell>
          <cell r="L120" t="str">
            <v xml:space="preserve"> </v>
          </cell>
          <cell r="M120" t="str">
            <v xml:space="preserve"> </v>
          </cell>
        </row>
        <row r="121">
          <cell r="B121" t="str">
            <v xml:space="preserve"> </v>
          </cell>
          <cell r="C121" t="str">
            <v xml:space="preserve"> </v>
          </cell>
          <cell r="D121" t="str">
            <v xml:space="preserve"> </v>
          </cell>
          <cell r="E121" t="str">
            <v xml:space="preserve"> </v>
          </cell>
          <cell r="F121" t="str">
            <v xml:space="preserve"> </v>
          </cell>
          <cell r="G121" t="str">
            <v xml:space="preserve"> </v>
          </cell>
          <cell r="H121" t="str">
            <v xml:space="preserve"> </v>
          </cell>
          <cell r="I121" t="str">
            <v xml:space="preserve"> </v>
          </cell>
          <cell r="J121" t="str">
            <v xml:space="preserve"> </v>
          </cell>
          <cell r="K121" t="str">
            <v xml:space="preserve"> </v>
          </cell>
          <cell r="L121" t="str">
            <v xml:space="preserve"> </v>
          </cell>
          <cell r="M121" t="str">
            <v xml:space="preserve"> </v>
          </cell>
        </row>
        <row r="122">
          <cell r="B122" t="str">
            <v xml:space="preserve"> </v>
          </cell>
          <cell r="C122" t="str">
            <v xml:space="preserve"> </v>
          </cell>
          <cell r="D122" t="str">
            <v xml:space="preserve"> </v>
          </cell>
          <cell r="E122" t="str">
            <v xml:space="preserve"> </v>
          </cell>
          <cell r="F122" t="str">
            <v xml:space="preserve"> </v>
          </cell>
          <cell r="G122" t="str">
            <v xml:space="preserve"> </v>
          </cell>
          <cell r="H122" t="str">
            <v xml:space="preserve"> </v>
          </cell>
          <cell r="I122" t="str">
            <v xml:space="preserve"> </v>
          </cell>
          <cell r="J122" t="str">
            <v xml:space="preserve"> </v>
          </cell>
          <cell r="K122" t="str">
            <v xml:space="preserve"> </v>
          </cell>
          <cell r="L122" t="str">
            <v xml:space="preserve"> </v>
          </cell>
          <cell r="M122" t="str">
            <v xml:space="preserve"> </v>
          </cell>
        </row>
        <row r="123">
          <cell r="B123" t="str">
            <v xml:space="preserve"> </v>
          </cell>
          <cell r="C123" t="str">
            <v xml:space="preserve"> </v>
          </cell>
          <cell r="D123" t="str">
            <v xml:space="preserve"> </v>
          </cell>
          <cell r="E123" t="str">
            <v xml:space="preserve"> </v>
          </cell>
          <cell r="F123" t="str">
            <v xml:space="preserve"> </v>
          </cell>
          <cell r="G123" t="str">
            <v xml:space="preserve"> </v>
          </cell>
          <cell r="H123" t="str">
            <v xml:space="preserve"> </v>
          </cell>
          <cell r="I123" t="str">
            <v xml:space="preserve"> </v>
          </cell>
          <cell r="J123" t="str">
            <v xml:space="preserve"> </v>
          </cell>
          <cell r="K123" t="str">
            <v xml:space="preserve"> </v>
          </cell>
          <cell r="L123" t="str">
            <v xml:space="preserve"> </v>
          </cell>
          <cell r="M123" t="str">
            <v xml:space="preserve"> </v>
          </cell>
        </row>
        <row r="124">
          <cell r="B124" t="str">
            <v xml:space="preserve"> </v>
          </cell>
          <cell r="C124" t="str">
            <v xml:space="preserve"> </v>
          </cell>
          <cell r="D124" t="str">
            <v xml:space="preserve"> </v>
          </cell>
          <cell r="E124" t="str">
            <v xml:space="preserve"> </v>
          </cell>
          <cell r="F124" t="str">
            <v xml:space="preserve"> </v>
          </cell>
          <cell r="G124" t="str">
            <v xml:space="preserve"> </v>
          </cell>
          <cell r="H124" t="str">
            <v xml:space="preserve"> </v>
          </cell>
          <cell r="I124" t="str">
            <v xml:space="preserve"> </v>
          </cell>
          <cell r="J124" t="str">
            <v xml:space="preserve"> </v>
          </cell>
          <cell r="K124" t="str">
            <v xml:space="preserve"> </v>
          </cell>
          <cell r="L124" t="str">
            <v xml:space="preserve"> </v>
          </cell>
          <cell r="M124" t="str">
            <v xml:space="preserve"> </v>
          </cell>
        </row>
        <row r="125">
          <cell r="B125" t="str">
            <v xml:space="preserve"> </v>
          </cell>
          <cell r="C125" t="str">
            <v xml:space="preserve"> </v>
          </cell>
          <cell r="D125" t="str">
            <v xml:space="preserve"> </v>
          </cell>
          <cell r="E125" t="str">
            <v xml:space="preserve"> </v>
          </cell>
          <cell r="F125" t="str">
            <v xml:space="preserve"> </v>
          </cell>
          <cell r="G125" t="str">
            <v xml:space="preserve"> </v>
          </cell>
          <cell r="H125" t="str">
            <v xml:space="preserve"> </v>
          </cell>
          <cell r="I125" t="str">
            <v xml:space="preserve"> </v>
          </cell>
          <cell r="J125" t="str">
            <v xml:space="preserve"> </v>
          </cell>
          <cell r="K125" t="str">
            <v xml:space="preserve"> </v>
          </cell>
          <cell r="L125" t="str">
            <v xml:space="preserve"> </v>
          </cell>
          <cell r="M125" t="str">
            <v xml:space="preserve"> </v>
          </cell>
        </row>
        <row r="126">
          <cell r="B126" t="str">
            <v xml:space="preserve"> </v>
          </cell>
          <cell r="C126" t="str">
            <v xml:space="preserve"> </v>
          </cell>
          <cell r="D126" t="str">
            <v xml:space="preserve"> </v>
          </cell>
          <cell r="E126" t="str">
            <v xml:space="preserve"> </v>
          </cell>
          <cell r="F126" t="str">
            <v xml:space="preserve"> </v>
          </cell>
          <cell r="G126" t="str">
            <v xml:space="preserve"> </v>
          </cell>
          <cell r="H126" t="str">
            <v xml:space="preserve"> </v>
          </cell>
          <cell r="I126" t="str">
            <v xml:space="preserve"> </v>
          </cell>
          <cell r="J126" t="str">
            <v xml:space="preserve"> </v>
          </cell>
          <cell r="K126" t="str">
            <v xml:space="preserve"> </v>
          </cell>
          <cell r="L126" t="str">
            <v xml:space="preserve"> </v>
          </cell>
          <cell r="M126" t="str">
            <v xml:space="preserve"> </v>
          </cell>
        </row>
        <row r="127">
          <cell r="B127" t="str">
            <v xml:space="preserve"> </v>
          </cell>
          <cell r="C127" t="str">
            <v xml:space="preserve"> </v>
          </cell>
          <cell r="D127" t="str">
            <v xml:space="preserve"> </v>
          </cell>
          <cell r="E127" t="str">
            <v xml:space="preserve"> </v>
          </cell>
          <cell r="F127" t="str">
            <v xml:space="preserve"> </v>
          </cell>
          <cell r="G127" t="str">
            <v xml:space="preserve"> </v>
          </cell>
          <cell r="H127" t="str">
            <v xml:space="preserve"> </v>
          </cell>
          <cell r="I127" t="str">
            <v xml:space="preserve"> </v>
          </cell>
          <cell r="J127" t="str">
            <v xml:space="preserve"> </v>
          </cell>
          <cell r="K127" t="str">
            <v xml:space="preserve"> </v>
          </cell>
          <cell r="L127" t="str">
            <v xml:space="preserve"> </v>
          </cell>
          <cell r="M127" t="str">
            <v xml:space="preserve"> </v>
          </cell>
        </row>
        <row r="128">
          <cell r="B128" t="str">
            <v xml:space="preserve"> </v>
          </cell>
          <cell r="C128" t="str">
            <v xml:space="preserve"> </v>
          </cell>
          <cell r="D128" t="str">
            <v xml:space="preserve"> </v>
          </cell>
          <cell r="E128" t="str">
            <v xml:space="preserve"> </v>
          </cell>
          <cell r="F128" t="str">
            <v xml:space="preserve"> </v>
          </cell>
          <cell r="G128" t="str">
            <v xml:space="preserve"> </v>
          </cell>
          <cell r="H128" t="str">
            <v xml:space="preserve"> </v>
          </cell>
          <cell r="I128" t="str">
            <v xml:space="preserve"> </v>
          </cell>
          <cell r="J128" t="str">
            <v xml:space="preserve"> </v>
          </cell>
          <cell r="K128" t="str">
            <v xml:space="preserve"> </v>
          </cell>
          <cell r="L128" t="str">
            <v xml:space="preserve"> </v>
          </cell>
          <cell r="M128" t="str">
            <v xml:space="preserve"> </v>
          </cell>
        </row>
        <row r="129">
          <cell r="B129" t="str">
            <v xml:space="preserve"> </v>
          </cell>
          <cell r="C129" t="str">
            <v xml:space="preserve"> </v>
          </cell>
          <cell r="D129" t="str">
            <v xml:space="preserve"> </v>
          </cell>
          <cell r="E129" t="str">
            <v xml:space="preserve"> </v>
          </cell>
          <cell r="F129" t="str">
            <v xml:space="preserve"> </v>
          </cell>
          <cell r="G129" t="str">
            <v xml:space="preserve"> </v>
          </cell>
          <cell r="H129" t="str">
            <v xml:space="preserve"> </v>
          </cell>
          <cell r="I129" t="str">
            <v xml:space="preserve"> </v>
          </cell>
          <cell r="J129" t="str">
            <v xml:space="preserve"> </v>
          </cell>
          <cell r="K129" t="str">
            <v xml:space="preserve"> </v>
          </cell>
          <cell r="L129" t="str">
            <v xml:space="preserve"> </v>
          </cell>
          <cell r="M129" t="str">
            <v xml:space="preserve"> </v>
          </cell>
        </row>
        <row r="130">
          <cell r="B130" t="str">
            <v xml:space="preserve"> </v>
          </cell>
          <cell r="C130" t="str">
            <v xml:space="preserve"> </v>
          </cell>
          <cell r="D130" t="str">
            <v xml:space="preserve"> </v>
          </cell>
          <cell r="E130" t="str">
            <v xml:space="preserve"> </v>
          </cell>
          <cell r="F130" t="str">
            <v xml:space="preserve"> </v>
          </cell>
          <cell r="G130" t="str">
            <v xml:space="preserve"> </v>
          </cell>
          <cell r="H130" t="str">
            <v xml:space="preserve"> </v>
          </cell>
          <cell r="I130" t="str">
            <v xml:space="preserve"> </v>
          </cell>
          <cell r="J130" t="str">
            <v xml:space="preserve"> </v>
          </cell>
          <cell r="K130" t="str">
            <v xml:space="preserve"> </v>
          </cell>
          <cell r="L130" t="str">
            <v xml:space="preserve"> </v>
          </cell>
          <cell r="M130" t="str">
            <v xml:space="preserve"> </v>
          </cell>
        </row>
        <row r="131">
          <cell r="B131" t="str">
            <v xml:space="preserve"> </v>
          </cell>
          <cell r="C131" t="str">
            <v xml:space="preserve"> </v>
          </cell>
          <cell r="D131" t="str">
            <v xml:space="preserve"> </v>
          </cell>
          <cell r="E131" t="str">
            <v xml:space="preserve"> </v>
          </cell>
          <cell r="F131" t="str">
            <v xml:space="preserve"> </v>
          </cell>
          <cell r="G131" t="str">
            <v xml:space="preserve"> </v>
          </cell>
          <cell r="H131" t="str">
            <v xml:space="preserve"> </v>
          </cell>
          <cell r="I131" t="str">
            <v xml:space="preserve"> </v>
          </cell>
          <cell r="J131" t="str">
            <v xml:space="preserve"> </v>
          </cell>
          <cell r="K131" t="str">
            <v xml:space="preserve"> </v>
          </cell>
          <cell r="L131" t="str">
            <v xml:space="preserve"> </v>
          </cell>
          <cell r="M131" t="str">
            <v xml:space="preserve"> </v>
          </cell>
        </row>
        <row r="132">
          <cell r="B132" t="str">
            <v xml:space="preserve"> </v>
          </cell>
          <cell r="C132" t="str">
            <v xml:space="preserve"> </v>
          </cell>
          <cell r="D132" t="str">
            <v xml:space="preserve"> </v>
          </cell>
          <cell r="E132" t="str">
            <v xml:space="preserve"> </v>
          </cell>
          <cell r="F132" t="str">
            <v xml:space="preserve"> </v>
          </cell>
          <cell r="G132" t="str">
            <v xml:space="preserve"> </v>
          </cell>
          <cell r="H132" t="str">
            <v xml:space="preserve"> </v>
          </cell>
          <cell r="I132" t="str">
            <v xml:space="preserve"> </v>
          </cell>
          <cell r="J132" t="str">
            <v xml:space="preserve"> </v>
          </cell>
          <cell r="K132" t="str">
            <v xml:space="preserve"> </v>
          </cell>
          <cell r="L132" t="str">
            <v xml:space="preserve"> </v>
          </cell>
          <cell r="M132" t="str">
            <v xml:space="preserve"> </v>
          </cell>
        </row>
        <row r="133">
          <cell r="B133" t="str">
            <v xml:space="preserve"> </v>
          </cell>
          <cell r="C133" t="str">
            <v xml:space="preserve"> </v>
          </cell>
          <cell r="D133" t="str">
            <v xml:space="preserve"> </v>
          </cell>
          <cell r="E133" t="str">
            <v xml:space="preserve"> </v>
          </cell>
          <cell r="F133" t="str">
            <v xml:space="preserve"> </v>
          </cell>
          <cell r="G133" t="str">
            <v xml:space="preserve"> </v>
          </cell>
          <cell r="H133" t="str">
            <v xml:space="preserve"> </v>
          </cell>
          <cell r="I133" t="str">
            <v xml:space="preserve"> </v>
          </cell>
          <cell r="J133" t="str">
            <v xml:space="preserve"> </v>
          </cell>
          <cell r="K133" t="str">
            <v xml:space="preserve"> </v>
          </cell>
          <cell r="L133" t="str">
            <v xml:space="preserve"> </v>
          </cell>
          <cell r="M133" t="str">
            <v xml:space="preserve"> </v>
          </cell>
        </row>
        <row r="134">
          <cell r="B134" t="str">
            <v xml:space="preserve"> </v>
          </cell>
          <cell r="C134" t="str">
            <v xml:space="preserve"> </v>
          </cell>
          <cell r="D134" t="str">
            <v xml:space="preserve"> </v>
          </cell>
          <cell r="E134" t="str">
            <v xml:space="preserve"> </v>
          </cell>
          <cell r="F134" t="str">
            <v xml:space="preserve"> </v>
          </cell>
          <cell r="G134" t="str">
            <v xml:space="preserve"> </v>
          </cell>
          <cell r="H134" t="str">
            <v xml:space="preserve"> </v>
          </cell>
          <cell r="I134" t="str">
            <v xml:space="preserve"> </v>
          </cell>
          <cell r="J134" t="str">
            <v xml:space="preserve"> </v>
          </cell>
          <cell r="K134" t="str">
            <v xml:space="preserve"> </v>
          </cell>
          <cell r="L134" t="str">
            <v xml:space="preserve"> </v>
          </cell>
          <cell r="M134" t="str">
            <v xml:space="preserve"> </v>
          </cell>
        </row>
        <row r="135">
          <cell r="B135" t="str">
            <v xml:space="preserve"> </v>
          </cell>
          <cell r="C135" t="str">
            <v xml:space="preserve"> </v>
          </cell>
          <cell r="D135" t="str">
            <v xml:space="preserve"> </v>
          </cell>
          <cell r="E135" t="str">
            <v xml:space="preserve"> </v>
          </cell>
          <cell r="F135" t="str">
            <v xml:space="preserve"> </v>
          </cell>
          <cell r="G135" t="str">
            <v xml:space="preserve"> </v>
          </cell>
          <cell r="H135" t="str">
            <v xml:space="preserve"> </v>
          </cell>
          <cell r="I135" t="str">
            <v xml:space="preserve"> </v>
          </cell>
          <cell r="J135" t="str">
            <v xml:space="preserve"> </v>
          </cell>
          <cell r="K135" t="str">
            <v xml:space="preserve"> </v>
          </cell>
          <cell r="L135" t="str">
            <v xml:space="preserve"> </v>
          </cell>
          <cell r="M135" t="str">
            <v xml:space="preserve"> </v>
          </cell>
        </row>
        <row r="136">
          <cell r="B136" t="str">
            <v xml:space="preserve"> </v>
          </cell>
          <cell r="C136" t="str">
            <v xml:space="preserve"> </v>
          </cell>
          <cell r="D136" t="str">
            <v xml:space="preserve"> </v>
          </cell>
          <cell r="E136" t="str">
            <v xml:space="preserve"> </v>
          </cell>
          <cell r="F136" t="str">
            <v xml:space="preserve"> </v>
          </cell>
          <cell r="G136" t="str">
            <v xml:space="preserve"> </v>
          </cell>
          <cell r="H136" t="str">
            <v xml:space="preserve"> </v>
          </cell>
          <cell r="I136" t="str">
            <v xml:space="preserve"> </v>
          </cell>
          <cell r="J136" t="str">
            <v xml:space="preserve"> </v>
          </cell>
          <cell r="K136" t="str">
            <v xml:space="preserve"> </v>
          </cell>
          <cell r="L136" t="str">
            <v xml:space="preserve"> </v>
          </cell>
          <cell r="M136" t="str">
            <v xml:space="preserve"> </v>
          </cell>
        </row>
        <row r="137">
          <cell r="B137" t="str">
            <v xml:space="preserve"> </v>
          </cell>
          <cell r="C137" t="str">
            <v xml:space="preserve"> </v>
          </cell>
          <cell r="D137" t="str">
            <v xml:space="preserve"> </v>
          </cell>
          <cell r="E137" t="str">
            <v xml:space="preserve"> </v>
          </cell>
          <cell r="F137" t="str">
            <v xml:space="preserve"> </v>
          </cell>
          <cell r="G137" t="str">
            <v xml:space="preserve"> </v>
          </cell>
          <cell r="H137" t="str">
            <v xml:space="preserve"> </v>
          </cell>
          <cell r="I137" t="str">
            <v xml:space="preserve"> </v>
          </cell>
          <cell r="J137" t="str">
            <v xml:space="preserve"> </v>
          </cell>
          <cell r="K137" t="str">
            <v xml:space="preserve"> </v>
          </cell>
          <cell r="L137" t="str">
            <v xml:space="preserve"> </v>
          </cell>
          <cell r="M137" t="str">
            <v xml:space="preserve"> </v>
          </cell>
        </row>
        <row r="138">
          <cell r="B138" t="str">
            <v xml:space="preserve"> </v>
          </cell>
          <cell r="C138" t="str">
            <v xml:space="preserve"> </v>
          </cell>
          <cell r="D138" t="str">
            <v xml:space="preserve"> </v>
          </cell>
          <cell r="E138" t="str">
            <v xml:space="preserve"> </v>
          </cell>
          <cell r="F138" t="str">
            <v xml:space="preserve"> </v>
          </cell>
          <cell r="G138" t="str">
            <v xml:space="preserve"> </v>
          </cell>
          <cell r="H138" t="str">
            <v xml:space="preserve"> </v>
          </cell>
          <cell r="I138" t="str">
            <v xml:space="preserve"> </v>
          </cell>
          <cell r="J138" t="str">
            <v xml:space="preserve"> </v>
          </cell>
          <cell r="K138" t="str">
            <v xml:space="preserve"> </v>
          </cell>
          <cell r="L138" t="str">
            <v xml:space="preserve"> </v>
          </cell>
          <cell r="M138" t="str">
            <v xml:space="preserve"> </v>
          </cell>
        </row>
        <row r="139">
          <cell r="B139" t="str">
            <v xml:space="preserve"> </v>
          </cell>
          <cell r="C139" t="str">
            <v xml:space="preserve"> </v>
          </cell>
          <cell r="D139" t="str">
            <v xml:space="preserve"> </v>
          </cell>
          <cell r="E139" t="str">
            <v xml:space="preserve"> </v>
          </cell>
          <cell r="F139" t="str">
            <v xml:space="preserve"> </v>
          </cell>
          <cell r="G139" t="str">
            <v xml:space="preserve"> </v>
          </cell>
          <cell r="H139" t="str">
            <v xml:space="preserve"> </v>
          </cell>
          <cell r="I139" t="str">
            <v xml:space="preserve"> </v>
          </cell>
          <cell r="J139" t="str">
            <v xml:space="preserve"> </v>
          </cell>
          <cell r="K139" t="str">
            <v xml:space="preserve"> </v>
          </cell>
          <cell r="L139" t="str">
            <v xml:space="preserve"> </v>
          </cell>
          <cell r="M139" t="str">
            <v xml:space="preserve"> </v>
          </cell>
        </row>
        <row r="140">
          <cell r="B140" t="str">
            <v xml:space="preserve"> </v>
          </cell>
          <cell r="C140" t="str">
            <v xml:space="preserve"> </v>
          </cell>
          <cell r="D140" t="str">
            <v xml:space="preserve"> </v>
          </cell>
          <cell r="E140" t="str">
            <v xml:space="preserve"> </v>
          </cell>
          <cell r="F140" t="str">
            <v xml:space="preserve"> </v>
          </cell>
          <cell r="G140" t="str">
            <v xml:space="preserve"> </v>
          </cell>
          <cell r="H140" t="str">
            <v xml:space="preserve"> </v>
          </cell>
          <cell r="I140" t="str">
            <v xml:space="preserve"> </v>
          </cell>
          <cell r="J140" t="str">
            <v xml:space="preserve"> </v>
          </cell>
          <cell r="K140" t="str">
            <v xml:space="preserve"> </v>
          </cell>
          <cell r="L140" t="str">
            <v xml:space="preserve"> </v>
          </cell>
          <cell r="M140" t="str">
            <v xml:space="preserve"> </v>
          </cell>
        </row>
        <row r="141">
          <cell r="B141" t="str">
            <v xml:space="preserve"> </v>
          </cell>
          <cell r="C141" t="str">
            <v xml:space="preserve"> </v>
          </cell>
          <cell r="D141" t="str">
            <v xml:space="preserve"> </v>
          </cell>
          <cell r="E141" t="str">
            <v xml:space="preserve"> </v>
          </cell>
          <cell r="F141" t="str">
            <v xml:space="preserve"> </v>
          </cell>
          <cell r="G141" t="str">
            <v xml:space="preserve"> </v>
          </cell>
          <cell r="H141" t="str">
            <v xml:space="preserve"> </v>
          </cell>
          <cell r="I141" t="str">
            <v xml:space="preserve"> </v>
          </cell>
          <cell r="J141" t="str">
            <v xml:space="preserve"> </v>
          </cell>
          <cell r="K141" t="str">
            <v xml:space="preserve"> </v>
          </cell>
          <cell r="L141" t="str">
            <v xml:space="preserve"> </v>
          </cell>
          <cell r="M141" t="str">
            <v xml:space="preserve"> </v>
          </cell>
        </row>
        <row r="142">
          <cell r="B142" t="str">
            <v xml:space="preserve"> </v>
          </cell>
          <cell r="C142" t="str">
            <v xml:space="preserve"> </v>
          </cell>
          <cell r="D142" t="str">
            <v xml:space="preserve"> </v>
          </cell>
          <cell r="E142" t="str">
            <v xml:space="preserve"> </v>
          </cell>
          <cell r="F142" t="str">
            <v xml:space="preserve"> </v>
          </cell>
          <cell r="G142" t="str">
            <v xml:space="preserve"> </v>
          </cell>
          <cell r="H142" t="str">
            <v xml:space="preserve"> </v>
          </cell>
          <cell r="I142" t="str">
            <v xml:space="preserve"> </v>
          </cell>
          <cell r="J142" t="str">
            <v xml:space="preserve"> </v>
          </cell>
          <cell r="K142" t="str">
            <v xml:space="preserve"> </v>
          </cell>
          <cell r="L142" t="str">
            <v xml:space="preserve"> </v>
          </cell>
          <cell r="M142" t="str">
            <v xml:space="preserve"> </v>
          </cell>
        </row>
        <row r="143">
          <cell r="B143" t="str">
            <v xml:space="preserve"> </v>
          </cell>
          <cell r="C143" t="str">
            <v xml:space="preserve"> </v>
          </cell>
          <cell r="D143" t="str">
            <v xml:space="preserve"> </v>
          </cell>
          <cell r="E143" t="str">
            <v xml:space="preserve"> </v>
          </cell>
          <cell r="F143" t="str">
            <v xml:space="preserve"> </v>
          </cell>
          <cell r="G143" t="str">
            <v xml:space="preserve"> </v>
          </cell>
          <cell r="H143" t="str">
            <v xml:space="preserve"> </v>
          </cell>
          <cell r="I143" t="str">
            <v xml:space="preserve"> </v>
          </cell>
          <cell r="J143" t="str">
            <v xml:space="preserve"> </v>
          </cell>
          <cell r="K143" t="str">
            <v xml:space="preserve"> </v>
          </cell>
          <cell r="L143" t="str">
            <v xml:space="preserve"> </v>
          </cell>
          <cell r="M143" t="str">
            <v xml:space="preserve"> </v>
          </cell>
        </row>
        <row r="144">
          <cell r="B144" t="str">
            <v xml:space="preserve"> </v>
          </cell>
          <cell r="C144" t="str">
            <v xml:space="preserve"> </v>
          </cell>
          <cell r="D144" t="str">
            <v xml:space="preserve"> </v>
          </cell>
          <cell r="E144" t="str">
            <v xml:space="preserve"> </v>
          </cell>
          <cell r="F144" t="str">
            <v xml:space="preserve"> </v>
          </cell>
          <cell r="G144" t="str">
            <v xml:space="preserve"> </v>
          </cell>
          <cell r="H144" t="str">
            <v xml:space="preserve"> </v>
          </cell>
          <cell r="I144" t="str">
            <v xml:space="preserve"> </v>
          </cell>
          <cell r="J144" t="str">
            <v xml:space="preserve"> </v>
          </cell>
          <cell r="K144" t="str">
            <v xml:space="preserve"> </v>
          </cell>
          <cell r="L144" t="str">
            <v xml:space="preserve"> </v>
          </cell>
          <cell r="M144" t="str">
            <v xml:space="preserve"> </v>
          </cell>
        </row>
        <row r="145">
          <cell r="B145" t="str">
            <v xml:space="preserve"> </v>
          </cell>
          <cell r="C145" t="str">
            <v xml:space="preserve"> </v>
          </cell>
          <cell r="D145" t="str">
            <v xml:space="preserve"> </v>
          </cell>
          <cell r="E145" t="str">
            <v xml:space="preserve"> </v>
          </cell>
          <cell r="F145" t="str">
            <v xml:space="preserve"> </v>
          </cell>
          <cell r="G145" t="str">
            <v xml:space="preserve"> </v>
          </cell>
          <cell r="H145" t="str">
            <v xml:space="preserve"> </v>
          </cell>
          <cell r="I145" t="str">
            <v xml:space="preserve"> </v>
          </cell>
          <cell r="J145" t="str">
            <v xml:space="preserve"> </v>
          </cell>
          <cell r="K145" t="str">
            <v xml:space="preserve"> </v>
          </cell>
          <cell r="L145" t="str">
            <v xml:space="preserve"> </v>
          </cell>
          <cell r="M145" t="str">
            <v xml:space="preserve"> </v>
          </cell>
        </row>
        <row r="146">
          <cell r="B146" t="str">
            <v xml:space="preserve"> </v>
          </cell>
          <cell r="C146" t="str">
            <v xml:space="preserve"> </v>
          </cell>
          <cell r="D146" t="str">
            <v xml:space="preserve"> </v>
          </cell>
          <cell r="E146" t="str">
            <v xml:space="preserve"> </v>
          </cell>
          <cell r="F146" t="str">
            <v xml:space="preserve"> </v>
          </cell>
          <cell r="G146" t="str">
            <v xml:space="preserve"> </v>
          </cell>
          <cell r="H146" t="str">
            <v xml:space="preserve"> </v>
          </cell>
          <cell r="I146" t="str">
            <v xml:space="preserve"> </v>
          </cell>
          <cell r="J146" t="str">
            <v xml:space="preserve"> </v>
          </cell>
          <cell r="K146" t="str">
            <v xml:space="preserve"> </v>
          </cell>
          <cell r="L146" t="str">
            <v xml:space="preserve"> </v>
          </cell>
          <cell r="M146" t="str">
            <v xml:space="preserve"> </v>
          </cell>
        </row>
        <row r="147">
          <cell r="B147" t="str">
            <v xml:space="preserve"> </v>
          </cell>
          <cell r="C147" t="str">
            <v xml:space="preserve"> </v>
          </cell>
          <cell r="D147" t="str">
            <v xml:space="preserve"> </v>
          </cell>
          <cell r="E147" t="str">
            <v xml:space="preserve"> </v>
          </cell>
          <cell r="F147" t="str">
            <v xml:space="preserve"> </v>
          </cell>
          <cell r="G147" t="str">
            <v xml:space="preserve"> </v>
          </cell>
          <cell r="H147" t="str">
            <v xml:space="preserve"> </v>
          </cell>
          <cell r="I147" t="str">
            <v xml:space="preserve"> </v>
          </cell>
          <cell r="J147" t="str">
            <v xml:space="preserve"> </v>
          </cell>
          <cell r="K147" t="str">
            <v xml:space="preserve"> </v>
          </cell>
          <cell r="L147" t="str">
            <v xml:space="preserve"> </v>
          </cell>
          <cell r="M147" t="str">
            <v xml:space="preserve"> </v>
          </cell>
        </row>
        <row r="148">
          <cell r="B148" t="str">
            <v xml:space="preserve"> </v>
          </cell>
          <cell r="C148" t="str">
            <v xml:space="preserve"> </v>
          </cell>
          <cell r="D148" t="str">
            <v xml:space="preserve"> </v>
          </cell>
          <cell r="E148" t="str">
            <v xml:space="preserve"> </v>
          </cell>
          <cell r="F148" t="str">
            <v xml:space="preserve"> </v>
          </cell>
          <cell r="G148" t="str">
            <v xml:space="preserve"> </v>
          </cell>
          <cell r="H148" t="str">
            <v xml:space="preserve"> </v>
          </cell>
          <cell r="I148" t="str">
            <v xml:space="preserve"> </v>
          </cell>
          <cell r="J148" t="str">
            <v xml:space="preserve"> </v>
          </cell>
          <cell r="K148" t="str">
            <v xml:space="preserve"> </v>
          </cell>
          <cell r="L148" t="str">
            <v xml:space="preserve"> </v>
          </cell>
          <cell r="M148" t="str">
            <v xml:space="preserve"> </v>
          </cell>
        </row>
        <row r="149">
          <cell r="B149" t="str">
            <v xml:space="preserve"> </v>
          </cell>
          <cell r="C149" t="str">
            <v xml:space="preserve"> </v>
          </cell>
          <cell r="D149" t="str">
            <v xml:space="preserve"> </v>
          </cell>
          <cell r="E149" t="str">
            <v xml:space="preserve"> </v>
          </cell>
          <cell r="F149" t="str">
            <v xml:space="preserve"> </v>
          </cell>
          <cell r="G149" t="str">
            <v xml:space="preserve"> </v>
          </cell>
          <cell r="H149" t="str">
            <v xml:space="preserve"> </v>
          </cell>
          <cell r="I149" t="str">
            <v xml:space="preserve"> </v>
          </cell>
          <cell r="J149" t="str">
            <v xml:space="preserve"> </v>
          </cell>
          <cell r="K149" t="str">
            <v xml:space="preserve"> </v>
          </cell>
          <cell r="L149" t="str">
            <v xml:space="preserve"> </v>
          </cell>
          <cell r="M149" t="str">
            <v xml:space="preserve"> </v>
          </cell>
        </row>
        <row r="150">
          <cell r="B150" t="str">
            <v xml:space="preserve"> </v>
          </cell>
          <cell r="C150" t="str">
            <v xml:space="preserve"> </v>
          </cell>
          <cell r="D150" t="str">
            <v xml:space="preserve"> </v>
          </cell>
          <cell r="E150" t="str">
            <v xml:space="preserve"> </v>
          </cell>
          <cell r="F150" t="str">
            <v xml:space="preserve"> </v>
          </cell>
          <cell r="G150" t="str">
            <v xml:space="preserve"> </v>
          </cell>
          <cell r="H150" t="str">
            <v xml:space="preserve"> </v>
          </cell>
          <cell r="I150" t="str">
            <v xml:space="preserve"> </v>
          </cell>
          <cell r="J150" t="str">
            <v xml:space="preserve"> </v>
          </cell>
          <cell r="K150" t="str">
            <v xml:space="preserve"> </v>
          </cell>
          <cell r="L150" t="str">
            <v xml:space="preserve"> </v>
          </cell>
          <cell r="M150" t="str">
            <v xml:space="preserve"> </v>
          </cell>
        </row>
        <row r="151">
          <cell r="B151" t="str">
            <v xml:space="preserve"> </v>
          </cell>
          <cell r="C151" t="str">
            <v xml:space="preserve"> </v>
          </cell>
          <cell r="D151" t="str">
            <v xml:space="preserve"> </v>
          </cell>
          <cell r="E151" t="str">
            <v xml:space="preserve"> </v>
          </cell>
          <cell r="F151" t="str">
            <v xml:space="preserve"> </v>
          </cell>
          <cell r="G151" t="str">
            <v xml:space="preserve"> </v>
          </cell>
          <cell r="H151" t="str">
            <v xml:space="preserve"> </v>
          </cell>
          <cell r="I151" t="str">
            <v xml:space="preserve"> </v>
          </cell>
          <cell r="J151" t="str">
            <v xml:space="preserve"> </v>
          </cell>
          <cell r="K151" t="str">
            <v xml:space="preserve"> </v>
          </cell>
          <cell r="L151" t="str">
            <v xml:space="preserve"> </v>
          </cell>
          <cell r="M151" t="str">
            <v xml:space="preserve"> </v>
          </cell>
        </row>
        <row r="152">
          <cell r="B152" t="str">
            <v xml:space="preserve"> </v>
          </cell>
          <cell r="C152" t="str">
            <v xml:space="preserve"> </v>
          </cell>
          <cell r="D152" t="str">
            <v xml:space="preserve"> </v>
          </cell>
          <cell r="E152" t="str">
            <v xml:space="preserve"> </v>
          </cell>
          <cell r="F152" t="str">
            <v xml:space="preserve"> </v>
          </cell>
          <cell r="G152" t="str">
            <v xml:space="preserve"> </v>
          </cell>
          <cell r="H152" t="str">
            <v xml:space="preserve"> </v>
          </cell>
          <cell r="I152" t="str">
            <v xml:space="preserve"> </v>
          </cell>
          <cell r="J152" t="str">
            <v xml:space="preserve"> </v>
          </cell>
          <cell r="K152" t="str">
            <v xml:space="preserve"> </v>
          </cell>
          <cell r="L152" t="str">
            <v xml:space="preserve"> </v>
          </cell>
          <cell r="M152" t="str">
            <v xml:space="preserve"> </v>
          </cell>
        </row>
        <row r="153">
          <cell r="B153" t="str">
            <v xml:space="preserve"> </v>
          </cell>
          <cell r="C153" t="str">
            <v xml:space="preserve"> </v>
          </cell>
          <cell r="D153" t="str">
            <v xml:space="preserve"> </v>
          </cell>
          <cell r="E153" t="str">
            <v xml:space="preserve"> </v>
          </cell>
          <cell r="F153" t="str">
            <v xml:space="preserve"> </v>
          </cell>
          <cell r="G153" t="str">
            <v xml:space="preserve"> </v>
          </cell>
          <cell r="H153" t="str">
            <v xml:space="preserve"> </v>
          </cell>
          <cell r="I153" t="str">
            <v xml:space="preserve"> </v>
          </cell>
          <cell r="J153" t="str">
            <v xml:space="preserve"> </v>
          </cell>
          <cell r="K153" t="str">
            <v xml:space="preserve"> </v>
          </cell>
          <cell r="L153" t="str">
            <v xml:space="preserve"> </v>
          </cell>
          <cell r="M153" t="str">
            <v xml:space="preserve"> </v>
          </cell>
        </row>
        <row r="154">
          <cell r="B154" t="str">
            <v xml:space="preserve"> </v>
          </cell>
          <cell r="C154" t="str">
            <v xml:space="preserve"> </v>
          </cell>
          <cell r="D154" t="str">
            <v xml:space="preserve"> </v>
          </cell>
          <cell r="E154" t="str">
            <v xml:space="preserve"> </v>
          </cell>
          <cell r="F154" t="str">
            <v xml:space="preserve"> </v>
          </cell>
          <cell r="G154" t="str">
            <v xml:space="preserve"> </v>
          </cell>
          <cell r="H154" t="str">
            <v xml:space="preserve"> </v>
          </cell>
          <cell r="I154" t="str">
            <v xml:space="preserve"> </v>
          </cell>
          <cell r="J154" t="str">
            <v xml:space="preserve"> </v>
          </cell>
          <cell r="K154" t="str">
            <v xml:space="preserve"> </v>
          </cell>
          <cell r="L154" t="str">
            <v xml:space="preserve"> </v>
          </cell>
          <cell r="M154" t="str">
            <v xml:space="preserve"> </v>
          </cell>
        </row>
        <row r="155">
          <cell r="B155" t="str">
            <v xml:space="preserve"> </v>
          </cell>
          <cell r="C155" t="str">
            <v xml:space="preserve"> </v>
          </cell>
          <cell r="D155" t="str">
            <v xml:space="preserve"> </v>
          </cell>
          <cell r="E155" t="str">
            <v xml:space="preserve"> </v>
          </cell>
          <cell r="F155" t="str">
            <v xml:space="preserve"> </v>
          </cell>
          <cell r="G155" t="str">
            <v xml:space="preserve"> </v>
          </cell>
          <cell r="H155" t="str">
            <v xml:space="preserve"> </v>
          </cell>
          <cell r="I155" t="str">
            <v xml:space="preserve"> </v>
          </cell>
          <cell r="J155" t="str">
            <v xml:space="preserve"> </v>
          </cell>
          <cell r="K155" t="str">
            <v xml:space="preserve"> </v>
          </cell>
          <cell r="L155" t="str">
            <v xml:space="preserve"> </v>
          </cell>
          <cell r="M155" t="str">
            <v xml:space="preserve"> </v>
          </cell>
        </row>
        <row r="156">
          <cell r="B156" t="str">
            <v xml:space="preserve"> </v>
          </cell>
          <cell r="C156" t="str">
            <v xml:space="preserve"> </v>
          </cell>
          <cell r="D156" t="str">
            <v xml:space="preserve"> </v>
          </cell>
          <cell r="E156" t="str">
            <v xml:space="preserve"> </v>
          </cell>
          <cell r="F156" t="str">
            <v xml:space="preserve"> </v>
          </cell>
          <cell r="G156" t="str">
            <v xml:space="preserve"> </v>
          </cell>
          <cell r="H156" t="str">
            <v xml:space="preserve"> </v>
          </cell>
          <cell r="I156" t="str">
            <v xml:space="preserve"> </v>
          </cell>
          <cell r="J156" t="str">
            <v xml:space="preserve"> </v>
          </cell>
          <cell r="K156" t="str">
            <v xml:space="preserve"> </v>
          </cell>
          <cell r="L156" t="str">
            <v xml:space="preserve"> </v>
          </cell>
          <cell r="M156" t="str">
            <v xml:space="preserve"> </v>
          </cell>
        </row>
        <row r="157">
          <cell r="B157" t="str">
            <v xml:space="preserve"> </v>
          </cell>
          <cell r="C157" t="str">
            <v xml:space="preserve"> </v>
          </cell>
          <cell r="D157" t="str">
            <v xml:space="preserve"> </v>
          </cell>
          <cell r="E157" t="str">
            <v xml:space="preserve"> </v>
          </cell>
          <cell r="F157" t="str">
            <v xml:space="preserve"> </v>
          </cell>
          <cell r="G157" t="str">
            <v xml:space="preserve"> </v>
          </cell>
          <cell r="H157" t="str">
            <v xml:space="preserve"> </v>
          </cell>
          <cell r="I157" t="str">
            <v xml:space="preserve"> </v>
          </cell>
          <cell r="J157" t="str">
            <v xml:space="preserve"> </v>
          </cell>
          <cell r="K157" t="str">
            <v xml:space="preserve"> </v>
          </cell>
          <cell r="L157" t="str">
            <v xml:space="preserve"> </v>
          </cell>
          <cell r="M157" t="str">
            <v xml:space="preserve"> </v>
          </cell>
        </row>
        <row r="158">
          <cell r="B158" t="str">
            <v xml:space="preserve"> </v>
          </cell>
          <cell r="C158" t="str">
            <v xml:space="preserve"> </v>
          </cell>
          <cell r="D158" t="str">
            <v xml:space="preserve"> </v>
          </cell>
          <cell r="E158" t="str">
            <v xml:space="preserve"> </v>
          </cell>
          <cell r="F158" t="str">
            <v xml:space="preserve"> </v>
          </cell>
          <cell r="G158" t="str">
            <v xml:space="preserve"> </v>
          </cell>
          <cell r="H158" t="str">
            <v xml:space="preserve"> </v>
          </cell>
          <cell r="I158" t="str">
            <v xml:space="preserve"> </v>
          </cell>
          <cell r="J158" t="str">
            <v xml:space="preserve"> </v>
          </cell>
          <cell r="K158" t="str">
            <v xml:space="preserve"> </v>
          </cell>
          <cell r="L158" t="str">
            <v xml:space="preserve"> </v>
          </cell>
          <cell r="M158" t="str">
            <v xml:space="preserve"> </v>
          </cell>
        </row>
        <row r="159">
          <cell r="B159" t="str">
            <v xml:space="preserve"> </v>
          </cell>
          <cell r="C159" t="str">
            <v xml:space="preserve"> </v>
          </cell>
          <cell r="D159" t="str">
            <v xml:space="preserve"> </v>
          </cell>
          <cell r="E159" t="str">
            <v xml:space="preserve"> </v>
          </cell>
          <cell r="F159" t="str">
            <v xml:space="preserve"> </v>
          </cell>
          <cell r="G159" t="str">
            <v xml:space="preserve"> </v>
          </cell>
          <cell r="H159" t="str">
            <v xml:space="preserve"> </v>
          </cell>
          <cell r="I159" t="str">
            <v xml:space="preserve"> </v>
          </cell>
          <cell r="J159" t="str">
            <v xml:space="preserve"> </v>
          </cell>
          <cell r="K159" t="str">
            <v xml:space="preserve"> </v>
          </cell>
          <cell r="L159" t="str">
            <v xml:space="preserve"> </v>
          </cell>
          <cell r="M159" t="str">
            <v xml:space="preserve"> </v>
          </cell>
        </row>
        <row r="160">
          <cell r="B160" t="str">
            <v xml:space="preserve"> </v>
          </cell>
          <cell r="C160" t="str">
            <v xml:space="preserve"> </v>
          </cell>
          <cell r="D160" t="str">
            <v xml:space="preserve"> </v>
          </cell>
          <cell r="E160" t="str">
            <v xml:space="preserve"> </v>
          </cell>
          <cell r="F160" t="str">
            <v xml:space="preserve"> </v>
          </cell>
          <cell r="G160" t="str">
            <v xml:space="preserve"> </v>
          </cell>
          <cell r="H160" t="str">
            <v xml:space="preserve"> </v>
          </cell>
          <cell r="I160" t="str">
            <v xml:space="preserve"> </v>
          </cell>
          <cell r="J160" t="str">
            <v xml:space="preserve"> </v>
          </cell>
          <cell r="K160" t="str">
            <v xml:space="preserve"> </v>
          </cell>
          <cell r="L160" t="str">
            <v xml:space="preserve"> </v>
          </cell>
          <cell r="M160" t="str">
            <v xml:space="preserve"> </v>
          </cell>
        </row>
        <row r="161">
          <cell r="B161" t="str">
            <v xml:space="preserve"> </v>
          </cell>
          <cell r="C161" t="str">
            <v xml:space="preserve"> </v>
          </cell>
          <cell r="D161" t="str">
            <v xml:space="preserve"> </v>
          </cell>
          <cell r="E161" t="str">
            <v xml:space="preserve"> </v>
          </cell>
          <cell r="F161" t="str">
            <v xml:space="preserve"> </v>
          </cell>
          <cell r="G161" t="str">
            <v xml:space="preserve"> </v>
          </cell>
          <cell r="H161" t="str">
            <v xml:space="preserve"> </v>
          </cell>
          <cell r="I161" t="str">
            <v xml:space="preserve"> </v>
          </cell>
          <cell r="J161" t="str">
            <v xml:space="preserve"> </v>
          </cell>
          <cell r="K161" t="str">
            <v xml:space="preserve"> </v>
          </cell>
          <cell r="L161" t="str">
            <v xml:space="preserve"> </v>
          </cell>
          <cell r="M161" t="str">
            <v xml:space="preserve"> </v>
          </cell>
        </row>
        <row r="162">
          <cell r="B162" t="str">
            <v xml:space="preserve"> </v>
          </cell>
          <cell r="C162" t="str">
            <v xml:space="preserve"> </v>
          </cell>
          <cell r="D162" t="str">
            <v xml:space="preserve"> </v>
          </cell>
          <cell r="E162" t="str">
            <v xml:space="preserve"> </v>
          </cell>
          <cell r="F162" t="str">
            <v xml:space="preserve"> </v>
          </cell>
          <cell r="G162" t="str">
            <v xml:space="preserve"> </v>
          </cell>
          <cell r="H162" t="str">
            <v xml:space="preserve"> </v>
          </cell>
          <cell r="I162" t="str">
            <v xml:space="preserve"> </v>
          </cell>
          <cell r="J162" t="str">
            <v xml:space="preserve"> </v>
          </cell>
          <cell r="K162" t="str">
            <v xml:space="preserve"> </v>
          </cell>
          <cell r="L162" t="str">
            <v xml:space="preserve"> </v>
          </cell>
          <cell r="M162" t="str">
            <v xml:space="preserve"> </v>
          </cell>
        </row>
        <row r="163">
          <cell r="B163" t="str">
            <v xml:space="preserve"> </v>
          </cell>
          <cell r="C163" t="str">
            <v xml:space="preserve"> </v>
          </cell>
          <cell r="D163" t="str">
            <v xml:space="preserve"> </v>
          </cell>
          <cell r="E163" t="str">
            <v xml:space="preserve"> </v>
          </cell>
          <cell r="F163" t="str">
            <v xml:space="preserve"> </v>
          </cell>
          <cell r="G163" t="str">
            <v xml:space="preserve"> </v>
          </cell>
          <cell r="H163" t="str">
            <v xml:space="preserve"> </v>
          </cell>
          <cell r="I163" t="str">
            <v xml:space="preserve"> </v>
          </cell>
          <cell r="J163" t="str">
            <v xml:space="preserve"> </v>
          </cell>
          <cell r="K163" t="str">
            <v xml:space="preserve"> </v>
          </cell>
          <cell r="L163" t="str">
            <v xml:space="preserve"> </v>
          </cell>
          <cell r="M163" t="str">
            <v xml:space="preserve"> </v>
          </cell>
        </row>
        <row r="164">
          <cell r="B164" t="str">
            <v xml:space="preserve"> </v>
          </cell>
          <cell r="C164" t="str">
            <v xml:space="preserve"> </v>
          </cell>
          <cell r="D164" t="str">
            <v xml:space="preserve"> </v>
          </cell>
          <cell r="E164" t="str">
            <v xml:space="preserve"> </v>
          </cell>
          <cell r="F164" t="str">
            <v xml:space="preserve"> </v>
          </cell>
          <cell r="G164" t="str">
            <v xml:space="preserve"> </v>
          </cell>
          <cell r="H164" t="str">
            <v xml:space="preserve"> </v>
          </cell>
          <cell r="I164" t="str">
            <v xml:space="preserve"> </v>
          </cell>
          <cell r="J164" t="str">
            <v xml:space="preserve"> </v>
          </cell>
          <cell r="K164" t="str">
            <v xml:space="preserve"> </v>
          </cell>
          <cell r="L164" t="str">
            <v xml:space="preserve"> </v>
          </cell>
          <cell r="M164" t="str">
            <v xml:space="preserve"> </v>
          </cell>
        </row>
        <row r="165">
          <cell r="B165" t="str">
            <v xml:space="preserve"> </v>
          </cell>
          <cell r="C165" t="str">
            <v xml:space="preserve"> </v>
          </cell>
          <cell r="D165" t="str">
            <v xml:space="preserve"> </v>
          </cell>
          <cell r="E165" t="str">
            <v xml:space="preserve"> </v>
          </cell>
          <cell r="F165" t="str">
            <v xml:space="preserve"> </v>
          </cell>
          <cell r="G165" t="str">
            <v xml:space="preserve"> </v>
          </cell>
          <cell r="H165" t="str">
            <v xml:space="preserve"> </v>
          </cell>
          <cell r="I165" t="str">
            <v xml:space="preserve"> </v>
          </cell>
          <cell r="J165" t="str">
            <v xml:space="preserve"> </v>
          </cell>
          <cell r="K165" t="str">
            <v xml:space="preserve"> </v>
          </cell>
          <cell r="L165" t="str">
            <v xml:space="preserve"> </v>
          </cell>
          <cell r="M165" t="str">
            <v xml:space="preserve"> </v>
          </cell>
        </row>
        <row r="166">
          <cell r="B166" t="str">
            <v xml:space="preserve"> </v>
          </cell>
          <cell r="C166" t="str">
            <v xml:space="preserve"> </v>
          </cell>
          <cell r="D166" t="str">
            <v xml:space="preserve"> </v>
          </cell>
          <cell r="E166" t="str">
            <v xml:space="preserve"> </v>
          </cell>
          <cell r="F166" t="str">
            <v xml:space="preserve"> </v>
          </cell>
          <cell r="G166" t="str">
            <v xml:space="preserve"> </v>
          </cell>
          <cell r="H166" t="str">
            <v xml:space="preserve"> </v>
          </cell>
          <cell r="I166" t="str">
            <v xml:space="preserve"> </v>
          </cell>
          <cell r="J166" t="str">
            <v xml:space="preserve"> </v>
          </cell>
          <cell r="K166" t="str">
            <v xml:space="preserve"> </v>
          </cell>
          <cell r="L166" t="str">
            <v xml:space="preserve"> </v>
          </cell>
          <cell r="M166" t="str">
            <v xml:space="preserve"> </v>
          </cell>
        </row>
        <row r="167">
          <cell r="B167" t="str">
            <v xml:space="preserve"> </v>
          </cell>
          <cell r="C167" t="str">
            <v xml:space="preserve"> </v>
          </cell>
          <cell r="D167" t="str">
            <v xml:space="preserve"> </v>
          </cell>
          <cell r="E167" t="str">
            <v xml:space="preserve"> </v>
          </cell>
          <cell r="F167" t="str">
            <v xml:space="preserve"> </v>
          </cell>
          <cell r="G167" t="str">
            <v xml:space="preserve"> </v>
          </cell>
          <cell r="H167" t="str">
            <v xml:space="preserve"> </v>
          </cell>
          <cell r="I167" t="str">
            <v xml:space="preserve"> </v>
          </cell>
          <cell r="J167" t="str">
            <v xml:space="preserve"> </v>
          </cell>
          <cell r="K167" t="str">
            <v xml:space="preserve"> </v>
          </cell>
          <cell r="L167" t="str">
            <v xml:space="preserve"> </v>
          </cell>
          <cell r="M167" t="str">
            <v xml:space="preserve"> </v>
          </cell>
        </row>
        <row r="168">
          <cell r="B168" t="str">
            <v xml:space="preserve"> </v>
          </cell>
          <cell r="C168" t="str">
            <v xml:space="preserve"> </v>
          </cell>
          <cell r="D168" t="str">
            <v xml:space="preserve"> </v>
          </cell>
          <cell r="E168" t="str">
            <v xml:space="preserve"> </v>
          </cell>
          <cell r="F168" t="str">
            <v xml:space="preserve"> </v>
          </cell>
          <cell r="G168" t="str">
            <v xml:space="preserve"> </v>
          </cell>
          <cell r="H168" t="str">
            <v xml:space="preserve"> </v>
          </cell>
          <cell r="I168" t="str">
            <v xml:space="preserve"> </v>
          </cell>
          <cell r="J168" t="str">
            <v xml:space="preserve"> </v>
          </cell>
          <cell r="K168" t="str">
            <v xml:space="preserve"> </v>
          </cell>
          <cell r="L168" t="str">
            <v xml:space="preserve"> </v>
          </cell>
          <cell r="M168" t="str">
            <v xml:space="preserve"> </v>
          </cell>
        </row>
        <row r="169">
          <cell r="B169" t="str">
            <v xml:space="preserve"> </v>
          </cell>
          <cell r="C169" t="str">
            <v xml:space="preserve"> </v>
          </cell>
          <cell r="D169" t="str">
            <v xml:space="preserve"> </v>
          </cell>
          <cell r="E169" t="str">
            <v xml:space="preserve"> </v>
          </cell>
          <cell r="F169" t="str">
            <v xml:space="preserve"> </v>
          </cell>
          <cell r="G169" t="str">
            <v xml:space="preserve"> </v>
          </cell>
          <cell r="H169" t="str">
            <v xml:space="preserve"> </v>
          </cell>
          <cell r="I169" t="str">
            <v xml:space="preserve"> </v>
          </cell>
          <cell r="J169" t="str">
            <v xml:space="preserve"> </v>
          </cell>
          <cell r="K169" t="str">
            <v xml:space="preserve"> </v>
          </cell>
          <cell r="L169" t="str">
            <v xml:space="preserve"> </v>
          </cell>
          <cell r="M169" t="str">
            <v xml:space="preserve"> </v>
          </cell>
        </row>
        <row r="170">
          <cell r="B170" t="str">
            <v xml:space="preserve"> </v>
          </cell>
          <cell r="C170" t="str">
            <v xml:space="preserve"> </v>
          </cell>
          <cell r="D170" t="str">
            <v xml:space="preserve"> </v>
          </cell>
          <cell r="E170" t="str">
            <v xml:space="preserve"> </v>
          </cell>
          <cell r="F170" t="str">
            <v xml:space="preserve"> </v>
          </cell>
          <cell r="G170" t="str">
            <v xml:space="preserve"> </v>
          </cell>
          <cell r="H170" t="str">
            <v xml:space="preserve"> </v>
          </cell>
          <cell r="I170" t="str">
            <v xml:space="preserve"> </v>
          </cell>
          <cell r="J170" t="str">
            <v xml:space="preserve"> </v>
          </cell>
          <cell r="K170" t="str">
            <v xml:space="preserve"> </v>
          </cell>
          <cell r="L170" t="str">
            <v xml:space="preserve"> </v>
          </cell>
          <cell r="M170" t="str">
            <v xml:space="preserve"> </v>
          </cell>
        </row>
        <row r="171">
          <cell r="B171" t="str">
            <v xml:space="preserve"> </v>
          </cell>
          <cell r="C171" t="str">
            <v xml:space="preserve"> </v>
          </cell>
          <cell r="D171" t="str">
            <v xml:space="preserve"> </v>
          </cell>
          <cell r="E171" t="str">
            <v xml:space="preserve"> </v>
          </cell>
          <cell r="F171" t="str">
            <v xml:space="preserve"> </v>
          </cell>
          <cell r="G171" t="str">
            <v xml:space="preserve"> </v>
          </cell>
          <cell r="H171" t="str">
            <v xml:space="preserve"> </v>
          </cell>
          <cell r="I171" t="str">
            <v xml:space="preserve"> </v>
          </cell>
          <cell r="J171" t="str">
            <v xml:space="preserve"> </v>
          </cell>
          <cell r="K171" t="str">
            <v xml:space="preserve"> </v>
          </cell>
          <cell r="L171" t="str">
            <v xml:space="preserve"> </v>
          </cell>
          <cell r="M171" t="str">
            <v xml:space="preserve"> </v>
          </cell>
        </row>
        <row r="172">
          <cell r="B172" t="str">
            <v xml:space="preserve"> </v>
          </cell>
          <cell r="C172" t="str">
            <v xml:space="preserve"> </v>
          </cell>
          <cell r="D172" t="str">
            <v xml:space="preserve"> </v>
          </cell>
          <cell r="E172" t="str">
            <v xml:space="preserve"> </v>
          </cell>
          <cell r="F172" t="str">
            <v xml:space="preserve"> </v>
          </cell>
          <cell r="G172" t="str">
            <v xml:space="preserve"> </v>
          </cell>
          <cell r="H172" t="str">
            <v xml:space="preserve"> </v>
          </cell>
          <cell r="I172" t="str">
            <v xml:space="preserve"> </v>
          </cell>
          <cell r="J172" t="str">
            <v xml:space="preserve"> </v>
          </cell>
          <cell r="K172" t="str">
            <v xml:space="preserve"> </v>
          </cell>
          <cell r="L172" t="str">
            <v xml:space="preserve"> </v>
          </cell>
          <cell r="M172" t="str">
            <v xml:space="preserve"> </v>
          </cell>
        </row>
        <row r="173">
          <cell r="B173" t="str">
            <v xml:space="preserve"> </v>
          </cell>
          <cell r="C173" t="str">
            <v xml:space="preserve"> </v>
          </cell>
          <cell r="D173" t="str">
            <v xml:space="preserve"> </v>
          </cell>
          <cell r="E173" t="str">
            <v xml:space="preserve"> </v>
          </cell>
          <cell r="F173" t="str">
            <v xml:space="preserve"> </v>
          </cell>
          <cell r="G173" t="str">
            <v xml:space="preserve"> </v>
          </cell>
          <cell r="H173" t="str">
            <v xml:space="preserve"> </v>
          </cell>
          <cell r="I173" t="str">
            <v xml:space="preserve"> </v>
          </cell>
          <cell r="J173" t="str">
            <v xml:space="preserve"> </v>
          </cell>
          <cell r="K173" t="str">
            <v xml:space="preserve"> </v>
          </cell>
          <cell r="L173" t="str">
            <v xml:space="preserve"> </v>
          </cell>
          <cell r="M173" t="str">
            <v xml:space="preserve"> </v>
          </cell>
        </row>
        <row r="174">
          <cell r="B174" t="str">
            <v xml:space="preserve"> </v>
          </cell>
          <cell r="C174" t="str">
            <v xml:space="preserve"> </v>
          </cell>
          <cell r="D174" t="str">
            <v xml:space="preserve"> </v>
          </cell>
          <cell r="E174" t="str">
            <v xml:space="preserve"> </v>
          </cell>
          <cell r="F174" t="str">
            <v xml:space="preserve"> </v>
          </cell>
          <cell r="G174" t="str">
            <v xml:space="preserve"> </v>
          </cell>
          <cell r="H174" t="str">
            <v xml:space="preserve"> </v>
          </cell>
          <cell r="I174" t="str">
            <v xml:space="preserve"> </v>
          </cell>
          <cell r="J174" t="str">
            <v xml:space="preserve"> </v>
          </cell>
          <cell r="K174" t="str">
            <v xml:space="preserve"> </v>
          </cell>
          <cell r="L174" t="str">
            <v xml:space="preserve"> </v>
          </cell>
          <cell r="M174" t="str">
            <v xml:space="preserve"> </v>
          </cell>
        </row>
        <row r="175">
          <cell r="B175" t="str">
            <v xml:space="preserve"> </v>
          </cell>
          <cell r="C175" t="str">
            <v xml:space="preserve"> </v>
          </cell>
          <cell r="D175" t="str">
            <v xml:space="preserve"> </v>
          </cell>
          <cell r="E175" t="str">
            <v xml:space="preserve"> </v>
          </cell>
          <cell r="F175" t="str">
            <v xml:space="preserve"> </v>
          </cell>
          <cell r="G175" t="str">
            <v xml:space="preserve"> </v>
          </cell>
          <cell r="H175" t="str">
            <v xml:space="preserve"> </v>
          </cell>
          <cell r="I175" t="str">
            <v xml:space="preserve"> </v>
          </cell>
          <cell r="J175" t="str">
            <v xml:space="preserve"> </v>
          </cell>
          <cell r="K175" t="str">
            <v xml:space="preserve"> </v>
          </cell>
          <cell r="L175" t="str">
            <v xml:space="preserve"> </v>
          </cell>
          <cell r="M175" t="str">
            <v xml:space="preserve"> </v>
          </cell>
        </row>
        <row r="176">
          <cell r="B176" t="str">
            <v xml:space="preserve"> </v>
          </cell>
          <cell r="C176" t="str">
            <v xml:space="preserve"> </v>
          </cell>
          <cell r="D176" t="str">
            <v xml:space="preserve"> </v>
          </cell>
          <cell r="E176" t="str">
            <v xml:space="preserve"> </v>
          </cell>
          <cell r="F176" t="str">
            <v xml:space="preserve"> </v>
          </cell>
          <cell r="G176" t="str">
            <v xml:space="preserve"> </v>
          </cell>
          <cell r="H176" t="str">
            <v xml:space="preserve"> </v>
          </cell>
          <cell r="I176" t="str">
            <v xml:space="preserve"> </v>
          </cell>
          <cell r="J176" t="str">
            <v xml:space="preserve"> </v>
          </cell>
          <cell r="K176" t="str">
            <v xml:space="preserve"> </v>
          </cell>
          <cell r="L176" t="str">
            <v xml:space="preserve"> </v>
          </cell>
          <cell r="M176" t="str">
            <v xml:space="preserve"> </v>
          </cell>
        </row>
        <row r="177">
          <cell r="B177" t="str">
            <v xml:space="preserve"> </v>
          </cell>
          <cell r="C177" t="str">
            <v xml:space="preserve"> </v>
          </cell>
          <cell r="D177" t="str">
            <v xml:space="preserve"> </v>
          </cell>
          <cell r="E177" t="str">
            <v xml:space="preserve"> </v>
          </cell>
          <cell r="F177" t="str">
            <v xml:space="preserve"> </v>
          </cell>
          <cell r="G177" t="str">
            <v xml:space="preserve"> </v>
          </cell>
          <cell r="H177" t="str">
            <v xml:space="preserve"> </v>
          </cell>
          <cell r="I177" t="str">
            <v xml:space="preserve"> </v>
          </cell>
          <cell r="J177" t="str">
            <v xml:space="preserve"> </v>
          </cell>
          <cell r="K177" t="str">
            <v xml:space="preserve"> </v>
          </cell>
          <cell r="L177" t="str">
            <v xml:space="preserve"> </v>
          </cell>
          <cell r="M177" t="str">
            <v xml:space="preserve"> </v>
          </cell>
        </row>
        <row r="178">
          <cell r="B178" t="str">
            <v xml:space="preserve"> </v>
          </cell>
          <cell r="C178" t="str">
            <v xml:space="preserve"> </v>
          </cell>
          <cell r="D178" t="str">
            <v xml:space="preserve"> </v>
          </cell>
          <cell r="E178" t="str">
            <v xml:space="preserve"> </v>
          </cell>
          <cell r="F178" t="str">
            <v xml:space="preserve"> </v>
          </cell>
          <cell r="G178" t="str">
            <v xml:space="preserve"> </v>
          </cell>
          <cell r="H178" t="str">
            <v xml:space="preserve"> </v>
          </cell>
          <cell r="I178" t="str">
            <v xml:space="preserve"> </v>
          </cell>
          <cell r="J178" t="str">
            <v xml:space="preserve"> </v>
          </cell>
          <cell r="K178" t="str">
            <v xml:space="preserve"> </v>
          </cell>
          <cell r="L178" t="str">
            <v xml:space="preserve"> </v>
          </cell>
          <cell r="M178" t="str">
            <v xml:space="preserve"> </v>
          </cell>
        </row>
        <row r="179">
          <cell r="B179" t="str">
            <v xml:space="preserve"> </v>
          </cell>
          <cell r="C179" t="str">
            <v xml:space="preserve"> </v>
          </cell>
          <cell r="D179" t="str">
            <v xml:space="preserve"> </v>
          </cell>
          <cell r="E179" t="str">
            <v xml:space="preserve"> </v>
          </cell>
          <cell r="F179" t="str">
            <v xml:space="preserve"> </v>
          </cell>
          <cell r="G179" t="str">
            <v xml:space="preserve"> </v>
          </cell>
          <cell r="H179" t="str">
            <v xml:space="preserve"> </v>
          </cell>
          <cell r="I179" t="str">
            <v xml:space="preserve"> </v>
          </cell>
          <cell r="J179" t="str">
            <v xml:space="preserve"> </v>
          </cell>
          <cell r="K179" t="str">
            <v xml:space="preserve"> </v>
          </cell>
          <cell r="L179" t="str">
            <v xml:space="preserve"> </v>
          </cell>
          <cell r="M179" t="str">
            <v xml:space="preserve"> </v>
          </cell>
        </row>
        <row r="180">
          <cell r="B180" t="str">
            <v xml:space="preserve"> </v>
          </cell>
          <cell r="C180" t="str">
            <v xml:space="preserve"> </v>
          </cell>
          <cell r="D180" t="str">
            <v xml:space="preserve"> </v>
          </cell>
          <cell r="E180" t="str">
            <v xml:space="preserve"> </v>
          </cell>
          <cell r="F180" t="str">
            <v xml:space="preserve"> </v>
          </cell>
          <cell r="G180" t="str">
            <v xml:space="preserve"> </v>
          </cell>
          <cell r="H180" t="str">
            <v xml:space="preserve"> </v>
          </cell>
          <cell r="I180" t="str">
            <v xml:space="preserve"> </v>
          </cell>
          <cell r="J180" t="str">
            <v xml:space="preserve"> </v>
          </cell>
          <cell r="K180" t="str">
            <v xml:space="preserve"> </v>
          </cell>
          <cell r="L180" t="str">
            <v xml:space="preserve"> </v>
          </cell>
          <cell r="M180" t="str">
            <v xml:space="preserve"> </v>
          </cell>
        </row>
        <row r="181">
          <cell r="B181" t="str">
            <v xml:space="preserve"> </v>
          </cell>
          <cell r="C181" t="str">
            <v xml:space="preserve"> </v>
          </cell>
          <cell r="D181" t="str">
            <v xml:space="preserve"> </v>
          </cell>
          <cell r="E181" t="str">
            <v xml:space="preserve"> </v>
          </cell>
          <cell r="F181" t="str">
            <v xml:space="preserve"> </v>
          </cell>
          <cell r="G181" t="str">
            <v xml:space="preserve"> </v>
          </cell>
          <cell r="H181" t="str">
            <v xml:space="preserve"> </v>
          </cell>
          <cell r="I181" t="str">
            <v xml:space="preserve"> </v>
          </cell>
          <cell r="J181" t="str">
            <v xml:space="preserve"> </v>
          </cell>
          <cell r="K181" t="str">
            <v xml:space="preserve"> </v>
          </cell>
          <cell r="L181" t="str">
            <v xml:space="preserve"> </v>
          </cell>
          <cell r="M181" t="str">
            <v xml:space="preserve"> </v>
          </cell>
        </row>
        <row r="182">
          <cell r="B182" t="str">
            <v xml:space="preserve"> </v>
          </cell>
          <cell r="C182" t="str">
            <v xml:space="preserve"> </v>
          </cell>
          <cell r="D182" t="str">
            <v xml:space="preserve"> </v>
          </cell>
          <cell r="E182" t="str">
            <v xml:space="preserve"> </v>
          </cell>
          <cell r="F182" t="str">
            <v xml:space="preserve"> </v>
          </cell>
          <cell r="G182" t="str">
            <v xml:space="preserve"> </v>
          </cell>
          <cell r="H182" t="str">
            <v xml:space="preserve"> </v>
          </cell>
          <cell r="I182" t="str">
            <v xml:space="preserve"> </v>
          </cell>
          <cell r="J182" t="str">
            <v xml:space="preserve"> </v>
          </cell>
          <cell r="K182" t="str">
            <v xml:space="preserve"> </v>
          </cell>
          <cell r="L182" t="str">
            <v xml:space="preserve"> </v>
          </cell>
          <cell r="M182" t="str">
            <v xml:space="preserve"> </v>
          </cell>
        </row>
        <row r="183">
          <cell r="B183" t="str">
            <v xml:space="preserve"> </v>
          </cell>
          <cell r="C183" t="str">
            <v xml:space="preserve"> </v>
          </cell>
          <cell r="D183" t="str">
            <v xml:space="preserve"> </v>
          </cell>
          <cell r="E183" t="str">
            <v xml:space="preserve"> </v>
          </cell>
          <cell r="F183" t="str">
            <v xml:space="preserve"> </v>
          </cell>
          <cell r="G183" t="str">
            <v xml:space="preserve"> </v>
          </cell>
          <cell r="H183" t="str">
            <v xml:space="preserve"> </v>
          </cell>
          <cell r="I183" t="str">
            <v xml:space="preserve"> </v>
          </cell>
          <cell r="J183" t="str">
            <v xml:space="preserve"> </v>
          </cell>
          <cell r="K183" t="str">
            <v xml:space="preserve"> </v>
          </cell>
          <cell r="L183" t="str">
            <v xml:space="preserve"> </v>
          </cell>
          <cell r="M183" t="str">
            <v xml:space="preserve"> </v>
          </cell>
        </row>
        <row r="184">
          <cell r="B184" t="str">
            <v xml:space="preserve"> </v>
          </cell>
          <cell r="C184" t="str">
            <v xml:space="preserve"> </v>
          </cell>
          <cell r="D184" t="str">
            <v xml:space="preserve"> </v>
          </cell>
          <cell r="E184" t="str">
            <v xml:space="preserve"> </v>
          </cell>
          <cell r="F184" t="str">
            <v xml:space="preserve"> </v>
          </cell>
          <cell r="G184" t="str">
            <v xml:space="preserve"> </v>
          </cell>
          <cell r="H184" t="str">
            <v xml:space="preserve"> </v>
          </cell>
          <cell r="I184" t="str">
            <v xml:space="preserve"> </v>
          </cell>
          <cell r="J184" t="str">
            <v xml:space="preserve"> </v>
          </cell>
          <cell r="K184" t="str">
            <v xml:space="preserve"> </v>
          </cell>
          <cell r="L184" t="str">
            <v xml:space="preserve"> </v>
          </cell>
          <cell r="M184" t="str">
            <v xml:space="preserve"> </v>
          </cell>
        </row>
        <row r="185">
          <cell r="B185" t="str">
            <v xml:space="preserve"> </v>
          </cell>
          <cell r="C185" t="str">
            <v xml:space="preserve"> </v>
          </cell>
          <cell r="D185" t="str">
            <v xml:space="preserve"> </v>
          </cell>
          <cell r="E185" t="str">
            <v xml:space="preserve"> </v>
          </cell>
          <cell r="F185" t="str">
            <v xml:space="preserve"> </v>
          </cell>
          <cell r="G185" t="str">
            <v xml:space="preserve"> </v>
          </cell>
          <cell r="H185" t="str">
            <v xml:space="preserve"> </v>
          </cell>
          <cell r="I185" t="str">
            <v xml:space="preserve"> </v>
          </cell>
          <cell r="J185" t="str">
            <v xml:space="preserve"> </v>
          </cell>
          <cell r="K185" t="str">
            <v xml:space="preserve"> </v>
          </cell>
          <cell r="L185" t="str">
            <v xml:space="preserve"> </v>
          </cell>
          <cell r="M185" t="str">
            <v xml:space="preserve"> </v>
          </cell>
        </row>
        <row r="186">
          <cell r="B186" t="str">
            <v xml:space="preserve"> </v>
          </cell>
          <cell r="C186" t="str">
            <v xml:space="preserve"> </v>
          </cell>
          <cell r="D186" t="str">
            <v xml:space="preserve"> </v>
          </cell>
          <cell r="E186" t="str">
            <v xml:space="preserve"> </v>
          </cell>
          <cell r="F186" t="str">
            <v xml:space="preserve"> </v>
          </cell>
          <cell r="G186" t="str">
            <v xml:space="preserve"> </v>
          </cell>
          <cell r="H186" t="str">
            <v xml:space="preserve"> </v>
          </cell>
          <cell r="I186" t="str">
            <v xml:space="preserve"> </v>
          </cell>
          <cell r="J186" t="str">
            <v xml:space="preserve"> </v>
          </cell>
          <cell r="K186" t="str">
            <v xml:space="preserve"> </v>
          </cell>
          <cell r="L186" t="str">
            <v xml:space="preserve"> </v>
          </cell>
          <cell r="M186" t="str">
            <v xml:space="preserve"> </v>
          </cell>
        </row>
        <row r="187">
          <cell r="B187" t="str">
            <v xml:space="preserve"> </v>
          </cell>
          <cell r="C187" t="str">
            <v xml:space="preserve"> </v>
          </cell>
          <cell r="D187" t="str">
            <v xml:space="preserve"> </v>
          </cell>
          <cell r="E187" t="str">
            <v xml:space="preserve"> </v>
          </cell>
          <cell r="F187" t="str">
            <v xml:space="preserve"> </v>
          </cell>
          <cell r="G187" t="str">
            <v xml:space="preserve"> </v>
          </cell>
          <cell r="H187" t="str">
            <v xml:space="preserve"> </v>
          </cell>
          <cell r="I187" t="str">
            <v xml:space="preserve"> </v>
          </cell>
          <cell r="J187" t="str">
            <v xml:space="preserve"> </v>
          </cell>
          <cell r="K187" t="str">
            <v xml:space="preserve"> </v>
          </cell>
          <cell r="L187" t="str">
            <v xml:space="preserve"> </v>
          </cell>
          <cell r="M187" t="str">
            <v xml:space="preserve"> </v>
          </cell>
        </row>
        <row r="188">
          <cell r="B188" t="str">
            <v xml:space="preserve"> </v>
          </cell>
          <cell r="C188" t="str">
            <v xml:space="preserve"> </v>
          </cell>
          <cell r="D188" t="str">
            <v xml:space="preserve"> </v>
          </cell>
          <cell r="E188" t="str">
            <v xml:space="preserve"> </v>
          </cell>
          <cell r="F188" t="str">
            <v xml:space="preserve"> </v>
          </cell>
          <cell r="G188" t="str">
            <v xml:space="preserve"> </v>
          </cell>
          <cell r="H188" t="str">
            <v xml:space="preserve"> </v>
          </cell>
          <cell r="I188" t="str">
            <v xml:space="preserve"> </v>
          </cell>
          <cell r="J188" t="str">
            <v xml:space="preserve"> </v>
          </cell>
          <cell r="K188" t="str">
            <v xml:space="preserve"> </v>
          </cell>
          <cell r="L188" t="str">
            <v xml:space="preserve"> </v>
          </cell>
          <cell r="M188" t="str">
            <v xml:space="preserve"> </v>
          </cell>
        </row>
        <row r="189">
          <cell r="B189" t="str">
            <v xml:space="preserve"> </v>
          </cell>
          <cell r="C189" t="str">
            <v xml:space="preserve"> </v>
          </cell>
          <cell r="D189" t="str">
            <v xml:space="preserve"> </v>
          </cell>
          <cell r="E189" t="str">
            <v xml:space="preserve"> </v>
          </cell>
          <cell r="F189" t="str">
            <v xml:space="preserve"> </v>
          </cell>
          <cell r="G189" t="str">
            <v xml:space="preserve"> </v>
          </cell>
          <cell r="H189" t="str">
            <v xml:space="preserve"> </v>
          </cell>
          <cell r="I189" t="str">
            <v xml:space="preserve"> </v>
          </cell>
          <cell r="J189" t="str">
            <v xml:space="preserve"> </v>
          </cell>
          <cell r="K189" t="str">
            <v xml:space="preserve"> </v>
          </cell>
          <cell r="L189" t="str">
            <v xml:space="preserve"> </v>
          </cell>
          <cell r="M189" t="str">
            <v xml:space="preserve"> </v>
          </cell>
        </row>
        <row r="190">
          <cell r="B190" t="str">
            <v xml:space="preserve"> </v>
          </cell>
          <cell r="C190" t="str">
            <v xml:space="preserve"> </v>
          </cell>
          <cell r="D190" t="str">
            <v xml:space="preserve"> </v>
          </cell>
          <cell r="E190" t="str">
            <v xml:space="preserve"> </v>
          </cell>
          <cell r="F190" t="str">
            <v xml:space="preserve"> </v>
          </cell>
          <cell r="G190" t="str">
            <v xml:space="preserve"> </v>
          </cell>
          <cell r="H190" t="str">
            <v xml:space="preserve"> </v>
          </cell>
          <cell r="I190" t="str">
            <v xml:space="preserve"> </v>
          </cell>
          <cell r="J190" t="str">
            <v xml:space="preserve"> </v>
          </cell>
          <cell r="K190" t="str">
            <v xml:space="preserve"> </v>
          </cell>
          <cell r="L190" t="str">
            <v xml:space="preserve"> </v>
          </cell>
          <cell r="M190" t="str">
            <v xml:space="preserve"> </v>
          </cell>
        </row>
        <row r="191">
          <cell r="B191" t="str">
            <v xml:space="preserve"> </v>
          </cell>
          <cell r="C191" t="str">
            <v xml:space="preserve"> </v>
          </cell>
          <cell r="D191" t="str">
            <v xml:space="preserve"> </v>
          </cell>
          <cell r="E191" t="str">
            <v xml:space="preserve"> </v>
          </cell>
          <cell r="F191" t="str">
            <v xml:space="preserve"> </v>
          </cell>
          <cell r="G191" t="str">
            <v xml:space="preserve"> </v>
          </cell>
          <cell r="H191" t="str">
            <v xml:space="preserve"> </v>
          </cell>
          <cell r="I191" t="str">
            <v xml:space="preserve"> </v>
          </cell>
          <cell r="J191" t="str">
            <v xml:space="preserve"> </v>
          </cell>
          <cell r="K191" t="str">
            <v xml:space="preserve"> </v>
          </cell>
          <cell r="L191" t="str">
            <v xml:space="preserve"> </v>
          </cell>
          <cell r="M191" t="str">
            <v xml:space="preserve"> </v>
          </cell>
        </row>
        <row r="192">
          <cell r="B192" t="str">
            <v xml:space="preserve"> </v>
          </cell>
          <cell r="C192" t="str">
            <v xml:space="preserve"> </v>
          </cell>
          <cell r="D192" t="str">
            <v xml:space="preserve"> </v>
          </cell>
          <cell r="E192" t="str">
            <v xml:space="preserve"> </v>
          </cell>
          <cell r="F192" t="str">
            <v xml:space="preserve"> </v>
          </cell>
          <cell r="G192" t="str">
            <v xml:space="preserve"> </v>
          </cell>
          <cell r="H192" t="str">
            <v xml:space="preserve"> </v>
          </cell>
          <cell r="I192" t="str">
            <v xml:space="preserve"> </v>
          </cell>
          <cell r="J192" t="str">
            <v xml:space="preserve"> </v>
          </cell>
          <cell r="K192" t="str">
            <v xml:space="preserve"> </v>
          </cell>
          <cell r="L192" t="str">
            <v xml:space="preserve"> </v>
          </cell>
          <cell r="M192" t="str">
            <v xml:space="preserve"> </v>
          </cell>
        </row>
        <row r="193">
          <cell r="B193" t="str">
            <v xml:space="preserve"> </v>
          </cell>
          <cell r="C193" t="str">
            <v xml:space="preserve"> </v>
          </cell>
          <cell r="D193" t="str">
            <v xml:space="preserve"> </v>
          </cell>
          <cell r="E193" t="str">
            <v xml:space="preserve"> </v>
          </cell>
          <cell r="F193" t="str">
            <v xml:space="preserve"> </v>
          </cell>
          <cell r="G193" t="str">
            <v xml:space="preserve"> </v>
          </cell>
          <cell r="H193" t="str">
            <v xml:space="preserve"> </v>
          </cell>
          <cell r="I193" t="str">
            <v xml:space="preserve"> </v>
          </cell>
          <cell r="J193" t="str">
            <v xml:space="preserve"> </v>
          </cell>
          <cell r="K193" t="str">
            <v xml:space="preserve"> </v>
          </cell>
          <cell r="L193" t="str">
            <v xml:space="preserve"> </v>
          </cell>
          <cell r="M193" t="str">
            <v xml:space="preserve"> </v>
          </cell>
        </row>
        <row r="194">
          <cell r="B194" t="str">
            <v xml:space="preserve"> </v>
          </cell>
          <cell r="C194" t="str">
            <v xml:space="preserve"> </v>
          </cell>
          <cell r="D194" t="str">
            <v xml:space="preserve"> </v>
          </cell>
          <cell r="E194" t="str">
            <v xml:space="preserve"> </v>
          </cell>
          <cell r="F194" t="str">
            <v xml:space="preserve"> </v>
          </cell>
          <cell r="G194" t="str">
            <v xml:space="preserve"> </v>
          </cell>
          <cell r="H194" t="str">
            <v xml:space="preserve"> </v>
          </cell>
          <cell r="I194" t="str">
            <v xml:space="preserve"> </v>
          </cell>
          <cell r="J194" t="str">
            <v xml:space="preserve"> </v>
          </cell>
          <cell r="K194" t="str">
            <v xml:space="preserve"> </v>
          </cell>
          <cell r="L194" t="str">
            <v xml:space="preserve"> </v>
          </cell>
          <cell r="M194" t="str">
            <v xml:space="preserve"> </v>
          </cell>
        </row>
        <row r="195">
          <cell r="B195" t="str">
            <v xml:space="preserve"> </v>
          </cell>
          <cell r="C195" t="str">
            <v xml:space="preserve"> </v>
          </cell>
          <cell r="D195" t="str">
            <v xml:space="preserve"> </v>
          </cell>
          <cell r="E195" t="str">
            <v xml:space="preserve"> </v>
          </cell>
          <cell r="F195" t="str">
            <v xml:space="preserve"> </v>
          </cell>
          <cell r="G195" t="str">
            <v xml:space="preserve"> </v>
          </cell>
          <cell r="H195" t="str">
            <v xml:space="preserve"> </v>
          </cell>
          <cell r="I195" t="str">
            <v xml:space="preserve"> </v>
          </cell>
          <cell r="J195" t="str">
            <v xml:space="preserve"> </v>
          </cell>
          <cell r="K195" t="str">
            <v xml:space="preserve"> </v>
          </cell>
          <cell r="L195" t="str">
            <v xml:space="preserve"> </v>
          </cell>
          <cell r="M195" t="str">
            <v xml:space="preserve"> </v>
          </cell>
        </row>
        <row r="196">
          <cell r="B196" t="str">
            <v xml:space="preserve"> </v>
          </cell>
          <cell r="C196" t="str">
            <v xml:space="preserve"> </v>
          </cell>
          <cell r="D196" t="str">
            <v xml:space="preserve"> </v>
          </cell>
          <cell r="E196" t="str">
            <v xml:space="preserve"> </v>
          </cell>
          <cell r="F196" t="str">
            <v xml:space="preserve"> </v>
          </cell>
          <cell r="G196" t="str">
            <v xml:space="preserve"> </v>
          </cell>
          <cell r="H196" t="str">
            <v xml:space="preserve"> </v>
          </cell>
          <cell r="I196" t="str">
            <v xml:space="preserve"> </v>
          </cell>
          <cell r="J196" t="str">
            <v xml:space="preserve"> </v>
          </cell>
          <cell r="K196" t="str">
            <v xml:space="preserve"> </v>
          </cell>
          <cell r="L196" t="str">
            <v xml:space="preserve"> </v>
          </cell>
          <cell r="M196" t="str">
            <v xml:space="preserve"> </v>
          </cell>
        </row>
        <row r="197">
          <cell r="B197" t="str">
            <v xml:space="preserve"> </v>
          </cell>
          <cell r="C197" t="str">
            <v xml:space="preserve"> </v>
          </cell>
          <cell r="D197" t="str">
            <v xml:space="preserve"> </v>
          </cell>
          <cell r="E197" t="str">
            <v xml:space="preserve"> </v>
          </cell>
          <cell r="F197" t="str">
            <v xml:space="preserve"> </v>
          </cell>
          <cell r="G197" t="str">
            <v xml:space="preserve"> </v>
          </cell>
          <cell r="H197" t="str">
            <v xml:space="preserve"> </v>
          </cell>
          <cell r="I197" t="str">
            <v xml:space="preserve"> </v>
          </cell>
          <cell r="J197" t="str">
            <v xml:space="preserve"> </v>
          </cell>
          <cell r="K197" t="str">
            <v xml:space="preserve"> </v>
          </cell>
          <cell r="L197" t="str">
            <v xml:space="preserve"> </v>
          </cell>
          <cell r="M197" t="str">
            <v xml:space="preserve"> </v>
          </cell>
        </row>
        <row r="198">
          <cell r="B198" t="str">
            <v xml:space="preserve"> </v>
          </cell>
          <cell r="C198" t="str">
            <v xml:space="preserve"> </v>
          </cell>
          <cell r="D198" t="str">
            <v xml:space="preserve"> </v>
          </cell>
          <cell r="E198" t="str">
            <v xml:space="preserve"> </v>
          </cell>
          <cell r="F198" t="str">
            <v xml:space="preserve"> </v>
          </cell>
          <cell r="G198" t="str">
            <v xml:space="preserve"> </v>
          </cell>
          <cell r="H198" t="str">
            <v xml:space="preserve"> </v>
          </cell>
          <cell r="I198" t="str">
            <v xml:space="preserve"> </v>
          </cell>
          <cell r="J198" t="str">
            <v xml:space="preserve"> </v>
          </cell>
          <cell r="K198" t="str">
            <v xml:space="preserve"> </v>
          </cell>
          <cell r="L198" t="str">
            <v xml:space="preserve"> </v>
          </cell>
          <cell r="M198" t="str">
            <v xml:space="preserve"> </v>
          </cell>
        </row>
        <row r="199">
          <cell r="B199" t="str">
            <v xml:space="preserve"> </v>
          </cell>
          <cell r="C199" t="str">
            <v xml:space="preserve"> </v>
          </cell>
          <cell r="D199" t="str">
            <v xml:space="preserve"> </v>
          </cell>
          <cell r="E199" t="str">
            <v xml:space="preserve"> </v>
          </cell>
          <cell r="F199" t="str">
            <v xml:space="preserve"> </v>
          </cell>
          <cell r="G199" t="str">
            <v xml:space="preserve"> </v>
          </cell>
          <cell r="H199" t="str">
            <v xml:space="preserve"> </v>
          </cell>
          <cell r="I199" t="str">
            <v xml:space="preserve"> </v>
          </cell>
          <cell r="J199" t="str">
            <v xml:space="preserve"> </v>
          </cell>
          <cell r="K199" t="str">
            <v xml:space="preserve"> </v>
          </cell>
          <cell r="L199" t="str">
            <v xml:space="preserve"> </v>
          </cell>
          <cell r="M199" t="str">
            <v xml:space="preserve"> </v>
          </cell>
        </row>
        <row r="200">
          <cell r="B200" t="str">
            <v xml:space="preserve"> </v>
          </cell>
          <cell r="C200" t="str">
            <v xml:space="preserve"> </v>
          </cell>
          <cell r="D200" t="str">
            <v xml:space="preserve"> </v>
          </cell>
          <cell r="E200" t="str">
            <v xml:space="preserve"> </v>
          </cell>
          <cell r="F200" t="str">
            <v xml:space="preserve"> </v>
          </cell>
          <cell r="G200" t="str">
            <v xml:space="preserve"> </v>
          </cell>
          <cell r="H200" t="str">
            <v xml:space="preserve"> </v>
          </cell>
          <cell r="I200" t="str">
            <v xml:space="preserve"> </v>
          </cell>
          <cell r="J200" t="str">
            <v xml:space="preserve"> </v>
          </cell>
          <cell r="K200" t="str">
            <v xml:space="preserve"> </v>
          </cell>
          <cell r="L200" t="str">
            <v xml:space="preserve"> </v>
          </cell>
          <cell r="M200" t="str">
            <v xml:space="preserve"> </v>
          </cell>
        </row>
        <row r="201">
          <cell r="B201" t="str">
            <v xml:space="preserve"> </v>
          </cell>
          <cell r="C201" t="str">
            <v xml:space="preserve"> </v>
          </cell>
          <cell r="D201" t="str">
            <v xml:space="preserve"> </v>
          </cell>
          <cell r="E201" t="str">
            <v xml:space="preserve"> </v>
          </cell>
          <cell r="F201" t="str">
            <v xml:space="preserve"> </v>
          </cell>
          <cell r="G201" t="str">
            <v xml:space="preserve"> </v>
          </cell>
          <cell r="H201" t="str">
            <v xml:space="preserve"> </v>
          </cell>
          <cell r="I201" t="str">
            <v xml:space="preserve"> </v>
          </cell>
          <cell r="J201" t="str">
            <v xml:space="preserve"> </v>
          </cell>
          <cell r="K201" t="str">
            <v xml:space="preserve"> </v>
          </cell>
          <cell r="L201" t="str">
            <v xml:space="preserve"> </v>
          </cell>
          <cell r="M201" t="str">
            <v xml:space="preserve"> </v>
          </cell>
        </row>
        <row r="202">
          <cell r="B202" t="str">
            <v xml:space="preserve"> </v>
          </cell>
          <cell r="C202" t="str">
            <v xml:space="preserve"> </v>
          </cell>
          <cell r="D202" t="str">
            <v xml:space="preserve"> </v>
          </cell>
          <cell r="E202" t="str">
            <v xml:space="preserve"> </v>
          </cell>
          <cell r="F202" t="str">
            <v xml:space="preserve"> </v>
          </cell>
          <cell r="G202" t="str">
            <v xml:space="preserve"> </v>
          </cell>
          <cell r="H202" t="str">
            <v xml:space="preserve"> </v>
          </cell>
          <cell r="I202" t="str">
            <v xml:space="preserve"> </v>
          </cell>
          <cell r="J202" t="str">
            <v xml:space="preserve"> </v>
          </cell>
          <cell r="K202" t="str">
            <v xml:space="preserve"> </v>
          </cell>
          <cell r="L202" t="str">
            <v xml:space="preserve"> </v>
          </cell>
          <cell r="M202" t="str">
            <v xml:space="preserve"> </v>
          </cell>
        </row>
        <row r="203">
          <cell r="B203" t="str">
            <v xml:space="preserve"> </v>
          </cell>
          <cell r="C203" t="str">
            <v xml:space="preserve"> </v>
          </cell>
          <cell r="D203" t="str">
            <v xml:space="preserve"> </v>
          </cell>
          <cell r="E203" t="str">
            <v xml:space="preserve"> </v>
          </cell>
          <cell r="F203" t="str">
            <v xml:space="preserve"> </v>
          </cell>
          <cell r="G203" t="str">
            <v xml:space="preserve"> </v>
          </cell>
          <cell r="H203" t="str">
            <v xml:space="preserve"> </v>
          </cell>
          <cell r="I203" t="str">
            <v xml:space="preserve"> </v>
          </cell>
          <cell r="J203" t="str">
            <v xml:space="preserve"> </v>
          </cell>
          <cell r="K203" t="str">
            <v xml:space="preserve"> </v>
          </cell>
          <cell r="L203" t="str">
            <v xml:space="preserve"> </v>
          </cell>
          <cell r="M203" t="str">
            <v xml:space="preserve"> </v>
          </cell>
        </row>
        <row r="204">
          <cell r="B204" t="str">
            <v xml:space="preserve"> </v>
          </cell>
          <cell r="C204" t="str">
            <v xml:space="preserve"> </v>
          </cell>
          <cell r="D204" t="str">
            <v xml:space="preserve"> </v>
          </cell>
          <cell r="E204" t="str">
            <v xml:space="preserve"> </v>
          </cell>
          <cell r="F204" t="str">
            <v xml:space="preserve"> </v>
          </cell>
          <cell r="G204" t="str">
            <v xml:space="preserve"> </v>
          </cell>
          <cell r="H204" t="str">
            <v xml:space="preserve"> </v>
          </cell>
          <cell r="I204" t="str">
            <v xml:space="preserve"> </v>
          </cell>
          <cell r="J204" t="str">
            <v xml:space="preserve"> </v>
          </cell>
          <cell r="K204" t="str">
            <v xml:space="preserve"> </v>
          </cell>
          <cell r="L204" t="str">
            <v xml:space="preserve"> </v>
          </cell>
          <cell r="M204" t="str">
            <v xml:space="preserve"> </v>
          </cell>
        </row>
        <row r="205">
          <cell r="B205" t="str">
            <v xml:space="preserve"> </v>
          </cell>
          <cell r="C205" t="str">
            <v xml:space="preserve"> </v>
          </cell>
          <cell r="D205" t="str">
            <v xml:space="preserve"> </v>
          </cell>
          <cell r="E205" t="str">
            <v xml:space="preserve"> </v>
          </cell>
          <cell r="F205" t="str">
            <v xml:space="preserve"> </v>
          </cell>
          <cell r="G205" t="str">
            <v xml:space="preserve"> </v>
          </cell>
          <cell r="H205" t="str">
            <v xml:space="preserve"> </v>
          </cell>
          <cell r="I205" t="str">
            <v xml:space="preserve"> </v>
          </cell>
          <cell r="J205" t="str">
            <v xml:space="preserve"> </v>
          </cell>
          <cell r="K205" t="str">
            <v xml:space="preserve"> </v>
          </cell>
          <cell r="L205" t="str">
            <v xml:space="preserve"> </v>
          </cell>
          <cell r="M205" t="str">
            <v xml:space="preserve"> </v>
          </cell>
        </row>
        <row r="206">
          <cell r="B206" t="str">
            <v xml:space="preserve"> </v>
          </cell>
          <cell r="C206" t="str">
            <v xml:space="preserve"> </v>
          </cell>
          <cell r="D206" t="str">
            <v xml:space="preserve"> </v>
          </cell>
          <cell r="E206" t="str">
            <v xml:space="preserve"> </v>
          </cell>
          <cell r="F206" t="str">
            <v xml:space="preserve"> </v>
          </cell>
          <cell r="G206" t="str">
            <v xml:space="preserve"> </v>
          </cell>
          <cell r="H206" t="str">
            <v xml:space="preserve"> </v>
          </cell>
          <cell r="I206" t="str">
            <v xml:space="preserve"> </v>
          </cell>
          <cell r="J206" t="str">
            <v xml:space="preserve"> </v>
          </cell>
          <cell r="K206" t="str">
            <v xml:space="preserve"> </v>
          </cell>
          <cell r="L206" t="str">
            <v xml:space="preserve"> </v>
          </cell>
          <cell r="M206" t="str">
            <v xml:space="preserve"> </v>
          </cell>
        </row>
        <row r="207">
          <cell r="B207" t="str">
            <v xml:space="preserve"> </v>
          </cell>
          <cell r="C207" t="str">
            <v xml:space="preserve"> </v>
          </cell>
          <cell r="D207" t="str">
            <v xml:space="preserve"> </v>
          </cell>
          <cell r="E207" t="str">
            <v xml:space="preserve"> </v>
          </cell>
          <cell r="F207" t="str">
            <v xml:space="preserve"> </v>
          </cell>
          <cell r="G207" t="str">
            <v xml:space="preserve"> </v>
          </cell>
          <cell r="H207" t="str">
            <v xml:space="preserve"> </v>
          </cell>
          <cell r="I207" t="str">
            <v xml:space="preserve"> </v>
          </cell>
          <cell r="J207" t="str">
            <v xml:space="preserve"> </v>
          </cell>
          <cell r="K207" t="str">
            <v xml:space="preserve"> </v>
          </cell>
          <cell r="L207" t="str">
            <v xml:space="preserve"> </v>
          </cell>
          <cell r="M207" t="str">
            <v xml:space="preserve"> </v>
          </cell>
        </row>
        <row r="208">
          <cell r="B208" t="str">
            <v xml:space="preserve"> </v>
          </cell>
          <cell r="C208" t="str">
            <v xml:space="preserve"> </v>
          </cell>
          <cell r="D208" t="str">
            <v xml:space="preserve"> </v>
          </cell>
          <cell r="E208" t="str">
            <v xml:space="preserve"> </v>
          </cell>
          <cell r="F208" t="str">
            <v xml:space="preserve"> </v>
          </cell>
          <cell r="G208" t="str">
            <v xml:space="preserve"> </v>
          </cell>
          <cell r="H208" t="str">
            <v xml:space="preserve"> </v>
          </cell>
          <cell r="I208" t="str">
            <v xml:space="preserve"> </v>
          </cell>
          <cell r="J208" t="str">
            <v xml:space="preserve"> </v>
          </cell>
          <cell r="K208" t="str">
            <v xml:space="preserve"> </v>
          </cell>
          <cell r="L208" t="str">
            <v xml:space="preserve"> </v>
          </cell>
          <cell r="M208" t="str">
            <v xml:space="preserve"> </v>
          </cell>
        </row>
        <row r="209">
          <cell r="B209" t="str">
            <v xml:space="preserve"> </v>
          </cell>
          <cell r="C209" t="str">
            <v xml:space="preserve"> </v>
          </cell>
          <cell r="D209" t="str">
            <v xml:space="preserve"> </v>
          </cell>
          <cell r="E209" t="str">
            <v xml:space="preserve"> </v>
          </cell>
          <cell r="F209" t="str">
            <v xml:space="preserve"> </v>
          </cell>
          <cell r="G209" t="str">
            <v xml:space="preserve"> </v>
          </cell>
          <cell r="H209" t="str">
            <v xml:space="preserve"> </v>
          </cell>
          <cell r="I209" t="str">
            <v xml:space="preserve"> </v>
          </cell>
          <cell r="J209" t="str">
            <v xml:space="preserve"> </v>
          </cell>
          <cell r="K209" t="str">
            <v xml:space="preserve"> </v>
          </cell>
          <cell r="L209" t="str">
            <v xml:space="preserve"> </v>
          </cell>
          <cell r="M209" t="str">
            <v xml:space="preserve"> </v>
          </cell>
        </row>
        <row r="210">
          <cell r="B210" t="str">
            <v xml:space="preserve"> </v>
          </cell>
          <cell r="C210" t="str">
            <v xml:space="preserve"> </v>
          </cell>
          <cell r="D210" t="str">
            <v xml:space="preserve"> </v>
          </cell>
          <cell r="E210" t="str">
            <v xml:space="preserve"> </v>
          </cell>
          <cell r="F210" t="str">
            <v xml:space="preserve"> </v>
          </cell>
          <cell r="G210" t="str">
            <v xml:space="preserve"> </v>
          </cell>
          <cell r="H210" t="str">
            <v xml:space="preserve"> </v>
          </cell>
          <cell r="I210" t="str">
            <v xml:space="preserve"> </v>
          </cell>
          <cell r="J210" t="str">
            <v xml:space="preserve"> </v>
          </cell>
          <cell r="K210" t="str">
            <v xml:space="preserve"> </v>
          </cell>
          <cell r="L210" t="str">
            <v xml:space="preserve"> </v>
          </cell>
          <cell r="M210" t="str">
            <v xml:space="preserve"> </v>
          </cell>
        </row>
        <row r="211">
          <cell r="B211" t="str">
            <v xml:space="preserve"> </v>
          </cell>
          <cell r="C211" t="str">
            <v xml:space="preserve"> </v>
          </cell>
          <cell r="D211" t="str">
            <v xml:space="preserve"> </v>
          </cell>
          <cell r="E211" t="str">
            <v xml:space="preserve"> </v>
          </cell>
          <cell r="F211" t="str">
            <v xml:space="preserve"> </v>
          </cell>
          <cell r="G211" t="str">
            <v xml:space="preserve"> </v>
          </cell>
          <cell r="H211" t="str">
            <v xml:space="preserve"> </v>
          </cell>
          <cell r="I211" t="str">
            <v xml:space="preserve"> </v>
          </cell>
          <cell r="J211" t="str">
            <v xml:space="preserve"> </v>
          </cell>
          <cell r="K211" t="str">
            <v xml:space="preserve"> </v>
          </cell>
          <cell r="L211" t="str">
            <v xml:space="preserve"> </v>
          </cell>
          <cell r="M211" t="str">
            <v xml:space="preserve"> </v>
          </cell>
        </row>
        <row r="212">
          <cell r="B212" t="str">
            <v xml:space="preserve"> </v>
          </cell>
          <cell r="C212" t="str">
            <v xml:space="preserve"> </v>
          </cell>
          <cell r="D212" t="str">
            <v xml:space="preserve"> </v>
          </cell>
          <cell r="E212" t="str">
            <v xml:space="preserve"> </v>
          </cell>
          <cell r="F212" t="str">
            <v xml:space="preserve"> </v>
          </cell>
          <cell r="G212" t="str">
            <v xml:space="preserve"> </v>
          </cell>
          <cell r="H212" t="str">
            <v xml:space="preserve"> </v>
          </cell>
          <cell r="I212" t="str">
            <v xml:space="preserve"> </v>
          </cell>
          <cell r="J212" t="str">
            <v xml:space="preserve"> </v>
          </cell>
          <cell r="K212" t="str">
            <v xml:space="preserve"> </v>
          </cell>
          <cell r="L212" t="str">
            <v xml:space="preserve"> </v>
          </cell>
          <cell r="M212" t="str">
            <v xml:space="preserve"> </v>
          </cell>
        </row>
        <row r="213">
          <cell r="B213" t="str">
            <v xml:space="preserve"> </v>
          </cell>
          <cell r="C213" t="str">
            <v xml:space="preserve"> </v>
          </cell>
          <cell r="D213" t="str">
            <v xml:space="preserve"> </v>
          </cell>
          <cell r="E213" t="str">
            <v xml:space="preserve"> </v>
          </cell>
          <cell r="F213" t="str">
            <v xml:space="preserve"> </v>
          </cell>
          <cell r="G213" t="str">
            <v xml:space="preserve"> </v>
          </cell>
          <cell r="H213" t="str">
            <v xml:space="preserve"> </v>
          </cell>
          <cell r="I213" t="str">
            <v xml:space="preserve"> </v>
          </cell>
          <cell r="J213" t="str">
            <v xml:space="preserve"> </v>
          </cell>
          <cell r="K213" t="str">
            <v xml:space="preserve"> </v>
          </cell>
          <cell r="L213" t="str">
            <v xml:space="preserve"> </v>
          </cell>
          <cell r="M213" t="str">
            <v xml:space="preserve"> </v>
          </cell>
        </row>
        <row r="214">
          <cell r="B214" t="str">
            <v xml:space="preserve"> </v>
          </cell>
          <cell r="C214" t="str">
            <v xml:space="preserve"> </v>
          </cell>
          <cell r="D214" t="str">
            <v xml:space="preserve"> </v>
          </cell>
          <cell r="E214" t="str">
            <v xml:space="preserve"> </v>
          </cell>
          <cell r="F214" t="str">
            <v xml:space="preserve"> </v>
          </cell>
          <cell r="G214" t="str">
            <v xml:space="preserve"> </v>
          </cell>
          <cell r="H214" t="str">
            <v xml:space="preserve"> </v>
          </cell>
          <cell r="I214" t="str">
            <v xml:space="preserve"> </v>
          </cell>
          <cell r="J214" t="str">
            <v xml:space="preserve"> </v>
          </cell>
          <cell r="K214" t="str">
            <v xml:space="preserve"> </v>
          </cell>
          <cell r="L214" t="str">
            <v xml:space="preserve"> </v>
          </cell>
          <cell r="M214" t="str">
            <v xml:space="preserve"> </v>
          </cell>
        </row>
        <row r="215">
          <cell r="B215" t="str">
            <v xml:space="preserve"> </v>
          </cell>
          <cell r="C215" t="str">
            <v xml:space="preserve"> </v>
          </cell>
          <cell r="D215" t="str">
            <v xml:space="preserve"> </v>
          </cell>
          <cell r="E215" t="str">
            <v xml:space="preserve"> </v>
          </cell>
          <cell r="F215" t="str">
            <v xml:space="preserve"> </v>
          </cell>
          <cell r="G215" t="str">
            <v xml:space="preserve"> </v>
          </cell>
          <cell r="H215" t="str">
            <v xml:space="preserve"> </v>
          </cell>
          <cell r="I215" t="str">
            <v xml:space="preserve"> </v>
          </cell>
          <cell r="J215" t="str">
            <v xml:space="preserve"> </v>
          </cell>
          <cell r="K215" t="str">
            <v xml:space="preserve"> </v>
          </cell>
          <cell r="L215" t="str">
            <v xml:space="preserve"> </v>
          </cell>
          <cell r="M215" t="str">
            <v xml:space="preserve"> </v>
          </cell>
        </row>
        <row r="216">
          <cell r="B216" t="str">
            <v xml:space="preserve"> </v>
          </cell>
          <cell r="C216" t="str">
            <v xml:space="preserve"> </v>
          </cell>
          <cell r="D216" t="str">
            <v xml:space="preserve"> </v>
          </cell>
          <cell r="E216" t="str">
            <v xml:space="preserve"> </v>
          </cell>
          <cell r="F216" t="str">
            <v xml:space="preserve"> </v>
          </cell>
          <cell r="G216" t="str">
            <v xml:space="preserve"> </v>
          </cell>
          <cell r="H216" t="str">
            <v xml:space="preserve"> </v>
          </cell>
          <cell r="I216" t="str">
            <v xml:space="preserve"> </v>
          </cell>
          <cell r="J216" t="str">
            <v xml:space="preserve"> </v>
          </cell>
          <cell r="K216" t="str">
            <v xml:space="preserve"> </v>
          </cell>
          <cell r="L216" t="str">
            <v xml:space="preserve"> </v>
          </cell>
          <cell r="M216" t="str">
            <v xml:space="preserve"> </v>
          </cell>
        </row>
        <row r="217">
          <cell r="B217" t="str">
            <v xml:space="preserve"> </v>
          </cell>
          <cell r="C217" t="str">
            <v xml:space="preserve"> </v>
          </cell>
          <cell r="D217" t="str">
            <v xml:space="preserve"> </v>
          </cell>
          <cell r="E217" t="str">
            <v xml:space="preserve"> </v>
          </cell>
          <cell r="F217" t="str">
            <v xml:space="preserve"> </v>
          </cell>
          <cell r="G217" t="str">
            <v xml:space="preserve"> </v>
          </cell>
          <cell r="H217" t="str">
            <v xml:space="preserve"> </v>
          </cell>
          <cell r="I217" t="str">
            <v xml:space="preserve"> </v>
          </cell>
          <cell r="J217" t="str">
            <v xml:space="preserve"> </v>
          </cell>
          <cell r="K217" t="str">
            <v xml:space="preserve"> </v>
          </cell>
          <cell r="L217" t="str">
            <v xml:space="preserve"> </v>
          </cell>
          <cell r="M217" t="str">
            <v xml:space="preserve"> </v>
          </cell>
        </row>
        <row r="218">
          <cell r="B218" t="str">
            <v xml:space="preserve"> </v>
          </cell>
          <cell r="C218" t="str">
            <v xml:space="preserve"> </v>
          </cell>
          <cell r="D218" t="str">
            <v xml:space="preserve"> </v>
          </cell>
          <cell r="E218" t="str">
            <v xml:space="preserve"> </v>
          </cell>
          <cell r="F218" t="str">
            <v xml:space="preserve"> </v>
          </cell>
          <cell r="G218" t="str">
            <v xml:space="preserve"> </v>
          </cell>
          <cell r="H218" t="str">
            <v xml:space="preserve"> </v>
          </cell>
          <cell r="I218" t="str">
            <v xml:space="preserve"> </v>
          </cell>
          <cell r="J218" t="str">
            <v xml:space="preserve"> </v>
          </cell>
          <cell r="K218" t="str">
            <v xml:space="preserve"> </v>
          </cell>
          <cell r="L218" t="str">
            <v xml:space="preserve"> </v>
          </cell>
          <cell r="M218" t="str">
            <v xml:space="preserve"> </v>
          </cell>
        </row>
        <row r="219">
          <cell r="B219" t="str">
            <v xml:space="preserve"> </v>
          </cell>
          <cell r="C219" t="str">
            <v xml:space="preserve"> </v>
          </cell>
          <cell r="D219" t="str">
            <v xml:space="preserve"> </v>
          </cell>
          <cell r="E219" t="str">
            <v xml:space="preserve"> </v>
          </cell>
          <cell r="F219" t="str">
            <v xml:space="preserve"> </v>
          </cell>
          <cell r="G219" t="str">
            <v xml:space="preserve"> </v>
          </cell>
          <cell r="H219" t="str">
            <v xml:space="preserve"> </v>
          </cell>
          <cell r="I219" t="str">
            <v xml:space="preserve"> </v>
          </cell>
          <cell r="J219" t="str">
            <v xml:space="preserve"> </v>
          </cell>
          <cell r="K219" t="str">
            <v xml:space="preserve"> </v>
          </cell>
          <cell r="L219" t="str">
            <v xml:space="preserve"> </v>
          </cell>
          <cell r="M219" t="str">
            <v xml:space="preserve"> </v>
          </cell>
        </row>
        <row r="220">
          <cell r="B220" t="str">
            <v xml:space="preserve"> </v>
          </cell>
          <cell r="C220" t="str">
            <v xml:space="preserve"> </v>
          </cell>
          <cell r="D220" t="str">
            <v xml:space="preserve"> </v>
          </cell>
          <cell r="E220" t="str">
            <v xml:space="preserve"> </v>
          </cell>
          <cell r="F220" t="str">
            <v xml:space="preserve"> </v>
          </cell>
          <cell r="G220" t="str">
            <v xml:space="preserve"> </v>
          </cell>
          <cell r="H220" t="str">
            <v xml:space="preserve"> </v>
          </cell>
          <cell r="I220" t="str">
            <v xml:space="preserve"> </v>
          </cell>
          <cell r="J220" t="str">
            <v xml:space="preserve"> </v>
          </cell>
          <cell r="K220" t="str">
            <v xml:space="preserve"> </v>
          </cell>
          <cell r="L220" t="str">
            <v xml:space="preserve"> </v>
          </cell>
          <cell r="M220" t="str">
            <v xml:space="preserve"> </v>
          </cell>
        </row>
        <row r="221">
          <cell r="B221" t="str">
            <v xml:space="preserve"> </v>
          </cell>
          <cell r="C221" t="str">
            <v xml:space="preserve"> </v>
          </cell>
          <cell r="D221" t="str">
            <v xml:space="preserve"> </v>
          </cell>
          <cell r="E221" t="str">
            <v xml:space="preserve"> </v>
          </cell>
          <cell r="F221" t="str">
            <v xml:space="preserve"> </v>
          </cell>
          <cell r="G221" t="str">
            <v xml:space="preserve"> </v>
          </cell>
          <cell r="H221" t="str">
            <v xml:space="preserve"> </v>
          </cell>
          <cell r="I221" t="str">
            <v xml:space="preserve"> </v>
          </cell>
          <cell r="J221" t="str">
            <v xml:space="preserve"> </v>
          </cell>
          <cell r="K221" t="str">
            <v xml:space="preserve"> </v>
          </cell>
          <cell r="L221" t="str">
            <v xml:space="preserve"> </v>
          </cell>
          <cell r="M221" t="str">
            <v xml:space="preserve"> </v>
          </cell>
        </row>
        <row r="222">
          <cell r="B222" t="str">
            <v xml:space="preserve"> </v>
          </cell>
          <cell r="C222" t="str">
            <v xml:space="preserve"> </v>
          </cell>
          <cell r="D222" t="str">
            <v xml:space="preserve"> </v>
          </cell>
          <cell r="E222" t="str">
            <v xml:space="preserve"> </v>
          </cell>
          <cell r="F222" t="str">
            <v xml:space="preserve"> </v>
          </cell>
          <cell r="G222" t="str">
            <v xml:space="preserve"> </v>
          </cell>
          <cell r="H222" t="str">
            <v xml:space="preserve"> </v>
          </cell>
          <cell r="I222" t="str">
            <v xml:space="preserve"> </v>
          </cell>
          <cell r="J222" t="str">
            <v xml:space="preserve"> </v>
          </cell>
          <cell r="K222" t="str">
            <v xml:space="preserve"> </v>
          </cell>
          <cell r="L222" t="str">
            <v xml:space="preserve"> </v>
          </cell>
          <cell r="M222" t="str">
            <v xml:space="preserve"> </v>
          </cell>
        </row>
        <row r="223">
          <cell r="B223" t="str">
            <v xml:space="preserve"> </v>
          </cell>
          <cell r="C223" t="str">
            <v xml:space="preserve"> </v>
          </cell>
          <cell r="D223" t="str">
            <v xml:space="preserve"> </v>
          </cell>
          <cell r="E223" t="str">
            <v xml:space="preserve"> </v>
          </cell>
          <cell r="F223" t="str">
            <v xml:space="preserve"> </v>
          </cell>
          <cell r="G223" t="str">
            <v xml:space="preserve"> </v>
          </cell>
          <cell r="H223" t="str">
            <v xml:space="preserve"> </v>
          </cell>
          <cell r="I223" t="str">
            <v xml:space="preserve"> </v>
          </cell>
          <cell r="J223" t="str">
            <v xml:space="preserve"> </v>
          </cell>
          <cell r="K223" t="str">
            <v xml:space="preserve"> </v>
          </cell>
          <cell r="L223" t="str">
            <v xml:space="preserve"> </v>
          </cell>
          <cell r="M223" t="str">
            <v xml:space="preserve"> </v>
          </cell>
        </row>
        <row r="224">
          <cell r="B224" t="str">
            <v xml:space="preserve"> </v>
          </cell>
          <cell r="C224" t="str">
            <v xml:space="preserve"> </v>
          </cell>
          <cell r="D224" t="str">
            <v xml:space="preserve"> </v>
          </cell>
          <cell r="E224" t="str">
            <v xml:space="preserve"> </v>
          </cell>
          <cell r="F224" t="str">
            <v xml:space="preserve"> </v>
          </cell>
          <cell r="G224" t="str">
            <v xml:space="preserve"> </v>
          </cell>
          <cell r="H224" t="str">
            <v xml:space="preserve"> </v>
          </cell>
          <cell r="I224" t="str">
            <v xml:space="preserve"> </v>
          </cell>
          <cell r="J224" t="str">
            <v xml:space="preserve"> </v>
          </cell>
          <cell r="K224" t="str">
            <v xml:space="preserve"> </v>
          </cell>
          <cell r="L224" t="str">
            <v xml:space="preserve"> </v>
          </cell>
          <cell r="M224" t="str">
            <v xml:space="preserve"> </v>
          </cell>
        </row>
        <row r="225">
          <cell r="B225" t="str">
            <v xml:space="preserve"> </v>
          </cell>
          <cell r="C225" t="str">
            <v xml:space="preserve"> </v>
          </cell>
          <cell r="D225" t="str">
            <v xml:space="preserve"> </v>
          </cell>
          <cell r="E225" t="str">
            <v xml:space="preserve"> </v>
          </cell>
          <cell r="F225" t="str">
            <v xml:space="preserve"> </v>
          </cell>
          <cell r="G225" t="str">
            <v xml:space="preserve"> </v>
          </cell>
          <cell r="H225" t="str">
            <v xml:space="preserve"> </v>
          </cell>
          <cell r="I225" t="str">
            <v xml:space="preserve"> </v>
          </cell>
          <cell r="J225" t="str">
            <v xml:space="preserve"> </v>
          </cell>
          <cell r="K225" t="str">
            <v xml:space="preserve"> </v>
          </cell>
          <cell r="L225" t="str">
            <v xml:space="preserve"> </v>
          </cell>
          <cell r="M225" t="str">
            <v xml:space="preserve"> </v>
          </cell>
        </row>
        <row r="226">
          <cell r="B226" t="str">
            <v xml:space="preserve"> </v>
          </cell>
          <cell r="C226" t="str">
            <v xml:space="preserve"> </v>
          </cell>
          <cell r="D226" t="str">
            <v xml:space="preserve"> </v>
          </cell>
          <cell r="E226" t="str">
            <v xml:space="preserve"> </v>
          </cell>
          <cell r="F226" t="str">
            <v xml:space="preserve"> </v>
          </cell>
          <cell r="G226" t="str">
            <v xml:space="preserve"> </v>
          </cell>
          <cell r="H226" t="str">
            <v xml:space="preserve"> </v>
          </cell>
          <cell r="I226" t="str">
            <v xml:space="preserve"> </v>
          </cell>
          <cell r="J226" t="str">
            <v xml:space="preserve"> </v>
          </cell>
          <cell r="K226" t="str">
            <v xml:space="preserve"> </v>
          </cell>
          <cell r="L226" t="str">
            <v xml:space="preserve"> </v>
          </cell>
          <cell r="M226" t="str">
            <v xml:space="preserve"> </v>
          </cell>
        </row>
        <row r="227">
          <cell r="B227" t="str">
            <v xml:space="preserve"> </v>
          </cell>
          <cell r="C227" t="str">
            <v xml:space="preserve"> </v>
          </cell>
          <cell r="D227" t="str">
            <v xml:space="preserve"> </v>
          </cell>
          <cell r="E227" t="str">
            <v xml:space="preserve"> </v>
          </cell>
          <cell r="F227" t="str">
            <v xml:space="preserve"> </v>
          </cell>
          <cell r="G227" t="str">
            <v xml:space="preserve"> </v>
          </cell>
          <cell r="H227" t="str">
            <v xml:space="preserve"> </v>
          </cell>
          <cell r="I227" t="str">
            <v xml:space="preserve"> </v>
          </cell>
          <cell r="J227" t="str">
            <v xml:space="preserve"> </v>
          </cell>
          <cell r="K227" t="str">
            <v xml:space="preserve"> </v>
          </cell>
          <cell r="L227" t="str">
            <v xml:space="preserve"> </v>
          </cell>
          <cell r="M227" t="str">
            <v xml:space="preserve"> </v>
          </cell>
        </row>
        <row r="228">
          <cell r="B228" t="str">
            <v xml:space="preserve"> </v>
          </cell>
          <cell r="C228" t="str">
            <v xml:space="preserve"> </v>
          </cell>
          <cell r="D228" t="str">
            <v xml:space="preserve"> </v>
          </cell>
          <cell r="E228" t="str">
            <v xml:space="preserve"> </v>
          </cell>
          <cell r="F228" t="str">
            <v xml:space="preserve"> </v>
          </cell>
          <cell r="G228" t="str">
            <v xml:space="preserve"> </v>
          </cell>
          <cell r="H228" t="str">
            <v xml:space="preserve"> </v>
          </cell>
          <cell r="I228" t="str">
            <v xml:space="preserve"> </v>
          </cell>
          <cell r="J228" t="str">
            <v xml:space="preserve"> </v>
          </cell>
          <cell r="K228" t="str">
            <v xml:space="preserve"> </v>
          </cell>
          <cell r="L228" t="str">
            <v xml:space="preserve"> </v>
          </cell>
          <cell r="M228" t="str">
            <v xml:space="preserve"> </v>
          </cell>
        </row>
        <row r="229">
          <cell r="B229" t="str">
            <v xml:space="preserve"> </v>
          </cell>
          <cell r="C229" t="str">
            <v xml:space="preserve"> </v>
          </cell>
          <cell r="D229" t="str">
            <v xml:space="preserve"> </v>
          </cell>
          <cell r="E229" t="str">
            <v xml:space="preserve"> </v>
          </cell>
          <cell r="F229" t="str">
            <v xml:space="preserve"> </v>
          </cell>
          <cell r="G229" t="str">
            <v xml:space="preserve"> </v>
          </cell>
          <cell r="H229" t="str">
            <v xml:space="preserve"> </v>
          </cell>
          <cell r="I229" t="str">
            <v xml:space="preserve"> </v>
          </cell>
          <cell r="J229" t="str">
            <v xml:space="preserve"> </v>
          </cell>
          <cell r="K229" t="str">
            <v xml:space="preserve"> </v>
          </cell>
          <cell r="L229" t="str">
            <v xml:space="preserve"> </v>
          </cell>
          <cell r="M229" t="str">
            <v xml:space="preserve"> </v>
          </cell>
        </row>
        <row r="230">
          <cell r="B230" t="str">
            <v xml:space="preserve"> </v>
          </cell>
          <cell r="C230" t="str">
            <v xml:space="preserve"> </v>
          </cell>
          <cell r="D230" t="str">
            <v xml:space="preserve"> </v>
          </cell>
          <cell r="E230" t="str">
            <v xml:space="preserve"> </v>
          </cell>
          <cell r="F230" t="str">
            <v xml:space="preserve"> </v>
          </cell>
          <cell r="G230" t="str">
            <v xml:space="preserve"> </v>
          </cell>
          <cell r="H230" t="str">
            <v xml:space="preserve"> </v>
          </cell>
          <cell r="I230" t="str">
            <v xml:space="preserve"> </v>
          </cell>
          <cell r="J230" t="str">
            <v xml:space="preserve"> </v>
          </cell>
          <cell r="K230" t="str">
            <v xml:space="preserve"> </v>
          </cell>
          <cell r="L230" t="str">
            <v xml:space="preserve"> </v>
          </cell>
          <cell r="M230" t="str">
            <v xml:space="preserve"> </v>
          </cell>
        </row>
        <row r="231">
          <cell r="B231" t="str">
            <v xml:space="preserve"> </v>
          </cell>
          <cell r="C231" t="str">
            <v xml:space="preserve"> </v>
          </cell>
          <cell r="D231" t="str">
            <v xml:space="preserve"> </v>
          </cell>
          <cell r="E231" t="str">
            <v xml:space="preserve"> </v>
          </cell>
          <cell r="F231" t="str">
            <v xml:space="preserve"> </v>
          </cell>
          <cell r="G231" t="str">
            <v xml:space="preserve"> </v>
          </cell>
          <cell r="H231" t="str">
            <v xml:space="preserve"> </v>
          </cell>
          <cell r="I231" t="str">
            <v xml:space="preserve"> </v>
          </cell>
          <cell r="J231" t="str">
            <v xml:space="preserve"> </v>
          </cell>
          <cell r="K231" t="str">
            <v xml:space="preserve"> </v>
          </cell>
          <cell r="L231" t="str">
            <v xml:space="preserve"> </v>
          </cell>
          <cell r="M231" t="str">
            <v xml:space="preserve"> </v>
          </cell>
        </row>
        <row r="232">
          <cell r="B232" t="str">
            <v xml:space="preserve"> </v>
          </cell>
          <cell r="C232" t="str">
            <v xml:space="preserve"> </v>
          </cell>
          <cell r="D232" t="str">
            <v xml:space="preserve"> </v>
          </cell>
          <cell r="E232" t="str">
            <v xml:space="preserve"> </v>
          </cell>
          <cell r="F232" t="str">
            <v xml:space="preserve"> </v>
          </cell>
          <cell r="G232" t="str">
            <v xml:space="preserve"> </v>
          </cell>
          <cell r="H232" t="str">
            <v xml:space="preserve"> </v>
          </cell>
          <cell r="I232" t="str">
            <v xml:space="preserve"> </v>
          </cell>
          <cell r="J232" t="str">
            <v xml:space="preserve"> </v>
          </cell>
          <cell r="K232" t="str">
            <v xml:space="preserve"> </v>
          </cell>
          <cell r="L232" t="str">
            <v xml:space="preserve"> </v>
          </cell>
          <cell r="M232" t="str">
            <v xml:space="preserve"> </v>
          </cell>
        </row>
        <row r="233">
          <cell r="B233" t="str">
            <v xml:space="preserve"> </v>
          </cell>
          <cell r="C233" t="str">
            <v xml:space="preserve"> </v>
          </cell>
          <cell r="D233" t="str">
            <v xml:space="preserve"> </v>
          </cell>
          <cell r="E233" t="str">
            <v xml:space="preserve"> </v>
          </cell>
          <cell r="F233" t="str">
            <v xml:space="preserve"> </v>
          </cell>
          <cell r="G233" t="str">
            <v xml:space="preserve"> </v>
          </cell>
          <cell r="H233" t="str">
            <v xml:space="preserve"> </v>
          </cell>
          <cell r="I233" t="str">
            <v xml:space="preserve"> </v>
          </cell>
          <cell r="J233" t="str">
            <v xml:space="preserve"> </v>
          </cell>
          <cell r="K233" t="str">
            <v xml:space="preserve"> </v>
          </cell>
          <cell r="L233" t="str">
            <v xml:space="preserve"> </v>
          </cell>
          <cell r="M233" t="str">
            <v xml:space="preserve"> </v>
          </cell>
        </row>
        <row r="234">
          <cell r="B234" t="str">
            <v xml:space="preserve"> </v>
          </cell>
          <cell r="C234" t="str">
            <v xml:space="preserve"> </v>
          </cell>
          <cell r="D234" t="str">
            <v xml:space="preserve"> </v>
          </cell>
          <cell r="E234" t="str">
            <v xml:space="preserve"> </v>
          </cell>
          <cell r="F234" t="str">
            <v xml:space="preserve"> </v>
          </cell>
          <cell r="G234" t="str">
            <v xml:space="preserve"> </v>
          </cell>
          <cell r="H234" t="str">
            <v xml:space="preserve"> </v>
          </cell>
          <cell r="I234" t="str">
            <v xml:space="preserve"> </v>
          </cell>
          <cell r="J234" t="str">
            <v xml:space="preserve"> </v>
          </cell>
          <cell r="K234" t="str">
            <v xml:space="preserve"> </v>
          </cell>
          <cell r="L234" t="str">
            <v xml:space="preserve"> </v>
          </cell>
          <cell r="M234" t="str">
            <v xml:space="preserve"> </v>
          </cell>
        </row>
        <row r="235">
          <cell r="B235" t="str">
            <v xml:space="preserve"> </v>
          </cell>
          <cell r="C235" t="str">
            <v xml:space="preserve"> </v>
          </cell>
          <cell r="D235" t="str">
            <v xml:space="preserve"> </v>
          </cell>
          <cell r="E235" t="str">
            <v xml:space="preserve"> </v>
          </cell>
          <cell r="F235" t="str">
            <v xml:space="preserve"> </v>
          </cell>
          <cell r="G235" t="str">
            <v xml:space="preserve"> </v>
          </cell>
          <cell r="H235" t="str">
            <v xml:space="preserve"> </v>
          </cell>
          <cell r="I235" t="str">
            <v xml:space="preserve"> </v>
          </cell>
          <cell r="J235" t="str">
            <v xml:space="preserve"> </v>
          </cell>
          <cell r="K235" t="str">
            <v xml:space="preserve"> </v>
          </cell>
          <cell r="L235" t="str">
            <v xml:space="preserve"> </v>
          </cell>
          <cell r="M235" t="str">
            <v xml:space="preserve"> </v>
          </cell>
        </row>
        <row r="236">
          <cell r="B236" t="str">
            <v xml:space="preserve"> </v>
          </cell>
          <cell r="C236" t="str">
            <v xml:space="preserve"> </v>
          </cell>
          <cell r="D236" t="str">
            <v xml:space="preserve"> </v>
          </cell>
          <cell r="E236" t="str">
            <v xml:space="preserve"> </v>
          </cell>
          <cell r="F236" t="str">
            <v xml:space="preserve"> </v>
          </cell>
          <cell r="G236" t="str">
            <v xml:space="preserve"> </v>
          </cell>
          <cell r="H236" t="str">
            <v xml:space="preserve"> </v>
          </cell>
          <cell r="I236" t="str">
            <v xml:space="preserve"> </v>
          </cell>
          <cell r="J236" t="str">
            <v xml:space="preserve"> </v>
          </cell>
          <cell r="K236" t="str">
            <v xml:space="preserve"> </v>
          </cell>
          <cell r="L236" t="str">
            <v xml:space="preserve"> </v>
          </cell>
          <cell r="M236" t="str">
            <v xml:space="preserve"> </v>
          </cell>
        </row>
        <row r="237">
          <cell r="B237" t="str">
            <v xml:space="preserve"> </v>
          </cell>
          <cell r="C237" t="str">
            <v xml:space="preserve"> </v>
          </cell>
          <cell r="D237" t="str">
            <v xml:space="preserve"> </v>
          </cell>
          <cell r="E237" t="str">
            <v xml:space="preserve"> </v>
          </cell>
          <cell r="F237" t="str">
            <v xml:space="preserve"> </v>
          </cell>
          <cell r="G237" t="str">
            <v xml:space="preserve"> </v>
          </cell>
          <cell r="H237" t="str">
            <v xml:space="preserve"> </v>
          </cell>
          <cell r="I237" t="str">
            <v xml:space="preserve"> </v>
          </cell>
          <cell r="J237" t="str">
            <v xml:space="preserve"> </v>
          </cell>
          <cell r="K237" t="str">
            <v xml:space="preserve"> </v>
          </cell>
          <cell r="L237" t="str">
            <v xml:space="preserve"> </v>
          </cell>
          <cell r="M237" t="str">
            <v xml:space="preserve"> </v>
          </cell>
        </row>
        <row r="238">
          <cell r="B238" t="str">
            <v xml:space="preserve"> </v>
          </cell>
          <cell r="C238" t="str">
            <v xml:space="preserve"> </v>
          </cell>
          <cell r="D238" t="str">
            <v xml:space="preserve"> </v>
          </cell>
          <cell r="E238" t="str">
            <v xml:space="preserve"> </v>
          </cell>
          <cell r="F238" t="str">
            <v xml:space="preserve"> </v>
          </cell>
          <cell r="G238" t="str">
            <v xml:space="preserve"> </v>
          </cell>
          <cell r="H238" t="str">
            <v xml:space="preserve"> </v>
          </cell>
          <cell r="I238" t="str">
            <v xml:space="preserve"> </v>
          </cell>
          <cell r="J238" t="str">
            <v xml:space="preserve"> </v>
          </cell>
          <cell r="K238" t="str">
            <v xml:space="preserve"> </v>
          </cell>
          <cell r="L238" t="str">
            <v xml:space="preserve"> </v>
          </cell>
          <cell r="M238" t="str">
            <v xml:space="preserve"> </v>
          </cell>
        </row>
        <row r="239">
          <cell r="B239" t="str">
            <v xml:space="preserve"> </v>
          </cell>
          <cell r="C239" t="str">
            <v xml:space="preserve"> </v>
          </cell>
          <cell r="D239" t="str">
            <v xml:space="preserve"> </v>
          </cell>
          <cell r="E239" t="str">
            <v xml:space="preserve"> </v>
          </cell>
          <cell r="F239" t="str">
            <v xml:space="preserve"> </v>
          </cell>
          <cell r="G239" t="str">
            <v xml:space="preserve"> </v>
          </cell>
          <cell r="H239" t="str">
            <v xml:space="preserve"> </v>
          </cell>
          <cell r="I239" t="str">
            <v xml:space="preserve"> </v>
          </cell>
          <cell r="J239" t="str">
            <v xml:space="preserve"> </v>
          </cell>
          <cell r="K239" t="str">
            <v xml:space="preserve"> </v>
          </cell>
          <cell r="L239" t="str">
            <v xml:space="preserve"> </v>
          </cell>
          <cell r="M239" t="str">
            <v xml:space="preserve"> </v>
          </cell>
        </row>
        <row r="240">
          <cell r="B240" t="str">
            <v xml:space="preserve"> </v>
          </cell>
          <cell r="C240" t="str">
            <v xml:space="preserve"> </v>
          </cell>
          <cell r="D240" t="str">
            <v xml:space="preserve"> </v>
          </cell>
          <cell r="E240" t="str">
            <v xml:space="preserve"> </v>
          </cell>
          <cell r="F240" t="str">
            <v xml:space="preserve"> </v>
          </cell>
          <cell r="G240" t="str">
            <v xml:space="preserve"> </v>
          </cell>
          <cell r="H240" t="str">
            <v xml:space="preserve"> </v>
          </cell>
          <cell r="I240" t="str">
            <v xml:space="preserve"> </v>
          </cell>
          <cell r="J240" t="str">
            <v xml:space="preserve"> </v>
          </cell>
          <cell r="K240" t="str">
            <v xml:space="preserve"> </v>
          </cell>
          <cell r="L240" t="str">
            <v xml:space="preserve"> </v>
          </cell>
          <cell r="M240" t="str">
            <v xml:space="preserve"> </v>
          </cell>
        </row>
        <row r="241">
          <cell r="B241" t="str">
            <v xml:space="preserve"> </v>
          </cell>
          <cell r="C241" t="str">
            <v xml:space="preserve"> </v>
          </cell>
          <cell r="D241" t="str">
            <v xml:space="preserve"> </v>
          </cell>
          <cell r="E241" t="str">
            <v xml:space="preserve"> </v>
          </cell>
          <cell r="F241" t="str">
            <v xml:space="preserve"> </v>
          </cell>
          <cell r="G241" t="str">
            <v xml:space="preserve"> </v>
          </cell>
          <cell r="H241" t="str">
            <v xml:space="preserve"> </v>
          </cell>
          <cell r="I241" t="str">
            <v xml:space="preserve"> </v>
          </cell>
          <cell r="J241" t="str">
            <v xml:space="preserve"> </v>
          </cell>
          <cell r="K241" t="str">
            <v xml:space="preserve"> </v>
          </cell>
          <cell r="L241" t="str">
            <v xml:space="preserve"> </v>
          </cell>
          <cell r="M241" t="str">
            <v xml:space="preserve"> </v>
          </cell>
        </row>
        <row r="242">
          <cell r="B242" t="str">
            <v xml:space="preserve"> </v>
          </cell>
          <cell r="C242" t="str">
            <v xml:space="preserve"> </v>
          </cell>
          <cell r="D242" t="str">
            <v xml:space="preserve"> </v>
          </cell>
          <cell r="E242" t="str">
            <v xml:space="preserve"> </v>
          </cell>
          <cell r="F242" t="str">
            <v xml:space="preserve"> </v>
          </cell>
          <cell r="G242" t="str">
            <v xml:space="preserve"> </v>
          </cell>
          <cell r="H242" t="str">
            <v xml:space="preserve"> </v>
          </cell>
          <cell r="I242" t="str">
            <v xml:space="preserve"> </v>
          </cell>
          <cell r="J242" t="str">
            <v xml:space="preserve"> </v>
          </cell>
          <cell r="K242" t="str">
            <v xml:space="preserve"> </v>
          </cell>
          <cell r="L242" t="str">
            <v xml:space="preserve"> </v>
          </cell>
          <cell r="M242" t="str">
            <v xml:space="preserve"> </v>
          </cell>
        </row>
        <row r="243">
          <cell r="B243" t="str">
            <v xml:space="preserve"> </v>
          </cell>
          <cell r="C243" t="str">
            <v xml:space="preserve"> </v>
          </cell>
          <cell r="D243" t="str">
            <v xml:space="preserve"> </v>
          </cell>
          <cell r="E243" t="str">
            <v xml:space="preserve"> </v>
          </cell>
          <cell r="F243" t="str">
            <v xml:space="preserve"> </v>
          </cell>
          <cell r="G243" t="str">
            <v xml:space="preserve"> </v>
          </cell>
          <cell r="H243" t="str">
            <v xml:space="preserve"> </v>
          </cell>
          <cell r="I243" t="str">
            <v xml:space="preserve"> </v>
          </cell>
          <cell r="J243" t="str">
            <v xml:space="preserve"> </v>
          </cell>
          <cell r="K243" t="str">
            <v xml:space="preserve"> </v>
          </cell>
          <cell r="L243" t="str">
            <v xml:space="preserve"> </v>
          </cell>
          <cell r="M243" t="str">
            <v xml:space="preserve"> </v>
          </cell>
        </row>
        <row r="244">
          <cell r="B244" t="str">
            <v xml:space="preserve"> </v>
          </cell>
          <cell r="C244" t="str">
            <v xml:space="preserve"> </v>
          </cell>
          <cell r="D244" t="str">
            <v xml:space="preserve"> </v>
          </cell>
          <cell r="E244" t="str">
            <v xml:space="preserve"> </v>
          </cell>
          <cell r="F244" t="str">
            <v xml:space="preserve"> </v>
          </cell>
          <cell r="G244" t="str">
            <v xml:space="preserve"> </v>
          </cell>
          <cell r="H244" t="str">
            <v xml:space="preserve"> </v>
          </cell>
          <cell r="I244" t="str">
            <v xml:space="preserve"> </v>
          </cell>
          <cell r="J244" t="str">
            <v xml:space="preserve"> </v>
          </cell>
          <cell r="K244" t="str">
            <v xml:space="preserve"> </v>
          </cell>
          <cell r="L244" t="str">
            <v xml:space="preserve"> </v>
          </cell>
          <cell r="M244" t="str">
            <v xml:space="preserve"> </v>
          </cell>
        </row>
        <row r="245">
          <cell r="B245" t="str">
            <v xml:space="preserve"> </v>
          </cell>
          <cell r="C245" t="str">
            <v xml:space="preserve"> </v>
          </cell>
          <cell r="D245" t="str">
            <v xml:space="preserve"> </v>
          </cell>
          <cell r="E245" t="str">
            <v xml:space="preserve"> </v>
          </cell>
          <cell r="F245" t="str">
            <v xml:space="preserve"> </v>
          </cell>
          <cell r="G245" t="str">
            <v xml:space="preserve"> </v>
          </cell>
          <cell r="H245" t="str">
            <v xml:space="preserve"> </v>
          </cell>
          <cell r="I245" t="str">
            <v xml:space="preserve"> </v>
          </cell>
          <cell r="J245" t="str">
            <v xml:space="preserve"> </v>
          </cell>
          <cell r="K245" t="str">
            <v xml:space="preserve"> </v>
          </cell>
          <cell r="L245" t="str">
            <v xml:space="preserve"> </v>
          </cell>
          <cell r="M245" t="str">
            <v xml:space="preserve"> </v>
          </cell>
        </row>
        <row r="246">
          <cell r="B246" t="str">
            <v xml:space="preserve"> </v>
          </cell>
          <cell r="C246" t="str">
            <v xml:space="preserve"> </v>
          </cell>
          <cell r="D246" t="str">
            <v xml:space="preserve"> </v>
          </cell>
          <cell r="E246" t="str">
            <v xml:space="preserve"> </v>
          </cell>
          <cell r="F246" t="str">
            <v xml:space="preserve"> </v>
          </cell>
          <cell r="G246" t="str">
            <v xml:space="preserve"> </v>
          </cell>
          <cell r="H246" t="str">
            <v xml:space="preserve"> </v>
          </cell>
          <cell r="I246" t="str">
            <v xml:space="preserve"> </v>
          </cell>
          <cell r="J246" t="str">
            <v xml:space="preserve"> </v>
          </cell>
          <cell r="K246" t="str">
            <v xml:space="preserve"> </v>
          </cell>
          <cell r="L246" t="str">
            <v xml:space="preserve"> </v>
          </cell>
          <cell r="M246" t="str">
            <v xml:space="preserve"> </v>
          </cell>
        </row>
        <row r="247">
          <cell r="B247" t="str">
            <v xml:space="preserve"> </v>
          </cell>
          <cell r="C247" t="str">
            <v xml:space="preserve"> </v>
          </cell>
          <cell r="D247" t="str">
            <v xml:space="preserve"> </v>
          </cell>
          <cell r="E247" t="str">
            <v xml:space="preserve"> </v>
          </cell>
          <cell r="F247" t="str">
            <v xml:space="preserve"> </v>
          </cell>
          <cell r="G247" t="str">
            <v xml:space="preserve"> </v>
          </cell>
          <cell r="H247" t="str">
            <v xml:space="preserve"> </v>
          </cell>
          <cell r="I247" t="str">
            <v xml:space="preserve"> </v>
          </cell>
          <cell r="J247" t="str">
            <v xml:space="preserve"> </v>
          </cell>
          <cell r="K247" t="str">
            <v xml:space="preserve"> </v>
          </cell>
          <cell r="L247" t="str">
            <v xml:space="preserve"> </v>
          </cell>
          <cell r="M247" t="str">
            <v xml:space="preserve"> </v>
          </cell>
        </row>
        <row r="248">
          <cell r="B248" t="str">
            <v xml:space="preserve"> </v>
          </cell>
          <cell r="C248" t="str">
            <v xml:space="preserve"> </v>
          </cell>
          <cell r="D248" t="str">
            <v xml:space="preserve"> </v>
          </cell>
          <cell r="E248" t="str">
            <v xml:space="preserve"> </v>
          </cell>
          <cell r="F248" t="str">
            <v xml:space="preserve"> </v>
          </cell>
          <cell r="G248" t="str">
            <v xml:space="preserve"> </v>
          </cell>
          <cell r="H248" t="str">
            <v xml:space="preserve"> </v>
          </cell>
          <cell r="I248" t="str">
            <v xml:space="preserve"> </v>
          </cell>
          <cell r="J248" t="str">
            <v xml:space="preserve"> </v>
          </cell>
          <cell r="K248" t="str">
            <v xml:space="preserve"> </v>
          </cell>
          <cell r="L248" t="str">
            <v xml:space="preserve"> </v>
          </cell>
          <cell r="M248" t="str">
            <v xml:space="preserve"> </v>
          </cell>
        </row>
        <row r="249">
          <cell r="B249" t="str">
            <v xml:space="preserve"> </v>
          </cell>
          <cell r="C249" t="str">
            <v xml:space="preserve"> </v>
          </cell>
          <cell r="D249" t="str">
            <v xml:space="preserve"> </v>
          </cell>
          <cell r="E249" t="str">
            <v xml:space="preserve"> </v>
          </cell>
          <cell r="F249" t="str">
            <v xml:space="preserve"> </v>
          </cell>
          <cell r="G249" t="str">
            <v xml:space="preserve"> </v>
          </cell>
          <cell r="H249" t="str">
            <v xml:space="preserve"> </v>
          </cell>
          <cell r="I249" t="str">
            <v xml:space="preserve"> </v>
          </cell>
          <cell r="J249" t="str">
            <v xml:space="preserve"> </v>
          </cell>
          <cell r="K249" t="str">
            <v xml:space="preserve"> </v>
          </cell>
          <cell r="L249" t="str">
            <v xml:space="preserve"> </v>
          </cell>
          <cell r="M249" t="str">
            <v xml:space="preserve"> </v>
          </cell>
        </row>
        <row r="250">
          <cell r="B250" t="str">
            <v xml:space="preserve"> </v>
          </cell>
          <cell r="C250" t="str">
            <v xml:space="preserve"> </v>
          </cell>
          <cell r="D250" t="str">
            <v xml:space="preserve"> </v>
          </cell>
          <cell r="E250" t="str">
            <v xml:space="preserve"> </v>
          </cell>
          <cell r="F250" t="str">
            <v xml:space="preserve"> </v>
          </cell>
          <cell r="G250" t="str">
            <v xml:space="preserve"> </v>
          </cell>
          <cell r="H250" t="str">
            <v xml:space="preserve"> </v>
          </cell>
          <cell r="I250" t="str">
            <v xml:space="preserve"> </v>
          </cell>
          <cell r="J250" t="str">
            <v xml:space="preserve"> </v>
          </cell>
          <cell r="K250" t="str">
            <v xml:space="preserve"> </v>
          </cell>
          <cell r="L250" t="str">
            <v xml:space="preserve"> </v>
          </cell>
          <cell r="M250" t="str">
            <v xml:space="preserve"> </v>
          </cell>
        </row>
        <row r="251">
          <cell r="B251" t="str">
            <v xml:space="preserve"> </v>
          </cell>
          <cell r="C251" t="str">
            <v xml:space="preserve"> </v>
          </cell>
          <cell r="D251" t="str">
            <v xml:space="preserve"> </v>
          </cell>
          <cell r="E251" t="str">
            <v xml:space="preserve"> </v>
          </cell>
          <cell r="F251" t="str">
            <v xml:space="preserve"> </v>
          </cell>
          <cell r="G251" t="str">
            <v xml:space="preserve"> </v>
          </cell>
          <cell r="H251" t="str">
            <v xml:space="preserve"> </v>
          </cell>
          <cell r="I251" t="str">
            <v xml:space="preserve"> </v>
          </cell>
          <cell r="J251" t="str">
            <v xml:space="preserve"> </v>
          </cell>
          <cell r="K251" t="str">
            <v xml:space="preserve"> </v>
          </cell>
          <cell r="L251" t="str">
            <v xml:space="preserve"> </v>
          </cell>
          <cell r="M251" t="str">
            <v xml:space="preserve"> </v>
          </cell>
        </row>
        <row r="252">
          <cell r="B252" t="str">
            <v xml:space="preserve"> </v>
          </cell>
          <cell r="C252" t="str">
            <v xml:space="preserve"> </v>
          </cell>
          <cell r="D252" t="str">
            <v xml:space="preserve"> </v>
          </cell>
          <cell r="E252" t="str">
            <v xml:space="preserve"> </v>
          </cell>
          <cell r="F252" t="str">
            <v xml:space="preserve"> </v>
          </cell>
          <cell r="G252" t="str">
            <v xml:space="preserve"> </v>
          </cell>
          <cell r="H252" t="str">
            <v xml:space="preserve"> </v>
          </cell>
          <cell r="I252" t="str">
            <v xml:space="preserve"> </v>
          </cell>
          <cell r="J252" t="str">
            <v xml:space="preserve"> </v>
          </cell>
          <cell r="K252" t="str">
            <v xml:space="preserve"> </v>
          </cell>
          <cell r="L252" t="str">
            <v xml:space="preserve"> </v>
          </cell>
          <cell r="M252" t="str">
            <v xml:space="preserve"> </v>
          </cell>
        </row>
        <row r="253">
          <cell r="B253" t="str">
            <v xml:space="preserve"> </v>
          </cell>
          <cell r="C253" t="str">
            <v xml:space="preserve"> </v>
          </cell>
          <cell r="D253" t="str">
            <v xml:space="preserve"> </v>
          </cell>
          <cell r="E253" t="str">
            <v xml:space="preserve"> </v>
          </cell>
          <cell r="F253" t="str">
            <v xml:space="preserve"> </v>
          </cell>
          <cell r="G253" t="str">
            <v xml:space="preserve"> </v>
          </cell>
          <cell r="H253" t="str">
            <v xml:space="preserve"> </v>
          </cell>
          <cell r="I253" t="str">
            <v xml:space="preserve"> </v>
          </cell>
          <cell r="J253" t="str">
            <v xml:space="preserve"> </v>
          </cell>
          <cell r="K253" t="str">
            <v xml:space="preserve"> </v>
          </cell>
          <cell r="L253" t="str">
            <v xml:space="preserve"> </v>
          </cell>
          <cell r="M253" t="str">
            <v xml:space="preserve"> </v>
          </cell>
        </row>
        <row r="254">
          <cell r="B254" t="str">
            <v xml:space="preserve"> </v>
          </cell>
          <cell r="C254" t="str">
            <v xml:space="preserve"> </v>
          </cell>
          <cell r="D254" t="str">
            <v xml:space="preserve"> </v>
          </cell>
          <cell r="E254" t="str">
            <v xml:space="preserve"> </v>
          </cell>
          <cell r="F254" t="str">
            <v xml:space="preserve"> </v>
          </cell>
          <cell r="G254" t="str">
            <v xml:space="preserve"> </v>
          </cell>
          <cell r="H254" t="str">
            <v xml:space="preserve"> </v>
          </cell>
          <cell r="I254" t="str">
            <v xml:space="preserve"> </v>
          </cell>
          <cell r="J254" t="str">
            <v xml:space="preserve"> </v>
          </cell>
          <cell r="K254" t="str">
            <v xml:space="preserve"> </v>
          </cell>
          <cell r="L254" t="str">
            <v xml:space="preserve"> </v>
          </cell>
          <cell r="M254" t="str">
            <v xml:space="preserve"> </v>
          </cell>
        </row>
        <row r="255">
          <cell r="B255" t="str">
            <v xml:space="preserve"> </v>
          </cell>
          <cell r="C255" t="str">
            <v xml:space="preserve"> </v>
          </cell>
          <cell r="D255" t="str">
            <v xml:space="preserve"> </v>
          </cell>
          <cell r="E255" t="str">
            <v xml:space="preserve"> </v>
          </cell>
          <cell r="F255" t="str">
            <v xml:space="preserve"> </v>
          </cell>
          <cell r="G255" t="str">
            <v xml:space="preserve"> </v>
          </cell>
          <cell r="H255" t="str">
            <v xml:space="preserve"> </v>
          </cell>
          <cell r="I255" t="str">
            <v xml:space="preserve"> </v>
          </cell>
          <cell r="J255" t="str">
            <v xml:space="preserve"> </v>
          </cell>
          <cell r="K255" t="str">
            <v xml:space="preserve"> </v>
          </cell>
          <cell r="L255" t="str">
            <v xml:space="preserve"> </v>
          </cell>
          <cell r="M255" t="str">
            <v xml:space="preserve"> </v>
          </cell>
        </row>
        <row r="256">
          <cell r="B256" t="str">
            <v xml:space="preserve"> </v>
          </cell>
          <cell r="C256" t="str">
            <v xml:space="preserve"> </v>
          </cell>
          <cell r="D256" t="str">
            <v xml:space="preserve"> </v>
          </cell>
          <cell r="E256" t="str">
            <v xml:space="preserve"> </v>
          </cell>
          <cell r="F256" t="str">
            <v xml:space="preserve"> </v>
          </cell>
          <cell r="G256" t="str">
            <v xml:space="preserve"> </v>
          </cell>
          <cell r="H256" t="str">
            <v xml:space="preserve"> </v>
          </cell>
          <cell r="I256" t="str">
            <v xml:space="preserve"> </v>
          </cell>
          <cell r="J256" t="str">
            <v xml:space="preserve"> </v>
          </cell>
          <cell r="K256" t="str">
            <v xml:space="preserve"> </v>
          </cell>
          <cell r="L256" t="str">
            <v xml:space="preserve"> </v>
          </cell>
          <cell r="M256" t="str">
            <v xml:space="preserve"> </v>
          </cell>
        </row>
        <row r="257">
          <cell r="B257" t="str">
            <v xml:space="preserve"> </v>
          </cell>
          <cell r="C257" t="str">
            <v xml:space="preserve"> </v>
          </cell>
          <cell r="D257" t="str">
            <v xml:space="preserve"> </v>
          </cell>
          <cell r="E257" t="str">
            <v xml:space="preserve"> </v>
          </cell>
          <cell r="F257" t="str">
            <v xml:space="preserve"> </v>
          </cell>
          <cell r="G257" t="str">
            <v xml:space="preserve"> </v>
          </cell>
          <cell r="H257" t="str">
            <v xml:space="preserve"> </v>
          </cell>
          <cell r="I257" t="str">
            <v xml:space="preserve"> </v>
          </cell>
          <cell r="J257" t="str">
            <v xml:space="preserve"> </v>
          </cell>
          <cell r="K257" t="str">
            <v xml:space="preserve"> </v>
          </cell>
          <cell r="L257" t="str">
            <v xml:space="preserve"> </v>
          </cell>
          <cell r="M257" t="str">
            <v xml:space="preserve"> </v>
          </cell>
        </row>
        <row r="258">
          <cell r="B258" t="str">
            <v xml:space="preserve"> </v>
          </cell>
          <cell r="C258" t="str">
            <v xml:space="preserve"> </v>
          </cell>
          <cell r="D258" t="str">
            <v xml:space="preserve"> </v>
          </cell>
          <cell r="E258" t="str">
            <v xml:space="preserve"> </v>
          </cell>
          <cell r="F258" t="str">
            <v xml:space="preserve"> </v>
          </cell>
          <cell r="G258" t="str">
            <v xml:space="preserve"> </v>
          </cell>
          <cell r="H258" t="str">
            <v xml:space="preserve"> </v>
          </cell>
          <cell r="I258" t="str">
            <v xml:space="preserve"> </v>
          </cell>
          <cell r="J258" t="str">
            <v xml:space="preserve"> </v>
          </cell>
          <cell r="K258" t="str">
            <v xml:space="preserve"> </v>
          </cell>
          <cell r="L258" t="str">
            <v xml:space="preserve"> </v>
          </cell>
          <cell r="M258" t="str">
            <v xml:space="preserve"> </v>
          </cell>
        </row>
        <row r="259">
          <cell r="B259" t="str">
            <v xml:space="preserve"> </v>
          </cell>
          <cell r="C259" t="str">
            <v xml:space="preserve"> </v>
          </cell>
          <cell r="D259" t="str">
            <v xml:space="preserve"> </v>
          </cell>
          <cell r="E259" t="str">
            <v xml:space="preserve"> </v>
          </cell>
          <cell r="F259" t="str">
            <v xml:space="preserve"> </v>
          </cell>
          <cell r="G259" t="str">
            <v xml:space="preserve"> </v>
          </cell>
          <cell r="H259" t="str">
            <v xml:space="preserve"> </v>
          </cell>
          <cell r="I259" t="str">
            <v xml:space="preserve"> </v>
          </cell>
          <cell r="J259" t="str">
            <v xml:space="preserve"> </v>
          </cell>
          <cell r="K259" t="str">
            <v xml:space="preserve"> </v>
          </cell>
          <cell r="L259" t="str">
            <v xml:space="preserve"> </v>
          </cell>
          <cell r="M259" t="str">
            <v xml:space="preserve"> </v>
          </cell>
        </row>
        <row r="260">
          <cell r="B260" t="str">
            <v xml:space="preserve"> </v>
          </cell>
          <cell r="C260" t="str">
            <v xml:space="preserve"> </v>
          </cell>
          <cell r="D260" t="str">
            <v xml:space="preserve"> </v>
          </cell>
          <cell r="E260" t="str">
            <v xml:space="preserve"> </v>
          </cell>
          <cell r="F260" t="str">
            <v xml:space="preserve"> </v>
          </cell>
          <cell r="G260" t="str">
            <v xml:space="preserve"> </v>
          </cell>
          <cell r="H260" t="str">
            <v xml:space="preserve"> </v>
          </cell>
          <cell r="I260" t="str">
            <v xml:space="preserve"> </v>
          </cell>
          <cell r="J260" t="str">
            <v xml:space="preserve"> </v>
          </cell>
          <cell r="K260" t="str">
            <v xml:space="preserve"> </v>
          </cell>
          <cell r="L260" t="str">
            <v xml:space="preserve"> </v>
          </cell>
          <cell r="M260" t="str">
            <v xml:space="preserve"> </v>
          </cell>
        </row>
        <row r="261">
          <cell r="B261" t="str">
            <v xml:space="preserve"> </v>
          </cell>
          <cell r="C261" t="str">
            <v xml:space="preserve"> </v>
          </cell>
          <cell r="D261" t="str">
            <v xml:space="preserve"> </v>
          </cell>
          <cell r="E261" t="str">
            <v xml:space="preserve"> </v>
          </cell>
          <cell r="F261" t="str">
            <v xml:space="preserve"> </v>
          </cell>
          <cell r="G261" t="str">
            <v xml:space="preserve"> </v>
          </cell>
          <cell r="H261" t="str">
            <v xml:space="preserve"> </v>
          </cell>
          <cell r="I261" t="str">
            <v xml:space="preserve"> </v>
          </cell>
          <cell r="J261" t="str">
            <v xml:space="preserve"> </v>
          </cell>
          <cell r="K261" t="str">
            <v xml:space="preserve"> </v>
          </cell>
          <cell r="L261" t="str">
            <v xml:space="preserve"> </v>
          </cell>
          <cell r="M261" t="str">
            <v xml:space="preserve"> </v>
          </cell>
        </row>
        <row r="262">
          <cell r="B262" t="str">
            <v xml:space="preserve"> </v>
          </cell>
          <cell r="C262" t="str">
            <v xml:space="preserve"> </v>
          </cell>
          <cell r="D262" t="str">
            <v xml:space="preserve"> </v>
          </cell>
          <cell r="E262" t="str">
            <v xml:space="preserve"> </v>
          </cell>
          <cell r="F262" t="str">
            <v xml:space="preserve"> </v>
          </cell>
          <cell r="G262" t="str">
            <v xml:space="preserve"> </v>
          </cell>
          <cell r="H262" t="str">
            <v xml:space="preserve"> </v>
          </cell>
          <cell r="I262" t="str">
            <v xml:space="preserve"> </v>
          </cell>
          <cell r="J262" t="str">
            <v xml:space="preserve"> </v>
          </cell>
          <cell r="K262" t="str">
            <v xml:space="preserve"> </v>
          </cell>
          <cell r="L262" t="str">
            <v xml:space="preserve"> </v>
          </cell>
          <cell r="M262" t="str">
            <v xml:space="preserve"> </v>
          </cell>
        </row>
        <row r="263">
          <cell r="B263" t="str">
            <v xml:space="preserve"> </v>
          </cell>
          <cell r="C263" t="str">
            <v xml:space="preserve"> </v>
          </cell>
          <cell r="D263" t="str">
            <v xml:space="preserve"> </v>
          </cell>
          <cell r="E263" t="str">
            <v xml:space="preserve"> </v>
          </cell>
          <cell r="F263" t="str">
            <v xml:space="preserve"> </v>
          </cell>
          <cell r="G263" t="str">
            <v xml:space="preserve"> </v>
          </cell>
          <cell r="H263" t="str">
            <v xml:space="preserve"> </v>
          </cell>
          <cell r="I263" t="str">
            <v xml:space="preserve"> </v>
          </cell>
          <cell r="J263" t="str">
            <v xml:space="preserve"> </v>
          </cell>
          <cell r="K263" t="str">
            <v xml:space="preserve"> </v>
          </cell>
          <cell r="L263" t="str">
            <v xml:space="preserve"> </v>
          </cell>
          <cell r="M263" t="str">
            <v xml:space="preserve"> </v>
          </cell>
        </row>
        <row r="264">
          <cell r="B264" t="str">
            <v xml:space="preserve"> </v>
          </cell>
          <cell r="C264" t="str">
            <v xml:space="preserve"> </v>
          </cell>
          <cell r="D264" t="str">
            <v xml:space="preserve"> </v>
          </cell>
          <cell r="E264" t="str">
            <v xml:space="preserve"> </v>
          </cell>
          <cell r="F264" t="str">
            <v xml:space="preserve"> </v>
          </cell>
          <cell r="G264" t="str">
            <v xml:space="preserve"> </v>
          </cell>
          <cell r="H264" t="str">
            <v xml:space="preserve"> </v>
          </cell>
          <cell r="I264" t="str">
            <v xml:space="preserve"> </v>
          </cell>
          <cell r="J264" t="str">
            <v xml:space="preserve"> </v>
          </cell>
          <cell r="K264" t="str">
            <v xml:space="preserve"> </v>
          </cell>
          <cell r="L264" t="str">
            <v xml:space="preserve"> </v>
          </cell>
          <cell r="M264" t="str">
            <v xml:space="preserve"> </v>
          </cell>
        </row>
        <row r="265">
          <cell r="B265" t="str">
            <v xml:space="preserve"> </v>
          </cell>
          <cell r="C265" t="str">
            <v xml:space="preserve"> </v>
          </cell>
          <cell r="D265" t="str">
            <v xml:space="preserve"> </v>
          </cell>
          <cell r="E265" t="str">
            <v xml:space="preserve"> </v>
          </cell>
          <cell r="F265" t="str">
            <v xml:space="preserve"> </v>
          </cell>
          <cell r="G265" t="str">
            <v xml:space="preserve"> </v>
          </cell>
          <cell r="H265" t="str">
            <v xml:space="preserve"> </v>
          </cell>
          <cell r="I265" t="str">
            <v xml:space="preserve"> </v>
          </cell>
          <cell r="J265" t="str">
            <v xml:space="preserve"> </v>
          </cell>
          <cell r="K265" t="str">
            <v xml:space="preserve"> </v>
          </cell>
          <cell r="L265" t="str">
            <v xml:space="preserve"> </v>
          </cell>
          <cell r="M265" t="str">
            <v xml:space="preserve"> </v>
          </cell>
        </row>
        <row r="266">
          <cell r="B266" t="str">
            <v xml:space="preserve"> </v>
          </cell>
          <cell r="C266" t="str">
            <v xml:space="preserve"> </v>
          </cell>
          <cell r="D266" t="str">
            <v xml:space="preserve"> </v>
          </cell>
          <cell r="E266" t="str">
            <v xml:space="preserve"> </v>
          </cell>
          <cell r="F266" t="str">
            <v xml:space="preserve"> </v>
          </cell>
          <cell r="G266" t="str">
            <v xml:space="preserve"> </v>
          </cell>
          <cell r="H266" t="str">
            <v xml:space="preserve"> </v>
          </cell>
          <cell r="I266" t="str">
            <v xml:space="preserve"> </v>
          </cell>
          <cell r="J266" t="str">
            <v xml:space="preserve"> </v>
          </cell>
          <cell r="K266" t="str">
            <v xml:space="preserve"> </v>
          </cell>
          <cell r="L266" t="str">
            <v xml:space="preserve"> </v>
          </cell>
          <cell r="M266" t="str">
            <v xml:space="preserve"> </v>
          </cell>
        </row>
        <row r="267">
          <cell r="B267" t="str">
            <v xml:space="preserve"> </v>
          </cell>
          <cell r="C267" t="str">
            <v xml:space="preserve"> </v>
          </cell>
          <cell r="D267" t="str">
            <v xml:space="preserve"> </v>
          </cell>
          <cell r="E267" t="str">
            <v xml:space="preserve"> </v>
          </cell>
          <cell r="F267" t="str">
            <v xml:space="preserve"> </v>
          </cell>
          <cell r="G267" t="str">
            <v xml:space="preserve"> </v>
          </cell>
          <cell r="H267" t="str">
            <v xml:space="preserve"> </v>
          </cell>
          <cell r="I267" t="str">
            <v xml:space="preserve"> </v>
          </cell>
          <cell r="J267" t="str">
            <v xml:space="preserve"> </v>
          </cell>
          <cell r="K267" t="str">
            <v xml:space="preserve"> </v>
          </cell>
          <cell r="L267" t="str">
            <v xml:space="preserve"> </v>
          </cell>
          <cell r="M267" t="str">
            <v xml:space="preserve"> </v>
          </cell>
        </row>
        <row r="268">
          <cell r="B268" t="str">
            <v xml:space="preserve"> </v>
          </cell>
          <cell r="C268" t="str">
            <v xml:space="preserve"> </v>
          </cell>
          <cell r="D268" t="str">
            <v xml:space="preserve"> </v>
          </cell>
          <cell r="E268" t="str">
            <v xml:space="preserve"> </v>
          </cell>
          <cell r="F268" t="str">
            <v xml:space="preserve"> </v>
          </cell>
          <cell r="G268" t="str">
            <v xml:space="preserve"> </v>
          </cell>
          <cell r="H268" t="str">
            <v xml:space="preserve"> </v>
          </cell>
          <cell r="I268" t="str">
            <v xml:space="preserve"> </v>
          </cell>
          <cell r="J268" t="str">
            <v xml:space="preserve"> </v>
          </cell>
          <cell r="K268" t="str">
            <v xml:space="preserve"> </v>
          </cell>
          <cell r="L268" t="str">
            <v xml:space="preserve"> </v>
          </cell>
          <cell r="M268" t="str">
            <v xml:space="preserve"> </v>
          </cell>
        </row>
        <row r="269">
          <cell r="B269" t="str">
            <v xml:space="preserve"> </v>
          </cell>
          <cell r="C269" t="str">
            <v xml:space="preserve"> </v>
          </cell>
          <cell r="D269" t="str">
            <v xml:space="preserve"> </v>
          </cell>
          <cell r="E269" t="str">
            <v xml:space="preserve"> </v>
          </cell>
          <cell r="F269" t="str">
            <v xml:space="preserve"> </v>
          </cell>
          <cell r="G269" t="str">
            <v xml:space="preserve"> </v>
          </cell>
          <cell r="H269" t="str">
            <v xml:space="preserve"> </v>
          </cell>
          <cell r="I269" t="str">
            <v xml:space="preserve"> </v>
          </cell>
          <cell r="J269" t="str">
            <v xml:space="preserve"> </v>
          </cell>
          <cell r="K269" t="str">
            <v xml:space="preserve"> </v>
          </cell>
          <cell r="L269" t="str">
            <v xml:space="preserve"> </v>
          </cell>
          <cell r="M269" t="str">
            <v xml:space="preserve"> </v>
          </cell>
        </row>
        <row r="270">
          <cell r="B270" t="str">
            <v xml:space="preserve"> </v>
          </cell>
          <cell r="C270" t="str">
            <v xml:space="preserve"> </v>
          </cell>
          <cell r="D270" t="str">
            <v xml:space="preserve"> </v>
          </cell>
          <cell r="E270" t="str">
            <v xml:space="preserve"> </v>
          </cell>
          <cell r="F270" t="str">
            <v xml:space="preserve"> </v>
          </cell>
          <cell r="G270" t="str">
            <v xml:space="preserve"> </v>
          </cell>
          <cell r="H270" t="str">
            <v xml:space="preserve"> </v>
          </cell>
          <cell r="I270" t="str">
            <v xml:space="preserve"> </v>
          </cell>
          <cell r="J270" t="str">
            <v xml:space="preserve"> </v>
          </cell>
          <cell r="K270" t="str">
            <v xml:space="preserve"> </v>
          </cell>
          <cell r="L270" t="str">
            <v xml:space="preserve"> </v>
          </cell>
          <cell r="M270" t="str">
            <v xml:space="preserve"> </v>
          </cell>
        </row>
        <row r="271">
          <cell r="B271" t="str">
            <v xml:space="preserve"> </v>
          </cell>
          <cell r="C271" t="str">
            <v xml:space="preserve"> </v>
          </cell>
          <cell r="D271" t="str">
            <v xml:space="preserve"> </v>
          </cell>
          <cell r="E271" t="str">
            <v xml:space="preserve"> </v>
          </cell>
          <cell r="F271" t="str">
            <v xml:space="preserve"> </v>
          </cell>
          <cell r="G271" t="str">
            <v xml:space="preserve"> </v>
          </cell>
          <cell r="H271" t="str">
            <v xml:space="preserve"> </v>
          </cell>
          <cell r="I271" t="str">
            <v xml:space="preserve"> </v>
          </cell>
          <cell r="J271" t="str">
            <v xml:space="preserve"> </v>
          </cell>
          <cell r="K271" t="str">
            <v xml:space="preserve"> </v>
          </cell>
          <cell r="L271" t="str">
            <v xml:space="preserve"> </v>
          </cell>
          <cell r="M271" t="str">
            <v xml:space="preserve"> </v>
          </cell>
        </row>
        <row r="272">
          <cell r="B272" t="str">
            <v xml:space="preserve"> </v>
          </cell>
          <cell r="C272" t="str">
            <v xml:space="preserve"> </v>
          </cell>
          <cell r="D272" t="str">
            <v xml:space="preserve"> </v>
          </cell>
          <cell r="E272" t="str">
            <v xml:space="preserve"> </v>
          </cell>
          <cell r="F272" t="str">
            <v xml:space="preserve"> </v>
          </cell>
          <cell r="G272" t="str">
            <v xml:space="preserve"> </v>
          </cell>
          <cell r="H272" t="str">
            <v xml:space="preserve"> </v>
          </cell>
          <cell r="I272" t="str">
            <v xml:space="preserve"> </v>
          </cell>
          <cell r="J272" t="str">
            <v xml:space="preserve"> </v>
          </cell>
          <cell r="K272" t="str">
            <v xml:space="preserve"> </v>
          </cell>
          <cell r="L272" t="str">
            <v xml:space="preserve"> </v>
          </cell>
          <cell r="M272" t="str">
            <v xml:space="preserve"> </v>
          </cell>
        </row>
        <row r="273">
          <cell r="B273" t="str">
            <v xml:space="preserve"> </v>
          </cell>
          <cell r="C273" t="str">
            <v xml:space="preserve"> </v>
          </cell>
          <cell r="D273" t="str">
            <v xml:space="preserve"> </v>
          </cell>
          <cell r="E273" t="str">
            <v xml:space="preserve"> </v>
          </cell>
          <cell r="F273" t="str">
            <v xml:space="preserve"> </v>
          </cell>
          <cell r="G273" t="str">
            <v xml:space="preserve"> </v>
          </cell>
          <cell r="H273" t="str">
            <v xml:space="preserve"> </v>
          </cell>
          <cell r="I273" t="str">
            <v xml:space="preserve"> </v>
          </cell>
          <cell r="J273" t="str">
            <v xml:space="preserve"> </v>
          </cell>
          <cell r="K273" t="str">
            <v xml:space="preserve"> </v>
          </cell>
          <cell r="L273" t="str">
            <v xml:space="preserve"> </v>
          </cell>
          <cell r="M273" t="str">
            <v xml:space="preserve"> </v>
          </cell>
        </row>
        <row r="274">
          <cell r="B274" t="str">
            <v xml:space="preserve"> </v>
          </cell>
          <cell r="C274" t="str">
            <v xml:space="preserve"> </v>
          </cell>
          <cell r="D274" t="str">
            <v xml:space="preserve"> </v>
          </cell>
          <cell r="E274" t="str">
            <v xml:space="preserve"> </v>
          </cell>
          <cell r="F274" t="str">
            <v xml:space="preserve"> </v>
          </cell>
          <cell r="G274" t="str">
            <v xml:space="preserve"> </v>
          </cell>
          <cell r="H274" t="str">
            <v xml:space="preserve"> </v>
          </cell>
          <cell r="I274" t="str">
            <v xml:space="preserve"> </v>
          </cell>
          <cell r="J274" t="str">
            <v xml:space="preserve"> </v>
          </cell>
          <cell r="K274" t="str">
            <v xml:space="preserve"> </v>
          </cell>
          <cell r="L274" t="str">
            <v xml:space="preserve"> </v>
          </cell>
          <cell r="M274" t="str">
            <v xml:space="preserve"> </v>
          </cell>
        </row>
        <row r="275">
          <cell r="B275" t="str">
            <v xml:space="preserve"> </v>
          </cell>
          <cell r="C275" t="str">
            <v xml:space="preserve"> </v>
          </cell>
          <cell r="D275" t="str">
            <v xml:space="preserve"> </v>
          </cell>
          <cell r="E275" t="str">
            <v xml:space="preserve"> </v>
          </cell>
          <cell r="F275" t="str">
            <v xml:space="preserve"> </v>
          </cell>
          <cell r="G275" t="str">
            <v xml:space="preserve"> </v>
          </cell>
          <cell r="H275" t="str">
            <v xml:space="preserve"> </v>
          </cell>
          <cell r="I275" t="str">
            <v xml:space="preserve"> </v>
          </cell>
          <cell r="J275" t="str">
            <v xml:space="preserve"> </v>
          </cell>
          <cell r="K275" t="str">
            <v xml:space="preserve"> </v>
          </cell>
          <cell r="L275" t="str">
            <v xml:space="preserve"> </v>
          </cell>
          <cell r="M275" t="str">
            <v xml:space="preserve"> </v>
          </cell>
        </row>
        <row r="276">
          <cell r="B276" t="str">
            <v xml:space="preserve"> </v>
          </cell>
          <cell r="C276" t="str">
            <v xml:space="preserve"> </v>
          </cell>
          <cell r="D276" t="str">
            <v xml:space="preserve"> </v>
          </cell>
          <cell r="E276" t="str">
            <v xml:space="preserve"> </v>
          </cell>
          <cell r="F276" t="str">
            <v xml:space="preserve"> </v>
          </cell>
          <cell r="G276" t="str">
            <v xml:space="preserve"> </v>
          </cell>
          <cell r="H276" t="str">
            <v xml:space="preserve"> </v>
          </cell>
          <cell r="I276" t="str">
            <v xml:space="preserve"> </v>
          </cell>
          <cell r="J276" t="str">
            <v xml:space="preserve"> </v>
          </cell>
          <cell r="K276" t="str">
            <v xml:space="preserve"> </v>
          </cell>
          <cell r="L276" t="str">
            <v xml:space="preserve"> </v>
          </cell>
          <cell r="M276" t="str">
            <v xml:space="preserve"> </v>
          </cell>
        </row>
        <row r="277">
          <cell r="B277" t="str">
            <v xml:space="preserve"> </v>
          </cell>
          <cell r="C277" t="str">
            <v xml:space="preserve"> </v>
          </cell>
          <cell r="D277" t="str">
            <v xml:space="preserve"> </v>
          </cell>
          <cell r="E277" t="str">
            <v xml:space="preserve"> </v>
          </cell>
          <cell r="F277" t="str">
            <v xml:space="preserve"> </v>
          </cell>
          <cell r="G277" t="str">
            <v xml:space="preserve"> </v>
          </cell>
          <cell r="H277" t="str">
            <v xml:space="preserve"> </v>
          </cell>
          <cell r="I277" t="str">
            <v xml:space="preserve"> </v>
          </cell>
          <cell r="J277" t="str">
            <v xml:space="preserve"> </v>
          </cell>
          <cell r="K277" t="str">
            <v xml:space="preserve"> </v>
          </cell>
          <cell r="L277" t="str">
            <v xml:space="preserve"> </v>
          </cell>
          <cell r="M277" t="str">
            <v xml:space="preserve"> </v>
          </cell>
        </row>
        <row r="278">
          <cell r="B278" t="str">
            <v xml:space="preserve"> </v>
          </cell>
          <cell r="C278" t="str">
            <v xml:space="preserve"> </v>
          </cell>
          <cell r="D278" t="str">
            <v xml:space="preserve"> </v>
          </cell>
          <cell r="E278" t="str">
            <v xml:space="preserve"> </v>
          </cell>
          <cell r="F278" t="str">
            <v xml:space="preserve"> </v>
          </cell>
          <cell r="G278" t="str">
            <v xml:space="preserve"> </v>
          </cell>
          <cell r="H278" t="str">
            <v xml:space="preserve"> </v>
          </cell>
          <cell r="I278" t="str">
            <v xml:space="preserve"> </v>
          </cell>
          <cell r="J278" t="str">
            <v xml:space="preserve"> </v>
          </cell>
          <cell r="K278" t="str">
            <v xml:space="preserve"> </v>
          </cell>
          <cell r="L278" t="str">
            <v xml:space="preserve"> </v>
          </cell>
          <cell r="M278" t="str">
            <v xml:space="preserve"> </v>
          </cell>
        </row>
        <row r="279">
          <cell r="B279" t="str">
            <v xml:space="preserve"> </v>
          </cell>
          <cell r="C279" t="str">
            <v xml:space="preserve"> </v>
          </cell>
          <cell r="D279" t="str">
            <v xml:space="preserve"> </v>
          </cell>
          <cell r="E279" t="str">
            <v xml:space="preserve"> </v>
          </cell>
          <cell r="F279" t="str">
            <v xml:space="preserve"> </v>
          </cell>
          <cell r="G279" t="str">
            <v xml:space="preserve"> </v>
          </cell>
          <cell r="H279" t="str">
            <v xml:space="preserve"> </v>
          </cell>
          <cell r="I279" t="str">
            <v xml:space="preserve"> </v>
          </cell>
          <cell r="J279" t="str">
            <v xml:space="preserve"> </v>
          </cell>
          <cell r="K279" t="str">
            <v xml:space="preserve"> </v>
          </cell>
          <cell r="L279" t="str">
            <v xml:space="preserve"> </v>
          </cell>
          <cell r="M279" t="str">
            <v xml:space="preserve"> </v>
          </cell>
        </row>
        <row r="280">
          <cell r="B280" t="str">
            <v xml:space="preserve"> </v>
          </cell>
          <cell r="C280" t="str">
            <v xml:space="preserve"> </v>
          </cell>
          <cell r="D280" t="str">
            <v xml:space="preserve"> </v>
          </cell>
          <cell r="E280" t="str">
            <v xml:space="preserve"> </v>
          </cell>
          <cell r="F280" t="str">
            <v xml:space="preserve"> </v>
          </cell>
          <cell r="G280" t="str">
            <v xml:space="preserve"> </v>
          </cell>
          <cell r="H280" t="str">
            <v xml:space="preserve"> </v>
          </cell>
          <cell r="I280" t="str">
            <v xml:space="preserve"> </v>
          </cell>
          <cell r="J280" t="str">
            <v xml:space="preserve"> </v>
          </cell>
          <cell r="K280" t="str">
            <v xml:space="preserve"> </v>
          </cell>
          <cell r="L280" t="str">
            <v xml:space="preserve"> </v>
          </cell>
          <cell r="M280" t="str">
            <v xml:space="preserve"> </v>
          </cell>
        </row>
        <row r="281">
          <cell r="B281" t="str">
            <v xml:space="preserve"> </v>
          </cell>
          <cell r="C281" t="str">
            <v xml:space="preserve"> </v>
          </cell>
          <cell r="D281" t="str">
            <v xml:space="preserve"> </v>
          </cell>
          <cell r="E281" t="str">
            <v xml:space="preserve"> </v>
          </cell>
          <cell r="F281" t="str">
            <v xml:space="preserve"> </v>
          </cell>
          <cell r="G281" t="str">
            <v xml:space="preserve"> </v>
          </cell>
          <cell r="H281" t="str">
            <v xml:space="preserve"> </v>
          </cell>
          <cell r="I281" t="str">
            <v xml:space="preserve"> </v>
          </cell>
          <cell r="J281" t="str">
            <v xml:space="preserve"> </v>
          </cell>
          <cell r="K281" t="str">
            <v xml:space="preserve"> </v>
          </cell>
          <cell r="L281" t="str">
            <v xml:space="preserve"> </v>
          </cell>
          <cell r="M281" t="str">
            <v xml:space="preserve"> </v>
          </cell>
        </row>
        <row r="282">
          <cell r="B282" t="str">
            <v xml:space="preserve"> </v>
          </cell>
          <cell r="C282" t="str">
            <v xml:space="preserve"> </v>
          </cell>
          <cell r="D282" t="str">
            <v xml:space="preserve"> </v>
          </cell>
          <cell r="E282" t="str">
            <v xml:space="preserve"> </v>
          </cell>
          <cell r="F282" t="str">
            <v xml:space="preserve"> </v>
          </cell>
          <cell r="G282" t="str">
            <v xml:space="preserve"> </v>
          </cell>
          <cell r="H282" t="str">
            <v xml:space="preserve"> </v>
          </cell>
          <cell r="I282" t="str">
            <v xml:space="preserve"> </v>
          </cell>
          <cell r="J282" t="str">
            <v xml:space="preserve"> </v>
          </cell>
          <cell r="K282" t="str">
            <v xml:space="preserve"> </v>
          </cell>
          <cell r="L282" t="str">
            <v xml:space="preserve"> </v>
          </cell>
          <cell r="M282" t="str">
            <v xml:space="preserve"> </v>
          </cell>
        </row>
        <row r="283">
          <cell r="B283" t="str">
            <v xml:space="preserve"> </v>
          </cell>
          <cell r="C283" t="str">
            <v xml:space="preserve"> </v>
          </cell>
          <cell r="D283" t="str">
            <v xml:space="preserve"> </v>
          </cell>
          <cell r="E283" t="str">
            <v xml:space="preserve"> </v>
          </cell>
          <cell r="F283" t="str">
            <v xml:space="preserve"> </v>
          </cell>
          <cell r="G283" t="str">
            <v xml:space="preserve"> </v>
          </cell>
          <cell r="H283" t="str">
            <v xml:space="preserve"> </v>
          </cell>
          <cell r="I283" t="str">
            <v xml:space="preserve"> </v>
          </cell>
          <cell r="J283" t="str">
            <v xml:space="preserve"> </v>
          </cell>
          <cell r="K283" t="str">
            <v xml:space="preserve"> </v>
          </cell>
          <cell r="L283" t="str">
            <v xml:space="preserve"> </v>
          </cell>
          <cell r="M283" t="str">
            <v xml:space="preserve"> </v>
          </cell>
        </row>
        <row r="284">
          <cell r="B284" t="str">
            <v xml:space="preserve"> </v>
          </cell>
          <cell r="C284" t="str">
            <v xml:space="preserve"> </v>
          </cell>
          <cell r="D284" t="str">
            <v xml:space="preserve"> </v>
          </cell>
          <cell r="E284" t="str">
            <v xml:space="preserve"> </v>
          </cell>
          <cell r="F284" t="str">
            <v xml:space="preserve"> </v>
          </cell>
          <cell r="G284" t="str">
            <v xml:space="preserve"> </v>
          </cell>
          <cell r="H284" t="str">
            <v xml:space="preserve"> </v>
          </cell>
          <cell r="I284" t="str">
            <v xml:space="preserve"> </v>
          </cell>
          <cell r="J284" t="str">
            <v xml:space="preserve"> </v>
          </cell>
          <cell r="K284" t="str">
            <v xml:space="preserve"> </v>
          </cell>
          <cell r="L284" t="str">
            <v xml:space="preserve"> </v>
          </cell>
          <cell r="M284" t="str">
            <v xml:space="preserve"> </v>
          </cell>
        </row>
        <row r="285">
          <cell r="B285" t="str">
            <v xml:space="preserve"> </v>
          </cell>
          <cell r="C285" t="str">
            <v xml:space="preserve"> </v>
          </cell>
          <cell r="D285" t="str">
            <v xml:space="preserve"> </v>
          </cell>
          <cell r="E285" t="str">
            <v xml:space="preserve"> </v>
          </cell>
          <cell r="F285" t="str">
            <v xml:space="preserve"> </v>
          </cell>
          <cell r="G285" t="str">
            <v xml:space="preserve"> </v>
          </cell>
          <cell r="H285" t="str">
            <v xml:space="preserve"> </v>
          </cell>
          <cell r="I285" t="str">
            <v xml:space="preserve"> </v>
          </cell>
          <cell r="J285" t="str">
            <v xml:space="preserve"> </v>
          </cell>
          <cell r="K285" t="str">
            <v xml:space="preserve"> </v>
          </cell>
          <cell r="L285" t="str">
            <v xml:space="preserve"> </v>
          </cell>
          <cell r="M285" t="str">
            <v xml:space="preserve"> </v>
          </cell>
        </row>
        <row r="286">
          <cell r="B286" t="str">
            <v xml:space="preserve"> </v>
          </cell>
          <cell r="C286" t="str">
            <v xml:space="preserve"> </v>
          </cell>
          <cell r="D286" t="str">
            <v xml:space="preserve"> </v>
          </cell>
          <cell r="E286" t="str">
            <v xml:space="preserve"> </v>
          </cell>
          <cell r="F286" t="str">
            <v xml:space="preserve"> </v>
          </cell>
          <cell r="G286" t="str">
            <v xml:space="preserve"> </v>
          </cell>
          <cell r="H286" t="str">
            <v xml:space="preserve"> </v>
          </cell>
          <cell r="I286" t="str">
            <v xml:space="preserve"> </v>
          </cell>
          <cell r="J286" t="str">
            <v xml:space="preserve"> </v>
          </cell>
          <cell r="K286" t="str">
            <v xml:space="preserve"> </v>
          </cell>
          <cell r="L286" t="str">
            <v xml:space="preserve"> </v>
          </cell>
          <cell r="M286" t="str">
            <v xml:space="preserve"> </v>
          </cell>
        </row>
        <row r="287">
          <cell r="B287" t="str">
            <v xml:space="preserve"> </v>
          </cell>
          <cell r="C287" t="str">
            <v xml:space="preserve"> </v>
          </cell>
          <cell r="D287" t="str">
            <v xml:space="preserve"> </v>
          </cell>
          <cell r="E287" t="str">
            <v xml:space="preserve"> </v>
          </cell>
          <cell r="F287" t="str">
            <v xml:space="preserve"> </v>
          </cell>
          <cell r="G287" t="str">
            <v xml:space="preserve"> </v>
          </cell>
          <cell r="H287" t="str">
            <v xml:space="preserve"> </v>
          </cell>
          <cell r="I287" t="str">
            <v xml:space="preserve"> </v>
          </cell>
          <cell r="J287" t="str">
            <v xml:space="preserve"> </v>
          </cell>
          <cell r="K287" t="str">
            <v xml:space="preserve"> </v>
          </cell>
          <cell r="L287" t="str">
            <v xml:space="preserve"> </v>
          </cell>
          <cell r="M287" t="str">
            <v xml:space="preserve"> </v>
          </cell>
        </row>
        <row r="288">
          <cell r="B288" t="str">
            <v xml:space="preserve"> </v>
          </cell>
          <cell r="C288" t="str">
            <v xml:space="preserve"> </v>
          </cell>
          <cell r="D288" t="str">
            <v xml:space="preserve"> </v>
          </cell>
          <cell r="E288" t="str">
            <v xml:space="preserve"> </v>
          </cell>
          <cell r="F288" t="str">
            <v xml:space="preserve"> </v>
          </cell>
          <cell r="G288" t="str">
            <v xml:space="preserve"> </v>
          </cell>
          <cell r="H288" t="str">
            <v xml:space="preserve"> </v>
          </cell>
          <cell r="I288" t="str">
            <v xml:space="preserve"> </v>
          </cell>
          <cell r="J288" t="str">
            <v xml:space="preserve"> </v>
          </cell>
          <cell r="K288" t="str">
            <v xml:space="preserve"> </v>
          </cell>
          <cell r="L288" t="str">
            <v xml:space="preserve"> </v>
          </cell>
          <cell r="M288" t="str">
            <v xml:space="preserve"> </v>
          </cell>
        </row>
        <row r="289">
          <cell r="B289" t="str">
            <v xml:space="preserve"> </v>
          </cell>
          <cell r="C289" t="str">
            <v xml:space="preserve"> </v>
          </cell>
          <cell r="D289" t="str">
            <v xml:space="preserve"> </v>
          </cell>
          <cell r="E289" t="str">
            <v xml:space="preserve"> </v>
          </cell>
          <cell r="F289" t="str">
            <v xml:space="preserve"> </v>
          </cell>
          <cell r="G289" t="str">
            <v xml:space="preserve"> </v>
          </cell>
          <cell r="H289" t="str">
            <v xml:space="preserve"> </v>
          </cell>
          <cell r="I289" t="str">
            <v xml:space="preserve"> </v>
          </cell>
          <cell r="J289" t="str">
            <v xml:space="preserve"> </v>
          </cell>
          <cell r="K289" t="str">
            <v xml:space="preserve"> </v>
          </cell>
          <cell r="L289" t="str">
            <v xml:space="preserve"> </v>
          </cell>
          <cell r="M289" t="str">
            <v xml:space="preserve"> </v>
          </cell>
        </row>
        <row r="290">
          <cell r="B290" t="str">
            <v xml:space="preserve"> </v>
          </cell>
          <cell r="C290" t="str">
            <v xml:space="preserve"> </v>
          </cell>
          <cell r="D290" t="str">
            <v xml:space="preserve"> </v>
          </cell>
          <cell r="E290" t="str">
            <v xml:space="preserve"> </v>
          </cell>
          <cell r="F290" t="str">
            <v xml:space="preserve"> </v>
          </cell>
          <cell r="G290" t="str">
            <v xml:space="preserve"> </v>
          </cell>
          <cell r="H290" t="str">
            <v xml:space="preserve"> </v>
          </cell>
          <cell r="I290" t="str">
            <v xml:space="preserve"> </v>
          </cell>
          <cell r="J290" t="str">
            <v xml:space="preserve"> </v>
          </cell>
          <cell r="K290" t="str">
            <v xml:space="preserve"> </v>
          </cell>
          <cell r="L290" t="str">
            <v xml:space="preserve"> </v>
          </cell>
          <cell r="M290" t="str">
            <v xml:space="preserve"> </v>
          </cell>
        </row>
        <row r="291">
          <cell r="B291" t="str">
            <v xml:space="preserve"> </v>
          </cell>
          <cell r="C291" t="str">
            <v xml:space="preserve"> </v>
          </cell>
          <cell r="D291" t="str">
            <v xml:space="preserve"> </v>
          </cell>
          <cell r="E291" t="str">
            <v xml:space="preserve"> </v>
          </cell>
          <cell r="F291" t="str">
            <v xml:space="preserve"> </v>
          </cell>
          <cell r="G291" t="str">
            <v xml:space="preserve"> </v>
          </cell>
          <cell r="H291" t="str">
            <v xml:space="preserve"> </v>
          </cell>
          <cell r="I291" t="str">
            <v xml:space="preserve"> </v>
          </cell>
          <cell r="J291" t="str">
            <v xml:space="preserve"> </v>
          </cell>
          <cell r="K291" t="str">
            <v xml:space="preserve"> </v>
          </cell>
          <cell r="L291" t="str">
            <v xml:space="preserve"> </v>
          </cell>
          <cell r="M291" t="str">
            <v xml:space="preserve"> </v>
          </cell>
        </row>
        <row r="292">
          <cell r="B292" t="str">
            <v xml:space="preserve"> </v>
          </cell>
          <cell r="C292" t="str">
            <v xml:space="preserve"> </v>
          </cell>
          <cell r="D292" t="str">
            <v xml:space="preserve"> </v>
          </cell>
          <cell r="E292" t="str">
            <v xml:space="preserve"> </v>
          </cell>
          <cell r="F292" t="str">
            <v xml:space="preserve"> </v>
          </cell>
          <cell r="G292" t="str">
            <v xml:space="preserve"> </v>
          </cell>
          <cell r="H292" t="str">
            <v xml:space="preserve"> </v>
          </cell>
          <cell r="I292" t="str">
            <v xml:space="preserve"> </v>
          </cell>
          <cell r="J292" t="str">
            <v xml:space="preserve"> </v>
          </cell>
          <cell r="K292" t="str">
            <v xml:space="preserve"> </v>
          </cell>
          <cell r="L292" t="str">
            <v xml:space="preserve"> </v>
          </cell>
          <cell r="M292" t="str">
            <v xml:space="preserve"> </v>
          </cell>
        </row>
        <row r="293">
          <cell r="B293" t="str">
            <v xml:space="preserve"> </v>
          </cell>
          <cell r="C293" t="str">
            <v xml:space="preserve"> </v>
          </cell>
          <cell r="D293" t="str">
            <v xml:space="preserve"> </v>
          </cell>
          <cell r="E293" t="str">
            <v xml:space="preserve"> </v>
          </cell>
          <cell r="F293" t="str">
            <v xml:space="preserve"> </v>
          </cell>
          <cell r="G293" t="str">
            <v xml:space="preserve"> </v>
          </cell>
          <cell r="H293" t="str">
            <v xml:space="preserve"> </v>
          </cell>
          <cell r="I293" t="str">
            <v xml:space="preserve"> </v>
          </cell>
          <cell r="J293" t="str">
            <v xml:space="preserve"> </v>
          </cell>
          <cell r="K293" t="str">
            <v xml:space="preserve"> </v>
          </cell>
          <cell r="L293" t="str">
            <v xml:space="preserve"> </v>
          </cell>
          <cell r="M293" t="str">
            <v xml:space="preserve"> </v>
          </cell>
        </row>
        <row r="294">
          <cell r="B294" t="str">
            <v xml:space="preserve"> </v>
          </cell>
          <cell r="C294" t="str">
            <v xml:space="preserve"> </v>
          </cell>
          <cell r="D294" t="str">
            <v xml:space="preserve"> </v>
          </cell>
          <cell r="E294" t="str">
            <v xml:space="preserve"> </v>
          </cell>
          <cell r="F294" t="str">
            <v xml:space="preserve"> </v>
          </cell>
          <cell r="G294" t="str">
            <v xml:space="preserve"> </v>
          </cell>
          <cell r="H294" t="str">
            <v xml:space="preserve"> </v>
          </cell>
          <cell r="I294" t="str">
            <v xml:space="preserve"> </v>
          </cell>
          <cell r="J294" t="str">
            <v xml:space="preserve"> </v>
          </cell>
          <cell r="K294" t="str">
            <v xml:space="preserve"> </v>
          </cell>
          <cell r="L294" t="str">
            <v xml:space="preserve"> </v>
          </cell>
          <cell r="M294" t="str">
            <v xml:space="preserve"> </v>
          </cell>
        </row>
        <row r="295">
          <cell r="B295" t="str">
            <v xml:space="preserve"> </v>
          </cell>
          <cell r="C295" t="str">
            <v xml:space="preserve"> </v>
          </cell>
          <cell r="D295" t="str">
            <v xml:space="preserve"> </v>
          </cell>
          <cell r="E295" t="str">
            <v xml:space="preserve"> </v>
          </cell>
          <cell r="F295" t="str">
            <v xml:space="preserve"> </v>
          </cell>
          <cell r="G295" t="str">
            <v xml:space="preserve"> </v>
          </cell>
          <cell r="H295" t="str">
            <v xml:space="preserve"> </v>
          </cell>
          <cell r="I295" t="str">
            <v xml:space="preserve"> </v>
          </cell>
          <cell r="J295" t="str">
            <v xml:space="preserve"> </v>
          </cell>
          <cell r="K295" t="str">
            <v xml:space="preserve"> </v>
          </cell>
          <cell r="L295" t="str">
            <v xml:space="preserve"> </v>
          </cell>
          <cell r="M295" t="str">
            <v xml:space="preserve"> </v>
          </cell>
        </row>
        <row r="296">
          <cell r="B296" t="str">
            <v xml:space="preserve"> </v>
          </cell>
          <cell r="C296" t="str">
            <v xml:space="preserve"> </v>
          </cell>
          <cell r="D296" t="str">
            <v xml:space="preserve"> </v>
          </cell>
          <cell r="E296" t="str">
            <v xml:space="preserve"> </v>
          </cell>
          <cell r="F296" t="str">
            <v xml:space="preserve"> </v>
          </cell>
          <cell r="G296" t="str">
            <v xml:space="preserve"> </v>
          </cell>
          <cell r="H296" t="str">
            <v xml:space="preserve"> </v>
          </cell>
          <cell r="I296" t="str">
            <v xml:space="preserve"> </v>
          </cell>
          <cell r="J296" t="str">
            <v xml:space="preserve"> </v>
          </cell>
          <cell r="K296" t="str">
            <v xml:space="preserve"> </v>
          </cell>
          <cell r="L296" t="str">
            <v xml:space="preserve"> </v>
          </cell>
          <cell r="M296" t="str">
            <v xml:space="preserve"> </v>
          </cell>
        </row>
        <row r="297">
          <cell r="B297" t="str">
            <v xml:space="preserve"> </v>
          </cell>
          <cell r="C297" t="str">
            <v xml:space="preserve"> </v>
          </cell>
          <cell r="D297" t="str">
            <v xml:space="preserve"> </v>
          </cell>
          <cell r="E297" t="str">
            <v xml:space="preserve"> </v>
          </cell>
          <cell r="F297" t="str">
            <v xml:space="preserve"> </v>
          </cell>
          <cell r="G297" t="str">
            <v xml:space="preserve"> </v>
          </cell>
          <cell r="H297" t="str">
            <v xml:space="preserve"> </v>
          </cell>
          <cell r="I297" t="str">
            <v xml:space="preserve"> </v>
          </cell>
          <cell r="J297" t="str">
            <v xml:space="preserve"> </v>
          </cell>
          <cell r="K297" t="str">
            <v xml:space="preserve"> </v>
          </cell>
          <cell r="L297" t="str">
            <v xml:space="preserve"> </v>
          </cell>
          <cell r="M297" t="str">
            <v xml:space="preserve"> </v>
          </cell>
        </row>
        <row r="298">
          <cell r="B298" t="str">
            <v xml:space="preserve"> </v>
          </cell>
          <cell r="C298" t="str">
            <v xml:space="preserve"> </v>
          </cell>
          <cell r="D298" t="str">
            <v xml:space="preserve"> </v>
          </cell>
          <cell r="E298" t="str">
            <v xml:space="preserve"> </v>
          </cell>
          <cell r="F298" t="str">
            <v xml:space="preserve"> </v>
          </cell>
          <cell r="G298" t="str">
            <v xml:space="preserve"> </v>
          </cell>
          <cell r="H298" t="str">
            <v xml:space="preserve"> </v>
          </cell>
          <cell r="I298" t="str">
            <v xml:space="preserve"> </v>
          </cell>
          <cell r="J298" t="str">
            <v xml:space="preserve"> </v>
          </cell>
          <cell r="K298" t="str">
            <v xml:space="preserve"> </v>
          </cell>
          <cell r="L298" t="str">
            <v xml:space="preserve"> </v>
          </cell>
          <cell r="M298" t="str">
            <v xml:space="preserve"> </v>
          </cell>
        </row>
        <row r="299">
          <cell r="B299" t="str">
            <v xml:space="preserve"> </v>
          </cell>
          <cell r="C299" t="str">
            <v xml:space="preserve"> </v>
          </cell>
          <cell r="D299" t="str">
            <v xml:space="preserve"> </v>
          </cell>
          <cell r="E299" t="str">
            <v xml:space="preserve"> </v>
          </cell>
          <cell r="F299" t="str">
            <v xml:space="preserve"> </v>
          </cell>
          <cell r="G299" t="str">
            <v xml:space="preserve"> </v>
          </cell>
          <cell r="H299" t="str">
            <v xml:space="preserve"> </v>
          </cell>
          <cell r="I299" t="str">
            <v xml:space="preserve"> </v>
          </cell>
          <cell r="J299" t="str">
            <v xml:space="preserve"> </v>
          </cell>
          <cell r="K299" t="str">
            <v xml:space="preserve"> </v>
          </cell>
          <cell r="L299" t="str">
            <v xml:space="preserve"> </v>
          </cell>
          <cell r="M299" t="str">
            <v xml:space="preserve"> </v>
          </cell>
        </row>
        <row r="300">
          <cell r="B300" t="str">
            <v xml:space="preserve"> </v>
          </cell>
          <cell r="C300" t="str">
            <v xml:space="preserve"> </v>
          </cell>
          <cell r="D300" t="str">
            <v xml:space="preserve"> </v>
          </cell>
          <cell r="E300" t="str">
            <v xml:space="preserve"> </v>
          </cell>
          <cell r="F300" t="str">
            <v xml:space="preserve"> </v>
          </cell>
          <cell r="G300" t="str">
            <v xml:space="preserve"> </v>
          </cell>
          <cell r="H300" t="str">
            <v xml:space="preserve"> </v>
          </cell>
          <cell r="I300" t="str">
            <v xml:space="preserve"> </v>
          </cell>
          <cell r="J300" t="str">
            <v xml:space="preserve"> </v>
          </cell>
          <cell r="K300" t="str">
            <v xml:space="preserve"> </v>
          </cell>
          <cell r="L300" t="str">
            <v xml:space="preserve"> </v>
          </cell>
          <cell r="M300" t="str">
            <v xml:space="preserve"> </v>
          </cell>
        </row>
        <row r="301">
          <cell r="B301" t="str">
            <v xml:space="preserve"> </v>
          </cell>
          <cell r="C301" t="str">
            <v xml:space="preserve"> </v>
          </cell>
          <cell r="D301" t="str">
            <v xml:space="preserve"> </v>
          </cell>
          <cell r="E301" t="str">
            <v xml:space="preserve"> </v>
          </cell>
          <cell r="F301" t="str">
            <v xml:space="preserve"> </v>
          </cell>
          <cell r="G301" t="str">
            <v xml:space="preserve"> </v>
          </cell>
          <cell r="H301" t="str">
            <v xml:space="preserve"> </v>
          </cell>
          <cell r="I301" t="str">
            <v xml:space="preserve"> </v>
          </cell>
          <cell r="J301" t="str">
            <v xml:space="preserve"> </v>
          </cell>
          <cell r="K301" t="str">
            <v xml:space="preserve"> </v>
          </cell>
          <cell r="L301" t="str">
            <v xml:space="preserve"> </v>
          </cell>
          <cell r="M301" t="str">
            <v xml:space="preserve"> </v>
          </cell>
        </row>
        <row r="302">
          <cell r="B302" t="str">
            <v xml:space="preserve"> </v>
          </cell>
          <cell r="C302" t="str">
            <v xml:space="preserve"> </v>
          </cell>
          <cell r="D302" t="str">
            <v xml:space="preserve"> </v>
          </cell>
          <cell r="E302" t="str">
            <v xml:space="preserve"> </v>
          </cell>
          <cell r="F302" t="str">
            <v xml:space="preserve"> </v>
          </cell>
          <cell r="G302" t="str">
            <v xml:space="preserve"> </v>
          </cell>
          <cell r="H302" t="str">
            <v xml:space="preserve"> </v>
          </cell>
          <cell r="I302" t="str">
            <v xml:space="preserve"> </v>
          </cell>
          <cell r="J302" t="str">
            <v xml:space="preserve"> </v>
          </cell>
          <cell r="K302" t="str">
            <v xml:space="preserve"> </v>
          </cell>
          <cell r="L302" t="str">
            <v xml:space="preserve"> </v>
          </cell>
          <cell r="M302" t="str">
            <v xml:space="preserve"> </v>
          </cell>
        </row>
        <row r="303">
          <cell r="B303" t="str">
            <v xml:space="preserve"> </v>
          </cell>
          <cell r="C303" t="str">
            <v xml:space="preserve"> </v>
          </cell>
          <cell r="D303" t="str">
            <v xml:space="preserve"> </v>
          </cell>
          <cell r="E303" t="str">
            <v xml:space="preserve"> </v>
          </cell>
          <cell r="F303" t="str">
            <v xml:space="preserve"> </v>
          </cell>
          <cell r="G303" t="str">
            <v xml:space="preserve"> </v>
          </cell>
          <cell r="H303" t="str">
            <v xml:space="preserve"> </v>
          </cell>
          <cell r="I303" t="str">
            <v xml:space="preserve"> </v>
          </cell>
          <cell r="J303" t="str">
            <v xml:space="preserve"> </v>
          </cell>
          <cell r="K303" t="str">
            <v xml:space="preserve"> </v>
          </cell>
          <cell r="L303" t="str">
            <v xml:space="preserve"> </v>
          </cell>
          <cell r="M303" t="str">
            <v xml:space="preserve"> </v>
          </cell>
        </row>
        <row r="304">
          <cell r="B304" t="str">
            <v xml:space="preserve"> </v>
          </cell>
          <cell r="C304" t="str">
            <v xml:space="preserve"> </v>
          </cell>
          <cell r="D304" t="str">
            <v xml:space="preserve"> </v>
          </cell>
          <cell r="E304" t="str">
            <v xml:space="preserve"> </v>
          </cell>
          <cell r="F304" t="str">
            <v xml:space="preserve"> </v>
          </cell>
          <cell r="G304" t="str">
            <v xml:space="preserve"> </v>
          </cell>
          <cell r="H304" t="str">
            <v xml:space="preserve"> </v>
          </cell>
          <cell r="I304" t="str">
            <v xml:space="preserve"> </v>
          </cell>
          <cell r="J304" t="str">
            <v xml:space="preserve"> </v>
          </cell>
          <cell r="K304" t="str">
            <v xml:space="preserve"> </v>
          </cell>
          <cell r="L304" t="str">
            <v xml:space="preserve"> </v>
          </cell>
          <cell r="M304" t="str">
            <v xml:space="preserve"> </v>
          </cell>
        </row>
        <row r="305">
          <cell r="B305" t="str">
            <v xml:space="preserve"> </v>
          </cell>
          <cell r="C305" t="str">
            <v xml:space="preserve"> </v>
          </cell>
          <cell r="D305" t="str">
            <v xml:space="preserve"> </v>
          </cell>
          <cell r="E305" t="str">
            <v xml:space="preserve"> </v>
          </cell>
          <cell r="F305" t="str">
            <v xml:space="preserve"> </v>
          </cell>
          <cell r="G305" t="str">
            <v xml:space="preserve"> </v>
          </cell>
          <cell r="H305" t="str">
            <v xml:space="preserve"> </v>
          </cell>
          <cell r="I305" t="str">
            <v xml:space="preserve"> </v>
          </cell>
          <cell r="J305" t="str">
            <v xml:space="preserve"> </v>
          </cell>
          <cell r="K305" t="str">
            <v xml:space="preserve"> </v>
          </cell>
          <cell r="L305" t="str">
            <v xml:space="preserve"> </v>
          </cell>
          <cell r="M305" t="str">
            <v xml:space="preserve"> </v>
          </cell>
        </row>
        <row r="306">
          <cell r="B306" t="str">
            <v xml:space="preserve"> </v>
          </cell>
          <cell r="C306" t="str">
            <v xml:space="preserve"> </v>
          </cell>
          <cell r="D306" t="str">
            <v xml:space="preserve"> </v>
          </cell>
          <cell r="E306" t="str">
            <v xml:space="preserve"> </v>
          </cell>
          <cell r="F306" t="str">
            <v xml:space="preserve"> </v>
          </cell>
          <cell r="G306" t="str">
            <v xml:space="preserve"> </v>
          </cell>
          <cell r="H306" t="str">
            <v xml:space="preserve"> </v>
          </cell>
          <cell r="I306" t="str">
            <v xml:space="preserve"> </v>
          </cell>
          <cell r="J306" t="str">
            <v xml:space="preserve"> </v>
          </cell>
          <cell r="K306" t="str">
            <v xml:space="preserve"> </v>
          </cell>
          <cell r="L306" t="str">
            <v xml:space="preserve"> </v>
          </cell>
          <cell r="M306" t="str">
            <v xml:space="preserve"> </v>
          </cell>
        </row>
        <row r="307">
          <cell r="B307" t="str">
            <v xml:space="preserve"> </v>
          </cell>
          <cell r="C307" t="str">
            <v xml:space="preserve"> </v>
          </cell>
          <cell r="D307" t="str">
            <v xml:space="preserve"> </v>
          </cell>
          <cell r="E307" t="str">
            <v xml:space="preserve"> </v>
          </cell>
          <cell r="F307" t="str">
            <v xml:space="preserve"> </v>
          </cell>
          <cell r="G307" t="str">
            <v xml:space="preserve"> </v>
          </cell>
          <cell r="H307" t="str">
            <v xml:space="preserve"> </v>
          </cell>
          <cell r="I307" t="str">
            <v xml:space="preserve"> </v>
          </cell>
          <cell r="J307" t="str">
            <v xml:space="preserve"> </v>
          </cell>
          <cell r="K307" t="str">
            <v xml:space="preserve"> </v>
          </cell>
          <cell r="L307" t="str">
            <v xml:space="preserve"> </v>
          </cell>
          <cell r="M307" t="str">
            <v xml:space="preserve"> </v>
          </cell>
        </row>
        <row r="308">
          <cell r="B308" t="str">
            <v xml:space="preserve"> </v>
          </cell>
          <cell r="C308" t="str">
            <v xml:space="preserve"> </v>
          </cell>
          <cell r="D308" t="str">
            <v xml:space="preserve"> </v>
          </cell>
          <cell r="E308" t="str">
            <v xml:space="preserve"> </v>
          </cell>
          <cell r="F308" t="str">
            <v xml:space="preserve"> </v>
          </cell>
          <cell r="G308" t="str">
            <v xml:space="preserve"> </v>
          </cell>
          <cell r="H308" t="str">
            <v xml:space="preserve"> </v>
          </cell>
          <cell r="I308" t="str">
            <v xml:space="preserve"> </v>
          </cell>
          <cell r="J308" t="str">
            <v xml:space="preserve"> </v>
          </cell>
          <cell r="K308" t="str">
            <v xml:space="preserve"> </v>
          </cell>
          <cell r="L308" t="str">
            <v xml:space="preserve"> </v>
          </cell>
          <cell r="M308" t="str">
            <v xml:space="preserve"> </v>
          </cell>
        </row>
        <row r="309">
          <cell r="B309" t="str">
            <v xml:space="preserve"> </v>
          </cell>
          <cell r="C309" t="str">
            <v xml:space="preserve"> </v>
          </cell>
          <cell r="D309" t="str">
            <v xml:space="preserve"> </v>
          </cell>
          <cell r="E309" t="str">
            <v xml:space="preserve"> </v>
          </cell>
          <cell r="F309" t="str">
            <v xml:space="preserve"> </v>
          </cell>
          <cell r="G309" t="str">
            <v xml:space="preserve"> </v>
          </cell>
          <cell r="H309" t="str">
            <v xml:space="preserve"> </v>
          </cell>
          <cell r="I309" t="str">
            <v xml:space="preserve"> </v>
          </cell>
          <cell r="J309" t="str">
            <v xml:space="preserve"> </v>
          </cell>
          <cell r="K309" t="str">
            <v xml:space="preserve"> </v>
          </cell>
          <cell r="L309" t="str">
            <v xml:space="preserve"> </v>
          </cell>
          <cell r="M309" t="str">
            <v xml:space="preserve"> </v>
          </cell>
        </row>
        <row r="310">
          <cell r="B310" t="str">
            <v xml:space="preserve"> </v>
          </cell>
          <cell r="C310" t="str">
            <v xml:space="preserve"> </v>
          </cell>
          <cell r="D310" t="str">
            <v xml:space="preserve"> </v>
          </cell>
          <cell r="E310" t="str">
            <v xml:space="preserve"> </v>
          </cell>
          <cell r="F310" t="str">
            <v xml:space="preserve"> </v>
          </cell>
          <cell r="G310" t="str">
            <v xml:space="preserve"> </v>
          </cell>
          <cell r="H310" t="str">
            <v xml:space="preserve"> </v>
          </cell>
          <cell r="I310" t="str">
            <v xml:space="preserve"> </v>
          </cell>
          <cell r="J310" t="str">
            <v xml:space="preserve"> </v>
          </cell>
          <cell r="K310" t="str">
            <v xml:space="preserve"> </v>
          </cell>
          <cell r="L310" t="str">
            <v xml:space="preserve"> </v>
          </cell>
          <cell r="M310" t="str">
            <v xml:space="preserve"> </v>
          </cell>
        </row>
        <row r="311">
          <cell r="B311" t="str">
            <v xml:space="preserve"> </v>
          </cell>
          <cell r="C311" t="str">
            <v xml:space="preserve"> </v>
          </cell>
          <cell r="D311" t="str">
            <v xml:space="preserve"> </v>
          </cell>
          <cell r="E311" t="str">
            <v xml:space="preserve"> </v>
          </cell>
          <cell r="F311" t="str">
            <v xml:space="preserve"> </v>
          </cell>
          <cell r="G311" t="str">
            <v xml:space="preserve"> </v>
          </cell>
          <cell r="H311" t="str">
            <v xml:space="preserve"> </v>
          </cell>
          <cell r="I311" t="str">
            <v xml:space="preserve"> </v>
          </cell>
          <cell r="J311" t="str">
            <v xml:space="preserve"> </v>
          </cell>
          <cell r="K311" t="str">
            <v xml:space="preserve"> </v>
          </cell>
          <cell r="L311" t="str">
            <v xml:space="preserve"> </v>
          </cell>
          <cell r="M311" t="str">
            <v xml:space="preserve"> </v>
          </cell>
        </row>
        <row r="312">
          <cell r="B312" t="str">
            <v xml:space="preserve"> </v>
          </cell>
          <cell r="C312" t="str">
            <v xml:space="preserve"> </v>
          </cell>
          <cell r="D312" t="str">
            <v xml:space="preserve"> </v>
          </cell>
          <cell r="E312" t="str">
            <v xml:space="preserve"> </v>
          </cell>
          <cell r="F312" t="str">
            <v xml:space="preserve"> </v>
          </cell>
          <cell r="G312" t="str">
            <v xml:space="preserve"> </v>
          </cell>
          <cell r="H312" t="str">
            <v xml:space="preserve"> </v>
          </cell>
          <cell r="I312" t="str">
            <v xml:space="preserve"> </v>
          </cell>
          <cell r="J312" t="str">
            <v xml:space="preserve"> </v>
          </cell>
          <cell r="K312" t="str">
            <v xml:space="preserve"> </v>
          </cell>
          <cell r="L312" t="str">
            <v xml:space="preserve"> </v>
          </cell>
          <cell r="M312" t="str">
            <v xml:space="preserve"> </v>
          </cell>
        </row>
        <row r="313">
          <cell r="B313" t="str">
            <v xml:space="preserve"> </v>
          </cell>
          <cell r="C313" t="str">
            <v xml:space="preserve"> </v>
          </cell>
          <cell r="D313" t="str">
            <v xml:space="preserve"> </v>
          </cell>
          <cell r="E313" t="str">
            <v xml:space="preserve"> </v>
          </cell>
          <cell r="F313" t="str">
            <v xml:space="preserve"> </v>
          </cell>
          <cell r="G313" t="str">
            <v xml:space="preserve"> </v>
          </cell>
          <cell r="H313" t="str">
            <v xml:space="preserve"> </v>
          </cell>
          <cell r="I313" t="str">
            <v xml:space="preserve"> </v>
          </cell>
          <cell r="J313" t="str">
            <v xml:space="preserve"> </v>
          </cell>
          <cell r="K313" t="str">
            <v xml:space="preserve"> </v>
          </cell>
          <cell r="L313" t="str">
            <v xml:space="preserve"> </v>
          </cell>
          <cell r="M313" t="str">
            <v xml:space="preserve"> </v>
          </cell>
        </row>
        <row r="314">
          <cell r="B314" t="str">
            <v xml:space="preserve"> </v>
          </cell>
          <cell r="C314" t="str">
            <v xml:space="preserve"> </v>
          </cell>
          <cell r="D314" t="str">
            <v xml:space="preserve"> </v>
          </cell>
          <cell r="E314" t="str">
            <v xml:space="preserve"> </v>
          </cell>
          <cell r="F314" t="str">
            <v xml:space="preserve"> </v>
          </cell>
          <cell r="G314" t="str">
            <v xml:space="preserve"> </v>
          </cell>
          <cell r="H314" t="str">
            <v xml:space="preserve"> </v>
          </cell>
          <cell r="I314" t="str">
            <v xml:space="preserve"> </v>
          </cell>
          <cell r="J314" t="str">
            <v xml:space="preserve"> </v>
          </cell>
          <cell r="K314" t="str">
            <v xml:space="preserve"> </v>
          </cell>
          <cell r="L314" t="str">
            <v xml:space="preserve"> </v>
          </cell>
          <cell r="M314" t="str">
            <v xml:space="preserve"> </v>
          </cell>
        </row>
        <row r="315">
          <cell r="B315" t="str">
            <v xml:space="preserve"> </v>
          </cell>
          <cell r="C315" t="str">
            <v xml:space="preserve"> </v>
          </cell>
          <cell r="D315" t="str">
            <v xml:space="preserve"> </v>
          </cell>
          <cell r="E315" t="str">
            <v xml:space="preserve"> </v>
          </cell>
          <cell r="F315" t="str">
            <v xml:space="preserve"> </v>
          </cell>
          <cell r="G315" t="str">
            <v xml:space="preserve"> </v>
          </cell>
          <cell r="H315" t="str">
            <v xml:space="preserve"> </v>
          </cell>
          <cell r="I315" t="str">
            <v xml:space="preserve"> </v>
          </cell>
          <cell r="J315" t="str">
            <v xml:space="preserve"> </v>
          </cell>
          <cell r="K315" t="str">
            <v xml:space="preserve"> </v>
          </cell>
          <cell r="L315" t="str">
            <v xml:space="preserve"> </v>
          </cell>
          <cell r="M315" t="str">
            <v xml:space="preserve"> </v>
          </cell>
        </row>
        <row r="316">
          <cell r="B316" t="str">
            <v xml:space="preserve"> </v>
          </cell>
          <cell r="C316" t="str">
            <v xml:space="preserve"> </v>
          </cell>
          <cell r="D316" t="str">
            <v xml:space="preserve"> </v>
          </cell>
          <cell r="E316" t="str">
            <v xml:space="preserve"> </v>
          </cell>
          <cell r="F316" t="str">
            <v xml:space="preserve"> </v>
          </cell>
          <cell r="G316" t="str">
            <v xml:space="preserve"> </v>
          </cell>
          <cell r="H316" t="str">
            <v xml:space="preserve"> </v>
          </cell>
          <cell r="I316" t="str">
            <v xml:space="preserve"> </v>
          </cell>
          <cell r="J316" t="str">
            <v xml:space="preserve"> </v>
          </cell>
          <cell r="K316" t="str">
            <v xml:space="preserve"> </v>
          </cell>
          <cell r="L316" t="str">
            <v xml:space="preserve"> </v>
          </cell>
          <cell r="M316" t="str">
            <v xml:space="preserve"> </v>
          </cell>
        </row>
        <row r="317">
          <cell r="B317" t="str">
            <v xml:space="preserve"> </v>
          </cell>
          <cell r="C317" t="str">
            <v xml:space="preserve"> </v>
          </cell>
          <cell r="D317" t="str">
            <v xml:space="preserve"> </v>
          </cell>
          <cell r="E317" t="str">
            <v xml:space="preserve"> </v>
          </cell>
          <cell r="F317" t="str">
            <v xml:space="preserve"> </v>
          </cell>
          <cell r="G317" t="str">
            <v xml:space="preserve"> </v>
          </cell>
          <cell r="H317" t="str">
            <v xml:space="preserve"> </v>
          </cell>
          <cell r="I317" t="str">
            <v xml:space="preserve"> </v>
          </cell>
          <cell r="J317" t="str">
            <v xml:space="preserve"> </v>
          </cell>
          <cell r="K317" t="str">
            <v xml:space="preserve"> </v>
          </cell>
          <cell r="L317" t="str">
            <v xml:space="preserve"> </v>
          </cell>
          <cell r="M317" t="str">
            <v xml:space="preserve"> </v>
          </cell>
        </row>
        <row r="318">
          <cell r="B318" t="str">
            <v xml:space="preserve"> </v>
          </cell>
          <cell r="C318" t="str">
            <v xml:space="preserve"> </v>
          </cell>
          <cell r="D318" t="str">
            <v xml:space="preserve"> </v>
          </cell>
          <cell r="E318" t="str">
            <v xml:space="preserve"> </v>
          </cell>
          <cell r="F318" t="str">
            <v xml:space="preserve"> </v>
          </cell>
          <cell r="G318" t="str">
            <v xml:space="preserve"> </v>
          </cell>
          <cell r="H318" t="str">
            <v xml:space="preserve"> </v>
          </cell>
          <cell r="I318" t="str">
            <v xml:space="preserve"> </v>
          </cell>
          <cell r="J318" t="str">
            <v xml:space="preserve"> </v>
          </cell>
          <cell r="K318" t="str">
            <v xml:space="preserve"> </v>
          </cell>
          <cell r="L318" t="str">
            <v xml:space="preserve"> </v>
          </cell>
          <cell r="M318" t="str">
            <v xml:space="preserve"> </v>
          </cell>
        </row>
        <row r="319">
          <cell r="B319" t="str">
            <v xml:space="preserve"> </v>
          </cell>
          <cell r="C319" t="str">
            <v xml:space="preserve"> </v>
          </cell>
          <cell r="D319" t="str">
            <v xml:space="preserve"> </v>
          </cell>
          <cell r="E319" t="str">
            <v xml:space="preserve"> </v>
          </cell>
          <cell r="F319" t="str">
            <v xml:space="preserve"> </v>
          </cell>
          <cell r="G319" t="str">
            <v xml:space="preserve"> </v>
          </cell>
          <cell r="H319" t="str">
            <v xml:space="preserve"> </v>
          </cell>
          <cell r="I319" t="str">
            <v xml:space="preserve"> </v>
          </cell>
          <cell r="J319" t="str">
            <v xml:space="preserve"> </v>
          </cell>
          <cell r="K319" t="str">
            <v xml:space="preserve"> </v>
          </cell>
          <cell r="L319" t="str">
            <v xml:space="preserve"> </v>
          </cell>
          <cell r="M319" t="str">
            <v xml:space="preserve"> </v>
          </cell>
        </row>
        <row r="320">
          <cell r="B320" t="str">
            <v xml:space="preserve"> </v>
          </cell>
          <cell r="C320" t="str">
            <v xml:space="preserve"> </v>
          </cell>
          <cell r="D320" t="str">
            <v xml:space="preserve"> </v>
          </cell>
          <cell r="E320" t="str">
            <v xml:space="preserve"> </v>
          </cell>
          <cell r="F320" t="str">
            <v xml:space="preserve"> </v>
          </cell>
          <cell r="G320" t="str">
            <v xml:space="preserve"> </v>
          </cell>
          <cell r="H320" t="str">
            <v xml:space="preserve"> </v>
          </cell>
          <cell r="I320" t="str">
            <v xml:space="preserve"> </v>
          </cell>
          <cell r="J320" t="str">
            <v xml:space="preserve"> </v>
          </cell>
          <cell r="K320" t="str">
            <v xml:space="preserve"> </v>
          </cell>
          <cell r="L320" t="str">
            <v xml:space="preserve"> </v>
          </cell>
          <cell r="M320" t="str">
            <v xml:space="preserve"> </v>
          </cell>
        </row>
        <row r="321">
          <cell r="B321" t="str">
            <v xml:space="preserve"> </v>
          </cell>
          <cell r="C321" t="str">
            <v xml:space="preserve"> </v>
          </cell>
          <cell r="D321" t="str">
            <v xml:space="preserve"> </v>
          </cell>
          <cell r="E321" t="str">
            <v xml:space="preserve"> </v>
          </cell>
          <cell r="F321" t="str">
            <v xml:space="preserve"> </v>
          </cell>
          <cell r="G321" t="str">
            <v xml:space="preserve"> </v>
          </cell>
          <cell r="H321" t="str">
            <v xml:space="preserve"> </v>
          </cell>
          <cell r="I321" t="str">
            <v xml:space="preserve"> </v>
          </cell>
          <cell r="J321" t="str">
            <v xml:space="preserve"> </v>
          </cell>
          <cell r="K321" t="str">
            <v xml:space="preserve"> </v>
          </cell>
          <cell r="L321" t="str">
            <v xml:space="preserve"> </v>
          </cell>
          <cell r="M321" t="str">
            <v xml:space="preserve"> </v>
          </cell>
        </row>
        <row r="322">
          <cell r="B322" t="str">
            <v xml:space="preserve"> </v>
          </cell>
          <cell r="C322" t="str">
            <v xml:space="preserve"> </v>
          </cell>
          <cell r="D322" t="str">
            <v xml:space="preserve"> </v>
          </cell>
          <cell r="E322" t="str">
            <v xml:space="preserve"> </v>
          </cell>
          <cell r="F322" t="str">
            <v xml:space="preserve"> </v>
          </cell>
          <cell r="G322" t="str">
            <v xml:space="preserve"> </v>
          </cell>
          <cell r="H322" t="str">
            <v xml:space="preserve"> </v>
          </cell>
          <cell r="I322" t="str">
            <v xml:space="preserve"> </v>
          </cell>
          <cell r="J322" t="str">
            <v xml:space="preserve"> </v>
          </cell>
          <cell r="K322" t="str">
            <v xml:space="preserve"> </v>
          </cell>
          <cell r="L322" t="str">
            <v xml:space="preserve"> </v>
          </cell>
          <cell r="M322" t="str">
            <v xml:space="preserve"> </v>
          </cell>
        </row>
        <row r="323">
          <cell r="B323" t="str">
            <v xml:space="preserve"> </v>
          </cell>
          <cell r="C323" t="str">
            <v xml:space="preserve"> </v>
          </cell>
          <cell r="D323" t="str">
            <v xml:space="preserve"> </v>
          </cell>
          <cell r="E323" t="str">
            <v xml:space="preserve"> </v>
          </cell>
          <cell r="F323" t="str">
            <v xml:space="preserve"> </v>
          </cell>
          <cell r="G323" t="str">
            <v xml:space="preserve"> </v>
          </cell>
          <cell r="H323" t="str">
            <v xml:space="preserve"> </v>
          </cell>
          <cell r="I323" t="str">
            <v xml:space="preserve"> </v>
          </cell>
          <cell r="J323" t="str">
            <v xml:space="preserve"> </v>
          </cell>
          <cell r="K323" t="str">
            <v xml:space="preserve"> </v>
          </cell>
          <cell r="L323" t="str">
            <v xml:space="preserve"> </v>
          </cell>
          <cell r="M323" t="str">
            <v xml:space="preserve"> </v>
          </cell>
        </row>
        <row r="324">
          <cell r="B324" t="str">
            <v xml:space="preserve"> </v>
          </cell>
          <cell r="C324" t="str">
            <v xml:space="preserve"> </v>
          </cell>
          <cell r="D324" t="str">
            <v xml:space="preserve"> </v>
          </cell>
          <cell r="E324" t="str">
            <v xml:space="preserve"> </v>
          </cell>
          <cell r="F324" t="str">
            <v xml:space="preserve"> </v>
          </cell>
          <cell r="G324" t="str">
            <v xml:space="preserve"> </v>
          </cell>
          <cell r="H324" t="str">
            <v xml:space="preserve"> </v>
          </cell>
          <cell r="I324" t="str">
            <v xml:space="preserve"> </v>
          </cell>
          <cell r="J324" t="str">
            <v xml:space="preserve"> </v>
          </cell>
          <cell r="K324" t="str">
            <v xml:space="preserve"> </v>
          </cell>
          <cell r="L324" t="str">
            <v xml:space="preserve"> </v>
          </cell>
          <cell r="M324" t="str">
            <v xml:space="preserve"> </v>
          </cell>
        </row>
        <row r="325">
          <cell r="B325" t="str">
            <v xml:space="preserve"> </v>
          </cell>
          <cell r="C325" t="str">
            <v xml:space="preserve"> </v>
          </cell>
          <cell r="D325" t="str">
            <v xml:space="preserve"> </v>
          </cell>
          <cell r="E325" t="str">
            <v xml:space="preserve"> </v>
          </cell>
          <cell r="F325" t="str">
            <v xml:space="preserve"> </v>
          </cell>
          <cell r="G325" t="str">
            <v xml:space="preserve"> </v>
          </cell>
          <cell r="H325" t="str">
            <v xml:space="preserve"> </v>
          </cell>
          <cell r="I325" t="str">
            <v xml:space="preserve"> </v>
          </cell>
          <cell r="J325" t="str">
            <v xml:space="preserve"> </v>
          </cell>
          <cell r="K325" t="str">
            <v xml:space="preserve"> </v>
          </cell>
          <cell r="L325" t="str">
            <v xml:space="preserve"> </v>
          </cell>
          <cell r="M325" t="str">
            <v xml:space="preserve"> </v>
          </cell>
        </row>
        <row r="326">
          <cell r="B326" t="str">
            <v xml:space="preserve"> </v>
          </cell>
          <cell r="C326" t="str">
            <v xml:space="preserve"> </v>
          </cell>
          <cell r="D326" t="str">
            <v xml:space="preserve"> </v>
          </cell>
          <cell r="E326" t="str">
            <v xml:space="preserve"> </v>
          </cell>
          <cell r="F326" t="str">
            <v xml:space="preserve"> </v>
          </cell>
          <cell r="G326" t="str">
            <v xml:space="preserve"> </v>
          </cell>
          <cell r="H326" t="str">
            <v xml:space="preserve"> </v>
          </cell>
          <cell r="I326" t="str">
            <v xml:space="preserve"> </v>
          </cell>
          <cell r="J326" t="str">
            <v xml:space="preserve"> </v>
          </cell>
          <cell r="K326" t="str">
            <v xml:space="preserve"> </v>
          </cell>
          <cell r="L326" t="str">
            <v xml:space="preserve"> </v>
          </cell>
          <cell r="M326" t="str">
            <v xml:space="preserve"> </v>
          </cell>
        </row>
        <row r="327">
          <cell r="B327" t="str">
            <v xml:space="preserve"> </v>
          </cell>
          <cell r="C327" t="str">
            <v xml:space="preserve"> </v>
          </cell>
          <cell r="D327" t="str">
            <v xml:space="preserve"> </v>
          </cell>
          <cell r="E327" t="str">
            <v xml:space="preserve"> </v>
          </cell>
          <cell r="F327" t="str">
            <v xml:space="preserve"> </v>
          </cell>
          <cell r="G327" t="str">
            <v xml:space="preserve"> </v>
          </cell>
          <cell r="H327" t="str">
            <v xml:space="preserve"> </v>
          </cell>
          <cell r="I327" t="str">
            <v xml:space="preserve"> </v>
          </cell>
          <cell r="J327" t="str">
            <v xml:space="preserve"> </v>
          </cell>
          <cell r="K327" t="str">
            <v xml:space="preserve"> </v>
          </cell>
          <cell r="L327" t="str">
            <v xml:space="preserve"> </v>
          </cell>
          <cell r="M327" t="str">
            <v xml:space="preserve"> </v>
          </cell>
        </row>
        <row r="328">
          <cell r="B328" t="str">
            <v xml:space="preserve"> </v>
          </cell>
          <cell r="C328" t="str">
            <v xml:space="preserve"> </v>
          </cell>
          <cell r="D328" t="str">
            <v xml:space="preserve"> </v>
          </cell>
          <cell r="E328" t="str">
            <v xml:space="preserve"> </v>
          </cell>
          <cell r="F328" t="str">
            <v xml:space="preserve"> </v>
          </cell>
          <cell r="G328" t="str">
            <v xml:space="preserve"> </v>
          </cell>
          <cell r="H328" t="str">
            <v xml:space="preserve"> </v>
          </cell>
          <cell r="I328" t="str">
            <v xml:space="preserve"> </v>
          </cell>
          <cell r="J328" t="str">
            <v xml:space="preserve"> </v>
          </cell>
          <cell r="K328" t="str">
            <v xml:space="preserve"> </v>
          </cell>
          <cell r="L328" t="str">
            <v xml:space="preserve"> </v>
          </cell>
          <cell r="M328" t="str">
            <v xml:space="preserve"> </v>
          </cell>
        </row>
        <row r="329">
          <cell r="B329" t="str">
            <v xml:space="preserve"> </v>
          </cell>
          <cell r="C329" t="str">
            <v xml:space="preserve"> </v>
          </cell>
          <cell r="D329" t="str">
            <v xml:space="preserve"> </v>
          </cell>
          <cell r="E329" t="str">
            <v xml:space="preserve"> </v>
          </cell>
          <cell r="F329" t="str">
            <v xml:space="preserve"> </v>
          </cell>
          <cell r="G329" t="str">
            <v xml:space="preserve"> </v>
          </cell>
          <cell r="H329" t="str">
            <v xml:space="preserve"> </v>
          </cell>
          <cell r="I329" t="str">
            <v xml:space="preserve"> </v>
          </cell>
          <cell r="J329" t="str">
            <v xml:space="preserve"> </v>
          </cell>
          <cell r="K329" t="str">
            <v xml:space="preserve"> </v>
          </cell>
          <cell r="L329" t="str">
            <v xml:space="preserve"> </v>
          </cell>
          <cell r="M329" t="str">
            <v xml:space="preserve"> </v>
          </cell>
        </row>
        <row r="330">
          <cell r="B330" t="str">
            <v xml:space="preserve"> </v>
          </cell>
          <cell r="C330" t="str">
            <v xml:space="preserve"> </v>
          </cell>
          <cell r="D330" t="str">
            <v xml:space="preserve"> </v>
          </cell>
          <cell r="E330" t="str">
            <v xml:space="preserve"> </v>
          </cell>
          <cell r="F330" t="str">
            <v xml:space="preserve"> </v>
          </cell>
          <cell r="G330" t="str">
            <v xml:space="preserve"> </v>
          </cell>
          <cell r="H330" t="str">
            <v xml:space="preserve"> </v>
          </cell>
          <cell r="I330" t="str">
            <v xml:space="preserve"> </v>
          </cell>
          <cell r="J330" t="str">
            <v xml:space="preserve"> </v>
          </cell>
          <cell r="K330" t="str">
            <v xml:space="preserve"> </v>
          </cell>
          <cell r="L330" t="str">
            <v xml:space="preserve"> </v>
          </cell>
          <cell r="M330" t="str">
            <v xml:space="preserve"> </v>
          </cell>
        </row>
        <row r="331">
          <cell r="B331" t="str">
            <v xml:space="preserve"> </v>
          </cell>
          <cell r="C331" t="str">
            <v xml:space="preserve"> </v>
          </cell>
          <cell r="D331" t="str">
            <v xml:space="preserve"> </v>
          </cell>
          <cell r="E331" t="str">
            <v xml:space="preserve"> </v>
          </cell>
          <cell r="F331" t="str">
            <v xml:space="preserve"> </v>
          </cell>
          <cell r="G331" t="str">
            <v xml:space="preserve"> </v>
          </cell>
          <cell r="H331" t="str">
            <v xml:space="preserve"> </v>
          </cell>
          <cell r="I331" t="str">
            <v xml:space="preserve"> </v>
          </cell>
          <cell r="J331" t="str">
            <v xml:space="preserve"> </v>
          </cell>
          <cell r="K331" t="str">
            <v xml:space="preserve"> </v>
          </cell>
          <cell r="L331" t="str">
            <v xml:space="preserve"> </v>
          </cell>
          <cell r="M331" t="str">
            <v xml:space="preserve"> </v>
          </cell>
        </row>
        <row r="332">
          <cell r="B332" t="str">
            <v xml:space="preserve"> </v>
          </cell>
          <cell r="C332" t="str">
            <v xml:space="preserve"> </v>
          </cell>
          <cell r="D332" t="str">
            <v xml:space="preserve"> </v>
          </cell>
          <cell r="E332" t="str">
            <v xml:space="preserve"> </v>
          </cell>
          <cell r="F332" t="str">
            <v xml:space="preserve"> </v>
          </cell>
          <cell r="G332" t="str">
            <v xml:space="preserve"> </v>
          </cell>
          <cell r="H332" t="str">
            <v xml:space="preserve"> </v>
          </cell>
          <cell r="I332" t="str">
            <v xml:space="preserve"> </v>
          </cell>
          <cell r="J332" t="str">
            <v xml:space="preserve"> </v>
          </cell>
          <cell r="K332" t="str">
            <v xml:space="preserve"> </v>
          </cell>
          <cell r="L332" t="str">
            <v xml:space="preserve"> </v>
          </cell>
          <cell r="M332" t="str">
            <v xml:space="preserve"> </v>
          </cell>
        </row>
        <row r="333">
          <cell r="B333" t="str">
            <v xml:space="preserve"> </v>
          </cell>
          <cell r="C333" t="str">
            <v xml:space="preserve"> </v>
          </cell>
          <cell r="D333" t="str">
            <v xml:space="preserve"> </v>
          </cell>
          <cell r="E333" t="str">
            <v xml:space="preserve"> </v>
          </cell>
          <cell r="F333" t="str">
            <v xml:space="preserve"> </v>
          </cell>
          <cell r="G333" t="str">
            <v xml:space="preserve"> </v>
          </cell>
          <cell r="H333" t="str">
            <v xml:space="preserve"> </v>
          </cell>
          <cell r="I333" t="str">
            <v xml:space="preserve"> </v>
          </cell>
          <cell r="J333" t="str">
            <v xml:space="preserve"> </v>
          </cell>
          <cell r="K333" t="str">
            <v xml:space="preserve"> </v>
          </cell>
          <cell r="L333" t="str">
            <v xml:space="preserve"> </v>
          </cell>
          <cell r="M333" t="str">
            <v xml:space="preserve"> </v>
          </cell>
        </row>
        <row r="334">
          <cell r="B334" t="str">
            <v xml:space="preserve"> </v>
          </cell>
          <cell r="C334" t="str">
            <v xml:space="preserve"> </v>
          </cell>
          <cell r="D334" t="str">
            <v xml:space="preserve"> </v>
          </cell>
          <cell r="E334" t="str">
            <v xml:space="preserve"> </v>
          </cell>
          <cell r="F334" t="str">
            <v xml:space="preserve"> </v>
          </cell>
          <cell r="G334" t="str">
            <v xml:space="preserve"> </v>
          </cell>
          <cell r="H334" t="str">
            <v xml:space="preserve"> </v>
          </cell>
          <cell r="I334" t="str">
            <v xml:space="preserve"> </v>
          </cell>
          <cell r="J334" t="str">
            <v xml:space="preserve"> </v>
          </cell>
          <cell r="K334" t="str">
            <v xml:space="preserve"> </v>
          </cell>
          <cell r="L334" t="str">
            <v xml:space="preserve"> </v>
          </cell>
          <cell r="M334" t="str">
            <v xml:space="preserve"> </v>
          </cell>
        </row>
        <row r="335">
          <cell r="B335" t="str">
            <v xml:space="preserve"> </v>
          </cell>
          <cell r="C335" t="str">
            <v xml:space="preserve"> </v>
          </cell>
          <cell r="D335" t="str">
            <v xml:space="preserve"> </v>
          </cell>
          <cell r="E335" t="str">
            <v xml:space="preserve"> </v>
          </cell>
          <cell r="F335" t="str">
            <v xml:space="preserve"> </v>
          </cell>
          <cell r="G335" t="str">
            <v xml:space="preserve"> </v>
          </cell>
          <cell r="H335" t="str">
            <v xml:space="preserve"> </v>
          </cell>
          <cell r="I335" t="str">
            <v xml:space="preserve"> </v>
          </cell>
          <cell r="J335" t="str">
            <v xml:space="preserve"> </v>
          </cell>
          <cell r="K335" t="str">
            <v xml:space="preserve"> </v>
          </cell>
          <cell r="L335" t="str">
            <v xml:space="preserve"> </v>
          </cell>
          <cell r="M335" t="str">
            <v xml:space="preserve"> </v>
          </cell>
        </row>
        <row r="336">
          <cell r="B336" t="str">
            <v xml:space="preserve"> </v>
          </cell>
          <cell r="C336" t="str">
            <v xml:space="preserve"> </v>
          </cell>
          <cell r="D336" t="str">
            <v xml:space="preserve"> </v>
          </cell>
          <cell r="E336" t="str">
            <v xml:space="preserve"> </v>
          </cell>
          <cell r="F336" t="str">
            <v xml:space="preserve"> </v>
          </cell>
          <cell r="G336" t="str">
            <v xml:space="preserve"> </v>
          </cell>
          <cell r="H336" t="str">
            <v xml:space="preserve"> </v>
          </cell>
          <cell r="I336" t="str">
            <v xml:space="preserve"> </v>
          </cell>
          <cell r="J336" t="str">
            <v xml:space="preserve"> </v>
          </cell>
          <cell r="K336" t="str">
            <v xml:space="preserve"> </v>
          </cell>
          <cell r="L336" t="str">
            <v xml:space="preserve"> </v>
          </cell>
          <cell r="M336" t="str">
            <v xml:space="preserve"> </v>
          </cell>
        </row>
        <row r="337">
          <cell r="B337" t="str">
            <v xml:space="preserve"> </v>
          </cell>
          <cell r="C337" t="str">
            <v xml:space="preserve"> </v>
          </cell>
          <cell r="D337" t="str">
            <v xml:space="preserve"> </v>
          </cell>
          <cell r="E337" t="str">
            <v xml:space="preserve"> </v>
          </cell>
          <cell r="F337" t="str">
            <v xml:space="preserve"> </v>
          </cell>
          <cell r="G337" t="str">
            <v xml:space="preserve"> </v>
          </cell>
          <cell r="H337" t="str">
            <v xml:space="preserve"> </v>
          </cell>
          <cell r="I337" t="str">
            <v xml:space="preserve"> </v>
          </cell>
          <cell r="J337" t="str">
            <v xml:space="preserve"> </v>
          </cell>
          <cell r="K337" t="str">
            <v xml:space="preserve"> </v>
          </cell>
          <cell r="L337" t="str">
            <v xml:space="preserve"> </v>
          </cell>
          <cell r="M337" t="str">
            <v xml:space="preserve"> </v>
          </cell>
        </row>
        <row r="338">
          <cell r="B338" t="str">
            <v xml:space="preserve"> </v>
          </cell>
          <cell r="C338" t="str">
            <v xml:space="preserve"> </v>
          </cell>
          <cell r="D338" t="str">
            <v xml:space="preserve"> </v>
          </cell>
          <cell r="E338" t="str">
            <v xml:space="preserve"> </v>
          </cell>
          <cell r="F338" t="str">
            <v xml:space="preserve"> </v>
          </cell>
          <cell r="G338" t="str">
            <v xml:space="preserve"> </v>
          </cell>
          <cell r="H338" t="str">
            <v xml:space="preserve"> </v>
          </cell>
          <cell r="I338" t="str">
            <v xml:space="preserve"> </v>
          </cell>
          <cell r="J338" t="str">
            <v xml:space="preserve"> </v>
          </cell>
          <cell r="K338" t="str">
            <v xml:space="preserve"> </v>
          </cell>
          <cell r="L338" t="str">
            <v xml:space="preserve"> </v>
          </cell>
          <cell r="M338" t="str">
            <v xml:space="preserve"> </v>
          </cell>
        </row>
        <row r="339">
          <cell r="B339" t="str">
            <v xml:space="preserve"> </v>
          </cell>
          <cell r="C339" t="str">
            <v xml:space="preserve"> </v>
          </cell>
          <cell r="D339" t="str">
            <v xml:space="preserve"> </v>
          </cell>
          <cell r="E339" t="str">
            <v xml:space="preserve"> </v>
          </cell>
          <cell r="F339" t="str">
            <v xml:space="preserve"> </v>
          </cell>
          <cell r="G339" t="str">
            <v xml:space="preserve"> </v>
          </cell>
          <cell r="H339" t="str">
            <v xml:space="preserve"> </v>
          </cell>
          <cell r="I339" t="str">
            <v xml:space="preserve"> </v>
          </cell>
          <cell r="J339" t="str">
            <v xml:space="preserve"> </v>
          </cell>
          <cell r="K339" t="str">
            <v xml:space="preserve"> </v>
          </cell>
          <cell r="L339" t="str">
            <v xml:space="preserve"> </v>
          </cell>
          <cell r="M339" t="str">
            <v xml:space="preserve"> </v>
          </cell>
        </row>
        <row r="340">
          <cell r="B340" t="str">
            <v xml:space="preserve"> </v>
          </cell>
          <cell r="C340" t="str">
            <v xml:space="preserve"> </v>
          </cell>
          <cell r="D340" t="str">
            <v xml:space="preserve"> </v>
          </cell>
          <cell r="E340" t="str">
            <v xml:space="preserve"> </v>
          </cell>
          <cell r="F340" t="str">
            <v xml:space="preserve"> </v>
          </cell>
          <cell r="G340" t="str">
            <v xml:space="preserve"> </v>
          </cell>
          <cell r="H340" t="str">
            <v xml:space="preserve"> </v>
          </cell>
          <cell r="I340" t="str">
            <v xml:space="preserve"> </v>
          </cell>
          <cell r="J340" t="str">
            <v xml:space="preserve"> </v>
          </cell>
          <cell r="K340" t="str">
            <v xml:space="preserve"> </v>
          </cell>
          <cell r="L340" t="str">
            <v xml:space="preserve"> </v>
          </cell>
          <cell r="M340" t="str">
            <v xml:space="preserve"> </v>
          </cell>
        </row>
        <row r="341">
          <cell r="B341" t="str">
            <v xml:space="preserve"> </v>
          </cell>
          <cell r="C341" t="str">
            <v xml:space="preserve"> </v>
          </cell>
          <cell r="D341" t="str">
            <v xml:space="preserve"> </v>
          </cell>
          <cell r="E341" t="str">
            <v xml:space="preserve"> </v>
          </cell>
          <cell r="F341" t="str">
            <v xml:space="preserve"> </v>
          </cell>
          <cell r="G341" t="str">
            <v xml:space="preserve"> </v>
          </cell>
          <cell r="H341" t="str">
            <v xml:space="preserve"> </v>
          </cell>
          <cell r="I341" t="str">
            <v xml:space="preserve"> </v>
          </cell>
          <cell r="J341" t="str">
            <v xml:space="preserve"> </v>
          </cell>
          <cell r="K341" t="str">
            <v xml:space="preserve"> </v>
          </cell>
          <cell r="L341" t="str">
            <v xml:space="preserve"> </v>
          </cell>
          <cell r="M341" t="str">
            <v xml:space="preserve"> </v>
          </cell>
        </row>
        <row r="342">
          <cell r="B342" t="str">
            <v xml:space="preserve"> </v>
          </cell>
          <cell r="C342" t="str">
            <v xml:space="preserve"> </v>
          </cell>
          <cell r="D342" t="str">
            <v xml:space="preserve"> </v>
          </cell>
          <cell r="E342" t="str">
            <v xml:space="preserve"> </v>
          </cell>
          <cell r="F342" t="str">
            <v xml:space="preserve"> </v>
          </cell>
          <cell r="G342" t="str">
            <v xml:space="preserve"> </v>
          </cell>
          <cell r="H342" t="str">
            <v xml:space="preserve"> </v>
          </cell>
          <cell r="I342" t="str">
            <v xml:space="preserve"> </v>
          </cell>
          <cell r="J342" t="str">
            <v xml:space="preserve"> </v>
          </cell>
          <cell r="K342" t="str">
            <v xml:space="preserve"> </v>
          </cell>
          <cell r="L342" t="str">
            <v xml:space="preserve"> </v>
          </cell>
          <cell r="M342" t="str">
            <v xml:space="preserve"> </v>
          </cell>
        </row>
        <row r="343">
          <cell r="B343" t="str">
            <v xml:space="preserve"> </v>
          </cell>
          <cell r="C343" t="str">
            <v xml:space="preserve"> </v>
          </cell>
          <cell r="D343" t="str">
            <v xml:space="preserve"> </v>
          </cell>
          <cell r="E343" t="str">
            <v xml:space="preserve"> </v>
          </cell>
          <cell r="F343" t="str">
            <v xml:space="preserve"> </v>
          </cell>
          <cell r="G343" t="str">
            <v xml:space="preserve"> </v>
          </cell>
          <cell r="H343" t="str">
            <v xml:space="preserve"> </v>
          </cell>
          <cell r="I343" t="str">
            <v xml:space="preserve"> </v>
          </cell>
          <cell r="J343" t="str">
            <v xml:space="preserve"> </v>
          </cell>
          <cell r="K343" t="str">
            <v xml:space="preserve"> </v>
          </cell>
          <cell r="L343" t="str">
            <v xml:space="preserve"> </v>
          </cell>
          <cell r="M343" t="str">
            <v xml:space="preserve"> </v>
          </cell>
        </row>
        <row r="344">
          <cell r="B344" t="str">
            <v xml:space="preserve"> </v>
          </cell>
          <cell r="C344" t="str">
            <v xml:space="preserve"> </v>
          </cell>
          <cell r="D344" t="str">
            <v xml:space="preserve"> </v>
          </cell>
          <cell r="E344" t="str">
            <v xml:space="preserve"> </v>
          </cell>
          <cell r="F344" t="str">
            <v xml:space="preserve"> </v>
          </cell>
          <cell r="G344" t="str">
            <v xml:space="preserve"> </v>
          </cell>
          <cell r="H344" t="str">
            <v xml:space="preserve"> </v>
          </cell>
          <cell r="I344" t="str">
            <v xml:space="preserve"> </v>
          </cell>
          <cell r="J344" t="str">
            <v xml:space="preserve"> </v>
          </cell>
          <cell r="K344" t="str">
            <v xml:space="preserve"> </v>
          </cell>
          <cell r="L344" t="str">
            <v xml:space="preserve"> </v>
          </cell>
          <cell r="M344" t="str">
            <v xml:space="preserve"> </v>
          </cell>
        </row>
        <row r="345">
          <cell r="B345" t="str">
            <v xml:space="preserve"> </v>
          </cell>
          <cell r="C345" t="str">
            <v xml:space="preserve"> </v>
          </cell>
          <cell r="D345" t="str">
            <v xml:space="preserve"> </v>
          </cell>
          <cell r="E345" t="str">
            <v xml:space="preserve"> </v>
          </cell>
          <cell r="F345" t="str">
            <v xml:space="preserve"> </v>
          </cell>
          <cell r="G345" t="str">
            <v xml:space="preserve"> </v>
          </cell>
          <cell r="H345" t="str">
            <v xml:space="preserve"> </v>
          </cell>
          <cell r="I345" t="str">
            <v xml:space="preserve"> </v>
          </cell>
          <cell r="J345" t="str">
            <v xml:space="preserve"> </v>
          </cell>
          <cell r="K345" t="str">
            <v xml:space="preserve"> </v>
          </cell>
          <cell r="L345" t="str">
            <v xml:space="preserve"> </v>
          </cell>
          <cell r="M345" t="str">
            <v xml:space="preserve"> </v>
          </cell>
        </row>
        <row r="346">
          <cell r="B346" t="str">
            <v xml:space="preserve"> </v>
          </cell>
          <cell r="C346" t="str">
            <v xml:space="preserve"> </v>
          </cell>
          <cell r="D346" t="str">
            <v xml:space="preserve"> </v>
          </cell>
          <cell r="E346" t="str">
            <v xml:space="preserve"> </v>
          </cell>
          <cell r="F346" t="str">
            <v xml:space="preserve"> </v>
          </cell>
          <cell r="G346" t="str">
            <v xml:space="preserve"> </v>
          </cell>
          <cell r="H346" t="str">
            <v xml:space="preserve"> </v>
          </cell>
          <cell r="I346" t="str">
            <v xml:space="preserve"> </v>
          </cell>
          <cell r="J346" t="str">
            <v xml:space="preserve"> </v>
          </cell>
          <cell r="K346" t="str">
            <v xml:space="preserve"> </v>
          </cell>
          <cell r="L346" t="str">
            <v xml:space="preserve"> </v>
          </cell>
          <cell r="M346" t="str">
            <v xml:space="preserve"> </v>
          </cell>
        </row>
        <row r="347">
          <cell r="B347" t="str">
            <v xml:space="preserve"> </v>
          </cell>
          <cell r="C347" t="str">
            <v xml:space="preserve"> </v>
          </cell>
          <cell r="D347" t="str">
            <v xml:space="preserve"> </v>
          </cell>
          <cell r="E347" t="str">
            <v xml:space="preserve"> </v>
          </cell>
          <cell r="F347" t="str">
            <v xml:space="preserve"> </v>
          </cell>
          <cell r="G347" t="str">
            <v xml:space="preserve"> </v>
          </cell>
          <cell r="H347" t="str">
            <v xml:space="preserve"> </v>
          </cell>
          <cell r="I347" t="str">
            <v xml:space="preserve"> </v>
          </cell>
          <cell r="J347" t="str">
            <v xml:space="preserve"> </v>
          </cell>
          <cell r="K347" t="str">
            <v xml:space="preserve"> </v>
          </cell>
          <cell r="L347" t="str">
            <v xml:space="preserve"> </v>
          </cell>
          <cell r="M347" t="str">
            <v xml:space="preserve"> </v>
          </cell>
        </row>
        <row r="348">
          <cell r="B348" t="str">
            <v xml:space="preserve"> </v>
          </cell>
          <cell r="C348" t="str">
            <v xml:space="preserve"> </v>
          </cell>
          <cell r="D348" t="str">
            <v xml:space="preserve"> </v>
          </cell>
          <cell r="E348" t="str">
            <v xml:space="preserve"> </v>
          </cell>
          <cell r="F348" t="str">
            <v xml:space="preserve"> </v>
          </cell>
          <cell r="G348" t="str">
            <v xml:space="preserve"> </v>
          </cell>
          <cell r="H348" t="str">
            <v xml:space="preserve"> </v>
          </cell>
          <cell r="I348" t="str">
            <v xml:space="preserve"> </v>
          </cell>
          <cell r="J348" t="str">
            <v xml:space="preserve"> </v>
          </cell>
          <cell r="K348" t="str">
            <v xml:space="preserve"> </v>
          </cell>
          <cell r="L348" t="str">
            <v xml:space="preserve"> </v>
          </cell>
          <cell r="M348" t="str">
            <v xml:space="preserve"> </v>
          </cell>
        </row>
        <row r="349">
          <cell r="B349" t="str">
            <v xml:space="preserve"> </v>
          </cell>
          <cell r="C349" t="str">
            <v xml:space="preserve"> </v>
          </cell>
          <cell r="D349" t="str">
            <v xml:space="preserve"> </v>
          </cell>
          <cell r="E349" t="str">
            <v xml:space="preserve"> </v>
          </cell>
          <cell r="F349" t="str">
            <v xml:space="preserve"> </v>
          </cell>
          <cell r="G349" t="str">
            <v xml:space="preserve"> </v>
          </cell>
          <cell r="H349" t="str">
            <v xml:space="preserve"> </v>
          </cell>
          <cell r="I349" t="str">
            <v xml:space="preserve"> </v>
          </cell>
          <cell r="J349" t="str">
            <v xml:space="preserve"> </v>
          </cell>
          <cell r="K349" t="str">
            <v xml:space="preserve"> </v>
          </cell>
          <cell r="L349" t="str">
            <v xml:space="preserve"> </v>
          </cell>
          <cell r="M349" t="str">
            <v xml:space="preserve"> </v>
          </cell>
        </row>
        <row r="350">
          <cell r="B350" t="str">
            <v xml:space="preserve"> </v>
          </cell>
          <cell r="C350" t="str">
            <v xml:space="preserve"> </v>
          </cell>
          <cell r="D350" t="str">
            <v xml:space="preserve"> </v>
          </cell>
          <cell r="E350" t="str">
            <v xml:space="preserve"> </v>
          </cell>
          <cell r="F350" t="str">
            <v xml:space="preserve"> </v>
          </cell>
          <cell r="G350" t="str">
            <v xml:space="preserve"> </v>
          </cell>
          <cell r="H350" t="str">
            <v xml:space="preserve"> </v>
          </cell>
          <cell r="I350" t="str">
            <v xml:space="preserve"> </v>
          </cell>
          <cell r="J350" t="str">
            <v xml:space="preserve"> </v>
          </cell>
          <cell r="K350" t="str">
            <v xml:space="preserve"> </v>
          </cell>
          <cell r="L350" t="str">
            <v xml:space="preserve"> </v>
          </cell>
          <cell r="M350" t="str">
            <v xml:space="preserve"> </v>
          </cell>
        </row>
        <row r="351">
          <cell r="B351" t="str">
            <v xml:space="preserve"> </v>
          </cell>
          <cell r="C351" t="str">
            <v xml:space="preserve"> </v>
          </cell>
          <cell r="D351" t="str">
            <v xml:space="preserve"> </v>
          </cell>
          <cell r="E351" t="str">
            <v xml:space="preserve"> </v>
          </cell>
          <cell r="F351" t="str">
            <v xml:space="preserve"> </v>
          </cell>
          <cell r="G351" t="str">
            <v xml:space="preserve"> </v>
          </cell>
          <cell r="H351" t="str">
            <v xml:space="preserve"> </v>
          </cell>
          <cell r="I351" t="str">
            <v xml:space="preserve"> </v>
          </cell>
          <cell r="J351" t="str">
            <v xml:space="preserve"> </v>
          </cell>
          <cell r="K351" t="str">
            <v xml:space="preserve"> </v>
          </cell>
          <cell r="L351" t="str">
            <v xml:space="preserve"> </v>
          </cell>
          <cell r="M351" t="str">
            <v xml:space="preserve"> </v>
          </cell>
        </row>
        <row r="352">
          <cell r="B352" t="str">
            <v xml:space="preserve"> </v>
          </cell>
          <cell r="C352" t="str">
            <v xml:space="preserve"> </v>
          </cell>
          <cell r="D352" t="str">
            <v xml:space="preserve"> </v>
          </cell>
          <cell r="E352" t="str">
            <v xml:space="preserve"> </v>
          </cell>
          <cell r="F352" t="str">
            <v xml:space="preserve"> </v>
          </cell>
          <cell r="G352" t="str">
            <v xml:space="preserve"> </v>
          </cell>
          <cell r="H352" t="str">
            <v xml:space="preserve"> </v>
          </cell>
          <cell r="I352" t="str">
            <v xml:space="preserve"> </v>
          </cell>
          <cell r="J352" t="str">
            <v xml:space="preserve"> </v>
          </cell>
          <cell r="K352" t="str">
            <v xml:space="preserve"> </v>
          </cell>
          <cell r="L352" t="str">
            <v xml:space="preserve"> </v>
          </cell>
          <cell r="M352" t="str">
            <v xml:space="preserve"> </v>
          </cell>
        </row>
        <row r="353">
          <cell r="B353" t="str">
            <v xml:space="preserve"> </v>
          </cell>
          <cell r="C353" t="str">
            <v xml:space="preserve"> </v>
          </cell>
          <cell r="D353" t="str">
            <v xml:space="preserve"> </v>
          </cell>
          <cell r="E353" t="str">
            <v xml:space="preserve"> </v>
          </cell>
          <cell r="F353" t="str">
            <v xml:space="preserve"> </v>
          </cell>
          <cell r="G353" t="str">
            <v xml:space="preserve"> </v>
          </cell>
          <cell r="H353" t="str">
            <v xml:space="preserve"> </v>
          </cell>
          <cell r="I353" t="str">
            <v xml:space="preserve"> </v>
          </cell>
          <cell r="J353" t="str">
            <v xml:space="preserve"> </v>
          </cell>
          <cell r="K353" t="str">
            <v xml:space="preserve"> </v>
          </cell>
          <cell r="L353" t="str">
            <v xml:space="preserve"> </v>
          </cell>
          <cell r="M353" t="str">
            <v xml:space="preserve"> </v>
          </cell>
        </row>
        <row r="354">
          <cell r="B354" t="str">
            <v xml:space="preserve"> </v>
          </cell>
          <cell r="C354" t="str">
            <v xml:space="preserve"> </v>
          </cell>
          <cell r="D354" t="str">
            <v xml:space="preserve"> </v>
          </cell>
          <cell r="E354" t="str">
            <v xml:space="preserve"> </v>
          </cell>
          <cell r="F354" t="str">
            <v xml:space="preserve"> </v>
          </cell>
          <cell r="G354" t="str">
            <v xml:space="preserve"> </v>
          </cell>
          <cell r="H354" t="str">
            <v xml:space="preserve"> </v>
          </cell>
          <cell r="I354" t="str">
            <v xml:space="preserve"> </v>
          </cell>
          <cell r="J354" t="str">
            <v xml:space="preserve"> </v>
          </cell>
          <cell r="K354" t="str">
            <v xml:space="preserve"> </v>
          </cell>
          <cell r="L354" t="str">
            <v xml:space="preserve"> </v>
          </cell>
          <cell r="M354" t="str">
            <v xml:space="preserve"> </v>
          </cell>
        </row>
        <row r="355">
          <cell r="B355" t="str">
            <v xml:space="preserve"> </v>
          </cell>
          <cell r="C355" t="str">
            <v xml:space="preserve"> </v>
          </cell>
          <cell r="D355" t="str">
            <v xml:space="preserve"> </v>
          </cell>
          <cell r="E355" t="str">
            <v xml:space="preserve"> </v>
          </cell>
          <cell r="F355" t="str">
            <v xml:space="preserve"> </v>
          </cell>
          <cell r="G355" t="str">
            <v xml:space="preserve"> </v>
          </cell>
          <cell r="H355" t="str">
            <v xml:space="preserve"> </v>
          </cell>
          <cell r="I355" t="str">
            <v xml:space="preserve"> </v>
          </cell>
          <cell r="J355" t="str">
            <v xml:space="preserve"> </v>
          </cell>
          <cell r="K355" t="str">
            <v xml:space="preserve"> </v>
          </cell>
          <cell r="L355" t="str">
            <v xml:space="preserve"> </v>
          </cell>
          <cell r="M355" t="str">
            <v xml:space="preserve"> </v>
          </cell>
        </row>
        <row r="356">
          <cell r="B356" t="str">
            <v xml:space="preserve"> </v>
          </cell>
          <cell r="C356" t="str">
            <v xml:space="preserve"> </v>
          </cell>
          <cell r="D356" t="str">
            <v xml:space="preserve"> </v>
          </cell>
          <cell r="E356" t="str">
            <v xml:space="preserve"> </v>
          </cell>
          <cell r="F356" t="str">
            <v xml:space="preserve"> </v>
          </cell>
          <cell r="G356" t="str">
            <v xml:space="preserve"> </v>
          </cell>
          <cell r="H356" t="str">
            <v xml:space="preserve"> </v>
          </cell>
          <cell r="I356" t="str">
            <v xml:space="preserve"> </v>
          </cell>
          <cell r="J356" t="str">
            <v xml:space="preserve"> </v>
          </cell>
          <cell r="K356" t="str">
            <v xml:space="preserve"> </v>
          </cell>
          <cell r="L356" t="str">
            <v xml:space="preserve"> </v>
          </cell>
          <cell r="M356" t="str">
            <v xml:space="preserve"> </v>
          </cell>
        </row>
        <row r="357">
          <cell r="B357" t="str">
            <v xml:space="preserve"> </v>
          </cell>
          <cell r="C357" t="str">
            <v xml:space="preserve"> </v>
          </cell>
          <cell r="D357" t="str">
            <v xml:space="preserve"> </v>
          </cell>
          <cell r="E357" t="str">
            <v xml:space="preserve"> </v>
          </cell>
          <cell r="F357" t="str">
            <v xml:space="preserve"> </v>
          </cell>
          <cell r="G357" t="str">
            <v xml:space="preserve"> </v>
          </cell>
          <cell r="H357" t="str">
            <v xml:space="preserve"> </v>
          </cell>
          <cell r="I357" t="str">
            <v xml:space="preserve"> </v>
          </cell>
          <cell r="J357" t="str">
            <v xml:space="preserve"> </v>
          </cell>
          <cell r="K357" t="str">
            <v xml:space="preserve"> </v>
          </cell>
          <cell r="L357" t="str">
            <v xml:space="preserve"> </v>
          </cell>
          <cell r="M357" t="str">
            <v xml:space="preserve"> </v>
          </cell>
        </row>
        <row r="358">
          <cell r="B358" t="str">
            <v xml:space="preserve"> </v>
          </cell>
          <cell r="C358" t="str">
            <v xml:space="preserve"> </v>
          </cell>
          <cell r="D358" t="str">
            <v xml:space="preserve"> </v>
          </cell>
          <cell r="E358" t="str">
            <v xml:space="preserve"> </v>
          </cell>
          <cell r="F358" t="str">
            <v xml:space="preserve"> </v>
          </cell>
          <cell r="G358" t="str">
            <v xml:space="preserve"> </v>
          </cell>
          <cell r="H358" t="str">
            <v xml:space="preserve"> </v>
          </cell>
          <cell r="I358" t="str">
            <v xml:space="preserve"> </v>
          </cell>
          <cell r="J358" t="str">
            <v xml:space="preserve"> </v>
          </cell>
          <cell r="K358" t="str">
            <v xml:space="preserve"> </v>
          </cell>
          <cell r="L358" t="str">
            <v xml:space="preserve"> </v>
          </cell>
          <cell r="M358" t="str">
            <v xml:space="preserve"> </v>
          </cell>
        </row>
        <row r="359">
          <cell r="B359" t="str">
            <v xml:space="preserve"> </v>
          </cell>
          <cell r="C359" t="str">
            <v xml:space="preserve"> </v>
          </cell>
          <cell r="D359" t="str">
            <v xml:space="preserve"> </v>
          </cell>
          <cell r="E359" t="str">
            <v xml:space="preserve"> </v>
          </cell>
          <cell r="F359" t="str">
            <v xml:space="preserve"> </v>
          </cell>
          <cell r="G359" t="str">
            <v xml:space="preserve"> </v>
          </cell>
          <cell r="H359" t="str">
            <v xml:space="preserve"> </v>
          </cell>
          <cell r="I359" t="str">
            <v xml:space="preserve"> </v>
          </cell>
          <cell r="J359" t="str">
            <v xml:space="preserve"> </v>
          </cell>
          <cell r="K359" t="str">
            <v xml:space="preserve"> </v>
          </cell>
          <cell r="L359" t="str">
            <v xml:space="preserve"> </v>
          </cell>
          <cell r="M359" t="str">
            <v xml:space="preserve"> </v>
          </cell>
        </row>
        <row r="360">
          <cell r="B360" t="str">
            <v xml:space="preserve"> </v>
          </cell>
          <cell r="C360" t="str">
            <v xml:space="preserve"> </v>
          </cell>
          <cell r="D360" t="str">
            <v xml:space="preserve"> </v>
          </cell>
          <cell r="E360" t="str">
            <v xml:space="preserve"> </v>
          </cell>
          <cell r="F360" t="str">
            <v xml:space="preserve"> </v>
          </cell>
          <cell r="G360" t="str">
            <v xml:space="preserve"> </v>
          </cell>
          <cell r="H360" t="str">
            <v xml:space="preserve"> </v>
          </cell>
          <cell r="I360" t="str">
            <v xml:space="preserve"> </v>
          </cell>
          <cell r="J360" t="str">
            <v xml:space="preserve"> </v>
          </cell>
          <cell r="K360" t="str">
            <v xml:space="preserve"> </v>
          </cell>
          <cell r="L360" t="str">
            <v xml:space="preserve"> </v>
          </cell>
          <cell r="M360" t="str">
            <v xml:space="preserve"> </v>
          </cell>
        </row>
        <row r="361">
          <cell r="B361" t="str">
            <v xml:space="preserve"> </v>
          </cell>
          <cell r="C361" t="str">
            <v xml:space="preserve"> </v>
          </cell>
          <cell r="D361" t="str">
            <v xml:space="preserve"> </v>
          </cell>
          <cell r="E361" t="str">
            <v xml:space="preserve"> </v>
          </cell>
          <cell r="F361" t="str">
            <v xml:space="preserve"> </v>
          </cell>
          <cell r="G361" t="str">
            <v xml:space="preserve"> </v>
          </cell>
          <cell r="H361" t="str">
            <v xml:space="preserve"> </v>
          </cell>
          <cell r="I361" t="str">
            <v xml:space="preserve"> </v>
          </cell>
          <cell r="J361" t="str">
            <v xml:space="preserve"> </v>
          </cell>
          <cell r="K361" t="str">
            <v xml:space="preserve"> </v>
          </cell>
          <cell r="L361" t="str">
            <v xml:space="preserve"> </v>
          </cell>
          <cell r="M361" t="str">
            <v xml:space="preserve"> </v>
          </cell>
        </row>
        <row r="362">
          <cell r="B362" t="str">
            <v xml:space="preserve"> </v>
          </cell>
          <cell r="C362" t="str">
            <v xml:space="preserve"> </v>
          </cell>
          <cell r="D362" t="str">
            <v xml:space="preserve"> </v>
          </cell>
          <cell r="E362" t="str">
            <v xml:space="preserve"> </v>
          </cell>
          <cell r="F362" t="str">
            <v xml:space="preserve"> </v>
          </cell>
          <cell r="G362" t="str">
            <v xml:space="preserve"> </v>
          </cell>
          <cell r="H362" t="str">
            <v xml:space="preserve"> </v>
          </cell>
          <cell r="I362" t="str">
            <v xml:space="preserve"> </v>
          </cell>
          <cell r="J362" t="str">
            <v xml:space="preserve"> </v>
          </cell>
          <cell r="K362" t="str">
            <v xml:space="preserve"> </v>
          </cell>
          <cell r="L362" t="str">
            <v xml:space="preserve"> </v>
          </cell>
          <cell r="M362" t="str">
            <v xml:space="preserve"> </v>
          </cell>
        </row>
        <row r="363">
          <cell r="B363" t="str">
            <v xml:space="preserve"> </v>
          </cell>
          <cell r="C363" t="str">
            <v xml:space="preserve"> </v>
          </cell>
          <cell r="D363" t="str">
            <v xml:space="preserve"> </v>
          </cell>
          <cell r="E363" t="str">
            <v xml:space="preserve"> </v>
          </cell>
          <cell r="F363" t="str">
            <v xml:space="preserve"> </v>
          </cell>
          <cell r="G363" t="str">
            <v xml:space="preserve"> </v>
          </cell>
          <cell r="H363" t="str">
            <v xml:space="preserve"> </v>
          </cell>
          <cell r="I363" t="str">
            <v xml:space="preserve"> </v>
          </cell>
          <cell r="J363" t="str">
            <v xml:space="preserve"> </v>
          </cell>
          <cell r="K363" t="str">
            <v xml:space="preserve"> </v>
          </cell>
          <cell r="L363" t="str">
            <v xml:space="preserve"> </v>
          </cell>
          <cell r="M363" t="str">
            <v xml:space="preserve"> </v>
          </cell>
        </row>
        <row r="364">
          <cell r="B364" t="str">
            <v xml:space="preserve"> </v>
          </cell>
          <cell r="C364" t="str">
            <v xml:space="preserve"> </v>
          </cell>
          <cell r="D364" t="str">
            <v xml:space="preserve"> </v>
          </cell>
          <cell r="E364" t="str">
            <v xml:space="preserve"> </v>
          </cell>
          <cell r="F364" t="str">
            <v xml:space="preserve"> </v>
          </cell>
          <cell r="G364" t="str">
            <v xml:space="preserve"> </v>
          </cell>
          <cell r="H364" t="str">
            <v xml:space="preserve"> </v>
          </cell>
          <cell r="I364" t="str">
            <v xml:space="preserve"> </v>
          </cell>
          <cell r="J364" t="str">
            <v xml:space="preserve"> </v>
          </cell>
          <cell r="K364" t="str">
            <v xml:space="preserve"> </v>
          </cell>
          <cell r="L364" t="str">
            <v xml:space="preserve"> </v>
          </cell>
          <cell r="M364" t="str">
            <v xml:space="preserve"> </v>
          </cell>
        </row>
        <row r="365">
          <cell r="B365" t="str">
            <v xml:space="preserve"> </v>
          </cell>
          <cell r="C365" t="str">
            <v xml:space="preserve"> </v>
          </cell>
          <cell r="D365" t="str">
            <v xml:space="preserve"> </v>
          </cell>
          <cell r="E365" t="str">
            <v xml:space="preserve"> </v>
          </cell>
          <cell r="F365" t="str">
            <v xml:space="preserve"> </v>
          </cell>
          <cell r="G365" t="str">
            <v xml:space="preserve"> </v>
          </cell>
          <cell r="H365" t="str">
            <v xml:space="preserve"> </v>
          </cell>
          <cell r="I365" t="str">
            <v xml:space="preserve"> </v>
          </cell>
          <cell r="J365" t="str">
            <v xml:space="preserve"> </v>
          </cell>
          <cell r="K365" t="str">
            <v xml:space="preserve"> </v>
          </cell>
          <cell r="L365" t="str">
            <v xml:space="preserve"> </v>
          </cell>
          <cell r="M365" t="str">
            <v xml:space="preserve"> </v>
          </cell>
        </row>
        <row r="366">
          <cell r="B366" t="str">
            <v xml:space="preserve"> </v>
          </cell>
          <cell r="C366" t="str">
            <v xml:space="preserve"> </v>
          </cell>
          <cell r="D366" t="str">
            <v xml:space="preserve"> </v>
          </cell>
          <cell r="E366" t="str">
            <v xml:space="preserve"> </v>
          </cell>
          <cell r="F366" t="str">
            <v xml:space="preserve"> </v>
          </cell>
          <cell r="G366" t="str">
            <v xml:space="preserve"> </v>
          </cell>
          <cell r="H366" t="str">
            <v xml:space="preserve"> </v>
          </cell>
          <cell r="I366" t="str">
            <v xml:space="preserve"> </v>
          </cell>
          <cell r="J366" t="str">
            <v xml:space="preserve"> </v>
          </cell>
          <cell r="K366" t="str">
            <v xml:space="preserve"> </v>
          </cell>
          <cell r="L366" t="str">
            <v xml:space="preserve"> </v>
          </cell>
          <cell r="M366" t="str">
            <v xml:space="preserve"> </v>
          </cell>
        </row>
        <row r="367">
          <cell r="B367" t="str">
            <v xml:space="preserve"> </v>
          </cell>
          <cell r="C367" t="str">
            <v xml:space="preserve"> </v>
          </cell>
          <cell r="D367" t="str">
            <v xml:space="preserve"> </v>
          </cell>
          <cell r="E367" t="str">
            <v xml:space="preserve"> </v>
          </cell>
          <cell r="F367" t="str">
            <v xml:space="preserve"> </v>
          </cell>
          <cell r="G367" t="str">
            <v xml:space="preserve"> </v>
          </cell>
          <cell r="H367" t="str">
            <v xml:space="preserve"> </v>
          </cell>
          <cell r="I367" t="str">
            <v xml:space="preserve"> </v>
          </cell>
          <cell r="J367" t="str">
            <v xml:space="preserve"> </v>
          </cell>
          <cell r="K367" t="str">
            <v xml:space="preserve"> </v>
          </cell>
          <cell r="L367" t="str">
            <v xml:space="preserve"> </v>
          </cell>
          <cell r="M367" t="str">
            <v xml:space="preserve"> </v>
          </cell>
        </row>
        <row r="368">
          <cell r="B368" t="str">
            <v xml:space="preserve"> </v>
          </cell>
          <cell r="C368" t="str">
            <v xml:space="preserve"> </v>
          </cell>
          <cell r="D368" t="str">
            <v xml:space="preserve"> </v>
          </cell>
          <cell r="E368" t="str">
            <v xml:space="preserve"> </v>
          </cell>
          <cell r="F368" t="str">
            <v xml:space="preserve"> </v>
          </cell>
          <cell r="G368" t="str">
            <v xml:space="preserve"> </v>
          </cell>
          <cell r="H368" t="str">
            <v xml:space="preserve"> </v>
          </cell>
          <cell r="I368" t="str">
            <v xml:space="preserve"> </v>
          </cell>
          <cell r="J368" t="str">
            <v xml:space="preserve"> </v>
          </cell>
          <cell r="K368" t="str">
            <v xml:space="preserve"> </v>
          </cell>
          <cell r="L368" t="str">
            <v xml:space="preserve"> </v>
          </cell>
          <cell r="M368" t="str">
            <v xml:space="preserve"> </v>
          </cell>
        </row>
        <row r="369">
          <cell r="B369" t="str">
            <v xml:space="preserve"> </v>
          </cell>
          <cell r="C369" t="str">
            <v xml:space="preserve"> </v>
          </cell>
          <cell r="D369" t="str">
            <v xml:space="preserve"> </v>
          </cell>
          <cell r="E369" t="str">
            <v xml:space="preserve"> </v>
          </cell>
          <cell r="F369" t="str">
            <v xml:space="preserve"> </v>
          </cell>
          <cell r="G369" t="str">
            <v xml:space="preserve"> </v>
          </cell>
          <cell r="H369" t="str">
            <v xml:space="preserve"> </v>
          </cell>
          <cell r="I369" t="str">
            <v xml:space="preserve"> </v>
          </cell>
          <cell r="J369" t="str">
            <v xml:space="preserve"> </v>
          </cell>
          <cell r="K369" t="str">
            <v xml:space="preserve"> </v>
          </cell>
          <cell r="L369" t="str">
            <v xml:space="preserve"> </v>
          </cell>
          <cell r="M369" t="str">
            <v xml:space="preserve"> </v>
          </cell>
        </row>
        <row r="370">
          <cell r="B370" t="str">
            <v xml:space="preserve"> </v>
          </cell>
          <cell r="C370" t="str">
            <v xml:space="preserve"> </v>
          </cell>
          <cell r="D370" t="str">
            <v xml:space="preserve"> </v>
          </cell>
          <cell r="E370" t="str">
            <v xml:space="preserve"> </v>
          </cell>
          <cell r="F370" t="str">
            <v xml:space="preserve"> </v>
          </cell>
          <cell r="G370" t="str">
            <v xml:space="preserve"> </v>
          </cell>
          <cell r="H370" t="str">
            <v xml:space="preserve"> </v>
          </cell>
          <cell r="I370" t="str">
            <v xml:space="preserve"> </v>
          </cell>
          <cell r="J370" t="str">
            <v xml:space="preserve"> </v>
          </cell>
          <cell r="K370" t="str">
            <v xml:space="preserve"> </v>
          </cell>
          <cell r="L370" t="str">
            <v xml:space="preserve"> </v>
          </cell>
          <cell r="M370" t="str">
            <v xml:space="preserve"> </v>
          </cell>
        </row>
        <row r="371">
          <cell r="B371" t="str">
            <v xml:space="preserve"> </v>
          </cell>
          <cell r="C371" t="str">
            <v xml:space="preserve"> </v>
          </cell>
          <cell r="D371" t="str">
            <v xml:space="preserve"> </v>
          </cell>
          <cell r="E371" t="str">
            <v xml:space="preserve"> </v>
          </cell>
          <cell r="F371" t="str">
            <v xml:space="preserve"> </v>
          </cell>
          <cell r="G371" t="str">
            <v xml:space="preserve"> </v>
          </cell>
          <cell r="H371" t="str">
            <v xml:space="preserve"> </v>
          </cell>
          <cell r="I371" t="str">
            <v xml:space="preserve"> </v>
          </cell>
          <cell r="J371" t="str">
            <v xml:space="preserve"> </v>
          </cell>
          <cell r="K371" t="str">
            <v xml:space="preserve"> </v>
          </cell>
          <cell r="L371" t="str">
            <v xml:space="preserve"> </v>
          </cell>
          <cell r="M371" t="str">
            <v xml:space="preserve"> </v>
          </cell>
        </row>
        <row r="372">
          <cell r="B372" t="str">
            <v xml:space="preserve"> </v>
          </cell>
          <cell r="C372" t="str">
            <v xml:space="preserve"> </v>
          </cell>
          <cell r="D372" t="str">
            <v xml:space="preserve"> </v>
          </cell>
          <cell r="E372" t="str">
            <v xml:space="preserve"> </v>
          </cell>
          <cell r="F372" t="str">
            <v xml:space="preserve"> </v>
          </cell>
          <cell r="G372" t="str">
            <v xml:space="preserve"> </v>
          </cell>
          <cell r="H372" t="str">
            <v xml:space="preserve"> </v>
          </cell>
          <cell r="I372" t="str">
            <v xml:space="preserve"> </v>
          </cell>
          <cell r="J372" t="str">
            <v xml:space="preserve"> </v>
          </cell>
          <cell r="K372" t="str">
            <v xml:space="preserve"> </v>
          </cell>
          <cell r="L372" t="str">
            <v xml:space="preserve"> </v>
          </cell>
          <cell r="M372" t="str">
            <v xml:space="preserve"> </v>
          </cell>
        </row>
        <row r="373">
          <cell r="B373" t="str">
            <v xml:space="preserve"> </v>
          </cell>
          <cell r="C373" t="str">
            <v xml:space="preserve"> </v>
          </cell>
          <cell r="D373" t="str">
            <v xml:space="preserve"> </v>
          </cell>
          <cell r="E373" t="str">
            <v xml:space="preserve"> </v>
          </cell>
          <cell r="F373" t="str">
            <v xml:space="preserve"> </v>
          </cell>
          <cell r="G373" t="str">
            <v xml:space="preserve"> </v>
          </cell>
          <cell r="H373" t="str">
            <v xml:space="preserve"> </v>
          </cell>
          <cell r="I373" t="str">
            <v xml:space="preserve"> </v>
          </cell>
          <cell r="J373" t="str">
            <v xml:space="preserve"> </v>
          </cell>
          <cell r="K373" t="str">
            <v xml:space="preserve"> </v>
          </cell>
          <cell r="L373" t="str">
            <v xml:space="preserve"> </v>
          </cell>
          <cell r="M373" t="str">
            <v xml:space="preserve"> </v>
          </cell>
        </row>
        <row r="374">
          <cell r="B374" t="str">
            <v xml:space="preserve"> </v>
          </cell>
          <cell r="C374" t="str">
            <v xml:space="preserve"> </v>
          </cell>
          <cell r="D374" t="str">
            <v xml:space="preserve"> </v>
          </cell>
          <cell r="E374" t="str">
            <v xml:space="preserve"> </v>
          </cell>
          <cell r="F374" t="str">
            <v xml:space="preserve"> </v>
          </cell>
          <cell r="G374" t="str">
            <v xml:space="preserve"> </v>
          </cell>
          <cell r="H374" t="str">
            <v xml:space="preserve"> </v>
          </cell>
          <cell r="I374" t="str">
            <v xml:space="preserve"> </v>
          </cell>
          <cell r="J374" t="str">
            <v xml:space="preserve"> </v>
          </cell>
          <cell r="K374" t="str">
            <v xml:space="preserve"> </v>
          </cell>
          <cell r="L374" t="str">
            <v xml:space="preserve"> </v>
          </cell>
          <cell r="M374" t="str">
            <v xml:space="preserve"> </v>
          </cell>
        </row>
        <row r="375">
          <cell r="B375" t="str">
            <v xml:space="preserve"> </v>
          </cell>
          <cell r="C375" t="str">
            <v xml:space="preserve"> </v>
          </cell>
          <cell r="D375" t="str">
            <v xml:space="preserve"> </v>
          </cell>
          <cell r="E375" t="str">
            <v xml:space="preserve"> </v>
          </cell>
          <cell r="F375" t="str">
            <v xml:space="preserve"> </v>
          </cell>
          <cell r="G375" t="str">
            <v xml:space="preserve"> </v>
          </cell>
          <cell r="H375" t="str">
            <v xml:space="preserve"> </v>
          </cell>
          <cell r="I375" t="str">
            <v xml:space="preserve"> </v>
          </cell>
          <cell r="J375" t="str">
            <v xml:space="preserve"> </v>
          </cell>
          <cell r="K375" t="str">
            <v xml:space="preserve"> </v>
          </cell>
          <cell r="L375" t="str">
            <v xml:space="preserve"> </v>
          </cell>
          <cell r="M375" t="str">
            <v xml:space="preserve"> </v>
          </cell>
        </row>
        <row r="376">
          <cell r="B376" t="str">
            <v xml:space="preserve"> </v>
          </cell>
          <cell r="C376" t="str">
            <v xml:space="preserve"> </v>
          </cell>
          <cell r="D376" t="str">
            <v xml:space="preserve"> </v>
          </cell>
          <cell r="E376" t="str">
            <v xml:space="preserve"> </v>
          </cell>
          <cell r="F376" t="str">
            <v xml:space="preserve"> </v>
          </cell>
          <cell r="G376" t="str">
            <v xml:space="preserve"> </v>
          </cell>
          <cell r="H376" t="str">
            <v xml:space="preserve"> </v>
          </cell>
          <cell r="I376" t="str">
            <v xml:space="preserve"> </v>
          </cell>
          <cell r="J376" t="str">
            <v xml:space="preserve"> </v>
          </cell>
          <cell r="K376" t="str">
            <v xml:space="preserve"> </v>
          </cell>
          <cell r="L376" t="str">
            <v xml:space="preserve"> </v>
          </cell>
          <cell r="M376" t="str">
            <v xml:space="preserve"> </v>
          </cell>
        </row>
        <row r="377">
          <cell r="B377" t="str">
            <v xml:space="preserve"> </v>
          </cell>
          <cell r="C377" t="str">
            <v xml:space="preserve"> </v>
          </cell>
          <cell r="D377" t="str">
            <v xml:space="preserve"> </v>
          </cell>
          <cell r="E377" t="str">
            <v xml:space="preserve"> </v>
          </cell>
          <cell r="F377" t="str">
            <v xml:space="preserve"> </v>
          </cell>
          <cell r="G377" t="str">
            <v xml:space="preserve"> </v>
          </cell>
          <cell r="H377" t="str">
            <v xml:space="preserve"> </v>
          </cell>
          <cell r="I377" t="str">
            <v xml:space="preserve"> </v>
          </cell>
          <cell r="J377" t="str">
            <v xml:space="preserve"> </v>
          </cell>
          <cell r="K377" t="str">
            <v xml:space="preserve"> </v>
          </cell>
          <cell r="L377" t="str">
            <v xml:space="preserve"> </v>
          </cell>
          <cell r="M377" t="str">
            <v xml:space="preserve"> </v>
          </cell>
        </row>
        <row r="378">
          <cell r="B378" t="str">
            <v xml:space="preserve"> </v>
          </cell>
          <cell r="C378" t="str">
            <v xml:space="preserve"> </v>
          </cell>
          <cell r="D378" t="str">
            <v xml:space="preserve"> </v>
          </cell>
          <cell r="E378" t="str">
            <v xml:space="preserve"> </v>
          </cell>
          <cell r="F378" t="str">
            <v xml:space="preserve"> </v>
          </cell>
          <cell r="G378" t="str">
            <v xml:space="preserve"> </v>
          </cell>
          <cell r="H378" t="str">
            <v xml:space="preserve"> </v>
          </cell>
          <cell r="I378" t="str">
            <v xml:space="preserve"> </v>
          </cell>
          <cell r="J378" t="str">
            <v xml:space="preserve"> </v>
          </cell>
          <cell r="K378" t="str">
            <v xml:space="preserve"> </v>
          </cell>
          <cell r="L378" t="str">
            <v xml:space="preserve"> </v>
          </cell>
          <cell r="M378" t="str">
            <v xml:space="preserve"> </v>
          </cell>
        </row>
        <row r="379">
          <cell r="B379" t="str">
            <v xml:space="preserve"> </v>
          </cell>
          <cell r="C379" t="str">
            <v xml:space="preserve"> </v>
          </cell>
          <cell r="D379" t="str">
            <v xml:space="preserve"> </v>
          </cell>
          <cell r="E379" t="str">
            <v xml:space="preserve"> </v>
          </cell>
          <cell r="F379" t="str">
            <v xml:space="preserve"> </v>
          </cell>
          <cell r="G379" t="str">
            <v xml:space="preserve"> </v>
          </cell>
          <cell r="H379" t="str">
            <v xml:space="preserve"> </v>
          </cell>
          <cell r="I379" t="str">
            <v xml:space="preserve"> </v>
          </cell>
          <cell r="J379" t="str">
            <v xml:space="preserve"> </v>
          </cell>
          <cell r="K379" t="str">
            <v xml:space="preserve"> </v>
          </cell>
          <cell r="L379" t="str">
            <v xml:space="preserve"> </v>
          </cell>
          <cell r="M379" t="str">
            <v xml:space="preserve"> </v>
          </cell>
        </row>
        <row r="380">
          <cell r="B380" t="str">
            <v xml:space="preserve"> </v>
          </cell>
          <cell r="C380" t="str">
            <v xml:space="preserve"> </v>
          </cell>
          <cell r="D380" t="str">
            <v xml:space="preserve"> </v>
          </cell>
          <cell r="E380" t="str">
            <v xml:space="preserve"> </v>
          </cell>
          <cell r="F380" t="str">
            <v xml:space="preserve"> </v>
          </cell>
          <cell r="G380" t="str">
            <v xml:space="preserve"> </v>
          </cell>
          <cell r="H380" t="str">
            <v xml:space="preserve"> </v>
          </cell>
          <cell r="I380" t="str">
            <v xml:space="preserve"> </v>
          </cell>
          <cell r="J380" t="str">
            <v xml:space="preserve"> </v>
          </cell>
          <cell r="K380" t="str">
            <v xml:space="preserve"> </v>
          </cell>
          <cell r="L380" t="str">
            <v xml:space="preserve"> </v>
          </cell>
          <cell r="M380" t="str">
            <v xml:space="preserve"> </v>
          </cell>
        </row>
        <row r="381">
          <cell r="B381" t="str">
            <v xml:space="preserve"> </v>
          </cell>
          <cell r="C381" t="str">
            <v xml:space="preserve"> </v>
          </cell>
          <cell r="D381" t="str">
            <v xml:space="preserve"> </v>
          </cell>
          <cell r="E381" t="str">
            <v xml:space="preserve"> </v>
          </cell>
          <cell r="F381" t="str">
            <v xml:space="preserve"> </v>
          </cell>
          <cell r="G381" t="str">
            <v xml:space="preserve"> </v>
          </cell>
          <cell r="H381" t="str">
            <v xml:space="preserve"> </v>
          </cell>
          <cell r="I381" t="str">
            <v xml:space="preserve"> </v>
          </cell>
          <cell r="J381" t="str">
            <v xml:space="preserve"> </v>
          </cell>
          <cell r="K381" t="str">
            <v xml:space="preserve"> </v>
          </cell>
          <cell r="L381" t="str">
            <v xml:space="preserve"> </v>
          </cell>
          <cell r="M381" t="str">
            <v xml:space="preserve"> </v>
          </cell>
        </row>
        <row r="382">
          <cell r="B382" t="str">
            <v xml:space="preserve"> </v>
          </cell>
          <cell r="C382" t="str">
            <v xml:space="preserve"> </v>
          </cell>
          <cell r="D382" t="str">
            <v xml:space="preserve"> </v>
          </cell>
          <cell r="E382" t="str">
            <v xml:space="preserve"> </v>
          </cell>
          <cell r="F382" t="str">
            <v xml:space="preserve"> </v>
          </cell>
          <cell r="G382" t="str">
            <v xml:space="preserve"> </v>
          </cell>
          <cell r="H382" t="str">
            <v xml:space="preserve"> </v>
          </cell>
          <cell r="I382" t="str">
            <v xml:space="preserve"> </v>
          </cell>
          <cell r="J382" t="str">
            <v xml:space="preserve"> </v>
          </cell>
          <cell r="K382" t="str">
            <v xml:space="preserve"> </v>
          </cell>
          <cell r="L382" t="str">
            <v xml:space="preserve"> </v>
          </cell>
          <cell r="M382" t="str">
            <v xml:space="preserve"> </v>
          </cell>
        </row>
        <row r="383">
          <cell r="B383" t="str">
            <v xml:space="preserve"> </v>
          </cell>
          <cell r="C383" t="str">
            <v xml:space="preserve"> </v>
          </cell>
          <cell r="D383" t="str">
            <v xml:space="preserve"> </v>
          </cell>
          <cell r="E383" t="str">
            <v xml:space="preserve"> </v>
          </cell>
          <cell r="F383" t="str">
            <v xml:space="preserve"> </v>
          </cell>
          <cell r="G383" t="str">
            <v xml:space="preserve"> </v>
          </cell>
          <cell r="H383" t="str">
            <v xml:space="preserve"> </v>
          </cell>
          <cell r="I383" t="str">
            <v xml:space="preserve"> </v>
          </cell>
          <cell r="J383" t="str">
            <v xml:space="preserve"> </v>
          </cell>
          <cell r="K383" t="str">
            <v xml:space="preserve"> </v>
          </cell>
          <cell r="L383" t="str">
            <v xml:space="preserve"> </v>
          </cell>
          <cell r="M383" t="str">
            <v xml:space="preserve"> </v>
          </cell>
        </row>
        <row r="384">
          <cell r="B384" t="str">
            <v xml:space="preserve"> </v>
          </cell>
          <cell r="C384" t="str">
            <v xml:space="preserve"> </v>
          </cell>
          <cell r="D384" t="str">
            <v xml:space="preserve"> </v>
          </cell>
          <cell r="E384" t="str">
            <v xml:space="preserve"> </v>
          </cell>
          <cell r="F384" t="str">
            <v xml:space="preserve"> </v>
          </cell>
          <cell r="G384" t="str">
            <v xml:space="preserve"> </v>
          </cell>
          <cell r="H384" t="str">
            <v xml:space="preserve"> </v>
          </cell>
          <cell r="I384" t="str">
            <v xml:space="preserve"> </v>
          </cell>
          <cell r="J384" t="str">
            <v xml:space="preserve"> </v>
          </cell>
          <cell r="K384" t="str">
            <v xml:space="preserve"> </v>
          </cell>
          <cell r="L384" t="str">
            <v xml:space="preserve"> </v>
          </cell>
          <cell r="M384" t="str">
            <v xml:space="preserve"> </v>
          </cell>
        </row>
        <row r="385">
          <cell r="B385" t="str">
            <v xml:space="preserve"> </v>
          </cell>
          <cell r="C385" t="str">
            <v xml:space="preserve"> </v>
          </cell>
          <cell r="D385" t="str">
            <v xml:space="preserve"> </v>
          </cell>
          <cell r="E385" t="str">
            <v xml:space="preserve"> </v>
          </cell>
          <cell r="F385" t="str">
            <v xml:space="preserve"> </v>
          </cell>
          <cell r="G385" t="str">
            <v xml:space="preserve"> </v>
          </cell>
          <cell r="H385" t="str">
            <v xml:space="preserve"> </v>
          </cell>
          <cell r="I385" t="str">
            <v xml:space="preserve"> </v>
          </cell>
          <cell r="J385" t="str">
            <v xml:space="preserve"> </v>
          </cell>
          <cell r="K385" t="str">
            <v xml:space="preserve"> </v>
          </cell>
          <cell r="L385" t="str">
            <v xml:space="preserve"> </v>
          </cell>
          <cell r="M385" t="str">
            <v xml:space="preserve"> </v>
          </cell>
        </row>
        <row r="386">
          <cell r="B386" t="str">
            <v xml:space="preserve"> </v>
          </cell>
          <cell r="C386" t="str">
            <v xml:space="preserve"> </v>
          </cell>
          <cell r="D386" t="str">
            <v xml:space="preserve"> </v>
          </cell>
          <cell r="E386" t="str">
            <v xml:space="preserve"> </v>
          </cell>
          <cell r="F386" t="str">
            <v xml:space="preserve"> </v>
          </cell>
          <cell r="G386" t="str">
            <v xml:space="preserve"> </v>
          </cell>
          <cell r="H386" t="str">
            <v xml:space="preserve"> </v>
          </cell>
          <cell r="I386" t="str">
            <v xml:space="preserve"> </v>
          </cell>
          <cell r="J386" t="str">
            <v xml:space="preserve"> </v>
          </cell>
          <cell r="K386" t="str">
            <v xml:space="preserve"> </v>
          </cell>
          <cell r="L386" t="str">
            <v xml:space="preserve"> </v>
          </cell>
          <cell r="M386" t="str">
            <v xml:space="preserve"> </v>
          </cell>
        </row>
        <row r="387">
          <cell r="B387" t="str">
            <v xml:space="preserve"> </v>
          </cell>
          <cell r="C387" t="str">
            <v xml:space="preserve"> </v>
          </cell>
          <cell r="D387" t="str">
            <v xml:space="preserve"> </v>
          </cell>
          <cell r="E387" t="str">
            <v xml:space="preserve"> </v>
          </cell>
          <cell r="F387" t="str">
            <v xml:space="preserve"> </v>
          </cell>
          <cell r="G387" t="str">
            <v xml:space="preserve"> </v>
          </cell>
          <cell r="H387" t="str">
            <v xml:space="preserve"> </v>
          </cell>
          <cell r="I387" t="str">
            <v xml:space="preserve"> </v>
          </cell>
          <cell r="J387" t="str">
            <v xml:space="preserve"> </v>
          </cell>
          <cell r="K387" t="str">
            <v xml:space="preserve"> </v>
          </cell>
          <cell r="L387" t="str">
            <v xml:space="preserve"> </v>
          </cell>
          <cell r="M387" t="str">
            <v xml:space="preserve"> </v>
          </cell>
        </row>
        <row r="388">
          <cell r="B388" t="str">
            <v xml:space="preserve"> </v>
          </cell>
          <cell r="C388" t="str">
            <v xml:space="preserve"> </v>
          </cell>
          <cell r="D388" t="str">
            <v xml:space="preserve"> </v>
          </cell>
          <cell r="E388" t="str">
            <v xml:space="preserve"> </v>
          </cell>
          <cell r="F388" t="str">
            <v xml:space="preserve"> </v>
          </cell>
          <cell r="G388" t="str">
            <v xml:space="preserve"> </v>
          </cell>
          <cell r="H388" t="str">
            <v xml:space="preserve"> </v>
          </cell>
          <cell r="I388" t="str">
            <v xml:space="preserve"> </v>
          </cell>
          <cell r="J388" t="str">
            <v xml:space="preserve"> </v>
          </cell>
          <cell r="K388" t="str">
            <v xml:space="preserve"> </v>
          </cell>
          <cell r="L388" t="str">
            <v xml:space="preserve"> </v>
          </cell>
          <cell r="M388" t="str">
            <v xml:space="preserve"> </v>
          </cell>
        </row>
        <row r="389">
          <cell r="B389" t="str">
            <v xml:space="preserve"> </v>
          </cell>
          <cell r="C389" t="str">
            <v xml:space="preserve"> </v>
          </cell>
          <cell r="D389" t="str">
            <v xml:space="preserve"> </v>
          </cell>
          <cell r="E389" t="str">
            <v xml:space="preserve"> </v>
          </cell>
          <cell r="F389" t="str">
            <v xml:space="preserve"> </v>
          </cell>
          <cell r="G389" t="str">
            <v xml:space="preserve"> </v>
          </cell>
          <cell r="H389" t="str">
            <v xml:space="preserve"> </v>
          </cell>
          <cell r="I389" t="str">
            <v xml:space="preserve"> </v>
          </cell>
          <cell r="J389" t="str">
            <v xml:space="preserve"> </v>
          </cell>
          <cell r="K389" t="str">
            <v xml:space="preserve"> </v>
          </cell>
          <cell r="L389" t="str">
            <v xml:space="preserve"> </v>
          </cell>
          <cell r="M389" t="str">
            <v xml:space="preserve"> </v>
          </cell>
        </row>
        <row r="390">
          <cell r="B390" t="str">
            <v xml:space="preserve"> </v>
          </cell>
          <cell r="C390" t="str">
            <v xml:space="preserve"> </v>
          </cell>
          <cell r="D390" t="str">
            <v xml:space="preserve"> </v>
          </cell>
          <cell r="E390" t="str">
            <v xml:space="preserve"> </v>
          </cell>
          <cell r="F390" t="str">
            <v xml:space="preserve"> </v>
          </cell>
          <cell r="G390" t="str">
            <v xml:space="preserve"> </v>
          </cell>
          <cell r="H390" t="str">
            <v xml:space="preserve"> </v>
          </cell>
          <cell r="I390" t="str">
            <v xml:space="preserve"> </v>
          </cell>
          <cell r="J390" t="str">
            <v xml:space="preserve"> </v>
          </cell>
          <cell r="K390" t="str">
            <v xml:space="preserve"> </v>
          </cell>
          <cell r="L390" t="str">
            <v xml:space="preserve"> </v>
          </cell>
          <cell r="M390" t="str">
            <v xml:space="preserve"> </v>
          </cell>
        </row>
        <row r="391">
          <cell r="B391" t="str">
            <v xml:space="preserve"> </v>
          </cell>
          <cell r="C391" t="str">
            <v xml:space="preserve"> </v>
          </cell>
          <cell r="D391" t="str">
            <v xml:space="preserve"> </v>
          </cell>
          <cell r="E391" t="str">
            <v xml:space="preserve"> </v>
          </cell>
          <cell r="F391" t="str">
            <v xml:space="preserve"> </v>
          </cell>
          <cell r="G391" t="str">
            <v xml:space="preserve"> </v>
          </cell>
          <cell r="H391" t="str">
            <v xml:space="preserve"> </v>
          </cell>
          <cell r="I391" t="str">
            <v xml:space="preserve"> </v>
          </cell>
          <cell r="J391" t="str">
            <v xml:space="preserve"> </v>
          </cell>
          <cell r="K391" t="str">
            <v xml:space="preserve"> </v>
          </cell>
          <cell r="L391" t="str">
            <v xml:space="preserve"> </v>
          </cell>
          <cell r="M391" t="str">
            <v xml:space="preserve"> </v>
          </cell>
        </row>
        <row r="392">
          <cell r="B392" t="str">
            <v xml:space="preserve"> </v>
          </cell>
          <cell r="C392" t="str">
            <v xml:space="preserve"> </v>
          </cell>
          <cell r="D392" t="str">
            <v xml:space="preserve"> </v>
          </cell>
          <cell r="E392" t="str">
            <v xml:space="preserve"> </v>
          </cell>
          <cell r="F392" t="str">
            <v xml:space="preserve"> </v>
          </cell>
          <cell r="G392" t="str">
            <v xml:space="preserve"> </v>
          </cell>
          <cell r="H392" t="str">
            <v xml:space="preserve"> </v>
          </cell>
          <cell r="I392" t="str">
            <v xml:space="preserve"> </v>
          </cell>
          <cell r="J392" t="str">
            <v xml:space="preserve"> </v>
          </cell>
          <cell r="K392" t="str">
            <v xml:space="preserve"> </v>
          </cell>
          <cell r="L392" t="str">
            <v xml:space="preserve"> </v>
          </cell>
          <cell r="M392" t="str">
            <v xml:space="preserve"> </v>
          </cell>
        </row>
        <row r="393">
          <cell r="B393" t="str">
            <v xml:space="preserve"> </v>
          </cell>
          <cell r="C393" t="str">
            <v xml:space="preserve"> </v>
          </cell>
          <cell r="D393" t="str">
            <v xml:space="preserve"> </v>
          </cell>
          <cell r="E393" t="str">
            <v xml:space="preserve"> </v>
          </cell>
          <cell r="F393" t="str">
            <v xml:space="preserve"> </v>
          </cell>
          <cell r="G393" t="str">
            <v xml:space="preserve"> </v>
          </cell>
          <cell r="H393" t="str">
            <v xml:space="preserve"> </v>
          </cell>
          <cell r="I393" t="str">
            <v xml:space="preserve"> </v>
          </cell>
          <cell r="J393" t="str">
            <v xml:space="preserve"> </v>
          </cell>
          <cell r="K393" t="str">
            <v xml:space="preserve"> </v>
          </cell>
          <cell r="L393" t="str">
            <v xml:space="preserve"> </v>
          </cell>
          <cell r="M393" t="str">
            <v xml:space="preserve"> </v>
          </cell>
        </row>
        <row r="394">
          <cell r="B394" t="str">
            <v xml:space="preserve"> </v>
          </cell>
          <cell r="C394" t="str">
            <v xml:space="preserve"> </v>
          </cell>
          <cell r="D394" t="str">
            <v xml:space="preserve"> </v>
          </cell>
          <cell r="E394" t="str">
            <v xml:space="preserve"> </v>
          </cell>
          <cell r="F394" t="str">
            <v xml:space="preserve"> </v>
          </cell>
          <cell r="G394" t="str">
            <v xml:space="preserve"> </v>
          </cell>
          <cell r="H394" t="str">
            <v xml:space="preserve"> </v>
          </cell>
          <cell r="I394" t="str">
            <v xml:space="preserve"> </v>
          </cell>
          <cell r="J394" t="str">
            <v xml:space="preserve"> </v>
          </cell>
          <cell r="K394" t="str">
            <v xml:space="preserve"> </v>
          </cell>
          <cell r="L394" t="str">
            <v xml:space="preserve"> </v>
          </cell>
          <cell r="M394" t="str">
            <v xml:space="preserve"> </v>
          </cell>
        </row>
        <row r="395">
          <cell r="B395" t="str">
            <v xml:space="preserve"> </v>
          </cell>
          <cell r="C395" t="str">
            <v xml:space="preserve"> </v>
          </cell>
          <cell r="D395" t="str">
            <v xml:space="preserve"> </v>
          </cell>
          <cell r="E395" t="str">
            <v xml:space="preserve"> </v>
          </cell>
          <cell r="F395" t="str">
            <v xml:space="preserve"> </v>
          </cell>
          <cell r="G395" t="str">
            <v xml:space="preserve"> </v>
          </cell>
          <cell r="H395" t="str">
            <v xml:space="preserve"> </v>
          </cell>
          <cell r="I395" t="str">
            <v xml:space="preserve"> </v>
          </cell>
          <cell r="J395" t="str">
            <v xml:space="preserve"> </v>
          </cell>
          <cell r="K395" t="str">
            <v xml:space="preserve"> </v>
          </cell>
          <cell r="L395" t="str">
            <v xml:space="preserve"> </v>
          </cell>
          <cell r="M395" t="str">
            <v xml:space="preserve"> </v>
          </cell>
        </row>
        <row r="396">
          <cell r="B396" t="str">
            <v xml:space="preserve"> </v>
          </cell>
          <cell r="C396" t="str">
            <v xml:space="preserve"> </v>
          </cell>
          <cell r="D396" t="str">
            <v xml:space="preserve"> </v>
          </cell>
          <cell r="E396" t="str">
            <v xml:space="preserve"> </v>
          </cell>
          <cell r="F396" t="str">
            <v xml:space="preserve"> </v>
          </cell>
          <cell r="G396" t="str">
            <v xml:space="preserve"> </v>
          </cell>
          <cell r="H396" t="str">
            <v xml:space="preserve"> </v>
          </cell>
          <cell r="I396" t="str">
            <v xml:space="preserve"> </v>
          </cell>
          <cell r="J396" t="str">
            <v xml:space="preserve"> </v>
          </cell>
          <cell r="K396" t="str">
            <v xml:space="preserve"> </v>
          </cell>
          <cell r="L396" t="str">
            <v xml:space="preserve"> </v>
          </cell>
          <cell r="M396" t="str">
            <v xml:space="preserve"> </v>
          </cell>
        </row>
        <row r="397">
          <cell r="B397" t="str">
            <v xml:space="preserve"> </v>
          </cell>
          <cell r="C397" t="str">
            <v xml:space="preserve"> </v>
          </cell>
          <cell r="D397" t="str">
            <v xml:space="preserve"> </v>
          </cell>
          <cell r="E397" t="str">
            <v xml:space="preserve"> </v>
          </cell>
          <cell r="F397" t="str">
            <v xml:space="preserve"> </v>
          </cell>
          <cell r="G397" t="str">
            <v xml:space="preserve"> </v>
          </cell>
          <cell r="H397" t="str">
            <v xml:space="preserve"> </v>
          </cell>
          <cell r="I397" t="str">
            <v xml:space="preserve"> </v>
          </cell>
          <cell r="J397" t="str">
            <v xml:space="preserve"> </v>
          </cell>
          <cell r="K397" t="str">
            <v xml:space="preserve"> </v>
          </cell>
          <cell r="L397" t="str">
            <v xml:space="preserve"> </v>
          </cell>
          <cell r="M397" t="str">
            <v xml:space="preserve"> </v>
          </cell>
        </row>
        <row r="398">
          <cell r="B398" t="str">
            <v xml:space="preserve"> </v>
          </cell>
          <cell r="C398" t="str">
            <v xml:space="preserve"> </v>
          </cell>
          <cell r="D398" t="str">
            <v xml:space="preserve"> </v>
          </cell>
          <cell r="E398" t="str">
            <v xml:space="preserve"> </v>
          </cell>
          <cell r="F398" t="str">
            <v xml:space="preserve"> </v>
          </cell>
          <cell r="G398" t="str">
            <v xml:space="preserve"> </v>
          </cell>
          <cell r="H398" t="str">
            <v xml:space="preserve"> </v>
          </cell>
          <cell r="I398" t="str">
            <v xml:space="preserve"> </v>
          </cell>
          <cell r="J398" t="str">
            <v xml:space="preserve"> </v>
          </cell>
          <cell r="K398" t="str">
            <v xml:space="preserve"> </v>
          </cell>
          <cell r="L398" t="str">
            <v xml:space="preserve"> </v>
          </cell>
          <cell r="M398" t="str">
            <v xml:space="preserve"> </v>
          </cell>
        </row>
        <row r="399">
          <cell r="B399" t="str">
            <v xml:space="preserve"> </v>
          </cell>
          <cell r="C399" t="str">
            <v xml:space="preserve"> </v>
          </cell>
          <cell r="D399" t="str">
            <v xml:space="preserve"> </v>
          </cell>
          <cell r="E399" t="str">
            <v xml:space="preserve"> </v>
          </cell>
          <cell r="F399" t="str">
            <v xml:space="preserve"> </v>
          </cell>
          <cell r="G399" t="str">
            <v xml:space="preserve"> </v>
          </cell>
          <cell r="H399" t="str">
            <v xml:space="preserve"> </v>
          </cell>
          <cell r="I399" t="str">
            <v xml:space="preserve"> </v>
          </cell>
          <cell r="J399" t="str">
            <v xml:space="preserve"> </v>
          </cell>
          <cell r="K399" t="str">
            <v xml:space="preserve"> </v>
          </cell>
          <cell r="L399" t="str">
            <v xml:space="preserve"> </v>
          </cell>
          <cell r="M399" t="str">
            <v xml:space="preserve"> </v>
          </cell>
        </row>
        <row r="400">
          <cell r="B400" t="str">
            <v xml:space="preserve"> </v>
          </cell>
          <cell r="C400" t="str">
            <v xml:space="preserve"> </v>
          </cell>
          <cell r="D400" t="str">
            <v xml:space="preserve"> </v>
          </cell>
          <cell r="E400" t="str">
            <v xml:space="preserve"> </v>
          </cell>
          <cell r="F400" t="str">
            <v xml:space="preserve"> </v>
          </cell>
          <cell r="G400" t="str">
            <v xml:space="preserve"> </v>
          </cell>
          <cell r="H400" t="str">
            <v xml:space="preserve"> </v>
          </cell>
          <cell r="I400" t="str">
            <v xml:space="preserve"> </v>
          </cell>
          <cell r="J400" t="str">
            <v xml:space="preserve"> </v>
          </cell>
          <cell r="K400" t="str">
            <v xml:space="preserve"> </v>
          </cell>
          <cell r="L400" t="str">
            <v xml:space="preserve"> </v>
          </cell>
          <cell r="M400" t="str">
            <v xml:space="preserve"> </v>
          </cell>
        </row>
        <row r="401">
          <cell r="B401" t="str">
            <v xml:space="preserve"> </v>
          </cell>
          <cell r="C401" t="str">
            <v xml:space="preserve"> </v>
          </cell>
          <cell r="D401" t="str">
            <v xml:space="preserve"> </v>
          </cell>
          <cell r="E401" t="str">
            <v xml:space="preserve"> </v>
          </cell>
          <cell r="F401" t="str">
            <v xml:space="preserve"> </v>
          </cell>
          <cell r="G401" t="str">
            <v xml:space="preserve"> </v>
          </cell>
          <cell r="H401" t="str">
            <v xml:space="preserve"> </v>
          </cell>
          <cell r="I401" t="str">
            <v xml:space="preserve"> </v>
          </cell>
          <cell r="J401" t="str">
            <v xml:space="preserve"> </v>
          </cell>
          <cell r="K401" t="str">
            <v xml:space="preserve"> </v>
          </cell>
          <cell r="L401" t="str">
            <v xml:space="preserve"> </v>
          </cell>
          <cell r="M401" t="str">
            <v xml:space="preserve"> </v>
          </cell>
        </row>
        <row r="402">
          <cell r="B402" t="str">
            <v xml:space="preserve"> </v>
          </cell>
          <cell r="C402" t="str">
            <v xml:space="preserve"> </v>
          </cell>
          <cell r="D402" t="str">
            <v xml:space="preserve"> </v>
          </cell>
          <cell r="E402" t="str">
            <v xml:space="preserve"> </v>
          </cell>
          <cell r="F402" t="str">
            <v xml:space="preserve"> </v>
          </cell>
          <cell r="G402" t="str">
            <v xml:space="preserve"> </v>
          </cell>
          <cell r="H402" t="str">
            <v xml:space="preserve"> </v>
          </cell>
          <cell r="I402" t="str">
            <v xml:space="preserve"> </v>
          </cell>
          <cell r="J402" t="str">
            <v xml:space="preserve"> </v>
          </cell>
          <cell r="K402" t="str">
            <v xml:space="preserve"> </v>
          </cell>
          <cell r="L402" t="str">
            <v xml:space="preserve"> </v>
          </cell>
          <cell r="M402" t="str">
            <v xml:space="preserve"> </v>
          </cell>
        </row>
        <row r="403">
          <cell r="B403" t="str">
            <v xml:space="preserve"> </v>
          </cell>
          <cell r="C403" t="str">
            <v xml:space="preserve"> </v>
          </cell>
          <cell r="D403" t="str">
            <v xml:space="preserve"> </v>
          </cell>
          <cell r="E403" t="str">
            <v xml:space="preserve"> </v>
          </cell>
          <cell r="F403" t="str">
            <v xml:space="preserve"> </v>
          </cell>
          <cell r="G403" t="str">
            <v xml:space="preserve"> </v>
          </cell>
          <cell r="H403" t="str">
            <v xml:space="preserve"> </v>
          </cell>
          <cell r="I403" t="str">
            <v xml:space="preserve"> </v>
          </cell>
          <cell r="J403" t="str">
            <v xml:space="preserve"> </v>
          </cell>
          <cell r="K403" t="str">
            <v xml:space="preserve"> </v>
          </cell>
          <cell r="L403" t="str">
            <v xml:space="preserve"> </v>
          </cell>
          <cell r="M403" t="str">
            <v xml:space="preserve"> </v>
          </cell>
        </row>
        <row r="404">
          <cell r="B404" t="str">
            <v xml:space="preserve"> </v>
          </cell>
          <cell r="C404" t="str">
            <v xml:space="preserve"> </v>
          </cell>
          <cell r="D404" t="str">
            <v xml:space="preserve"> </v>
          </cell>
          <cell r="E404" t="str">
            <v xml:space="preserve"> </v>
          </cell>
          <cell r="F404" t="str">
            <v xml:space="preserve"> </v>
          </cell>
          <cell r="G404" t="str">
            <v xml:space="preserve"> </v>
          </cell>
          <cell r="H404" t="str">
            <v xml:space="preserve"> </v>
          </cell>
          <cell r="I404" t="str">
            <v xml:space="preserve"> </v>
          </cell>
          <cell r="J404" t="str">
            <v xml:space="preserve"> </v>
          </cell>
          <cell r="K404" t="str">
            <v xml:space="preserve"> </v>
          </cell>
          <cell r="L404" t="str">
            <v xml:space="preserve"> </v>
          </cell>
          <cell r="M404" t="str">
            <v xml:space="preserve"> </v>
          </cell>
        </row>
        <row r="405">
          <cell r="B405" t="str">
            <v xml:space="preserve"> </v>
          </cell>
          <cell r="C405" t="str">
            <v xml:space="preserve"> </v>
          </cell>
          <cell r="D405" t="str">
            <v xml:space="preserve"> </v>
          </cell>
          <cell r="E405" t="str">
            <v xml:space="preserve"> </v>
          </cell>
          <cell r="F405" t="str">
            <v xml:space="preserve"> </v>
          </cell>
          <cell r="G405" t="str">
            <v xml:space="preserve"> </v>
          </cell>
          <cell r="H405" t="str">
            <v xml:space="preserve"> </v>
          </cell>
          <cell r="I405" t="str">
            <v xml:space="preserve"> </v>
          </cell>
          <cell r="J405" t="str">
            <v xml:space="preserve"> </v>
          </cell>
          <cell r="K405" t="str">
            <v xml:space="preserve"> </v>
          </cell>
          <cell r="L405" t="str">
            <v xml:space="preserve"> </v>
          </cell>
          <cell r="M405" t="str">
            <v xml:space="preserve"> </v>
          </cell>
        </row>
        <row r="406">
          <cell r="B406" t="str">
            <v xml:space="preserve"> </v>
          </cell>
          <cell r="C406" t="str">
            <v xml:space="preserve"> </v>
          </cell>
          <cell r="D406" t="str">
            <v xml:space="preserve"> </v>
          </cell>
          <cell r="E406" t="str">
            <v xml:space="preserve"> </v>
          </cell>
          <cell r="F406" t="str">
            <v xml:space="preserve"> </v>
          </cell>
          <cell r="G406" t="str">
            <v xml:space="preserve"> </v>
          </cell>
          <cell r="H406" t="str">
            <v xml:space="preserve"> </v>
          </cell>
          <cell r="I406" t="str">
            <v xml:space="preserve"> </v>
          </cell>
          <cell r="J406" t="str">
            <v xml:space="preserve"> </v>
          </cell>
          <cell r="K406" t="str">
            <v xml:space="preserve"> </v>
          </cell>
          <cell r="L406" t="str">
            <v xml:space="preserve"> </v>
          </cell>
          <cell r="M406" t="str">
            <v xml:space="preserve"> </v>
          </cell>
        </row>
        <row r="407">
          <cell r="B407" t="str">
            <v xml:space="preserve"> </v>
          </cell>
          <cell r="C407" t="str">
            <v xml:space="preserve"> </v>
          </cell>
          <cell r="D407" t="str">
            <v xml:space="preserve"> </v>
          </cell>
          <cell r="E407" t="str">
            <v xml:space="preserve"> </v>
          </cell>
          <cell r="F407" t="str">
            <v xml:space="preserve"> </v>
          </cell>
          <cell r="G407" t="str">
            <v xml:space="preserve"> </v>
          </cell>
          <cell r="H407" t="str">
            <v xml:space="preserve"> </v>
          </cell>
          <cell r="I407" t="str">
            <v xml:space="preserve"> </v>
          </cell>
          <cell r="J407" t="str">
            <v xml:space="preserve"> </v>
          </cell>
          <cell r="K407" t="str">
            <v xml:space="preserve"> </v>
          </cell>
          <cell r="L407" t="str">
            <v xml:space="preserve"> </v>
          </cell>
          <cell r="M407" t="str">
            <v xml:space="preserve"> </v>
          </cell>
        </row>
        <row r="408">
          <cell r="B408" t="str">
            <v xml:space="preserve"> </v>
          </cell>
          <cell r="C408" t="str">
            <v xml:space="preserve"> </v>
          </cell>
          <cell r="D408" t="str">
            <v xml:space="preserve"> </v>
          </cell>
          <cell r="E408" t="str">
            <v xml:space="preserve"> </v>
          </cell>
          <cell r="F408" t="str">
            <v xml:space="preserve"> </v>
          </cell>
          <cell r="G408" t="str">
            <v xml:space="preserve"> </v>
          </cell>
          <cell r="H408" t="str">
            <v xml:space="preserve"> </v>
          </cell>
          <cell r="I408" t="str">
            <v xml:space="preserve"> </v>
          </cell>
          <cell r="J408" t="str">
            <v xml:space="preserve"> </v>
          </cell>
          <cell r="K408" t="str">
            <v xml:space="preserve"> </v>
          </cell>
          <cell r="L408" t="str">
            <v xml:space="preserve"> </v>
          </cell>
          <cell r="M408" t="str">
            <v xml:space="preserve"> </v>
          </cell>
        </row>
        <row r="409">
          <cell r="B409" t="str">
            <v xml:space="preserve"> </v>
          </cell>
          <cell r="C409" t="str">
            <v xml:space="preserve"> </v>
          </cell>
          <cell r="D409" t="str">
            <v xml:space="preserve"> </v>
          </cell>
          <cell r="E409" t="str">
            <v xml:space="preserve"> </v>
          </cell>
          <cell r="F409" t="str">
            <v xml:space="preserve"> </v>
          </cell>
          <cell r="G409" t="str">
            <v xml:space="preserve"> </v>
          </cell>
          <cell r="H409" t="str">
            <v xml:space="preserve"> </v>
          </cell>
          <cell r="I409" t="str">
            <v xml:space="preserve"> </v>
          </cell>
          <cell r="J409" t="str">
            <v xml:space="preserve"> </v>
          </cell>
          <cell r="K409" t="str">
            <v xml:space="preserve"> </v>
          </cell>
          <cell r="L409" t="str">
            <v xml:space="preserve"> </v>
          </cell>
          <cell r="M409" t="str">
            <v xml:space="preserve"> </v>
          </cell>
        </row>
        <row r="410">
          <cell r="B410" t="str">
            <v xml:space="preserve"> </v>
          </cell>
          <cell r="C410" t="str">
            <v xml:space="preserve"> </v>
          </cell>
          <cell r="D410" t="str">
            <v xml:space="preserve"> </v>
          </cell>
          <cell r="E410" t="str">
            <v xml:space="preserve"> </v>
          </cell>
          <cell r="F410" t="str">
            <v xml:space="preserve"> </v>
          </cell>
          <cell r="G410" t="str">
            <v xml:space="preserve"> </v>
          </cell>
          <cell r="H410" t="str">
            <v xml:space="preserve"> </v>
          </cell>
          <cell r="I410" t="str">
            <v xml:space="preserve"> </v>
          </cell>
          <cell r="J410" t="str">
            <v xml:space="preserve"> </v>
          </cell>
          <cell r="K410" t="str">
            <v xml:space="preserve"> </v>
          </cell>
          <cell r="L410" t="str">
            <v xml:space="preserve"> </v>
          </cell>
          <cell r="M410" t="str">
            <v xml:space="preserve"> </v>
          </cell>
        </row>
        <row r="411">
          <cell r="B411" t="str">
            <v xml:space="preserve"> </v>
          </cell>
          <cell r="C411" t="str">
            <v xml:space="preserve"> </v>
          </cell>
          <cell r="D411" t="str">
            <v xml:space="preserve"> </v>
          </cell>
          <cell r="E411" t="str">
            <v xml:space="preserve"> </v>
          </cell>
          <cell r="F411" t="str">
            <v xml:space="preserve"> </v>
          </cell>
          <cell r="G411" t="str">
            <v xml:space="preserve"> </v>
          </cell>
          <cell r="H411" t="str">
            <v xml:space="preserve"> </v>
          </cell>
          <cell r="I411" t="str">
            <v xml:space="preserve"> </v>
          </cell>
          <cell r="J411" t="str">
            <v xml:space="preserve"> </v>
          </cell>
          <cell r="K411" t="str">
            <v xml:space="preserve"> </v>
          </cell>
          <cell r="L411" t="str">
            <v xml:space="preserve"> </v>
          </cell>
          <cell r="M411" t="str">
            <v xml:space="preserve"> </v>
          </cell>
        </row>
        <row r="412">
          <cell r="B412" t="str">
            <v xml:space="preserve"> </v>
          </cell>
          <cell r="C412" t="str">
            <v xml:space="preserve"> </v>
          </cell>
          <cell r="D412" t="str">
            <v xml:space="preserve"> </v>
          </cell>
          <cell r="E412" t="str">
            <v xml:space="preserve"> </v>
          </cell>
          <cell r="F412" t="str">
            <v xml:space="preserve"> </v>
          </cell>
          <cell r="G412" t="str">
            <v xml:space="preserve"> </v>
          </cell>
          <cell r="H412" t="str">
            <v xml:space="preserve"> </v>
          </cell>
          <cell r="I412" t="str">
            <v xml:space="preserve"> </v>
          </cell>
          <cell r="J412" t="str">
            <v xml:space="preserve"> </v>
          </cell>
          <cell r="K412" t="str">
            <v xml:space="preserve"> </v>
          </cell>
          <cell r="L412" t="str">
            <v xml:space="preserve"> </v>
          </cell>
          <cell r="M412" t="str">
            <v xml:space="preserve"> </v>
          </cell>
        </row>
        <row r="413">
          <cell r="B413" t="str">
            <v xml:space="preserve"> </v>
          </cell>
          <cell r="C413" t="str">
            <v xml:space="preserve"> </v>
          </cell>
          <cell r="D413" t="str">
            <v xml:space="preserve"> </v>
          </cell>
          <cell r="E413" t="str">
            <v xml:space="preserve"> </v>
          </cell>
          <cell r="F413" t="str">
            <v xml:space="preserve"> </v>
          </cell>
          <cell r="G413" t="str">
            <v xml:space="preserve"> </v>
          </cell>
          <cell r="H413" t="str">
            <v xml:space="preserve"> </v>
          </cell>
          <cell r="I413" t="str">
            <v xml:space="preserve"> </v>
          </cell>
          <cell r="J413" t="str">
            <v xml:space="preserve"> </v>
          </cell>
          <cell r="K413" t="str">
            <v xml:space="preserve"> </v>
          </cell>
          <cell r="L413" t="str">
            <v xml:space="preserve"> </v>
          </cell>
          <cell r="M413" t="str">
            <v xml:space="preserve"> </v>
          </cell>
        </row>
        <row r="414">
          <cell r="B414" t="str">
            <v xml:space="preserve"> </v>
          </cell>
          <cell r="C414" t="str">
            <v xml:space="preserve"> </v>
          </cell>
          <cell r="D414" t="str">
            <v xml:space="preserve"> </v>
          </cell>
          <cell r="E414" t="str">
            <v xml:space="preserve"> </v>
          </cell>
          <cell r="F414" t="str">
            <v xml:space="preserve"> </v>
          </cell>
          <cell r="G414" t="str">
            <v xml:space="preserve"> </v>
          </cell>
          <cell r="H414" t="str">
            <v xml:space="preserve"> </v>
          </cell>
          <cell r="I414" t="str">
            <v xml:space="preserve"> </v>
          </cell>
          <cell r="J414" t="str">
            <v xml:space="preserve"> </v>
          </cell>
          <cell r="K414" t="str">
            <v xml:space="preserve"> </v>
          </cell>
          <cell r="L414" t="str">
            <v xml:space="preserve"> </v>
          </cell>
          <cell r="M414" t="str">
            <v xml:space="preserve"> </v>
          </cell>
        </row>
        <row r="415">
          <cell r="B415" t="str">
            <v xml:space="preserve"> </v>
          </cell>
          <cell r="C415" t="str">
            <v xml:space="preserve"> </v>
          </cell>
          <cell r="D415" t="str">
            <v xml:space="preserve"> </v>
          </cell>
          <cell r="E415" t="str">
            <v xml:space="preserve"> </v>
          </cell>
          <cell r="F415" t="str">
            <v xml:space="preserve"> </v>
          </cell>
          <cell r="G415" t="str">
            <v xml:space="preserve"> </v>
          </cell>
          <cell r="H415" t="str">
            <v xml:space="preserve"> </v>
          </cell>
          <cell r="I415" t="str">
            <v xml:space="preserve"> </v>
          </cell>
          <cell r="J415" t="str">
            <v xml:space="preserve"> </v>
          </cell>
          <cell r="K415" t="str">
            <v xml:space="preserve"> </v>
          </cell>
          <cell r="L415" t="str">
            <v xml:space="preserve"> </v>
          </cell>
          <cell r="M415" t="str">
            <v xml:space="preserve"> </v>
          </cell>
        </row>
        <row r="416">
          <cell r="B416" t="str">
            <v xml:space="preserve"> </v>
          </cell>
          <cell r="C416" t="str">
            <v xml:space="preserve"> </v>
          </cell>
          <cell r="D416" t="str">
            <v xml:space="preserve"> </v>
          </cell>
          <cell r="E416" t="str">
            <v xml:space="preserve"> </v>
          </cell>
          <cell r="F416" t="str">
            <v xml:space="preserve"> </v>
          </cell>
          <cell r="G416" t="str">
            <v xml:space="preserve"> </v>
          </cell>
          <cell r="H416" t="str">
            <v xml:space="preserve"> </v>
          </cell>
          <cell r="I416" t="str">
            <v xml:space="preserve"> </v>
          </cell>
          <cell r="J416" t="str">
            <v xml:space="preserve"> </v>
          </cell>
          <cell r="K416" t="str">
            <v xml:space="preserve"> </v>
          </cell>
          <cell r="L416" t="str">
            <v xml:space="preserve"> </v>
          </cell>
          <cell r="M416" t="str">
            <v xml:space="preserve"> </v>
          </cell>
        </row>
        <row r="417">
          <cell r="B417" t="str">
            <v xml:space="preserve"> </v>
          </cell>
          <cell r="C417" t="str">
            <v xml:space="preserve"> </v>
          </cell>
          <cell r="D417" t="str">
            <v xml:space="preserve"> </v>
          </cell>
          <cell r="E417" t="str">
            <v xml:space="preserve"> </v>
          </cell>
          <cell r="F417" t="str">
            <v xml:space="preserve"> </v>
          </cell>
          <cell r="G417" t="str">
            <v xml:space="preserve"> </v>
          </cell>
          <cell r="H417" t="str">
            <v xml:space="preserve"> </v>
          </cell>
          <cell r="I417" t="str">
            <v xml:space="preserve"> </v>
          </cell>
          <cell r="J417" t="str">
            <v xml:space="preserve"> </v>
          </cell>
          <cell r="K417" t="str">
            <v xml:space="preserve"> </v>
          </cell>
          <cell r="L417" t="str">
            <v xml:space="preserve"> </v>
          </cell>
          <cell r="M417" t="str">
            <v xml:space="preserve"> </v>
          </cell>
        </row>
        <row r="418">
          <cell r="B418" t="str">
            <v xml:space="preserve"> </v>
          </cell>
          <cell r="C418" t="str">
            <v xml:space="preserve"> </v>
          </cell>
          <cell r="D418" t="str">
            <v xml:space="preserve"> </v>
          </cell>
          <cell r="E418" t="str">
            <v xml:space="preserve"> </v>
          </cell>
          <cell r="F418" t="str">
            <v xml:space="preserve"> </v>
          </cell>
          <cell r="G418" t="str">
            <v xml:space="preserve"> </v>
          </cell>
          <cell r="H418" t="str">
            <v xml:space="preserve"> </v>
          </cell>
          <cell r="I418" t="str">
            <v xml:space="preserve"> </v>
          </cell>
          <cell r="J418" t="str">
            <v xml:space="preserve"> </v>
          </cell>
          <cell r="K418" t="str">
            <v xml:space="preserve"> </v>
          </cell>
          <cell r="L418" t="str">
            <v xml:space="preserve"> </v>
          </cell>
          <cell r="M418" t="str">
            <v xml:space="preserve"> </v>
          </cell>
        </row>
        <row r="419">
          <cell r="B419" t="str">
            <v xml:space="preserve"> </v>
          </cell>
          <cell r="C419" t="str">
            <v xml:space="preserve"> </v>
          </cell>
          <cell r="D419" t="str">
            <v xml:space="preserve"> </v>
          </cell>
          <cell r="E419" t="str">
            <v xml:space="preserve"> </v>
          </cell>
          <cell r="F419" t="str">
            <v xml:space="preserve"> </v>
          </cell>
          <cell r="G419" t="str">
            <v xml:space="preserve"> </v>
          </cell>
          <cell r="H419" t="str">
            <v xml:space="preserve"> </v>
          </cell>
          <cell r="I419" t="str">
            <v xml:space="preserve"> </v>
          </cell>
          <cell r="J419" t="str">
            <v xml:space="preserve"> </v>
          </cell>
          <cell r="K419" t="str">
            <v xml:space="preserve"> </v>
          </cell>
          <cell r="L419" t="str">
            <v xml:space="preserve"> </v>
          </cell>
          <cell r="M419" t="str">
            <v xml:space="preserve"> </v>
          </cell>
        </row>
        <row r="420">
          <cell r="B420" t="str">
            <v xml:space="preserve"> </v>
          </cell>
          <cell r="C420" t="str">
            <v xml:space="preserve"> </v>
          </cell>
          <cell r="D420" t="str">
            <v xml:space="preserve"> </v>
          </cell>
          <cell r="E420" t="str">
            <v xml:space="preserve"> </v>
          </cell>
          <cell r="F420" t="str">
            <v xml:space="preserve"> </v>
          </cell>
          <cell r="G420" t="str">
            <v xml:space="preserve"> </v>
          </cell>
          <cell r="H420" t="str">
            <v xml:space="preserve"> </v>
          </cell>
          <cell r="I420" t="str">
            <v xml:space="preserve"> </v>
          </cell>
          <cell r="J420" t="str">
            <v xml:space="preserve"> </v>
          </cell>
          <cell r="K420" t="str">
            <v xml:space="preserve"> </v>
          </cell>
          <cell r="L420" t="str">
            <v xml:space="preserve"> </v>
          </cell>
          <cell r="M420" t="str">
            <v xml:space="preserve"> </v>
          </cell>
        </row>
        <row r="421">
          <cell r="B421" t="str">
            <v xml:space="preserve"> </v>
          </cell>
          <cell r="C421" t="str">
            <v xml:space="preserve"> </v>
          </cell>
          <cell r="D421" t="str">
            <v xml:space="preserve"> </v>
          </cell>
          <cell r="E421" t="str">
            <v xml:space="preserve"> </v>
          </cell>
          <cell r="F421" t="str">
            <v xml:space="preserve"> </v>
          </cell>
          <cell r="G421" t="str">
            <v xml:space="preserve"> </v>
          </cell>
          <cell r="H421" t="str">
            <v xml:space="preserve"> </v>
          </cell>
          <cell r="I421" t="str">
            <v xml:space="preserve"> </v>
          </cell>
          <cell r="J421" t="str">
            <v xml:space="preserve"> </v>
          </cell>
          <cell r="K421" t="str">
            <v xml:space="preserve"> </v>
          </cell>
          <cell r="L421" t="str">
            <v xml:space="preserve"> </v>
          </cell>
          <cell r="M421" t="str">
            <v xml:space="preserve"> </v>
          </cell>
        </row>
        <row r="422">
          <cell r="B422" t="str">
            <v xml:space="preserve"> </v>
          </cell>
          <cell r="C422" t="str">
            <v xml:space="preserve"> </v>
          </cell>
          <cell r="D422" t="str">
            <v xml:space="preserve"> </v>
          </cell>
          <cell r="E422" t="str">
            <v xml:space="preserve"> </v>
          </cell>
          <cell r="F422" t="str">
            <v xml:space="preserve"> </v>
          </cell>
          <cell r="G422" t="str">
            <v xml:space="preserve"> </v>
          </cell>
          <cell r="H422" t="str">
            <v xml:space="preserve"> </v>
          </cell>
          <cell r="I422" t="str">
            <v xml:space="preserve"> </v>
          </cell>
          <cell r="J422" t="str">
            <v xml:space="preserve"> </v>
          </cell>
          <cell r="K422" t="str">
            <v xml:space="preserve"> </v>
          </cell>
          <cell r="L422" t="str">
            <v xml:space="preserve"> </v>
          </cell>
          <cell r="M422" t="str">
            <v xml:space="preserve"> </v>
          </cell>
        </row>
        <row r="423">
          <cell r="B423" t="str">
            <v xml:space="preserve"> </v>
          </cell>
          <cell r="C423" t="str">
            <v xml:space="preserve"> </v>
          </cell>
          <cell r="D423" t="str">
            <v xml:space="preserve"> </v>
          </cell>
          <cell r="E423" t="str">
            <v xml:space="preserve"> </v>
          </cell>
          <cell r="F423" t="str">
            <v xml:space="preserve"> </v>
          </cell>
          <cell r="G423" t="str">
            <v xml:space="preserve"> </v>
          </cell>
          <cell r="H423" t="str">
            <v xml:space="preserve"> </v>
          </cell>
          <cell r="I423" t="str">
            <v xml:space="preserve"> </v>
          </cell>
          <cell r="J423" t="str">
            <v xml:space="preserve"> </v>
          </cell>
          <cell r="K423" t="str">
            <v xml:space="preserve"> </v>
          </cell>
          <cell r="L423" t="str">
            <v xml:space="preserve"> </v>
          </cell>
          <cell r="M423" t="str">
            <v xml:space="preserve"> </v>
          </cell>
        </row>
        <row r="424">
          <cell r="B424" t="str">
            <v xml:space="preserve"> </v>
          </cell>
          <cell r="C424" t="str">
            <v xml:space="preserve"> </v>
          </cell>
          <cell r="D424" t="str">
            <v xml:space="preserve"> </v>
          </cell>
          <cell r="E424" t="str">
            <v xml:space="preserve"> </v>
          </cell>
          <cell r="F424" t="str">
            <v xml:space="preserve"> </v>
          </cell>
          <cell r="G424" t="str">
            <v xml:space="preserve"> </v>
          </cell>
          <cell r="H424" t="str">
            <v xml:space="preserve"> </v>
          </cell>
          <cell r="I424" t="str">
            <v xml:space="preserve"> </v>
          </cell>
          <cell r="J424" t="str">
            <v xml:space="preserve"> </v>
          </cell>
          <cell r="K424" t="str">
            <v xml:space="preserve"> </v>
          </cell>
          <cell r="L424" t="str">
            <v xml:space="preserve"> </v>
          </cell>
          <cell r="M424" t="str">
            <v xml:space="preserve"> </v>
          </cell>
        </row>
        <row r="425">
          <cell r="B425" t="str">
            <v xml:space="preserve"> </v>
          </cell>
          <cell r="C425" t="str">
            <v xml:space="preserve"> </v>
          </cell>
          <cell r="D425" t="str">
            <v xml:space="preserve"> </v>
          </cell>
          <cell r="E425" t="str">
            <v xml:space="preserve"> </v>
          </cell>
          <cell r="F425" t="str">
            <v xml:space="preserve"> </v>
          </cell>
          <cell r="G425" t="str">
            <v xml:space="preserve"> </v>
          </cell>
          <cell r="H425" t="str">
            <v xml:space="preserve"> </v>
          </cell>
          <cell r="I425" t="str">
            <v xml:space="preserve"> </v>
          </cell>
          <cell r="J425" t="str">
            <v xml:space="preserve"> </v>
          </cell>
          <cell r="K425" t="str">
            <v xml:space="preserve"> </v>
          </cell>
          <cell r="L425" t="str">
            <v xml:space="preserve"> </v>
          </cell>
          <cell r="M425" t="str">
            <v xml:space="preserve"> </v>
          </cell>
        </row>
        <row r="426">
          <cell r="B426" t="str">
            <v xml:space="preserve"> </v>
          </cell>
          <cell r="C426" t="str">
            <v xml:space="preserve"> </v>
          </cell>
          <cell r="D426" t="str">
            <v xml:space="preserve"> </v>
          </cell>
          <cell r="E426" t="str">
            <v xml:space="preserve"> </v>
          </cell>
          <cell r="F426" t="str">
            <v xml:space="preserve"> </v>
          </cell>
          <cell r="G426" t="str">
            <v xml:space="preserve"> </v>
          </cell>
          <cell r="H426" t="str">
            <v xml:space="preserve"> </v>
          </cell>
          <cell r="I426" t="str">
            <v xml:space="preserve"> </v>
          </cell>
          <cell r="J426" t="str">
            <v xml:space="preserve"> </v>
          </cell>
          <cell r="K426" t="str">
            <v xml:space="preserve"> </v>
          </cell>
          <cell r="L426" t="str">
            <v xml:space="preserve"> </v>
          </cell>
          <cell r="M426" t="str">
            <v xml:space="preserve"> </v>
          </cell>
        </row>
        <row r="427">
          <cell r="B427" t="str">
            <v xml:space="preserve"> </v>
          </cell>
          <cell r="C427" t="str">
            <v xml:space="preserve"> </v>
          </cell>
          <cell r="D427" t="str">
            <v xml:space="preserve"> </v>
          </cell>
          <cell r="E427" t="str">
            <v xml:space="preserve"> </v>
          </cell>
          <cell r="F427" t="str">
            <v xml:space="preserve"> </v>
          </cell>
          <cell r="G427" t="str">
            <v xml:space="preserve"> </v>
          </cell>
          <cell r="H427" t="str">
            <v xml:space="preserve"> </v>
          </cell>
          <cell r="I427" t="str">
            <v xml:space="preserve"> </v>
          </cell>
          <cell r="J427" t="str">
            <v xml:space="preserve"> </v>
          </cell>
          <cell r="K427" t="str">
            <v xml:space="preserve"> </v>
          </cell>
          <cell r="L427" t="str">
            <v xml:space="preserve"> </v>
          </cell>
          <cell r="M427" t="str">
            <v xml:space="preserve"> </v>
          </cell>
        </row>
        <row r="428">
          <cell r="B428" t="str">
            <v xml:space="preserve"> </v>
          </cell>
          <cell r="C428" t="str">
            <v xml:space="preserve"> </v>
          </cell>
          <cell r="D428" t="str">
            <v xml:space="preserve"> </v>
          </cell>
          <cell r="E428" t="str">
            <v xml:space="preserve"> </v>
          </cell>
          <cell r="F428" t="str">
            <v xml:space="preserve"> </v>
          </cell>
          <cell r="G428" t="str">
            <v xml:space="preserve"> </v>
          </cell>
          <cell r="H428" t="str">
            <v xml:space="preserve"> </v>
          </cell>
          <cell r="I428" t="str">
            <v xml:space="preserve"> </v>
          </cell>
          <cell r="J428" t="str">
            <v xml:space="preserve"> </v>
          </cell>
          <cell r="K428" t="str">
            <v xml:space="preserve"> </v>
          </cell>
          <cell r="L428" t="str">
            <v xml:space="preserve"> </v>
          </cell>
          <cell r="M428" t="str">
            <v xml:space="preserve"> </v>
          </cell>
        </row>
        <row r="429">
          <cell r="B429" t="str">
            <v xml:space="preserve"> </v>
          </cell>
          <cell r="C429" t="str">
            <v xml:space="preserve"> </v>
          </cell>
          <cell r="D429" t="str">
            <v xml:space="preserve"> </v>
          </cell>
          <cell r="E429" t="str">
            <v xml:space="preserve"> </v>
          </cell>
          <cell r="F429" t="str">
            <v xml:space="preserve"> </v>
          </cell>
          <cell r="G429" t="str">
            <v xml:space="preserve"> </v>
          </cell>
          <cell r="H429" t="str">
            <v xml:space="preserve"> </v>
          </cell>
          <cell r="I429" t="str">
            <v xml:space="preserve"> </v>
          </cell>
          <cell r="J429" t="str">
            <v xml:space="preserve"> </v>
          </cell>
          <cell r="K429" t="str">
            <v xml:space="preserve"> </v>
          </cell>
          <cell r="L429" t="str">
            <v xml:space="preserve"> </v>
          </cell>
          <cell r="M429" t="str">
            <v xml:space="preserve"> </v>
          </cell>
        </row>
        <row r="430">
          <cell r="B430" t="str">
            <v xml:space="preserve"> </v>
          </cell>
          <cell r="C430" t="str">
            <v xml:space="preserve"> </v>
          </cell>
          <cell r="D430" t="str">
            <v xml:space="preserve"> </v>
          </cell>
          <cell r="E430" t="str">
            <v xml:space="preserve"> </v>
          </cell>
          <cell r="F430" t="str">
            <v xml:space="preserve"> </v>
          </cell>
          <cell r="G430" t="str">
            <v xml:space="preserve"> </v>
          </cell>
          <cell r="H430" t="str">
            <v xml:space="preserve"> </v>
          </cell>
          <cell r="I430" t="str">
            <v xml:space="preserve"> </v>
          </cell>
          <cell r="J430" t="str">
            <v xml:space="preserve"> </v>
          </cell>
          <cell r="K430" t="str">
            <v xml:space="preserve"> </v>
          </cell>
          <cell r="L430" t="str">
            <v xml:space="preserve"> </v>
          </cell>
          <cell r="M430" t="str">
            <v xml:space="preserve"> </v>
          </cell>
        </row>
        <row r="431">
          <cell r="B431" t="str">
            <v xml:space="preserve"> </v>
          </cell>
          <cell r="C431" t="str">
            <v xml:space="preserve"> </v>
          </cell>
          <cell r="D431" t="str">
            <v xml:space="preserve"> </v>
          </cell>
          <cell r="E431" t="str">
            <v xml:space="preserve"> </v>
          </cell>
          <cell r="F431" t="str">
            <v xml:space="preserve"> </v>
          </cell>
          <cell r="G431" t="str">
            <v xml:space="preserve"> </v>
          </cell>
          <cell r="H431" t="str">
            <v xml:space="preserve"> </v>
          </cell>
          <cell r="I431" t="str">
            <v xml:space="preserve"> </v>
          </cell>
          <cell r="J431" t="str">
            <v xml:space="preserve"> </v>
          </cell>
          <cell r="K431" t="str">
            <v xml:space="preserve"> </v>
          </cell>
          <cell r="L431" t="str">
            <v xml:space="preserve"> </v>
          </cell>
          <cell r="M431" t="str">
            <v xml:space="preserve"> </v>
          </cell>
        </row>
        <row r="432">
          <cell r="B432" t="str">
            <v xml:space="preserve"> </v>
          </cell>
          <cell r="C432" t="str">
            <v xml:space="preserve"> </v>
          </cell>
          <cell r="D432" t="str">
            <v xml:space="preserve"> </v>
          </cell>
          <cell r="E432" t="str">
            <v xml:space="preserve"> </v>
          </cell>
          <cell r="F432" t="str">
            <v xml:space="preserve"> </v>
          </cell>
          <cell r="G432" t="str">
            <v xml:space="preserve"> </v>
          </cell>
          <cell r="H432" t="str">
            <v xml:space="preserve"> </v>
          </cell>
          <cell r="I432" t="str">
            <v xml:space="preserve"> </v>
          </cell>
          <cell r="J432" t="str">
            <v xml:space="preserve"> </v>
          </cell>
          <cell r="K432" t="str">
            <v xml:space="preserve"> </v>
          </cell>
          <cell r="L432" t="str">
            <v xml:space="preserve"> </v>
          </cell>
          <cell r="M432" t="str">
            <v xml:space="preserve"> </v>
          </cell>
        </row>
        <row r="433">
          <cell r="B433" t="str">
            <v xml:space="preserve"> </v>
          </cell>
          <cell r="C433" t="str">
            <v xml:space="preserve"> </v>
          </cell>
          <cell r="D433" t="str">
            <v xml:space="preserve"> </v>
          </cell>
          <cell r="E433" t="str">
            <v xml:space="preserve"> </v>
          </cell>
          <cell r="F433" t="str">
            <v xml:space="preserve"> </v>
          </cell>
          <cell r="G433" t="str">
            <v xml:space="preserve"> </v>
          </cell>
          <cell r="H433" t="str">
            <v xml:space="preserve"> </v>
          </cell>
          <cell r="I433" t="str">
            <v xml:space="preserve"> </v>
          </cell>
          <cell r="J433" t="str">
            <v xml:space="preserve"> </v>
          </cell>
          <cell r="K433" t="str">
            <v xml:space="preserve"> </v>
          </cell>
          <cell r="L433" t="str">
            <v xml:space="preserve"> </v>
          </cell>
          <cell r="M433" t="str">
            <v xml:space="preserve"> </v>
          </cell>
        </row>
        <row r="434">
          <cell r="B434" t="str">
            <v xml:space="preserve"> </v>
          </cell>
          <cell r="C434" t="str">
            <v xml:space="preserve"> </v>
          </cell>
          <cell r="D434" t="str">
            <v xml:space="preserve"> </v>
          </cell>
          <cell r="E434" t="str">
            <v xml:space="preserve"> </v>
          </cell>
          <cell r="F434" t="str">
            <v xml:space="preserve"> </v>
          </cell>
          <cell r="G434" t="str">
            <v xml:space="preserve"> </v>
          </cell>
          <cell r="H434" t="str">
            <v xml:space="preserve"> </v>
          </cell>
          <cell r="I434" t="str">
            <v xml:space="preserve"> </v>
          </cell>
          <cell r="J434" t="str">
            <v xml:space="preserve"> </v>
          </cell>
          <cell r="K434" t="str">
            <v xml:space="preserve"> </v>
          </cell>
          <cell r="L434" t="str">
            <v xml:space="preserve"> </v>
          </cell>
          <cell r="M434" t="str">
            <v xml:space="preserve"> </v>
          </cell>
        </row>
        <row r="435">
          <cell r="B435" t="str">
            <v xml:space="preserve"> </v>
          </cell>
          <cell r="C435" t="str">
            <v xml:space="preserve"> </v>
          </cell>
          <cell r="D435" t="str">
            <v xml:space="preserve"> </v>
          </cell>
          <cell r="E435" t="str">
            <v xml:space="preserve"> </v>
          </cell>
          <cell r="F435" t="str">
            <v xml:space="preserve"> </v>
          </cell>
          <cell r="G435" t="str">
            <v xml:space="preserve"> </v>
          </cell>
          <cell r="H435" t="str">
            <v xml:space="preserve"> </v>
          </cell>
          <cell r="I435" t="str">
            <v xml:space="preserve"> </v>
          </cell>
          <cell r="J435" t="str">
            <v xml:space="preserve"> </v>
          </cell>
          <cell r="K435" t="str">
            <v xml:space="preserve"> </v>
          </cell>
          <cell r="L435" t="str">
            <v xml:space="preserve"> </v>
          </cell>
          <cell r="M435" t="str">
            <v xml:space="preserve"> </v>
          </cell>
        </row>
        <row r="436">
          <cell r="B436" t="str">
            <v xml:space="preserve"> </v>
          </cell>
          <cell r="C436" t="str">
            <v xml:space="preserve"> </v>
          </cell>
          <cell r="D436" t="str">
            <v xml:space="preserve"> </v>
          </cell>
          <cell r="E436" t="str">
            <v xml:space="preserve"> </v>
          </cell>
          <cell r="F436" t="str">
            <v xml:space="preserve"> </v>
          </cell>
          <cell r="G436" t="str">
            <v xml:space="preserve"> </v>
          </cell>
          <cell r="H436" t="str">
            <v xml:space="preserve"> </v>
          </cell>
          <cell r="I436" t="str">
            <v xml:space="preserve"> </v>
          </cell>
          <cell r="J436" t="str">
            <v xml:space="preserve"> </v>
          </cell>
          <cell r="K436" t="str">
            <v xml:space="preserve"> </v>
          </cell>
          <cell r="L436" t="str">
            <v xml:space="preserve"> </v>
          </cell>
          <cell r="M436" t="str">
            <v xml:space="preserve"> </v>
          </cell>
        </row>
        <row r="437">
          <cell r="B437" t="str">
            <v xml:space="preserve"> </v>
          </cell>
          <cell r="C437" t="str">
            <v xml:space="preserve"> </v>
          </cell>
          <cell r="D437" t="str">
            <v xml:space="preserve"> </v>
          </cell>
          <cell r="E437" t="str">
            <v xml:space="preserve"> </v>
          </cell>
          <cell r="F437" t="str">
            <v xml:space="preserve"> </v>
          </cell>
          <cell r="G437" t="str">
            <v xml:space="preserve"> </v>
          </cell>
          <cell r="H437" t="str">
            <v xml:space="preserve"> </v>
          </cell>
          <cell r="I437" t="str">
            <v xml:space="preserve"> </v>
          </cell>
          <cell r="J437" t="str">
            <v xml:space="preserve"> </v>
          </cell>
          <cell r="K437" t="str">
            <v xml:space="preserve"> </v>
          </cell>
          <cell r="L437" t="str">
            <v xml:space="preserve"> </v>
          </cell>
          <cell r="M437" t="str">
            <v xml:space="preserve"> </v>
          </cell>
        </row>
        <row r="438">
          <cell r="B438" t="str">
            <v xml:space="preserve"> </v>
          </cell>
          <cell r="C438" t="str">
            <v xml:space="preserve"> </v>
          </cell>
          <cell r="D438" t="str">
            <v xml:space="preserve"> </v>
          </cell>
          <cell r="E438" t="str">
            <v xml:space="preserve"> </v>
          </cell>
          <cell r="F438" t="str">
            <v xml:space="preserve"> </v>
          </cell>
          <cell r="G438" t="str">
            <v xml:space="preserve"> </v>
          </cell>
          <cell r="H438" t="str">
            <v xml:space="preserve"> </v>
          </cell>
          <cell r="I438" t="str">
            <v xml:space="preserve"> </v>
          </cell>
          <cell r="J438" t="str">
            <v xml:space="preserve"> </v>
          </cell>
          <cell r="K438" t="str">
            <v xml:space="preserve"> </v>
          </cell>
          <cell r="L438" t="str">
            <v xml:space="preserve"> </v>
          </cell>
          <cell r="M438" t="str">
            <v xml:space="preserve"> </v>
          </cell>
        </row>
        <row r="439">
          <cell r="B439" t="str">
            <v xml:space="preserve"> </v>
          </cell>
          <cell r="C439" t="str">
            <v xml:space="preserve"> </v>
          </cell>
          <cell r="D439" t="str">
            <v xml:space="preserve"> </v>
          </cell>
          <cell r="E439" t="str">
            <v xml:space="preserve"> </v>
          </cell>
          <cell r="F439" t="str">
            <v xml:space="preserve"> </v>
          </cell>
          <cell r="G439" t="str">
            <v xml:space="preserve"> </v>
          </cell>
          <cell r="H439" t="str">
            <v xml:space="preserve"> </v>
          </cell>
          <cell r="I439" t="str">
            <v xml:space="preserve"> </v>
          </cell>
          <cell r="J439" t="str">
            <v xml:space="preserve"> </v>
          </cell>
          <cell r="K439" t="str">
            <v xml:space="preserve"> </v>
          </cell>
          <cell r="L439" t="str">
            <v xml:space="preserve"> </v>
          </cell>
          <cell r="M439" t="str">
            <v xml:space="preserve"> </v>
          </cell>
        </row>
        <row r="440">
          <cell r="B440" t="str">
            <v xml:space="preserve"> </v>
          </cell>
          <cell r="C440" t="str">
            <v xml:space="preserve"> </v>
          </cell>
          <cell r="D440" t="str">
            <v xml:space="preserve"> </v>
          </cell>
          <cell r="E440" t="str">
            <v xml:space="preserve"> </v>
          </cell>
          <cell r="F440" t="str">
            <v xml:space="preserve"> </v>
          </cell>
          <cell r="G440" t="str">
            <v xml:space="preserve"> </v>
          </cell>
          <cell r="H440" t="str">
            <v xml:space="preserve"> </v>
          </cell>
          <cell r="I440" t="str">
            <v xml:space="preserve"> </v>
          </cell>
          <cell r="J440" t="str">
            <v xml:space="preserve"> </v>
          </cell>
          <cell r="K440" t="str">
            <v xml:space="preserve"> </v>
          </cell>
          <cell r="L440" t="str">
            <v xml:space="preserve"> </v>
          </cell>
          <cell r="M440" t="str">
            <v xml:space="preserve"> </v>
          </cell>
        </row>
        <row r="441">
          <cell r="B441" t="str">
            <v xml:space="preserve"> </v>
          </cell>
          <cell r="C441" t="str">
            <v xml:space="preserve"> </v>
          </cell>
          <cell r="D441" t="str">
            <v xml:space="preserve"> </v>
          </cell>
          <cell r="E441" t="str">
            <v xml:space="preserve"> </v>
          </cell>
          <cell r="F441" t="str">
            <v xml:space="preserve"> </v>
          </cell>
          <cell r="G441" t="str">
            <v xml:space="preserve"> </v>
          </cell>
          <cell r="H441" t="str">
            <v xml:space="preserve"> </v>
          </cell>
          <cell r="I441" t="str">
            <v xml:space="preserve"> </v>
          </cell>
          <cell r="J441" t="str">
            <v xml:space="preserve"> </v>
          </cell>
          <cell r="K441" t="str">
            <v xml:space="preserve"> </v>
          </cell>
          <cell r="L441" t="str">
            <v xml:space="preserve"> </v>
          </cell>
          <cell r="M441" t="str">
            <v xml:space="preserve"> </v>
          </cell>
        </row>
        <row r="442">
          <cell r="B442" t="str">
            <v xml:space="preserve"> </v>
          </cell>
          <cell r="C442" t="str">
            <v xml:space="preserve"> </v>
          </cell>
          <cell r="D442" t="str">
            <v xml:space="preserve"> </v>
          </cell>
          <cell r="E442" t="str">
            <v xml:space="preserve"> </v>
          </cell>
          <cell r="F442" t="str">
            <v xml:space="preserve"> </v>
          </cell>
          <cell r="G442" t="str">
            <v xml:space="preserve"> </v>
          </cell>
          <cell r="H442" t="str">
            <v xml:space="preserve"> </v>
          </cell>
          <cell r="I442" t="str">
            <v xml:space="preserve"> </v>
          </cell>
          <cell r="J442" t="str">
            <v xml:space="preserve"> </v>
          </cell>
          <cell r="K442" t="str">
            <v xml:space="preserve"> </v>
          </cell>
          <cell r="L442" t="str">
            <v xml:space="preserve"> </v>
          </cell>
          <cell r="M442" t="str">
            <v xml:space="preserve"> </v>
          </cell>
        </row>
        <row r="443">
          <cell r="B443" t="str">
            <v xml:space="preserve"> </v>
          </cell>
          <cell r="C443" t="str">
            <v xml:space="preserve"> </v>
          </cell>
          <cell r="D443" t="str">
            <v xml:space="preserve"> </v>
          </cell>
          <cell r="E443" t="str">
            <v xml:space="preserve"> </v>
          </cell>
          <cell r="F443" t="str">
            <v xml:space="preserve"> </v>
          </cell>
          <cell r="G443" t="str">
            <v xml:space="preserve"> </v>
          </cell>
          <cell r="H443" t="str">
            <v xml:space="preserve"> </v>
          </cell>
          <cell r="I443" t="str">
            <v xml:space="preserve"> </v>
          </cell>
          <cell r="J443" t="str">
            <v xml:space="preserve"> </v>
          </cell>
          <cell r="K443" t="str">
            <v xml:space="preserve"> </v>
          </cell>
          <cell r="L443" t="str">
            <v xml:space="preserve"> </v>
          </cell>
          <cell r="M443" t="str">
            <v xml:space="preserve"> </v>
          </cell>
        </row>
        <row r="444">
          <cell r="B444" t="str">
            <v xml:space="preserve"> </v>
          </cell>
          <cell r="C444" t="str">
            <v xml:space="preserve"> </v>
          </cell>
          <cell r="D444" t="str">
            <v xml:space="preserve"> </v>
          </cell>
          <cell r="E444" t="str">
            <v xml:space="preserve"> </v>
          </cell>
          <cell r="F444" t="str">
            <v xml:space="preserve"> </v>
          </cell>
          <cell r="G444" t="str">
            <v xml:space="preserve"> </v>
          </cell>
          <cell r="H444" t="str">
            <v xml:space="preserve"> </v>
          </cell>
          <cell r="I444" t="str">
            <v xml:space="preserve"> </v>
          </cell>
          <cell r="J444" t="str">
            <v xml:space="preserve"> </v>
          </cell>
          <cell r="K444" t="str">
            <v xml:space="preserve"> </v>
          </cell>
          <cell r="L444" t="str">
            <v xml:space="preserve"> </v>
          </cell>
          <cell r="M444" t="str">
            <v xml:space="preserve"> </v>
          </cell>
        </row>
        <row r="445">
          <cell r="B445" t="str">
            <v xml:space="preserve"> </v>
          </cell>
          <cell r="C445" t="str">
            <v xml:space="preserve"> </v>
          </cell>
          <cell r="D445" t="str">
            <v xml:space="preserve"> </v>
          </cell>
          <cell r="E445" t="str">
            <v xml:space="preserve"> </v>
          </cell>
          <cell r="F445" t="str">
            <v xml:space="preserve"> </v>
          </cell>
          <cell r="G445" t="str">
            <v xml:space="preserve"> </v>
          </cell>
          <cell r="H445" t="str">
            <v xml:space="preserve"> </v>
          </cell>
          <cell r="I445" t="str">
            <v xml:space="preserve"> </v>
          </cell>
          <cell r="J445" t="str">
            <v xml:space="preserve"> </v>
          </cell>
          <cell r="K445" t="str">
            <v xml:space="preserve"> </v>
          </cell>
          <cell r="L445" t="str">
            <v xml:space="preserve"> </v>
          </cell>
          <cell r="M445" t="str">
            <v xml:space="preserve"> </v>
          </cell>
        </row>
        <row r="446">
          <cell r="B446" t="str">
            <v xml:space="preserve"> </v>
          </cell>
          <cell r="C446" t="str">
            <v xml:space="preserve"> </v>
          </cell>
          <cell r="D446" t="str">
            <v xml:space="preserve"> </v>
          </cell>
          <cell r="E446" t="str">
            <v xml:space="preserve"> </v>
          </cell>
          <cell r="F446" t="str">
            <v xml:space="preserve"> </v>
          </cell>
          <cell r="G446" t="str">
            <v xml:space="preserve"> </v>
          </cell>
          <cell r="H446" t="str">
            <v xml:space="preserve"> </v>
          </cell>
          <cell r="I446" t="str">
            <v xml:space="preserve"> </v>
          </cell>
          <cell r="J446" t="str">
            <v xml:space="preserve"> </v>
          </cell>
          <cell r="K446" t="str">
            <v xml:space="preserve"> </v>
          </cell>
          <cell r="L446" t="str">
            <v xml:space="preserve"> </v>
          </cell>
          <cell r="M446" t="str">
            <v xml:space="preserve"> </v>
          </cell>
        </row>
        <row r="447">
          <cell r="B447" t="str">
            <v xml:space="preserve"> </v>
          </cell>
          <cell r="C447" t="str">
            <v xml:space="preserve"> </v>
          </cell>
          <cell r="D447" t="str">
            <v xml:space="preserve"> </v>
          </cell>
          <cell r="E447" t="str">
            <v xml:space="preserve"> </v>
          </cell>
          <cell r="F447" t="str">
            <v xml:space="preserve"> </v>
          </cell>
          <cell r="G447" t="str">
            <v xml:space="preserve"> </v>
          </cell>
          <cell r="H447" t="str">
            <v xml:space="preserve"> </v>
          </cell>
          <cell r="I447" t="str">
            <v xml:space="preserve"> </v>
          </cell>
          <cell r="J447" t="str">
            <v xml:space="preserve"> </v>
          </cell>
          <cell r="K447" t="str">
            <v xml:space="preserve"> </v>
          </cell>
          <cell r="L447" t="str">
            <v xml:space="preserve"> </v>
          </cell>
          <cell r="M447" t="str">
            <v xml:space="preserve"> </v>
          </cell>
        </row>
        <row r="448">
          <cell r="B448" t="str">
            <v xml:space="preserve"> </v>
          </cell>
          <cell r="C448" t="str">
            <v xml:space="preserve"> </v>
          </cell>
          <cell r="D448" t="str">
            <v xml:space="preserve"> </v>
          </cell>
          <cell r="E448" t="str">
            <v xml:space="preserve"> </v>
          </cell>
          <cell r="F448" t="str">
            <v xml:space="preserve"> </v>
          </cell>
          <cell r="G448" t="str">
            <v xml:space="preserve"> </v>
          </cell>
          <cell r="H448" t="str">
            <v xml:space="preserve"> </v>
          </cell>
          <cell r="I448" t="str">
            <v xml:space="preserve"> </v>
          </cell>
          <cell r="J448" t="str">
            <v xml:space="preserve"> </v>
          </cell>
          <cell r="K448" t="str">
            <v xml:space="preserve"> </v>
          </cell>
          <cell r="L448" t="str">
            <v xml:space="preserve"> </v>
          </cell>
          <cell r="M448" t="str">
            <v xml:space="preserve"> </v>
          </cell>
        </row>
        <row r="449">
          <cell r="B449" t="str">
            <v xml:space="preserve"> </v>
          </cell>
          <cell r="C449" t="str">
            <v xml:space="preserve"> </v>
          </cell>
          <cell r="D449" t="str">
            <v xml:space="preserve"> </v>
          </cell>
          <cell r="E449" t="str">
            <v xml:space="preserve"> </v>
          </cell>
          <cell r="F449" t="str">
            <v xml:space="preserve"> </v>
          </cell>
          <cell r="G449" t="str">
            <v xml:space="preserve"> </v>
          </cell>
          <cell r="H449" t="str">
            <v xml:space="preserve"> </v>
          </cell>
          <cell r="I449" t="str">
            <v xml:space="preserve"> </v>
          </cell>
          <cell r="J449" t="str">
            <v xml:space="preserve"> </v>
          </cell>
          <cell r="K449" t="str">
            <v xml:space="preserve"> </v>
          </cell>
          <cell r="L449" t="str">
            <v xml:space="preserve"> </v>
          </cell>
          <cell r="M449" t="str">
            <v xml:space="preserve"> </v>
          </cell>
        </row>
        <row r="450">
          <cell r="B450" t="str">
            <v xml:space="preserve"> </v>
          </cell>
          <cell r="C450" t="str">
            <v xml:space="preserve"> </v>
          </cell>
          <cell r="D450" t="str">
            <v xml:space="preserve"> </v>
          </cell>
          <cell r="E450" t="str">
            <v xml:space="preserve"> </v>
          </cell>
          <cell r="F450" t="str">
            <v xml:space="preserve"> </v>
          </cell>
          <cell r="G450" t="str">
            <v xml:space="preserve"> </v>
          </cell>
          <cell r="H450" t="str">
            <v xml:space="preserve"> </v>
          </cell>
          <cell r="I450" t="str">
            <v xml:space="preserve"> </v>
          </cell>
          <cell r="J450" t="str">
            <v xml:space="preserve"> </v>
          </cell>
          <cell r="K450" t="str">
            <v xml:space="preserve"> </v>
          </cell>
          <cell r="L450" t="str">
            <v xml:space="preserve"> </v>
          </cell>
          <cell r="M450" t="str">
            <v xml:space="preserve"> </v>
          </cell>
        </row>
        <row r="451">
          <cell r="B451" t="str">
            <v xml:space="preserve"> </v>
          </cell>
          <cell r="C451" t="str">
            <v xml:space="preserve"> </v>
          </cell>
          <cell r="D451" t="str">
            <v xml:space="preserve"> </v>
          </cell>
          <cell r="E451" t="str">
            <v xml:space="preserve"> </v>
          </cell>
          <cell r="F451" t="str">
            <v xml:space="preserve"> </v>
          </cell>
          <cell r="G451" t="str">
            <v xml:space="preserve"> </v>
          </cell>
          <cell r="H451" t="str">
            <v xml:space="preserve"> </v>
          </cell>
          <cell r="I451" t="str">
            <v xml:space="preserve"> </v>
          </cell>
          <cell r="J451" t="str">
            <v xml:space="preserve"> </v>
          </cell>
          <cell r="K451" t="str">
            <v xml:space="preserve"> </v>
          </cell>
          <cell r="L451" t="str">
            <v xml:space="preserve"> </v>
          </cell>
          <cell r="M451" t="str">
            <v xml:space="preserve"> </v>
          </cell>
        </row>
        <row r="452">
          <cell r="B452" t="str">
            <v xml:space="preserve"> </v>
          </cell>
          <cell r="C452" t="str">
            <v xml:space="preserve"> </v>
          </cell>
          <cell r="D452" t="str">
            <v xml:space="preserve"> </v>
          </cell>
          <cell r="E452" t="str">
            <v xml:space="preserve"> </v>
          </cell>
          <cell r="F452" t="str">
            <v xml:space="preserve"> </v>
          </cell>
          <cell r="G452" t="str">
            <v xml:space="preserve"> </v>
          </cell>
          <cell r="H452" t="str">
            <v xml:space="preserve"> </v>
          </cell>
          <cell r="I452" t="str">
            <v xml:space="preserve"> </v>
          </cell>
          <cell r="J452" t="str">
            <v xml:space="preserve"> </v>
          </cell>
          <cell r="K452" t="str">
            <v xml:space="preserve"> </v>
          </cell>
          <cell r="L452" t="str">
            <v xml:space="preserve"> </v>
          </cell>
          <cell r="M452" t="str">
            <v xml:space="preserve"> </v>
          </cell>
        </row>
        <row r="453">
          <cell r="B453" t="str">
            <v xml:space="preserve"> </v>
          </cell>
          <cell r="C453" t="str">
            <v xml:space="preserve"> </v>
          </cell>
          <cell r="D453" t="str">
            <v xml:space="preserve"> </v>
          </cell>
          <cell r="E453" t="str">
            <v xml:space="preserve"> </v>
          </cell>
          <cell r="F453" t="str">
            <v xml:space="preserve"> </v>
          </cell>
          <cell r="G453" t="str">
            <v xml:space="preserve"> </v>
          </cell>
          <cell r="H453" t="str">
            <v xml:space="preserve"> </v>
          </cell>
          <cell r="I453" t="str">
            <v xml:space="preserve"> </v>
          </cell>
          <cell r="J453" t="str">
            <v xml:space="preserve"> </v>
          </cell>
          <cell r="K453" t="str">
            <v xml:space="preserve"> </v>
          </cell>
          <cell r="L453" t="str">
            <v xml:space="preserve"> </v>
          </cell>
          <cell r="M453" t="str">
            <v xml:space="preserve"> </v>
          </cell>
        </row>
        <row r="454">
          <cell r="B454" t="str">
            <v xml:space="preserve"> </v>
          </cell>
          <cell r="C454" t="str">
            <v xml:space="preserve"> </v>
          </cell>
          <cell r="D454" t="str">
            <v xml:space="preserve"> </v>
          </cell>
          <cell r="E454" t="str">
            <v xml:space="preserve"> </v>
          </cell>
          <cell r="F454" t="str">
            <v xml:space="preserve"> </v>
          </cell>
          <cell r="G454" t="str">
            <v xml:space="preserve"> </v>
          </cell>
          <cell r="H454" t="str">
            <v xml:space="preserve"> </v>
          </cell>
          <cell r="I454" t="str">
            <v xml:space="preserve"> </v>
          </cell>
          <cell r="J454" t="str">
            <v xml:space="preserve"> </v>
          </cell>
          <cell r="K454" t="str">
            <v xml:space="preserve"> </v>
          </cell>
          <cell r="L454" t="str">
            <v xml:space="preserve"> </v>
          </cell>
          <cell r="M454" t="str">
            <v xml:space="preserve"> </v>
          </cell>
        </row>
        <row r="455">
          <cell r="B455" t="str">
            <v xml:space="preserve"> </v>
          </cell>
          <cell r="C455" t="str">
            <v xml:space="preserve"> </v>
          </cell>
          <cell r="D455" t="str">
            <v xml:space="preserve"> </v>
          </cell>
          <cell r="E455" t="str">
            <v xml:space="preserve"> </v>
          </cell>
          <cell r="F455" t="str">
            <v xml:space="preserve"> </v>
          </cell>
          <cell r="G455" t="str">
            <v xml:space="preserve"> </v>
          </cell>
          <cell r="H455" t="str">
            <v xml:space="preserve"> </v>
          </cell>
          <cell r="I455" t="str">
            <v xml:space="preserve"> </v>
          </cell>
          <cell r="J455" t="str">
            <v xml:space="preserve"> </v>
          </cell>
          <cell r="K455" t="str">
            <v xml:space="preserve"> </v>
          </cell>
          <cell r="L455" t="str">
            <v xml:space="preserve"> </v>
          </cell>
          <cell r="M455" t="str">
            <v xml:space="preserve"> </v>
          </cell>
        </row>
        <row r="456">
          <cell r="B456" t="str">
            <v xml:space="preserve"> </v>
          </cell>
          <cell r="C456" t="str">
            <v xml:space="preserve"> </v>
          </cell>
          <cell r="D456" t="str">
            <v xml:space="preserve"> </v>
          </cell>
          <cell r="E456" t="str">
            <v xml:space="preserve"> </v>
          </cell>
          <cell r="F456" t="str">
            <v xml:space="preserve"> </v>
          </cell>
          <cell r="G456" t="str">
            <v xml:space="preserve"> </v>
          </cell>
          <cell r="H456" t="str">
            <v xml:space="preserve"> </v>
          </cell>
          <cell r="I456" t="str">
            <v xml:space="preserve"> </v>
          </cell>
          <cell r="J456" t="str">
            <v xml:space="preserve"> </v>
          </cell>
          <cell r="K456" t="str">
            <v xml:space="preserve"> </v>
          </cell>
          <cell r="L456" t="str">
            <v xml:space="preserve"> </v>
          </cell>
          <cell r="M456" t="str">
            <v xml:space="preserve"> </v>
          </cell>
        </row>
        <row r="457">
          <cell r="B457" t="str">
            <v xml:space="preserve"> </v>
          </cell>
          <cell r="C457" t="str">
            <v xml:space="preserve"> </v>
          </cell>
          <cell r="D457" t="str">
            <v xml:space="preserve"> </v>
          </cell>
          <cell r="E457" t="str">
            <v xml:space="preserve"> </v>
          </cell>
          <cell r="F457" t="str">
            <v xml:space="preserve"> </v>
          </cell>
          <cell r="G457" t="str">
            <v xml:space="preserve"> </v>
          </cell>
          <cell r="H457" t="str">
            <v xml:space="preserve"> </v>
          </cell>
          <cell r="I457" t="str">
            <v xml:space="preserve"> </v>
          </cell>
          <cell r="J457" t="str">
            <v xml:space="preserve"> </v>
          </cell>
          <cell r="K457" t="str">
            <v xml:space="preserve"> </v>
          </cell>
          <cell r="L457" t="str">
            <v xml:space="preserve"> </v>
          </cell>
          <cell r="M457" t="str">
            <v xml:space="preserve"> </v>
          </cell>
        </row>
        <row r="458">
          <cell r="B458" t="str">
            <v xml:space="preserve"> </v>
          </cell>
          <cell r="C458" t="str">
            <v xml:space="preserve"> </v>
          </cell>
          <cell r="D458" t="str">
            <v xml:space="preserve"> </v>
          </cell>
          <cell r="E458" t="str">
            <v xml:space="preserve"> </v>
          </cell>
          <cell r="F458" t="str">
            <v xml:space="preserve"> </v>
          </cell>
          <cell r="G458" t="str">
            <v xml:space="preserve"> </v>
          </cell>
          <cell r="H458" t="str">
            <v xml:space="preserve"> </v>
          </cell>
          <cell r="I458" t="str">
            <v xml:space="preserve"> </v>
          </cell>
          <cell r="J458" t="str">
            <v xml:space="preserve"> </v>
          </cell>
          <cell r="K458" t="str">
            <v xml:space="preserve"> </v>
          </cell>
          <cell r="L458" t="str">
            <v xml:space="preserve"> </v>
          </cell>
          <cell r="M458" t="str">
            <v xml:space="preserve"> </v>
          </cell>
        </row>
        <row r="459">
          <cell r="B459" t="str">
            <v xml:space="preserve"> </v>
          </cell>
          <cell r="C459" t="str">
            <v xml:space="preserve"> </v>
          </cell>
          <cell r="D459" t="str">
            <v xml:space="preserve"> </v>
          </cell>
          <cell r="E459" t="str">
            <v xml:space="preserve"> </v>
          </cell>
          <cell r="F459" t="str">
            <v xml:space="preserve"> </v>
          </cell>
          <cell r="G459" t="str">
            <v xml:space="preserve"> </v>
          </cell>
          <cell r="H459" t="str">
            <v xml:space="preserve"> </v>
          </cell>
          <cell r="I459" t="str">
            <v xml:space="preserve"> </v>
          </cell>
          <cell r="J459" t="str">
            <v xml:space="preserve"> </v>
          </cell>
          <cell r="K459" t="str">
            <v xml:space="preserve"> </v>
          </cell>
          <cell r="L459" t="str">
            <v xml:space="preserve"> </v>
          </cell>
          <cell r="M459" t="str">
            <v xml:space="preserve"> </v>
          </cell>
        </row>
        <row r="460">
          <cell r="B460" t="str">
            <v xml:space="preserve"> </v>
          </cell>
          <cell r="C460" t="str">
            <v xml:space="preserve"> </v>
          </cell>
          <cell r="D460" t="str">
            <v xml:space="preserve"> </v>
          </cell>
          <cell r="E460" t="str">
            <v xml:space="preserve"> </v>
          </cell>
          <cell r="F460" t="str">
            <v xml:space="preserve"> </v>
          </cell>
          <cell r="G460" t="str">
            <v xml:space="preserve"> </v>
          </cell>
          <cell r="H460" t="str">
            <v xml:space="preserve"> </v>
          </cell>
          <cell r="I460" t="str">
            <v xml:space="preserve"> </v>
          </cell>
          <cell r="J460" t="str">
            <v xml:space="preserve"> </v>
          </cell>
          <cell r="K460" t="str">
            <v xml:space="preserve"> </v>
          </cell>
          <cell r="L460" t="str">
            <v xml:space="preserve"> </v>
          </cell>
          <cell r="M460" t="str">
            <v xml:space="preserve"> </v>
          </cell>
        </row>
        <row r="461">
          <cell r="B461" t="str">
            <v xml:space="preserve"> </v>
          </cell>
          <cell r="C461" t="str">
            <v xml:space="preserve"> </v>
          </cell>
          <cell r="D461" t="str">
            <v xml:space="preserve"> </v>
          </cell>
          <cell r="E461" t="str">
            <v xml:space="preserve"> </v>
          </cell>
          <cell r="F461" t="str">
            <v xml:space="preserve"> </v>
          </cell>
          <cell r="G461" t="str">
            <v xml:space="preserve"> </v>
          </cell>
          <cell r="H461" t="str">
            <v xml:space="preserve"> </v>
          </cell>
          <cell r="I461" t="str">
            <v xml:space="preserve"> </v>
          </cell>
          <cell r="J461" t="str">
            <v xml:space="preserve"> </v>
          </cell>
          <cell r="K461" t="str">
            <v xml:space="preserve"> </v>
          </cell>
          <cell r="L461" t="str">
            <v xml:space="preserve"> </v>
          </cell>
          <cell r="M461" t="str">
            <v xml:space="preserve"> </v>
          </cell>
        </row>
        <row r="462">
          <cell r="B462" t="str">
            <v xml:space="preserve"> </v>
          </cell>
          <cell r="C462" t="str">
            <v xml:space="preserve"> </v>
          </cell>
          <cell r="D462" t="str">
            <v xml:space="preserve"> </v>
          </cell>
          <cell r="E462" t="str">
            <v xml:space="preserve"> </v>
          </cell>
          <cell r="F462" t="str">
            <v xml:space="preserve"> </v>
          </cell>
          <cell r="G462" t="str">
            <v xml:space="preserve"> </v>
          </cell>
          <cell r="H462" t="str">
            <v xml:space="preserve"> </v>
          </cell>
          <cell r="I462" t="str">
            <v xml:space="preserve"> </v>
          </cell>
          <cell r="J462" t="str">
            <v xml:space="preserve"> </v>
          </cell>
          <cell r="K462" t="str">
            <v xml:space="preserve"> </v>
          </cell>
          <cell r="L462" t="str">
            <v xml:space="preserve"> </v>
          </cell>
          <cell r="M462" t="str">
            <v xml:space="preserve"> </v>
          </cell>
        </row>
        <row r="463">
          <cell r="B463" t="str">
            <v xml:space="preserve"> </v>
          </cell>
          <cell r="C463" t="str">
            <v xml:space="preserve"> </v>
          </cell>
          <cell r="D463" t="str">
            <v xml:space="preserve"> </v>
          </cell>
          <cell r="E463" t="str">
            <v xml:space="preserve"> </v>
          </cell>
          <cell r="F463" t="str">
            <v xml:space="preserve"> </v>
          </cell>
          <cell r="G463" t="str">
            <v xml:space="preserve"> </v>
          </cell>
          <cell r="H463" t="str">
            <v xml:space="preserve"> </v>
          </cell>
          <cell r="I463" t="str">
            <v xml:space="preserve"> </v>
          </cell>
          <cell r="J463" t="str">
            <v xml:space="preserve"> </v>
          </cell>
          <cell r="K463" t="str">
            <v xml:space="preserve"> </v>
          </cell>
          <cell r="L463" t="str">
            <v xml:space="preserve"> </v>
          </cell>
          <cell r="M463" t="str">
            <v xml:space="preserve"> </v>
          </cell>
        </row>
        <row r="464">
          <cell r="B464" t="str">
            <v xml:space="preserve"> </v>
          </cell>
          <cell r="C464" t="str">
            <v xml:space="preserve"> </v>
          </cell>
          <cell r="D464" t="str">
            <v xml:space="preserve"> </v>
          </cell>
          <cell r="E464" t="str">
            <v xml:space="preserve"> </v>
          </cell>
          <cell r="F464" t="str">
            <v xml:space="preserve"> </v>
          </cell>
          <cell r="G464" t="str">
            <v xml:space="preserve"> </v>
          </cell>
          <cell r="H464" t="str">
            <v xml:space="preserve"> </v>
          </cell>
          <cell r="I464" t="str">
            <v xml:space="preserve"> </v>
          </cell>
          <cell r="J464" t="str">
            <v xml:space="preserve"> </v>
          </cell>
          <cell r="K464" t="str">
            <v xml:space="preserve"> </v>
          </cell>
          <cell r="L464" t="str">
            <v xml:space="preserve"> </v>
          </cell>
          <cell r="M464" t="str">
            <v xml:space="preserve"> </v>
          </cell>
        </row>
        <row r="465">
          <cell r="B465" t="str">
            <v xml:space="preserve"> </v>
          </cell>
          <cell r="C465" t="str">
            <v xml:space="preserve"> </v>
          </cell>
          <cell r="D465" t="str">
            <v xml:space="preserve"> </v>
          </cell>
          <cell r="E465" t="str">
            <v xml:space="preserve"> </v>
          </cell>
          <cell r="F465" t="str">
            <v xml:space="preserve"> </v>
          </cell>
          <cell r="G465" t="str">
            <v xml:space="preserve"> </v>
          </cell>
          <cell r="H465" t="str">
            <v xml:space="preserve"> </v>
          </cell>
          <cell r="I465" t="str">
            <v xml:space="preserve"> </v>
          </cell>
          <cell r="J465" t="str">
            <v xml:space="preserve"> </v>
          </cell>
          <cell r="K465" t="str">
            <v xml:space="preserve"> </v>
          </cell>
          <cell r="L465" t="str">
            <v xml:space="preserve"> </v>
          </cell>
          <cell r="M465" t="str">
            <v xml:space="preserve"> </v>
          </cell>
        </row>
        <row r="466">
          <cell r="B466" t="str">
            <v xml:space="preserve"> </v>
          </cell>
          <cell r="C466" t="str">
            <v xml:space="preserve"> </v>
          </cell>
          <cell r="D466" t="str">
            <v xml:space="preserve"> </v>
          </cell>
          <cell r="E466" t="str">
            <v xml:space="preserve"> </v>
          </cell>
          <cell r="F466" t="str">
            <v xml:space="preserve"> </v>
          </cell>
          <cell r="G466" t="str">
            <v xml:space="preserve"> </v>
          </cell>
          <cell r="H466" t="str">
            <v xml:space="preserve"> </v>
          </cell>
          <cell r="I466" t="str">
            <v xml:space="preserve"> </v>
          </cell>
          <cell r="J466" t="str">
            <v xml:space="preserve"> </v>
          </cell>
          <cell r="K466" t="str">
            <v xml:space="preserve"> </v>
          </cell>
          <cell r="L466" t="str">
            <v xml:space="preserve"> </v>
          </cell>
          <cell r="M466" t="str">
            <v xml:space="preserve"> </v>
          </cell>
        </row>
        <row r="467">
          <cell r="B467" t="str">
            <v xml:space="preserve"> </v>
          </cell>
          <cell r="C467" t="str">
            <v xml:space="preserve"> </v>
          </cell>
          <cell r="D467" t="str">
            <v xml:space="preserve"> </v>
          </cell>
          <cell r="E467" t="str">
            <v xml:space="preserve"> </v>
          </cell>
          <cell r="F467" t="str">
            <v xml:space="preserve"> </v>
          </cell>
          <cell r="G467" t="str">
            <v xml:space="preserve"> </v>
          </cell>
          <cell r="H467" t="str">
            <v xml:space="preserve"> </v>
          </cell>
          <cell r="I467" t="str">
            <v xml:space="preserve"> </v>
          </cell>
          <cell r="J467" t="str">
            <v xml:space="preserve"> </v>
          </cell>
          <cell r="K467" t="str">
            <v xml:space="preserve"> </v>
          </cell>
          <cell r="L467" t="str">
            <v xml:space="preserve"> </v>
          </cell>
          <cell r="M467" t="str">
            <v xml:space="preserve"> </v>
          </cell>
        </row>
        <row r="468">
          <cell r="B468" t="str">
            <v xml:space="preserve"> </v>
          </cell>
          <cell r="C468" t="str">
            <v xml:space="preserve"> </v>
          </cell>
          <cell r="D468" t="str">
            <v xml:space="preserve"> </v>
          </cell>
          <cell r="E468" t="str">
            <v xml:space="preserve"> </v>
          </cell>
          <cell r="F468" t="str">
            <v xml:space="preserve"> </v>
          </cell>
          <cell r="G468" t="str">
            <v xml:space="preserve"> </v>
          </cell>
          <cell r="H468" t="str">
            <v xml:space="preserve"> </v>
          </cell>
          <cell r="I468" t="str">
            <v xml:space="preserve"> </v>
          </cell>
          <cell r="J468" t="str">
            <v xml:space="preserve"> </v>
          </cell>
          <cell r="K468" t="str">
            <v xml:space="preserve"> </v>
          </cell>
          <cell r="L468" t="str">
            <v xml:space="preserve"> </v>
          </cell>
          <cell r="M468" t="str">
            <v xml:space="preserve"> </v>
          </cell>
        </row>
        <row r="469">
          <cell r="B469" t="str">
            <v xml:space="preserve"> </v>
          </cell>
          <cell r="C469" t="str">
            <v xml:space="preserve"> </v>
          </cell>
          <cell r="D469" t="str">
            <v xml:space="preserve"> </v>
          </cell>
          <cell r="E469" t="str">
            <v xml:space="preserve"> </v>
          </cell>
          <cell r="F469" t="str">
            <v xml:space="preserve"> </v>
          </cell>
          <cell r="G469" t="str">
            <v xml:space="preserve"> </v>
          </cell>
          <cell r="H469" t="str">
            <v xml:space="preserve"> </v>
          </cell>
          <cell r="I469" t="str">
            <v xml:space="preserve"> </v>
          </cell>
          <cell r="J469" t="str">
            <v xml:space="preserve"> </v>
          </cell>
          <cell r="K469" t="str">
            <v xml:space="preserve"> </v>
          </cell>
          <cell r="L469" t="str">
            <v xml:space="preserve"> </v>
          </cell>
          <cell r="M469" t="str">
            <v xml:space="preserve"> </v>
          </cell>
        </row>
        <row r="470">
          <cell r="B470" t="str">
            <v xml:space="preserve"> </v>
          </cell>
          <cell r="C470" t="str">
            <v xml:space="preserve"> </v>
          </cell>
          <cell r="D470" t="str">
            <v xml:space="preserve"> </v>
          </cell>
          <cell r="E470" t="str">
            <v xml:space="preserve"> </v>
          </cell>
          <cell r="F470" t="str">
            <v xml:space="preserve"> </v>
          </cell>
          <cell r="G470" t="str">
            <v xml:space="preserve"> </v>
          </cell>
          <cell r="H470" t="str">
            <v xml:space="preserve"> </v>
          </cell>
          <cell r="I470" t="str">
            <v xml:space="preserve"> </v>
          </cell>
          <cell r="J470" t="str">
            <v xml:space="preserve"> </v>
          </cell>
          <cell r="K470" t="str">
            <v xml:space="preserve"> </v>
          </cell>
          <cell r="L470" t="str">
            <v xml:space="preserve"> </v>
          </cell>
          <cell r="M470" t="str">
            <v xml:space="preserve"> </v>
          </cell>
        </row>
        <row r="471">
          <cell r="B471" t="str">
            <v xml:space="preserve"> </v>
          </cell>
          <cell r="C471" t="str">
            <v xml:space="preserve"> </v>
          </cell>
          <cell r="D471" t="str">
            <v xml:space="preserve"> </v>
          </cell>
          <cell r="E471" t="str">
            <v xml:space="preserve"> </v>
          </cell>
          <cell r="F471" t="str">
            <v xml:space="preserve"> </v>
          </cell>
          <cell r="G471" t="str">
            <v xml:space="preserve"> </v>
          </cell>
          <cell r="H471" t="str">
            <v xml:space="preserve"> </v>
          </cell>
          <cell r="I471" t="str">
            <v xml:space="preserve"> </v>
          </cell>
          <cell r="J471" t="str">
            <v xml:space="preserve"> </v>
          </cell>
          <cell r="K471" t="str">
            <v xml:space="preserve"> </v>
          </cell>
          <cell r="L471" t="str">
            <v xml:space="preserve"> </v>
          </cell>
          <cell r="M471" t="str">
            <v xml:space="preserve"> </v>
          </cell>
        </row>
        <row r="472">
          <cell r="B472" t="str">
            <v xml:space="preserve"> </v>
          </cell>
          <cell r="C472" t="str">
            <v xml:space="preserve"> </v>
          </cell>
          <cell r="D472" t="str">
            <v xml:space="preserve"> </v>
          </cell>
          <cell r="E472" t="str">
            <v xml:space="preserve"> </v>
          </cell>
          <cell r="F472" t="str">
            <v xml:space="preserve"> </v>
          </cell>
          <cell r="G472" t="str">
            <v xml:space="preserve"> </v>
          </cell>
          <cell r="H472" t="str">
            <v xml:space="preserve"> </v>
          </cell>
          <cell r="I472" t="str">
            <v xml:space="preserve"> </v>
          </cell>
          <cell r="J472" t="str">
            <v xml:space="preserve"> </v>
          </cell>
          <cell r="K472" t="str">
            <v xml:space="preserve"> </v>
          </cell>
          <cell r="L472" t="str">
            <v xml:space="preserve"> </v>
          </cell>
          <cell r="M472" t="str">
            <v xml:space="preserve"> </v>
          </cell>
        </row>
        <row r="473">
          <cell r="B473" t="str">
            <v xml:space="preserve"> </v>
          </cell>
          <cell r="C473" t="str">
            <v xml:space="preserve"> </v>
          </cell>
          <cell r="D473" t="str">
            <v xml:space="preserve"> </v>
          </cell>
          <cell r="E473" t="str">
            <v xml:space="preserve"> </v>
          </cell>
          <cell r="F473" t="str">
            <v xml:space="preserve"> </v>
          </cell>
          <cell r="G473" t="str">
            <v xml:space="preserve"> </v>
          </cell>
          <cell r="H473" t="str">
            <v xml:space="preserve"> </v>
          </cell>
          <cell r="I473" t="str">
            <v xml:space="preserve"> </v>
          </cell>
          <cell r="J473" t="str">
            <v xml:space="preserve"> </v>
          </cell>
          <cell r="K473" t="str">
            <v xml:space="preserve"> </v>
          </cell>
          <cell r="L473" t="str">
            <v xml:space="preserve"> </v>
          </cell>
          <cell r="M473" t="str">
            <v xml:space="preserve"> </v>
          </cell>
        </row>
        <row r="474">
          <cell r="B474" t="str">
            <v xml:space="preserve"> </v>
          </cell>
          <cell r="C474" t="str">
            <v xml:space="preserve"> </v>
          </cell>
          <cell r="D474" t="str">
            <v xml:space="preserve"> </v>
          </cell>
          <cell r="E474" t="str">
            <v xml:space="preserve"> </v>
          </cell>
          <cell r="F474" t="str">
            <v xml:space="preserve"> </v>
          </cell>
          <cell r="G474" t="str">
            <v xml:space="preserve"> </v>
          </cell>
          <cell r="H474" t="str">
            <v xml:space="preserve"> </v>
          </cell>
          <cell r="I474" t="str">
            <v xml:space="preserve"> </v>
          </cell>
          <cell r="J474" t="str">
            <v xml:space="preserve"> </v>
          </cell>
          <cell r="K474" t="str">
            <v xml:space="preserve"> </v>
          </cell>
          <cell r="L474" t="str">
            <v xml:space="preserve"> </v>
          </cell>
          <cell r="M474" t="str">
            <v xml:space="preserve"> </v>
          </cell>
        </row>
        <row r="475">
          <cell r="B475" t="str">
            <v xml:space="preserve"> </v>
          </cell>
          <cell r="C475" t="str">
            <v xml:space="preserve"> </v>
          </cell>
          <cell r="D475" t="str">
            <v xml:space="preserve"> </v>
          </cell>
          <cell r="E475" t="str">
            <v xml:space="preserve"> </v>
          </cell>
          <cell r="F475" t="str">
            <v xml:space="preserve"> </v>
          </cell>
          <cell r="G475" t="str">
            <v xml:space="preserve"> </v>
          </cell>
          <cell r="H475" t="str">
            <v xml:space="preserve"> </v>
          </cell>
          <cell r="I475" t="str">
            <v xml:space="preserve"> </v>
          </cell>
          <cell r="J475" t="str">
            <v xml:space="preserve"> </v>
          </cell>
          <cell r="K475" t="str">
            <v xml:space="preserve"> </v>
          </cell>
          <cell r="L475" t="str">
            <v xml:space="preserve"> </v>
          </cell>
          <cell r="M475" t="str">
            <v xml:space="preserve"> </v>
          </cell>
        </row>
        <row r="476">
          <cell r="B476" t="str">
            <v xml:space="preserve"> </v>
          </cell>
          <cell r="C476" t="str">
            <v xml:space="preserve"> </v>
          </cell>
          <cell r="D476" t="str">
            <v xml:space="preserve"> </v>
          </cell>
          <cell r="E476" t="str">
            <v xml:space="preserve"> </v>
          </cell>
          <cell r="F476" t="str">
            <v xml:space="preserve"> </v>
          </cell>
          <cell r="G476" t="str">
            <v xml:space="preserve"> </v>
          </cell>
          <cell r="H476" t="str">
            <v xml:space="preserve"> </v>
          </cell>
          <cell r="I476" t="str">
            <v xml:space="preserve"> </v>
          </cell>
          <cell r="J476" t="str">
            <v xml:space="preserve"> </v>
          </cell>
          <cell r="K476" t="str">
            <v xml:space="preserve"> </v>
          </cell>
          <cell r="L476" t="str">
            <v xml:space="preserve"> </v>
          </cell>
          <cell r="M476" t="str">
            <v xml:space="preserve"> </v>
          </cell>
        </row>
        <row r="477">
          <cell r="B477" t="str">
            <v xml:space="preserve"> </v>
          </cell>
          <cell r="C477" t="str">
            <v xml:space="preserve"> </v>
          </cell>
          <cell r="D477" t="str">
            <v xml:space="preserve"> </v>
          </cell>
          <cell r="E477" t="str">
            <v xml:space="preserve"> </v>
          </cell>
          <cell r="F477" t="str">
            <v xml:space="preserve"> </v>
          </cell>
          <cell r="G477" t="str">
            <v xml:space="preserve"> </v>
          </cell>
          <cell r="H477" t="str">
            <v xml:space="preserve"> </v>
          </cell>
          <cell r="I477" t="str">
            <v xml:space="preserve"> </v>
          </cell>
          <cell r="J477" t="str">
            <v xml:space="preserve"> </v>
          </cell>
          <cell r="K477" t="str">
            <v xml:space="preserve"> </v>
          </cell>
          <cell r="L477" t="str">
            <v xml:space="preserve"> </v>
          </cell>
          <cell r="M477" t="str">
            <v xml:space="preserve"> </v>
          </cell>
        </row>
        <row r="478">
          <cell r="B478" t="str">
            <v xml:space="preserve"> </v>
          </cell>
          <cell r="C478" t="str">
            <v xml:space="preserve"> </v>
          </cell>
          <cell r="D478" t="str">
            <v xml:space="preserve"> </v>
          </cell>
          <cell r="E478" t="str">
            <v xml:space="preserve"> </v>
          </cell>
          <cell r="F478" t="str">
            <v xml:space="preserve"> </v>
          </cell>
          <cell r="G478" t="str">
            <v xml:space="preserve"> </v>
          </cell>
          <cell r="H478" t="str">
            <v xml:space="preserve"> </v>
          </cell>
          <cell r="I478" t="str">
            <v xml:space="preserve"> </v>
          </cell>
          <cell r="J478" t="str">
            <v xml:space="preserve"> </v>
          </cell>
          <cell r="K478" t="str">
            <v xml:space="preserve"> </v>
          </cell>
          <cell r="L478" t="str">
            <v xml:space="preserve"> </v>
          </cell>
          <cell r="M478" t="str">
            <v xml:space="preserve"> </v>
          </cell>
        </row>
        <row r="479">
          <cell r="B479" t="str">
            <v xml:space="preserve"> </v>
          </cell>
          <cell r="C479" t="str">
            <v xml:space="preserve"> </v>
          </cell>
          <cell r="D479" t="str">
            <v xml:space="preserve"> </v>
          </cell>
          <cell r="E479" t="str">
            <v xml:space="preserve"> </v>
          </cell>
          <cell r="F479" t="str">
            <v xml:space="preserve"> </v>
          </cell>
          <cell r="G479" t="str">
            <v xml:space="preserve"> </v>
          </cell>
          <cell r="H479" t="str">
            <v xml:space="preserve"> </v>
          </cell>
          <cell r="I479" t="str">
            <v xml:space="preserve"> </v>
          </cell>
          <cell r="J479" t="str">
            <v xml:space="preserve"> </v>
          </cell>
          <cell r="K479" t="str">
            <v xml:space="preserve"> </v>
          </cell>
          <cell r="L479" t="str">
            <v xml:space="preserve"> </v>
          </cell>
          <cell r="M479" t="str">
            <v xml:space="preserve"> </v>
          </cell>
        </row>
        <row r="480">
          <cell r="B480" t="str">
            <v xml:space="preserve"> </v>
          </cell>
          <cell r="C480" t="str">
            <v xml:space="preserve"> </v>
          </cell>
          <cell r="D480" t="str">
            <v xml:space="preserve"> </v>
          </cell>
          <cell r="E480" t="str">
            <v xml:space="preserve"> </v>
          </cell>
          <cell r="F480" t="str">
            <v xml:space="preserve"> </v>
          </cell>
          <cell r="G480" t="str">
            <v xml:space="preserve"> </v>
          </cell>
          <cell r="H480" t="str">
            <v xml:space="preserve"> </v>
          </cell>
          <cell r="I480" t="str">
            <v xml:space="preserve"> </v>
          </cell>
          <cell r="J480" t="str">
            <v xml:space="preserve"> </v>
          </cell>
          <cell r="K480" t="str">
            <v xml:space="preserve"> </v>
          </cell>
          <cell r="L480" t="str">
            <v xml:space="preserve"> </v>
          </cell>
          <cell r="M480" t="str">
            <v xml:space="preserve"> </v>
          </cell>
        </row>
        <row r="481">
          <cell r="B481" t="str">
            <v xml:space="preserve"> </v>
          </cell>
          <cell r="C481" t="str">
            <v xml:space="preserve"> </v>
          </cell>
          <cell r="D481" t="str">
            <v xml:space="preserve"> </v>
          </cell>
          <cell r="E481" t="str">
            <v xml:space="preserve"> </v>
          </cell>
          <cell r="F481" t="str">
            <v xml:space="preserve"> </v>
          </cell>
          <cell r="G481" t="str">
            <v xml:space="preserve"> </v>
          </cell>
          <cell r="H481" t="str">
            <v xml:space="preserve"> </v>
          </cell>
          <cell r="I481" t="str">
            <v xml:space="preserve"> </v>
          </cell>
          <cell r="J481" t="str">
            <v xml:space="preserve"> </v>
          </cell>
          <cell r="K481" t="str">
            <v xml:space="preserve"> </v>
          </cell>
          <cell r="L481" t="str">
            <v xml:space="preserve"> </v>
          </cell>
          <cell r="M481" t="str">
            <v xml:space="preserve"> </v>
          </cell>
        </row>
        <row r="482">
          <cell r="B482" t="str">
            <v xml:space="preserve"> </v>
          </cell>
          <cell r="C482" t="str">
            <v xml:space="preserve"> </v>
          </cell>
          <cell r="D482" t="str">
            <v xml:space="preserve"> </v>
          </cell>
          <cell r="E482" t="str">
            <v xml:space="preserve"> </v>
          </cell>
          <cell r="F482" t="str">
            <v xml:space="preserve"> </v>
          </cell>
          <cell r="G482" t="str">
            <v xml:space="preserve"> </v>
          </cell>
          <cell r="H482" t="str">
            <v xml:space="preserve"> </v>
          </cell>
          <cell r="I482" t="str">
            <v xml:space="preserve"> </v>
          </cell>
          <cell r="J482" t="str">
            <v xml:space="preserve"> </v>
          </cell>
          <cell r="K482" t="str">
            <v xml:space="preserve"> </v>
          </cell>
          <cell r="L482" t="str">
            <v xml:space="preserve"> </v>
          </cell>
          <cell r="M482" t="str">
            <v xml:space="preserve"> </v>
          </cell>
        </row>
        <row r="483">
          <cell r="B483" t="str">
            <v xml:space="preserve"> </v>
          </cell>
          <cell r="C483" t="str">
            <v xml:space="preserve"> </v>
          </cell>
          <cell r="D483" t="str">
            <v xml:space="preserve"> </v>
          </cell>
          <cell r="E483" t="str">
            <v xml:space="preserve"> </v>
          </cell>
          <cell r="F483" t="str">
            <v xml:space="preserve"> </v>
          </cell>
          <cell r="G483" t="str">
            <v xml:space="preserve"> </v>
          </cell>
          <cell r="H483" t="str">
            <v xml:space="preserve"> </v>
          </cell>
          <cell r="I483" t="str">
            <v xml:space="preserve"> </v>
          </cell>
          <cell r="J483" t="str">
            <v xml:space="preserve"> </v>
          </cell>
          <cell r="K483" t="str">
            <v xml:space="preserve"> </v>
          </cell>
          <cell r="L483" t="str">
            <v xml:space="preserve"> </v>
          </cell>
          <cell r="M483" t="str">
            <v xml:space="preserve"> </v>
          </cell>
        </row>
        <row r="484">
          <cell r="B484" t="str">
            <v xml:space="preserve"> </v>
          </cell>
          <cell r="C484" t="str">
            <v xml:space="preserve"> </v>
          </cell>
          <cell r="D484" t="str">
            <v xml:space="preserve"> </v>
          </cell>
          <cell r="E484" t="str">
            <v xml:space="preserve"> </v>
          </cell>
          <cell r="F484" t="str">
            <v xml:space="preserve"> </v>
          </cell>
          <cell r="G484" t="str">
            <v xml:space="preserve"> </v>
          </cell>
          <cell r="H484" t="str">
            <v xml:space="preserve"> </v>
          </cell>
          <cell r="I484" t="str">
            <v xml:space="preserve"> </v>
          </cell>
          <cell r="J484" t="str">
            <v xml:space="preserve"> </v>
          </cell>
          <cell r="K484" t="str">
            <v xml:space="preserve"> </v>
          </cell>
          <cell r="L484" t="str">
            <v xml:space="preserve"> </v>
          </cell>
          <cell r="M484" t="str">
            <v xml:space="preserve"> </v>
          </cell>
        </row>
        <row r="485">
          <cell r="B485" t="str">
            <v xml:space="preserve"> </v>
          </cell>
          <cell r="C485" t="str">
            <v xml:space="preserve"> </v>
          </cell>
          <cell r="D485" t="str">
            <v xml:space="preserve"> </v>
          </cell>
          <cell r="E485" t="str">
            <v xml:space="preserve"> </v>
          </cell>
          <cell r="F485" t="str">
            <v xml:space="preserve"> </v>
          </cell>
          <cell r="G485" t="str">
            <v xml:space="preserve"> </v>
          </cell>
          <cell r="H485" t="str">
            <v xml:space="preserve"> </v>
          </cell>
          <cell r="I485" t="str">
            <v xml:space="preserve"> </v>
          </cell>
          <cell r="J485" t="str">
            <v xml:space="preserve"> </v>
          </cell>
          <cell r="K485" t="str">
            <v xml:space="preserve"> </v>
          </cell>
          <cell r="L485" t="str">
            <v xml:space="preserve"> </v>
          </cell>
          <cell r="M485" t="str">
            <v xml:space="preserve"> </v>
          </cell>
        </row>
        <row r="486">
          <cell r="B486" t="str">
            <v xml:space="preserve"> </v>
          </cell>
          <cell r="C486" t="str">
            <v xml:space="preserve"> </v>
          </cell>
          <cell r="D486" t="str">
            <v xml:space="preserve"> </v>
          </cell>
          <cell r="E486" t="str">
            <v xml:space="preserve"> </v>
          </cell>
          <cell r="F486" t="str">
            <v xml:space="preserve"> </v>
          </cell>
          <cell r="G486" t="str">
            <v xml:space="preserve"> </v>
          </cell>
          <cell r="H486" t="str">
            <v xml:space="preserve"> </v>
          </cell>
          <cell r="I486" t="str">
            <v xml:space="preserve"> </v>
          </cell>
          <cell r="J486" t="str">
            <v xml:space="preserve"> </v>
          </cell>
          <cell r="K486" t="str">
            <v xml:space="preserve"> </v>
          </cell>
          <cell r="L486" t="str">
            <v xml:space="preserve"> </v>
          </cell>
          <cell r="M486" t="str">
            <v xml:space="preserve"> </v>
          </cell>
        </row>
        <row r="487">
          <cell r="B487" t="str">
            <v xml:space="preserve"> </v>
          </cell>
          <cell r="C487" t="str">
            <v xml:space="preserve"> </v>
          </cell>
          <cell r="D487" t="str">
            <v xml:space="preserve"> </v>
          </cell>
          <cell r="E487" t="str">
            <v xml:space="preserve"> </v>
          </cell>
          <cell r="F487" t="str">
            <v xml:space="preserve"> </v>
          </cell>
          <cell r="G487" t="str">
            <v xml:space="preserve"> </v>
          </cell>
          <cell r="H487" t="str">
            <v xml:space="preserve"> </v>
          </cell>
          <cell r="I487" t="str">
            <v xml:space="preserve"> </v>
          </cell>
          <cell r="J487" t="str">
            <v xml:space="preserve"> </v>
          </cell>
          <cell r="K487" t="str">
            <v xml:space="preserve"> </v>
          </cell>
          <cell r="L487" t="str">
            <v xml:space="preserve"> </v>
          </cell>
          <cell r="M487" t="str">
            <v xml:space="preserve"> </v>
          </cell>
        </row>
        <row r="488">
          <cell r="B488" t="str">
            <v xml:space="preserve"> </v>
          </cell>
          <cell r="C488" t="str">
            <v xml:space="preserve"> </v>
          </cell>
          <cell r="D488" t="str">
            <v xml:space="preserve"> </v>
          </cell>
          <cell r="E488" t="str">
            <v xml:space="preserve"> </v>
          </cell>
          <cell r="F488" t="str">
            <v xml:space="preserve"> </v>
          </cell>
          <cell r="G488" t="str">
            <v xml:space="preserve"> </v>
          </cell>
          <cell r="H488" t="str">
            <v xml:space="preserve"> </v>
          </cell>
          <cell r="I488" t="str">
            <v xml:space="preserve"> </v>
          </cell>
          <cell r="J488" t="str">
            <v xml:space="preserve"> </v>
          </cell>
          <cell r="K488" t="str">
            <v xml:space="preserve"> </v>
          </cell>
          <cell r="L488" t="str">
            <v xml:space="preserve"> </v>
          </cell>
          <cell r="M488" t="str">
            <v xml:space="preserve"> </v>
          </cell>
        </row>
        <row r="489">
          <cell r="B489" t="str">
            <v xml:space="preserve"> </v>
          </cell>
          <cell r="C489" t="str">
            <v xml:space="preserve"> </v>
          </cell>
          <cell r="D489" t="str">
            <v xml:space="preserve"> </v>
          </cell>
          <cell r="E489" t="str">
            <v xml:space="preserve"> </v>
          </cell>
          <cell r="F489" t="str">
            <v xml:space="preserve"> </v>
          </cell>
          <cell r="G489" t="str">
            <v xml:space="preserve"> </v>
          </cell>
          <cell r="H489" t="str">
            <v xml:space="preserve"> </v>
          </cell>
          <cell r="I489" t="str">
            <v xml:space="preserve"> </v>
          </cell>
          <cell r="J489" t="str">
            <v xml:space="preserve"> </v>
          </cell>
          <cell r="K489" t="str">
            <v xml:space="preserve"> </v>
          </cell>
          <cell r="L489" t="str">
            <v xml:space="preserve"> </v>
          </cell>
          <cell r="M489" t="str">
            <v xml:space="preserve"> </v>
          </cell>
        </row>
        <row r="490">
          <cell r="B490" t="str">
            <v xml:space="preserve"> </v>
          </cell>
          <cell r="C490" t="str">
            <v xml:space="preserve"> </v>
          </cell>
          <cell r="D490" t="str">
            <v xml:space="preserve"> </v>
          </cell>
          <cell r="E490" t="str">
            <v xml:space="preserve"> </v>
          </cell>
          <cell r="F490" t="str">
            <v xml:space="preserve"> </v>
          </cell>
          <cell r="G490" t="str">
            <v xml:space="preserve"> </v>
          </cell>
          <cell r="H490" t="str">
            <v xml:space="preserve"> </v>
          </cell>
          <cell r="I490" t="str">
            <v xml:space="preserve"> </v>
          </cell>
          <cell r="J490" t="str">
            <v xml:space="preserve"> </v>
          </cell>
          <cell r="K490" t="str">
            <v xml:space="preserve"> </v>
          </cell>
          <cell r="L490" t="str">
            <v xml:space="preserve"> </v>
          </cell>
          <cell r="M490" t="str">
            <v xml:space="preserve"> </v>
          </cell>
        </row>
      </sheetData>
      <sheetData sheetId="2" refreshError="1"/>
      <sheetData sheetId="3" refreshError="1"/>
      <sheetData sheetId="4">
        <row r="21">
          <cell r="H21">
            <v>0</v>
          </cell>
        </row>
        <row r="22">
          <cell r="H22">
            <v>0</v>
          </cell>
        </row>
        <row r="23">
          <cell r="H23">
            <v>0</v>
          </cell>
        </row>
        <row r="24">
          <cell r="H24">
            <v>0</v>
          </cell>
        </row>
        <row r="25">
          <cell r="H25">
            <v>0</v>
          </cell>
        </row>
        <row r="26">
          <cell r="H26">
            <v>0</v>
          </cell>
        </row>
        <row r="27">
          <cell r="H27">
            <v>0</v>
          </cell>
        </row>
        <row r="28">
          <cell r="H28">
            <v>0</v>
          </cell>
        </row>
        <row r="29">
          <cell r="H29">
            <v>0</v>
          </cell>
        </row>
        <row r="30">
          <cell r="H30">
            <v>0</v>
          </cell>
        </row>
        <row r="31">
          <cell r="H31">
            <v>0</v>
          </cell>
        </row>
        <row r="32">
          <cell r="H32">
            <v>0</v>
          </cell>
        </row>
        <row r="33">
          <cell r="H33">
            <v>0</v>
          </cell>
        </row>
        <row r="47">
          <cell r="H47">
            <v>0</v>
          </cell>
        </row>
        <row r="48">
          <cell r="H48">
            <v>0</v>
          </cell>
        </row>
        <row r="49">
          <cell r="H49">
            <v>0</v>
          </cell>
        </row>
        <row r="50">
          <cell r="H50">
            <v>0</v>
          </cell>
        </row>
        <row r="51">
          <cell r="H51">
            <v>0</v>
          </cell>
        </row>
        <row r="52">
          <cell r="H52">
            <v>0</v>
          </cell>
        </row>
        <row r="53">
          <cell r="H53">
            <v>0</v>
          </cell>
        </row>
        <row r="54">
          <cell r="H54">
            <v>0</v>
          </cell>
        </row>
        <row r="55">
          <cell r="H55">
            <v>0</v>
          </cell>
        </row>
        <row r="56">
          <cell r="H56">
            <v>0</v>
          </cell>
        </row>
        <row r="57">
          <cell r="H57">
            <v>0</v>
          </cell>
        </row>
        <row r="58">
          <cell r="H58">
            <v>0</v>
          </cell>
        </row>
        <row r="59">
          <cell r="H59">
            <v>0</v>
          </cell>
        </row>
        <row r="60">
          <cell r="H60">
            <v>0</v>
          </cell>
        </row>
        <row r="61">
          <cell r="H61">
            <v>0</v>
          </cell>
        </row>
        <row r="62">
          <cell r="H62">
            <v>0</v>
          </cell>
        </row>
        <row r="63">
          <cell r="H63">
            <v>0</v>
          </cell>
        </row>
        <row r="64">
          <cell r="H64">
            <v>0</v>
          </cell>
        </row>
        <row r="65">
          <cell r="H65">
            <v>0</v>
          </cell>
        </row>
        <row r="66">
          <cell r="H66">
            <v>0</v>
          </cell>
        </row>
        <row r="67">
          <cell r="H67">
            <v>0</v>
          </cell>
        </row>
        <row r="81">
          <cell r="H81">
            <v>0</v>
          </cell>
        </row>
        <row r="82">
          <cell r="H82">
            <v>0</v>
          </cell>
        </row>
        <row r="83">
          <cell r="H83">
            <v>0</v>
          </cell>
        </row>
        <row r="84">
          <cell r="H84">
            <v>0</v>
          </cell>
        </row>
        <row r="85">
          <cell r="H85">
            <v>0</v>
          </cell>
        </row>
        <row r="86">
          <cell r="H86">
            <v>0</v>
          </cell>
        </row>
        <row r="87">
          <cell r="H87">
            <v>0</v>
          </cell>
        </row>
        <row r="88">
          <cell r="H88">
            <v>0</v>
          </cell>
        </row>
        <row r="89">
          <cell r="H89">
            <v>0</v>
          </cell>
        </row>
        <row r="90">
          <cell r="H90">
            <v>0</v>
          </cell>
        </row>
        <row r="91">
          <cell r="H91">
            <v>0</v>
          </cell>
        </row>
        <row r="92">
          <cell r="H92">
            <v>0</v>
          </cell>
        </row>
        <row r="93">
          <cell r="H93">
            <v>0</v>
          </cell>
        </row>
        <row r="94">
          <cell r="H94">
            <v>0</v>
          </cell>
        </row>
        <row r="95">
          <cell r="H95">
            <v>0</v>
          </cell>
        </row>
        <row r="96">
          <cell r="H96">
            <v>0</v>
          </cell>
        </row>
        <row r="97">
          <cell r="H97">
            <v>0</v>
          </cell>
        </row>
        <row r="98">
          <cell r="H98">
            <v>0</v>
          </cell>
        </row>
        <row r="99">
          <cell r="H99">
            <v>0</v>
          </cell>
        </row>
        <row r="100">
          <cell r="H100">
            <v>0</v>
          </cell>
        </row>
        <row r="101">
          <cell r="H101">
            <v>0</v>
          </cell>
        </row>
        <row r="115">
          <cell r="H115">
            <v>0</v>
          </cell>
        </row>
        <row r="116">
          <cell r="H116">
            <v>0</v>
          </cell>
        </row>
        <row r="117">
          <cell r="H117">
            <v>0</v>
          </cell>
        </row>
        <row r="118">
          <cell r="H118">
            <v>0</v>
          </cell>
        </row>
        <row r="119">
          <cell r="H119">
            <v>0</v>
          </cell>
        </row>
        <row r="120">
          <cell r="H120">
            <v>0</v>
          </cell>
        </row>
        <row r="121">
          <cell r="H121">
            <v>0</v>
          </cell>
        </row>
        <row r="122">
          <cell r="H122">
            <v>0</v>
          </cell>
        </row>
        <row r="123">
          <cell r="H123">
            <v>0</v>
          </cell>
        </row>
        <row r="124">
          <cell r="H124">
            <v>0</v>
          </cell>
        </row>
        <row r="125">
          <cell r="H125">
            <v>0</v>
          </cell>
        </row>
        <row r="126">
          <cell r="H126">
            <v>0</v>
          </cell>
        </row>
        <row r="127">
          <cell r="H127">
            <v>0</v>
          </cell>
        </row>
        <row r="128">
          <cell r="H128">
            <v>0</v>
          </cell>
        </row>
        <row r="129">
          <cell r="H129">
            <v>0</v>
          </cell>
        </row>
        <row r="130">
          <cell r="H130">
            <v>0</v>
          </cell>
        </row>
        <row r="131">
          <cell r="H131">
            <v>0</v>
          </cell>
        </row>
        <row r="132">
          <cell r="H132">
            <v>0</v>
          </cell>
        </row>
        <row r="133">
          <cell r="H133">
            <v>0</v>
          </cell>
        </row>
        <row r="134">
          <cell r="H134">
            <v>0</v>
          </cell>
        </row>
        <row r="135">
          <cell r="H135">
            <v>0</v>
          </cell>
        </row>
        <row r="149">
          <cell r="H149">
            <v>0</v>
          </cell>
        </row>
        <row r="150">
          <cell r="H150">
            <v>0</v>
          </cell>
        </row>
        <row r="151">
          <cell r="H151">
            <v>0</v>
          </cell>
        </row>
        <row r="152">
          <cell r="H152">
            <v>0</v>
          </cell>
        </row>
        <row r="153">
          <cell r="H153">
            <v>0</v>
          </cell>
        </row>
        <row r="154">
          <cell r="H154">
            <v>0</v>
          </cell>
        </row>
        <row r="155">
          <cell r="H155">
            <v>0</v>
          </cell>
        </row>
        <row r="156">
          <cell r="H156">
            <v>0</v>
          </cell>
        </row>
        <row r="157">
          <cell r="H157">
            <v>0</v>
          </cell>
        </row>
        <row r="158">
          <cell r="H158">
            <v>0</v>
          </cell>
        </row>
        <row r="159">
          <cell r="H159">
            <v>0</v>
          </cell>
        </row>
        <row r="160">
          <cell r="H160">
            <v>0</v>
          </cell>
        </row>
        <row r="161">
          <cell r="H161">
            <v>0</v>
          </cell>
        </row>
        <row r="162">
          <cell r="H162">
            <v>0</v>
          </cell>
        </row>
        <row r="163">
          <cell r="H163">
            <v>0</v>
          </cell>
        </row>
        <row r="164">
          <cell r="H164">
            <v>0</v>
          </cell>
        </row>
        <row r="165">
          <cell r="H165">
            <v>0</v>
          </cell>
        </row>
        <row r="166">
          <cell r="H166">
            <v>0</v>
          </cell>
        </row>
        <row r="167">
          <cell r="H167">
            <v>0</v>
          </cell>
        </row>
        <row r="168">
          <cell r="H168">
            <v>0</v>
          </cell>
        </row>
        <row r="169">
          <cell r="H169">
            <v>0</v>
          </cell>
        </row>
        <row r="183">
          <cell r="H183">
            <v>0</v>
          </cell>
        </row>
        <row r="184">
          <cell r="H184">
            <v>0</v>
          </cell>
        </row>
        <row r="185">
          <cell r="H185">
            <v>0</v>
          </cell>
        </row>
        <row r="186">
          <cell r="H186">
            <v>0</v>
          </cell>
        </row>
        <row r="187">
          <cell r="H187">
            <v>0</v>
          </cell>
        </row>
        <row r="188">
          <cell r="H188">
            <v>0</v>
          </cell>
        </row>
        <row r="189">
          <cell r="H189">
            <v>0</v>
          </cell>
        </row>
        <row r="190">
          <cell r="H190">
            <v>0</v>
          </cell>
        </row>
        <row r="191">
          <cell r="H191">
            <v>0</v>
          </cell>
        </row>
        <row r="192">
          <cell r="H192">
            <v>0</v>
          </cell>
        </row>
        <row r="193">
          <cell r="H193">
            <v>0</v>
          </cell>
        </row>
        <row r="194">
          <cell r="H194">
            <v>0</v>
          </cell>
        </row>
        <row r="195">
          <cell r="H195">
            <v>0</v>
          </cell>
        </row>
        <row r="196">
          <cell r="H196">
            <v>0</v>
          </cell>
        </row>
        <row r="197">
          <cell r="H197">
            <v>0</v>
          </cell>
        </row>
        <row r="198">
          <cell r="H198">
            <v>0</v>
          </cell>
        </row>
        <row r="199">
          <cell r="H199">
            <v>0</v>
          </cell>
        </row>
        <row r="200">
          <cell r="H200">
            <v>0</v>
          </cell>
        </row>
        <row r="201">
          <cell r="H201">
            <v>0</v>
          </cell>
        </row>
        <row r="202">
          <cell r="H202">
            <v>0</v>
          </cell>
        </row>
        <row r="203">
          <cell r="H203">
            <v>0</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ow r="10">
          <cell r="J10" t="str">
            <v>£</v>
          </cell>
          <cell r="U10" t="str">
            <v>£</v>
          </cell>
        </row>
        <row r="11">
          <cell r="J11" t="str">
            <v>£</v>
          </cell>
          <cell r="U11" t="str">
            <v>£</v>
          </cell>
        </row>
        <row r="12">
          <cell r="J12" t="str">
            <v>£</v>
          </cell>
          <cell r="U12" t="str">
            <v>£</v>
          </cell>
        </row>
        <row r="13">
          <cell r="J13" t="str">
            <v>£</v>
          </cell>
        </row>
        <row r="16">
          <cell r="J16" t="str">
            <v>£</v>
          </cell>
        </row>
      </sheetData>
      <sheetData sheetId="21" refreshError="1"/>
      <sheetData sheetId="22" refreshError="1"/>
      <sheetData sheetId="23" refreshError="1"/>
      <sheetData sheetId="24"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73"/>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CMM (Probe)</v>
          </cell>
        </row>
        <row r="7">
          <cell r="A7" t="str">
            <v>Color Chart</v>
          </cell>
        </row>
        <row r="8">
          <cell r="A8" t="str">
            <v>Comparator/Var.Meas.</v>
          </cell>
        </row>
        <row r="9">
          <cell r="A9" t="str">
            <v>Comparator w/Overlay</v>
          </cell>
        </row>
        <row r="10">
          <cell r="A10" t="str">
            <v>Concentricity Ga./Test Indicator</v>
          </cell>
        </row>
        <row r="11">
          <cell r="A11" t="str">
            <v>Depth Gauge</v>
          </cell>
        </row>
        <row r="12">
          <cell r="A12" t="str">
            <v>DS0303 #13 Short Go/NoGo</v>
          </cell>
        </row>
        <row r="13">
          <cell r="A13" t="str">
            <v>Functional · Gauge</v>
          </cell>
        </row>
        <row r="14">
          <cell r="A14" t="str">
            <v>Functional · Part</v>
          </cell>
        </row>
        <row r="15">
          <cell r="A15" t="str">
            <v>Gauge · Go</v>
          </cell>
        </row>
        <row r="16">
          <cell r="A16" t="str">
            <v>Gauge · NoGo</v>
          </cell>
        </row>
        <row r="17">
          <cell r="A17" t="str">
            <v>Gauge · Go/NoGo</v>
          </cell>
        </row>
        <row r="18">
          <cell r="A18" t="str">
            <v>Gauge · Timing</v>
          </cell>
        </row>
        <row r="19">
          <cell r="A19" t="str">
            <v>Gauge Block(s)</v>
          </cell>
        </row>
        <row r="20">
          <cell r="A20" t="str">
            <v>Gauge Pin (Relieved)</v>
          </cell>
        </row>
        <row r="21">
          <cell r="A21" t="str">
            <v>Gauge Pin(s)</v>
          </cell>
        </row>
        <row r="22">
          <cell r="A22" t="str">
            <v>Height Gauge</v>
          </cell>
        </row>
        <row r="23">
          <cell r="A23" t="str">
            <v>Hexalobe Depth Gauge</v>
          </cell>
        </row>
        <row r="24">
          <cell r="A24" t="str">
            <v>Indicator / Drop</v>
          </cell>
        </row>
        <row r="25">
          <cell r="A25" t="str">
            <v>Indicator / Test</v>
          </cell>
        </row>
        <row r="26">
          <cell r="A26" t="str">
            <v>Keyence Sys.</v>
          </cell>
        </row>
        <row r="27">
          <cell r="A27" t="str">
            <v>Measuring Microscope</v>
          </cell>
        </row>
        <row r="28">
          <cell r="A28" t="str">
            <v>Micrometer · Anvil</v>
          </cell>
        </row>
        <row r="29">
          <cell r="A29" t="str">
            <v>Micrometer · Blade</v>
          </cell>
        </row>
        <row r="30">
          <cell r="A30" t="str">
            <v>Micrometer · Depth</v>
          </cell>
        </row>
        <row r="31">
          <cell r="A31" t="str">
            <v>Micrometer · Disc</v>
          </cell>
        </row>
        <row r="32">
          <cell r="A32" t="str">
            <v>Micrometer · Groove</v>
          </cell>
        </row>
        <row r="33">
          <cell r="A33" t="str">
            <v>Micrometer · Outside</v>
          </cell>
        </row>
        <row r="34">
          <cell r="A34" t="str">
            <v>Micrometer · Pitch</v>
          </cell>
        </row>
        <row r="35">
          <cell r="A35" t="str">
            <v>Micrometer · Point</v>
          </cell>
        </row>
        <row r="36">
          <cell r="A36" t="str">
            <v>Micrometer · Spline</v>
          </cell>
        </row>
        <row r="37">
          <cell r="A37" t="str">
            <v>Micrometer · Thread</v>
          </cell>
        </row>
        <row r="38">
          <cell r="A38" t="str">
            <v>Overlay</v>
          </cell>
        </row>
        <row r="39">
          <cell r="A39" t="str">
            <v>Profilometer</v>
          </cell>
        </row>
        <row r="40">
          <cell r="A40" t="str">
            <v>Program</v>
          </cell>
        </row>
        <row r="41">
          <cell r="A41" t="str">
            <v>RAM/Nikon · Var.Meas.</v>
          </cell>
        </row>
        <row r="42">
          <cell r="A42" t="str">
            <v>RAM/Nikon · Overlay</v>
          </cell>
        </row>
        <row r="43">
          <cell r="A43" t="str">
            <v>Scale</v>
          </cell>
        </row>
        <row r="44">
          <cell r="A44" t="str">
            <v>SuperMic</v>
          </cell>
        </row>
        <row r="45">
          <cell r="A45" t="str">
            <v>T10 #1184-10 Go/NoGo</v>
          </cell>
        </row>
        <row r="46">
          <cell r="A46" t="str">
            <v>T10 #1194-10 Go/NoGo</v>
          </cell>
        </row>
        <row r="47">
          <cell r="A47" t="str">
            <v>T15 #1184-15 Go/NoGo</v>
          </cell>
        </row>
        <row r="48">
          <cell r="A48" t="str">
            <v>T15 #1194-15 Go/NoGo</v>
          </cell>
        </row>
        <row r="49">
          <cell r="A49" t="str">
            <v>T20 #1184-20 Go/NoGo</v>
          </cell>
        </row>
        <row r="50">
          <cell r="A50" t="str">
            <v>T20 #1194-20 Go/NoGo</v>
          </cell>
        </row>
        <row r="51">
          <cell r="A51" t="str">
            <v>Thread Wires</v>
          </cell>
        </row>
        <row r="52">
          <cell r="A52" t="str">
            <v>TLS-00024 Styloid Traject.</v>
          </cell>
        </row>
        <row r="53">
          <cell r="A53" t="str">
            <v>TLS-00037 Thickness</v>
          </cell>
        </row>
        <row r="54">
          <cell r="A54" t="str">
            <v>Torque Driver</v>
          </cell>
        </row>
        <row r="55">
          <cell r="A55" t="str">
            <v>Torque Transducer</v>
          </cell>
        </row>
        <row r="56">
          <cell r="A56" t="str">
            <v>Verify Program</v>
          </cell>
        </row>
        <row r="57">
          <cell r="A57" t="str">
            <v>Verify Tool</v>
          </cell>
        </row>
        <row r="58">
          <cell r="A58" t="str">
            <v>Visual · 1×</v>
          </cell>
        </row>
        <row r="59">
          <cell r="A59" t="str">
            <v>Visual · 2.25×</v>
          </cell>
        </row>
        <row r="60">
          <cell r="A60" t="str">
            <v>Visual · 3×</v>
          </cell>
        </row>
        <row r="61">
          <cell r="A61" t="str">
            <v>Visual · 5×</v>
          </cell>
        </row>
        <row r="62">
          <cell r="A62" t="str">
            <v>Visual · 10×</v>
          </cell>
        </row>
        <row r="63">
          <cell r="A63" t="str">
            <v>Visual/Gold Std · 1×</v>
          </cell>
        </row>
        <row r="64">
          <cell r="A64" t="str">
            <v>Visual/Gold Std · 2.25×</v>
          </cell>
        </row>
        <row r="65">
          <cell r="A65" t="str">
            <v>Visual/Gold Std · 3×</v>
          </cell>
        </row>
        <row r="66">
          <cell r="A66" t="str">
            <v>Visual/Gold Std · 5×</v>
          </cell>
        </row>
        <row r="67">
          <cell r="A67" t="str">
            <v>Visual/Gold Std · 10×</v>
          </cell>
        </row>
        <row r="68">
          <cell r="A68" t="str">
            <v>Visual/Scale · 1×</v>
          </cell>
        </row>
        <row r="69">
          <cell r="A69" t="str">
            <v>Visual/Scale · 2.25×</v>
          </cell>
        </row>
        <row r="70">
          <cell r="A70" t="str">
            <v>Visual/Scale · 3×</v>
          </cell>
        </row>
        <row r="71">
          <cell r="A71" t="str">
            <v>Visual/Scale · 5×</v>
          </cell>
        </row>
        <row r="72">
          <cell r="A72" t="str">
            <v>Visual/Scale · 10×</v>
          </cell>
        </row>
        <row r="73">
          <cell r="A73" t="str">
            <v>Visual/Tactile</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s>
    <sheetDataSet>
      <sheetData sheetId="0">
        <row r="1">
          <cell r="A1" t="str">
            <v>Bore Gauge</v>
          </cell>
        </row>
        <row r="2">
          <cell r="A2" t="str">
            <v>Calculation</v>
          </cell>
        </row>
        <row r="3">
          <cell r="A3" t="str">
            <v>Caliper (Standard)</v>
          </cell>
        </row>
        <row r="4">
          <cell r="A4" t="str">
            <v>Caliper (Standard) 0"-12"</v>
          </cell>
        </row>
        <row r="5">
          <cell r="A5" t="str">
            <v>Caliper/External (ODT)</v>
          </cell>
        </row>
        <row r="6">
          <cell r="A6" t="str">
            <v>Caliper/Internal (IDT)</v>
          </cell>
        </row>
        <row r="7">
          <cell r="A7" t="str">
            <v>Caliper/Pin/Calculation</v>
          </cell>
        </row>
        <row r="8">
          <cell r="A8" t="str">
            <v>CMM (Probe)</v>
          </cell>
        </row>
        <row r="9">
          <cell r="A9" t="str">
            <v>Color Chart</v>
          </cell>
        </row>
        <row r="10">
          <cell r="A10" t="str">
            <v>Comparator/Var.Meas.</v>
          </cell>
        </row>
        <row r="11">
          <cell r="A11" t="str">
            <v>Comparator w/Overlay</v>
          </cell>
        </row>
        <row r="12">
          <cell r="A12" t="str">
            <v>Concentricity Ga./Test Indicator</v>
          </cell>
        </row>
        <row r="13">
          <cell r="A13" t="str">
            <v>Depth Gauge</v>
          </cell>
        </row>
        <row r="14">
          <cell r="A14" t="str">
            <v>Digimatic Holtest (.275-.350")</v>
          </cell>
        </row>
        <row r="15">
          <cell r="A15" t="str">
            <v>DS0303 #13 Short Go/NoGo</v>
          </cell>
        </row>
        <row r="16">
          <cell r="A16" t="str">
            <v>Functional · Gauge</v>
          </cell>
        </row>
        <row r="17">
          <cell r="A17" t="str">
            <v>Functional · Part</v>
          </cell>
        </row>
        <row r="18">
          <cell r="A18" t="str">
            <v>Gauge · Go</v>
          </cell>
        </row>
        <row r="19">
          <cell r="A19" t="str">
            <v>Gauge · NoGo</v>
          </cell>
        </row>
        <row r="20">
          <cell r="A20" t="str">
            <v>Gauge · Go/NoGo</v>
          </cell>
        </row>
        <row r="21">
          <cell r="A21" t="str">
            <v>Gauge · Go(Special)/NoGo</v>
          </cell>
        </row>
        <row r="22">
          <cell r="A22" t="str">
            <v>Gauge Ball</v>
          </cell>
        </row>
        <row r="23">
          <cell r="A23" t="str">
            <v>Gauge Block(s)</v>
          </cell>
        </row>
        <row r="24">
          <cell r="A24" t="str">
            <v>Gauge Pin · Go</v>
          </cell>
        </row>
        <row r="25">
          <cell r="A25" t="str">
            <v>Gauge Pin · NoGo</v>
          </cell>
        </row>
        <row r="26">
          <cell r="A26" t="str">
            <v>Gauge Pins · Go/NoGo</v>
          </cell>
        </row>
        <row r="27">
          <cell r="A27" t="str">
            <v>Gauge Pin · Relieved</v>
          </cell>
        </row>
        <row r="28">
          <cell r="A28" t="str">
            <v>Gauge Set (Go - Nom - NoGo)</v>
          </cell>
        </row>
        <row r="29">
          <cell r="A29" t="str">
            <v>Gauge · Timing</v>
          </cell>
        </row>
        <row r="30">
          <cell r="A30" t="str">
            <v>Height Gauge</v>
          </cell>
        </row>
        <row r="31">
          <cell r="A31" t="str">
            <v>Hexalobe Depth Gauge</v>
          </cell>
        </row>
        <row r="32">
          <cell r="A32" t="str">
            <v>Indicator / Drop</v>
          </cell>
        </row>
        <row r="33">
          <cell r="A33" t="str">
            <v>Indicator / Test</v>
          </cell>
        </row>
        <row r="34">
          <cell r="A34" t="str">
            <v>Indicator/Test w/Pin</v>
          </cell>
        </row>
        <row r="35">
          <cell r="A35" t="str">
            <v>Keyence System</v>
          </cell>
        </row>
        <row r="36">
          <cell r="A36" t="str">
            <v>Keyence Program</v>
          </cell>
        </row>
        <row r="37">
          <cell r="A37" t="str">
            <v>Measuring Microscope</v>
          </cell>
        </row>
        <row r="38">
          <cell r="A38" t="str">
            <v>Micrometer · Anvil</v>
          </cell>
        </row>
        <row r="39">
          <cell r="A39" t="str">
            <v>Micrometer · Blade</v>
          </cell>
        </row>
        <row r="40">
          <cell r="A40" t="str">
            <v>Micrometer · Depth</v>
          </cell>
        </row>
        <row r="41">
          <cell r="A41" t="str">
            <v>Micrometer · Disc</v>
          </cell>
        </row>
        <row r="42">
          <cell r="A42" t="str">
            <v>Micrometer · Groove</v>
          </cell>
        </row>
        <row r="43">
          <cell r="A43" t="str">
            <v>Micrometer · Outside</v>
          </cell>
        </row>
        <row r="44">
          <cell r="A44" t="str">
            <v>Micrometer · Pitch</v>
          </cell>
        </row>
        <row r="45">
          <cell r="A45" t="str">
            <v>Micrometer · Point</v>
          </cell>
        </row>
        <row r="46">
          <cell r="A46" t="str">
            <v>Micrometer · Spline</v>
          </cell>
        </row>
        <row r="47">
          <cell r="A47" t="str">
            <v>Micrometer · Thread</v>
          </cell>
        </row>
        <row r="48">
          <cell r="A48" t="str">
            <v>Overlay</v>
          </cell>
        </row>
        <row r="49">
          <cell r="A49" t="str">
            <v>Profilometer</v>
          </cell>
        </row>
        <row r="50">
          <cell r="A50" t="str">
            <v>Program</v>
          </cell>
        </row>
        <row r="51">
          <cell r="A51" t="str">
            <v>Radius Gauge</v>
          </cell>
        </row>
        <row r="52">
          <cell r="A52" t="str">
            <v>RAM/Nikon · Var.Meas.</v>
          </cell>
        </row>
        <row r="53">
          <cell r="A53" t="str">
            <v>RAM/Nikon · Overlay</v>
          </cell>
        </row>
        <row r="54">
          <cell r="A54" t="str">
            <v>Scale</v>
          </cell>
        </row>
        <row r="55">
          <cell r="A55" t="str">
            <v>SuperMic</v>
          </cell>
        </row>
        <row r="56">
          <cell r="A56" t="str">
            <v>Sylvac Scan F60T</v>
          </cell>
        </row>
        <row r="57">
          <cell r="A57" t="str">
            <v>T8 #1184-08 Go/NoGo</v>
          </cell>
        </row>
        <row r="58">
          <cell r="A58" t="str">
            <v>T10 #1184-10 Go/NoGo</v>
          </cell>
        </row>
        <row r="59">
          <cell r="A59" t="str">
            <v>T10 #1194-10 Go/NoGo</v>
          </cell>
        </row>
        <row r="60">
          <cell r="A60" t="str">
            <v>T15 #1184-15 Go/NoGo</v>
          </cell>
        </row>
        <row r="61">
          <cell r="A61" t="str">
            <v>T15 #1194-15 Go/NoGo</v>
          </cell>
        </row>
        <row r="62">
          <cell r="A62" t="str">
            <v>T20 #1184-20 Go/NoGo</v>
          </cell>
        </row>
        <row r="63">
          <cell r="A63" t="str">
            <v>T20 #1194-20 Go/NoGo</v>
          </cell>
        </row>
        <row r="64">
          <cell r="A64" t="str">
            <v>Thread Wires</v>
          </cell>
        </row>
        <row r="65">
          <cell r="A65" t="str">
            <v>TLS-00024 Styloid Trajectory</v>
          </cell>
        </row>
        <row r="66">
          <cell r="A66" t="str">
            <v>TLS-00037 Thickness</v>
          </cell>
        </row>
        <row r="67">
          <cell r="A67" t="str">
            <v>Torque Driver</v>
          </cell>
        </row>
        <row r="68">
          <cell r="A68" t="str">
            <v>Torque Transducer</v>
          </cell>
        </row>
        <row r="69">
          <cell r="A69" t="str">
            <v>Verify Program</v>
          </cell>
        </row>
        <row r="70">
          <cell r="A70" t="str">
            <v>Verify Tool</v>
          </cell>
        </row>
        <row r="71">
          <cell r="A71" t="str">
            <v>Visual · 1×</v>
          </cell>
        </row>
        <row r="72">
          <cell r="A72" t="str">
            <v>Visual · 2.25×</v>
          </cell>
        </row>
        <row r="73">
          <cell r="A73" t="str">
            <v>Visual · 3×</v>
          </cell>
        </row>
        <row r="74">
          <cell r="A74" t="str">
            <v>Visual · 5×</v>
          </cell>
        </row>
        <row r="75">
          <cell r="A75" t="str">
            <v>Visual · 10×</v>
          </cell>
        </row>
        <row r="76">
          <cell r="A76" t="str">
            <v>Visual · 30×</v>
          </cell>
        </row>
        <row r="77">
          <cell r="A77" t="str">
            <v>Visual/Scale · 1×</v>
          </cell>
        </row>
        <row r="78">
          <cell r="A78" t="str">
            <v>Visual/Scale · 2.25×</v>
          </cell>
        </row>
        <row r="79">
          <cell r="A79" t="str">
            <v>Visual/Scale · 3×</v>
          </cell>
        </row>
        <row r="80">
          <cell r="A80" t="str">
            <v>Visual/Scale · 5×</v>
          </cell>
        </row>
        <row r="81">
          <cell r="A81" t="str">
            <v>Visual/Scale · 10×</v>
          </cell>
        </row>
        <row r="82">
          <cell r="A82" t="str">
            <v>Visual/Scale · 30×</v>
          </cell>
        </row>
        <row r="83">
          <cell r="A83" t="str">
            <v>Visual/Tactile</v>
          </cell>
        </row>
        <row r="84">
          <cell r="A84" t="str">
            <v>9800616 Extension Handle GO</v>
          </cell>
        </row>
        <row r="85">
          <cell r="A85" t="str">
            <v>Visual · 12"-18"</v>
          </cell>
        </row>
        <row r="86">
          <cell r="A86" t="str">
            <v>Desktop Viewer</v>
          </cell>
        </row>
      </sheetData>
      <sheetData sheetId="1">
        <row r="1">
          <cell r="A1" t="str">
            <v>Lot (Min)</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0000000}" name="Table14" displayName="Table14" ref="A1:AB495" totalsRowShown="0" headerRowDxfId="120" dataDxfId="119">
  <autoFilter ref="A1:AB495" xr:uid="{00000000-0009-0000-0100-000006000000}"/>
  <tableColumns count="28">
    <tableColumn id="1" xr3:uid="{00000000-0010-0000-0000-000001000000}" name="PART#" dataDxfId="0"/>
    <tableColumn id="6" xr3:uid="{00000000-0010-0000-0000-000006000000}" name="ANO1" dataDxfId="1"/>
    <tableColumn id="31" xr3:uid="{00000000-0010-0000-0000-00001F000000}" name="OL1" dataDxfId="118"/>
    <tableColumn id="29" xr3:uid="{00000000-0010-0000-0000-00001D000000}" name="OL1B" dataDxfId="117"/>
    <tableColumn id="27" xr3:uid="{00000000-0010-0000-0000-00001B000000}" name="OL2" dataDxfId="116"/>
    <tableColumn id="28" xr3:uid="{00000000-0010-0000-0000-00001C000000}" name="OL2B" dataDxfId="115"/>
    <tableColumn id="44" xr3:uid="{00000000-0010-0000-0000-00002C000000}" name="OL3" dataDxfId="114"/>
    <tableColumn id="43" xr3:uid="{00000000-0010-0000-0000-00002B000000}" name="OL3B" dataDxfId="113"/>
    <tableColumn id="42" xr3:uid="{00000000-0010-0000-0000-00002A000000}" name="OL4" dataDxfId="112"/>
    <tableColumn id="41" xr3:uid="{00000000-0010-0000-0000-000029000000}" name="OL4B" dataDxfId="111"/>
    <tableColumn id="46" xr3:uid="{00000000-0010-0000-0000-00002E000000}" name="OL5" dataDxfId="110"/>
    <tableColumn id="45" xr3:uid="{00000000-0010-0000-0000-00002D000000}" name="OL5B" dataDxfId="109"/>
    <tableColumn id="26" xr3:uid="{00000000-0010-0000-0000-00001A000000}" name="OL6" dataDxfId="108"/>
    <tableColumn id="35" xr3:uid="{00000000-0010-0000-0000-000023000000}" name="OL6B" dataDxfId="107"/>
    <tableColumn id="34" xr3:uid="{00000000-0010-0000-0000-000022000000}" name="OL7" dataDxfId="106"/>
    <tableColumn id="36" xr3:uid="{00000000-0010-0000-0000-000024000000}" name="OL7B" dataDxfId="105"/>
    <tableColumn id="37" xr3:uid="{00000000-0010-0000-0000-000025000000}" name="OL8" dataDxfId="104"/>
    <tableColumn id="38" xr3:uid="{00000000-0010-0000-0000-000026000000}" name="OL8B" dataDxfId="103"/>
    <tableColumn id="39" xr3:uid="{00000000-0010-0000-0000-000027000000}" name="OL9" dataDxfId="102"/>
    <tableColumn id="40" xr3:uid="{00000000-0010-0000-0000-000028000000}" name="OL9B" dataDxfId="101"/>
    <tableColumn id="8" xr3:uid="{00000000-0010-0000-0000-000008000000}" name="Desc" dataDxfId="100"/>
    <tableColumn id="9" xr3:uid="{00000000-0010-0000-0000-000009000000}" name="Var2" dataDxfId="99"/>
    <tableColumn id="30" xr3:uid="{00000000-0010-0000-0000-00001E000000}" name="Var3" dataDxfId="98"/>
    <tableColumn id="32" xr3:uid="{00000000-0010-0000-0000-000020000000}" name="Var4" dataDxfId="97"/>
    <tableColumn id="2" xr3:uid="{6D651B4D-049E-44BE-9F1D-E3CDF6502304}" name="Var5" dataDxfId="96"/>
    <tableColumn id="3" xr3:uid="{24C81795-73C6-410F-9B45-BFF572768D27}" name="Var6" dataDxfId="95"/>
    <tableColumn id="4" xr3:uid="{D3ACA802-2C69-4F40-9D0E-3C5FBF997D99}" name="Var7" dataDxfId="94"/>
    <tableColumn id="5" xr3:uid="{8AA67939-4EB3-469B-85C0-4D699A4AD0D2}" name="Var8" dataDxfId="93"/>
  </tableColumns>
  <tableStyleInfo name="Pivot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1" displayName="Table1" ref="B2:B83" totalsRowShown="0" headerRowDxfId="5" headerRowBorderDxfId="4" tableBorderDxfId="3">
  <autoFilter ref="B2:B83" xr:uid="{00000000-0009-0000-0100-000001000000}"/>
  <tableColumns count="1">
    <tableColumn id="1" xr3:uid="{00000000-0010-0000-0100-000001000000}" name="This" dataDxfId="2"/>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5.v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3.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D002D7-386B-4804-934F-01B1CE0DFA00}">
  <sheetPr codeName="Sheet15">
    <tabColor rgb="FF008000"/>
  </sheetPr>
  <dimension ref="A1:E11"/>
  <sheetViews>
    <sheetView tabSelected="1" topLeftCell="B1" workbookViewId="0">
      <selection activeCell="C8" sqref="C8"/>
    </sheetView>
  </sheetViews>
  <sheetFormatPr defaultColWidth="9.140625" defaultRowHeight="20.100000000000001" customHeight="1"/>
  <cols>
    <col min="1" max="1" width="4.7109375" style="144" customWidth="1"/>
    <col min="2" max="2" width="18.7109375" style="143" customWidth="1"/>
    <col min="3" max="3" width="30.7109375" style="143" customWidth="1"/>
    <col min="4" max="4" width="3.7109375" style="143" customWidth="1"/>
    <col min="5" max="5" width="30.7109375" style="143" customWidth="1"/>
    <col min="6" max="6" width="3.7109375" style="143" customWidth="1"/>
    <col min="7" max="7" width="30.7109375" style="143" customWidth="1"/>
    <col min="8" max="8" width="3.7109375" style="143" customWidth="1"/>
    <col min="9" max="9" width="30.7109375" style="143" customWidth="1"/>
    <col min="10" max="10" width="3.7109375" style="143" customWidth="1"/>
    <col min="11" max="11" width="30.7109375" style="143" customWidth="1"/>
    <col min="12" max="16384" width="9.140625" style="143"/>
  </cols>
  <sheetData>
    <row r="1" spans="1:5" s="134" customFormat="1" ht="9.9499999999999993" customHeight="1">
      <c r="A1" s="133"/>
    </row>
    <row r="2" spans="1:5" s="134" customFormat="1" ht="20.100000000000001" customHeight="1">
      <c r="A2" s="133"/>
      <c r="B2" s="135" t="s">
        <v>373</v>
      </c>
      <c r="C2" s="136"/>
    </row>
    <row r="3" spans="1:5" s="134" customFormat="1" ht="9.9499999999999993" customHeight="1">
      <c r="A3" s="133"/>
      <c r="B3" s="135"/>
      <c r="C3" s="137"/>
    </row>
    <row r="4" spans="1:5" s="134" customFormat="1" ht="20.100000000000001" customHeight="1">
      <c r="A4" s="133"/>
      <c r="B4" s="135" t="s">
        <v>374</v>
      </c>
      <c r="C4" s="138"/>
    </row>
    <row r="5" spans="1:5" s="134" customFormat="1" ht="9.9499999999999993" customHeight="1">
      <c r="A5" s="133"/>
      <c r="B5" s="135"/>
      <c r="C5" s="137"/>
    </row>
    <row r="6" spans="1:5" s="134" customFormat="1" ht="20.100000000000001" customHeight="1">
      <c r="A6" s="133"/>
      <c r="B6" s="135" t="s">
        <v>375</v>
      </c>
      <c r="C6" s="139" t="e">
        <f>VLOOKUP('START HERE'!$C$8,[5]Variables!$A$2:$AZ$500,43,FALSE)</f>
        <v>#N/A</v>
      </c>
    </row>
    <row r="7" spans="1:5" s="134" customFormat="1" ht="9.9499999999999993" customHeight="1">
      <c r="A7" s="133"/>
      <c r="B7" s="135"/>
      <c r="C7" s="137"/>
    </row>
    <row r="8" spans="1:5" s="134" customFormat="1" ht="20.100000000000001" customHeight="1">
      <c r="A8" s="133"/>
      <c r="B8" s="135" t="s">
        <v>376</v>
      </c>
      <c r="C8" s="138"/>
      <c r="E8" s="140" t="s">
        <v>377</v>
      </c>
    </row>
    <row r="9" spans="1:5" s="134" customFormat="1" ht="9.9499999999999993" customHeight="1">
      <c r="A9" s="133"/>
      <c r="B9" s="135"/>
      <c r="C9" s="137"/>
      <c r="E9" s="141"/>
    </row>
    <row r="10" spans="1:5" s="134" customFormat="1" ht="20.100000000000001" customHeight="1">
      <c r="A10" s="133"/>
      <c r="B10" s="135" t="s">
        <v>378</v>
      </c>
      <c r="C10" s="138"/>
      <c r="E10" s="142">
        <v>1</v>
      </c>
    </row>
    <row r="11" spans="1:5" s="134" customFormat="1" ht="9.9499999999999993" customHeight="1">
      <c r="A11" s="133"/>
      <c r="B11" s="135"/>
      <c r="C11" s="137"/>
    </row>
  </sheetData>
  <sheetProtection formatCells="0" selectLockedCells="1"/>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0000000}">
          <x14:formula1>
            <xm:f>AQL!$A$1:$A$11</xm:f>
          </x14:formula1>
          <xm:sqref>E10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AE7BB-1748-43A1-8685-D2FCFEBA9FD4}">
  <sheetPr codeName="Sheet16">
    <tabColor theme="9"/>
  </sheetPr>
  <dimension ref="A1:AO496"/>
  <sheetViews>
    <sheetView zoomScaleSheetLayoutView="40" workbookViewId="0">
      <pane xSplit="1" ySplit="1" topLeftCell="Q2" activePane="bottomRight" state="frozen"/>
      <selection pane="topRight" activeCell="B1" sqref="B1"/>
      <selection pane="bottomLeft" activeCell="A2" sqref="A2"/>
      <selection pane="bottomRight" activeCell="A2" sqref="A2"/>
    </sheetView>
  </sheetViews>
  <sheetFormatPr defaultColWidth="9.140625" defaultRowHeight="12.75"/>
  <cols>
    <col min="1" max="1" width="25.7109375" style="363" customWidth="1"/>
    <col min="2" max="20" width="12.7109375" style="152" customWidth="1"/>
    <col min="21" max="21" width="34.28515625" style="152" customWidth="1"/>
    <col min="22" max="28" width="12.7109375" style="152" customWidth="1"/>
    <col min="29" max="29" width="5.7109375" style="152" customWidth="1"/>
    <col min="30" max="30" width="15.7109375" style="150" customWidth="1"/>
    <col min="31" max="31" width="20.7109375" style="150" customWidth="1"/>
    <col min="32" max="32" width="40.5703125" style="150" customWidth="1"/>
    <col min="33" max="16384" width="9.140625" style="150"/>
  </cols>
  <sheetData>
    <row r="1" spans="1:41" ht="16.5">
      <c r="A1" s="362" t="s">
        <v>379</v>
      </c>
      <c r="B1" s="146" t="s">
        <v>380</v>
      </c>
      <c r="C1" s="147" t="s">
        <v>381</v>
      </c>
      <c r="D1" s="147" t="s">
        <v>382</v>
      </c>
      <c r="E1" s="147" t="s">
        <v>383</v>
      </c>
      <c r="F1" s="147" t="s">
        <v>384</v>
      </c>
      <c r="G1" s="147" t="s">
        <v>385</v>
      </c>
      <c r="H1" s="147" t="s">
        <v>386</v>
      </c>
      <c r="I1" s="147" t="s">
        <v>387</v>
      </c>
      <c r="J1" s="147" t="s">
        <v>388</v>
      </c>
      <c r="K1" s="147" t="s">
        <v>389</v>
      </c>
      <c r="L1" s="147" t="s">
        <v>390</v>
      </c>
      <c r="M1" s="147" t="s">
        <v>391</v>
      </c>
      <c r="N1" s="147" t="s">
        <v>392</v>
      </c>
      <c r="O1" s="147" t="s">
        <v>393</v>
      </c>
      <c r="P1" s="147" t="s">
        <v>394</v>
      </c>
      <c r="Q1" s="147" t="s">
        <v>395</v>
      </c>
      <c r="R1" s="147" t="s">
        <v>396</v>
      </c>
      <c r="S1" s="147" t="s">
        <v>397</v>
      </c>
      <c r="T1" s="147" t="s">
        <v>398</v>
      </c>
      <c r="U1" s="148" t="s">
        <v>399</v>
      </c>
      <c r="V1" s="148" t="s">
        <v>400</v>
      </c>
      <c r="W1" s="148" t="s">
        <v>401</v>
      </c>
      <c r="X1" s="148" t="s">
        <v>402</v>
      </c>
      <c r="Y1" s="148" t="s">
        <v>587</v>
      </c>
      <c r="Z1" s="148" t="s">
        <v>588</v>
      </c>
      <c r="AA1" s="148" t="s">
        <v>589</v>
      </c>
      <c r="AB1" s="148" t="s">
        <v>590</v>
      </c>
      <c r="AC1" s="145"/>
      <c r="AD1" s="149"/>
      <c r="AE1" s="149"/>
      <c r="AF1" s="149"/>
      <c r="AG1" s="149"/>
    </row>
    <row r="2" spans="1:41" ht="12.75" customHeight="1" thickBot="1">
      <c r="A2" s="255"/>
      <c r="I2" s="255"/>
      <c r="AC2" s="153"/>
      <c r="AD2" s="154"/>
      <c r="AE2" s="155"/>
      <c r="AF2" s="155"/>
      <c r="AG2" s="149"/>
      <c r="AH2" s="149"/>
      <c r="AI2" s="149"/>
      <c r="AJ2" s="149"/>
      <c r="AK2" s="149"/>
      <c r="AL2" s="149"/>
      <c r="AM2" s="149"/>
      <c r="AN2" s="149"/>
      <c r="AO2" s="149"/>
    </row>
    <row r="3" spans="1:41" ht="12.75" customHeight="1">
      <c r="A3" s="255"/>
      <c r="C3" s="151"/>
      <c r="D3" s="151"/>
      <c r="E3" s="151"/>
      <c r="F3" s="151"/>
      <c r="G3" s="151"/>
      <c r="H3" s="151"/>
      <c r="I3" s="255"/>
      <c r="J3" s="151"/>
      <c r="K3" s="151"/>
      <c r="L3" s="151"/>
      <c r="M3" s="151"/>
      <c r="N3" s="151"/>
      <c r="O3" s="151"/>
      <c r="P3" s="151"/>
      <c r="Q3" s="151"/>
      <c r="R3" s="151"/>
      <c r="S3" s="151"/>
      <c r="T3" s="151"/>
      <c r="U3" s="151"/>
      <c r="V3" s="151"/>
      <c r="W3" s="151"/>
      <c r="X3" s="151"/>
      <c r="Y3" s="247"/>
      <c r="Z3" s="247"/>
      <c r="AA3" s="247"/>
      <c r="AB3" s="247"/>
      <c r="AC3" s="153"/>
      <c r="AD3" s="156"/>
      <c r="AE3" s="157"/>
      <c r="AF3" s="157"/>
      <c r="AG3" s="157"/>
      <c r="AH3" s="157"/>
      <c r="AI3" s="157"/>
      <c r="AJ3" s="157"/>
      <c r="AK3" s="157"/>
      <c r="AL3" s="157"/>
      <c r="AM3" s="157"/>
      <c r="AN3" s="157"/>
      <c r="AO3" s="158"/>
    </row>
    <row r="4" spans="1:41" ht="15">
      <c r="A4" s="255"/>
      <c r="C4" s="151"/>
      <c r="D4" s="151"/>
      <c r="E4" s="151"/>
      <c r="F4" s="151"/>
      <c r="G4" s="151"/>
      <c r="H4" s="151"/>
      <c r="I4" s="255"/>
      <c r="J4" s="151"/>
      <c r="K4" s="151"/>
      <c r="L4" s="151"/>
      <c r="M4" s="151"/>
      <c r="N4" s="151"/>
      <c r="O4" s="151"/>
      <c r="P4" s="151"/>
      <c r="Q4" s="151"/>
      <c r="R4" s="151"/>
      <c r="S4" s="151"/>
      <c r="T4" s="151"/>
      <c r="U4" s="151"/>
      <c r="V4" s="151"/>
      <c r="W4" s="151"/>
      <c r="X4" s="151"/>
      <c r="Y4" s="247"/>
      <c r="Z4" s="247"/>
      <c r="AA4" s="247"/>
      <c r="AB4" s="247"/>
      <c r="AC4" s="153"/>
      <c r="AD4" s="159"/>
      <c r="AE4" s="160"/>
      <c r="AF4" s="149"/>
      <c r="AG4" s="149"/>
      <c r="AH4" s="149"/>
      <c r="AI4" s="149"/>
      <c r="AJ4" s="149"/>
      <c r="AK4" s="149"/>
      <c r="AL4" s="149"/>
      <c r="AM4" s="149"/>
      <c r="AN4" s="149"/>
      <c r="AO4" s="161"/>
    </row>
    <row r="5" spans="1:41" ht="15">
      <c r="C5" s="151"/>
      <c r="D5" s="151"/>
      <c r="E5" s="151"/>
      <c r="F5" s="151"/>
      <c r="G5" s="151"/>
      <c r="H5" s="151"/>
      <c r="I5" s="151"/>
      <c r="J5" s="151"/>
      <c r="K5" s="151"/>
      <c r="L5" s="151"/>
      <c r="M5" s="151"/>
      <c r="N5" s="151"/>
      <c r="O5" s="151"/>
      <c r="P5" s="151"/>
      <c r="Q5" s="151"/>
      <c r="R5" s="151"/>
      <c r="S5" s="151"/>
      <c r="T5" s="151"/>
      <c r="U5" s="151"/>
      <c r="V5" s="151"/>
      <c r="W5" s="151"/>
      <c r="X5" s="151"/>
      <c r="Y5" s="247"/>
      <c r="Z5" s="247"/>
      <c r="AA5" s="247"/>
      <c r="AB5" s="247"/>
      <c r="AC5" s="153"/>
      <c r="AD5" s="162" t="s">
        <v>380</v>
      </c>
      <c r="AE5" s="163" t="s">
        <v>591</v>
      </c>
      <c r="AF5" s="164"/>
      <c r="AG5" s="165" t="s">
        <v>403</v>
      </c>
      <c r="AH5" s="149"/>
      <c r="AI5" s="149"/>
      <c r="AJ5" s="149"/>
      <c r="AK5" s="149"/>
      <c r="AL5" s="149"/>
      <c r="AM5" s="149"/>
      <c r="AN5" s="149"/>
      <c r="AO5" s="161"/>
    </row>
    <row r="6" spans="1:41" ht="15">
      <c r="C6" s="247"/>
      <c r="D6" s="247"/>
      <c r="E6" s="247"/>
      <c r="F6" s="247"/>
      <c r="G6" s="247"/>
      <c r="H6" s="247"/>
      <c r="I6" s="247"/>
      <c r="J6" s="247"/>
      <c r="K6" s="247"/>
      <c r="L6" s="247"/>
      <c r="M6" s="247"/>
      <c r="N6" s="247"/>
      <c r="O6" s="247"/>
      <c r="P6" s="247"/>
      <c r="Q6" s="247"/>
      <c r="R6" s="247"/>
      <c r="S6" s="247"/>
      <c r="T6" s="247"/>
      <c r="U6" s="247"/>
      <c r="V6" s="247"/>
      <c r="W6" s="247"/>
      <c r="X6" s="247"/>
      <c r="Y6" s="247"/>
      <c r="Z6" s="247"/>
      <c r="AA6" s="247"/>
      <c r="AB6" s="247"/>
      <c r="AC6" s="153"/>
      <c r="AD6" s="166" t="s">
        <v>381</v>
      </c>
      <c r="AE6" s="167" t="s">
        <v>592</v>
      </c>
      <c r="AF6" s="248"/>
      <c r="AG6" s="165"/>
      <c r="AH6" s="149"/>
      <c r="AI6" s="149"/>
      <c r="AJ6" s="149"/>
      <c r="AK6" s="149"/>
      <c r="AL6" s="149"/>
      <c r="AM6" s="149"/>
      <c r="AN6" s="149"/>
      <c r="AO6" s="161"/>
    </row>
    <row r="7" spans="1:41" ht="15">
      <c r="C7" s="247"/>
      <c r="D7" s="247"/>
      <c r="E7" s="247"/>
      <c r="F7" s="247"/>
      <c r="G7" s="247"/>
      <c r="H7" s="247"/>
      <c r="I7" s="247"/>
      <c r="J7" s="247"/>
      <c r="K7" s="247"/>
      <c r="L7" s="247"/>
      <c r="M7" s="247"/>
      <c r="N7" s="247"/>
      <c r="O7" s="247"/>
      <c r="P7" s="247"/>
      <c r="Q7" s="247"/>
      <c r="R7" s="247"/>
      <c r="S7" s="247"/>
      <c r="T7" s="247"/>
      <c r="U7" s="247"/>
      <c r="V7" s="247"/>
      <c r="W7" s="247"/>
      <c r="X7" s="247"/>
      <c r="Y7" s="247"/>
      <c r="Z7" s="247"/>
      <c r="AA7" s="247"/>
      <c r="AB7" s="247"/>
      <c r="AC7" s="153"/>
      <c r="AD7" s="166" t="s">
        <v>383</v>
      </c>
      <c r="AE7" s="167" t="s">
        <v>593</v>
      </c>
      <c r="AF7" s="248"/>
      <c r="AG7" s="165"/>
      <c r="AH7" s="149"/>
      <c r="AI7" s="149"/>
      <c r="AJ7" s="149"/>
      <c r="AK7" s="149"/>
      <c r="AL7" s="149"/>
      <c r="AM7" s="149"/>
      <c r="AN7" s="149"/>
      <c r="AO7" s="161"/>
    </row>
    <row r="8" spans="1:41" ht="15">
      <c r="C8" s="247"/>
      <c r="D8" s="247"/>
      <c r="E8" s="247"/>
      <c r="F8" s="247"/>
      <c r="G8" s="247"/>
      <c r="H8" s="247"/>
      <c r="I8" s="247"/>
      <c r="J8" s="247"/>
      <c r="K8" s="247"/>
      <c r="L8" s="247"/>
      <c r="M8" s="247"/>
      <c r="N8" s="247"/>
      <c r="O8" s="247"/>
      <c r="P8" s="247"/>
      <c r="Q8" s="247"/>
      <c r="R8" s="247"/>
      <c r="S8" s="247"/>
      <c r="T8" s="247"/>
      <c r="U8" s="247"/>
      <c r="V8" s="247"/>
      <c r="W8" s="247"/>
      <c r="X8" s="247"/>
      <c r="Y8" s="247"/>
      <c r="Z8" s="247"/>
      <c r="AA8" s="247"/>
      <c r="AB8" s="247"/>
      <c r="AC8" s="153"/>
      <c r="AD8" s="166" t="s">
        <v>385</v>
      </c>
      <c r="AE8" s="167" t="s">
        <v>594</v>
      </c>
      <c r="AF8" s="248"/>
      <c r="AG8" s="165"/>
      <c r="AH8" s="149"/>
      <c r="AI8" s="149"/>
      <c r="AJ8" s="149"/>
      <c r="AK8" s="149"/>
      <c r="AL8" s="149"/>
      <c r="AM8" s="149"/>
      <c r="AN8" s="149"/>
      <c r="AO8" s="161"/>
    </row>
    <row r="9" spans="1:41" ht="15">
      <c r="A9" s="255"/>
      <c r="C9" s="151"/>
      <c r="D9" s="151"/>
      <c r="E9" s="151"/>
      <c r="F9" s="151"/>
      <c r="G9" s="151"/>
      <c r="H9" s="151"/>
      <c r="I9" s="151"/>
      <c r="J9" s="151"/>
      <c r="K9" s="151"/>
      <c r="L9" s="151"/>
      <c r="M9" s="151"/>
      <c r="N9" s="151"/>
      <c r="O9" s="151"/>
      <c r="P9" s="151"/>
      <c r="Q9" s="151"/>
      <c r="R9" s="151"/>
      <c r="S9" s="151"/>
      <c r="T9" s="151"/>
      <c r="U9" s="151"/>
      <c r="V9" s="151"/>
      <c r="W9" s="151"/>
      <c r="X9" s="151"/>
      <c r="Y9" s="247"/>
      <c r="Z9" s="247"/>
      <c r="AA9" s="247"/>
      <c r="AB9" s="247"/>
      <c r="AC9" s="153"/>
      <c r="AD9" s="166" t="s">
        <v>387</v>
      </c>
      <c r="AE9" s="167" t="s">
        <v>595</v>
      </c>
      <c r="AF9" s="168"/>
      <c r="AG9" s="149"/>
      <c r="AH9" s="149"/>
      <c r="AI9" s="149"/>
      <c r="AJ9" s="149"/>
      <c r="AK9" s="149"/>
      <c r="AL9" s="149"/>
      <c r="AM9" s="149"/>
      <c r="AN9" s="149"/>
      <c r="AO9" s="161"/>
    </row>
    <row r="10" spans="1:41" ht="15">
      <c r="A10" s="255"/>
      <c r="C10" s="151"/>
      <c r="D10" s="151"/>
      <c r="E10" s="151"/>
      <c r="F10" s="151"/>
      <c r="G10" s="151"/>
      <c r="H10" s="151"/>
      <c r="I10" s="151"/>
      <c r="J10" s="151"/>
      <c r="K10" s="151"/>
      <c r="L10" s="151"/>
      <c r="M10" s="151"/>
      <c r="N10" s="151"/>
      <c r="O10" s="151"/>
      <c r="P10" s="151"/>
      <c r="Q10" s="151"/>
      <c r="R10" s="151"/>
      <c r="S10" s="151"/>
      <c r="T10" s="151"/>
      <c r="U10" s="151"/>
      <c r="V10" s="151"/>
      <c r="W10" s="151"/>
      <c r="X10" s="151"/>
      <c r="Y10" s="247"/>
      <c r="Z10" s="247"/>
      <c r="AA10" s="247"/>
      <c r="AB10" s="247"/>
      <c r="AC10" s="153"/>
      <c r="AD10" s="166" t="s">
        <v>389</v>
      </c>
      <c r="AE10" s="167" t="s">
        <v>596</v>
      </c>
      <c r="AF10" s="168"/>
      <c r="AG10" s="149"/>
      <c r="AH10" s="149"/>
      <c r="AI10" s="149"/>
      <c r="AJ10" s="149"/>
      <c r="AK10" s="149"/>
      <c r="AL10" s="149"/>
      <c r="AM10" s="149"/>
      <c r="AN10" s="149"/>
      <c r="AO10" s="161"/>
    </row>
    <row r="11" spans="1:41" ht="15">
      <c r="C11" s="151"/>
      <c r="D11" s="151"/>
      <c r="E11" s="151"/>
      <c r="F11" s="151"/>
      <c r="G11" s="151"/>
      <c r="H11" s="151"/>
      <c r="I11" s="151"/>
      <c r="J11" s="151"/>
      <c r="K11" s="151"/>
      <c r="L11" s="151"/>
      <c r="M11" s="151"/>
      <c r="N11" s="151"/>
      <c r="O11" s="151"/>
      <c r="P11" s="151"/>
      <c r="Q11" s="151"/>
      <c r="R11" s="151"/>
      <c r="S11" s="151"/>
      <c r="T11" s="151"/>
      <c r="U11" s="151"/>
      <c r="V11" s="151"/>
      <c r="W11" s="151"/>
      <c r="X11" s="151"/>
      <c r="Y11" s="247"/>
      <c r="Z11" s="247"/>
      <c r="AA11" s="247"/>
      <c r="AB11" s="247"/>
      <c r="AC11" s="153"/>
      <c r="AD11" s="166" t="s">
        <v>391</v>
      </c>
      <c r="AE11" s="167" t="s">
        <v>597</v>
      </c>
      <c r="AF11" s="168"/>
      <c r="AG11" s="149"/>
      <c r="AH11" s="149"/>
      <c r="AI11" s="149"/>
      <c r="AJ11" s="149"/>
      <c r="AK11" s="149"/>
      <c r="AL11" s="149"/>
      <c r="AM11" s="149"/>
      <c r="AN11" s="149"/>
      <c r="AO11" s="161"/>
    </row>
    <row r="12" spans="1:41" ht="15">
      <c r="C12" s="151"/>
      <c r="D12" s="151"/>
      <c r="E12" s="151"/>
      <c r="F12" s="151"/>
      <c r="G12" s="151"/>
      <c r="H12" s="151"/>
      <c r="I12" s="151"/>
      <c r="J12" s="151"/>
      <c r="K12" s="151"/>
      <c r="L12" s="151"/>
      <c r="M12" s="151"/>
      <c r="N12" s="151"/>
      <c r="O12" s="151"/>
      <c r="P12" s="151"/>
      <c r="Q12" s="151"/>
      <c r="R12" s="151"/>
      <c r="S12" s="151"/>
      <c r="T12" s="151"/>
      <c r="U12" s="151"/>
      <c r="V12" s="151"/>
      <c r="W12" s="151"/>
      <c r="X12" s="151"/>
      <c r="Y12" s="247"/>
      <c r="Z12" s="247"/>
      <c r="AA12" s="247"/>
      <c r="AB12" s="247"/>
      <c r="AC12" s="153"/>
      <c r="AD12" s="166" t="s">
        <v>393</v>
      </c>
      <c r="AE12" s="167" t="s">
        <v>598</v>
      </c>
      <c r="AF12" s="168"/>
      <c r="AG12" s="149"/>
      <c r="AH12" s="149"/>
      <c r="AI12" s="149"/>
      <c r="AJ12" s="149"/>
      <c r="AK12" s="149"/>
      <c r="AL12" s="149"/>
      <c r="AM12" s="149"/>
      <c r="AN12" s="149"/>
      <c r="AO12" s="161"/>
    </row>
    <row r="13" spans="1:41" ht="15">
      <c r="C13" s="151"/>
      <c r="D13" s="151"/>
      <c r="E13" s="151"/>
      <c r="F13" s="151"/>
      <c r="G13" s="151"/>
      <c r="H13" s="151"/>
      <c r="I13" s="151"/>
      <c r="J13" s="151"/>
      <c r="K13" s="151"/>
      <c r="L13" s="151"/>
      <c r="M13" s="151"/>
      <c r="N13" s="151"/>
      <c r="O13" s="151"/>
      <c r="P13" s="151"/>
      <c r="Q13" s="151"/>
      <c r="R13" s="151"/>
      <c r="S13" s="151"/>
      <c r="T13" s="151"/>
      <c r="U13" s="151"/>
      <c r="V13" s="151"/>
      <c r="W13" s="151"/>
      <c r="X13" s="151"/>
      <c r="Y13" s="247"/>
      <c r="Z13" s="247"/>
      <c r="AA13" s="247"/>
      <c r="AB13" s="247"/>
      <c r="AC13" s="153"/>
      <c r="AD13" s="166" t="s">
        <v>395</v>
      </c>
      <c r="AE13" s="167" t="s">
        <v>599</v>
      </c>
      <c r="AF13" s="168"/>
      <c r="AG13" s="149"/>
      <c r="AH13" s="149"/>
      <c r="AI13" s="149"/>
      <c r="AJ13" s="149"/>
      <c r="AK13" s="149"/>
      <c r="AL13" s="149"/>
      <c r="AM13" s="149"/>
      <c r="AN13" s="149"/>
      <c r="AO13" s="161"/>
    </row>
    <row r="14" spans="1:41" ht="15">
      <c r="C14" s="151"/>
      <c r="D14" s="151"/>
      <c r="E14" s="151"/>
      <c r="F14" s="151"/>
      <c r="G14" s="151"/>
      <c r="H14" s="151"/>
      <c r="I14" s="151"/>
      <c r="J14" s="151"/>
      <c r="K14" s="151"/>
      <c r="L14" s="151"/>
      <c r="M14" s="151"/>
      <c r="N14" s="151"/>
      <c r="O14" s="151"/>
      <c r="P14" s="151"/>
      <c r="Q14" s="151"/>
      <c r="R14" s="151"/>
      <c r="S14" s="151"/>
      <c r="T14" s="151"/>
      <c r="U14" s="151"/>
      <c r="V14" s="151"/>
      <c r="W14" s="151"/>
      <c r="X14" s="151"/>
      <c r="Y14" s="247"/>
      <c r="Z14" s="247"/>
      <c r="AA14" s="247"/>
      <c r="AB14" s="247"/>
      <c r="AC14" s="153"/>
      <c r="AD14" s="166" t="s">
        <v>397</v>
      </c>
      <c r="AE14" s="167" t="s">
        <v>600</v>
      </c>
      <c r="AF14" s="168"/>
      <c r="AG14" s="149"/>
      <c r="AH14" s="149"/>
      <c r="AI14" s="149"/>
      <c r="AJ14" s="149"/>
      <c r="AK14" s="149"/>
      <c r="AL14" s="149"/>
      <c r="AM14" s="149"/>
      <c r="AN14" s="149"/>
      <c r="AO14" s="161"/>
    </row>
    <row r="15" spans="1:41" ht="15">
      <c r="B15" s="152" t="s">
        <v>404</v>
      </c>
      <c r="C15" s="151"/>
      <c r="D15" s="151"/>
      <c r="E15" s="151"/>
      <c r="F15" s="151"/>
      <c r="G15" s="151"/>
      <c r="H15" s="151"/>
      <c r="I15" s="151"/>
      <c r="J15" s="151"/>
      <c r="K15" s="151"/>
      <c r="L15" s="151"/>
      <c r="M15" s="151"/>
      <c r="N15" s="151"/>
      <c r="O15" s="151"/>
      <c r="P15" s="151"/>
      <c r="Q15" s="151"/>
      <c r="R15" s="151"/>
      <c r="S15" s="151"/>
      <c r="T15" s="151"/>
      <c r="U15" s="151"/>
      <c r="V15" s="151"/>
      <c r="W15" s="151"/>
      <c r="X15" s="151"/>
      <c r="Y15" s="247"/>
      <c r="Z15" s="247"/>
      <c r="AA15" s="247"/>
      <c r="AB15" s="247"/>
      <c r="AC15" s="153"/>
      <c r="AD15" s="169" t="s">
        <v>399</v>
      </c>
      <c r="AE15" s="170" t="s">
        <v>601</v>
      </c>
      <c r="AF15" s="171"/>
      <c r="AG15" s="149"/>
      <c r="AH15" s="149"/>
      <c r="AI15" s="149"/>
      <c r="AJ15" s="149"/>
      <c r="AK15" s="149"/>
      <c r="AL15" s="149"/>
      <c r="AM15" s="149"/>
      <c r="AN15" s="149"/>
      <c r="AO15" s="161"/>
    </row>
    <row r="16" spans="1:41" ht="15">
      <c r="B16" s="152" t="s">
        <v>404</v>
      </c>
      <c r="C16" s="151"/>
      <c r="D16" s="151"/>
      <c r="E16" s="151"/>
      <c r="F16" s="151"/>
      <c r="G16" s="151"/>
      <c r="H16" s="151"/>
      <c r="I16" s="151"/>
      <c r="J16" s="151"/>
      <c r="K16" s="151"/>
      <c r="L16" s="151"/>
      <c r="M16" s="151"/>
      <c r="N16" s="151"/>
      <c r="O16" s="151"/>
      <c r="P16" s="151"/>
      <c r="Q16" s="151"/>
      <c r="R16" s="151"/>
      <c r="S16" s="151"/>
      <c r="T16" s="151"/>
      <c r="U16" s="151"/>
      <c r="V16" s="151"/>
      <c r="W16" s="151"/>
      <c r="X16" s="151"/>
      <c r="Y16" s="247"/>
      <c r="Z16" s="247"/>
      <c r="AA16" s="247"/>
      <c r="AB16" s="247"/>
      <c r="AC16" s="153"/>
      <c r="AD16" s="169" t="s">
        <v>400</v>
      </c>
      <c r="AE16" s="170" t="s">
        <v>602</v>
      </c>
      <c r="AF16" s="171"/>
      <c r="AG16" s="149"/>
      <c r="AH16" s="149"/>
      <c r="AI16" s="149"/>
      <c r="AJ16" s="149"/>
      <c r="AK16" s="149"/>
      <c r="AL16" s="149"/>
      <c r="AM16" s="149"/>
      <c r="AN16" s="149"/>
      <c r="AO16" s="161"/>
    </row>
    <row r="17" spans="2:41" ht="15">
      <c r="B17" s="152" t="s">
        <v>404</v>
      </c>
      <c r="C17" s="151"/>
      <c r="D17" s="151"/>
      <c r="E17" s="151"/>
      <c r="F17" s="151"/>
      <c r="G17" s="151"/>
      <c r="H17" s="151"/>
      <c r="I17" s="151"/>
      <c r="J17" s="151"/>
      <c r="K17" s="151"/>
      <c r="L17" s="151"/>
      <c r="M17" s="151"/>
      <c r="N17" s="151"/>
      <c r="O17" s="151"/>
      <c r="P17" s="151"/>
      <c r="Q17" s="151"/>
      <c r="R17" s="151"/>
      <c r="S17" s="151"/>
      <c r="T17" s="151"/>
      <c r="U17" s="151"/>
      <c r="V17" s="151"/>
      <c r="W17" s="151"/>
      <c r="X17" s="151"/>
      <c r="Y17" s="247"/>
      <c r="Z17" s="247"/>
      <c r="AA17" s="247"/>
      <c r="AB17" s="247"/>
      <c r="AC17" s="153"/>
      <c r="AD17" s="169" t="s">
        <v>401</v>
      </c>
      <c r="AE17" s="170" t="s">
        <v>603</v>
      </c>
      <c r="AF17" s="171"/>
      <c r="AG17" s="149"/>
      <c r="AH17" s="149"/>
      <c r="AI17" s="149"/>
      <c r="AJ17" s="149"/>
      <c r="AK17" s="149"/>
      <c r="AL17" s="149"/>
      <c r="AM17" s="149"/>
      <c r="AN17" s="149"/>
      <c r="AO17" s="161"/>
    </row>
    <row r="18" spans="2:41" ht="15">
      <c r="B18" s="152" t="s">
        <v>404</v>
      </c>
      <c r="C18" s="151"/>
      <c r="D18" s="151"/>
      <c r="E18" s="151"/>
      <c r="F18" s="151"/>
      <c r="G18" s="151"/>
      <c r="H18" s="151"/>
      <c r="I18" s="151"/>
      <c r="J18" s="151"/>
      <c r="K18" s="151"/>
      <c r="L18" s="151"/>
      <c r="M18" s="151"/>
      <c r="N18" s="151"/>
      <c r="O18" s="151"/>
      <c r="P18" s="151"/>
      <c r="Q18" s="151"/>
      <c r="R18" s="151"/>
      <c r="S18" s="151"/>
      <c r="T18" s="151"/>
      <c r="U18" s="151"/>
      <c r="V18" s="151"/>
      <c r="W18" s="151"/>
      <c r="X18" s="151"/>
      <c r="Y18" s="247"/>
      <c r="Z18" s="247"/>
      <c r="AA18" s="247"/>
      <c r="AB18" s="247"/>
      <c r="AC18" s="153"/>
      <c r="AD18" s="169" t="s">
        <v>402</v>
      </c>
      <c r="AE18" s="170" t="s">
        <v>604</v>
      </c>
      <c r="AF18" s="171"/>
      <c r="AG18" s="149"/>
      <c r="AH18" s="149"/>
      <c r="AI18" s="149"/>
      <c r="AJ18" s="149"/>
      <c r="AK18" s="149"/>
      <c r="AL18" s="149"/>
      <c r="AM18" s="149"/>
      <c r="AN18" s="149"/>
      <c r="AO18" s="161"/>
    </row>
    <row r="19" spans="2:41" ht="15">
      <c r="C19" s="247"/>
      <c r="D19" s="247"/>
      <c r="E19" s="247"/>
      <c r="F19" s="247"/>
      <c r="G19" s="247"/>
      <c r="H19" s="247"/>
      <c r="I19" s="247"/>
      <c r="J19" s="247"/>
      <c r="K19" s="247"/>
      <c r="L19" s="247"/>
      <c r="M19" s="247"/>
      <c r="N19" s="247"/>
      <c r="O19" s="247"/>
      <c r="P19" s="247"/>
      <c r="Q19" s="247"/>
      <c r="R19" s="247"/>
      <c r="S19" s="247"/>
      <c r="T19" s="247"/>
      <c r="U19" s="247"/>
      <c r="V19" s="247"/>
      <c r="W19" s="247"/>
      <c r="X19" s="247"/>
      <c r="Y19" s="247"/>
      <c r="Z19" s="247"/>
      <c r="AA19" s="247"/>
      <c r="AB19" s="247"/>
      <c r="AC19" s="153"/>
      <c r="AD19" s="169" t="s">
        <v>587</v>
      </c>
      <c r="AE19" s="170" t="s">
        <v>605</v>
      </c>
      <c r="AF19" s="171"/>
      <c r="AG19" s="149"/>
      <c r="AH19" s="149"/>
      <c r="AI19" s="149"/>
      <c r="AJ19" s="149"/>
      <c r="AK19" s="149"/>
      <c r="AL19" s="149"/>
      <c r="AM19" s="149"/>
      <c r="AN19" s="149"/>
      <c r="AO19" s="161"/>
    </row>
    <row r="20" spans="2:41" ht="15">
      <c r="C20" s="247"/>
      <c r="D20" s="247"/>
      <c r="E20" s="247"/>
      <c r="F20" s="247"/>
      <c r="G20" s="247"/>
      <c r="H20" s="247"/>
      <c r="I20" s="247"/>
      <c r="J20" s="247"/>
      <c r="K20" s="247"/>
      <c r="L20" s="247"/>
      <c r="M20" s="247"/>
      <c r="N20" s="247"/>
      <c r="O20" s="247"/>
      <c r="P20" s="247"/>
      <c r="Q20" s="247"/>
      <c r="R20" s="247"/>
      <c r="S20" s="247"/>
      <c r="T20" s="247"/>
      <c r="U20" s="247"/>
      <c r="V20" s="247"/>
      <c r="W20" s="247"/>
      <c r="X20" s="247"/>
      <c r="Y20" s="247"/>
      <c r="Z20" s="247"/>
      <c r="AA20" s="247"/>
      <c r="AB20" s="247"/>
      <c r="AC20" s="153"/>
      <c r="AD20" s="169" t="s">
        <v>588</v>
      </c>
      <c r="AE20" s="170" t="s">
        <v>606</v>
      </c>
      <c r="AF20" s="171"/>
      <c r="AG20" s="149"/>
      <c r="AH20" s="149"/>
      <c r="AI20" s="149"/>
      <c r="AJ20" s="149"/>
      <c r="AK20" s="149"/>
      <c r="AL20" s="149"/>
      <c r="AM20" s="149"/>
      <c r="AN20" s="149"/>
      <c r="AO20" s="161"/>
    </row>
    <row r="21" spans="2:41" ht="15">
      <c r="C21" s="247"/>
      <c r="D21" s="247"/>
      <c r="E21" s="247"/>
      <c r="F21" s="247"/>
      <c r="G21" s="247"/>
      <c r="H21" s="247"/>
      <c r="I21" s="247"/>
      <c r="J21" s="247"/>
      <c r="K21" s="247"/>
      <c r="L21" s="247"/>
      <c r="M21" s="247"/>
      <c r="N21" s="247"/>
      <c r="O21" s="247"/>
      <c r="P21" s="247"/>
      <c r="Q21" s="247"/>
      <c r="R21" s="247"/>
      <c r="S21" s="247"/>
      <c r="T21" s="247"/>
      <c r="U21" s="247"/>
      <c r="V21" s="247"/>
      <c r="W21" s="247"/>
      <c r="X21" s="247"/>
      <c r="Y21" s="247"/>
      <c r="Z21" s="247"/>
      <c r="AA21" s="247"/>
      <c r="AB21" s="247"/>
      <c r="AC21" s="153"/>
      <c r="AD21" s="169" t="s">
        <v>589</v>
      </c>
      <c r="AE21" s="170" t="s">
        <v>607</v>
      </c>
      <c r="AF21" s="171"/>
      <c r="AG21" s="149"/>
      <c r="AH21" s="149"/>
      <c r="AI21" s="149"/>
      <c r="AJ21" s="149"/>
      <c r="AK21" s="149"/>
      <c r="AL21" s="149"/>
      <c r="AM21" s="149"/>
      <c r="AN21" s="149"/>
      <c r="AO21" s="161"/>
    </row>
    <row r="22" spans="2:41" ht="15">
      <c r="C22" s="247"/>
      <c r="D22" s="247"/>
      <c r="E22" s="247"/>
      <c r="F22" s="247"/>
      <c r="G22" s="247"/>
      <c r="H22" s="247"/>
      <c r="I22" s="247"/>
      <c r="J22" s="247"/>
      <c r="K22" s="247"/>
      <c r="L22" s="247"/>
      <c r="M22" s="247"/>
      <c r="N22" s="247"/>
      <c r="O22" s="247"/>
      <c r="P22" s="247"/>
      <c r="Q22" s="247"/>
      <c r="R22" s="247"/>
      <c r="S22" s="247"/>
      <c r="T22" s="247"/>
      <c r="U22" s="247"/>
      <c r="V22" s="247"/>
      <c r="W22" s="247"/>
      <c r="X22" s="247"/>
      <c r="Y22" s="247"/>
      <c r="Z22" s="247"/>
      <c r="AA22" s="247"/>
      <c r="AB22" s="247"/>
      <c r="AC22" s="153"/>
      <c r="AD22" s="169" t="s">
        <v>590</v>
      </c>
      <c r="AE22" s="170" t="s">
        <v>608</v>
      </c>
      <c r="AF22" s="171"/>
      <c r="AG22" s="149"/>
      <c r="AH22" s="149"/>
      <c r="AI22" s="149"/>
      <c r="AJ22" s="149"/>
      <c r="AK22" s="149"/>
      <c r="AL22" s="149"/>
      <c r="AM22" s="149"/>
      <c r="AN22" s="149"/>
      <c r="AO22" s="161"/>
    </row>
    <row r="23" spans="2:41" ht="15">
      <c r="B23" s="152" t="s">
        <v>404</v>
      </c>
      <c r="C23" s="151"/>
      <c r="D23" s="151"/>
      <c r="E23" s="151"/>
      <c r="F23" s="151"/>
      <c r="G23" s="151"/>
      <c r="H23" s="151"/>
      <c r="I23" s="151"/>
      <c r="J23" s="151"/>
      <c r="K23" s="151"/>
      <c r="L23" s="151"/>
      <c r="M23" s="151"/>
      <c r="N23" s="151"/>
      <c r="O23" s="151"/>
      <c r="P23" s="151"/>
      <c r="Q23" s="151"/>
      <c r="R23" s="151"/>
      <c r="S23" s="151"/>
      <c r="T23" s="151"/>
      <c r="U23" s="151"/>
      <c r="V23" s="151"/>
      <c r="W23" s="151"/>
      <c r="X23" s="151"/>
      <c r="Y23" s="247"/>
      <c r="Z23" s="247"/>
      <c r="AA23" s="247"/>
      <c r="AB23" s="247"/>
      <c r="AC23" s="153"/>
      <c r="AD23" s="328" t="s">
        <v>405</v>
      </c>
      <c r="AE23" s="149"/>
      <c r="AF23" s="149"/>
      <c r="AG23" s="149"/>
      <c r="AH23" s="149"/>
      <c r="AI23" s="149"/>
      <c r="AJ23" s="149"/>
      <c r="AK23" s="149"/>
      <c r="AL23" s="149"/>
      <c r="AM23" s="149"/>
      <c r="AN23" s="149"/>
      <c r="AO23" s="161"/>
    </row>
    <row r="24" spans="2:41" ht="15">
      <c r="B24" s="152" t="s">
        <v>404</v>
      </c>
      <c r="C24" s="151"/>
      <c r="D24" s="151"/>
      <c r="E24" s="151"/>
      <c r="F24" s="151"/>
      <c r="G24" s="151"/>
      <c r="H24" s="151"/>
      <c r="I24" s="151"/>
      <c r="J24" s="151"/>
      <c r="K24" s="151"/>
      <c r="L24" s="151"/>
      <c r="M24" s="151"/>
      <c r="N24" s="151"/>
      <c r="O24" s="151"/>
      <c r="P24" s="151"/>
      <c r="Q24" s="151"/>
      <c r="R24" s="151"/>
      <c r="S24" s="151"/>
      <c r="T24" s="151"/>
      <c r="U24" s="151"/>
      <c r="V24" s="151"/>
      <c r="W24" s="151"/>
      <c r="X24" s="151"/>
      <c r="Y24" s="247"/>
      <c r="Z24" s="247"/>
      <c r="AA24" s="247"/>
      <c r="AB24" s="247"/>
      <c r="AC24" s="153"/>
      <c r="AD24" s="328"/>
      <c r="AE24" s="172" t="s">
        <v>406</v>
      </c>
      <c r="AF24" s="149"/>
      <c r="AG24" s="149"/>
      <c r="AH24" s="149"/>
      <c r="AI24" s="149"/>
      <c r="AJ24" s="149"/>
      <c r="AK24" s="149"/>
      <c r="AL24" s="149"/>
      <c r="AM24" s="149"/>
      <c r="AN24" s="149"/>
      <c r="AO24" s="161"/>
    </row>
    <row r="25" spans="2:41" ht="15.75" thickBot="1">
      <c r="B25" s="152" t="s">
        <v>404</v>
      </c>
      <c r="C25" s="151"/>
      <c r="D25" s="151"/>
      <c r="E25" s="151"/>
      <c r="F25" s="151"/>
      <c r="G25" s="151"/>
      <c r="H25" s="151"/>
      <c r="I25" s="151"/>
      <c r="J25" s="151"/>
      <c r="K25" s="151"/>
      <c r="L25" s="151"/>
      <c r="M25" s="151"/>
      <c r="N25" s="151"/>
      <c r="O25" s="151"/>
      <c r="P25" s="151"/>
      <c r="Q25" s="151"/>
      <c r="R25" s="151"/>
      <c r="S25" s="151"/>
      <c r="T25" s="151"/>
      <c r="U25" s="151"/>
      <c r="V25" s="151"/>
      <c r="W25" s="151"/>
      <c r="X25" s="151"/>
      <c r="Y25" s="247"/>
      <c r="Z25" s="247"/>
      <c r="AA25" s="247"/>
      <c r="AB25" s="247"/>
      <c r="AC25" s="153"/>
      <c r="AD25" s="329"/>
      <c r="AE25" s="173" t="s">
        <v>407</v>
      </c>
      <c r="AF25" s="155"/>
      <c r="AG25" s="155"/>
      <c r="AH25" s="155"/>
      <c r="AI25" s="155"/>
      <c r="AJ25" s="155"/>
      <c r="AK25" s="155"/>
      <c r="AL25" s="155"/>
      <c r="AM25" s="155"/>
      <c r="AN25" s="155"/>
      <c r="AO25" s="174"/>
    </row>
    <row r="26" spans="2:41" ht="15">
      <c r="B26" s="152" t="s">
        <v>404</v>
      </c>
      <c r="C26" s="151"/>
      <c r="D26" s="151"/>
      <c r="E26" s="151"/>
      <c r="F26" s="151"/>
      <c r="G26" s="151"/>
      <c r="H26" s="151"/>
      <c r="I26" s="151"/>
      <c r="J26" s="151"/>
      <c r="K26" s="151"/>
      <c r="L26" s="151"/>
      <c r="M26" s="151"/>
      <c r="N26" s="151"/>
      <c r="O26" s="151"/>
      <c r="P26" s="151"/>
      <c r="Q26" s="151"/>
      <c r="R26" s="151"/>
      <c r="S26" s="151"/>
      <c r="T26" s="151"/>
      <c r="U26" s="151"/>
      <c r="V26" s="151"/>
      <c r="W26" s="151"/>
      <c r="X26" s="151"/>
      <c r="Y26" s="247"/>
      <c r="Z26" s="247"/>
      <c r="AA26" s="247"/>
      <c r="AB26" s="247"/>
      <c r="AC26" s="153"/>
      <c r="AD26" s="175"/>
      <c r="AE26" s="157"/>
      <c r="AF26" s="157"/>
      <c r="AG26" s="157"/>
      <c r="AH26" s="157"/>
      <c r="AI26" s="157"/>
      <c r="AJ26" s="157"/>
      <c r="AK26" s="157"/>
      <c r="AL26" s="157"/>
      <c r="AM26" s="157"/>
      <c r="AN26" s="157"/>
      <c r="AO26" s="157"/>
    </row>
    <row r="27" spans="2:41" ht="15.75" thickBot="1">
      <c r="B27" s="152" t="s">
        <v>404</v>
      </c>
      <c r="C27" s="151"/>
      <c r="D27" s="151"/>
      <c r="E27" s="151"/>
      <c r="F27" s="151"/>
      <c r="G27" s="151"/>
      <c r="H27" s="151"/>
      <c r="I27" s="151"/>
      <c r="J27" s="151"/>
      <c r="K27" s="151"/>
      <c r="L27" s="151"/>
      <c r="M27" s="151"/>
      <c r="N27" s="151"/>
      <c r="O27" s="151"/>
      <c r="P27" s="151"/>
      <c r="Q27" s="151"/>
      <c r="R27" s="151"/>
      <c r="S27" s="151"/>
      <c r="T27" s="151"/>
      <c r="U27" s="151"/>
      <c r="V27" s="151"/>
      <c r="W27" s="151"/>
      <c r="X27" s="151"/>
      <c r="Y27" s="247"/>
      <c r="Z27" s="247"/>
      <c r="AA27" s="247"/>
      <c r="AB27" s="247"/>
      <c r="AC27" s="153"/>
      <c r="AD27" s="176" t="s">
        <v>408</v>
      </c>
      <c r="AE27" s="149"/>
      <c r="AF27" s="149"/>
      <c r="AG27" s="149"/>
      <c r="AH27" s="149"/>
      <c r="AI27" s="149"/>
      <c r="AJ27" s="149"/>
      <c r="AK27" s="149"/>
      <c r="AL27" s="149"/>
      <c r="AM27" s="149"/>
      <c r="AN27" s="149"/>
      <c r="AO27" s="149"/>
    </row>
    <row r="28" spans="2:41" ht="15">
      <c r="B28" s="152" t="s">
        <v>404</v>
      </c>
      <c r="C28" s="151"/>
      <c r="D28" s="151"/>
      <c r="E28" s="151"/>
      <c r="F28" s="151"/>
      <c r="G28" s="151"/>
      <c r="H28" s="151"/>
      <c r="I28" s="151"/>
      <c r="J28" s="151"/>
      <c r="K28" s="151"/>
      <c r="L28" s="151"/>
      <c r="M28" s="151"/>
      <c r="N28" s="151"/>
      <c r="O28" s="151"/>
      <c r="P28" s="151"/>
      <c r="Q28" s="151"/>
      <c r="R28" s="151"/>
      <c r="S28" s="151"/>
      <c r="T28" s="151"/>
      <c r="U28" s="151"/>
      <c r="V28" s="151"/>
      <c r="W28" s="151"/>
      <c r="X28" s="151"/>
      <c r="Y28" s="247"/>
      <c r="Z28" s="247"/>
      <c r="AA28" s="247"/>
      <c r="AB28" s="247"/>
      <c r="AC28" s="153"/>
      <c r="AD28" s="177" t="s">
        <v>409</v>
      </c>
      <c r="AE28" s="178"/>
      <c r="AF28" s="179"/>
      <c r="AG28" s="179"/>
      <c r="AH28" s="179"/>
      <c r="AI28" s="179"/>
      <c r="AJ28" s="179"/>
      <c r="AK28" s="179"/>
      <c r="AL28" s="179"/>
      <c r="AM28" s="179"/>
      <c r="AN28" s="179"/>
      <c r="AO28" s="180"/>
    </row>
    <row r="29" spans="2:41" ht="15">
      <c r="B29" s="152" t="s">
        <v>404</v>
      </c>
      <c r="C29" s="151"/>
      <c r="D29" s="151"/>
      <c r="E29" s="151"/>
      <c r="F29" s="151"/>
      <c r="G29" s="151"/>
      <c r="H29" s="151"/>
      <c r="I29" s="151"/>
      <c r="J29" s="151"/>
      <c r="K29" s="151"/>
      <c r="L29" s="151"/>
      <c r="M29" s="151"/>
      <c r="N29" s="151"/>
      <c r="O29" s="151"/>
      <c r="P29" s="151"/>
      <c r="Q29" s="151"/>
      <c r="R29" s="151"/>
      <c r="S29" s="151"/>
      <c r="T29" s="151"/>
      <c r="U29" s="151"/>
      <c r="V29" s="151"/>
      <c r="W29" s="151"/>
      <c r="X29" s="151"/>
      <c r="Y29" s="247"/>
      <c r="Z29" s="247"/>
      <c r="AA29" s="247"/>
      <c r="AB29" s="247"/>
      <c r="AC29" s="153"/>
      <c r="AD29" s="249" t="s">
        <v>410</v>
      </c>
      <c r="AE29" s="181"/>
      <c r="AF29" s="181"/>
      <c r="AG29" s="149"/>
      <c r="AH29" s="149"/>
      <c r="AI29" s="149"/>
      <c r="AJ29" s="149"/>
      <c r="AK29" s="181"/>
      <c r="AL29" s="181"/>
      <c r="AM29" s="149"/>
      <c r="AN29" s="149"/>
      <c r="AO29" s="182"/>
    </row>
    <row r="30" spans="2:41" ht="15">
      <c r="B30" s="152" t="s">
        <v>404</v>
      </c>
      <c r="C30" s="151"/>
      <c r="D30" s="151"/>
      <c r="E30" s="151"/>
      <c r="F30" s="151"/>
      <c r="G30" s="151"/>
      <c r="H30" s="151"/>
      <c r="I30" s="151"/>
      <c r="J30" s="151"/>
      <c r="K30" s="151"/>
      <c r="L30" s="151"/>
      <c r="M30" s="151"/>
      <c r="N30" s="151"/>
      <c r="O30" s="151"/>
      <c r="P30" s="151"/>
      <c r="Q30" s="151"/>
      <c r="R30" s="151"/>
      <c r="S30" s="151"/>
      <c r="T30" s="151"/>
      <c r="U30" s="151"/>
      <c r="V30" s="151"/>
      <c r="W30" s="151"/>
      <c r="X30" s="151"/>
      <c r="Y30" s="247"/>
      <c r="Z30" s="247"/>
      <c r="AA30" s="247"/>
      <c r="AB30" s="247"/>
      <c r="AC30" s="153"/>
      <c r="AD30" s="250" t="s">
        <v>411</v>
      </c>
      <c r="AE30" s="149"/>
      <c r="AF30" s="149"/>
      <c r="AG30" s="149"/>
      <c r="AH30" s="149"/>
      <c r="AI30" s="149"/>
      <c r="AJ30" s="149"/>
      <c r="AK30" s="149"/>
      <c r="AL30" s="149"/>
      <c r="AM30" s="149"/>
      <c r="AN30" s="149"/>
      <c r="AO30" s="161"/>
    </row>
    <row r="31" spans="2:41" ht="15">
      <c r="B31" s="152" t="s">
        <v>404</v>
      </c>
      <c r="C31" s="151"/>
      <c r="D31" s="151"/>
      <c r="E31" s="151"/>
      <c r="F31" s="151"/>
      <c r="G31" s="151"/>
      <c r="H31" s="151"/>
      <c r="I31" s="151"/>
      <c r="J31" s="151"/>
      <c r="K31" s="151"/>
      <c r="L31" s="151"/>
      <c r="M31" s="151"/>
      <c r="N31" s="151"/>
      <c r="O31" s="151"/>
      <c r="P31" s="151"/>
      <c r="Q31" s="151"/>
      <c r="R31" s="151"/>
      <c r="S31" s="151"/>
      <c r="T31" s="151"/>
      <c r="U31" s="151"/>
      <c r="V31" s="151"/>
      <c r="W31" s="151"/>
      <c r="X31" s="151"/>
      <c r="Y31" s="247"/>
      <c r="Z31" s="247"/>
      <c r="AA31" s="247"/>
      <c r="AB31" s="247"/>
      <c r="AC31" s="153"/>
      <c r="AD31" s="251" t="s">
        <v>412</v>
      </c>
      <c r="AE31" s="183"/>
      <c r="AF31" s="183"/>
      <c r="AG31" s="149"/>
      <c r="AH31" s="149"/>
      <c r="AI31" s="149"/>
      <c r="AJ31" s="149"/>
      <c r="AK31" s="183"/>
      <c r="AL31" s="183"/>
      <c r="AM31" s="149"/>
      <c r="AN31" s="149"/>
      <c r="AO31" s="184"/>
    </row>
    <row r="32" spans="2:41" ht="15">
      <c r="B32" s="152" t="s">
        <v>404</v>
      </c>
      <c r="C32" s="151"/>
      <c r="D32" s="151"/>
      <c r="E32" s="151"/>
      <c r="F32" s="151"/>
      <c r="G32" s="151"/>
      <c r="H32" s="151"/>
      <c r="I32" s="151"/>
      <c r="J32" s="151"/>
      <c r="K32" s="151"/>
      <c r="L32" s="151"/>
      <c r="M32" s="151"/>
      <c r="N32" s="151"/>
      <c r="O32" s="151"/>
      <c r="P32" s="151"/>
      <c r="Q32" s="151"/>
      <c r="R32" s="151"/>
      <c r="S32" s="151"/>
      <c r="T32" s="151"/>
      <c r="U32" s="151"/>
      <c r="V32" s="151"/>
      <c r="W32" s="151"/>
      <c r="X32" s="151"/>
      <c r="Y32" s="247"/>
      <c r="Z32" s="247"/>
      <c r="AA32" s="247"/>
      <c r="AB32" s="247"/>
      <c r="AC32" s="153"/>
      <c r="AD32" s="252" t="s">
        <v>413</v>
      </c>
      <c r="AE32" s="185"/>
      <c r="AF32" s="181"/>
      <c r="AG32" s="181"/>
      <c r="AH32" s="181"/>
      <c r="AI32" s="181"/>
      <c r="AJ32" s="181"/>
      <c r="AK32" s="181"/>
      <c r="AL32" s="181"/>
      <c r="AM32" s="181"/>
      <c r="AN32" s="181"/>
      <c r="AO32" s="182"/>
    </row>
    <row r="33" spans="2:41" ht="15">
      <c r="B33" s="152" t="s">
        <v>404</v>
      </c>
      <c r="C33" s="151"/>
      <c r="D33" s="151"/>
      <c r="E33" s="151"/>
      <c r="F33" s="151"/>
      <c r="G33" s="151"/>
      <c r="H33" s="151"/>
      <c r="I33" s="151"/>
      <c r="J33" s="151"/>
      <c r="K33" s="151"/>
      <c r="L33" s="151"/>
      <c r="M33" s="151"/>
      <c r="N33" s="151"/>
      <c r="O33" s="151"/>
      <c r="P33" s="151"/>
      <c r="Q33" s="151"/>
      <c r="R33" s="151"/>
      <c r="S33" s="151"/>
      <c r="T33" s="151"/>
      <c r="U33" s="151"/>
      <c r="V33" s="151"/>
      <c r="W33" s="151"/>
      <c r="X33" s="151"/>
      <c r="Y33" s="247"/>
      <c r="Z33" s="247"/>
      <c r="AA33" s="247"/>
      <c r="AB33" s="247"/>
      <c r="AC33" s="153"/>
      <c r="AD33" s="253" t="s">
        <v>414</v>
      </c>
      <c r="AE33" s="186"/>
      <c r="AF33" s="149"/>
      <c r="AG33" s="149"/>
      <c r="AH33" s="149"/>
      <c r="AI33" s="149"/>
      <c r="AJ33" s="149"/>
      <c r="AK33" s="149"/>
      <c r="AL33" s="149"/>
      <c r="AM33" s="149"/>
      <c r="AN33" s="149"/>
      <c r="AO33" s="184"/>
    </row>
    <row r="34" spans="2:41" ht="15">
      <c r="B34" s="152" t="s">
        <v>404</v>
      </c>
      <c r="C34" s="151"/>
      <c r="D34" s="151"/>
      <c r="E34" s="151"/>
      <c r="F34" s="151"/>
      <c r="G34" s="151"/>
      <c r="H34" s="151"/>
      <c r="I34" s="151"/>
      <c r="J34" s="151"/>
      <c r="K34" s="151"/>
      <c r="L34" s="151"/>
      <c r="M34" s="151"/>
      <c r="N34" s="151"/>
      <c r="O34" s="151"/>
      <c r="P34" s="151"/>
      <c r="Q34" s="151"/>
      <c r="R34" s="151"/>
      <c r="S34" s="151"/>
      <c r="T34" s="151"/>
      <c r="U34" s="151"/>
      <c r="V34" s="151"/>
      <c r="W34" s="151"/>
      <c r="X34" s="151"/>
      <c r="Y34" s="247"/>
      <c r="Z34" s="247"/>
      <c r="AA34" s="247"/>
      <c r="AB34" s="247"/>
      <c r="AC34" s="153"/>
      <c r="AD34" s="252" t="s">
        <v>415</v>
      </c>
      <c r="AE34" s="185"/>
      <c r="AF34" s="181"/>
      <c r="AG34" s="181"/>
      <c r="AH34" s="181"/>
      <c r="AI34" s="181"/>
      <c r="AJ34" s="181"/>
      <c r="AK34" s="181"/>
      <c r="AL34" s="181"/>
      <c r="AM34" s="181"/>
      <c r="AN34" s="181"/>
      <c r="AO34" s="182"/>
    </row>
    <row r="35" spans="2:41" ht="15.75" thickBot="1">
      <c r="B35" s="152" t="s">
        <v>404</v>
      </c>
      <c r="C35" s="151"/>
      <c r="D35" s="151"/>
      <c r="E35" s="151"/>
      <c r="F35" s="151"/>
      <c r="G35" s="151"/>
      <c r="H35" s="151"/>
      <c r="I35" s="151"/>
      <c r="J35" s="151"/>
      <c r="K35" s="151"/>
      <c r="L35" s="151"/>
      <c r="M35" s="151"/>
      <c r="N35" s="151"/>
      <c r="O35" s="151"/>
      <c r="P35" s="151"/>
      <c r="Q35" s="151"/>
      <c r="R35" s="151"/>
      <c r="S35" s="151"/>
      <c r="T35" s="151"/>
      <c r="U35" s="151"/>
      <c r="V35" s="151"/>
      <c r="W35" s="151"/>
      <c r="X35" s="151"/>
      <c r="Y35" s="247"/>
      <c r="Z35" s="247"/>
      <c r="AA35" s="247"/>
      <c r="AB35" s="247"/>
      <c r="AC35" s="153"/>
      <c r="AD35" s="254" t="s">
        <v>416</v>
      </c>
      <c r="AE35" s="187"/>
      <c r="AF35" s="155"/>
      <c r="AG35" s="155"/>
      <c r="AH35" s="155"/>
      <c r="AI35" s="155"/>
      <c r="AJ35" s="155"/>
      <c r="AK35" s="155"/>
      <c r="AL35" s="155"/>
      <c r="AM35" s="155"/>
      <c r="AN35" s="155"/>
      <c r="AO35" s="174"/>
    </row>
    <row r="36" spans="2:41" ht="15">
      <c r="B36" s="152" t="s">
        <v>404</v>
      </c>
      <c r="C36" s="151"/>
      <c r="D36" s="151"/>
      <c r="E36" s="151"/>
      <c r="F36" s="151"/>
      <c r="G36" s="151"/>
      <c r="H36" s="151"/>
      <c r="I36" s="151"/>
      <c r="J36" s="151"/>
      <c r="K36" s="151"/>
      <c r="L36" s="151"/>
      <c r="M36" s="151"/>
      <c r="N36" s="151"/>
      <c r="O36" s="151"/>
      <c r="P36" s="151"/>
      <c r="Q36" s="151"/>
      <c r="R36" s="151"/>
      <c r="S36" s="151"/>
      <c r="T36" s="151"/>
      <c r="U36" s="151"/>
      <c r="V36" s="151"/>
      <c r="W36" s="151"/>
      <c r="X36" s="151"/>
      <c r="Y36" s="247"/>
      <c r="Z36" s="247"/>
      <c r="AA36" s="247"/>
      <c r="AB36" s="247"/>
      <c r="AC36" s="153"/>
      <c r="AD36" s="188"/>
      <c r="AE36" s="157"/>
      <c r="AF36" s="157"/>
      <c r="AG36" s="157"/>
      <c r="AH36" s="157"/>
      <c r="AI36" s="157"/>
      <c r="AJ36" s="157"/>
      <c r="AK36" s="157"/>
      <c r="AL36" s="157"/>
      <c r="AM36" s="157"/>
      <c r="AN36" s="157"/>
      <c r="AO36" s="149"/>
    </row>
    <row r="37" spans="2:41" ht="15">
      <c r="B37" s="152" t="s">
        <v>404</v>
      </c>
      <c r="C37" s="151"/>
      <c r="D37" s="151"/>
      <c r="E37" s="151"/>
      <c r="F37" s="151"/>
      <c r="G37" s="151"/>
      <c r="H37" s="151"/>
      <c r="I37" s="151"/>
      <c r="J37" s="151"/>
      <c r="K37" s="151"/>
      <c r="L37" s="151"/>
      <c r="M37" s="151"/>
      <c r="N37" s="151"/>
      <c r="O37" s="151"/>
      <c r="P37" s="151"/>
      <c r="Q37" s="151"/>
      <c r="R37" s="151"/>
      <c r="S37" s="151"/>
      <c r="T37" s="151"/>
      <c r="U37" s="151"/>
      <c r="V37" s="151"/>
      <c r="W37" s="151"/>
      <c r="X37" s="151"/>
      <c r="Y37" s="247"/>
      <c r="Z37" s="247"/>
      <c r="AA37" s="247"/>
      <c r="AB37" s="247"/>
      <c r="AC37" s="153"/>
      <c r="AD37" s="189"/>
      <c r="AE37" s="149"/>
      <c r="AF37" s="149"/>
      <c r="AG37" s="149"/>
      <c r="AH37" s="149"/>
      <c r="AI37" s="149"/>
      <c r="AJ37" s="149"/>
      <c r="AK37" s="149"/>
      <c r="AL37" s="149"/>
      <c r="AM37" s="149"/>
      <c r="AN37" s="149"/>
      <c r="AO37" s="149"/>
    </row>
    <row r="38" spans="2:41" ht="15">
      <c r="B38" s="152" t="s">
        <v>404</v>
      </c>
      <c r="C38" s="151"/>
      <c r="D38" s="151"/>
      <c r="E38" s="151"/>
      <c r="F38" s="151"/>
      <c r="G38" s="151"/>
      <c r="H38" s="151"/>
      <c r="I38" s="151"/>
      <c r="J38" s="151"/>
      <c r="K38" s="151"/>
      <c r="L38" s="151"/>
      <c r="M38" s="151"/>
      <c r="N38" s="151"/>
      <c r="O38" s="151"/>
      <c r="P38" s="151"/>
      <c r="Q38" s="151"/>
      <c r="R38" s="151"/>
      <c r="S38" s="151"/>
      <c r="T38" s="151"/>
      <c r="U38" s="151"/>
      <c r="V38" s="151"/>
      <c r="W38" s="151"/>
      <c r="X38" s="151"/>
      <c r="Y38" s="247"/>
      <c r="Z38" s="247"/>
      <c r="AA38" s="247"/>
      <c r="AB38" s="247"/>
      <c r="AC38" s="153"/>
      <c r="AD38" s="149"/>
      <c r="AE38" s="149"/>
      <c r="AF38" s="149"/>
      <c r="AG38" s="149"/>
      <c r="AH38" s="149"/>
      <c r="AI38" s="149"/>
      <c r="AJ38" s="149"/>
      <c r="AK38" s="149"/>
      <c r="AL38" s="149"/>
      <c r="AM38" s="149"/>
      <c r="AN38" s="149"/>
      <c r="AO38" s="149"/>
    </row>
    <row r="39" spans="2:41" ht="15">
      <c r="B39" s="152" t="s">
        <v>404</v>
      </c>
      <c r="C39" s="151"/>
      <c r="D39" s="151"/>
      <c r="E39" s="151"/>
      <c r="F39" s="151"/>
      <c r="G39" s="151"/>
      <c r="H39" s="151"/>
      <c r="I39" s="151"/>
      <c r="J39" s="151"/>
      <c r="K39" s="151"/>
      <c r="L39" s="151"/>
      <c r="M39" s="151"/>
      <c r="N39" s="151"/>
      <c r="O39" s="151"/>
      <c r="P39" s="151"/>
      <c r="Q39" s="151"/>
      <c r="R39" s="151"/>
      <c r="S39" s="151"/>
      <c r="T39" s="151"/>
      <c r="U39" s="151"/>
      <c r="V39" s="151"/>
      <c r="W39" s="151"/>
      <c r="X39" s="151"/>
      <c r="Y39" s="247"/>
      <c r="Z39" s="247"/>
      <c r="AA39" s="247"/>
      <c r="AB39" s="247"/>
      <c r="AC39" s="153"/>
      <c r="AD39" s="154"/>
      <c r="AE39" s="149"/>
      <c r="AF39" s="149"/>
      <c r="AG39" s="149"/>
      <c r="AH39" s="149"/>
      <c r="AI39" s="149"/>
      <c r="AJ39" s="149"/>
      <c r="AK39" s="149"/>
      <c r="AL39" s="149"/>
      <c r="AM39" s="149"/>
      <c r="AN39" s="149"/>
      <c r="AO39" s="149"/>
    </row>
    <row r="40" spans="2:41" ht="15">
      <c r="B40" s="152" t="s">
        <v>404</v>
      </c>
      <c r="C40" s="151"/>
      <c r="D40" s="151"/>
      <c r="E40" s="151"/>
      <c r="F40" s="151"/>
      <c r="G40" s="151"/>
      <c r="H40" s="151"/>
      <c r="I40" s="151"/>
      <c r="J40" s="151"/>
      <c r="K40" s="151"/>
      <c r="L40" s="151"/>
      <c r="M40" s="151"/>
      <c r="N40" s="151"/>
      <c r="O40" s="151"/>
      <c r="P40" s="151"/>
      <c r="Q40" s="151"/>
      <c r="R40" s="151"/>
      <c r="S40" s="151"/>
      <c r="T40" s="151"/>
      <c r="U40" s="151"/>
      <c r="V40" s="151"/>
      <c r="W40" s="151"/>
      <c r="X40" s="151"/>
      <c r="Y40" s="247"/>
      <c r="Z40" s="247"/>
      <c r="AA40" s="247"/>
      <c r="AB40" s="247"/>
      <c r="AC40" s="153"/>
      <c r="AD40" s="154"/>
      <c r="AE40" s="149"/>
      <c r="AF40" s="149"/>
      <c r="AG40" s="149"/>
      <c r="AH40" s="149"/>
      <c r="AI40" s="149"/>
      <c r="AJ40" s="149"/>
      <c r="AK40" s="149"/>
      <c r="AL40" s="149"/>
      <c r="AM40" s="149"/>
      <c r="AN40" s="149"/>
      <c r="AO40" s="149"/>
    </row>
    <row r="41" spans="2:41" ht="15">
      <c r="B41" s="152" t="s">
        <v>404</v>
      </c>
      <c r="C41" s="151"/>
      <c r="D41" s="151"/>
      <c r="E41" s="151"/>
      <c r="F41" s="151"/>
      <c r="G41" s="151"/>
      <c r="H41" s="151"/>
      <c r="I41" s="151"/>
      <c r="J41" s="151"/>
      <c r="K41" s="151"/>
      <c r="L41" s="151"/>
      <c r="M41" s="151"/>
      <c r="N41" s="151"/>
      <c r="O41" s="151"/>
      <c r="P41" s="151"/>
      <c r="Q41" s="151"/>
      <c r="R41" s="151"/>
      <c r="S41" s="151"/>
      <c r="T41" s="151"/>
      <c r="U41" s="151"/>
      <c r="V41" s="151"/>
      <c r="W41" s="151"/>
      <c r="X41" s="151"/>
      <c r="Y41" s="247"/>
      <c r="Z41" s="247"/>
      <c r="AA41" s="247"/>
      <c r="AB41" s="247"/>
      <c r="AC41" s="153"/>
      <c r="AD41" s="154"/>
      <c r="AE41" s="149"/>
      <c r="AF41" s="149"/>
      <c r="AG41" s="149"/>
      <c r="AH41" s="149"/>
      <c r="AI41" s="149"/>
      <c r="AJ41" s="149"/>
      <c r="AK41" s="149"/>
      <c r="AL41" s="149"/>
      <c r="AM41" s="149"/>
      <c r="AN41" s="149"/>
      <c r="AO41" s="149"/>
    </row>
    <row r="42" spans="2:41" ht="15">
      <c r="B42" s="152" t="s">
        <v>404</v>
      </c>
      <c r="C42" s="151"/>
      <c r="D42" s="151"/>
      <c r="E42" s="151"/>
      <c r="F42" s="151"/>
      <c r="G42" s="151"/>
      <c r="H42" s="151"/>
      <c r="I42" s="151"/>
      <c r="J42" s="151"/>
      <c r="K42" s="151"/>
      <c r="L42" s="151"/>
      <c r="M42" s="151"/>
      <c r="N42" s="151"/>
      <c r="O42" s="151"/>
      <c r="P42" s="151"/>
      <c r="Q42" s="151"/>
      <c r="R42" s="151"/>
      <c r="S42" s="151"/>
      <c r="T42" s="151"/>
      <c r="U42" s="151"/>
      <c r="V42" s="151"/>
      <c r="W42" s="151"/>
      <c r="X42" s="151"/>
      <c r="Y42" s="247"/>
      <c r="Z42" s="247"/>
      <c r="AA42" s="247"/>
      <c r="AB42" s="247"/>
      <c r="AC42" s="153"/>
      <c r="AD42" s="154"/>
      <c r="AE42" s="149"/>
      <c r="AF42" s="149"/>
      <c r="AG42" s="149"/>
      <c r="AH42" s="149"/>
      <c r="AI42" s="149"/>
      <c r="AJ42" s="149"/>
      <c r="AK42" s="149"/>
      <c r="AL42" s="149"/>
      <c r="AM42" s="149"/>
      <c r="AN42" s="149"/>
      <c r="AO42" s="149"/>
    </row>
    <row r="43" spans="2:41" ht="15">
      <c r="B43" s="152" t="s">
        <v>404</v>
      </c>
      <c r="C43" s="151"/>
      <c r="D43" s="151"/>
      <c r="E43" s="151"/>
      <c r="F43" s="151"/>
      <c r="G43" s="151"/>
      <c r="H43" s="151"/>
      <c r="I43" s="151"/>
      <c r="J43" s="151"/>
      <c r="K43" s="151"/>
      <c r="L43" s="151"/>
      <c r="M43" s="151"/>
      <c r="N43" s="151"/>
      <c r="O43" s="151"/>
      <c r="P43" s="151"/>
      <c r="Q43" s="151"/>
      <c r="R43" s="151"/>
      <c r="S43" s="151"/>
      <c r="T43" s="151"/>
      <c r="U43" s="151"/>
      <c r="V43" s="151"/>
      <c r="W43" s="151"/>
      <c r="X43" s="151"/>
      <c r="Y43" s="247"/>
      <c r="Z43" s="247"/>
      <c r="AA43" s="247"/>
      <c r="AB43" s="247"/>
      <c r="AC43" s="153"/>
      <c r="AD43" s="154"/>
      <c r="AE43" s="149"/>
      <c r="AF43" s="149"/>
      <c r="AG43" s="149"/>
      <c r="AH43" s="149"/>
      <c r="AI43" s="149"/>
      <c r="AJ43" s="149"/>
      <c r="AK43" s="149"/>
      <c r="AL43" s="149"/>
      <c r="AM43" s="149"/>
      <c r="AN43" s="149"/>
      <c r="AO43" s="149"/>
    </row>
    <row r="44" spans="2:41" ht="15">
      <c r="B44" s="152" t="s">
        <v>404</v>
      </c>
      <c r="C44" s="151"/>
      <c r="D44" s="151"/>
      <c r="E44" s="151"/>
      <c r="F44" s="151"/>
      <c r="G44" s="151"/>
      <c r="H44" s="151"/>
      <c r="I44" s="151"/>
      <c r="J44" s="151"/>
      <c r="K44" s="151"/>
      <c r="L44" s="151"/>
      <c r="M44" s="151"/>
      <c r="N44" s="151"/>
      <c r="O44" s="151"/>
      <c r="P44" s="151"/>
      <c r="Q44" s="151"/>
      <c r="R44" s="151"/>
      <c r="S44" s="151"/>
      <c r="T44" s="151"/>
      <c r="U44" s="151"/>
      <c r="V44" s="151"/>
      <c r="W44" s="151"/>
      <c r="X44" s="151"/>
      <c r="Y44" s="247"/>
      <c r="Z44" s="247"/>
      <c r="AA44" s="247"/>
      <c r="AB44" s="247"/>
      <c r="AC44" s="153"/>
      <c r="AD44" s="154"/>
      <c r="AE44" s="149"/>
      <c r="AF44" s="149"/>
      <c r="AG44" s="149"/>
      <c r="AH44" s="149"/>
      <c r="AI44" s="149"/>
      <c r="AJ44" s="149"/>
      <c r="AK44" s="149"/>
      <c r="AL44" s="149"/>
      <c r="AM44" s="149"/>
      <c r="AN44" s="149"/>
      <c r="AO44" s="149"/>
    </row>
    <row r="45" spans="2:41" ht="15">
      <c r="B45" s="152" t="s">
        <v>404</v>
      </c>
      <c r="C45" s="151"/>
      <c r="D45" s="151"/>
      <c r="E45" s="151"/>
      <c r="F45" s="151"/>
      <c r="G45" s="151"/>
      <c r="H45" s="151"/>
      <c r="I45" s="151"/>
      <c r="J45" s="151"/>
      <c r="K45" s="151"/>
      <c r="L45" s="151"/>
      <c r="M45" s="151"/>
      <c r="N45" s="151"/>
      <c r="O45" s="151"/>
      <c r="P45" s="151"/>
      <c r="Q45" s="151"/>
      <c r="R45" s="151"/>
      <c r="S45" s="151"/>
      <c r="T45" s="151"/>
      <c r="U45" s="151"/>
      <c r="V45" s="151"/>
      <c r="W45" s="151"/>
      <c r="X45" s="151"/>
      <c r="Y45" s="247"/>
      <c r="Z45" s="247"/>
      <c r="AA45" s="247"/>
      <c r="AB45" s="247"/>
      <c r="AC45" s="153"/>
      <c r="AD45" s="154"/>
      <c r="AE45" s="149"/>
      <c r="AF45" s="149"/>
      <c r="AG45" s="149"/>
      <c r="AH45" s="149"/>
      <c r="AI45" s="149"/>
      <c r="AJ45" s="149"/>
      <c r="AK45" s="149"/>
      <c r="AL45" s="149"/>
      <c r="AM45" s="149"/>
      <c r="AN45" s="149"/>
      <c r="AO45" s="149"/>
    </row>
    <row r="46" spans="2:41" ht="15">
      <c r="B46" s="152" t="s">
        <v>404</v>
      </c>
      <c r="C46" s="151"/>
      <c r="D46" s="151"/>
      <c r="E46" s="151"/>
      <c r="F46" s="151"/>
      <c r="G46" s="151"/>
      <c r="H46" s="151"/>
      <c r="I46" s="151"/>
      <c r="J46" s="151"/>
      <c r="K46" s="151"/>
      <c r="L46" s="151"/>
      <c r="M46" s="151"/>
      <c r="N46" s="151"/>
      <c r="O46" s="151"/>
      <c r="P46" s="151"/>
      <c r="Q46" s="151"/>
      <c r="R46" s="151"/>
      <c r="S46" s="151"/>
      <c r="T46" s="151"/>
      <c r="U46" s="151"/>
      <c r="V46" s="151"/>
      <c r="W46" s="151"/>
      <c r="X46" s="151"/>
      <c r="Y46" s="247"/>
      <c r="Z46" s="247"/>
      <c r="AA46" s="247"/>
      <c r="AB46" s="247"/>
      <c r="AC46" s="153"/>
      <c r="AD46" s="154"/>
      <c r="AE46" s="149"/>
      <c r="AF46" s="149"/>
      <c r="AG46" s="149"/>
      <c r="AH46" s="149"/>
      <c r="AI46" s="149"/>
      <c r="AJ46" s="149"/>
      <c r="AK46" s="149"/>
      <c r="AL46" s="149"/>
      <c r="AM46" s="149"/>
      <c r="AN46" s="149"/>
      <c r="AO46" s="149"/>
    </row>
    <row r="47" spans="2:41" ht="15">
      <c r="B47" s="152" t="s">
        <v>404</v>
      </c>
      <c r="C47" s="151"/>
      <c r="D47" s="151"/>
      <c r="E47" s="151"/>
      <c r="F47" s="151"/>
      <c r="G47" s="151"/>
      <c r="H47" s="151"/>
      <c r="I47" s="151"/>
      <c r="J47" s="151"/>
      <c r="K47" s="151"/>
      <c r="L47" s="151"/>
      <c r="M47" s="151"/>
      <c r="N47" s="151"/>
      <c r="O47" s="151"/>
      <c r="P47" s="151"/>
      <c r="Q47" s="151"/>
      <c r="R47" s="151"/>
      <c r="S47" s="151"/>
      <c r="T47" s="151"/>
      <c r="U47" s="151"/>
      <c r="V47" s="151"/>
      <c r="W47" s="151"/>
      <c r="X47" s="151"/>
      <c r="Y47" s="247"/>
      <c r="Z47" s="247"/>
      <c r="AA47" s="247"/>
      <c r="AB47" s="247"/>
      <c r="AC47" s="153"/>
      <c r="AD47" s="154"/>
      <c r="AE47" s="149"/>
      <c r="AF47" s="149"/>
      <c r="AG47" s="149"/>
      <c r="AH47" s="149"/>
      <c r="AI47" s="149"/>
      <c r="AJ47" s="149"/>
      <c r="AK47" s="149"/>
      <c r="AL47" s="149"/>
      <c r="AM47" s="149"/>
      <c r="AN47" s="149"/>
      <c r="AO47" s="149"/>
    </row>
    <row r="48" spans="2:41" ht="15">
      <c r="B48" s="152" t="s">
        <v>404</v>
      </c>
      <c r="C48" s="151"/>
      <c r="D48" s="151"/>
      <c r="E48" s="151"/>
      <c r="F48" s="151"/>
      <c r="G48" s="151"/>
      <c r="H48" s="151"/>
      <c r="I48" s="151"/>
      <c r="J48" s="151"/>
      <c r="K48" s="151"/>
      <c r="L48" s="151"/>
      <c r="M48" s="151"/>
      <c r="N48" s="151"/>
      <c r="O48" s="151"/>
      <c r="P48" s="151"/>
      <c r="Q48" s="151"/>
      <c r="R48" s="151"/>
      <c r="S48" s="151"/>
      <c r="T48" s="151"/>
      <c r="U48" s="151"/>
      <c r="V48" s="151"/>
      <c r="W48" s="151"/>
      <c r="X48" s="151"/>
      <c r="Y48" s="247"/>
      <c r="Z48" s="247"/>
      <c r="AA48" s="247"/>
      <c r="AB48" s="247"/>
      <c r="AC48" s="153"/>
      <c r="AD48" s="154"/>
      <c r="AE48" s="149"/>
      <c r="AF48" s="149"/>
      <c r="AG48" s="149"/>
      <c r="AH48" s="149"/>
      <c r="AI48" s="149"/>
      <c r="AJ48" s="149"/>
      <c r="AK48" s="149"/>
      <c r="AL48" s="149"/>
      <c r="AM48" s="149"/>
      <c r="AN48" s="149"/>
      <c r="AO48" s="149"/>
    </row>
    <row r="49" spans="2:41" ht="15">
      <c r="B49" s="152" t="s">
        <v>404</v>
      </c>
      <c r="C49" s="151"/>
      <c r="D49" s="151"/>
      <c r="E49" s="151"/>
      <c r="F49" s="151"/>
      <c r="G49" s="151"/>
      <c r="H49" s="151"/>
      <c r="I49" s="151"/>
      <c r="J49" s="151"/>
      <c r="K49" s="151"/>
      <c r="L49" s="151"/>
      <c r="M49" s="151"/>
      <c r="N49" s="151"/>
      <c r="O49" s="151"/>
      <c r="P49" s="151"/>
      <c r="Q49" s="151"/>
      <c r="R49" s="151"/>
      <c r="S49" s="151"/>
      <c r="T49" s="151"/>
      <c r="U49" s="151"/>
      <c r="V49" s="151"/>
      <c r="W49" s="151"/>
      <c r="X49" s="151"/>
      <c r="Y49" s="247"/>
      <c r="Z49" s="247"/>
      <c r="AA49" s="247"/>
      <c r="AB49" s="247"/>
      <c r="AC49" s="153"/>
      <c r="AD49" s="154"/>
      <c r="AE49" s="149"/>
      <c r="AF49" s="149"/>
      <c r="AG49" s="149"/>
      <c r="AH49" s="149"/>
      <c r="AI49" s="149"/>
      <c r="AJ49" s="149"/>
      <c r="AK49" s="149"/>
      <c r="AL49" s="149"/>
      <c r="AM49" s="149"/>
      <c r="AN49" s="149"/>
      <c r="AO49" s="149"/>
    </row>
    <row r="50" spans="2:41" ht="15">
      <c r="B50" s="152" t="s">
        <v>404</v>
      </c>
      <c r="C50" s="151"/>
      <c r="D50" s="151"/>
      <c r="E50" s="151"/>
      <c r="F50" s="151"/>
      <c r="G50" s="151"/>
      <c r="H50" s="151"/>
      <c r="I50" s="151"/>
      <c r="J50" s="151"/>
      <c r="K50" s="151"/>
      <c r="L50" s="151"/>
      <c r="M50" s="151"/>
      <c r="N50" s="151"/>
      <c r="O50" s="151"/>
      <c r="P50" s="151"/>
      <c r="Q50" s="151"/>
      <c r="R50" s="151"/>
      <c r="S50" s="151"/>
      <c r="T50" s="151"/>
      <c r="U50" s="151"/>
      <c r="V50" s="151"/>
      <c r="W50" s="151"/>
      <c r="X50" s="151"/>
      <c r="Y50" s="247"/>
      <c r="Z50" s="247"/>
      <c r="AA50" s="247"/>
      <c r="AB50" s="247"/>
      <c r="AC50" s="153"/>
      <c r="AD50" s="154"/>
      <c r="AE50" s="149"/>
      <c r="AF50" s="149"/>
      <c r="AG50" s="149"/>
      <c r="AH50" s="149"/>
      <c r="AI50" s="149"/>
      <c r="AJ50" s="149"/>
      <c r="AK50" s="149"/>
      <c r="AL50" s="149"/>
      <c r="AM50" s="149"/>
      <c r="AN50" s="149"/>
      <c r="AO50" s="149"/>
    </row>
    <row r="51" spans="2:41" ht="15">
      <c r="B51" s="152" t="s">
        <v>404</v>
      </c>
      <c r="C51" s="151"/>
      <c r="D51" s="151"/>
      <c r="E51" s="151"/>
      <c r="F51" s="151"/>
      <c r="G51" s="151"/>
      <c r="H51" s="151"/>
      <c r="I51" s="151"/>
      <c r="J51" s="151"/>
      <c r="K51" s="151"/>
      <c r="L51" s="151"/>
      <c r="M51" s="151"/>
      <c r="N51" s="151"/>
      <c r="O51" s="151"/>
      <c r="P51" s="151"/>
      <c r="Q51" s="151"/>
      <c r="R51" s="151"/>
      <c r="S51" s="151"/>
      <c r="T51" s="151"/>
      <c r="U51" s="151"/>
      <c r="V51" s="151"/>
      <c r="W51" s="151"/>
      <c r="X51" s="151"/>
      <c r="Y51" s="247"/>
      <c r="Z51" s="247"/>
      <c r="AA51" s="247"/>
      <c r="AB51" s="247"/>
      <c r="AC51" s="153"/>
      <c r="AD51" s="149"/>
      <c r="AE51" s="149"/>
      <c r="AF51" s="149"/>
      <c r="AG51" s="149"/>
      <c r="AH51" s="149"/>
      <c r="AI51" s="149"/>
      <c r="AJ51" s="149"/>
      <c r="AK51" s="149"/>
      <c r="AL51" s="149"/>
      <c r="AM51" s="149"/>
      <c r="AN51" s="149"/>
      <c r="AO51" s="149"/>
    </row>
    <row r="52" spans="2:41" ht="15">
      <c r="B52" s="152" t="s">
        <v>404</v>
      </c>
      <c r="C52" s="151"/>
      <c r="D52" s="151"/>
      <c r="E52" s="151"/>
      <c r="F52" s="151"/>
      <c r="G52" s="151"/>
      <c r="H52" s="151"/>
      <c r="I52" s="151"/>
      <c r="J52" s="151"/>
      <c r="K52" s="151"/>
      <c r="L52" s="151"/>
      <c r="M52" s="151"/>
      <c r="N52" s="151"/>
      <c r="O52" s="151"/>
      <c r="P52" s="151"/>
      <c r="Q52" s="151"/>
      <c r="R52" s="151"/>
      <c r="S52" s="151"/>
      <c r="T52" s="151"/>
      <c r="U52" s="151"/>
      <c r="V52" s="151"/>
      <c r="W52" s="151"/>
      <c r="X52" s="151"/>
      <c r="Y52" s="247"/>
      <c r="Z52" s="247"/>
      <c r="AA52" s="247"/>
      <c r="AB52" s="247"/>
      <c r="AC52" s="153"/>
      <c r="AD52" s="149"/>
      <c r="AE52" s="149"/>
      <c r="AF52" s="149"/>
      <c r="AG52" s="149"/>
      <c r="AH52" s="149"/>
      <c r="AI52" s="149"/>
      <c r="AJ52" s="149"/>
      <c r="AK52" s="149"/>
      <c r="AL52" s="149"/>
      <c r="AM52" s="149"/>
      <c r="AN52" s="149"/>
      <c r="AO52" s="149"/>
    </row>
    <row r="53" spans="2:41" ht="15">
      <c r="B53" s="152" t="s">
        <v>404</v>
      </c>
      <c r="C53" s="151"/>
      <c r="D53" s="151"/>
      <c r="E53" s="151"/>
      <c r="F53" s="151"/>
      <c r="G53" s="151"/>
      <c r="H53" s="151"/>
      <c r="I53" s="151"/>
      <c r="J53" s="151"/>
      <c r="K53" s="151"/>
      <c r="L53" s="151"/>
      <c r="M53" s="151"/>
      <c r="N53" s="151"/>
      <c r="O53" s="151"/>
      <c r="P53" s="151"/>
      <c r="Q53" s="151"/>
      <c r="R53" s="151"/>
      <c r="S53" s="151"/>
      <c r="T53" s="151"/>
      <c r="U53" s="151"/>
      <c r="V53" s="151"/>
      <c r="W53" s="151"/>
      <c r="X53" s="151"/>
      <c r="Y53" s="247"/>
      <c r="Z53" s="247"/>
      <c r="AA53" s="247"/>
      <c r="AB53" s="247"/>
      <c r="AC53" s="153"/>
      <c r="AD53" s="149"/>
      <c r="AE53" s="149"/>
      <c r="AF53" s="149"/>
      <c r="AG53" s="149"/>
      <c r="AH53" s="149"/>
      <c r="AI53" s="149"/>
      <c r="AJ53" s="149"/>
      <c r="AK53" s="149"/>
      <c r="AL53" s="149"/>
      <c r="AM53" s="149"/>
      <c r="AN53" s="149"/>
      <c r="AO53" s="149"/>
    </row>
    <row r="54" spans="2:41" ht="15">
      <c r="B54" s="152" t="s">
        <v>404</v>
      </c>
      <c r="C54" s="151"/>
      <c r="D54" s="151"/>
      <c r="E54" s="151"/>
      <c r="F54" s="151"/>
      <c r="G54" s="151"/>
      <c r="H54" s="151"/>
      <c r="I54" s="151"/>
      <c r="J54" s="151"/>
      <c r="K54" s="151"/>
      <c r="L54" s="151"/>
      <c r="M54" s="151"/>
      <c r="N54" s="151"/>
      <c r="O54" s="151"/>
      <c r="P54" s="151"/>
      <c r="Q54" s="151"/>
      <c r="R54" s="151"/>
      <c r="S54" s="151"/>
      <c r="T54" s="151"/>
      <c r="U54" s="151"/>
      <c r="V54" s="151"/>
      <c r="W54" s="151"/>
      <c r="X54" s="151"/>
      <c r="Y54" s="247"/>
      <c r="Z54" s="247"/>
      <c r="AA54" s="247"/>
      <c r="AB54" s="247"/>
      <c r="AC54" s="153"/>
      <c r="AD54" s="149"/>
      <c r="AE54" s="149"/>
      <c r="AF54" s="149"/>
      <c r="AG54" s="149"/>
      <c r="AH54" s="149"/>
      <c r="AI54" s="149"/>
      <c r="AJ54" s="149"/>
      <c r="AK54" s="149"/>
      <c r="AL54" s="149"/>
      <c r="AM54" s="149"/>
      <c r="AN54" s="149"/>
      <c r="AO54" s="149"/>
    </row>
    <row r="55" spans="2:41" ht="15">
      <c r="B55" s="152" t="s">
        <v>404</v>
      </c>
      <c r="C55" s="151"/>
      <c r="D55" s="151"/>
      <c r="E55" s="151"/>
      <c r="F55" s="151"/>
      <c r="G55" s="151"/>
      <c r="H55" s="151"/>
      <c r="I55" s="151"/>
      <c r="J55" s="151"/>
      <c r="K55" s="151"/>
      <c r="L55" s="151"/>
      <c r="M55" s="151"/>
      <c r="N55" s="151"/>
      <c r="O55" s="151"/>
      <c r="P55" s="151"/>
      <c r="Q55" s="151"/>
      <c r="R55" s="151"/>
      <c r="S55" s="151"/>
      <c r="T55" s="151"/>
      <c r="U55" s="151"/>
      <c r="V55" s="151"/>
      <c r="W55" s="151"/>
      <c r="X55" s="151"/>
      <c r="Y55" s="247"/>
      <c r="Z55" s="247"/>
      <c r="AA55" s="247"/>
      <c r="AB55" s="247"/>
      <c r="AC55" s="153"/>
      <c r="AD55" s="149"/>
      <c r="AE55" s="149"/>
      <c r="AF55" s="149"/>
      <c r="AG55" s="149"/>
      <c r="AH55" s="149"/>
      <c r="AI55" s="149"/>
      <c r="AJ55" s="149"/>
      <c r="AK55" s="149"/>
      <c r="AL55" s="149"/>
      <c r="AM55" s="149"/>
      <c r="AN55" s="149"/>
      <c r="AO55" s="149"/>
    </row>
    <row r="56" spans="2:41" ht="15">
      <c r="B56" s="152" t="s">
        <v>404</v>
      </c>
      <c r="C56" s="151"/>
      <c r="D56" s="151"/>
      <c r="E56" s="151"/>
      <c r="F56" s="151"/>
      <c r="G56" s="151"/>
      <c r="H56" s="151"/>
      <c r="I56" s="151"/>
      <c r="J56" s="151"/>
      <c r="K56" s="151"/>
      <c r="L56" s="151"/>
      <c r="M56" s="151"/>
      <c r="N56" s="151"/>
      <c r="O56" s="151"/>
      <c r="P56" s="151"/>
      <c r="Q56" s="151"/>
      <c r="R56" s="151"/>
      <c r="S56" s="151"/>
      <c r="T56" s="151"/>
      <c r="U56" s="151"/>
      <c r="V56" s="151"/>
      <c r="W56" s="151"/>
      <c r="X56" s="151"/>
      <c r="Y56" s="247"/>
      <c r="Z56" s="247"/>
      <c r="AA56" s="247"/>
      <c r="AB56" s="247"/>
      <c r="AC56" s="153"/>
      <c r="AD56" s="149"/>
      <c r="AE56" s="149"/>
      <c r="AF56" s="149"/>
      <c r="AG56" s="149"/>
      <c r="AH56" s="149"/>
      <c r="AI56" s="149"/>
      <c r="AJ56" s="149"/>
      <c r="AK56" s="149"/>
      <c r="AL56" s="149"/>
      <c r="AM56" s="149"/>
      <c r="AN56" s="149"/>
      <c r="AO56" s="149"/>
    </row>
    <row r="57" spans="2:41" ht="15">
      <c r="B57" s="152" t="s">
        <v>404</v>
      </c>
      <c r="C57" s="151"/>
      <c r="D57" s="151"/>
      <c r="E57" s="151"/>
      <c r="F57" s="151"/>
      <c r="G57" s="151"/>
      <c r="H57" s="151"/>
      <c r="I57" s="151"/>
      <c r="J57" s="151"/>
      <c r="K57" s="151"/>
      <c r="L57" s="151"/>
      <c r="M57" s="151"/>
      <c r="N57" s="151"/>
      <c r="O57" s="151"/>
      <c r="P57" s="151"/>
      <c r="Q57" s="151"/>
      <c r="R57" s="151"/>
      <c r="S57" s="151"/>
      <c r="T57" s="151"/>
      <c r="U57" s="151"/>
      <c r="V57" s="151"/>
      <c r="W57" s="151"/>
      <c r="X57" s="151"/>
      <c r="Y57" s="247"/>
      <c r="Z57" s="247"/>
      <c r="AA57" s="247"/>
      <c r="AB57" s="247"/>
      <c r="AC57" s="153"/>
      <c r="AD57" s="149"/>
      <c r="AE57" s="149"/>
      <c r="AF57" s="149"/>
      <c r="AG57" s="149"/>
      <c r="AH57" s="149"/>
      <c r="AI57" s="149"/>
      <c r="AJ57" s="149"/>
      <c r="AK57" s="149"/>
      <c r="AL57" s="149"/>
      <c r="AM57" s="149"/>
      <c r="AN57" s="149"/>
      <c r="AO57" s="149"/>
    </row>
    <row r="58" spans="2:41" ht="15">
      <c r="B58" s="152" t="s">
        <v>404</v>
      </c>
      <c r="C58" s="151"/>
      <c r="D58" s="151"/>
      <c r="E58" s="151"/>
      <c r="F58" s="151"/>
      <c r="G58" s="151"/>
      <c r="H58" s="151"/>
      <c r="I58" s="151"/>
      <c r="J58" s="151"/>
      <c r="K58" s="151"/>
      <c r="L58" s="151"/>
      <c r="M58" s="151"/>
      <c r="N58" s="151"/>
      <c r="O58" s="151"/>
      <c r="P58" s="151"/>
      <c r="Q58" s="151"/>
      <c r="R58" s="151"/>
      <c r="S58" s="151"/>
      <c r="T58" s="151"/>
      <c r="U58" s="151"/>
      <c r="V58" s="151"/>
      <c r="W58" s="151"/>
      <c r="X58" s="151"/>
      <c r="Y58" s="247"/>
      <c r="Z58" s="247"/>
      <c r="AA58" s="247"/>
      <c r="AB58" s="247"/>
      <c r="AC58" s="153"/>
      <c r="AD58" s="149"/>
      <c r="AE58" s="149"/>
      <c r="AF58" s="149"/>
      <c r="AG58" s="149"/>
      <c r="AH58" s="149"/>
      <c r="AI58" s="149"/>
      <c r="AJ58" s="149"/>
      <c r="AK58" s="149"/>
      <c r="AL58" s="149"/>
      <c r="AM58" s="149"/>
      <c r="AN58" s="149"/>
      <c r="AO58" s="149"/>
    </row>
    <row r="59" spans="2:41" ht="15">
      <c r="B59" s="152" t="s">
        <v>404</v>
      </c>
      <c r="C59" s="151"/>
      <c r="D59" s="151"/>
      <c r="E59" s="151"/>
      <c r="F59" s="151"/>
      <c r="G59" s="151"/>
      <c r="H59" s="151"/>
      <c r="I59" s="151"/>
      <c r="J59" s="151"/>
      <c r="K59" s="151"/>
      <c r="L59" s="151"/>
      <c r="M59" s="151"/>
      <c r="N59" s="151"/>
      <c r="O59" s="151"/>
      <c r="P59" s="151"/>
      <c r="Q59" s="151"/>
      <c r="R59" s="151"/>
      <c r="S59" s="151"/>
      <c r="T59" s="151"/>
      <c r="U59" s="151"/>
      <c r="V59" s="151"/>
      <c r="W59" s="151"/>
      <c r="X59" s="151"/>
      <c r="Y59" s="247"/>
      <c r="Z59" s="247"/>
      <c r="AA59" s="247"/>
      <c r="AB59" s="247"/>
      <c r="AC59" s="153"/>
      <c r="AD59" s="149"/>
      <c r="AE59" s="149"/>
      <c r="AF59" s="149"/>
      <c r="AG59" s="149"/>
      <c r="AH59" s="149"/>
      <c r="AI59" s="149"/>
      <c r="AJ59" s="149"/>
      <c r="AK59" s="149"/>
      <c r="AL59" s="149"/>
      <c r="AM59" s="149"/>
      <c r="AN59" s="149"/>
      <c r="AO59" s="149"/>
    </row>
    <row r="60" spans="2:41" ht="15">
      <c r="B60" s="152" t="s">
        <v>404</v>
      </c>
      <c r="C60" s="151"/>
      <c r="D60" s="151"/>
      <c r="E60" s="151"/>
      <c r="F60" s="151"/>
      <c r="G60" s="151"/>
      <c r="H60" s="151"/>
      <c r="I60" s="151"/>
      <c r="J60" s="151"/>
      <c r="K60" s="151"/>
      <c r="L60" s="151"/>
      <c r="M60" s="151"/>
      <c r="N60" s="151"/>
      <c r="O60" s="151"/>
      <c r="P60" s="151"/>
      <c r="Q60" s="151"/>
      <c r="R60" s="151"/>
      <c r="S60" s="151"/>
      <c r="T60" s="151"/>
      <c r="U60" s="151"/>
      <c r="V60" s="151"/>
      <c r="W60" s="151"/>
      <c r="X60" s="151"/>
      <c r="Y60" s="247"/>
      <c r="Z60" s="247"/>
      <c r="AA60" s="247"/>
      <c r="AB60" s="247"/>
      <c r="AC60" s="153"/>
      <c r="AD60" s="149"/>
      <c r="AE60" s="149"/>
      <c r="AF60" s="149"/>
      <c r="AG60" s="149"/>
      <c r="AH60" s="149"/>
      <c r="AI60" s="149"/>
      <c r="AJ60" s="149"/>
      <c r="AK60" s="149"/>
      <c r="AL60" s="149"/>
      <c r="AM60" s="149"/>
      <c r="AN60" s="149"/>
      <c r="AO60" s="149"/>
    </row>
    <row r="61" spans="2:41" ht="15">
      <c r="B61" s="152" t="s">
        <v>404</v>
      </c>
      <c r="C61" s="151"/>
      <c r="D61" s="151"/>
      <c r="E61" s="151"/>
      <c r="F61" s="151"/>
      <c r="G61" s="151"/>
      <c r="H61" s="151"/>
      <c r="I61" s="151"/>
      <c r="J61" s="151"/>
      <c r="K61" s="151"/>
      <c r="L61" s="151"/>
      <c r="M61" s="151"/>
      <c r="N61" s="151"/>
      <c r="O61" s="151"/>
      <c r="P61" s="151"/>
      <c r="Q61" s="151"/>
      <c r="R61" s="151"/>
      <c r="S61" s="151"/>
      <c r="T61" s="151"/>
      <c r="U61" s="151"/>
      <c r="V61" s="151"/>
      <c r="W61" s="151"/>
      <c r="X61" s="151"/>
      <c r="Y61" s="247"/>
      <c r="Z61" s="247"/>
      <c r="AA61" s="247"/>
      <c r="AB61" s="247"/>
      <c r="AC61" s="153"/>
      <c r="AD61" s="149"/>
      <c r="AE61" s="149"/>
      <c r="AF61" s="149"/>
      <c r="AG61" s="149"/>
      <c r="AH61" s="149"/>
      <c r="AI61" s="149"/>
      <c r="AJ61" s="149"/>
      <c r="AK61" s="149"/>
      <c r="AL61" s="149"/>
      <c r="AM61" s="149"/>
      <c r="AN61" s="149"/>
      <c r="AO61" s="149"/>
    </row>
    <row r="62" spans="2:41" ht="15">
      <c r="B62" s="152" t="s">
        <v>404</v>
      </c>
      <c r="C62" s="151"/>
      <c r="D62" s="151"/>
      <c r="E62" s="151"/>
      <c r="F62" s="151"/>
      <c r="G62" s="151"/>
      <c r="H62" s="151"/>
      <c r="I62" s="151"/>
      <c r="J62" s="151"/>
      <c r="K62" s="151"/>
      <c r="L62" s="151"/>
      <c r="M62" s="151"/>
      <c r="N62" s="151"/>
      <c r="O62" s="151"/>
      <c r="P62" s="151"/>
      <c r="Q62" s="151"/>
      <c r="R62" s="151"/>
      <c r="S62" s="151"/>
      <c r="T62" s="151"/>
      <c r="U62" s="151"/>
      <c r="V62" s="151"/>
      <c r="W62" s="151"/>
      <c r="X62" s="151"/>
      <c r="Y62" s="247"/>
      <c r="Z62" s="247"/>
      <c r="AA62" s="247"/>
      <c r="AB62" s="247"/>
      <c r="AC62" s="153"/>
      <c r="AD62" s="149"/>
      <c r="AE62" s="149"/>
      <c r="AF62" s="149"/>
      <c r="AG62" s="149"/>
      <c r="AH62" s="149"/>
      <c r="AI62" s="149"/>
      <c r="AJ62" s="149"/>
      <c r="AK62" s="149"/>
      <c r="AL62" s="149"/>
      <c r="AM62" s="149"/>
      <c r="AN62" s="149"/>
      <c r="AO62" s="149"/>
    </row>
    <row r="63" spans="2:41" ht="15">
      <c r="B63" s="152" t="s">
        <v>404</v>
      </c>
      <c r="C63" s="151"/>
      <c r="D63" s="151"/>
      <c r="E63" s="151"/>
      <c r="F63" s="151"/>
      <c r="G63" s="151"/>
      <c r="H63" s="151"/>
      <c r="I63" s="151"/>
      <c r="J63" s="151"/>
      <c r="K63" s="151"/>
      <c r="L63" s="151"/>
      <c r="M63" s="151"/>
      <c r="N63" s="151"/>
      <c r="O63" s="151"/>
      <c r="P63" s="151"/>
      <c r="Q63" s="151"/>
      <c r="R63" s="151"/>
      <c r="S63" s="151"/>
      <c r="T63" s="151"/>
      <c r="U63" s="151"/>
      <c r="V63" s="151"/>
      <c r="W63" s="151"/>
      <c r="X63" s="151"/>
      <c r="Y63" s="247"/>
      <c r="Z63" s="247"/>
      <c r="AA63" s="247"/>
      <c r="AB63" s="247"/>
      <c r="AC63" s="153"/>
      <c r="AD63" s="149"/>
      <c r="AE63" s="149"/>
      <c r="AF63" s="149"/>
      <c r="AG63" s="149"/>
      <c r="AH63" s="149"/>
      <c r="AI63" s="149"/>
      <c r="AJ63" s="149"/>
      <c r="AK63" s="149"/>
      <c r="AL63" s="149"/>
      <c r="AM63" s="149"/>
      <c r="AN63" s="149"/>
      <c r="AO63" s="149"/>
    </row>
    <row r="64" spans="2:41" ht="15">
      <c r="B64" s="152" t="s">
        <v>404</v>
      </c>
      <c r="C64" s="151"/>
      <c r="D64" s="151"/>
      <c r="E64" s="151"/>
      <c r="F64" s="151"/>
      <c r="G64" s="151"/>
      <c r="H64" s="151"/>
      <c r="I64" s="151"/>
      <c r="J64" s="151"/>
      <c r="K64" s="151"/>
      <c r="L64" s="151"/>
      <c r="M64" s="151"/>
      <c r="N64" s="151"/>
      <c r="O64" s="151"/>
      <c r="P64" s="151"/>
      <c r="Q64" s="151"/>
      <c r="R64" s="151"/>
      <c r="S64" s="151"/>
      <c r="T64" s="151"/>
      <c r="U64" s="151"/>
      <c r="V64" s="151"/>
      <c r="W64" s="151"/>
      <c r="X64" s="151"/>
      <c r="Y64" s="247"/>
      <c r="Z64" s="247"/>
      <c r="AA64" s="247"/>
      <c r="AB64" s="247"/>
      <c r="AC64" s="153"/>
      <c r="AD64" s="149"/>
      <c r="AE64" s="149"/>
      <c r="AF64" s="149"/>
      <c r="AG64" s="149"/>
      <c r="AH64" s="149"/>
      <c r="AI64" s="149"/>
      <c r="AJ64" s="149"/>
      <c r="AK64" s="149"/>
      <c r="AL64" s="149"/>
      <c r="AM64" s="149"/>
      <c r="AN64" s="149"/>
      <c r="AO64" s="149"/>
    </row>
    <row r="65" spans="2:41" ht="15">
      <c r="B65" s="152" t="s">
        <v>404</v>
      </c>
      <c r="C65" s="151"/>
      <c r="D65" s="151"/>
      <c r="E65" s="151"/>
      <c r="F65" s="151"/>
      <c r="G65" s="151"/>
      <c r="H65" s="151"/>
      <c r="I65" s="151"/>
      <c r="J65" s="151"/>
      <c r="K65" s="151"/>
      <c r="L65" s="151"/>
      <c r="M65" s="151"/>
      <c r="N65" s="151"/>
      <c r="O65" s="151"/>
      <c r="P65" s="151"/>
      <c r="Q65" s="151"/>
      <c r="R65" s="151"/>
      <c r="S65" s="151"/>
      <c r="T65" s="151"/>
      <c r="U65" s="151"/>
      <c r="V65" s="151"/>
      <c r="W65" s="151"/>
      <c r="X65" s="151"/>
      <c r="Y65" s="247"/>
      <c r="Z65" s="247"/>
      <c r="AA65" s="247"/>
      <c r="AB65" s="247"/>
      <c r="AC65" s="153"/>
      <c r="AD65" s="149"/>
      <c r="AE65" s="149"/>
      <c r="AF65" s="149"/>
      <c r="AG65" s="149"/>
      <c r="AH65" s="149"/>
      <c r="AI65" s="149"/>
      <c r="AJ65" s="149"/>
      <c r="AK65" s="149"/>
      <c r="AL65" s="149"/>
      <c r="AM65" s="149"/>
      <c r="AN65" s="149"/>
      <c r="AO65" s="149"/>
    </row>
    <row r="66" spans="2:41" ht="15">
      <c r="B66" s="152" t="s">
        <v>404</v>
      </c>
      <c r="C66" s="151"/>
      <c r="D66" s="151"/>
      <c r="E66" s="151"/>
      <c r="F66" s="151"/>
      <c r="G66" s="151"/>
      <c r="H66" s="151"/>
      <c r="I66" s="151"/>
      <c r="J66" s="151"/>
      <c r="K66" s="151"/>
      <c r="L66" s="151"/>
      <c r="M66" s="151"/>
      <c r="N66" s="151"/>
      <c r="O66" s="151"/>
      <c r="P66" s="151"/>
      <c r="Q66" s="151"/>
      <c r="R66" s="151"/>
      <c r="S66" s="151"/>
      <c r="T66" s="151"/>
      <c r="U66" s="151"/>
      <c r="V66" s="151"/>
      <c r="W66" s="151"/>
      <c r="X66" s="151"/>
      <c r="Y66" s="247"/>
      <c r="Z66" s="247"/>
      <c r="AA66" s="247"/>
      <c r="AB66" s="247"/>
      <c r="AC66" s="153"/>
      <c r="AD66" s="149"/>
      <c r="AE66" s="149"/>
      <c r="AF66" s="149"/>
      <c r="AG66" s="149"/>
      <c r="AH66" s="149"/>
      <c r="AI66" s="149"/>
      <c r="AJ66" s="149"/>
      <c r="AK66" s="149"/>
      <c r="AL66" s="149"/>
      <c r="AM66" s="149"/>
      <c r="AN66" s="149"/>
      <c r="AO66" s="149"/>
    </row>
    <row r="67" spans="2:41" ht="15">
      <c r="B67" s="152" t="s">
        <v>404</v>
      </c>
      <c r="C67" s="151"/>
      <c r="D67" s="151"/>
      <c r="E67" s="151"/>
      <c r="F67" s="151"/>
      <c r="G67" s="151"/>
      <c r="H67" s="151"/>
      <c r="I67" s="151"/>
      <c r="J67" s="151"/>
      <c r="K67" s="151"/>
      <c r="L67" s="151"/>
      <c r="M67" s="151"/>
      <c r="N67" s="151"/>
      <c r="O67" s="151"/>
      <c r="P67" s="151"/>
      <c r="Q67" s="151"/>
      <c r="R67" s="151"/>
      <c r="S67" s="151"/>
      <c r="T67" s="151"/>
      <c r="U67" s="151"/>
      <c r="V67" s="151"/>
      <c r="W67" s="151"/>
      <c r="X67" s="151"/>
      <c r="Y67" s="247"/>
      <c r="Z67" s="247"/>
      <c r="AA67" s="247"/>
      <c r="AB67" s="247"/>
      <c r="AC67" s="153"/>
      <c r="AD67" s="149"/>
      <c r="AE67" s="149"/>
      <c r="AF67" s="149"/>
      <c r="AG67" s="149"/>
      <c r="AH67" s="149"/>
      <c r="AI67" s="149"/>
      <c r="AJ67" s="149"/>
      <c r="AK67" s="149"/>
      <c r="AL67" s="149"/>
      <c r="AM67" s="149"/>
      <c r="AN67" s="149"/>
      <c r="AO67" s="149"/>
    </row>
    <row r="68" spans="2:41" ht="15">
      <c r="B68" s="152" t="s">
        <v>404</v>
      </c>
      <c r="C68" s="151"/>
      <c r="D68" s="151"/>
      <c r="E68" s="151"/>
      <c r="F68" s="151"/>
      <c r="G68" s="151"/>
      <c r="H68" s="151"/>
      <c r="I68" s="151"/>
      <c r="J68" s="151"/>
      <c r="K68" s="151"/>
      <c r="L68" s="151"/>
      <c r="M68" s="151"/>
      <c r="N68" s="151"/>
      <c r="O68" s="151"/>
      <c r="P68" s="151"/>
      <c r="Q68" s="151"/>
      <c r="R68" s="151"/>
      <c r="S68" s="151"/>
      <c r="T68" s="151"/>
      <c r="U68" s="151"/>
      <c r="V68" s="151"/>
      <c r="W68" s="151"/>
      <c r="X68" s="151"/>
      <c r="Y68" s="247"/>
      <c r="Z68" s="247"/>
      <c r="AA68" s="247"/>
      <c r="AB68" s="247"/>
      <c r="AC68" s="153"/>
      <c r="AD68" s="149"/>
      <c r="AE68" s="149"/>
      <c r="AF68" s="149"/>
      <c r="AG68" s="149"/>
      <c r="AH68" s="149"/>
      <c r="AI68" s="149"/>
      <c r="AJ68" s="149"/>
      <c r="AK68" s="149"/>
      <c r="AL68" s="149"/>
      <c r="AM68" s="149"/>
      <c r="AN68" s="149"/>
      <c r="AO68" s="149"/>
    </row>
    <row r="69" spans="2:41" ht="15">
      <c r="B69" s="152" t="s">
        <v>404</v>
      </c>
      <c r="C69" s="151"/>
      <c r="D69" s="151"/>
      <c r="E69" s="151"/>
      <c r="F69" s="151"/>
      <c r="G69" s="151"/>
      <c r="H69" s="151"/>
      <c r="I69" s="151"/>
      <c r="J69" s="151"/>
      <c r="K69" s="151"/>
      <c r="L69" s="151"/>
      <c r="M69" s="151"/>
      <c r="N69" s="151"/>
      <c r="O69" s="151"/>
      <c r="P69" s="151"/>
      <c r="Q69" s="151"/>
      <c r="R69" s="151"/>
      <c r="S69" s="151"/>
      <c r="T69" s="151"/>
      <c r="U69" s="151"/>
      <c r="V69" s="151"/>
      <c r="W69" s="151"/>
      <c r="X69" s="151"/>
      <c r="Y69" s="247"/>
      <c r="Z69" s="247"/>
      <c r="AA69" s="247"/>
      <c r="AB69" s="247"/>
      <c r="AC69" s="153"/>
      <c r="AD69" s="149"/>
      <c r="AE69" s="149"/>
      <c r="AF69" s="149"/>
      <c r="AG69" s="149"/>
      <c r="AH69" s="149"/>
      <c r="AI69" s="149"/>
      <c r="AJ69" s="149"/>
      <c r="AK69" s="149"/>
      <c r="AL69" s="149"/>
      <c r="AM69" s="149"/>
      <c r="AN69" s="149"/>
      <c r="AO69" s="149"/>
    </row>
    <row r="70" spans="2:41" ht="15">
      <c r="B70" s="152" t="s">
        <v>404</v>
      </c>
      <c r="C70" s="151"/>
      <c r="D70" s="151"/>
      <c r="E70" s="151"/>
      <c r="F70" s="151"/>
      <c r="G70" s="151"/>
      <c r="H70" s="151"/>
      <c r="I70" s="151"/>
      <c r="J70" s="151"/>
      <c r="K70" s="151"/>
      <c r="L70" s="151"/>
      <c r="M70" s="151"/>
      <c r="N70" s="151"/>
      <c r="O70" s="151"/>
      <c r="P70" s="151"/>
      <c r="Q70" s="151"/>
      <c r="R70" s="151"/>
      <c r="S70" s="151"/>
      <c r="T70" s="151"/>
      <c r="U70" s="151"/>
      <c r="V70" s="151"/>
      <c r="W70" s="151"/>
      <c r="X70" s="151"/>
      <c r="Y70" s="247"/>
      <c r="Z70" s="247"/>
      <c r="AA70" s="247"/>
      <c r="AB70" s="247"/>
      <c r="AC70" s="153"/>
      <c r="AD70" s="149"/>
      <c r="AE70" s="149"/>
      <c r="AF70" s="149"/>
      <c r="AG70" s="149"/>
      <c r="AH70" s="149"/>
      <c r="AI70" s="149"/>
      <c r="AJ70" s="149"/>
      <c r="AK70" s="149"/>
      <c r="AL70" s="149"/>
      <c r="AM70" s="149"/>
      <c r="AN70" s="149"/>
      <c r="AO70" s="149"/>
    </row>
    <row r="71" spans="2:41" ht="15">
      <c r="B71" s="152" t="s">
        <v>404</v>
      </c>
      <c r="C71" s="151"/>
      <c r="D71" s="151"/>
      <c r="E71" s="151"/>
      <c r="F71" s="151"/>
      <c r="G71" s="151"/>
      <c r="H71" s="151"/>
      <c r="I71" s="151"/>
      <c r="J71" s="151"/>
      <c r="K71" s="151"/>
      <c r="L71" s="151"/>
      <c r="M71" s="151"/>
      <c r="N71" s="151"/>
      <c r="O71" s="151"/>
      <c r="P71" s="151"/>
      <c r="Q71" s="151"/>
      <c r="R71" s="151"/>
      <c r="S71" s="151"/>
      <c r="T71" s="151"/>
      <c r="U71" s="151"/>
      <c r="V71" s="151"/>
      <c r="W71" s="151"/>
      <c r="X71" s="151"/>
      <c r="Y71" s="247"/>
      <c r="Z71" s="247"/>
      <c r="AA71" s="247"/>
      <c r="AB71" s="247"/>
      <c r="AC71" s="153"/>
      <c r="AD71" s="149"/>
      <c r="AE71" s="149"/>
      <c r="AF71" s="149"/>
      <c r="AG71" s="149"/>
      <c r="AH71" s="149"/>
      <c r="AI71" s="149"/>
      <c r="AJ71" s="149"/>
      <c r="AK71" s="149"/>
      <c r="AL71" s="149"/>
      <c r="AM71" s="149"/>
      <c r="AN71" s="149"/>
      <c r="AO71" s="149"/>
    </row>
    <row r="72" spans="2:41" ht="15">
      <c r="B72" s="152" t="s">
        <v>404</v>
      </c>
      <c r="C72" s="151"/>
      <c r="D72" s="151"/>
      <c r="E72" s="151"/>
      <c r="F72" s="151"/>
      <c r="G72" s="151"/>
      <c r="H72" s="151"/>
      <c r="I72" s="151"/>
      <c r="J72" s="151"/>
      <c r="K72" s="151"/>
      <c r="L72" s="151"/>
      <c r="M72" s="151"/>
      <c r="N72" s="151"/>
      <c r="O72" s="151"/>
      <c r="P72" s="151"/>
      <c r="Q72" s="151"/>
      <c r="R72" s="151"/>
      <c r="S72" s="151"/>
      <c r="T72" s="151"/>
      <c r="U72" s="151"/>
      <c r="V72" s="151"/>
      <c r="W72" s="151"/>
      <c r="X72" s="151"/>
      <c r="Y72" s="247"/>
      <c r="Z72" s="247"/>
      <c r="AA72" s="247"/>
      <c r="AB72" s="247"/>
      <c r="AC72" s="153"/>
      <c r="AD72" s="149"/>
      <c r="AE72" s="149"/>
      <c r="AF72" s="149"/>
      <c r="AG72" s="149"/>
      <c r="AH72" s="149"/>
      <c r="AI72" s="149"/>
      <c r="AJ72" s="149"/>
      <c r="AK72" s="149"/>
      <c r="AL72" s="149"/>
      <c r="AM72" s="149"/>
      <c r="AN72" s="149"/>
      <c r="AO72" s="149"/>
    </row>
    <row r="73" spans="2:41" ht="15">
      <c r="B73" s="152" t="s">
        <v>404</v>
      </c>
      <c r="C73" s="151"/>
      <c r="D73" s="151"/>
      <c r="E73" s="151"/>
      <c r="F73" s="151"/>
      <c r="G73" s="151"/>
      <c r="H73" s="151"/>
      <c r="I73" s="151"/>
      <c r="J73" s="151"/>
      <c r="K73" s="151"/>
      <c r="L73" s="151"/>
      <c r="M73" s="151"/>
      <c r="N73" s="151"/>
      <c r="O73" s="151"/>
      <c r="P73" s="151"/>
      <c r="Q73" s="151"/>
      <c r="R73" s="151"/>
      <c r="S73" s="151"/>
      <c r="T73" s="151"/>
      <c r="U73" s="151"/>
      <c r="V73" s="151"/>
      <c r="W73" s="151"/>
      <c r="X73" s="151"/>
      <c r="Y73" s="247"/>
      <c r="Z73" s="247"/>
      <c r="AA73" s="247"/>
      <c r="AB73" s="247"/>
      <c r="AC73" s="153"/>
      <c r="AD73" s="149"/>
      <c r="AE73" s="149"/>
      <c r="AF73" s="149"/>
      <c r="AG73" s="149"/>
      <c r="AH73" s="149"/>
      <c r="AI73" s="149"/>
      <c r="AJ73" s="149"/>
      <c r="AK73" s="149"/>
      <c r="AL73" s="149"/>
      <c r="AM73" s="149"/>
      <c r="AN73" s="149"/>
      <c r="AO73" s="149"/>
    </row>
    <row r="74" spans="2:41" ht="15">
      <c r="B74" s="152" t="s">
        <v>404</v>
      </c>
      <c r="C74" s="151"/>
      <c r="D74" s="151"/>
      <c r="E74" s="151"/>
      <c r="F74" s="151"/>
      <c r="G74" s="151"/>
      <c r="H74" s="151"/>
      <c r="I74" s="151"/>
      <c r="J74" s="151"/>
      <c r="K74" s="151"/>
      <c r="L74" s="151"/>
      <c r="M74" s="151"/>
      <c r="N74" s="151"/>
      <c r="O74" s="151"/>
      <c r="P74" s="151"/>
      <c r="Q74" s="151"/>
      <c r="R74" s="151"/>
      <c r="S74" s="151"/>
      <c r="T74" s="151"/>
      <c r="U74" s="151"/>
      <c r="V74" s="151"/>
      <c r="W74" s="151"/>
      <c r="X74" s="151"/>
      <c r="Y74" s="247"/>
      <c r="Z74" s="247"/>
      <c r="AA74" s="247"/>
      <c r="AB74" s="247"/>
      <c r="AC74" s="153"/>
      <c r="AD74" s="149"/>
      <c r="AE74" s="149"/>
      <c r="AF74" s="149"/>
      <c r="AG74" s="149"/>
      <c r="AH74" s="149"/>
      <c r="AI74" s="149"/>
      <c r="AJ74" s="149"/>
      <c r="AK74" s="149"/>
      <c r="AL74" s="149"/>
      <c r="AM74" s="149"/>
      <c r="AN74" s="149"/>
      <c r="AO74" s="149"/>
    </row>
    <row r="75" spans="2:41" ht="15">
      <c r="B75" s="152" t="s">
        <v>404</v>
      </c>
      <c r="C75" s="151"/>
      <c r="D75" s="151"/>
      <c r="E75" s="151"/>
      <c r="F75" s="151"/>
      <c r="G75" s="151"/>
      <c r="H75" s="151"/>
      <c r="I75" s="151"/>
      <c r="J75" s="151"/>
      <c r="K75" s="151"/>
      <c r="L75" s="151"/>
      <c r="M75" s="151"/>
      <c r="N75" s="151"/>
      <c r="O75" s="151"/>
      <c r="P75" s="151"/>
      <c r="Q75" s="151"/>
      <c r="R75" s="151"/>
      <c r="S75" s="151"/>
      <c r="T75" s="151"/>
      <c r="U75" s="151"/>
      <c r="V75" s="151"/>
      <c r="W75" s="151"/>
      <c r="X75" s="151"/>
      <c r="Y75" s="247"/>
      <c r="Z75" s="247"/>
      <c r="AA75" s="247"/>
      <c r="AB75" s="247"/>
      <c r="AC75" s="153"/>
      <c r="AD75" s="149"/>
      <c r="AE75" s="149"/>
      <c r="AF75" s="149"/>
      <c r="AG75" s="149"/>
      <c r="AH75" s="149"/>
      <c r="AI75" s="149"/>
      <c r="AJ75" s="149"/>
      <c r="AK75" s="149"/>
      <c r="AL75" s="149"/>
      <c r="AM75" s="149"/>
      <c r="AN75" s="149"/>
      <c r="AO75" s="149"/>
    </row>
    <row r="76" spans="2:41" ht="15">
      <c r="B76" s="152" t="s">
        <v>404</v>
      </c>
      <c r="C76" s="151"/>
      <c r="D76" s="151"/>
      <c r="E76" s="151"/>
      <c r="F76" s="151"/>
      <c r="G76" s="151"/>
      <c r="H76" s="151"/>
      <c r="I76" s="151"/>
      <c r="J76" s="151"/>
      <c r="K76" s="151"/>
      <c r="L76" s="151"/>
      <c r="M76" s="151"/>
      <c r="N76" s="151"/>
      <c r="O76" s="151"/>
      <c r="P76" s="151"/>
      <c r="Q76" s="151"/>
      <c r="R76" s="151"/>
      <c r="S76" s="151"/>
      <c r="T76" s="151"/>
      <c r="U76" s="151"/>
      <c r="V76" s="151"/>
      <c r="W76" s="151"/>
      <c r="X76" s="151"/>
      <c r="Y76" s="247"/>
      <c r="Z76" s="247"/>
      <c r="AA76" s="247"/>
      <c r="AB76" s="247"/>
      <c r="AC76" s="153"/>
      <c r="AD76" s="149"/>
      <c r="AE76" s="149"/>
      <c r="AF76" s="149"/>
      <c r="AG76" s="149"/>
      <c r="AH76" s="149"/>
      <c r="AI76" s="149"/>
      <c r="AJ76" s="149"/>
      <c r="AK76" s="149"/>
      <c r="AL76" s="149"/>
      <c r="AM76" s="149"/>
      <c r="AN76" s="149"/>
      <c r="AO76" s="149"/>
    </row>
    <row r="77" spans="2:41" ht="15">
      <c r="B77" s="152" t="s">
        <v>404</v>
      </c>
      <c r="C77" s="151"/>
      <c r="D77" s="151"/>
      <c r="E77" s="151"/>
      <c r="F77" s="151"/>
      <c r="G77" s="151"/>
      <c r="H77" s="151"/>
      <c r="I77" s="151"/>
      <c r="J77" s="151"/>
      <c r="K77" s="151"/>
      <c r="L77" s="151"/>
      <c r="M77" s="151"/>
      <c r="N77" s="151"/>
      <c r="O77" s="151"/>
      <c r="P77" s="151"/>
      <c r="Q77" s="151"/>
      <c r="R77" s="151"/>
      <c r="S77" s="151"/>
      <c r="T77" s="151"/>
      <c r="U77" s="151"/>
      <c r="V77" s="151"/>
      <c r="W77" s="151"/>
      <c r="X77" s="151"/>
      <c r="Y77" s="247"/>
      <c r="Z77" s="247"/>
      <c r="AA77" s="247"/>
      <c r="AB77" s="247"/>
      <c r="AC77" s="153"/>
      <c r="AD77" s="149"/>
      <c r="AE77" s="149"/>
      <c r="AF77" s="149"/>
      <c r="AG77" s="149"/>
      <c r="AH77" s="149"/>
      <c r="AI77" s="149"/>
      <c r="AJ77" s="149"/>
      <c r="AK77" s="149"/>
      <c r="AL77" s="149"/>
      <c r="AM77" s="149"/>
      <c r="AN77" s="149"/>
      <c r="AO77" s="149"/>
    </row>
    <row r="78" spans="2:41" ht="15">
      <c r="B78" s="152" t="s">
        <v>404</v>
      </c>
      <c r="C78" s="151"/>
      <c r="D78" s="151"/>
      <c r="E78" s="151"/>
      <c r="F78" s="151"/>
      <c r="G78" s="151"/>
      <c r="H78" s="151"/>
      <c r="I78" s="151"/>
      <c r="J78" s="151"/>
      <c r="K78" s="151"/>
      <c r="L78" s="151"/>
      <c r="M78" s="151"/>
      <c r="N78" s="151"/>
      <c r="O78" s="151"/>
      <c r="P78" s="151"/>
      <c r="Q78" s="151"/>
      <c r="R78" s="151"/>
      <c r="S78" s="151"/>
      <c r="T78" s="151"/>
      <c r="U78" s="151"/>
      <c r="V78" s="151"/>
      <c r="W78" s="151"/>
      <c r="X78" s="151"/>
      <c r="Y78" s="247"/>
      <c r="Z78" s="247"/>
      <c r="AA78" s="247"/>
      <c r="AB78" s="247"/>
      <c r="AC78" s="153"/>
      <c r="AD78" s="149"/>
      <c r="AE78" s="149"/>
      <c r="AF78" s="149"/>
      <c r="AG78" s="149"/>
      <c r="AH78" s="149"/>
      <c r="AI78" s="149"/>
      <c r="AJ78" s="149"/>
      <c r="AK78" s="149"/>
      <c r="AL78" s="149"/>
      <c r="AM78" s="149"/>
      <c r="AN78" s="149"/>
      <c r="AO78" s="149"/>
    </row>
    <row r="79" spans="2:41" ht="15">
      <c r="B79" s="152" t="s">
        <v>404</v>
      </c>
      <c r="C79" s="151"/>
      <c r="D79" s="151"/>
      <c r="E79" s="151"/>
      <c r="F79" s="151"/>
      <c r="G79" s="151"/>
      <c r="H79" s="151"/>
      <c r="I79" s="151"/>
      <c r="J79" s="151"/>
      <c r="K79" s="151"/>
      <c r="L79" s="151"/>
      <c r="M79" s="151"/>
      <c r="N79" s="151"/>
      <c r="O79" s="151"/>
      <c r="P79" s="151"/>
      <c r="Q79" s="151"/>
      <c r="R79" s="151"/>
      <c r="S79" s="151"/>
      <c r="T79" s="151"/>
      <c r="U79" s="151"/>
      <c r="V79" s="151"/>
      <c r="W79" s="151"/>
      <c r="X79" s="151"/>
      <c r="Y79" s="247"/>
      <c r="Z79" s="247"/>
      <c r="AA79" s="247"/>
      <c r="AB79" s="247"/>
      <c r="AC79" s="153"/>
      <c r="AD79" s="149"/>
      <c r="AE79" s="149"/>
      <c r="AF79" s="149"/>
      <c r="AG79" s="149"/>
      <c r="AH79" s="149"/>
      <c r="AI79" s="149"/>
      <c r="AJ79" s="149"/>
      <c r="AK79" s="149"/>
      <c r="AL79" s="149"/>
      <c r="AM79" s="149"/>
      <c r="AN79" s="149"/>
      <c r="AO79" s="149"/>
    </row>
    <row r="80" spans="2:41" ht="15">
      <c r="B80" s="152" t="s">
        <v>404</v>
      </c>
      <c r="C80" s="151"/>
      <c r="D80" s="151"/>
      <c r="E80" s="151"/>
      <c r="F80" s="151"/>
      <c r="G80" s="151"/>
      <c r="H80" s="151"/>
      <c r="I80" s="151"/>
      <c r="J80" s="151"/>
      <c r="K80" s="151"/>
      <c r="L80" s="151"/>
      <c r="M80" s="151"/>
      <c r="N80" s="151"/>
      <c r="O80" s="151"/>
      <c r="P80" s="151"/>
      <c r="Q80" s="151"/>
      <c r="R80" s="151"/>
      <c r="S80" s="151"/>
      <c r="T80" s="151"/>
      <c r="U80" s="151"/>
      <c r="V80" s="151"/>
      <c r="W80" s="151"/>
      <c r="X80" s="151"/>
      <c r="Y80" s="247"/>
      <c r="Z80" s="247"/>
      <c r="AA80" s="247"/>
      <c r="AB80" s="247"/>
      <c r="AC80" s="153"/>
      <c r="AD80" s="149"/>
      <c r="AE80" s="149"/>
      <c r="AF80" s="149"/>
      <c r="AG80" s="149"/>
      <c r="AH80" s="149"/>
      <c r="AI80" s="149"/>
      <c r="AJ80" s="149"/>
      <c r="AK80" s="149"/>
      <c r="AL80" s="149"/>
      <c r="AM80" s="149"/>
      <c r="AN80" s="149"/>
      <c r="AO80" s="149"/>
    </row>
    <row r="81" spans="2:41" ht="15">
      <c r="B81" s="152" t="s">
        <v>404</v>
      </c>
      <c r="C81" s="151"/>
      <c r="D81" s="151"/>
      <c r="E81" s="151"/>
      <c r="F81" s="151"/>
      <c r="G81" s="151"/>
      <c r="H81" s="151"/>
      <c r="I81" s="151"/>
      <c r="J81" s="151"/>
      <c r="K81" s="151"/>
      <c r="L81" s="151"/>
      <c r="M81" s="151"/>
      <c r="N81" s="151"/>
      <c r="O81" s="151"/>
      <c r="P81" s="151"/>
      <c r="Q81" s="151"/>
      <c r="R81" s="151"/>
      <c r="S81" s="151"/>
      <c r="T81" s="151"/>
      <c r="U81" s="151"/>
      <c r="V81" s="151"/>
      <c r="W81" s="151"/>
      <c r="X81" s="151"/>
      <c r="Y81" s="247"/>
      <c r="Z81" s="247"/>
      <c r="AA81" s="247"/>
      <c r="AB81" s="247"/>
      <c r="AC81" s="153"/>
      <c r="AD81" s="149"/>
      <c r="AE81" s="149"/>
      <c r="AF81" s="149"/>
      <c r="AG81" s="149"/>
      <c r="AH81" s="149"/>
      <c r="AI81" s="149"/>
      <c r="AJ81" s="149"/>
      <c r="AK81" s="149"/>
      <c r="AL81" s="149"/>
      <c r="AM81" s="149"/>
      <c r="AN81" s="149"/>
      <c r="AO81" s="149"/>
    </row>
    <row r="82" spans="2:41" ht="15">
      <c r="B82" s="152" t="s">
        <v>404</v>
      </c>
      <c r="C82" s="151"/>
      <c r="D82" s="151"/>
      <c r="E82" s="151"/>
      <c r="F82" s="151"/>
      <c r="G82" s="151"/>
      <c r="H82" s="151"/>
      <c r="I82" s="151"/>
      <c r="J82" s="151"/>
      <c r="K82" s="151"/>
      <c r="L82" s="151"/>
      <c r="M82" s="151"/>
      <c r="N82" s="151"/>
      <c r="O82" s="151"/>
      <c r="P82" s="151"/>
      <c r="Q82" s="151"/>
      <c r="R82" s="151"/>
      <c r="S82" s="151"/>
      <c r="T82" s="151"/>
      <c r="U82" s="151"/>
      <c r="V82" s="151"/>
      <c r="W82" s="151"/>
      <c r="X82" s="151"/>
      <c r="Y82" s="247"/>
      <c r="Z82" s="247"/>
      <c r="AA82" s="247"/>
      <c r="AB82" s="247"/>
      <c r="AC82" s="153"/>
      <c r="AD82" s="149"/>
      <c r="AE82" s="149"/>
      <c r="AF82" s="149"/>
      <c r="AG82" s="149"/>
      <c r="AH82" s="149"/>
      <c r="AI82" s="149"/>
      <c r="AJ82" s="149"/>
      <c r="AK82" s="149"/>
      <c r="AL82" s="149"/>
      <c r="AM82" s="149"/>
      <c r="AN82" s="149"/>
      <c r="AO82" s="149"/>
    </row>
    <row r="83" spans="2:41" ht="15">
      <c r="B83" s="152" t="s">
        <v>404</v>
      </c>
      <c r="C83" s="151"/>
      <c r="D83" s="151"/>
      <c r="E83" s="151"/>
      <c r="F83" s="151"/>
      <c r="G83" s="151"/>
      <c r="H83" s="151"/>
      <c r="I83" s="151"/>
      <c r="J83" s="151"/>
      <c r="K83" s="151"/>
      <c r="L83" s="151"/>
      <c r="M83" s="151"/>
      <c r="N83" s="151"/>
      <c r="O83" s="151"/>
      <c r="P83" s="151"/>
      <c r="Q83" s="151"/>
      <c r="R83" s="151"/>
      <c r="S83" s="151"/>
      <c r="T83" s="151"/>
      <c r="U83" s="151"/>
      <c r="V83" s="151"/>
      <c r="W83" s="151"/>
      <c r="X83" s="151"/>
      <c r="Y83" s="247"/>
      <c r="Z83" s="247"/>
      <c r="AA83" s="247"/>
      <c r="AB83" s="247"/>
      <c r="AC83" s="153"/>
      <c r="AD83" s="149"/>
      <c r="AE83" s="149"/>
      <c r="AF83" s="149"/>
      <c r="AG83" s="149"/>
      <c r="AH83" s="149"/>
      <c r="AI83" s="149"/>
      <c r="AJ83" s="149"/>
      <c r="AK83" s="149"/>
      <c r="AL83" s="149"/>
      <c r="AM83" s="149"/>
      <c r="AN83" s="149"/>
      <c r="AO83" s="149"/>
    </row>
    <row r="84" spans="2:41" ht="15">
      <c r="B84" s="152" t="s">
        <v>404</v>
      </c>
      <c r="C84" s="151"/>
      <c r="D84" s="151"/>
      <c r="E84" s="151"/>
      <c r="F84" s="151"/>
      <c r="G84" s="151"/>
      <c r="H84" s="151"/>
      <c r="I84" s="151"/>
      <c r="J84" s="151"/>
      <c r="K84" s="151"/>
      <c r="L84" s="151"/>
      <c r="M84" s="151"/>
      <c r="N84" s="151"/>
      <c r="O84" s="151"/>
      <c r="P84" s="151"/>
      <c r="Q84" s="151"/>
      <c r="R84" s="151"/>
      <c r="S84" s="151"/>
      <c r="T84" s="151"/>
      <c r="U84" s="151"/>
      <c r="V84" s="151"/>
      <c r="W84" s="151"/>
      <c r="X84" s="151"/>
      <c r="Y84" s="247"/>
      <c r="Z84" s="247"/>
      <c r="AA84" s="247"/>
      <c r="AB84" s="247"/>
      <c r="AC84" s="153"/>
      <c r="AD84" s="149"/>
      <c r="AE84" s="149"/>
      <c r="AF84" s="149"/>
      <c r="AG84" s="149"/>
      <c r="AH84" s="149"/>
      <c r="AI84" s="149"/>
      <c r="AJ84" s="149"/>
      <c r="AK84" s="149"/>
      <c r="AL84" s="149"/>
      <c r="AM84" s="149"/>
      <c r="AN84" s="149"/>
      <c r="AO84" s="149"/>
    </row>
    <row r="85" spans="2:41" ht="15">
      <c r="B85" s="152" t="s">
        <v>404</v>
      </c>
      <c r="C85" s="151"/>
      <c r="D85" s="151"/>
      <c r="E85" s="151"/>
      <c r="F85" s="151"/>
      <c r="G85" s="151"/>
      <c r="H85" s="151"/>
      <c r="I85" s="151"/>
      <c r="J85" s="151"/>
      <c r="K85" s="151"/>
      <c r="L85" s="151"/>
      <c r="M85" s="151"/>
      <c r="N85" s="151"/>
      <c r="O85" s="151"/>
      <c r="P85" s="151"/>
      <c r="Q85" s="151"/>
      <c r="R85" s="151"/>
      <c r="S85" s="151"/>
      <c r="T85" s="151"/>
      <c r="U85" s="151"/>
      <c r="V85" s="151"/>
      <c r="W85" s="151"/>
      <c r="X85" s="151"/>
      <c r="Y85" s="247"/>
      <c r="Z85" s="247"/>
      <c r="AA85" s="247"/>
      <c r="AB85" s="247"/>
      <c r="AC85" s="153"/>
      <c r="AD85" s="149"/>
      <c r="AE85" s="149"/>
      <c r="AF85" s="149"/>
      <c r="AG85" s="149"/>
      <c r="AH85" s="149"/>
      <c r="AI85" s="149"/>
      <c r="AJ85" s="149"/>
      <c r="AK85" s="149"/>
      <c r="AL85" s="149"/>
      <c r="AM85" s="149"/>
      <c r="AN85" s="149"/>
      <c r="AO85" s="149"/>
    </row>
    <row r="86" spans="2:41" ht="15">
      <c r="B86" s="152" t="s">
        <v>404</v>
      </c>
      <c r="C86" s="151"/>
      <c r="D86" s="151"/>
      <c r="E86" s="151"/>
      <c r="F86" s="151"/>
      <c r="G86" s="151"/>
      <c r="H86" s="151"/>
      <c r="I86" s="151"/>
      <c r="J86" s="151"/>
      <c r="K86" s="151"/>
      <c r="L86" s="151"/>
      <c r="M86" s="151"/>
      <c r="N86" s="151"/>
      <c r="O86" s="151"/>
      <c r="P86" s="151"/>
      <c r="Q86" s="151"/>
      <c r="R86" s="151"/>
      <c r="S86" s="151"/>
      <c r="T86" s="151"/>
      <c r="U86" s="151"/>
      <c r="V86" s="151"/>
      <c r="W86" s="151"/>
      <c r="X86" s="151"/>
      <c r="Y86" s="247"/>
      <c r="Z86" s="247"/>
      <c r="AA86" s="247"/>
      <c r="AB86" s="247"/>
      <c r="AC86" s="153"/>
      <c r="AD86" s="149"/>
      <c r="AE86" s="149"/>
      <c r="AF86" s="149"/>
      <c r="AG86" s="149"/>
      <c r="AH86" s="149"/>
      <c r="AI86" s="149"/>
      <c r="AJ86" s="149"/>
      <c r="AK86" s="149"/>
      <c r="AL86" s="149"/>
      <c r="AM86" s="149"/>
      <c r="AN86" s="149"/>
      <c r="AO86" s="149"/>
    </row>
    <row r="87" spans="2:41" ht="15">
      <c r="B87" s="152" t="s">
        <v>404</v>
      </c>
      <c r="C87" s="151"/>
      <c r="D87" s="151"/>
      <c r="E87" s="151"/>
      <c r="F87" s="151"/>
      <c r="G87" s="151"/>
      <c r="H87" s="151"/>
      <c r="I87" s="151"/>
      <c r="J87" s="151"/>
      <c r="K87" s="151"/>
      <c r="L87" s="151"/>
      <c r="M87" s="151"/>
      <c r="N87" s="151"/>
      <c r="O87" s="151"/>
      <c r="P87" s="151"/>
      <c r="Q87" s="151"/>
      <c r="R87" s="151"/>
      <c r="S87" s="151"/>
      <c r="T87" s="151"/>
      <c r="U87" s="151"/>
      <c r="V87" s="151"/>
      <c r="W87" s="151"/>
      <c r="X87" s="151"/>
      <c r="Y87" s="247"/>
      <c r="Z87" s="247"/>
      <c r="AA87" s="247"/>
      <c r="AB87" s="247"/>
      <c r="AC87" s="153"/>
      <c r="AD87" s="149"/>
      <c r="AE87" s="149"/>
      <c r="AF87" s="149"/>
      <c r="AG87" s="149"/>
      <c r="AH87" s="149"/>
      <c r="AI87" s="149"/>
      <c r="AJ87" s="149"/>
      <c r="AK87" s="149"/>
      <c r="AL87" s="149"/>
      <c r="AM87" s="149"/>
      <c r="AN87" s="149"/>
      <c r="AO87" s="149"/>
    </row>
    <row r="88" spans="2:41" ht="15">
      <c r="B88" s="152" t="s">
        <v>404</v>
      </c>
      <c r="C88" s="151"/>
      <c r="D88" s="151"/>
      <c r="E88" s="151"/>
      <c r="F88" s="151"/>
      <c r="G88" s="151"/>
      <c r="H88" s="151"/>
      <c r="I88" s="151"/>
      <c r="J88" s="151"/>
      <c r="K88" s="151"/>
      <c r="L88" s="151"/>
      <c r="M88" s="151"/>
      <c r="N88" s="151"/>
      <c r="O88" s="151"/>
      <c r="P88" s="151"/>
      <c r="Q88" s="151"/>
      <c r="R88" s="151"/>
      <c r="S88" s="151"/>
      <c r="T88" s="151"/>
      <c r="U88" s="151"/>
      <c r="V88" s="151"/>
      <c r="W88" s="151"/>
      <c r="X88" s="151"/>
      <c r="Y88" s="247"/>
      <c r="Z88" s="247"/>
      <c r="AA88" s="247"/>
      <c r="AB88" s="247"/>
      <c r="AC88" s="153"/>
      <c r="AD88" s="149"/>
      <c r="AE88" s="149"/>
      <c r="AF88" s="149"/>
      <c r="AG88" s="149"/>
      <c r="AH88" s="149"/>
      <c r="AI88" s="149"/>
      <c r="AJ88" s="149"/>
      <c r="AK88" s="149"/>
      <c r="AL88" s="149"/>
      <c r="AM88" s="149"/>
      <c r="AN88" s="149"/>
      <c r="AO88" s="149"/>
    </row>
    <row r="89" spans="2:41" ht="15">
      <c r="B89" s="152" t="s">
        <v>404</v>
      </c>
      <c r="C89" s="151"/>
      <c r="D89" s="151"/>
      <c r="E89" s="151"/>
      <c r="F89" s="151"/>
      <c r="G89" s="151"/>
      <c r="H89" s="151"/>
      <c r="I89" s="151"/>
      <c r="J89" s="151"/>
      <c r="K89" s="151"/>
      <c r="L89" s="151"/>
      <c r="M89" s="151"/>
      <c r="N89" s="151"/>
      <c r="O89" s="151"/>
      <c r="P89" s="151"/>
      <c r="Q89" s="151"/>
      <c r="R89" s="151"/>
      <c r="S89" s="151"/>
      <c r="T89" s="151"/>
      <c r="U89" s="151"/>
      <c r="V89" s="151"/>
      <c r="W89" s="151"/>
      <c r="X89" s="151"/>
      <c r="Y89" s="247"/>
      <c r="Z89" s="247"/>
      <c r="AA89" s="247"/>
      <c r="AB89" s="247"/>
      <c r="AC89" s="153"/>
      <c r="AD89" s="149"/>
      <c r="AE89" s="149"/>
      <c r="AF89" s="149"/>
      <c r="AG89" s="149"/>
      <c r="AH89" s="149"/>
      <c r="AI89" s="149"/>
      <c r="AJ89" s="149"/>
      <c r="AK89" s="149"/>
      <c r="AL89" s="149"/>
      <c r="AM89" s="149"/>
      <c r="AN89" s="149"/>
      <c r="AO89" s="149"/>
    </row>
    <row r="90" spans="2:41" ht="15">
      <c r="B90" s="152" t="s">
        <v>404</v>
      </c>
      <c r="C90" s="151"/>
      <c r="D90" s="151"/>
      <c r="E90" s="151"/>
      <c r="F90" s="151"/>
      <c r="G90" s="151"/>
      <c r="H90" s="151"/>
      <c r="I90" s="151"/>
      <c r="J90" s="151"/>
      <c r="K90" s="151"/>
      <c r="L90" s="151"/>
      <c r="M90" s="151"/>
      <c r="N90" s="151"/>
      <c r="O90" s="151"/>
      <c r="P90" s="151"/>
      <c r="Q90" s="151"/>
      <c r="R90" s="151"/>
      <c r="S90" s="151"/>
      <c r="T90" s="151"/>
      <c r="U90" s="151"/>
      <c r="V90" s="151"/>
      <c r="W90" s="151"/>
      <c r="X90" s="151"/>
      <c r="Y90" s="247"/>
      <c r="Z90" s="247"/>
      <c r="AA90" s="247"/>
      <c r="AB90" s="247"/>
      <c r="AC90" s="153"/>
      <c r="AD90" s="149"/>
      <c r="AE90" s="149"/>
      <c r="AF90" s="149"/>
      <c r="AG90" s="149"/>
      <c r="AH90" s="149"/>
      <c r="AI90" s="149"/>
      <c r="AJ90" s="149"/>
      <c r="AK90" s="149"/>
      <c r="AL90" s="149"/>
      <c r="AM90" s="149"/>
      <c r="AN90" s="149"/>
      <c r="AO90" s="149"/>
    </row>
    <row r="91" spans="2:41" ht="15">
      <c r="B91" s="152" t="s">
        <v>404</v>
      </c>
      <c r="C91" s="151"/>
      <c r="D91" s="151"/>
      <c r="E91" s="151"/>
      <c r="F91" s="151"/>
      <c r="G91" s="151"/>
      <c r="H91" s="151"/>
      <c r="I91" s="151"/>
      <c r="J91" s="151"/>
      <c r="K91" s="151"/>
      <c r="L91" s="151"/>
      <c r="M91" s="151"/>
      <c r="N91" s="151"/>
      <c r="O91" s="151"/>
      <c r="P91" s="151"/>
      <c r="Q91" s="151"/>
      <c r="R91" s="151"/>
      <c r="S91" s="151"/>
      <c r="T91" s="151"/>
      <c r="U91" s="151"/>
      <c r="V91" s="151"/>
      <c r="W91" s="151"/>
      <c r="X91" s="151"/>
      <c r="Y91" s="247"/>
      <c r="Z91" s="247"/>
      <c r="AA91" s="247"/>
      <c r="AB91" s="247"/>
      <c r="AC91" s="153"/>
      <c r="AD91" s="149"/>
      <c r="AE91" s="149"/>
      <c r="AF91" s="149"/>
      <c r="AG91" s="149"/>
      <c r="AH91" s="149"/>
      <c r="AI91" s="149"/>
      <c r="AJ91" s="149"/>
      <c r="AK91" s="149"/>
      <c r="AL91" s="149"/>
      <c r="AM91" s="149"/>
      <c r="AN91" s="149"/>
      <c r="AO91" s="149"/>
    </row>
    <row r="92" spans="2:41" ht="15">
      <c r="B92" s="152" t="s">
        <v>404</v>
      </c>
      <c r="C92" s="151"/>
      <c r="D92" s="151"/>
      <c r="E92" s="151"/>
      <c r="F92" s="151"/>
      <c r="G92" s="151"/>
      <c r="H92" s="151"/>
      <c r="I92" s="151"/>
      <c r="J92" s="151"/>
      <c r="K92" s="151"/>
      <c r="L92" s="151"/>
      <c r="M92" s="151"/>
      <c r="N92" s="151"/>
      <c r="O92" s="151"/>
      <c r="P92" s="151"/>
      <c r="Q92" s="151"/>
      <c r="R92" s="151"/>
      <c r="S92" s="151"/>
      <c r="T92" s="151"/>
      <c r="U92" s="151"/>
      <c r="V92" s="151"/>
      <c r="W92" s="151"/>
      <c r="X92" s="151"/>
      <c r="Y92" s="247"/>
      <c r="Z92" s="247"/>
      <c r="AA92" s="247"/>
      <c r="AB92" s="247"/>
      <c r="AC92" s="153"/>
      <c r="AD92" s="149"/>
      <c r="AE92" s="149"/>
      <c r="AF92" s="149"/>
      <c r="AG92" s="149"/>
      <c r="AH92" s="149"/>
      <c r="AI92" s="149"/>
      <c r="AJ92" s="149"/>
      <c r="AK92" s="149"/>
      <c r="AL92" s="149"/>
      <c r="AM92" s="149"/>
      <c r="AN92" s="149"/>
      <c r="AO92" s="149"/>
    </row>
    <row r="93" spans="2:41" ht="15">
      <c r="B93" s="152" t="s">
        <v>404</v>
      </c>
      <c r="C93" s="151"/>
      <c r="D93" s="151"/>
      <c r="E93" s="151"/>
      <c r="F93" s="151"/>
      <c r="G93" s="151"/>
      <c r="H93" s="151"/>
      <c r="I93" s="151"/>
      <c r="J93" s="151"/>
      <c r="K93" s="151"/>
      <c r="L93" s="151"/>
      <c r="M93" s="151"/>
      <c r="N93" s="151"/>
      <c r="O93" s="151"/>
      <c r="P93" s="151"/>
      <c r="Q93" s="151"/>
      <c r="R93" s="151"/>
      <c r="S93" s="151"/>
      <c r="T93" s="151"/>
      <c r="U93" s="151"/>
      <c r="V93" s="151"/>
      <c r="W93" s="151"/>
      <c r="X93" s="151"/>
      <c r="Y93" s="247"/>
      <c r="Z93" s="247"/>
      <c r="AA93" s="247"/>
      <c r="AB93" s="247"/>
      <c r="AC93" s="153"/>
      <c r="AD93" s="149"/>
      <c r="AE93" s="149"/>
      <c r="AF93" s="149"/>
      <c r="AG93" s="149"/>
      <c r="AH93" s="149"/>
      <c r="AI93" s="149"/>
      <c r="AJ93" s="149"/>
      <c r="AK93" s="149"/>
      <c r="AL93" s="149"/>
      <c r="AM93" s="149"/>
      <c r="AN93" s="149"/>
      <c r="AO93" s="149"/>
    </row>
    <row r="94" spans="2:41" ht="15">
      <c r="B94" s="152" t="s">
        <v>404</v>
      </c>
      <c r="C94" s="151"/>
      <c r="D94" s="151"/>
      <c r="E94" s="151"/>
      <c r="F94" s="151"/>
      <c r="G94" s="151"/>
      <c r="H94" s="151"/>
      <c r="I94" s="151"/>
      <c r="J94" s="151"/>
      <c r="K94" s="151"/>
      <c r="L94" s="151"/>
      <c r="M94" s="151"/>
      <c r="N94" s="151"/>
      <c r="O94" s="151"/>
      <c r="P94" s="151"/>
      <c r="Q94" s="151"/>
      <c r="R94" s="151"/>
      <c r="S94" s="151"/>
      <c r="T94" s="151"/>
      <c r="U94" s="151"/>
      <c r="V94" s="151"/>
      <c r="W94" s="151"/>
      <c r="X94" s="151"/>
      <c r="Y94" s="247"/>
      <c r="Z94" s="247"/>
      <c r="AA94" s="247"/>
      <c r="AB94" s="247"/>
      <c r="AC94" s="153"/>
      <c r="AD94" s="149"/>
      <c r="AE94" s="149"/>
      <c r="AF94" s="149"/>
      <c r="AG94" s="149"/>
      <c r="AH94" s="149"/>
      <c r="AI94" s="149"/>
      <c r="AJ94" s="149"/>
      <c r="AK94" s="149"/>
      <c r="AL94" s="149"/>
      <c r="AM94" s="149"/>
      <c r="AN94" s="149"/>
      <c r="AO94" s="149"/>
    </row>
    <row r="95" spans="2:41" ht="15">
      <c r="B95" s="152" t="s">
        <v>404</v>
      </c>
      <c r="C95" s="151"/>
      <c r="D95" s="151"/>
      <c r="E95" s="151"/>
      <c r="F95" s="151"/>
      <c r="G95" s="151"/>
      <c r="H95" s="151"/>
      <c r="I95" s="151"/>
      <c r="J95" s="151"/>
      <c r="K95" s="151"/>
      <c r="L95" s="151"/>
      <c r="M95" s="151"/>
      <c r="N95" s="151"/>
      <c r="O95" s="151"/>
      <c r="P95" s="151"/>
      <c r="Q95" s="151"/>
      <c r="R95" s="151"/>
      <c r="S95" s="151"/>
      <c r="T95" s="151"/>
      <c r="U95" s="151"/>
      <c r="V95" s="151"/>
      <c r="W95" s="151"/>
      <c r="X95" s="151"/>
      <c r="Y95" s="247"/>
      <c r="Z95" s="247"/>
      <c r="AA95" s="247"/>
      <c r="AB95" s="247"/>
      <c r="AC95" s="153"/>
      <c r="AD95" s="149"/>
      <c r="AE95" s="149"/>
      <c r="AF95" s="149"/>
      <c r="AG95" s="149"/>
      <c r="AH95" s="149"/>
      <c r="AI95" s="149"/>
      <c r="AJ95" s="149"/>
      <c r="AK95" s="149"/>
      <c r="AL95" s="149"/>
      <c r="AM95" s="149"/>
      <c r="AN95" s="149"/>
      <c r="AO95" s="149"/>
    </row>
    <row r="96" spans="2:41" ht="15">
      <c r="B96" s="152" t="s">
        <v>404</v>
      </c>
      <c r="C96" s="151"/>
      <c r="D96" s="151"/>
      <c r="E96" s="151"/>
      <c r="F96" s="151"/>
      <c r="G96" s="151"/>
      <c r="H96" s="151"/>
      <c r="I96" s="151"/>
      <c r="J96" s="151"/>
      <c r="K96" s="151"/>
      <c r="L96" s="151"/>
      <c r="M96" s="151"/>
      <c r="N96" s="151"/>
      <c r="O96" s="151"/>
      <c r="P96" s="151"/>
      <c r="Q96" s="151"/>
      <c r="R96" s="151"/>
      <c r="S96" s="151"/>
      <c r="T96" s="151"/>
      <c r="U96" s="151"/>
      <c r="V96" s="151"/>
      <c r="W96" s="151"/>
      <c r="X96" s="151"/>
      <c r="Y96" s="247"/>
      <c r="Z96" s="247"/>
      <c r="AA96" s="247"/>
      <c r="AB96" s="247"/>
      <c r="AC96" s="153"/>
      <c r="AD96" s="149"/>
      <c r="AE96" s="149"/>
      <c r="AF96" s="149"/>
      <c r="AG96" s="149"/>
      <c r="AH96" s="149"/>
      <c r="AI96" s="149"/>
      <c r="AJ96" s="149"/>
      <c r="AK96" s="149"/>
      <c r="AL96" s="149"/>
      <c r="AM96" s="149"/>
      <c r="AN96" s="149"/>
      <c r="AO96" s="149"/>
    </row>
    <row r="97" spans="2:41" ht="15">
      <c r="B97" s="152" t="s">
        <v>404</v>
      </c>
      <c r="C97" s="151"/>
      <c r="D97" s="151"/>
      <c r="E97" s="151"/>
      <c r="F97" s="151"/>
      <c r="G97" s="151"/>
      <c r="H97" s="151"/>
      <c r="I97" s="151"/>
      <c r="J97" s="151"/>
      <c r="K97" s="151"/>
      <c r="L97" s="151"/>
      <c r="M97" s="151"/>
      <c r="N97" s="151"/>
      <c r="O97" s="151"/>
      <c r="P97" s="151"/>
      <c r="Q97" s="151"/>
      <c r="R97" s="151"/>
      <c r="S97" s="151"/>
      <c r="T97" s="151"/>
      <c r="U97" s="151"/>
      <c r="V97" s="151"/>
      <c r="W97" s="151"/>
      <c r="X97" s="151"/>
      <c r="Y97" s="247"/>
      <c r="Z97" s="247"/>
      <c r="AA97" s="247"/>
      <c r="AB97" s="247"/>
      <c r="AC97" s="153"/>
      <c r="AD97" s="149"/>
      <c r="AE97" s="149"/>
      <c r="AF97" s="149"/>
      <c r="AG97" s="149"/>
      <c r="AH97" s="149"/>
      <c r="AI97" s="149"/>
      <c r="AJ97" s="149"/>
      <c r="AK97" s="149"/>
      <c r="AL97" s="149"/>
      <c r="AM97" s="149"/>
      <c r="AN97" s="149"/>
      <c r="AO97" s="149"/>
    </row>
    <row r="98" spans="2:41" ht="15">
      <c r="B98" s="152" t="s">
        <v>404</v>
      </c>
      <c r="C98" s="151"/>
      <c r="D98" s="151"/>
      <c r="E98" s="151"/>
      <c r="F98" s="151"/>
      <c r="G98" s="151"/>
      <c r="H98" s="151"/>
      <c r="I98" s="151"/>
      <c r="J98" s="151"/>
      <c r="K98" s="151"/>
      <c r="L98" s="151"/>
      <c r="M98" s="151"/>
      <c r="N98" s="151"/>
      <c r="O98" s="151"/>
      <c r="P98" s="151"/>
      <c r="Q98" s="151"/>
      <c r="R98" s="151"/>
      <c r="S98" s="151"/>
      <c r="T98" s="151"/>
      <c r="U98" s="151"/>
      <c r="V98" s="151"/>
      <c r="W98" s="151"/>
      <c r="X98" s="151"/>
      <c r="Y98" s="247"/>
      <c r="Z98" s="247"/>
      <c r="AA98" s="247"/>
      <c r="AB98" s="247"/>
      <c r="AC98" s="153"/>
      <c r="AD98" s="149"/>
      <c r="AE98" s="149"/>
      <c r="AF98" s="149"/>
      <c r="AG98" s="149"/>
      <c r="AH98" s="149"/>
      <c r="AI98" s="149"/>
      <c r="AJ98" s="149"/>
      <c r="AK98" s="149"/>
      <c r="AL98" s="149"/>
      <c r="AM98" s="149"/>
      <c r="AN98" s="149"/>
      <c r="AO98" s="149"/>
    </row>
    <row r="99" spans="2:41" ht="15">
      <c r="B99" s="152" t="s">
        <v>404</v>
      </c>
      <c r="C99" s="151"/>
      <c r="D99" s="151"/>
      <c r="E99" s="151"/>
      <c r="F99" s="151"/>
      <c r="G99" s="151"/>
      <c r="H99" s="151"/>
      <c r="I99" s="151"/>
      <c r="J99" s="151"/>
      <c r="K99" s="151"/>
      <c r="L99" s="151"/>
      <c r="M99" s="151"/>
      <c r="N99" s="151"/>
      <c r="O99" s="151"/>
      <c r="P99" s="151"/>
      <c r="Q99" s="151"/>
      <c r="R99" s="151"/>
      <c r="S99" s="151"/>
      <c r="T99" s="151"/>
      <c r="U99" s="151"/>
      <c r="V99" s="151"/>
      <c r="W99" s="151"/>
      <c r="X99" s="151"/>
      <c r="Y99" s="247"/>
      <c r="Z99" s="247"/>
      <c r="AA99" s="247"/>
      <c r="AB99" s="247"/>
      <c r="AC99" s="153"/>
      <c r="AD99" s="149"/>
      <c r="AE99" s="149"/>
      <c r="AF99" s="149"/>
      <c r="AG99" s="149"/>
      <c r="AH99" s="149"/>
      <c r="AI99" s="149"/>
      <c r="AJ99" s="149"/>
      <c r="AK99" s="149"/>
      <c r="AL99" s="149"/>
      <c r="AM99" s="149"/>
      <c r="AN99" s="149"/>
      <c r="AO99" s="149"/>
    </row>
    <row r="100" spans="2:41" ht="15">
      <c r="B100" s="152" t="s">
        <v>404</v>
      </c>
      <c r="C100" s="151"/>
      <c r="D100" s="151"/>
      <c r="E100" s="151"/>
      <c r="F100" s="151"/>
      <c r="G100" s="151"/>
      <c r="H100" s="151"/>
      <c r="I100" s="151"/>
      <c r="J100" s="151"/>
      <c r="K100" s="151"/>
      <c r="L100" s="151"/>
      <c r="M100" s="151"/>
      <c r="N100" s="151"/>
      <c r="O100" s="151"/>
      <c r="P100" s="151"/>
      <c r="Q100" s="151"/>
      <c r="R100" s="151"/>
      <c r="S100" s="151"/>
      <c r="T100" s="151"/>
      <c r="U100" s="151"/>
      <c r="V100" s="151"/>
      <c r="W100" s="151"/>
      <c r="X100" s="151"/>
      <c r="Y100" s="247"/>
      <c r="Z100" s="247"/>
      <c r="AA100" s="247"/>
      <c r="AB100" s="247"/>
      <c r="AC100" s="153"/>
      <c r="AD100" s="149"/>
      <c r="AE100" s="149"/>
      <c r="AF100" s="149"/>
      <c r="AG100" s="149"/>
      <c r="AH100" s="149"/>
      <c r="AI100" s="149"/>
      <c r="AJ100" s="149"/>
      <c r="AK100" s="149"/>
      <c r="AL100" s="149"/>
      <c r="AM100" s="149"/>
      <c r="AN100" s="149"/>
      <c r="AO100" s="149"/>
    </row>
    <row r="101" spans="2:41" ht="15">
      <c r="B101" s="152" t="s">
        <v>404</v>
      </c>
      <c r="C101" s="151"/>
      <c r="D101" s="151"/>
      <c r="E101" s="151"/>
      <c r="F101" s="151"/>
      <c r="G101" s="151"/>
      <c r="H101" s="151"/>
      <c r="I101" s="151"/>
      <c r="J101" s="151"/>
      <c r="K101" s="151"/>
      <c r="L101" s="151"/>
      <c r="M101" s="151"/>
      <c r="N101" s="151"/>
      <c r="O101" s="151"/>
      <c r="P101" s="151"/>
      <c r="Q101" s="151"/>
      <c r="R101" s="151"/>
      <c r="S101" s="151"/>
      <c r="T101" s="151"/>
      <c r="U101" s="151"/>
      <c r="V101" s="151"/>
      <c r="W101" s="151"/>
      <c r="X101" s="151"/>
      <c r="Y101" s="247"/>
      <c r="Z101" s="247"/>
      <c r="AA101" s="247"/>
      <c r="AB101" s="247"/>
      <c r="AC101" s="153"/>
      <c r="AD101" s="149"/>
      <c r="AE101" s="149"/>
      <c r="AF101" s="149"/>
      <c r="AG101" s="149"/>
      <c r="AH101" s="149"/>
      <c r="AI101" s="149"/>
      <c r="AJ101" s="149"/>
      <c r="AK101" s="149"/>
      <c r="AL101" s="149"/>
      <c r="AM101" s="149"/>
      <c r="AN101" s="149"/>
      <c r="AO101" s="149"/>
    </row>
    <row r="102" spans="2:41" ht="15">
      <c r="B102" s="152" t="s">
        <v>404</v>
      </c>
      <c r="C102" s="151"/>
      <c r="D102" s="151"/>
      <c r="E102" s="151"/>
      <c r="F102" s="151"/>
      <c r="G102" s="151"/>
      <c r="H102" s="151"/>
      <c r="I102" s="151"/>
      <c r="J102" s="151"/>
      <c r="K102" s="151"/>
      <c r="L102" s="151"/>
      <c r="M102" s="151"/>
      <c r="N102" s="151"/>
      <c r="O102" s="151"/>
      <c r="P102" s="151"/>
      <c r="Q102" s="151"/>
      <c r="R102" s="151"/>
      <c r="S102" s="151"/>
      <c r="T102" s="151"/>
      <c r="U102" s="151"/>
      <c r="V102" s="151"/>
      <c r="W102" s="151"/>
      <c r="X102" s="151"/>
      <c r="Y102" s="247"/>
      <c r="Z102" s="247"/>
      <c r="AA102" s="247"/>
      <c r="AB102" s="247"/>
      <c r="AC102" s="153"/>
      <c r="AD102" s="149"/>
      <c r="AE102" s="149"/>
      <c r="AF102" s="149"/>
      <c r="AG102" s="149"/>
      <c r="AH102" s="149"/>
      <c r="AI102" s="149"/>
      <c r="AJ102" s="149"/>
      <c r="AK102" s="149"/>
      <c r="AL102" s="149"/>
      <c r="AM102" s="149"/>
      <c r="AN102" s="149"/>
      <c r="AO102" s="149"/>
    </row>
    <row r="103" spans="2:41" ht="15">
      <c r="B103" s="152" t="s">
        <v>404</v>
      </c>
      <c r="C103" s="151"/>
      <c r="D103" s="151"/>
      <c r="E103" s="151"/>
      <c r="F103" s="151"/>
      <c r="G103" s="151"/>
      <c r="H103" s="151"/>
      <c r="I103" s="151"/>
      <c r="J103" s="151"/>
      <c r="K103" s="151"/>
      <c r="L103" s="151"/>
      <c r="M103" s="151"/>
      <c r="N103" s="151"/>
      <c r="O103" s="151"/>
      <c r="P103" s="151"/>
      <c r="Q103" s="151"/>
      <c r="R103" s="151"/>
      <c r="S103" s="151"/>
      <c r="T103" s="151"/>
      <c r="U103" s="151"/>
      <c r="V103" s="151"/>
      <c r="W103" s="151"/>
      <c r="X103" s="151"/>
      <c r="Y103" s="247"/>
      <c r="Z103" s="247"/>
      <c r="AA103" s="247"/>
      <c r="AB103" s="247"/>
      <c r="AC103" s="153"/>
      <c r="AD103" s="149"/>
      <c r="AE103" s="149"/>
      <c r="AF103" s="149"/>
      <c r="AG103" s="149"/>
      <c r="AH103" s="149"/>
      <c r="AI103" s="149"/>
      <c r="AJ103" s="149"/>
      <c r="AK103" s="149"/>
      <c r="AL103" s="149"/>
      <c r="AM103" s="149"/>
      <c r="AN103" s="149"/>
      <c r="AO103" s="149"/>
    </row>
    <row r="104" spans="2:41" ht="15">
      <c r="B104" s="152" t="s">
        <v>404</v>
      </c>
      <c r="C104" s="151"/>
      <c r="D104" s="151"/>
      <c r="E104" s="151"/>
      <c r="F104" s="151"/>
      <c r="G104" s="151"/>
      <c r="H104" s="151"/>
      <c r="I104" s="151"/>
      <c r="J104" s="151"/>
      <c r="K104" s="151"/>
      <c r="L104" s="151"/>
      <c r="M104" s="151"/>
      <c r="N104" s="151"/>
      <c r="O104" s="151"/>
      <c r="P104" s="151"/>
      <c r="Q104" s="151"/>
      <c r="R104" s="151"/>
      <c r="S104" s="151"/>
      <c r="T104" s="151"/>
      <c r="U104" s="151"/>
      <c r="V104" s="151"/>
      <c r="W104" s="151"/>
      <c r="X104" s="151"/>
      <c r="Y104" s="247"/>
      <c r="Z104" s="247"/>
      <c r="AA104" s="247"/>
      <c r="AB104" s="247"/>
      <c r="AC104" s="153"/>
      <c r="AD104" s="149"/>
      <c r="AE104" s="149"/>
      <c r="AF104" s="149"/>
      <c r="AG104" s="149"/>
      <c r="AH104" s="149"/>
      <c r="AI104" s="149"/>
      <c r="AJ104" s="149"/>
      <c r="AK104" s="149"/>
      <c r="AL104" s="149"/>
      <c r="AM104" s="149"/>
      <c r="AN104" s="149"/>
      <c r="AO104" s="149"/>
    </row>
    <row r="105" spans="2:41" ht="15">
      <c r="B105" s="152" t="s">
        <v>404</v>
      </c>
      <c r="C105" s="151"/>
      <c r="D105" s="151"/>
      <c r="E105" s="151"/>
      <c r="F105" s="151"/>
      <c r="G105" s="151"/>
      <c r="H105" s="151"/>
      <c r="I105" s="151"/>
      <c r="J105" s="151"/>
      <c r="K105" s="151"/>
      <c r="L105" s="151"/>
      <c r="M105" s="151"/>
      <c r="N105" s="151"/>
      <c r="O105" s="151"/>
      <c r="P105" s="151"/>
      <c r="Q105" s="151"/>
      <c r="R105" s="151"/>
      <c r="S105" s="151"/>
      <c r="T105" s="151"/>
      <c r="U105" s="151"/>
      <c r="V105" s="151"/>
      <c r="W105" s="151"/>
      <c r="X105" s="151"/>
      <c r="Y105" s="247"/>
      <c r="Z105" s="247"/>
      <c r="AA105" s="247"/>
      <c r="AB105" s="247"/>
      <c r="AC105" s="153"/>
      <c r="AD105" s="149"/>
      <c r="AE105" s="149"/>
      <c r="AF105" s="149"/>
      <c r="AG105" s="149"/>
      <c r="AH105" s="149"/>
      <c r="AI105" s="149"/>
      <c r="AJ105" s="149"/>
      <c r="AK105" s="149"/>
      <c r="AL105" s="149"/>
      <c r="AM105" s="149"/>
      <c r="AN105" s="149"/>
      <c r="AO105" s="149"/>
    </row>
    <row r="106" spans="2:41" ht="15">
      <c r="B106" s="152" t="s">
        <v>404</v>
      </c>
      <c r="C106" s="151"/>
      <c r="D106" s="151"/>
      <c r="E106" s="151"/>
      <c r="F106" s="151"/>
      <c r="G106" s="151"/>
      <c r="H106" s="151"/>
      <c r="I106" s="151"/>
      <c r="J106" s="151"/>
      <c r="K106" s="151"/>
      <c r="L106" s="151"/>
      <c r="M106" s="151"/>
      <c r="N106" s="151"/>
      <c r="O106" s="151"/>
      <c r="P106" s="151"/>
      <c r="Q106" s="151"/>
      <c r="R106" s="151"/>
      <c r="S106" s="151"/>
      <c r="T106" s="151"/>
      <c r="U106" s="151"/>
      <c r="V106" s="151"/>
      <c r="W106" s="151"/>
      <c r="X106" s="151"/>
      <c r="Y106" s="247"/>
      <c r="Z106" s="247"/>
      <c r="AA106" s="247"/>
      <c r="AB106" s="247"/>
      <c r="AC106" s="153"/>
      <c r="AD106" s="149"/>
      <c r="AE106" s="149"/>
      <c r="AF106" s="149"/>
      <c r="AG106" s="149"/>
      <c r="AH106" s="149"/>
      <c r="AI106" s="149"/>
      <c r="AJ106" s="149"/>
      <c r="AK106" s="149"/>
      <c r="AL106" s="149"/>
      <c r="AM106" s="149"/>
      <c r="AN106" s="149"/>
      <c r="AO106" s="149"/>
    </row>
    <row r="107" spans="2:41" ht="15">
      <c r="B107" s="152" t="s">
        <v>404</v>
      </c>
      <c r="C107" s="151"/>
      <c r="D107" s="151"/>
      <c r="E107" s="151"/>
      <c r="F107" s="151"/>
      <c r="G107" s="151"/>
      <c r="H107" s="151"/>
      <c r="I107" s="151"/>
      <c r="J107" s="151"/>
      <c r="K107" s="151"/>
      <c r="L107" s="151"/>
      <c r="M107" s="151"/>
      <c r="N107" s="151"/>
      <c r="O107" s="151"/>
      <c r="P107" s="151"/>
      <c r="Q107" s="151"/>
      <c r="R107" s="151"/>
      <c r="S107" s="151"/>
      <c r="T107" s="151"/>
      <c r="U107" s="151"/>
      <c r="V107" s="151"/>
      <c r="W107" s="151"/>
      <c r="X107" s="151"/>
      <c r="Y107" s="247"/>
      <c r="Z107" s="247"/>
      <c r="AA107" s="247"/>
      <c r="AB107" s="247"/>
      <c r="AC107" s="153"/>
      <c r="AD107" s="149"/>
      <c r="AE107" s="149"/>
      <c r="AF107" s="149"/>
      <c r="AG107" s="149"/>
      <c r="AH107" s="149"/>
      <c r="AI107" s="149"/>
      <c r="AJ107" s="149"/>
      <c r="AK107" s="149"/>
      <c r="AL107" s="149"/>
      <c r="AM107" s="149"/>
      <c r="AN107" s="149"/>
      <c r="AO107" s="149"/>
    </row>
    <row r="108" spans="2:41" ht="15">
      <c r="B108" s="152" t="s">
        <v>404</v>
      </c>
      <c r="C108" s="151"/>
      <c r="D108" s="151"/>
      <c r="E108" s="151"/>
      <c r="F108" s="151"/>
      <c r="G108" s="151"/>
      <c r="H108" s="151"/>
      <c r="I108" s="151"/>
      <c r="J108" s="151"/>
      <c r="K108" s="151"/>
      <c r="L108" s="151"/>
      <c r="M108" s="151"/>
      <c r="N108" s="151"/>
      <c r="O108" s="151"/>
      <c r="P108" s="151"/>
      <c r="Q108" s="151"/>
      <c r="R108" s="151"/>
      <c r="S108" s="151"/>
      <c r="T108" s="151"/>
      <c r="U108" s="151"/>
      <c r="V108" s="151"/>
      <c r="W108" s="151"/>
      <c r="X108" s="151"/>
      <c r="Y108" s="247"/>
      <c r="Z108" s="247"/>
      <c r="AA108" s="247"/>
      <c r="AB108" s="247"/>
      <c r="AC108" s="153"/>
      <c r="AD108" s="149"/>
      <c r="AE108" s="149"/>
      <c r="AF108" s="149"/>
      <c r="AG108" s="149"/>
      <c r="AH108" s="149"/>
      <c r="AI108" s="149"/>
      <c r="AJ108" s="149"/>
      <c r="AK108" s="149"/>
      <c r="AL108" s="149"/>
      <c r="AM108" s="149"/>
      <c r="AN108" s="149"/>
      <c r="AO108" s="149"/>
    </row>
    <row r="109" spans="2:41" ht="15">
      <c r="B109" s="152" t="s">
        <v>404</v>
      </c>
      <c r="C109" s="151"/>
      <c r="D109" s="151"/>
      <c r="E109" s="151"/>
      <c r="F109" s="151"/>
      <c r="G109" s="151"/>
      <c r="H109" s="151"/>
      <c r="I109" s="151"/>
      <c r="J109" s="151"/>
      <c r="K109" s="151"/>
      <c r="L109" s="151"/>
      <c r="M109" s="151"/>
      <c r="N109" s="151"/>
      <c r="O109" s="151"/>
      <c r="P109" s="151"/>
      <c r="Q109" s="151"/>
      <c r="R109" s="151"/>
      <c r="S109" s="151"/>
      <c r="T109" s="151"/>
      <c r="U109" s="151"/>
      <c r="V109" s="151"/>
      <c r="W109" s="151"/>
      <c r="X109" s="151"/>
      <c r="Y109" s="247"/>
      <c r="Z109" s="247"/>
      <c r="AA109" s="247"/>
      <c r="AB109" s="247"/>
      <c r="AC109" s="153"/>
      <c r="AD109" s="149"/>
      <c r="AE109" s="149"/>
      <c r="AF109" s="149"/>
      <c r="AG109" s="149"/>
      <c r="AH109" s="149"/>
      <c r="AI109" s="149"/>
      <c r="AJ109" s="149"/>
      <c r="AK109" s="149"/>
      <c r="AL109" s="149"/>
      <c r="AM109" s="149"/>
      <c r="AN109" s="149"/>
      <c r="AO109" s="149"/>
    </row>
    <row r="110" spans="2:41" ht="15">
      <c r="B110" s="152" t="s">
        <v>404</v>
      </c>
      <c r="C110" s="151"/>
      <c r="D110" s="151"/>
      <c r="E110" s="151"/>
      <c r="F110" s="151"/>
      <c r="G110" s="151"/>
      <c r="H110" s="151"/>
      <c r="I110" s="151"/>
      <c r="J110" s="151"/>
      <c r="K110" s="151"/>
      <c r="L110" s="151"/>
      <c r="M110" s="151"/>
      <c r="N110" s="151"/>
      <c r="O110" s="151"/>
      <c r="P110" s="151"/>
      <c r="Q110" s="151"/>
      <c r="R110" s="151"/>
      <c r="S110" s="151"/>
      <c r="T110" s="151"/>
      <c r="U110" s="151"/>
      <c r="V110" s="151"/>
      <c r="W110" s="151"/>
      <c r="X110" s="151"/>
      <c r="Y110" s="247"/>
      <c r="Z110" s="247"/>
      <c r="AA110" s="247"/>
      <c r="AB110" s="247"/>
      <c r="AC110" s="153"/>
      <c r="AD110" s="149"/>
      <c r="AE110" s="149"/>
      <c r="AF110" s="149"/>
      <c r="AG110" s="149"/>
      <c r="AH110" s="149"/>
      <c r="AI110" s="149"/>
      <c r="AJ110" s="149"/>
      <c r="AK110" s="149"/>
      <c r="AL110" s="149"/>
      <c r="AM110" s="149"/>
      <c r="AN110" s="149"/>
      <c r="AO110" s="149"/>
    </row>
    <row r="111" spans="2:41" ht="15">
      <c r="B111" s="152" t="s">
        <v>404</v>
      </c>
      <c r="C111" s="151"/>
      <c r="D111" s="151"/>
      <c r="E111" s="151"/>
      <c r="F111" s="151"/>
      <c r="G111" s="151"/>
      <c r="H111" s="151"/>
      <c r="I111" s="151"/>
      <c r="J111" s="151"/>
      <c r="K111" s="151"/>
      <c r="L111" s="151"/>
      <c r="M111" s="151"/>
      <c r="N111" s="151"/>
      <c r="O111" s="151"/>
      <c r="P111" s="151"/>
      <c r="Q111" s="151"/>
      <c r="R111" s="151"/>
      <c r="S111" s="151"/>
      <c r="T111" s="151"/>
      <c r="U111" s="151"/>
      <c r="V111" s="151"/>
      <c r="W111" s="151"/>
      <c r="X111" s="151"/>
      <c r="Y111" s="247"/>
      <c r="Z111" s="247"/>
      <c r="AA111" s="247"/>
      <c r="AB111" s="247"/>
      <c r="AC111" s="153"/>
      <c r="AD111" s="149"/>
      <c r="AE111" s="149"/>
      <c r="AF111" s="149"/>
      <c r="AG111" s="149"/>
      <c r="AH111" s="149"/>
      <c r="AI111" s="149"/>
      <c r="AJ111" s="149"/>
      <c r="AK111" s="149"/>
      <c r="AL111" s="149"/>
      <c r="AM111" s="149"/>
      <c r="AN111" s="149"/>
      <c r="AO111" s="149"/>
    </row>
    <row r="112" spans="2:41" ht="15">
      <c r="B112" s="152" t="s">
        <v>404</v>
      </c>
      <c r="C112" s="151"/>
      <c r="D112" s="151"/>
      <c r="E112" s="151"/>
      <c r="F112" s="151"/>
      <c r="G112" s="151"/>
      <c r="H112" s="151"/>
      <c r="I112" s="151"/>
      <c r="J112" s="151"/>
      <c r="K112" s="151"/>
      <c r="L112" s="151"/>
      <c r="M112" s="151"/>
      <c r="N112" s="151"/>
      <c r="O112" s="151"/>
      <c r="P112" s="151"/>
      <c r="Q112" s="151"/>
      <c r="R112" s="151"/>
      <c r="S112" s="151"/>
      <c r="T112" s="151"/>
      <c r="U112" s="151"/>
      <c r="V112" s="151"/>
      <c r="W112" s="151"/>
      <c r="X112" s="151"/>
      <c r="Y112" s="247"/>
      <c r="Z112" s="247"/>
      <c r="AA112" s="247"/>
      <c r="AB112" s="247"/>
      <c r="AC112" s="153"/>
      <c r="AD112" s="149"/>
      <c r="AE112" s="149"/>
      <c r="AF112" s="149"/>
      <c r="AG112" s="149"/>
      <c r="AH112" s="149"/>
      <c r="AI112" s="149"/>
      <c r="AJ112" s="149"/>
      <c r="AK112" s="149"/>
      <c r="AL112" s="149"/>
      <c r="AM112" s="149"/>
      <c r="AN112" s="149"/>
      <c r="AO112" s="149"/>
    </row>
    <row r="113" spans="2:41" ht="15">
      <c r="B113" s="152" t="s">
        <v>404</v>
      </c>
      <c r="C113" s="151"/>
      <c r="D113" s="151"/>
      <c r="E113" s="151"/>
      <c r="F113" s="151"/>
      <c r="G113" s="151"/>
      <c r="H113" s="151"/>
      <c r="I113" s="151"/>
      <c r="J113" s="151"/>
      <c r="K113" s="151"/>
      <c r="L113" s="151"/>
      <c r="M113" s="151"/>
      <c r="N113" s="151"/>
      <c r="O113" s="151"/>
      <c r="P113" s="151"/>
      <c r="Q113" s="151"/>
      <c r="R113" s="151"/>
      <c r="S113" s="151"/>
      <c r="T113" s="151"/>
      <c r="U113" s="151"/>
      <c r="V113" s="151"/>
      <c r="W113" s="151"/>
      <c r="X113" s="151"/>
      <c r="Y113" s="247"/>
      <c r="Z113" s="247"/>
      <c r="AA113" s="247"/>
      <c r="AB113" s="247"/>
      <c r="AC113" s="153"/>
      <c r="AD113" s="149"/>
      <c r="AE113" s="149"/>
      <c r="AF113" s="149"/>
      <c r="AG113" s="149"/>
      <c r="AH113" s="149"/>
      <c r="AI113" s="149"/>
      <c r="AJ113" s="149"/>
      <c r="AK113" s="149"/>
      <c r="AL113" s="149"/>
      <c r="AM113" s="149"/>
      <c r="AN113" s="149"/>
      <c r="AO113" s="149"/>
    </row>
    <row r="114" spans="2:41" ht="15">
      <c r="B114" s="152" t="s">
        <v>404</v>
      </c>
      <c r="C114" s="151"/>
      <c r="D114" s="151"/>
      <c r="E114" s="151"/>
      <c r="F114" s="151"/>
      <c r="G114" s="151"/>
      <c r="H114" s="151"/>
      <c r="I114" s="151"/>
      <c r="J114" s="151"/>
      <c r="K114" s="151"/>
      <c r="L114" s="151"/>
      <c r="M114" s="151"/>
      <c r="N114" s="151"/>
      <c r="O114" s="151"/>
      <c r="P114" s="151"/>
      <c r="Q114" s="151"/>
      <c r="R114" s="151"/>
      <c r="S114" s="151"/>
      <c r="T114" s="151"/>
      <c r="U114" s="151"/>
      <c r="V114" s="151"/>
      <c r="W114" s="151"/>
      <c r="X114" s="151"/>
      <c r="Y114" s="247"/>
      <c r="Z114" s="247"/>
      <c r="AA114" s="247"/>
      <c r="AB114" s="247"/>
      <c r="AC114" s="153"/>
      <c r="AD114" s="149"/>
      <c r="AE114" s="149"/>
      <c r="AF114" s="149"/>
      <c r="AG114" s="149"/>
      <c r="AH114" s="149"/>
      <c r="AI114" s="149"/>
      <c r="AJ114" s="149"/>
      <c r="AK114" s="149"/>
      <c r="AL114" s="149"/>
      <c r="AM114" s="149"/>
      <c r="AN114" s="149"/>
      <c r="AO114" s="149"/>
    </row>
    <row r="115" spans="2:41" ht="15">
      <c r="B115" s="152" t="s">
        <v>404</v>
      </c>
      <c r="C115" s="151"/>
      <c r="D115" s="151"/>
      <c r="E115" s="151"/>
      <c r="F115" s="151"/>
      <c r="G115" s="151"/>
      <c r="H115" s="151"/>
      <c r="I115" s="151"/>
      <c r="J115" s="151"/>
      <c r="K115" s="151"/>
      <c r="L115" s="151"/>
      <c r="M115" s="151"/>
      <c r="N115" s="151"/>
      <c r="O115" s="151"/>
      <c r="P115" s="151"/>
      <c r="Q115" s="151"/>
      <c r="R115" s="151"/>
      <c r="S115" s="151"/>
      <c r="T115" s="151"/>
      <c r="U115" s="151"/>
      <c r="V115" s="151"/>
      <c r="W115" s="151"/>
      <c r="X115" s="151"/>
      <c r="Y115" s="247"/>
      <c r="Z115" s="247"/>
      <c r="AA115" s="247"/>
      <c r="AB115" s="247"/>
      <c r="AC115" s="153"/>
      <c r="AD115" s="149"/>
      <c r="AE115" s="149"/>
      <c r="AF115" s="149"/>
      <c r="AG115" s="149"/>
      <c r="AH115" s="149"/>
      <c r="AI115" s="149"/>
      <c r="AJ115" s="149"/>
      <c r="AK115" s="149"/>
      <c r="AL115" s="149"/>
      <c r="AM115" s="149"/>
      <c r="AN115" s="149"/>
      <c r="AO115" s="149"/>
    </row>
    <row r="116" spans="2:41" ht="15">
      <c r="B116" s="152" t="s">
        <v>404</v>
      </c>
      <c r="C116" s="151"/>
      <c r="D116" s="151"/>
      <c r="E116" s="151"/>
      <c r="F116" s="151"/>
      <c r="G116" s="151"/>
      <c r="H116" s="151"/>
      <c r="I116" s="151"/>
      <c r="J116" s="151"/>
      <c r="K116" s="151"/>
      <c r="L116" s="151"/>
      <c r="M116" s="151"/>
      <c r="N116" s="151"/>
      <c r="O116" s="151"/>
      <c r="P116" s="151"/>
      <c r="Q116" s="151"/>
      <c r="R116" s="151"/>
      <c r="S116" s="151"/>
      <c r="T116" s="151"/>
      <c r="U116" s="151"/>
      <c r="V116" s="151"/>
      <c r="W116" s="151"/>
      <c r="X116" s="151"/>
      <c r="Y116" s="247"/>
      <c r="Z116" s="247"/>
      <c r="AA116" s="247"/>
      <c r="AB116" s="247"/>
      <c r="AC116" s="153"/>
      <c r="AD116" s="149"/>
      <c r="AE116" s="149"/>
      <c r="AF116" s="149"/>
      <c r="AG116" s="149"/>
      <c r="AH116" s="149"/>
      <c r="AI116" s="149"/>
      <c r="AJ116" s="149"/>
      <c r="AK116" s="149"/>
      <c r="AL116" s="149"/>
      <c r="AM116" s="149"/>
      <c r="AN116" s="149"/>
      <c r="AO116" s="149"/>
    </row>
    <row r="117" spans="2:41" ht="15">
      <c r="B117" s="152" t="s">
        <v>404</v>
      </c>
      <c r="C117" s="151"/>
      <c r="D117" s="151"/>
      <c r="E117" s="151"/>
      <c r="F117" s="151"/>
      <c r="G117" s="151"/>
      <c r="H117" s="151"/>
      <c r="I117" s="151"/>
      <c r="J117" s="151"/>
      <c r="K117" s="151"/>
      <c r="L117" s="151"/>
      <c r="M117" s="151"/>
      <c r="N117" s="151"/>
      <c r="O117" s="151"/>
      <c r="P117" s="151"/>
      <c r="Q117" s="151"/>
      <c r="R117" s="151"/>
      <c r="S117" s="151"/>
      <c r="T117" s="151"/>
      <c r="U117" s="151"/>
      <c r="V117" s="151"/>
      <c r="W117" s="151"/>
      <c r="X117" s="151"/>
      <c r="Y117" s="247"/>
      <c r="Z117" s="247"/>
      <c r="AA117" s="247"/>
      <c r="AB117" s="247"/>
      <c r="AC117" s="153"/>
      <c r="AD117" s="149"/>
      <c r="AE117" s="149"/>
      <c r="AF117" s="149"/>
      <c r="AG117" s="149"/>
      <c r="AH117" s="149"/>
      <c r="AI117" s="149"/>
      <c r="AJ117" s="149"/>
      <c r="AK117" s="149"/>
      <c r="AL117" s="149"/>
      <c r="AM117" s="149"/>
      <c r="AN117" s="149"/>
      <c r="AO117" s="149"/>
    </row>
    <row r="118" spans="2:41" ht="15">
      <c r="B118" s="152" t="s">
        <v>404</v>
      </c>
      <c r="C118" s="151"/>
      <c r="D118" s="151"/>
      <c r="E118" s="151"/>
      <c r="F118" s="151"/>
      <c r="G118" s="151"/>
      <c r="H118" s="151"/>
      <c r="I118" s="151"/>
      <c r="J118" s="151"/>
      <c r="K118" s="151"/>
      <c r="L118" s="151"/>
      <c r="M118" s="151"/>
      <c r="N118" s="151"/>
      <c r="O118" s="151"/>
      <c r="P118" s="151"/>
      <c r="Q118" s="151"/>
      <c r="R118" s="151"/>
      <c r="S118" s="151"/>
      <c r="T118" s="151"/>
      <c r="U118" s="151"/>
      <c r="V118" s="151"/>
      <c r="W118" s="151"/>
      <c r="X118" s="151"/>
      <c r="Y118" s="247"/>
      <c r="Z118" s="247"/>
      <c r="AA118" s="247"/>
      <c r="AB118" s="247"/>
      <c r="AC118" s="153"/>
      <c r="AD118" s="149"/>
      <c r="AE118" s="149"/>
      <c r="AF118" s="149"/>
      <c r="AG118" s="149"/>
      <c r="AH118" s="149"/>
      <c r="AI118" s="149"/>
      <c r="AJ118" s="149"/>
      <c r="AK118" s="149"/>
      <c r="AL118" s="149"/>
      <c r="AM118" s="149"/>
      <c r="AN118" s="149"/>
      <c r="AO118" s="149"/>
    </row>
    <row r="119" spans="2:41" ht="15">
      <c r="B119" s="152" t="s">
        <v>404</v>
      </c>
      <c r="C119" s="151"/>
      <c r="D119" s="151"/>
      <c r="E119" s="151"/>
      <c r="F119" s="151"/>
      <c r="G119" s="151"/>
      <c r="H119" s="151"/>
      <c r="I119" s="151"/>
      <c r="J119" s="151"/>
      <c r="K119" s="151"/>
      <c r="L119" s="151"/>
      <c r="M119" s="151"/>
      <c r="N119" s="151"/>
      <c r="O119" s="151"/>
      <c r="P119" s="151"/>
      <c r="Q119" s="151"/>
      <c r="R119" s="151"/>
      <c r="S119" s="151"/>
      <c r="T119" s="151"/>
      <c r="U119" s="151"/>
      <c r="V119" s="151"/>
      <c r="W119" s="151"/>
      <c r="X119" s="151"/>
      <c r="Y119" s="247"/>
      <c r="Z119" s="247"/>
      <c r="AA119" s="247"/>
      <c r="AB119" s="247"/>
      <c r="AC119" s="153"/>
      <c r="AD119" s="149"/>
      <c r="AE119" s="149"/>
      <c r="AF119" s="149"/>
      <c r="AG119" s="149"/>
      <c r="AH119" s="149"/>
      <c r="AI119" s="149"/>
      <c r="AJ119" s="149"/>
      <c r="AK119" s="149"/>
      <c r="AL119" s="149"/>
      <c r="AM119" s="149"/>
      <c r="AN119" s="149"/>
      <c r="AO119" s="149"/>
    </row>
    <row r="120" spans="2:41" ht="15">
      <c r="B120" s="152" t="s">
        <v>404</v>
      </c>
      <c r="C120" s="151"/>
      <c r="D120" s="151"/>
      <c r="E120" s="151"/>
      <c r="F120" s="151"/>
      <c r="G120" s="151"/>
      <c r="H120" s="151"/>
      <c r="I120" s="151"/>
      <c r="J120" s="151"/>
      <c r="K120" s="151"/>
      <c r="L120" s="151"/>
      <c r="M120" s="151"/>
      <c r="N120" s="151"/>
      <c r="O120" s="151"/>
      <c r="P120" s="151"/>
      <c r="Q120" s="151"/>
      <c r="R120" s="151"/>
      <c r="S120" s="151"/>
      <c r="T120" s="151"/>
      <c r="U120" s="151"/>
      <c r="V120" s="151"/>
      <c r="W120" s="151"/>
      <c r="X120" s="151"/>
      <c r="Y120" s="247"/>
      <c r="Z120" s="247"/>
      <c r="AA120" s="247"/>
      <c r="AB120" s="247"/>
      <c r="AC120" s="153"/>
      <c r="AD120" s="149"/>
      <c r="AE120" s="149"/>
      <c r="AF120" s="149"/>
      <c r="AG120" s="149"/>
      <c r="AH120" s="149"/>
      <c r="AI120" s="149"/>
      <c r="AJ120" s="149"/>
      <c r="AK120" s="149"/>
      <c r="AL120" s="149"/>
      <c r="AM120" s="149"/>
      <c r="AN120" s="149"/>
      <c r="AO120" s="149"/>
    </row>
    <row r="121" spans="2:41" ht="15">
      <c r="B121" s="152" t="s">
        <v>404</v>
      </c>
      <c r="C121" s="151"/>
      <c r="D121" s="151"/>
      <c r="E121" s="151"/>
      <c r="F121" s="151"/>
      <c r="G121" s="151"/>
      <c r="H121" s="151"/>
      <c r="I121" s="151"/>
      <c r="J121" s="151"/>
      <c r="K121" s="151"/>
      <c r="L121" s="151"/>
      <c r="M121" s="151"/>
      <c r="N121" s="151"/>
      <c r="O121" s="151"/>
      <c r="P121" s="151"/>
      <c r="Q121" s="151"/>
      <c r="R121" s="151"/>
      <c r="S121" s="151"/>
      <c r="T121" s="151"/>
      <c r="U121" s="151"/>
      <c r="V121" s="151"/>
      <c r="W121" s="151"/>
      <c r="X121" s="151"/>
      <c r="Y121" s="247"/>
      <c r="Z121" s="247"/>
      <c r="AA121" s="247"/>
      <c r="AB121" s="247"/>
      <c r="AC121" s="153"/>
      <c r="AD121" s="149"/>
      <c r="AE121" s="149"/>
      <c r="AF121" s="149"/>
      <c r="AG121" s="149"/>
      <c r="AH121" s="149"/>
      <c r="AI121" s="149"/>
      <c r="AJ121" s="149"/>
      <c r="AK121" s="149"/>
      <c r="AL121" s="149"/>
      <c r="AM121" s="149"/>
      <c r="AN121" s="149"/>
      <c r="AO121" s="149"/>
    </row>
    <row r="122" spans="2:41" ht="15">
      <c r="B122" s="152" t="s">
        <v>404</v>
      </c>
      <c r="C122" s="151"/>
      <c r="D122" s="151"/>
      <c r="E122" s="151"/>
      <c r="F122" s="151"/>
      <c r="G122" s="151"/>
      <c r="H122" s="151"/>
      <c r="I122" s="151"/>
      <c r="J122" s="151"/>
      <c r="K122" s="151"/>
      <c r="L122" s="151"/>
      <c r="M122" s="151"/>
      <c r="N122" s="151"/>
      <c r="O122" s="151"/>
      <c r="P122" s="151"/>
      <c r="Q122" s="151"/>
      <c r="R122" s="151"/>
      <c r="S122" s="151"/>
      <c r="T122" s="151"/>
      <c r="U122" s="151"/>
      <c r="V122" s="151"/>
      <c r="W122" s="151"/>
      <c r="X122" s="151"/>
      <c r="Y122" s="247"/>
      <c r="Z122" s="247"/>
      <c r="AA122" s="247"/>
      <c r="AB122" s="247"/>
      <c r="AC122" s="153"/>
      <c r="AD122" s="149"/>
      <c r="AE122" s="149"/>
      <c r="AF122" s="149"/>
      <c r="AG122" s="149"/>
      <c r="AH122" s="149"/>
      <c r="AI122" s="149"/>
      <c r="AJ122" s="149"/>
      <c r="AK122" s="149"/>
      <c r="AL122" s="149"/>
      <c r="AM122" s="149"/>
      <c r="AN122" s="149"/>
      <c r="AO122" s="149"/>
    </row>
    <row r="123" spans="2:41" ht="15">
      <c r="B123" s="152" t="s">
        <v>404</v>
      </c>
      <c r="C123" s="151"/>
      <c r="D123" s="151"/>
      <c r="E123" s="151"/>
      <c r="F123" s="151"/>
      <c r="G123" s="151"/>
      <c r="H123" s="151"/>
      <c r="I123" s="151"/>
      <c r="J123" s="151"/>
      <c r="K123" s="151"/>
      <c r="L123" s="151"/>
      <c r="M123" s="151"/>
      <c r="N123" s="151"/>
      <c r="O123" s="151"/>
      <c r="P123" s="151"/>
      <c r="Q123" s="151"/>
      <c r="R123" s="151"/>
      <c r="S123" s="151"/>
      <c r="T123" s="151"/>
      <c r="U123" s="151"/>
      <c r="V123" s="151"/>
      <c r="W123" s="151"/>
      <c r="X123" s="151"/>
      <c r="Y123" s="247"/>
      <c r="Z123" s="247"/>
      <c r="AA123" s="247"/>
      <c r="AB123" s="247"/>
      <c r="AC123" s="153"/>
      <c r="AD123" s="149"/>
      <c r="AE123" s="149"/>
      <c r="AF123" s="149"/>
      <c r="AG123" s="149"/>
      <c r="AH123" s="149"/>
      <c r="AI123" s="149"/>
      <c r="AJ123" s="149"/>
      <c r="AK123" s="149"/>
      <c r="AL123" s="149"/>
      <c r="AM123" s="149"/>
      <c r="AN123" s="149"/>
      <c r="AO123" s="149"/>
    </row>
    <row r="124" spans="2:41" ht="15">
      <c r="B124" s="152" t="s">
        <v>404</v>
      </c>
      <c r="C124" s="151"/>
      <c r="D124" s="151"/>
      <c r="E124" s="151"/>
      <c r="F124" s="151"/>
      <c r="G124" s="151"/>
      <c r="H124" s="151"/>
      <c r="I124" s="151"/>
      <c r="J124" s="151"/>
      <c r="K124" s="151"/>
      <c r="L124" s="151"/>
      <c r="M124" s="151"/>
      <c r="N124" s="151"/>
      <c r="O124" s="151"/>
      <c r="P124" s="151"/>
      <c r="Q124" s="151"/>
      <c r="R124" s="151"/>
      <c r="S124" s="151"/>
      <c r="T124" s="151"/>
      <c r="U124" s="151"/>
      <c r="V124" s="151"/>
      <c r="W124" s="151"/>
      <c r="X124" s="151"/>
      <c r="Y124" s="247"/>
      <c r="Z124" s="247"/>
      <c r="AA124" s="247"/>
      <c r="AB124" s="247"/>
      <c r="AC124" s="153"/>
      <c r="AD124" s="149"/>
      <c r="AE124" s="149"/>
      <c r="AF124" s="149"/>
      <c r="AG124" s="149"/>
      <c r="AH124" s="149"/>
      <c r="AI124" s="149"/>
      <c r="AJ124" s="149"/>
      <c r="AK124" s="149"/>
      <c r="AL124" s="149"/>
      <c r="AM124" s="149"/>
      <c r="AN124" s="149"/>
      <c r="AO124" s="149"/>
    </row>
    <row r="125" spans="2:41" ht="15">
      <c r="B125" s="152" t="s">
        <v>404</v>
      </c>
      <c r="C125" s="151"/>
      <c r="D125" s="151"/>
      <c r="E125" s="151"/>
      <c r="F125" s="151"/>
      <c r="G125" s="151"/>
      <c r="H125" s="151"/>
      <c r="I125" s="151"/>
      <c r="J125" s="151"/>
      <c r="K125" s="151"/>
      <c r="L125" s="151"/>
      <c r="M125" s="151"/>
      <c r="N125" s="151"/>
      <c r="O125" s="151"/>
      <c r="P125" s="151"/>
      <c r="Q125" s="151"/>
      <c r="R125" s="151"/>
      <c r="S125" s="151"/>
      <c r="T125" s="151"/>
      <c r="U125" s="151"/>
      <c r="V125" s="151"/>
      <c r="W125" s="151"/>
      <c r="X125" s="151"/>
      <c r="Y125" s="247"/>
      <c r="Z125" s="247"/>
      <c r="AA125" s="247"/>
      <c r="AB125" s="247"/>
      <c r="AC125" s="153"/>
      <c r="AD125" s="149"/>
      <c r="AE125" s="149"/>
      <c r="AF125" s="149"/>
      <c r="AG125" s="149"/>
      <c r="AH125" s="149"/>
      <c r="AI125" s="149"/>
      <c r="AJ125" s="149"/>
      <c r="AK125" s="149"/>
      <c r="AL125" s="149"/>
      <c r="AM125" s="149"/>
      <c r="AN125" s="149"/>
      <c r="AO125" s="149"/>
    </row>
    <row r="126" spans="2:41" ht="15">
      <c r="B126" s="152" t="s">
        <v>404</v>
      </c>
      <c r="C126" s="151"/>
      <c r="D126" s="151"/>
      <c r="E126" s="151"/>
      <c r="F126" s="151"/>
      <c r="G126" s="151"/>
      <c r="H126" s="151"/>
      <c r="I126" s="151"/>
      <c r="J126" s="151"/>
      <c r="K126" s="151"/>
      <c r="L126" s="151"/>
      <c r="M126" s="151"/>
      <c r="N126" s="151"/>
      <c r="O126" s="151"/>
      <c r="P126" s="151"/>
      <c r="Q126" s="151"/>
      <c r="R126" s="151"/>
      <c r="S126" s="151"/>
      <c r="T126" s="151"/>
      <c r="U126" s="151"/>
      <c r="V126" s="151"/>
      <c r="W126" s="151"/>
      <c r="X126" s="151"/>
      <c r="Y126" s="247"/>
      <c r="Z126" s="247"/>
      <c r="AA126" s="247"/>
      <c r="AB126" s="247"/>
      <c r="AC126" s="153"/>
      <c r="AD126" s="149"/>
      <c r="AE126" s="149"/>
      <c r="AF126" s="149"/>
      <c r="AG126" s="149"/>
      <c r="AH126" s="149"/>
      <c r="AI126" s="149"/>
      <c r="AJ126" s="149"/>
      <c r="AK126" s="149"/>
      <c r="AL126" s="149"/>
      <c r="AM126" s="149"/>
      <c r="AN126" s="149"/>
      <c r="AO126" s="149"/>
    </row>
    <row r="127" spans="2:41" ht="15">
      <c r="B127" s="152" t="s">
        <v>404</v>
      </c>
      <c r="C127" s="151"/>
      <c r="D127" s="151"/>
      <c r="E127" s="151"/>
      <c r="F127" s="151"/>
      <c r="G127" s="151"/>
      <c r="H127" s="151"/>
      <c r="I127" s="151"/>
      <c r="J127" s="151"/>
      <c r="K127" s="151"/>
      <c r="L127" s="151"/>
      <c r="M127" s="151"/>
      <c r="N127" s="151"/>
      <c r="O127" s="151"/>
      <c r="P127" s="151"/>
      <c r="Q127" s="151"/>
      <c r="R127" s="151"/>
      <c r="S127" s="151"/>
      <c r="T127" s="151"/>
      <c r="U127" s="151"/>
      <c r="V127" s="151"/>
      <c r="W127" s="151"/>
      <c r="X127" s="151"/>
      <c r="Y127" s="247"/>
      <c r="Z127" s="247"/>
      <c r="AA127" s="247"/>
      <c r="AB127" s="247"/>
      <c r="AC127" s="153"/>
      <c r="AD127" s="149"/>
      <c r="AE127" s="149"/>
      <c r="AF127" s="149"/>
      <c r="AG127" s="149"/>
      <c r="AH127" s="149"/>
      <c r="AI127" s="149"/>
      <c r="AJ127" s="149"/>
      <c r="AK127" s="149"/>
      <c r="AL127" s="149"/>
      <c r="AM127" s="149"/>
      <c r="AN127" s="149"/>
      <c r="AO127" s="149"/>
    </row>
    <row r="128" spans="2:41" ht="15">
      <c r="B128" s="152" t="s">
        <v>404</v>
      </c>
      <c r="C128" s="151"/>
      <c r="D128" s="151"/>
      <c r="E128" s="151"/>
      <c r="F128" s="151"/>
      <c r="G128" s="151"/>
      <c r="H128" s="151"/>
      <c r="I128" s="151"/>
      <c r="J128" s="151"/>
      <c r="K128" s="151"/>
      <c r="L128" s="151"/>
      <c r="M128" s="151"/>
      <c r="N128" s="151"/>
      <c r="O128" s="151"/>
      <c r="P128" s="151"/>
      <c r="Q128" s="151"/>
      <c r="R128" s="151"/>
      <c r="S128" s="151"/>
      <c r="T128" s="151"/>
      <c r="U128" s="151"/>
      <c r="V128" s="151"/>
      <c r="W128" s="151"/>
      <c r="X128" s="151"/>
      <c r="Y128" s="247"/>
      <c r="Z128" s="247"/>
      <c r="AA128" s="247"/>
      <c r="AB128" s="247"/>
      <c r="AC128" s="153"/>
      <c r="AD128" s="149"/>
      <c r="AE128" s="149"/>
      <c r="AF128" s="149"/>
      <c r="AG128" s="149"/>
      <c r="AH128" s="149"/>
      <c r="AI128" s="149"/>
      <c r="AJ128" s="149"/>
      <c r="AK128" s="149"/>
      <c r="AL128" s="149"/>
      <c r="AM128" s="149"/>
      <c r="AN128" s="149"/>
      <c r="AO128" s="149"/>
    </row>
    <row r="129" spans="2:41" ht="15">
      <c r="B129" s="152" t="s">
        <v>404</v>
      </c>
      <c r="C129" s="151"/>
      <c r="D129" s="151"/>
      <c r="E129" s="151"/>
      <c r="F129" s="151"/>
      <c r="G129" s="151"/>
      <c r="H129" s="151"/>
      <c r="I129" s="151"/>
      <c r="J129" s="151"/>
      <c r="K129" s="151"/>
      <c r="L129" s="151"/>
      <c r="M129" s="151"/>
      <c r="N129" s="151"/>
      <c r="O129" s="151"/>
      <c r="P129" s="151"/>
      <c r="Q129" s="151"/>
      <c r="R129" s="151"/>
      <c r="S129" s="151"/>
      <c r="T129" s="151"/>
      <c r="U129" s="151"/>
      <c r="V129" s="151"/>
      <c r="W129" s="151"/>
      <c r="X129" s="151"/>
      <c r="Y129" s="247"/>
      <c r="Z129" s="247"/>
      <c r="AA129" s="247"/>
      <c r="AB129" s="247"/>
      <c r="AC129" s="153"/>
      <c r="AD129" s="149"/>
      <c r="AE129" s="149"/>
      <c r="AF129" s="149"/>
      <c r="AG129" s="149"/>
      <c r="AH129" s="149"/>
      <c r="AI129" s="149"/>
      <c r="AJ129" s="149"/>
      <c r="AK129" s="149"/>
      <c r="AL129" s="149"/>
      <c r="AM129" s="149"/>
      <c r="AN129" s="149"/>
      <c r="AO129" s="149"/>
    </row>
    <row r="130" spans="2:41" ht="15">
      <c r="B130" s="152" t="s">
        <v>404</v>
      </c>
      <c r="C130" s="151"/>
      <c r="D130" s="151"/>
      <c r="E130" s="151"/>
      <c r="F130" s="151"/>
      <c r="G130" s="151"/>
      <c r="H130" s="151"/>
      <c r="I130" s="151"/>
      <c r="J130" s="151"/>
      <c r="K130" s="151"/>
      <c r="L130" s="151"/>
      <c r="M130" s="151"/>
      <c r="N130" s="151"/>
      <c r="O130" s="151"/>
      <c r="P130" s="151"/>
      <c r="Q130" s="151"/>
      <c r="R130" s="151"/>
      <c r="S130" s="151"/>
      <c r="T130" s="151"/>
      <c r="U130" s="151"/>
      <c r="V130" s="151"/>
      <c r="W130" s="151"/>
      <c r="X130" s="151"/>
      <c r="Y130" s="247"/>
      <c r="Z130" s="247"/>
      <c r="AA130" s="247"/>
      <c r="AB130" s="247"/>
      <c r="AC130" s="153"/>
      <c r="AD130" s="149"/>
      <c r="AE130" s="149"/>
      <c r="AF130" s="149"/>
      <c r="AG130" s="149"/>
      <c r="AH130" s="149"/>
      <c r="AI130" s="149"/>
      <c r="AJ130" s="149"/>
      <c r="AK130" s="149"/>
      <c r="AL130" s="149"/>
      <c r="AM130" s="149"/>
      <c r="AN130" s="149"/>
      <c r="AO130" s="149"/>
    </row>
    <row r="131" spans="2:41" ht="15">
      <c r="B131" s="152" t="s">
        <v>404</v>
      </c>
      <c r="C131" s="151"/>
      <c r="D131" s="151"/>
      <c r="E131" s="151"/>
      <c r="F131" s="151"/>
      <c r="G131" s="151"/>
      <c r="H131" s="151"/>
      <c r="I131" s="151"/>
      <c r="J131" s="151"/>
      <c r="K131" s="151"/>
      <c r="L131" s="151"/>
      <c r="M131" s="151"/>
      <c r="N131" s="151"/>
      <c r="O131" s="151"/>
      <c r="P131" s="151"/>
      <c r="Q131" s="151"/>
      <c r="R131" s="151"/>
      <c r="S131" s="151"/>
      <c r="T131" s="151"/>
      <c r="U131" s="151"/>
      <c r="V131" s="151"/>
      <c r="W131" s="151"/>
      <c r="X131" s="151"/>
      <c r="Y131" s="247"/>
      <c r="Z131" s="247"/>
      <c r="AA131" s="247"/>
      <c r="AB131" s="247"/>
      <c r="AC131" s="153"/>
      <c r="AD131" s="149"/>
      <c r="AE131" s="149"/>
      <c r="AF131" s="149"/>
      <c r="AG131" s="149"/>
      <c r="AH131" s="149"/>
      <c r="AI131" s="149"/>
      <c r="AJ131" s="149"/>
      <c r="AK131" s="149"/>
      <c r="AL131" s="149"/>
      <c r="AM131" s="149"/>
      <c r="AN131" s="149"/>
      <c r="AO131" s="149"/>
    </row>
    <row r="132" spans="2:41" ht="15">
      <c r="B132" s="152" t="s">
        <v>404</v>
      </c>
      <c r="C132" s="151"/>
      <c r="D132" s="151"/>
      <c r="E132" s="151"/>
      <c r="F132" s="151"/>
      <c r="G132" s="151"/>
      <c r="H132" s="151"/>
      <c r="I132" s="151"/>
      <c r="J132" s="151"/>
      <c r="K132" s="151"/>
      <c r="L132" s="151"/>
      <c r="M132" s="151"/>
      <c r="N132" s="151"/>
      <c r="O132" s="151"/>
      <c r="P132" s="151"/>
      <c r="Q132" s="151"/>
      <c r="R132" s="151"/>
      <c r="S132" s="151"/>
      <c r="T132" s="151"/>
      <c r="U132" s="151"/>
      <c r="V132" s="151"/>
      <c r="W132" s="151"/>
      <c r="X132" s="151"/>
      <c r="Y132" s="247"/>
      <c r="Z132" s="247"/>
      <c r="AA132" s="247"/>
      <c r="AB132" s="247"/>
      <c r="AC132" s="153"/>
      <c r="AD132" s="149"/>
      <c r="AE132" s="149"/>
      <c r="AF132" s="149"/>
      <c r="AG132" s="149"/>
      <c r="AH132" s="149"/>
      <c r="AI132" s="149"/>
      <c r="AJ132" s="149"/>
      <c r="AK132" s="149"/>
      <c r="AL132" s="149"/>
      <c r="AM132" s="149"/>
      <c r="AN132" s="149"/>
      <c r="AO132" s="149"/>
    </row>
    <row r="133" spans="2:41" ht="15">
      <c r="B133" s="152" t="s">
        <v>404</v>
      </c>
      <c r="C133" s="151"/>
      <c r="D133" s="151"/>
      <c r="E133" s="151"/>
      <c r="F133" s="151"/>
      <c r="G133" s="151"/>
      <c r="H133" s="151"/>
      <c r="I133" s="151"/>
      <c r="J133" s="151"/>
      <c r="K133" s="151"/>
      <c r="L133" s="151"/>
      <c r="M133" s="151"/>
      <c r="N133" s="151"/>
      <c r="O133" s="151"/>
      <c r="P133" s="151"/>
      <c r="Q133" s="151"/>
      <c r="R133" s="151"/>
      <c r="S133" s="151"/>
      <c r="T133" s="151"/>
      <c r="U133" s="151"/>
      <c r="V133" s="151"/>
      <c r="W133" s="151"/>
      <c r="X133" s="151"/>
      <c r="Y133" s="247"/>
      <c r="Z133" s="247"/>
      <c r="AA133" s="247"/>
      <c r="AB133" s="247"/>
      <c r="AC133" s="153"/>
      <c r="AD133" s="149"/>
      <c r="AE133" s="149"/>
      <c r="AF133" s="149"/>
      <c r="AG133" s="149"/>
      <c r="AH133" s="149"/>
      <c r="AI133" s="149"/>
      <c r="AJ133" s="149"/>
      <c r="AK133" s="149"/>
      <c r="AL133" s="149"/>
      <c r="AM133" s="149"/>
      <c r="AN133" s="149"/>
      <c r="AO133" s="149"/>
    </row>
    <row r="134" spans="2:41" ht="15">
      <c r="B134" s="152" t="s">
        <v>404</v>
      </c>
      <c r="C134" s="151"/>
      <c r="D134" s="151"/>
      <c r="E134" s="151"/>
      <c r="F134" s="151"/>
      <c r="G134" s="151"/>
      <c r="H134" s="151"/>
      <c r="I134" s="151"/>
      <c r="J134" s="151"/>
      <c r="K134" s="151"/>
      <c r="L134" s="151"/>
      <c r="M134" s="151"/>
      <c r="N134" s="151"/>
      <c r="O134" s="151"/>
      <c r="P134" s="151"/>
      <c r="Q134" s="151"/>
      <c r="R134" s="151"/>
      <c r="S134" s="151"/>
      <c r="T134" s="151"/>
      <c r="U134" s="151"/>
      <c r="V134" s="151"/>
      <c r="W134" s="151"/>
      <c r="X134" s="151"/>
      <c r="Y134" s="247"/>
      <c r="Z134" s="247"/>
      <c r="AA134" s="247"/>
      <c r="AB134" s="247"/>
      <c r="AC134" s="153"/>
      <c r="AD134" s="149"/>
      <c r="AE134" s="149"/>
      <c r="AF134" s="149"/>
      <c r="AG134" s="149"/>
      <c r="AH134" s="149"/>
      <c r="AI134" s="149"/>
      <c r="AJ134" s="149"/>
      <c r="AK134" s="149"/>
      <c r="AL134" s="149"/>
      <c r="AM134" s="149"/>
      <c r="AN134" s="149"/>
      <c r="AO134" s="149"/>
    </row>
    <row r="135" spans="2:41" ht="15">
      <c r="B135" s="152" t="s">
        <v>404</v>
      </c>
      <c r="C135" s="151"/>
      <c r="D135" s="151"/>
      <c r="E135" s="151"/>
      <c r="F135" s="151"/>
      <c r="G135" s="151"/>
      <c r="H135" s="151"/>
      <c r="I135" s="151"/>
      <c r="J135" s="151"/>
      <c r="K135" s="151"/>
      <c r="L135" s="151"/>
      <c r="M135" s="151"/>
      <c r="N135" s="151"/>
      <c r="O135" s="151"/>
      <c r="P135" s="151"/>
      <c r="Q135" s="151"/>
      <c r="R135" s="151"/>
      <c r="S135" s="151"/>
      <c r="T135" s="151"/>
      <c r="U135" s="151"/>
      <c r="V135" s="151"/>
      <c r="W135" s="151"/>
      <c r="X135" s="151"/>
      <c r="Y135" s="247"/>
      <c r="Z135" s="247"/>
      <c r="AA135" s="247"/>
      <c r="AB135" s="247"/>
      <c r="AC135" s="153"/>
      <c r="AD135" s="149"/>
      <c r="AE135" s="149"/>
      <c r="AF135" s="149"/>
      <c r="AG135" s="149"/>
      <c r="AH135" s="149"/>
      <c r="AI135" s="149"/>
      <c r="AJ135" s="149"/>
      <c r="AK135" s="149"/>
      <c r="AL135" s="149"/>
      <c r="AM135" s="149"/>
      <c r="AN135" s="149"/>
      <c r="AO135" s="149"/>
    </row>
    <row r="136" spans="2:41" ht="15">
      <c r="B136" s="152" t="s">
        <v>404</v>
      </c>
      <c r="C136" s="151"/>
      <c r="D136" s="151"/>
      <c r="E136" s="151"/>
      <c r="F136" s="151"/>
      <c r="G136" s="151"/>
      <c r="H136" s="151"/>
      <c r="I136" s="151"/>
      <c r="J136" s="151"/>
      <c r="K136" s="151"/>
      <c r="L136" s="151"/>
      <c r="M136" s="151"/>
      <c r="N136" s="151"/>
      <c r="O136" s="151"/>
      <c r="P136" s="151"/>
      <c r="Q136" s="151"/>
      <c r="R136" s="151"/>
      <c r="S136" s="151"/>
      <c r="T136" s="151"/>
      <c r="U136" s="151"/>
      <c r="V136" s="151"/>
      <c r="W136" s="151"/>
      <c r="X136" s="151"/>
      <c r="Y136" s="247"/>
      <c r="Z136" s="247"/>
      <c r="AA136" s="247"/>
      <c r="AB136" s="247"/>
      <c r="AC136" s="153"/>
      <c r="AD136" s="149"/>
      <c r="AE136" s="149"/>
      <c r="AF136" s="149"/>
      <c r="AG136" s="149"/>
      <c r="AH136" s="149"/>
      <c r="AI136" s="149"/>
      <c r="AJ136" s="149"/>
      <c r="AK136" s="149"/>
      <c r="AL136" s="149"/>
      <c r="AM136" s="149"/>
      <c r="AN136" s="149"/>
      <c r="AO136" s="149"/>
    </row>
    <row r="137" spans="2:41" ht="15">
      <c r="B137" s="152" t="s">
        <v>404</v>
      </c>
      <c r="C137" s="151"/>
      <c r="D137" s="151"/>
      <c r="E137" s="151"/>
      <c r="F137" s="151"/>
      <c r="G137" s="151"/>
      <c r="H137" s="151"/>
      <c r="I137" s="151"/>
      <c r="J137" s="151"/>
      <c r="K137" s="151"/>
      <c r="L137" s="151"/>
      <c r="M137" s="151"/>
      <c r="N137" s="151"/>
      <c r="O137" s="151"/>
      <c r="P137" s="151"/>
      <c r="Q137" s="151"/>
      <c r="R137" s="151"/>
      <c r="S137" s="151"/>
      <c r="T137" s="151"/>
      <c r="U137" s="151"/>
      <c r="V137" s="151"/>
      <c r="W137" s="151"/>
      <c r="X137" s="151"/>
      <c r="Y137" s="247"/>
      <c r="Z137" s="247"/>
      <c r="AA137" s="247"/>
      <c r="AB137" s="247"/>
      <c r="AC137" s="153"/>
      <c r="AD137" s="149"/>
      <c r="AE137" s="149"/>
      <c r="AF137" s="149"/>
      <c r="AG137" s="149"/>
      <c r="AH137" s="149"/>
      <c r="AI137" s="149"/>
      <c r="AJ137" s="149"/>
      <c r="AK137" s="149"/>
      <c r="AL137" s="149"/>
      <c r="AM137" s="149"/>
      <c r="AN137" s="149"/>
      <c r="AO137" s="149"/>
    </row>
    <row r="138" spans="2:41" ht="15">
      <c r="B138" s="152" t="s">
        <v>404</v>
      </c>
      <c r="C138" s="151"/>
      <c r="D138" s="151"/>
      <c r="E138" s="151"/>
      <c r="F138" s="151"/>
      <c r="G138" s="151"/>
      <c r="H138" s="151"/>
      <c r="I138" s="151"/>
      <c r="J138" s="151"/>
      <c r="K138" s="151"/>
      <c r="L138" s="151"/>
      <c r="M138" s="151"/>
      <c r="N138" s="151"/>
      <c r="O138" s="151"/>
      <c r="P138" s="151"/>
      <c r="Q138" s="151"/>
      <c r="R138" s="151"/>
      <c r="S138" s="151"/>
      <c r="T138" s="151"/>
      <c r="U138" s="151"/>
      <c r="V138" s="151"/>
      <c r="W138" s="151"/>
      <c r="X138" s="151"/>
      <c r="Y138" s="247"/>
      <c r="Z138" s="247"/>
      <c r="AA138" s="247"/>
      <c r="AB138" s="247"/>
      <c r="AC138" s="153"/>
      <c r="AD138" s="149"/>
      <c r="AE138" s="149"/>
      <c r="AF138" s="149"/>
      <c r="AG138" s="149"/>
      <c r="AH138" s="149"/>
      <c r="AI138" s="149"/>
      <c r="AJ138" s="149"/>
      <c r="AK138" s="149"/>
      <c r="AL138" s="149"/>
      <c r="AM138" s="149"/>
      <c r="AN138" s="149"/>
      <c r="AO138" s="149"/>
    </row>
    <row r="139" spans="2:41" ht="15">
      <c r="B139" s="152" t="s">
        <v>404</v>
      </c>
      <c r="C139" s="151"/>
      <c r="D139" s="151"/>
      <c r="E139" s="151"/>
      <c r="F139" s="151"/>
      <c r="G139" s="151"/>
      <c r="H139" s="151"/>
      <c r="I139" s="151"/>
      <c r="J139" s="151"/>
      <c r="K139" s="151"/>
      <c r="L139" s="151"/>
      <c r="M139" s="151"/>
      <c r="N139" s="151"/>
      <c r="O139" s="151"/>
      <c r="P139" s="151"/>
      <c r="Q139" s="151"/>
      <c r="R139" s="151"/>
      <c r="S139" s="151"/>
      <c r="T139" s="151"/>
      <c r="U139" s="151"/>
      <c r="V139" s="151"/>
      <c r="W139" s="151"/>
      <c r="X139" s="151"/>
      <c r="Y139" s="247"/>
      <c r="Z139" s="247"/>
      <c r="AA139" s="247"/>
      <c r="AB139" s="247"/>
      <c r="AC139" s="153"/>
      <c r="AD139" s="149"/>
      <c r="AE139" s="149"/>
      <c r="AF139" s="149"/>
      <c r="AG139" s="149"/>
      <c r="AH139" s="149"/>
      <c r="AI139" s="149"/>
      <c r="AJ139" s="149"/>
      <c r="AK139" s="149"/>
      <c r="AL139" s="149"/>
      <c r="AM139" s="149"/>
      <c r="AN139" s="149"/>
      <c r="AO139" s="149"/>
    </row>
    <row r="140" spans="2:41" ht="15">
      <c r="B140" s="152" t="s">
        <v>404</v>
      </c>
      <c r="C140" s="151"/>
      <c r="D140" s="151"/>
      <c r="E140" s="151"/>
      <c r="F140" s="151"/>
      <c r="G140" s="151"/>
      <c r="H140" s="151"/>
      <c r="I140" s="151"/>
      <c r="J140" s="151"/>
      <c r="K140" s="151"/>
      <c r="L140" s="151"/>
      <c r="M140" s="151"/>
      <c r="N140" s="151"/>
      <c r="O140" s="151"/>
      <c r="P140" s="151"/>
      <c r="Q140" s="151"/>
      <c r="R140" s="151"/>
      <c r="S140" s="151"/>
      <c r="T140" s="151"/>
      <c r="U140" s="151"/>
      <c r="V140" s="151"/>
      <c r="W140" s="151"/>
      <c r="X140" s="151"/>
      <c r="Y140" s="247"/>
      <c r="Z140" s="247"/>
      <c r="AA140" s="247"/>
      <c r="AB140" s="247"/>
      <c r="AC140" s="153"/>
      <c r="AD140" s="149"/>
      <c r="AE140" s="149"/>
      <c r="AF140" s="149"/>
      <c r="AG140" s="149"/>
      <c r="AH140" s="149"/>
      <c r="AI140" s="149"/>
      <c r="AJ140" s="149"/>
      <c r="AK140" s="149"/>
      <c r="AL140" s="149"/>
      <c r="AM140" s="149"/>
      <c r="AN140" s="149"/>
      <c r="AO140" s="149"/>
    </row>
    <row r="141" spans="2:41" ht="15">
      <c r="B141" s="152" t="s">
        <v>404</v>
      </c>
      <c r="C141" s="151"/>
      <c r="D141" s="151"/>
      <c r="E141" s="151"/>
      <c r="F141" s="151"/>
      <c r="G141" s="151"/>
      <c r="H141" s="151"/>
      <c r="I141" s="151"/>
      <c r="J141" s="151"/>
      <c r="K141" s="151"/>
      <c r="L141" s="151"/>
      <c r="M141" s="151"/>
      <c r="N141" s="151"/>
      <c r="O141" s="151"/>
      <c r="P141" s="151"/>
      <c r="Q141" s="151"/>
      <c r="R141" s="151"/>
      <c r="S141" s="151"/>
      <c r="T141" s="151"/>
      <c r="U141" s="151"/>
      <c r="V141" s="151"/>
      <c r="W141" s="151"/>
      <c r="X141" s="151"/>
      <c r="Y141" s="247"/>
      <c r="Z141" s="247"/>
      <c r="AA141" s="247"/>
      <c r="AB141" s="247"/>
      <c r="AC141" s="153"/>
      <c r="AD141" s="149"/>
      <c r="AE141" s="149"/>
      <c r="AF141" s="149"/>
      <c r="AG141" s="149"/>
      <c r="AH141" s="149"/>
      <c r="AI141" s="149"/>
      <c r="AJ141" s="149"/>
      <c r="AK141" s="149"/>
      <c r="AL141" s="149"/>
      <c r="AM141" s="149"/>
      <c r="AN141" s="149"/>
      <c r="AO141" s="149"/>
    </row>
    <row r="142" spans="2:41" ht="15">
      <c r="B142" s="152" t="s">
        <v>404</v>
      </c>
      <c r="C142" s="151"/>
      <c r="D142" s="151"/>
      <c r="E142" s="151"/>
      <c r="F142" s="151"/>
      <c r="G142" s="151"/>
      <c r="H142" s="151"/>
      <c r="I142" s="151"/>
      <c r="J142" s="151"/>
      <c r="K142" s="151"/>
      <c r="L142" s="151"/>
      <c r="M142" s="151"/>
      <c r="N142" s="151"/>
      <c r="O142" s="151"/>
      <c r="P142" s="151"/>
      <c r="Q142" s="151"/>
      <c r="R142" s="151"/>
      <c r="S142" s="151"/>
      <c r="T142" s="151"/>
      <c r="U142" s="151"/>
      <c r="V142" s="151"/>
      <c r="W142" s="151"/>
      <c r="X142" s="151"/>
      <c r="Y142" s="247"/>
      <c r="Z142" s="247"/>
      <c r="AA142" s="247"/>
      <c r="AB142" s="247"/>
      <c r="AC142" s="153"/>
      <c r="AD142" s="149"/>
      <c r="AE142" s="149"/>
      <c r="AF142" s="149"/>
      <c r="AG142" s="149"/>
      <c r="AH142" s="149"/>
      <c r="AI142" s="149"/>
      <c r="AJ142" s="149"/>
      <c r="AK142" s="149"/>
      <c r="AL142" s="149"/>
      <c r="AM142" s="149"/>
      <c r="AN142" s="149"/>
      <c r="AO142" s="149"/>
    </row>
    <row r="143" spans="2:41" ht="15">
      <c r="B143" s="152" t="s">
        <v>404</v>
      </c>
      <c r="C143" s="151"/>
      <c r="D143" s="151"/>
      <c r="E143" s="151"/>
      <c r="F143" s="151"/>
      <c r="G143" s="151"/>
      <c r="H143" s="151"/>
      <c r="I143" s="151"/>
      <c r="J143" s="151"/>
      <c r="K143" s="151"/>
      <c r="L143" s="151"/>
      <c r="M143" s="151"/>
      <c r="N143" s="151"/>
      <c r="O143" s="151"/>
      <c r="P143" s="151"/>
      <c r="Q143" s="151"/>
      <c r="R143" s="151"/>
      <c r="S143" s="151"/>
      <c r="T143" s="151"/>
      <c r="U143" s="151"/>
      <c r="V143" s="151"/>
      <c r="W143" s="151"/>
      <c r="X143" s="151"/>
      <c r="Y143" s="247"/>
      <c r="Z143" s="247"/>
      <c r="AA143" s="247"/>
      <c r="AB143" s="247"/>
      <c r="AC143" s="153"/>
      <c r="AD143" s="149"/>
      <c r="AE143" s="149"/>
      <c r="AF143" s="149"/>
      <c r="AG143" s="149"/>
      <c r="AH143" s="149"/>
      <c r="AI143" s="149"/>
      <c r="AJ143" s="149"/>
      <c r="AK143" s="149"/>
      <c r="AL143" s="149"/>
      <c r="AM143" s="149"/>
      <c r="AN143" s="149"/>
      <c r="AO143" s="149"/>
    </row>
    <row r="144" spans="2:41" ht="15">
      <c r="B144" s="152" t="s">
        <v>404</v>
      </c>
      <c r="C144" s="151"/>
      <c r="D144" s="151"/>
      <c r="E144" s="151"/>
      <c r="F144" s="151"/>
      <c r="G144" s="151"/>
      <c r="H144" s="151"/>
      <c r="I144" s="151"/>
      <c r="J144" s="151"/>
      <c r="K144" s="151"/>
      <c r="L144" s="151"/>
      <c r="M144" s="151"/>
      <c r="N144" s="151"/>
      <c r="O144" s="151"/>
      <c r="P144" s="151"/>
      <c r="Q144" s="151"/>
      <c r="R144" s="151"/>
      <c r="S144" s="151"/>
      <c r="T144" s="151"/>
      <c r="U144" s="151"/>
      <c r="V144" s="151"/>
      <c r="W144" s="151"/>
      <c r="X144" s="151"/>
      <c r="Y144" s="247"/>
      <c r="Z144" s="247"/>
      <c r="AA144" s="247"/>
      <c r="AB144" s="247"/>
      <c r="AC144" s="153"/>
      <c r="AD144" s="149"/>
      <c r="AE144" s="149"/>
      <c r="AF144" s="149"/>
      <c r="AG144" s="149"/>
      <c r="AH144" s="149"/>
      <c r="AI144" s="149"/>
      <c r="AJ144" s="149"/>
      <c r="AK144" s="149"/>
      <c r="AL144" s="149"/>
      <c r="AM144" s="149"/>
      <c r="AN144" s="149"/>
      <c r="AO144" s="149"/>
    </row>
    <row r="145" spans="2:41" ht="15">
      <c r="B145" s="152" t="s">
        <v>404</v>
      </c>
      <c r="C145" s="151"/>
      <c r="D145" s="151"/>
      <c r="E145" s="151"/>
      <c r="F145" s="151"/>
      <c r="G145" s="151"/>
      <c r="H145" s="151"/>
      <c r="I145" s="151"/>
      <c r="J145" s="151"/>
      <c r="K145" s="151"/>
      <c r="L145" s="151"/>
      <c r="M145" s="151"/>
      <c r="N145" s="151"/>
      <c r="O145" s="151"/>
      <c r="P145" s="151"/>
      <c r="Q145" s="151"/>
      <c r="R145" s="151"/>
      <c r="S145" s="151"/>
      <c r="T145" s="151"/>
      <c r="U145" s="151"/>
      <c r="V145" s="151"/>
      <c r="W145" s="151"/>
      <c r="X145" s="151"/>
      <c r="Y145" s="247"/>
      <c r="Z145" s="247"/>
      <c r="AA145" s="247"/>
      <c r="AB145" s="247"/>
      <c r="AC145" s="153"/>
      <c r="AD145" s="149"/>
      <c r="AE145" s="149"/>
      <c r="AF145" s="149"/>
      <c r="AG145" s="149"/>
      <c r="AH145" s="149"/>
      <c r="AI145" s="149"/>
      <c r="AJ145" s="149"/>
      <c r="AK145" s="149"/>
      <c r="AL145" s="149"/>
      <c r="AM145" s="149"/>
      <c r="AN145" s="149"/>
      <c r="AO145" s="149"/>
    </row>
    <row r="146" spans="2:41" ht="15">
      <c r="B146" s="152" t="s">
        <v>404</v>
      </c>
      <c r="C146" s="151"/>
      <c r="D146" s="151"/>
      <c r="E146" s="151"/>
      <c r="F146" s="151"/>
      <c r="G146" s="151"/>
      <c r="H146" s="151"/>
      <c r="I146" s="151"/>
      <c r="J146" s="151"/>
      <c r="K146" s="151"/>
      <c r="L146" s="151"/>
      <c r="M146" s="151"/>
      <c r="N146" s="151"/>
      <c r="O146" s="151"/>
      <c r="P146" s="151"/>
      <c r="Q146" s="151"/>
      <c r="R146" s="151"/>
      <c r="S146" s="151"/>
      <c r="T146" s="151"/>
      <c r="U146" s="151"/>
      <c r="V146" s="151"/>
      <c r="W146" s="151"/>
      <c r="X146" s="151"/>
      <c r="Y146" s="247"/>
      <c r="Z146" s="247"/>
      <c r="AA146" s="247"/>
      <c r="AB146" s="247"/>
      <c r="AC146" s="153"/>
      <c r="AD146" s="149"/>
      <c r="AE146" s="149"/>
      <c r="AF146" s="149"/>
      <c r="AG146" s="149"/>
      <c r="AH146" s="149"/>
      <c r="AI146" s="149"/>
      <c r="AJ146" s="149"/>
      <c r="AK146" s="149"/>
      <c r="AL146" s="149"/>
      <c r="AM146" s="149"/>
      <c r="AN146" s="149"/>
      <c r="AO146" s="149"/>
    </row>
    <row r="147" spans="2:41" ht="15">
      <c r="B147" s="152" t="s">
        <v>404</v>
      </c>
      <c r="C147" s="151"/>
      <c r="D147" s="151"/>
      <c r="E147" s="151"/>
      <c r="F147" s="151"/>
      <c r="G147" s="151"/>
      <c r="H147" s="151"/>
      <c r="I147" s="151"/>
      <c r="J147" s="151"/>
      <c r="K147" s="151"/>
      <c r="L147" s="151"/>
      <c r="M147" s="151"/>
      <c r="N147" s="151"/>
      <c r="O147" s="151"/>
      <c r="P147" s="151"/>
      <c r="Q147" s="151"/>
      <c r="R147" s="151"/>
      <c r="S147" s="151"/>
      <c r="T147" s="151"/>
      <c r="U147" s="151"/>
      <c r="V147" s="151"/>
      <c r="W147" s="151"/>
      <c r="X147" s="151"/>
      <c r="Y147" s="247"/>
      <c r="Z147" s="247"/>
      <c r="AA147" s="247"/>
      <c r="AB147" s="247"/>
      <c r="AC147" s="153"/>
      <c r="AD147" s="149"/>
      <c r="AE147" s="149"/>
      <c r="AF147" s="149"/>
      <c r="AG147" s="149"/>
      <c r="AH147" s="149"/>
      <c r="AI147" s="149"/>
      <c r="AJ147" s="149"/>
      <c r="AK147" s="149"/>
      <c r="AL147" s="149"/>
      <c r="AM147" s="149"/>
      <c r="AN147" s="149"/>
      <c r="AO147" s="149"/>
    </row>
    <row r="148" spans="2:41" ht="15">
      <c r="B148" s="152" t="s">
        <v>404</v>
      </c>
      <c r="C148" s="151"/>
      <c r="D148" s="151"/>
      <c r="E148" s="151"/>
      <c r="F148" s="151"/>
      <c r="G148" s="151"/>
      <c r="H148" s="151"/>
      <c r="I148" s="151"/>
      <c r="J148" s="151"/>
      <c r="K148" s="151"/>
      <c r="L148" s="151"/>
      <c r="M148" s="151"/>
      <c r="N148" s="151"/>
      <c r="O148" s="151"/>
      <c r="P148" s="151"/>
      <c r="Q148" s="151"/>
      <c r="R148" s="151"/>
      <c r="S148" s="151"/>
      <c r="T148" s="151"/>
      <c r="U148" s="151"/>
      <c r="V148" s="151"/>
      <c r="W148" s="151"/>
      <c r="X148" s="151"/>
      <c r="Y148" s="247"/>
      <c r="Z148" s="247"/>
      <c r="AA148" s="247"/>
      <c r="AB148" s="247"/>
      <c r="AC148" s="153"/>
      <c r="AD148" s="149"/>
      <c r="AE148" s="149"/>
      <c r="AF148" s="149"/>
      <c r="AG148" s="149"/>
      <c r="AH148" s="149"/>
      <c r="AI148" s="149"/>
      <c r="AJ148" s="149"/>
      <c r="AK148" s="149"/>
      <c r="AL148" s="149"/>
      <c r="AM148" s="149"/>
      <c r="AN148" s="149"/>
      <c r="AO148" s="149"/>
    </row>
    <row r="149" spans="2:41" ht="15">
      <c r="B149" s="152" t="s">
        <v>404</v>
      </c>
      <c r="C149" s="151"/>
      <c r="D149" s="151"/>
      <c r="E149" s="151"/>
      <c r="F149" s="151"/>
      <c r="G149" s="151"/>
      <c r="H149" s="151"/>
      <c r="I149" s="151"/>
      <c r="J149" s="151"/>
      <c r="K149" s="151"/>
      <c r="L149" s="151"/>
      <c r="M149" s="151"/>
      <c r="N149" s="151"/>
      <c r="O149" s="151"/>
      <c r="P149" s="151"/>
      <c r="Q149" s="151"/>
      <c r="R149" s="151"/>
      <c r="S149" s="151"/>
      <c r="T149" s="151"/>
      <c r="U149" s="151"/>
      <c r="V149" s="151"/>
      <c r="W149" s="151"/>
      <c r="X149" s="151"/>
      <c r="Y149" s="247"/>
      <c r="Z149" s="247"/>
      <c r="AA149" s="247"/>
      <c r="AB149" s="247"/>
      <c r="AC149" s="153"/>
      <c r="AD149" s="149"/>
      <c r="AE149" s="149"/>
      <c r="AF149" s="149"/>
      <c r="AG149" s="149"/>
      <c r="AH149" s="149"/>
      <c r="AI149" s="149"/>
      <c r="AJ149" s="149"/>
      <c r="AK149" s="149"/>
      <c r="AL149" s="149"/>
      <c r="AM149" s="149"/>
      <c r="AN149" s="149"/>
      <c r="AO149" s="149"/>
    </row>
    <row r="150" spans="2:41" ht="15">
      <c r="B150" s="152" t="s">
        <v>404</v>
      </c>
      <c r="C150" s="151"/>
      <c r="D150" s="151"/>
      <c r="E150" s="151"/>
      <c r="F150" s="151"/>
      <c r="G150" s="151"/>
      <c r="H150" s="151"/>
      <c r="I150" s="151"/>
      <c r="J150" s="151"/>
      <c r="K150" s="151"/>
      <c r="L150" s="151"/>
      <c r="M150" s="151"/>
      <c r="N150" s="151"/>
      <c r="O150" s="151"/>
      <c r="P150" s="151"/>
      <c r="Q150" s="151"/>
      <c r="R150" s="151"/>
      <c r="S150" s="151"/>
      <c r="T150" s="151"/>
      <c r="U150" s="151"/>
      <c r="V150" s="151"/>
      <c r="W150" s="151"/>
      <c r="X150" s="151"/>
      <c r="Y150" s="247"/>
      <c r="Z150" s="247"/>
      <c r="AA150" s="247"/>
      <c r="AB150" s="247"/>
      <c r="AC150" s="153"/>
      <c r="AD150" s="149"/>
      <c r="AE150" s="149"/>
      <c r="AF150" s="149"/>
      <c r="AG150" s="149"/>
      <c r="AH150" s="149"/>
      <c r="AI150" s="149"/>
      <c r="AJ150" s="149"/>
      <c r="AK150" s="149"/>
      <c r="AL150" s="149"/>
      <c r="AM150" s="149"/>
      <c r="AN150" s="149"/>
      <c r="AO150" s="149"/>
    </row>
    <row r="151" spans="2:41" ht="15">
      <c r="B151" s="152" t="s">
        <v>404</v>
      </c>
      <c r="C151" s="151"/>
      <c r="D151" s="151"/>
      <c r="E151" s="151"/>
      <c r="F151" s="151"/>
      <c r="G151" s="151"/>
      <c r="H151" s="151"/>
      <c r="I151" s="151"/>
      <c r="J151" s="151"/>
      <c r="K151" s="151"/>
      <c r="L151" s="151"/>
      <c r="M151" s="151"/>
      <c r="N151" s="151"/>
      <c r="O151" s="151"/>
      <c r="P151" s="151"/>
      <c r="Q151" s="151"/>
      <c r="R151" s="151"/>
      <c r="S151" s="151"/>
      <c r="T151" s="151"/>
      <c r="U151" s="151"/>
      <c r="V151" s="151"/>
      <c r="W151" s="151"/>
      <c r="X151" s="151"/>
      <c r="Y151" s="247"/>
      <c r="Z151" s="247"/>
      <c r="AA151" s="247"/>
      <c r="AB151" s="247"/>
      <c r="AC151" s="153"/>
      <c r="AD151" s="149"/>
      <c r="AE151" s="149"/>
      <c r="AF151" s="149"/>
      <c r="AG151" s="149"/>
      <c r="AH151" s="149"/>
      <c r="AI151" s="149"/>
      <c r="AJ151" s="149"/>
      <c r="AK151" s="149"/>
      <c r="AL151" s="149"/>
      <c r="AM151" s="149"/>
      <c r="AN151" s="149"/>
      <c r="AO151" s="149"/>
    </row>
    <row r="152" spans="2:41" ht="15">
      <c r="B152" s="152" t="s">
        <v>404</v>
      </c>
      <c r="C152" s="151"/>
      <c r="D152" s="151"/>
      <c r="E152" s="151"/>
      <c r="F152" s="151"/>
      <c r="G152" s="151"/>
      <c r="H152" s="151"/>
      <c r="I152" s="151"/>
      <c r="J152" s="151"/>
      <c r="K152" s="151"/>
      <c r="L152" s="151"/>
      <c r="M152" s="151"/>
      <c r="N152" s="151"/>
      <c r="O152" s="151"/>
      <c r="P152" s="151"/>
      <c r="Q152" s="151"/>
      <c r="R152" s="151"/>
      <c r="S152" s="151"/>
      <c r="T152" s="151"/>
      <c r="U152" s="151"/>
      <c r="V152" s="151"/>
      <c r="W152" s="151"/>
      <c r="X152" s="151"/>
      <c r="Y152" s="247"/>
      <c r="Z152" s="247"/>
      <c r="AA152" s="247"/>
      <c r="AB152" s="247"/>
      <c r="AC152" s="153"/>
      <c r="AD152" s="149"/>
      <c r="AE152" s="149"/>
      <c r="AF152" s="149"/>
      <c r="AG152" s="149"/>
      <c r="AH152" s="149"/>
      <c r="AI152" s="149"/>
      <c r="AJ152" s="149"/>
      <c r="AK152" s="149"/>
      <c r="AL152" s="149"/>
      <c r="AM152" s="149"/>
      <c r="AN152" s="149"/>
      <c r="AO152" s="149"/>
    </row>
    <row r="153" spans="2:41" ht="15">
      <c r="B153" s="152" t="s">
        <v>404</v>
      </c>
      <c r="C153" s="151"/>
      <c r="D153" s="151"/>
      <c r="E153" s="151"/>
      <c r="F153" s="151"/>
      <c r="G153" s="151"/>
      <c r="H153" s="151"/>
      <c r="I153" s="151"/>
      <c r="J153" s="151"/>
      <c r="K153" s="151"/>
      <c r="L153" s="151"/>
      <c r="M153" s="151"/>
      <c r="N153" s="151"/>
      <c r="O153" s="151"/>
      <c r="P153" s="151"/>
      <c r="Q153" s="151"/>
      <c r="R153" s="151"/>
      <c r="S153" s="151"/>
      <c r="T153" s="151"/>
      <c r="U153" s="151"/>
      <c r="V153" s="151"/>
      <c r="W153" s="151"/>
      <c r="X153" s="151"/>
      <c r="Y153" s="247"/>
      <c r="Z153" s="247"/>
      <c r="AA153" s="247"/>
      <c r="AB153" s="247"/>
      <c r="AC153" s="153"/>
      <c r="AD153" s="149"/>
      <c r="AE153" s="149"/>
      <c r="AF153" s="149"/>
      <c r="AG153" s="149"/>
      <c r="AH153" s="149"/>
      <c r="AI153" s="149"/>
      <c r="AJ153" s="149"/>
      <c r="AK153" s="149"/>
      <c r="AL153" s="149"/>
      <c r="AM153" s="149"/>
      <c r="AN153" s="149"/>
      <c r="AO153" s="149"/>
    </row>
    <row r="154" spans="2:41" ht="15">
      <c r="B154" s="152" t="s">
        <v>404</v>
      </c>
      <c r="C154" s="151"/>
      <c r="D154" s="151"/>
      <c r="E154" s="151"/>
      <c r="F154" s="151"/>
      <c r="G154" s="151"/>
      <c r="H154" s="151"/>
      <c r="I154" s="151"/>
      <c r="J154" s="151"/>
      <c r="K154" s="151"/>
      <c r="L154" s="151"/>
      <c r="M154" s="151"/>
      <c r="N154" s="151"/>
      <c r="O154" s="151"/>
      <c r="P154" s="151"/>
      <c r="Q154" s="151"/>
      <c r="R154" s="151"/>
      <c r="S154" s="151"/>
      <c r="T154" s="151"/>
      <c r="U154" s="151"/>
      <c r="V154" s="151"/>
      <c r="W154" s="151"/>
      <c r="X154" s="151"/>
      <c r="Y154" s="247"/>
      <c r="Z154" s="247"/>
      <c r="AA154" s="247"/>
      <c r="AB154" s="247"/>
      <c r="AC154" s="153"/>
      <c r="AD154" s="149"/>
      <c r="AE154" s="149"/>
      <c r="AF154" s="149"/>
      <c r="AG154" s="149"/>
      <c r="AH154" s="149"/>
      <c r="AI154" s="149"/>
      <c r="AJ154" s="149"/>
      <c r="AK154" s="149"/>
      <c r="AL154" s="149"/>
      <c r="AM154" s="149"/>
      <c r="AN154" s="149"/>
      <c r="AO154" s="149"/>
    </row>
    <row r="155" spans="2:41" ht="15">
      <c r="B155" s="152" t="s">
        <v>404</v>
      </c>
      <c r="C155" s="151"/>
      <c r="D155" s="151"/>
      <c r="E155" s="151"/>
      <c r="F155" s="151"/>
      <c r="G155" s="151"/>
      <c r="H155" s="151"/>
      <c r="I155" s="151"/>
      <c r="J155" s="151"/>
      <c r="K155" s="151"/>
      <c r="L155" s="151"/>
      <c r="M155" s="151"/>
      <c r="N155" s="151"/>
      <c r="O155" s="151"/>
      <c r="P155" s="151"/>
      <c r="Q155" s="151"/>
      <c r="R155" s="151"/>
      <c r="S155" s="151"/>
      <c r="T155" s="151"/>
      <c r="U155" s="151"/>
      <c r="V155" s="151"/>
      <c r="W155" s="151"/>
      <c r="X155" s="151"/>
      <c r="Y155" s="247"/>
      <c r="Z155" s="247"/>
      <c r="AA155" s="247"/>
      <c r="AB155" s="247"/>
      <c r="AC155" s="153"/>
      <c r="AD155" s="149"/>
      <c r="AE155" s="149"/>
      <c r="AF155" s="149"/>
      <c r="AG155" s="149"/>
      <c r="AH155" s="149"/>
      <c r="AI155" s="149"/>
      <c r="AJ155" s="149"/>
      <c r="AK155" s="149"/>
      <c r="AL155" s="149"/>
      <c r="AM155" s="149"/>
      <c r="AN155" s="149"/>
      <c r="AO155" s="149"/>
    </row>
    <row r="156" spans="2:41" ht="15">
      <c r="B156" s="152" t="s">
        <v>404</v>
      </c>
      <c r="C156" s="151"/>
      <c r="D156" s="151"/>
      <c r="E156" s="151"/>
      <c r="F156" s="151"/>
      <c r="G156" s="151"/>
      <c r="H156" s="151"/>
      <c r="I156" s="151"/>
      <c r="J156" s="151"/>
      <c r="K156" s="151"/>
      <c r="L156" s="151"/>
      <c r="M156" s="151"/>
      <c r="N156" s="151"/>
      <c r="O156" s="151"/>
      <c r="P156" s="151"/>
      <c r="Q156" s="151"/>
      <c r="R156" s="151"/>
      <c r="S156" s="151"/>
      <c r="T156" s="151"/>
      <c r="U156" s="151"/>
      <c r="V156" s="151"/>
      <c r="W156" s="151"/>
      <c r="X156" s="151"/>
      <c r="Y156" s="247"/>
      <c r="Z156" s="247"/>
      <c r="AA156" s="247"/>
      <c r="AB156" s="247"/>
      <c r="AC156" s="153"/>
      <c r="AD156" s="149"/>
      <c r="AE156" s="149"/>
      <c r="AF156" s="149"/>
      <c r="AG156" s="149"/>
      <c r="AH156" s="149"/>
      <c r="AI156" s="149"/>
      <c r="AJ156" s="149"/>
      <c r="AK156" s="149"/>
      <c r="AL156" s="149"/>
      <c r="AM156" s="149"/>
      <c r="AN156" s="149"/>
      <c r="AO156" s="149"/>
    </row>
    <row r="157" spans="2:41" ht="15">
      <c r="B157" s="152" t="s">
        <v>404</v>
      </c>
      <c r="C157" s="151"/>
      <c r="D157" s="151"/>
      <c r="E157" s="151"/>
      <c r="F157" s="151"/>
      <c r="G157" s="151"/>
      <c r="H157" s="151"/>
      <c r="I157" s="151"/>
      <c r="J157" s="151"/>
      <c r="K157" s="151"/>
      <c r="L157" s="151"/>
      <c r="M157" s="151"/>
      <c r="N157" s="151"/>
      <c r="O157" s="151"/>
      <c r="P157" s="151"/>
      <c r="Q157" s="151"/>
      <c r="R157" s="151"/>
      <c r="S157" s="151"/>
      <c r="T157" s="151"/>
      <c r="U157" s="151"/>
      <c r="V157" s="151"/>
      <c r="W157" s="151"/>
      <c r="X157" s="151"/>
      <c r="Y157" s="247"/>
      <c r="Z157" s="247"/>
      <c r="AA157" s="247"/>
      <c r="AB157" s="247"/>
      <c r="AC157" s="153"/>
      <c r="AD157" s="149"/>
      <c r="AE157" s="149"/>
      <c r="AF157" s="149"/>
      <c r="AG157" s="149"/>
      <c r="AH157" s="149"/>
      <c r="AI157" s="149"/>
      <c r="AJ157" s="149"/>
      <c r="AK157" s="149"/>
      <c r="AL157" s="149"/>
      <c r="AM157" s="149"/>
      <c r="AN157" s="149"/>
      <c r="AO157" s="149"/>
    </row>
    <row r="158" spans="2:41" ht="15">
      <c r="B158" s="152" t="s">
        <v>404</v>
      </c>
      <c r="C158" s="151"/>
      <c r="D158" s="151"/>
      <c r="E158" s="151"/>
      <c r="F158" s="151"/>
      <c r="G158" s="151"/>
      <c r="H158" s="151"/>
      <c r="I158" s="151"/>
      <c r="J158" s="151"/>
      <c r="K158" s="151"/>
      <c r="L158" s="151"/>
      <c r="M158" s="151"/>
      <c r="N158" s="151"/>
      <c r="O158" s="151"/>
      <c r="P158" s="151"/>
      <c r="Q158" s="151"/>
      <c r="R158" s="151"/>
      <c r="S158" s="151"/>
      <c r="T158" s="151"/>
      <c r="U158" s="151"/>
      <c r="V158" s="151"/>
      <c r="W158" s="151"/>
      <c r="X158" s="151"/>
      <c r="Y158" s="247"/>
      <c r="Z158" s="247"/>
      <c r="AA158" s="247"/>
      <c r="AB158" s="247"/>
      <c r="AC158" s="153"/>
      <c r="AD158" s="149"/>
      <c r="AE158" s="149"/>
      <c r="AF158" s="149"/>
      <c r="AG158" s="149"/>
      <c r="AH158" s="149"/>
      <c r="AI158" s="149"/>
      <c r="AJ158" s="149"/>
      <c r="AK158" s="149"/>
      <c r="AL158" s="149"/>
      <c r="AM158" s="149"/>
      <c r="AN158" s="149"/>
      <c r="AO158" s="149"/>
    </row>
    <row r="159" spans="2:41" ht="15">
      <c r="B159" s="152" t="s">
        <v>404</v>
      </c>
      <c r="C159" s="151"/>
      <c r="D159" s="151"/>
      <c r="E159" s="151"/>
      <c r="F159" s="151"/>
      <c r="G159" s="151"/>
      <c r="H159" s="151"/>
      <c r="I159" s="151"/>
      <c r="J159" s="151"/>
      <c r="K159" s="151"/>
      <c r="L159" s="151"/>
      <c r="M159" s="151"/>
      <c r="N159" s="151"/>
      <c r="O159" s="151"/>
      <c r="P159" s="151"/>
      <c r="Q159" s="151"/>
      <c r="R159" s="151"/>
      <c r="S159" s="151"/>
      <c r="T159" s="151"/>
      <c r="U159" s="151"/>
      <c r="V159" s="151"/>
      <c r="W159" s="151"/>
      <c r="X159" s="151"/>
      <c r="Y159" s="247"/>
      <c r="Z159" s="247"/>
      <c r="AA159" s="247"/>
      <c r="AB159" s="247"/>
      <c r="AC159" s="153"/>
      <c r="AD159" s="149"/>
      <c r="AE159" s="149"/>
      <c r="AF159" s="149"/>
      <c r="AG159" s="149"/>
      <c r="AH159" s="149"/>
      <c r="AI159" s="149"/>
      <c r="AJ159" s="149"/>
      <c r="AK159" s="149"/>
      <c r="AL159" s="149"/>
      <c r="AM159" s="149"/>
      <c r="AN159" s="149"/>
      <c r="AO159" s="149"/>
    </row>
    <row r="160" spans="2:41" ht="15">
      <c r="B160" s="152" t="s">
        <v>404</v>
      </c>
      <c r="C160" s="151"/>
      <c r="D160" s="151"/>
      <c r="E160" s="151"/>
      <c r="F160" s="151"/>
      <c r="G160" s="151"/>
      <c r="H160" s="151"/>
      <c r="I160" s="151"/>
      <c r="J160" s="151"/>
      <c r="K160" s="151"/>
      <c r="L160" s="151"/>
      <c r="M160" s="151"/>
      <c r="N160" s="151"/>
      <c r="O160" s="151"/>
      <c r="P160" s="151"/>
      <c r="Q160" s="151"/>
      <c r="R160" s="151"/>
      <c r="S160" s="151"/>
      <c r="T160" s="151"/>
      <c r="U160" s="151"/>
      <c r="V160" s="151"/>
      <c r="W160" s="151"/>
      <c r="X160" s="151"/>
      <c r="Y160" s="247"/>
      <c r="Z160" s="247"/>
      <c r="AA160" s="247"/>
      <c r="AB160" s="247"/>
      <c r="AC160" s="153"/>
      <c r="AD160" s="149"/>
      <c r="AE160" s="149"/>
      <c r="AF160" s="149"/>
      <c r="AG160" s="149"/>
      <c r="AH160" s="149"/>
      <c r="AI160" s="149"/>
      <c r="AJ160" s="149"/>
      <c r="AK160" s="149"/>
      <c r="AL160" s="149"/>
      <c r="AM160" s="149"/>
      <c r="AN160" s="149"/>
      <c r="AO160" s="149"/>
    </row>
    <row r="161" spans="2:41" ht="15">
      <c r="B161" s="152" t="s">
        <v>404</v>
      </c>
      <c r="C161" s="151"/>
      <c r="D161" s="151"/>
      <c r="E161" s="151"/>
      <c r="F161" s="151"/>
      <c r="G161" s="151"/>
      <c r="H161" s="151"/>
      <c r="I161" s="151"/>
      <c r="J161" s="151"/>
      <c r="K161" s="151"/>
      <c r="L161" s="151"/>
      <c r="M161" s="151"/>
      <c r="N161" s="151"/>
      <c r="O161" s="151"/>
      <c r="P161" s="151"/>
      <c r="Q161" s="151"/>
      <c r="R161" s="151"/>
      <c r="S161" s="151"/>
      <c r="T161" s="151"/>
      <c r="U161" s="151"/>
      <c r="V161" s="151"/>
      <c r="W161" s="151"/>
      <c r="X161" s="151"/>
      <c r="Y161" s="247"/>
      <c r="Z161" s="247"/>
      <c r="AA161" s="247"/>
      <c r="AB161" s="247"/>
      <c r="AC161" s="153"/>
      <c r="AD161" s="149"/>
      <c r="AE161" s="149"/>
      <c r="AF161" s="149"/>
      <c r="AG161" s="149"/>
      <c r="AH161" s="149"/>
      <c r="AI161" s="149"/>
      <c r="AJ161" s="149"/>
      <c r="AK161" s="149"/>
      <c r="AL161" s="149"/>
      <c r="AM161" s="149"/>
      <c r="AN161" s="149"/>
      <c r="AO161" s="149"/>
    </row>
    <row r="162" spans="2:41" ht="15">
      <c r="B162" s="152" t="s">
        <v>404</v>
      </c>
      <c r="C162" s="151"/>
      <c r="D162" s="151"/>
      <c r="E162" s="151"/>
      <c r="F162" s="151"/>
      <c r="G162" s="151"/>
      <c r="H162" s="151"/>
      <c r="I162" s="151"/>
      <c r="J162" s="151"/>
      <c r="K162" s="151"/>
      <c r="L162" s="151"/>
      <c r="M162" s="151"/>
      <c r="N162" s="151"/>
      <c r="O162" s="151"/>
      <c r="P162" s="151"/>
      <c r="Q162" s="151"/>
      <c r="R162" s="151"/>
      <c r="S162" s="151"/>
      <c r="T162" s="151"/>
      <c r="U162" s="151"/>
      <c r="V162" s="151"/>
      <c r="W162" s="151"/>
      <c r="X162" s="151"/>
      <c r="Y162" s="247"/>
      <c r="Z162" s="247"/>
      <c r="AA162" s="247"/>
      <c r="AB162" s="247"/>
      <c r="AC162" s="153"/>
      <c r="AD162" s="149"/>
      <c r="AE162" s="149"/>
      <c r="AF162" s="149"/>
      <c r="AG162" s="149"/>
      <c r="AH162" s="149"/>
      <c r="AI162" s="149"/>
      <c r="AJ162" s="149"/>
      <c r="AK162" s="149"/>
      <c r="AL162" s="149"/>
      <c r="AM162" s="149"/>
      <c r="AN162" s="149"/>
      <c r="AO162" s="149"/>
    </row>
    <row r="163" spans="2:41" ht="15">
      <c r="B163" s="152" t="s">
        <v>404</v>
      </c>
      <c r="C163" s="151"/>
      <c r="D163" s="151"/>
      <c r="E163" s="151"/>
      <c r="F163" s="151"/>
      <c r="G163" s="151"/>
      <c r="H163" s="151"/>
      <c r="I163" s="151"/>
      <c r="J163" s="151"/>
      <c r="K163" s="151"/>
      <c r="L163" s="151"/>
      <c r="M163" s="151"/>
      <c r="N163" s="151"/>
      <c r="O163" s="151"/>
      <c r="P163" s="151"/>
      <c r="Q163" s="151"/>
      <c r="R163" s="151"/>
      <c r="S163" s="151"/>
      <c r="T163" s="151"/>
      <c r="U163" s="151"/>
      <c r="V163" s="151"/>
      <c r="W163" s="151"/>
      <c r="X163" s="151"/>
      <c r="Y163" s="247"/>
      <c r="Z163" s="247"/>
      <c r="AA163" s="247"/>
      <c r="AB163" s="247"/>
      <c r="AC163" s="153"/>
      <c r="AD163" s="149"/>
      <c r="AE163" s="149"/>
      <c r="AF163" s="149"/>
      <c r="AG163" s="149"/>
      <c r="AH163" s="149"/>
      <c r="AI163" s="149"/>
      <c r="AJ163" s="149"/>
      <c r="AK163" s="149"/>
      <c r="AL163" s="149"/>
      <c r="AM163" s="149"/>
      <c r="AN163" s="149"/>
      <c r="AO163" s="149"/>
    </row>
    <row r="164" spans="2:41" ht="15">
      <c r="B164" s="152" t="s">
        <v>404</v>
      </c>
      <c r="C164" s="151"/>
      <c r="D164" s="151"/>
      <c r="E164" s="151"/>
      <c r="F164" s="151"/>
      <c r="G164" s="151"/>
      <c r="H164" s="151"/>
      <c r="I164" s="151"/>
      <c r="J164" s="151"/>
      <c r="K164" s="151"/>
      <c r="L164" s="151"/>
      <c r="M164" s="151"/>
      <c r="N164" s="151"/>
      <c r="O164" s="151"/>
      <c r="P164" s="151"/>
      <c r="Q164" s="151"/>
      <c r="R164" s="151"/>
      <c r="S164" s="151"/>
      <c r="T164" s="151"/>
      <c r="U164" s="151"/>
      <c r="V164" s="151"/>
      <c r="W164" s="151"/>
      <c r="X164" s="151"/>
      <c r="Y164" s="247"/>
      <c r="Z164" s="247"/>
      <c r="AA164" s="247"/>
      <c r="AB164" s="247"/>
      <c r="AC164" s="153"/>
      <c r="AD164" s="149"/>
      <c r="AE164" s="149"/>
      <c r="AF164" s="149"/>
      <c r="AG164" s="149"/>
      <c r="AH164" s="149"/>
      <c r="AI164" s="149"/>
      <c r="AJ164" s="149"/>
      <c r="AK164" s="149"/>
      <c r="AL164" s="149"/>
      <c r="AM164" s="149"/>
      <c r="AN164" s="149"/>
      <c r="AO164" s="149"/>
    </row>
    <row r="165" spans="2:41" ht="15">
      <c r="B165" s="152" t="s">
        <v>404</v>
      </c>
      <c r="C165" s="151"/>
      <c r="D165" s="151"/>
      <c r="E165" s="151"/>
      <c r="F165" s="151"/>
      <c r="G165" s="151"/>
      <c r="H165" s="151"/>
      <c r="I165" s="151"/>
      <c r="J165" s="151"/>
      <c r="K165" s="151"/>
      <c r="L165" s="151"/>
      <c r="M165" s="151"/>
      <c r="N165" s="151"/>
      <c r="O165" s="151"/>
      <c r="P165" s="151"/>
      <c r="Q165" s="151"/>
      <c r="R165" s="151"/>
      <c r="S165" s="151"/>
      <c r="T165" s="151"/>
      <c r="U165" s="151"/>
      <c r="V165" s="151"/>
      <c r="W165" s="151"/>
      <c r="X165" s="151"/>
      <c r="Y165" s="247"/>
      <c r="Z165" s="247"/>
      <c r="AA165" s="247"/>
      <c r="AB165" s="247"/>
      <c r="AC165" s="153"/>
      <c r="AD165" s="149"/>
      <c r="AE165" s="149"/>
      <c r="AF165" s="149"/>
      <c r="AG165" s="149"/>
      <c r="AH165" s="149"/>
      <c r="AI165" s="149"/>
      <c r="AJ165" s="149"/>
      <c r="AK165" s="149"/>
      <c r="AL165" s="149"/>
      <c r="AM165" s="149"/>
      <c r="AN165" s="149"/>
      <c r="AO165" s="149"/>
    </row>
    <row r="166" spans="2:41" ht="15">
      <c r="B166" s="152" t="s">
        <v>404</v>
      </c>
      <c r="C166" s="151"/>
      <c r="D166" s="151"/>
      <c r="E166" s="151"/>
      <c r="F166" s="151"/>
      <c r="G166" s="151"/>
      <c r="H166" s="151"/>
      <c r="I166" s="151"/>
      <c r="J166" s="151"/>
      <c r="K166" s="151"/>
      <c r="L166" s="151"/>
      <c r="M166" s="151"/>
      <c r="N166" s="151"/>
      <c r="O166" s="151"/>
      <c r="P166" s="151"/>
      <c r="Q166" s="151"/>
      <c r="R166" s="151"/>
      <c r="S166" s="151"/>
      <c r="T166" s="151"/>
      <c r="U166" s="151"/>
      <c r="V166" s="151"/>
      <c r="W166" s="151"/>
      <c r="X166" s="151"/>
      <c r="Y166" s="247"/>
      <c r="Z166" s="247"/>
      <c r="AA166" s="247"/>
      <c r="AB166" s="247"/>
      <c r="AC166" s="153"/>
      <c r="AD166" s="149"/>
      <c r="AE166" s="149"/>
      <c r="AF166" s="149"/>
      <c r="AG166" s="149"/>
      <c r="AH166" s="149"/>
      <c r="AI166" s="149"/>
      <c r="AJ166" s="149"/>
      <c r="AK166" s="149"/>
      <c r="AL166" s="149"/>
      <c r="AM166" s="149"/>
      <c r="AN166" s="149"/>
      <c r="AO166" s="149"/>
    </row>
    <row r="167" spans="2:41" ht="15">
      <c r="B167" s="152" t="s">
        <v>404</v>
      </c>
      <c r="C167" s="151"/>
      <c r="D167" s="151"/>
      <c r="E167" s="151"/>
      <c r="F167" s="151"/>
      <c r="G167" s="151"/>
      <c r="H167" s="151"/>
      <c r="I167" s="151"/>
      <c r="J167" s="151"/>
      <c r="K167" s="151"/>
      <c r="L167" s="151"/>
      <c r="M167" s="151"/>
      <c r="N167" s="151"/>
      <c r="O167" s="151"/>
      <c r="P167" s="151"/>
      <c r="Q167" s="151"/>
      <c r="R167" s="151"/>
      <c r="S167" s="151"/>
      <c r="T167" s="151"/>
      <c r="U167" s="151"/>
      <c r="V167" s="151"/>
      <c r="W167" s="151"/>
      <c r="X167" s="151"/>
      <c r="Y167" s="247"/>
      <c r="Z167" s="247"/>
      <c r="AA167" s="247"/>
      <c r="AB167" s="247"/>
      <c r="AC167" s="153"/>
      <c r="AD167" s="149"/>
      <c r="AE167" s="149"/>
      <c r="AF167" s="149"/>
      <c r="AG167" s="149"/>
      <c r="AH167" s="149"/>
      <c r="AI167" s="149"/>
      <c r="AJ167" s="149"/>
      <c r="AK167" s="149"/>
      <c r="AL167" s="149"/>
      <c r="AM167" s="149"/>
      <c r="AN167" s="149"/>
      <c r="AO167" s="149"/>
    </row>
    <row r="168" spans="2:41" ht="15">
      <c r="B168" s="152" t="s">
        <v>404</v>
      </c>
      <c r="C168" s="151"/>
      <c r="D168" s="151"/>
      <c r="E168" s="151"/>
      <c r="F168" s="151"/>
      <c r="G168" s="151"/>
      <c r="H168" s="151"/>
      <c r="I168" s="151"/>
      <c r="J168" s="151"/>
      <c r="K168" s="151"/>
      <c r="L168" s="151"/>
      <c r="M168" s="151"/>
      <c r="N168" s="151"/>
      <c r="O168" s="151"/>
      <c r="P168" s="151"/>
      <c r="Q168" s="151"/>
      <c r="R168" s="151"/>
      <c r="S168" s="151"/>
      <c r="T168" s="151"/>
      <c r="U168" s="151"/>
      <c r="V168" s="151"/>
      <c r="W168" s="151"/>
      <c r="X168" s="151"/>
      <c r="Y168" s="247"/>
      <c r="Z168" s="247"/>
      <c r="AA168" s="247"/>
      <c r="AB168" s="247"/>
      <c r="AC168" s="153"/>
      <c r="AD168" s="149"/>
      <c r="AE168" s="149"/>
      <c r="AF168" s="149"/>
      <c r="AG168" s="149"/>
      <c r="AH168" s="149"/>
      <c r="AI168" s="149"/>
      <c r="AJ168" s="149"/>
      <c r="AK168" s="149"/>
      <c r="AL168" s="149"/>
      <c r="AM168" s="149"/>
      <c r="AN168" s="149"/>
      <c r="AO168" s="149"/>
    </row>
    <row r="169" spans="2:41" ht="15">
      <c r="B169" s="152" t="s">
        <v>404</v>
      </c>
      <c r="C169" s="151"/>
      <c r="D169" s="151"/>
      <c r="E169" s="151"/>
      <c r="F169" s="151"/>
      <c r="G169" s="151"/>
      <c r="H169" s="151"/>
      <c r="I169" s="151"/>
      <c r="J169" s="151"/>
      <c r="K169" s="151"/>
      <c r="L169" s="151"/>
      <c r="M169" s="151"/>
      <c r="N169" s="151"/>
      <c r="O169" s="151"/>
      <c r="P169" s="151"/>
      <c r="Q169" s="151"/>
      <c r="R169" s="151"/>
      <c r="S169" s="151"/>
      <c r="T169" s="151"/>
      <c r="U169" s="151"/>
      <c r="V169" s="151"/>
      <c r="W169" s="151"/>
      <c r="X169" s="151"/>
      <c r="Y169" s="247"/>
      <c r="Z169" s="247"/>
      <c r="AA169" s="247"/>
      <c r="AB169" s="247"/>
      <c r="AC169" s="153"/>
      <c r="AD169" s="149"/>
      <c r="AE169" s="149"/>
      <c r="AF169" s="149"/>
      <c r="AG169" s="149"/>
      <c r="AH169" s="149"/>
      <c r="AI169" s="149"/>
      <c r="AJ169" s="149"/>
      <c r="AK169" s="149"/>
      <c r="AL169" s="149"/>
      <c r="AM169" s="149"/>
      <c r="AN169" s="149"/>
      <c r="AO169" s="149"/>
    </row>
    <row r="170" spans="2:41" ht="15">
      <c r="B170" s="152" t="s">
        <v>404</v>
      </c>
      <c r="C170" s="151"/>
      <c r="D170" s="151"/>
      <c r="E170" s="151"/>
      <c r="F170" s="151"/>
      <c r="G170" s="151"/>
      <c r="H170" s="151"/>
      <c r="I170" s="151"/>
      <c r="J170" s="151"/>
      <c r="K170" s="151"/>
      <c r="L170" s="151"/>
      <c r="M170" s="151"/>
      <c r="N170" s="151"/>
      <c r="O170" s="151"/>
      <c r="P170" s="151"/>
      <c r="Q170" s="151"/>
      <c r="R170" s="151"/>
      <c r="S170" s="151"/>
      <c r="T170" s="151"/>
      <c r="U170" s="151"/>
      <c r="V170" s="151"/>
      <c r="W170" s="151"/>
      <c r="X170" s="151"/>
      <c r="Y170" s="247"/>
      <c r="Z170" s="247"/>
      <c r="AA170" s="247"/>
      <c r="AB170" s="247"/>
      <c r="AC170" s="153"/>
      <c r="AD170" s="149"/>
      <c r="AE170" s="149"/>
      <c r="AF170" s="149"/>
      <c r="AG170" s="149"/>
      <c r="AH170" s="149"/>
      <c r="AI170" s="149"/>
      <c r="AJ170" s="149"/>
      <c r="AK170" s="149"/>
      <c r="AL170" s="149"/>
      <c r="AM170" s="149"/>
      <c r="AN170" s="149"/>
      <c r="AO170" s="149"/>
    </row>
    <row r="171" spans="2:41" ht="15">
      <c r="B171" s="152" t="s">
        <v>404</v>
      </c>
      <c r="C171" s="151"/>
      <c r="D171" s="151"/>
      <c r="E171" s="151"/>
      <c r="F171" s="151"/>
      <c r="G171" s="151"/>
      <c r="H171" s="151"/>
      <c r="I171" s="151"/>
      <c r="J171" s="151"/>
      <c r="K171" s="151"/>
      <c r="L171" s="151"/>
      <c r="M171" s="151"/>
      <c r="N171" s="151"/>
      <c r="O171" s="151"/>
      <c r="P171" s="151"/>
      <c r="Q171" s="151"/>
      <c r="R171" s="151"/>
      <c r="S171" s="151"/>
      <c r="T171" s="151"/>
      <c r="U171" s="151"/>
      <c r="V171" s="151"/>
      <c r="W171" s="151"/>
      <c r="X171" s="151"/>
      <c r="Y171" s="247"/>
      <c r="Z171" s="247"/>
      <c r="AA171" s="247"/>
      <c r="AB171" s="247"/>
      <c r="AC171" s="153"/>
      <c r="AD171" s="149"/>
      <c r="AE171" s="149"/>
      <c r="AF171" s="149"/>
      <c r="AG171" s="149"/>
      <c r="AH171" s="149"/>
      <c r="AI171" s="149"/>
      <c r="AJ171" s="149"/>
      <c r="AK171" s="149"/>
      <c r="AL171" s="149"/>
      <c r="AM171" s="149"/>
      <c r="AN171" s="149"/>
      <c r="AO171" s="149"/>
    </row>
    <row r="172" spans="2:41" ht="15">
      <c r="B172" s="152" t="s">
        <v>404</v>
      </c>
      <c r="C172" s="151"/>
      <c r="D172" s="151"/>
      <c r="E172" s="151"/>
      <c r="F172" s="151"/>
      <c r="G172" s="151"/>
      <c r="H172" s="151"/>
      <c r="I172" s="151"/>
      <c r="J172" s="151"/>
      <c r="K172" s="151"/>
      <c r="L172" s="151"/>
      <c r="M172" s="151"/>
      <c r="N172" s="151"/>
      <c r="O172" s="151"/>
      <c r="P172" s="151"/>
      <c r="Q172" s="151"/>
      <c r="R172" s="151"/>
      <c r="S172" s="151"/>
      <c r="T172" s="151"/>
      <c r="U172" s="151"/>
      <c r="V172" s="151"/>
      <c r="W172" s="151"/>
      <c r="X172" s="151"/>
      <c r="Y172" s="247"/>
      <c r="Z172" s="247"/>
      <c r="AA172" s="247"/>
      <c r="AB172" s="247"/>
      <c r="AC172" s="153"/>
      <c r="AD172" s="149"/>
      <c r="AE172" s="149"/>
      <c r="AF172" s="149"/>
      <c r="AG172" s="149"/>
      <c r="AH172" s="149"/>
      <c r="AI172" s="149"/>
      <c r="AJ172" s="149"/>
      <c r="AK172" s="149"/>
      <c r="AL172" s="149"/>
      <c r="AM172" s="149"/>
      <c r="AN172" s="149"/>
      <c r="AO172" s="149"/>
    </row>
    <row r="173" spans="2:41" ht="15">
      <c r="B173" s="152" t="s">
        <v>404</v>
      </c>
      <c r="C173" s="151"/>
      <c r="D173" s="151"/>
      <c r="E173" s="151"/>
      <c r="F173" s="151"/>
      <c r="G173" s="151"/>
      <c r="H173" s="151"/>
      <c r="I173" s="151"/>
      <c r="J173" s="151"/>
      <c r="K173" s="151"/>
      <c r="L173" s="151"/>
      <c r="M173" s="151"/>
      <c r="N173" s="151"/>
      <c r="O173" s="151"/>
      <c r="P173" s="151"/>
      <c r="Q173" s="151"/>
      <c r="R173" s="151"/>
      <c r="S173" s="151"/>
      <c r="T173" s="151"/>
      <c r="U173" s="151"/>
      <c r="V173" s="151"/>
      <c r="W173" s="151"/>
      <c r="X173" s="151"/>
      <c r="Y173" s="247"/>
      <c r="Z173" s="247"/>
      <c r="AA173" s="247"/>
      <c r="AB173" s="247"/>
      <c r="AC173" s="153"/>
      <c r="AD173" s="149"/>
      <c r="AE173" s="149"/>
      <c r="AF173" s="149"/>
      <c r="AG173" s="149"/>
      <c r="AH173" s="149"/>
      <c r="AI173" s="149"/>
      <c r="AJ173" s="149"/>
      <c r="AK173" s="149"/>
      <c r="AL173" s="149"/>
      <c r="AM173" s="149"/>
      <c r="AN173" s="149"/>
      <c r="AO173" s="149"/>
    </row>
    <row r="174" spans="2:41" ht="15">
      <c r="B174" s="152" t="s">
        <v>404</v>
      </c>
      <c r="C174" s="151"/>
      <c r="D174" s="151"/>
      <c r="E174" s="151"/>
      <c r="F174" s="151"/>
      <c r="G174" s="151"/>
      <c r="H174" s="151"/>
      <c r="I174" s="151"/>
      <c r="J174" s="151"/>
      <c r="K174" s="151"/>
      <c r="L174" s="151"/>
      <c r="M174" s="151"/>
      <c r="N174" s="151"/>
      <c r="O174" s="151"/>
      <c r="P174" s="151"/>
      <c r="Q174" s="151"/>
      <c r="R174" s="151"/>
      <c r="S174" s="151"/>
      <c r="T174" s="151"/>
      <c r="U174" s="151"/>
      <c r="V174" s="151"/>
      <c r="W174" s="151"/>
      <c r="X174" s="151"/>
      <c r="Y174" s="247"/>
      <c r="Z174" s="247"/>
      <c r="AA174" s="247"/>
      <c r="AB174" s="247"/>
      <c r="AC174" s="153"/>
      <c r="AD174" s="149"/>
      <c r="AE174" s="149"/>
      <c r="AF174" s="149"/>
      <c r="AG174" s="149"/>
      <c r="AH174" s="149"/>
      <c r="AI174" s="149"/>
      <c r="AJ174" s="149"/>
      <c r="AK174" s="149"/>
      <c r="AL174" s="149"/>
      <c r="AM174" s="149"/>
      <c r="AN174" s="149"/>
      <c r="AO174" s="149"/>
    </row>
    <row r="175" spans="2:41" ht="15">
      <c r="B175" s="152" t="s">
        <v>404</v>
      </c>
      <c r="C175" s="151"/>
      <c r="D175" s="151"/>
      <c r="E175" s="151"/>
      <c r="F175" s="151"/>
      <c r="G175" s="151"/>
      <c r="H175" s="151"/>
      <c r="I175" s="151"/>
      <c r="J175" s="151"/>
      <c r="K175" s="151"/>
      <c r="L175" s="151"/>
      <c r="M175" s="151"/>
      <c r="N175" s="151"/>
      <c r="O175" s="151"/>
      <c r="P175" s="151"/>
      <c r="Q175" s="151"/>
      <c r="R175" s="151"/>
      <c r="S175" s="151"/>
      <c r="T175" s="151"/>
      <c r="U175" s="151"/>
      <c r="V175" s="151"/>
      <c r="W175" s="151"/>
      <c r="X175" s="151"/>
      <c r="Y175" s="247"/>
      <c r="Z175" s="247"/>
      <c r="AA175" s="247"/>
      <c r="AB175" s="247"/>
      <c r="AC175" s="153"/>
      <c r="AD175" s="149"/>
      <c r="AE175" s="149"/>
      <c r="AF175" s="149"/>
      <c r="AG175" s="149"/>
      <c r="AH175" s="149"/>
      <c r="AI175" s="149"/>
      <c r="AJ175" s="149"/>
      <c r="AK175" s="149"/>
      <c r="AL175" s="149"/>
      <c r="AM175" s="149"/>
      <c r="AN175" s="149"/>
      <c r="AO175" s="149"/>
    </row>
    <row r="176" spans="2:41" ht="15">
      <c r="B176" s="152" t="s">
        <v>404</v>
      </c>
      <c r="C176" s="151"/>
      <c r="D176" s="151"/>
      <c r="E176" s="151"/>
      <c r="F176" s="151"/>
      <c r="G176" s="151"/>
      <c r="H176" s="151"/>
      <c r="I176" s="151"/>
      <c r="J176" s="151"/>
      <c r="K176" s="151"/>
      <c r="L176" s="151"/>
      <c r="M176" s="151"/>
      <c r="N176" s="151"/>
      <c r="O176" s="151"/>
      <c r="P176" s="151"/>
      <c r="Q176" s="151"/>
      <c r="R176" s="151"/>
      <c r="S176" s="151"/>
      <c r="T176" s="151"/>
      <c r="U176" s="151"/>
      <c r="V176" s="151"/>
      <c r="W176" s="151"/>
      <c r="X176" s="151"/>
      <c r="Y176" s="247"/>
      <c r="Z176" s="247"/>
      <c r="AA176" s="247"/>
      <c r="AB176" s="247"/>
      <c r="AC176" s="153"/>
      <c r="AD176" s="149"/>
      <c r="AE176" s="149"/>
      <c r="AF176" s="149"/>
      <c r="AG176" s="149"/>
      <c r="AH176" s="149"/>
      <c r="AI176" s="149"/>
      <c r="AJ176" s="149"/>
      <c r="AK176" s="149"/>
      <c r="AL176" s="149"/>
      <c r="AM176" s="149"/>
      <c r="AN176" s="149"/>
      <c r="AO176" s="149"/>
    </row>
    <row r="177" spans="2:41" ht="15">
      <c r="B177" s="152" t="s">
        <v>404</v>
      </c>
      <c r="C177" s="151"/>
      <c r="D177" s="151"/>
      <c r="E177" s="151"/>
      <c r="F177" s="151"/>
      <c r="G177" s="151"/>
      <c r="H177" s="151"/>
      <c r="I177" s="151"/>
      <c r="J177" s="151"/>
      <c r="K177" s="151"/>
      <c r="L177" s="151"/>
      <c r="M177" s="151"/>
      <c r="N177" s="151"/>
      <c r="O177" s="151"/>
      <c r="P177" s="151"/>
      <c r="Q177" s="151"/>
      <c r="R177" s="151"/>
      <c r="S177" s="151"/>
      <c r="T177" s="151"/>
      <c r="U177" s="151"/>
      <c r="V177" s="151"/>
      <c r="W177" s="151"/>
      <c r="X177" s="151"/>
      <c r="Y177" s="247"/>
      <c r="Z177" s="247"/>
      <c r="AA177" s="247"/>
      <c r="AB177" s="247"/>
      <c r="AC177" s="153"/>
      <c r="AD177" s="149"/>
      <c r="AE177" s="149"/>
      <c r="AF177" s="149"/>
      <c r="AG177" s="149"/>
      <c r="AH177" s="149"/>
      <c r="AI177" s="149"/>
      <c r="AJ177" s="149"/>
      <c r="AK177" s="149"/>
      <c r="AL177" s="149"/>
      <c r="AM177" s="149"/>
      <c r="AN177" s="149"/>
      <c r="AO177" s="149"/>
    </row>
    <row r="178" spans="2:41" ht="15">
      <c r="B178" s="152" t="s">
        <v>404</v>
      </c>
      <c r="C178" s="151"/>
      <c r="D178" s="151"/>
      <c r="E178" s="151"/>
      <c r="F178" s="151"/>
      <c r="G178" s="151"/>
      <c r="H178" s="151"/>
      <c r="I178" s="151"/>
      <c r="J178" s="151"/>
      <c r="K178" s="151"/>
      <c r="L178" s="151"/>
      <c r="M178" s="151"/>
      <c r="N178" s="151"/>
      <c r="O178" s="151"/>
      <c r="P178" s="151"/>
      <c r="Q178" s="151"/>
      <c r="R178" s="151"/>
      <c r="S178" s="151"/>
      <c r="T178" s="151"/>
      <c r="U178" s="151"/>
      <c r="V178" s="151"/>
      <c r="W178" s="151"/>
      <c r="X178" s="151"/>
      <c r="Y178" s="247"/>
      <c r="Z178" s="247"/>
      <c r="AA178" s="247"/>
      <c r="AB178" s="247"/>
      <c r="AC178" s="153"/>
      <c r="AD178" s="149"/>
      <c r="AE178" s="149"/>
      <c r="AF178" s="149"/>
      <c r="AG178" s="149"/>
      <c r="AH178" s="149"/>
      <c r="AI178" s="149"/>
      <c r="AJ178" s="149"/>
      <c r="AK178" s="149"/>
      <c r="AL178" s="149"/>
      <c r="AM178" s="149"/>
      <c r="AN178" s="149"/>
      <c r="AO178" s="149"/>
    </row>
    <row r="179" spans="2:41" ht="15">
      <c r="B179" s="152" t="s">
        <v>404</v>
      </c>
      <c r="C179" s="151"/>
      <c r="D179" s="151"/>
      <c r="E179" s="151"/>
      <c r="F179" s="151"/>
      <c r="G179" s="151"/>
      <c r="H179" s="151"/>
      <c r="I179" s="151"/>
      <c r="J179" s="151"/>
      <c r="K179" s="151"/>
      <c r="L179" s="151"/>
      <c r="M179" s="151"/>
      <c r="N179" s="151"/>
      <c r="O179" s="151"/>
      <c r="P179" s="151"/>
      <c r="Q179" s="151"/>
      <c r="R179" s="151"/>
      <c r="S179" s="151"/>
      <c r="T179" s="151"/>
      <c r="U179" s="151"/>
      <c r="V179" s="151"/>
      <c r="W179" s="151"/>
      <c r="X179" s="151"/>
      <c r="Y179" s="247"/>
      <c r="Z179" s="247"/>
      <c r="AA179" s="247"/>
      <c r="AB179" s="247"/>
      <c r="AC179" s="153"/>
      <c r="AD179" s="149"/>
      <c r="AE179" s="149"/>
      <c r="AF179" s="149"/>
      <c r="AG179" s="149"/>
      <c r="AH179" s="149"/>
      <c r="AI179" s="149"/>
      <c r="AJ179" s="149"/>
      <c r="AK179" s="149"/>
      <c r="AL179" s="149"/>
      <c r="AM179" s="149"/>
      <c r="AN179" s="149"/>
      <c r="AO179" s="149"/>
    </row>
    <row r="180" spans="2:41" ht="15">
      <c r="B180" s="152" t="s">
        <v>404</v>
      </c>
      <c r="C180" s="151"/>
      <c r="D180" s="151"/>
      <c r="E180" s="151"/>
      <c r="F180" s="151"/>
      <c r="G180" s="151"/>
      <c r="H180" s="151"/>
      <c r="I180" s="151"/>
      <c r="J180" s="151"/>
      <c r="K180" s="151"/>
      <c r="L180" s="151"/>
      <c r="M180" s="151"/>
      <c r="N180" s="151"/>
      <c r="O180" s="151"/>
      <c r="P180" s="151"/>
      <c r="Q180" s="151"/>
      <c r="R180" s="151"/>
      <c r="S180" s="151"/>
      <c r="T180" s="151"/>
      <c r="U180" s="151"/>
      <c r="V180" s="151"/>
      <c r="W180" s="151"/>
      <c r="X180" s="151"/>
      <c r="Y180" s="247"/>
      <c r="Z180" s="247"/>
      <c r="AA180" s="247"/>
      <c r="AB180" s="247"/>
      <c r="AC180" s="153"/>
      <c r="AD180" s="149"/>
      <c r="AE180" s="149"/>
      <c r="AF180" s="149"/>
      <c r="AG180" s="149"/>
      <c r="AH180" s="149"/>
      <c r="AI180" s="149"/>
      <c r="AJ180" s="149"/>
      <c r="AK180" s="149"/>
      <c r="AL180" s="149"/>
      <c r="AM180" s="149"/>
      <c r="AN180" s="149"/>
      <c r="AO180" s="149"/>
    </row>
    <row r="181" spans="2:41" ht="15">
      <c r="B181" s="152" t="s">
        <v>404</v>
      </c>
      <c r="C181" s="151"/>
      <c r="D181" s="151"/>
      <c r="E181" s="151"/>
      <c r="F181" s="151"/>
      <c r="G181" s="151"/>
      <c r="H181" s="151"/>
      <c r="I181" s="151"/>
      <c r="J181" s="151"/>
      <c r="K181" s="151"/>
      <c r="L181" s="151"/>
      <c r="M181" s="151"/>
      <c r="N181" s="151"/>
      <c r="O181" s="151"/>
      <c r="P181" s="151"/>
      <c r="Q181" s="151"/>
      <c r="R181" s="151"/>
      <c r="S181" s="151"/>
      <c r="T181" s="151"/>
      <c r="U181" s="151"/>
      <c r="V181" s="151"/>
      <c r="W181" s="151"/>
      <c r="X181" s="151"/>
      <c r="Y181" s="247"/>
      <c r="Z181" s="247"/>
      <c r="AA181" s="247"/>
      <c r="AB181" s="247"/>
      <c r="AC181" s="153"/>
      <c r="AD181" s="149"/>
      <c r="AE181" s="149"/>
      <c r="AF181" s="149"/>
      <c r="AG181" s="149"/>
      <c r="AH181" s="149"/>
      <c r="AI181" s="149"/>
      <c r="AJ181" s="149"/>
      <c r="AK181" s="149"/>
      <c r="AL181" s="149"/>
      <c r="AM181" s="149"/>
      <c r="AN181" s="149"/>
      <c r="AO181" s="149"/>
    </row>
    <row r="182" spans="2:41" ht="15">
      <c r="B182" s="152" t="s">
        <v>404</v>
      </c>
      <c r="C182" s="151"/>
      <c r="D182" s="151"/>
      <c r="E182" s="151"/>
      <c r="F182" s="151"/>
      <c r="G182" s="151"/>
      <c r="H182" s="151"/>
      <c r="I182" s="151"/>
      <c r="J182" s="151"/>
      <c r="K182" s="151"/>
      <c r="L182" s="151"/>
      <c r="M182" s="151"/>
      <c r="N182" s="151"/>
      <c r="O182" s="151"/>
      <c r="P182" s="151"/>
      <c r="Q182" s="151"/>
      <c r="R182" s="151"/>
      <c r="S182" s="151"/>
      <c r="T182" s="151"/>
      <c r="U182" s="151"/>
      <c r="V182" s="151"/>
      <c r="W182" s="151"/>
      <c r="X182" s="151"/>
      <c r="Y182" s="247"/>
      <c r="Z182" s="247"/>
      <c r="AA182" s="247"/>
      <c r="AB182" s="247"/>
      <c r="AC182" s="153"/>
      <c r="AD182" s="149"/>
      <c r="AE182" s="149"/>
      <c r="AF182" s="149"/>
      <c r="AG182" s="149"/>
      <c r="AH182" s="149"/>
      <c r="AI182" s="149"/>
      <c r="AJ182" s="149"/>
      <c r="AK182" s="149"/>
      <c r="AL182" s="149"/>
      <c r="AM182" s="149"/>
      <c r="AN182" s="149"/>
      <c r="AO182" s="149"/>
    </row>
    <row r="183" spans="2:41" ht="15">
      <c r="B183" s="152" t="s">
        <v>404</v>
      </c>
      <c r="C183" s="151"/>
      <c r="D183" s="151"/>
      <c r="E183" s="151"/>
      <c r="F183" s="151"/>
      <c r="G183" s="151"/>
      <c r="H183" s="151"/>
      <c r="I183" s="151"/>
      <c r="J183" s="151"/>
      <c r="K183" s="151"/>
      <c r="L183" s="151"/>
      <c r="M183" s="151"/>
      <c r="N183" s="151"/>
      <c r="O183" s="151"/>
      <c r="P183" s="151"/>
      <c r="Q183" s="151"/>
      <c r="R183" s="151"/>
      <c r="S183" s="151"/>
      <c r="T183" s="151"/>
      <c r="U183" s="151"/>
      <c r="V183" s="151"/>
      <c r="W183" s="151"/>
      <c r="X183" s="151"/>
      <c r="Y183" s="247"/>
      <c r="Z183" s="247"/>
      <c r="AA183" s="247"/>
      <c r="AB183" s="247"/>
      <c r="AC183" s="153"/>
      <c r="AD183" s="149"/>
      <c r="AE183" s="149"/>
      <c r="AF183" s="149"/>
      <c r="AG183" s="149"/>
      <c r="AH183" s="149"/>
      <c r="AI183" s="149"/>
      <c r="AJ183" s="149"/>
      <c r="AK183" s="149"/>
      <c r="AL183" s="149"/>
      <c r="AM183" s="149"/>
      <c r="AN183" s="149"/>
      <c r="AO183" s="149"/>
    </row>
    <row r="184" spans="2:41" ht="15">
      <c r="B184" s="152" t="s">
        <v>404</v>
      </c>
      <c r="C184" s="151"/>
      <c r="D184" s="151"/>
      <c r="E184" s="151"/>
      <c r="F184" s="151"/>
      <c r="G184" s="151"/>
      <c r="H184" s="151"/>
      <c r="I184" s="151"/>
      <c r="J184" s="151"/>
      <c r="K184" s="151"/>
      <c r="L184" s="151"/>
      <c r="M184" s="151"/>
      <c r="N184" s="151"/>
      <c r="O184" s="151"/>
      <c r="P184" s="151"/>
      <c r="Q184" s="151"/>
      <c r="R184" s="151"/>
      <c r="S184" s="151"/>
      <c r="T184" s="151"/>
      <c r="U184" s="151"/>
      <c r="V184" s="151"/>
      <c r="W184" s="151"/>
      <c r="X184" s="151"/>
      <c r="Y184" s="247"/>
      <c r="Z184" s="247"/>
      <c r="AA184" s="247"/>
      <c r="AB184" s="247"/>
      <c r="AC184" s="153"/>
      <c r="AD184" s="149"/>
      <c r="AE184" s="149"/>
      <c r="AF184" s="149"/>
      <c r="AG184" s="149"/>
      <c r="AH184" s="149"/>
      <c r="AI184" s="149"/>
      <c r="AJ184" s="149"/>
      <c r="AK184" s="149"/>
      <c r="AL184" s="149"/>
      <c r="AM184" s="149"/>
      <c r="AN184" s="149"/>
      <c r="AO184" s="149"/>
    </row>
    <row r="185" spans="2:41" ht="15">
      <c r="B185" s="152" t="s">
        <v>404</v>
      </c>
      <c r="C185" s="151"/>
      <c r="D185" s="151"/>
      <c r="E185" s="151"/>
      <c r="F185" s="151"/>
      <c r="G185" s="151"/>
      <c r="H185" s="151"/>
      <c r="I185" s="151"/>
      <c r="J185" s="151"/>
      <c r="K185" s="151"/>
      <c r="L185" s="151"/>
      <c r="M185" s="151"/>
      <c r="N185" s="151"/>
      <c r="O185" s="151"/>
      <c r="P185" s="151"/>
      <c r="Q185" s="151"/>
      <c r="R185" s="151"/>
      <c r="S185" s="151"/>
      <c r="T185" s="151"/>
      <c r="U185" s="151"/>
      <c r="V185" s="151"/>
      <c r="W185" s="151"/>
      <c r="X185" s="151"/>
      <c r="Y185" s="247"/>
      <c r="Z185" s="247"/>
      <c r="AA185" s="247"/>
      <c r="AB185" s="247"/>
      <c r="AC185" s="153"/>
      <c r="AD185" s="149"/>
      <c r="AE185" s="149"/>
      <c r="AF185" s="149"/>
      <c r="AG185" s="149"/>
      <c r="AH185" s="149"/>
      <c r="AI185" s="149"/>
      <c r="AJ185" s="149"/>
      <c r="AK185" s="149"/>
      <c r="AL185" s="149"/>
      <c r="AM185" s="149"/>
      <c r="AN185" s="149"/>
      <c r="AO185" s="149"/>
    </row>
    <row r="186" spans="2:41" ht="15">
      <c r="B186" s="152" t="s">
        <v>404</v>
      </c>
      <c r="C186" s="151"/>
      <c r="D186" s="151"/>
      <c r="E186" s="151"/>
      <c r="F186" s="151"/>
      <c r="G186" s="151"/>
      <c r="H186" s="151"/>
      <c r="I186" s="151"/>
      <c r="J186" s="151"/>
      <c r="K186" s="151"/>
      <c r="L186" s="151"/>
      <c r="M186" s="151"/>
      <c r="N186" s="151"/>
      <c r="O186" s="151"/>
      <c r="P186" s="151"/>
      <c r="Q186" s="151"/>
      <c r="R186" s="151"/>
      <c r="S186" s="151"/>
      <c r="T186" s="151"/>
      <c r="U186" s="151"/>
      <c r="V186" s="151"/>
      <c r="W186" s="151"/>
      <c r="X186" s="151"/>
      <c r="Y186" s="247"/>
      <c r="Z186" s="247"/>
      <c r="AA186" s="247"/>
      <c r="AB186" s="247"/>
      <c r="AC186" s="153"/>
      <c r="AD186" s="149"/>
      <c r="AE186" s="149"/>
      <c r="AF186" s="149"/>
      <c r="AG186" s="149"/>
      <c r="AH186" s="149"/>
      <c r="AI186" s="149"/>
      <c r="AJ186" s="149"/>
      <c r="AK186" s="149"/>
      <c r="AL186" s="149"/>
      <c r="AM186" s="149"/>
      <c r="AN186" s="149"/>
      <c r="AO186" s="149"/>
    </row>
    <row r="187" spans="2:41" ht="15">
      <c r="B187" s="152" t="s">
        <v>404</v>
      </c>
      <c r="C187" s="151"/>
      <c r="D187" s="151"/>
      <c r="E187" s="151"/>
      <c r="F187" s="151"/>
      <c r="G187" s="151"/>
      <c r="H187" s="151"/>
      <c r="I187" s="151"/>
      <c r="J187" s="151"/>
      <c r="K187" s="151"/>
      <c r="L187" s="151"/>
      <c r="M187" s="151"/>
      <c r="N187" s="151"/>
      <c r="O187" s="151"/>
      <c r="P187" s="151"/>
      <c r="Q187" s="151"/>
      <c r="R187" s="151"/>
      <c r="S187" s="151"/>
      <c r="T187" s="151"/>
      <c r="U187" s="151"/>
      <c r="V187" s="151"/>
      <c r="W187" s="151"/>
      <c r="X187" s="151"/>
      <c r="Y187" s="247"/>
      <c r="Z187" s="247"/>
      <c r="AA187" s="247"/>
      <c r="AB187" s="247"/>
      <c r="AC187" s="153"/>
      <c r="AD187" s="149"/>
      <c r="AE187" s="149"/>
      <c r="AF187" s="149"/>
      <c r="AG187" s="149"/>
      <c r="AH187" s="149"/>
      <c r="AI187" s="149"/>
      <c r="AJ187" s="149"/>
      <c r="AK187" s="149"/>
      <c r="AL187" s="149"/>
      <c r="AM187" s="149"/>
      <c r="AN187" s="149"/>
      <c r="AO187" s="149"/>
    </row>
    <row r="188" spans="2:41" ht="15">
      <c r="B188" s="152" t="s">
        <v>404</v>
      </c>
      <c r="C188" s="151"/>
      <c r="D188" s="151"/>
      <c r="E188" s="151"/>
      <c r="F188" s="151"/>
      <c r="G188" s="151"/>
      <c r="H188" s="151"/>
      <c r="I188" s="151"/>
      <c r="J188" s="151"/>
      <c r="K188" s="151"/>
      <c r="L188" s="151"/>
      <c r="M188" s="151"/>
      <c r="N188" s="151"/>
      <c r="O188" s="151"/>
      <c r="P188" s="151"/>
      <c r="Q188" s="151"/>
      <c r="R188" s="151"/>
      <c r="S188" s="151"/>
      <c r="T188" s="151"/>
      <c r="U188" s="151"/>
      <c r="V188" s="151"/>
      <c r="W188" s="151"/>
      <c r="X188" s="151"/>
      <c r="Y188" s="247"/>
      <c r="Z188" s="247"/>
      <c r="AA188" s="247"/>
      <c r="AB188" s="247"/>
      <c r="AC188" s="153"/>
      <c r="AD188" s="149"/>
      <c r="AE188" s="149"/>
      <c r="AF188" s="149"/>
      <c r="AG188" s="149"/>
      <c r="AH188" s="149"/>
      <c r="AI188" s="149"/>
      <c r="AJ188" s="149"/>
      <c r="AK188" s="149"/>
      <c r="AL188" s="149"/>
      <c r="AM188" s="149"/>
      <c r="AN188" s="149"/>
      <c r="AO188" s="149"/>
    </row>
    <row r="189" spans="2:41" ht="15">
      <c r="B189" s="152" t="s">
        <v>404</v>
      </c>
      <c r="C189" s="151"/>
      <c r="D189" s="151"/>
      <c r="E189" s="151"/>
      <c r="F189" s="151"/>
      <c r="G189" s="151"/>
      <c r="H189" s="151"/>
      <c r="I189" s="151"/>
      <c r="J189" s="151"/>
      <c r="K189" s="151"/>
      <c r="L189" s="151"/>
      <c r="M189" s="151"/>
      <c r="N189" s="151"/>
      <c r="O189" s="151"/>
      <c r="P189" s="151"/>
      <c r="Q189" s="151"/>
      <c r="R189" s="151"/>
      <c r="S189" s="151"/>
      <c r="T189" s="151"/>
      <c r="U189" s="151"/>
      <c r="V189" s="151"/>
      <c r="W189" s="151"/>
      <c r="X189" s="151"/>
      <c r="Y189" s="247"/>
      <c r="Z189" s="247"/>
      <c r="AA189" s="247"/>
      <c r="AB189" s="247"/>
      <c r="AC189" s="153"/>
      <c r="AD189" s="149"/>
      <c r="AE189" s="149"/>
      <c r="AF189" s="149"/>
      <c r="AG189" s="149"/>
      <c r="AH189" s="149"/>
      <c r="AI189" s="149"/>
      <c r="AJ189" s="149"/>
      <c r="AK189" s="149"/>
      <c r="AL189" s="149"/>
      <c r="AM189" s="149"/>
      <c r="AN189" s="149"/>
      <c r="AO189" s="149"/>
    </row>
    <row r="190" spans="2:41" ht="15">
      <c r="B190" s="152" t="s">
        <v>404</v>
      </c>
      <c r="C190" s="151"/>
      <c r="D190" s="151"/>
      <c r="E190" s="151"/>
      <c r="F190" s="151"/>
      <c r="G190" s="151"/>
      <c r="H190" s="151"/>
      <c r="I190" s="151"/>
      <c r="J190" s="151"/>
      <c r="K190" s="151"/>
      <c r="L190" s="151"/>
      <c r="M190" s="151"/>
      <c r="N190" s="151"/>
      <c r="O190" s="151"/>
      <c r="P190" s="151"/>
      <c r="Q190" s="151"/>
      <c r="R190" s="151"/>
      <c r="S190" s="151"/>
      <c r="T190" s="151"/>
      <c r="U190" s="151"/>
      <c r="V190" s="151"/>
      <c r="W190" s="151"/>
      <c r="X190" s="151"/>
      <c r="Y190" s="247"/>
      <c r="Z190" s="247"/>
      <c r="AA190" s="247"/>
      <c r="AB190" s="247"/>
      <c r="AC190" s="153"/>
      <c r="AD190" s="149"/>
      <c r="AE190" s="149"/>
      <c r="AF190" s="149"/>
      <c r="AG190" s="149"/>
      <c r="AH190" s="149"/>
      <c r="AI190" s="149"/>
      <c r="AJ190" s="149"/>
      <c r="AK190" s="149"/>
      <c r="AL190" s="149"/>
      <c r="AM190" s="149"/>
      <c r="AN190" s="149"/>
      <c r="AO190" s="149"/>
    </row>
    <row r="191" spans="2:41" ht="15">
      <c r="B191" s="152" t="s">
        <v>404</v>
      </c>
      <c r="C191" s="151"/>
      <c r="D191" s="151"/>
      <c r="E191" s="151"/>
      <c r="F191" s="151"/>
      <c r="G191" s="151"/>
      <c r="H191" s="151"/>
      <c r="I191" s="151"/>
      <c r="J191" s="151"/>
      <c r="K191" s="151"/>
      <c r="L191" s="151"/>
      <c r="M191" s="151"/>
      <c r="N191" s="151"/>
      <c r="O191" s="151"/>
      <c r="P191" s="151"/>
      <c r="Q191" s="151"/>
      <c r="R191" s="151"/>
      <c r="S191" s="151"/>
      <c r="T191" s="151"/>
      <c r="U191" s="151"/>
      <c r="V191" s="151"/>
      <c r="W191" s="151"/>
      <c r="X191" s="151"/>
      <c r="Y191" s="247"/>
      <c r="Z191" s="247"/>
      <c r="AA191" s="247"/>
      <c r="AB191" s="247"/>
      <c r="AC191" s="153"/>
      <c r="AD191" s="149"/>
      <c r="AE191" s="149"/>
      <c r="AF191" s="149"/>
      <c r="AG191" s="149"/>
      <c r="AH191" s="149"/>
      <c r="AI191" s="149"/>
      <c r="AJ191" s="149"/>
      <c r="AK191" s="149"/>
      <c r="AL191" s="149"/>
      <c r="AM191" s="149"/>
      <c r="AN191" s="149"/>
      <c r="AO191" s="149"/>
    </row>
    <row r="192" spans="2:41" ht="15">
      <c r="B192" s="152" t="s">
        <v>404</v>
      </c>
      <c r="C192" s="151"/>
      <c r="D192" s="151"/>
      <c r="E192" s="151"/>
      <c r="F192" s="151"/>
      <c r="G192" s="151"/>
      <c r="H192" s="151"/>
      <c r="I192" s="151"/>
      <c r="J192" s="151"/>
      <c r="K192" s="151"/>
      <c r="L192" s="151"/>
      <c r="M192" s="151"/>
      <c r="N192" s="151"/>
      <c r="O192" s="151"/>
      <c r="P192" s="151"/>
      <c r="Q192" s="151"/>
      <c r="R192" s="151"/>
      <c r="S192" s="151"/>
      <c r="T192" s="151"/>
      <c r="U192" s="151"/>
      <c r="V192" s="151"/>
      <c r="W192" s="151"/>
      <c r="X192" s="151"/>
      <c r="Y192" s="247"/>
      <c r="Z192" s="247"/>
      <c r="AA192" s="247"/>
      <c r="AB192" s="247"/>
      <c r="AC192" s="153"/>
      <c r="AD192" s="149"/>
      <c r="AE192" s="149"/>
      <c r="AF192" s="149"/>
      <c r="AG192" s="149"/>
      <c r="AH192" s="149"/>
      <c r="AI192" s="149"/>
      <c r="AJ192" s="149"/>
      <c r="AK192" s="149"/>
      <c r="AL192" s="149"/>
      <c r="AM192" s="149"/>
      <c r="AN192" s="149"/>
      <c r="AO192" s="149"/>
    </row>
    <row r="193" spans="2:41" ht="15">
      <c r="B193" s="152" t="s">
        <v>404</v>
      </c>
      <c r="C193" s="151"/>
      <c r="D193" s="151"/>
      <c r="E193" s="151"/>
      <c r="F193" s="151"/>
      <c r="G193" s="151"/>
      <c r="H193" s="151"/>
      <c r="I193" s="151"/>
      <c r="J193" s="151"/>
      <c r="K193" s="151"/>
      <c r="L193" s="151"/>
      <c r="M193" s="151"/>
      <c r="N193" s="151"/>
      <c r="O193" s="151"/>
      <c r="P193" s="151"/>
      <c r="Q193" s="151"/>
      <c r="R193" s="151"/>
      <c r="S193" s="151"/>
      <c r="T193" s="151"/>
      <c r="U193" s="151"/>
      <c r="V193" s="151"/>
      <c r="W193" s="151"/>
      <c r="X193" s="151"/>
      <c r="Y193" s="247"/>
      <c r="Z193" s="247"/>
      <c r="AA193" s="247"/>
      <c r="AB193" s="247"/>
      <c r="AC193" s="153"/>
      <c r="AD193" s="149"/>
      <c r="AE193" s="149"/>
      <c r="AF193" s="149"/>
      <c r="AG193" s="149"/>
      <c r="AH193" s="149"/>
      <c r="AI193" s="149"/>
      <c r="AJ193" s="149"/>
      <c r="AK193" s="149"/>
      <c r="AL193" s="149"/>
      <c r="AM193" s="149"/>
      <c r="AN193" s="149"/>
      <c r="AO193" s="149"/>
    </row>
    <row r="194" spans="2:41" ht="15">
      <c r="B194" s="152" t="s">
        <v>404</v>
      </c>
      <c r="C194" s="151"/>
      <c r="D194" s="151"/>
      <c r="E194" s="151"/>
      <c r="F194" s="151"/>
      <c r="G194" s="151"/>
      <c r="H194" s="151"/>
      <c r="I194" s="151"/>
      <c r="J194" s="151"/>
      <c r="K194" s="151"/>
      <c r="L194" s="151"/>
      <c r="M194" s="151"/>
      <c r="N194" s="151"/>
      <c r="O194" s="151"/>
      <c r="P194" s="151"/>
      <c r="Q194" s="151"/>
      <c r="R194" s="151"/>
      <c r="S194" s="151"/>
      <c r="T194" s="151"/>
      <c r="U194" s="151"/>
      <c r="V194" s="151"/>
      <c r="W194" s="151"/>
      <c r="X194" s="151"/>
      <c r="Y194" s="247"/>
      <c r="Z194" s="247"/>
      <c r="AA194" s="247"/>
      <c r="AB194" s="247"/>
      <c r="AC194" s="153"/>
      <c r="AD194" s="149"/>
      <c r="AE194" s="149"/>
      <c r="AF194" s="149"/>
      <c r="AG194" s="149"/>
      <c r="AH194" s="149"/>
      <c r="AI194" s="149"/>
      <c r="AJ194" s="149"/>
      <c r="AK194" s="149"/>
      <c r="AL194" s="149"/>
      <c r="AM194" s="149"/>
      <c r="AN194" s="149"/>
      <c r="AO194" s="149"/>
    </row>
    <row r="195" spans="2:41" ht="15">
      <c r="B195" s="152" t="s">
        <v>404</v>
      </c>
      <c r="C195" s="151"/>
      <c r="D195" s="151"/>
      <c r="E195" s="151"/>
      <c r="F195" s="151"/>
      <c r="G195" s="151"/>
      <c r="H195" s="151"/>
      <c r="I195" s="151"/>
      <c r="J195" s="151"/>
      <c r="K195" s="151"/>
      <c r="L195" s="151"/>
      <c r="M195" s="151"/>
      <c r="N195" s="151"/>
      <c r="O195" s="151"/>
      <c r="P195" s="151"/>
      <c r="Q195" s="151"/>
      <c r="R195" s="151"/>
      <c r="S195" s="151"/>
      <c r="T195" s="151"/>
      <c r="U195" s="151"/>
      <c r="V195" s="151"/>
      <c r="W195" s="151"/>
      <c r="X195" s="151"/>
      <c r="Y195" s="247"/>
      <c r="Z195" s="247"/>
      <c r="AA195" s="247"/>
      <c r="AB195" s="247"/>
      <c r="AC195" s="153"/>
      <c r="AD195" s="149"/>
      <c r="AE195" s="149"/>
      <c r="AF195" s="149"/>
      <c r="AG195" s="149"/>
      <c r="AH195" s="149"/>
      <c r="AI195" s="149"/>
      <c r="AJ195" s="149"/>
      <c r="AK195" s="149"/>
      <c r="AL195" s="149"/>
      <c r="AM195" s="149"/>
      <c r="AN195" s="149"/>
      <c r="AO195" s="149"/>
    </row>
    <row r="196" spans="2:41" ht="15">
      <c r="B196" s="152" t="s">
        <v>404</v>
      </c>
      <c r="C196" s="151"/>
      <c r="D196" s="151"/>
      <c r="E196" s="151"/>
      <c r="F196" s="151"/>
      <c r="G196" s="151"/>
      <c r="H196" s="151"/>
      <c r="I196" s="151"/>
      <c r="J196" s="151"/>
      <c r="K196" s="151"/>
      <c r="L196" s="151"/>
      <c r="M196" s="151"/>
      <c r="N196" s="151"/>
      <c r="O196" s="151"/>
      <c r="P196" s="151"/>
      <c r="Q196" s="151"/>
      <c r="R196" s="151"/>
      <c r="S196" s="151"/>
      <c r="T196" s="151"/>
      <c r="U196" s="151"/>
      <c r="V196" s="151"/>
      <c r="W196" s="151"/>
      <c r="X196" s="151"/>
      <c r="Y196" s="247"/>
      <c r="Z196" s="247"/>
      <c r="AA196" s="247"/>
      <c r="AB196" s="247"/>
      <c r="AC196" s="153"/>
      <c r="AD196" s="149"/>
      <c r="AE196" s="149"/>
      <c r="AF196" s="149"/>
      <c r="AG196" s="149"/>
      <c r="AH196" s="149"/>
      <c r="AI196" s="149"/>
      <c r="AJ196" s="149"/>
      <c r="AK196" s="149"/>
      <c r="AL196" s="149"/>
      <c r="AM196" s="149"/>
      <c r="AN196" s="149"/>
      <c r="AO196" s="149"/>
    </row>
    <row r="197" spans="2:41" ht="15">
      <c r="B197" s="152" t="s">
        <v>404</v>
      </c>
      <c r="C197" s="151"/>
      <c r="D197" s="151"/>
      <c r="E197" s="151"/>
      <c r="F197" s="151"/>
      <c r="G197" s="151"/>
      <c r="H197" s="151"/>
      <c r="I197" s="151"/>
      <c r="J197" s="151"/>
      <c r="K197" s="151"/>
      <c r="L197" s="151"/>
      <c r="M197" s="151"/>
      <c r="N197" s="151"/>
      <c r="O197" s="151"/>
      <c r="P197" s="151"/>
      <c r="Q197" s="151"/>
      <c r="R197" s="151"/>
      <c r="S197" s="151"/>
      <c r="T197" s="151"/>
      <c r="U197" s="151"/>
      <c r="V197" s="151"/>
      <c r="W197" s="151"/>
      <c r="X197" s="151"/>
      <c r="Y197" s="247"/>
      <c r="Z197" s="247"/>
      <c r="AA197" s="247"/>
      <c r="AB197" s="247"/>
      <c r="AC197" s="153"/>
      <c r="AD197" s="149"/>
      <c r="AE197" s="149"/>
      <c r="AF197" s="149"/>
      <c r="AG197" s="149"/>
      <c r="AH197" s="149"/>
      <c r="AI197" s="149"/>
      <c r="AJ197" s="149"/>
      <c r="AK197" s="149"/>
      <c r="AL197" s="149"/>
      <c r="AM197" s="149"/>
      <c r="AN197" s="149"/>
      <c r="AO197" s="149"/>
    </row>
    <row r="198" spans="2:41" ht="15">
      <c r="B198" s="152" t="s">
        <v>404</v>
      </c>
      <c r="C198" s="151"/>
      <c r="D198" s="151"/>
      <c r="E198" s="151"/>
      <c r="F198" s="151"/>
      <c r="G198" s="151"/>
      <c r="H198" s="151"/>
      <c r="I198" s="151"/>
      <c r="J198" s="151"/>
      <c r="K198" s="151"/>
      <c r="L198" s="151"/>
      <c r="M198" s="151"/>
      <c r="N198" s="151"/>
      <c r="O198" s="151"/>
      <c r="P198" s="151"/>
      <c r="Q198" s="151"/>
      <c r="R198" s="151"/>
      <c r="S198" s="151"/>
      <c r="T198" s="151"/>
      <c r="U198" s="151"/>
      <c r="V198" s="151"/>
      <c r="W198" s="151"/>
      <c r="X198" s="151"/>
      <c r="Y198" s="247"/>
      <c r="Z198" s="247"/>
      <c r="AA198" s="247"/>
      <c r="AB198" s="247"/>
      <c r="AC198" s="153"/>
      <c r="AD198" s="149"/>
      <c r="AE198" s="149"/>
      <c r="AF198" s="149"/>
      <c r="AG198" s="149"/>
      <c r="AH198" s="149"/>
      <c r="AI198" s="149"/>
      <c r="AJ198" s="149"/>
      <c r="AK198" s="149"/>
      <c r="AL198" s="149"/>
      <c r="AM198" s="149"/>
      <c r="AN198" s="149"/>
      <c r="AO198" s="149"/>
    </row>
    <row r="199" spans="2:41" ht="15">
      <c r="B199" s="152" t="s">
        <v>404</v>
      </c>
      <c r="C199" s="151"/>
      <c r="D199" s="151"/>
      <c r="E199" s="151"/>
      <c r="F199" s="151"/>
      <c r="G199" s="151"/>
      <c r="H199" s="151"/>
      <c r="I199" s="151"/>
      <c r="J199" s="151"/>
      <c r="K199" s="151"/>
      <c r="L199" s="151"/>
      <c r="M199" s="151"/>
      <c r="N199" s="151"/>
      <c r="O199" s="151"/>
      <c r="P199" s="151"/>
      <c r="Q199" s="151"/>
      <c r="R199" s="151"/>
      <c r="S199" s="151"/>
      <c r="T199" s="151"/>
      <c r="U199" s="151"/>
      <c r="V199" s="151"/>
      <c r="W199" s="151"/>
      <c r="X199" s="151"/>
      <c r="Y199" s="247"/>
      <c r="Z199" s="247"/>
      <c r="AA199" s="247"/>
      <c r="AB199" s="247"/>
      <c r="AC199" s="153"/>
      <c r="AD199" s="149"/>
      <c r="AE199" s="149"/>
      <c r="AF199" s="149"/>
      <c r="AG199" s="149"/>
      <c r="AH199" s="149"/>
      <c r="AI199" s="149"/>
      <c r="AJ199" s="149"/>
      <c r="AK199" s="149"/>
      <c r="AL199" s="149"/>
      <c r="AM199" s="149"/>
      <c r="AN199" s="149"/>
      <c r="AO199" s="149"/>
    </row>
    <row r="200" spans="2:41" ht="15">
      <c r="B200" s="152" t="s">
        <v>404</v>
      </c>
      <c r="C200" s="151"/>
      <c r="D200" s="151"/>
      <c r="E200" s="151"/>
      <c r="F200" s="151"/>
      <c r="G200" s="151"/>
      <c r="H200" s="151"/>
      <c r="I200" s="151"/>
      <c r="J200" s="151"/>
      <c r="K200" s="151"/>
      <c r="L200" s="151"/>
      <c r="M200" s="151"/>
      <c r="N200" s="151"/>
      <c r="O200" s="151"/>
      <c r="P200" s="151"/>
      <c r="Q200" s="151"/>
      <c r="R200" s="151"/>
      <c r="S200" s="151"/>
      <c r="T200" s="151"/>
      <c r="U200" s="151"/>
      <c r="V200" s="151"/>
      <c r="W200" s="151"/>
      <c r="X200" s="151"/>
      <c r="Y200" s="247"/>
      <c r="Z200" s="247"/>
      <c r="AA200" s="247"/>
      <c r="AB200" s="247"/>
      <c r="AC200" s="153"/>
      <c r="AD200" s="149"/>
      <c r="AE200" s="149"/>
      <c r="AF200" s="149"/>
      <c r="AG200" s="149"/>
      <c r="AH200" s="149"/>
      <c r="AI200" s="149"/>
      <c r="AJ200" s="149"/>
      <c r="AK200" s="149"/>
      <c r="AL200" s="149"/>
      <c r="AM200" s="149"/>
      <c r="AN200" s="149"/>
      <c r="AO200" s="149"/>
    </row>
    <row r="201" spans="2:41" ht="15">
      <c r="B201" s="152" t="s">
        <v>404</v>
      </c>
      <c r="C201" s="151"/>
      <c r="D201" s="151"/>
      <c r="E201" s="151"/>
      <c r="F201" s="151"/>
      <c r="G201" s="151"/>
      <c r="H201" s="151"/>
      <c r="I201" s="151"/>
      <c r="J201" s="151"/>
      <c r="K201" s="151"/>
      <c r="L201" s="151"/>
      <c r="M201" s="151"/>
      <c r="N201" s="151"/>
      <c r="O201" s="151"/>
      <c r="P201" s="151"/>
      <c r="Q201" s="151"/>
      <c r="R201" s="151"/>
      <c r="S201" s="151"/>
      <c r="T201" s="151"/>
      <c r="U201" s="151"/>
      <c r="V201" s="151"/>
      <c r="W201" s="151"/>
      <c r="X201" s="151"/>
      <c r="Y201" s="247"/>
      <c r="Z201" s="247"/>
      <c r="AA201" s="247"/>
      <c r="AB201" s="247"/>
      <c r="AC201" s="153"/>
      <c r="AD201" s="149"/>
      <c r="AE201" s="149"/>
      <c r="AF201" s="149"/>
      <c r="AG201" s="149"/>
      <c r="AH201" s="149"/>
      <c r="AI201" s="149"/>
      <c r="AJ201" s="149"/>
      <c r="AK201" s="149"/>
      <c r="AL201" s="149"/>
      <c r="AM201" s="149"/>
      <c r="AN201" s="149"/>
      <c r="AO201" s="149"/>
    </row>
    <row r="202" spans="2:41" ht="15">
      <c r="B202" s="152" t="s">
        <v>404</v>
      </c>
      <c r="C202" s="151"/>
      <c r="D202" s="151"/>
      <c r="E202" s="151"/>
      <c r="F202" s="151"/>
      <c r="G202" s="151"/>
      <c r="H202" s="151"/>
      <c r="I202" s="151"/>
      <c r="J202" s="151"/>
      <c r="K202" s="151"/>
      <c r="L202" s="151"/>
      <c r="M202" s="151"/>
      <c r="N202" s="151"/>
      <c r="O202" s="151"/>
      <c r="P202" s="151"/>
      <c r="Q202" s="151"/>
      <c r="R202" s="151"/>
      <c r="S202" s="151"/>
      <c r="T202" s="151"/>
      <c r="U202" s="151"/>
      <c r="V202" s="151"/>
      <c r="W202" s="151"/>
      <c r="X202" s="151"/>
      <c r="Y202" s="247"/>
      <c r="Z202" s="247"/>
      <c r="AA202" s="247"/>
      <c r="AB202" s="247"/>
      <c r="AC202" s="153"/>
      <c r="AD202" s="149"/>
      <c r="AE202" s="149"/>
      <c r="AF202" s="149"/>
      <c r="AG202" s="149"/>
      <c r="AH202" s="149"/>
      <c r="AI202" s="149"/>
      <c r="AJ202" s="149"/>
      <c r="AK202" s="149"/>
      <c r="AL202" s="149"/>
      <c r="AM202" s="149"/>
      <c r="AN202" s="149"/>
      <c r="AO202" s="149"/>
    </row>
    <row r="203" spans="2:41" ht="15">
      <c r="B203" s="152" t="s">
        <v>404</v>
      </c>
      <c r="C203" s="151"/>
      <c r="D203" s="151"/>
      <c r="E203" s="151"/>
      <c r="F203" s="151"/>
      <c r="G203" s="151"/>
      <c r="H203" s="151"/>
      <c r="I203" s="151"/>
      <c r="J203" s="151"/>
      <c r="K203" s="151"/>
      <c r="L203" s="151"/>
      <c r="M203" s="151"/>
      <c r="N203" s="151"/>
      <c r="O203" s="151"/>
      <c r="P203" s="151"/>
      <c r="Q203" s="151"/>
      <c r="R203" s="151"/>
      <c r="S203" s="151"/>
      <c r="T203" s="151"/>
      <c r="U203" s="151"/>
      <c r="V203" s="151"/>
      <c r="W203" s="151"/>
      <c r="X203" s="151"/>
      <c r="Y203" s="247"/>
      <c r="Z203" s="247"/>
      <c r="AA203" s="247"/>
      <c r="AB203" s="247"/>
      <c r="AC203" s="153"/>
      <c r="AD203" s="149"/>
      <c r="AE203" s="149"/>
      <c r="AF203" s="149"/>
      <c r="AG203" s="149"/>
      <c r="AH203" s="149"/>
      <c r="AI203" s="149"/>
      <c r="AJ203" s="149"/>
      <c r="AK203" s="149"/>
      <c r="AL203" s="149"/>
      <c r="AM203" s="149"/>
      <c r="AN203" s="149"/>
      <c r="AO203" s="149"/>
    </row>
    <row r="204" spans="2:41" ht="15">
      <c r="B204" s="152" t="s">
        <v>404</v>
      </c>
      <c r="C204" s="151"/>
      <c r="D204" s="151"/>
      <c r="E204" s="151"/>
      <c r="F204" s="151"/>
      <c r="G204" s="151"/>
      <c r="H204" s="151"/>
      <c r="I204" s="151"/>
      <c r="J204" s="151"/>
      <c r="K204" s="151"/>
      <c r="L204" s="151"/>
      <c r="M204" s="151"/>
      <c r="N204" s="151"/>
      <c r="O204" s="151"/>
      <c r="P204" s="151"/>
      <c r="Q204" s="151"/>
      <c r="R204" s="151"/>
      <c r="S204" s="151"/>
      <c r="T204" s="151"/>
      <c r="U204" s="151"/>
      <c r="V204" s="151"/>
      <c r="W204" s="151"/>
      <c r="X204" s="151"/>
      <c r="Y204" s="247"/>
      <c r="Z204" s="247"/>
      <c r="AA204" s="247"/>
      <c r="AB204" s="247"/>
      <c r="AC204" s="153"/>
      <c r="AD204" s="149"/>
      <c r="AE204" s="149"/>
      <c r="AF204" s="149"/>
      <c r="AG204" s="149"/>
      <c r="AH204" s="149"/>
      <c r="AI204" s="149"/>
      <c r="AJ204" s="149"/>
      <c r="AK204" s="149"/>
      <c r="AL204" s="149"/>
      <c r="AM204" s="149"/>
      <c r="AN204" s="149"/>
      <c r="AO204" s="149"/>
    </row>
    <row r="205" spans="2:41" ht="15">
      <c r="B205" s="152" t="s">
        <v>404</v>
      </c>
      <c r="C205" s="151"/>
      <c r="D205" s="151"/>
      <c r="E205" s="151"/>
      <c r="F205" s="151"/>
      <c r="G205" s="151"/>
      <c r="H205" s="151"/>
      <c r="I205" s="151"/>
      <c r="J205" s="151"/>
      <c r="K205" s="151"/>
      <c r="L205" s="151"/>
      <c r="M205" s="151"/>
      <c r="N205" s="151"/>
      <c r="O205" s="151"/>
      <c r="P205" s="151"/>
      <c r="Q205" s="151"/>
      <c r="R205" s="151"/>
      <c r="S205" s="151"/>
      <c r="T205" s="151"/>
      <c r="U205" s="151"/>
      <c r="V205" s="151"/>
      <c r="W205" s="151"/>
      <c r="X205" s="151"/>
      <c r="Y205" s="247"/>
      <c r="Z205" s="247"/>
      <c r="AA205" s="247"/>
      <c r="AB205" s="247"/>
      <c r="AC205" s="153"/>
      <c r="AD205" s="149"/>
      <c r="AE205" s="149"/>
      <c r="AF205" s="149"/>
      <c r="AG205" s="149"/>
      <c r="AH205" s="149"/>
      <c r="AI205" s="149"/>
      <c r="AJ205" s="149"/>
      <c r="AK205" s="149"/>
      <c r="AL205" s="149"/>
      <c r="AM205" s="149"/>
      <c r="AN205" s="149"/>
      <c r="AO205" s="149"/>
    </row>
    <row r="206" spans="2:41" ht="15">
      <c r="B206" s="152" t="s">
        <v>404</v>
      </c>
      <c r="C206" s="151"/>
      <c r="D206" s="151"/>
      <c r="E206" s="151"/>
      <c r="F206" s="151"/>
      <c r="G206" s="151"/>
      <c r="H206" s="151"/>
      <c r="I206" s="151"/>
      <c r="J206" s="151"/>
      <c r="K206" s="151"/>
      <c r="L206" s="151"/>
      <c r="M206" s="151"/>
      <c r="N206" s="151"/>
      <c r="O206" s="151"/>
      <c r="P206" s="151"/>
      <c r="Q206" s="151"/>
      <c r="R206" s="151"/>
      <c r="S206" s="151"/>
      <c r="T206" s="151"/>
      <c r="U206" s="151"/>
      <c r="V206" s="151"/>
      <c r="W206" s="151"/>
      <c r="X206" s="151"/>
      <c r="Y206" s="247"/>
      <c r="Z206" s="247"/>
      <c r="AA206" s="247"/>
      <c r="AB206" s="247"/>
      <c r="AC206" s="153"/>
      <c r="AD206" s="149"/>
      <c r="AE206" s="149"/>
      <c r="AF206" s="149"/>
      <c r="AG206" s="149"/>
      <c r="AH206" s="149"/>
      <c r="AI206" s="149"/>
      <c r="AJ206" s="149"/>
      <c r="AK206" s="149"/>
      <c r="AL206" s="149"/>
      <c r="AM206" s="149"/>
      <c r="AN206" s="149"/>
      <c r="AO206" s="149"/>
    </row>
    <row r="207" spans="2:41" ht="15">
      <c r="B207" s="152" t="s">
        <v>404</v>
      </c>
      <c r="C207" s="151"/>
      <c r="D207" s="151"/>
      <c r="E207" s="151"/>
      <c r="F207" s="151"/>
      <c r="G207" s="151"/>
      <c r="H207" s="151"/>
      <c r="I207" s="151"/>
      <c r="J207" s="151"/>
      <c r="K207" s="151"/>
      <c r="L207" s="151"/>
      <c r="M207" s="151"/>
      <c r="N207" s="151"/>
      <c r="O207" s="151"/>
      <c r="P207" s="151"/>
      <c r="Q207" s="151"/>
      <c r="R207" s="151"/>
      <c r="S207" s="151"/>
      <c r="T207" s="151"/>
      <c r="U207" s="151"/>
      <c r="V207" s="151"/>
      <c r="W207" s="151"/>
      <c r="X207" s="151"/>
      <c r="Y207" s="247"/>
      <c r="Z207" s="247"/>
      <c r="AA207" s="247"/>
      <c r="AB207" s="247"/>
      <c r="AC207" s="153"/>
      <c r="AD207" s="149"/>
      <c r="AE207" s="149"/>
      <c r="AF207" s="149"/>
      <c r="AG207" s="149"/>
      <c r="AH207" s="149"/>
      <c r="AI207" s="149"/>
      <c r="AJ207" s="149"/>
      <c r="AK207" s="149"/>
      <c r="AL207" s="149"/>
      <c r="AM207" s="149"/>
      <c r="AN207" s="149"/>
      <c r="AO207" s="149"/>
    </row>
    <row r="208" spans="2:41" ht="15">
      <c r="B208" s="152" t="s">
        <v>404</v>
      </c>
      <c r="C208" s="151"/>
      <c r="D208" s="151"/>
      <c r="E208" s="151"/>
      <c r="F208" s="151"/>
      <c r="G208" s="151"/>
      <c r="H208" s="151"/>
      <c r="I208" s="151"/>
      <c r="J208" s="151"/>
      <c r="K208" s="151"/>
      <c r="L208" s="151"/>
      <c r="M208" s="151"/>
      <c r="N208" s="151"/>
      <c r="O208" s="151"/>
      <c r="P208" s="151"/>
      <c r="Q208" s="151"/>
      <c r="R208" s="151"/>
      <c r="S208" s="151"/>
      <c r="T208" s="151"/>
      <c r="U208" s="151"/>
      <c r="V208" s="151"/>
      <c r="W208" s="151"/>
      <c r="X208" s="151"/>
      <c r="Y208" s="247"/>
      <c r="Z208" s="247"/>
      <c r="AA208" s="247"/>
      <c r="AB208" s="247"/>
      <c r="AC208" s="153"/>
      <c r="AD208" s="149"/>
      <c r="AE208" s="149"/>
      <c r="AF208" s="149"/>
      <c r="AG208" s="149"/>
      <c r="AH208" s="149"/>
      <c r="AI208" s="149"/>
      <c r="AJ208" s="149"/>
      <c r="AK208" s="149"/>
      <c r="AL208" s="149"/>
      <c r="AM208" s="149"/>
      <c r="AN208" s="149"/>
      <c r="AO208" s="149"/>
    </row>
    <row r="209" spans="2:41" ht="15">
      <c r="B209" s="152" t="s">
        <v>404</v>
      </c>
      <c r="C209" s="151"/>
      <c r="D209" s="151"/>
      <c r="E209" s="151"/>
      <c r="F209" s="151"/>
      <c r="G209" s="151"/>
      <c r="H209" s="151"/>
      <c r="I209" s="151"/>
      <c r="J209" s="151"/>
      <c r="K209" s="151"/>
      <c r="L209" s="151"/>
      <c r="M209" s="151"/>
      <c r="N209" s="151"/>
      <c r="O209" s="151"/>
      <c r="P209" s="151"/>
      <c r="Q209" s="151"/>
      <c r="R209" s="151"/>
      <c r="S209" s="151"/>
      <c r="T209" s="151"/>
      <c r="U209" s="151"/>
      <c r="V209" s="151"/>
      <c r="W209" s="151"/>
      <c r="X209" s="151"/>
      <c r="Y209" s="247"/>
      <c r="Z209" s="247"/>
      <c r="AA209" s="247"/>
      <c r="AB209" s="247"/>
      <c r="AC209" s="153"/>
      <c r="AD209" s="149"/>
      <c r="AE209" s="149"/>
      <c r="AF209" s="149"/>
      <c r="AG209" s="149"/>
      <c r="AH209" s="149"/>
      <c r="AI209" s="149"/>
      <c r="AJ209" s="149"/>
      <c r="AK209" s="149"/>
      <c r="AL209" s="149"/>
      <c r="AM209" s="149"/>
      <c r="AN209" s="149"/>
      <c r="AO209" s="149"/>
    </row>
    <row r="210" spans="2:41" ht="15">
      <c r="B210" s="152" t="s">
        <v>404</v>
      </c>
      <c r="C210" s="151"/>
      <c r="D210" s="151"/>
      <c r="E210" s="151"/>
      <c r="F210" s="151"/>
      <c r="G210" s="151"/>
      <c r="H210" s="151"/>
      <c r="I210" s="151"/>
      <c r="J210" s="151"/>
      <c r="K210" s="151"/>
      <c r="L210" s="151"/>
      <c r="M210" s="151"/>
      <c r="N210" s="151"/>
      <c r="O210" s="151"/>
      <c r="P210" s="151"/>
      <c r="Q210" s="151"/>
      <c r="R210" s="151"/>
      <c r="S210" s="151"/>
      <c r="T210" s="151"/>
      <c r="U210" s="151"/>
      <c r="V210" s="151"/>
      <c r="W210" s="151"/>
      <c r="X210" s="151"/>
      <c r="Y210" s="247"/>
      <c r="Z210" s="247"/>
      <c r="AA210" s="247"/>
      <c r="AB210" s="247"/>
      <c r="AC210" s="153"/>
      <c r="AD210" s="149"/>
      <c r="AE210" s="149"/>
      <c r="AF210" s="149"/>
      <c r="AG210" s="149"/>
      <c r="AH210" s="149"/>
      <c r="AI210" s="149"/>
      <c r="AJ210" s="149"/>
      <c r="AK210" s="149"/>
      <c r="AL210" s="149"/>
      <c r="AM210" s="149"/>
      <c r="AN210" s="149"/>
      <c r="AO210" s="149"/>
    </row>
    <row r="211" spans="2:41" ht="15">
      <c r="B211" s="152" t="s">
        <v>404</v>
      </c>
      <c r="C211" s="151"/>
      <c r="D211" s="151"/>
      <c r="E211" s="151"/>
      <c r="F211" s="151"/>
      <c r="G211" s="151"/>
      <c r="H211" s="151"/>
      <c r="I211" s="151"/>
      <c r="J211" s="151"/>
      <c r="K211" s="151"/>
      <c r="L211" s="151"/>
      <c r="M211" s="151"/>
      <c r="N211" s="151"/>
      <c r="O211" s="151"/>
      <c r="P211" s="151"/>
      <c r="Q211" s="151"/>
      <c r="R211" s="151"/>
      <c r="S211" s="151"/>
      <c r="T211" s="151"/>
      <c r="U211" s="151"/>
      <c r="V211" s="151"/>
      <c r="W211" s="151"/>
      <c r="X211" s="151"/>
      <c r="Y211" s="247"/>
      <c r="Z211" s="247"/>
      <c r="AA211" s="247"/>
      <c r="AB211" s="247"/>
      <c r="AC211" s="153"/>
      <c r="AD211" s="149"/>
      <c r="AE211" s="149"/>
      <c r="AF211" s="149"/>
      <c r="AG211" s="149"/>
      <c r="AH211" s="149"/>
      <c r="AI211" s="149"/>
      <c r="AJ211" s="149"/>
      <c r="AK211" s="149"/>
      <c r="AL211" s="149"/>
      <c r="AM211" s="149"/>
      <c r="AN211" s="149"/>
      <c r="AO211" s="149"/>
    </row>
    <row r="212" spans="2:41" ht="15">
      <c r="B212" s="152" t="s">
        <v>404</v>
      </c>
      <c r="C212" s="151"/>
      <c r="D212" s="151"/>
      <c r="E212" s="151"/>
      <c r="F212" s="151"/>
      <c r="G212" s="151"/>
      <c r="H212" s="151"/>
      <c r="I212" s="151"/>
      <c r="J212" s="151"/>
      <c r="K212" s="151"/>
      <c r="L212" s="151"/>
      <c r="M212" s="151"/>
      <c r="N212" s="151"/>
      <c r="O212" s="151"/>
      <c r="P212" s="151"/>
      <c r="Q212" s="151"/>
      <c r="R212" s="151"/>
      <c r="S212" s="151"/>
      <c r="T212" s="151"/>
      <c r="U212" s="151"/>
      <c r="V212" s="151"/>
      <c r="W212" s="151"/>
      <c r="X212" s="151"/>
      <c r="Y212" s="247"/>
      <c r="Z212" s="247"/>
      <c r="AA212" s="247"/>
      <c r="AB212" s="247"/>
      <c r="AC212" s="153"/>
      <c r="AD212" s="149"/>
      <c r="AE212" s="149"/>
      <c r="AF212" s="149"/>
      <c r="AG212" s="149"/>
      <c r="AH212" s="149"/>
      <c r="AI212" s="149"/>
      <c r="AJ212" s="149"/>
      <c r="AK212" s="149"/>
      <c r="AL212" s="149"/>
      <c r="AM212" s="149"/>
      <c r="AN212" s="149"/>
      <c r="AO212" s="149"/>
    </row>
    <row r="213" spans="2:41" ht="15">
      <c r="B213" s="152" t="s">
        <v>404</v>
      </c>
      <c r="C213" s="151"/>
      <c r="D213" s="151"/>
      <c r="E213" s="151"/>
      <c r="F213" s="151"/>
      <c r="G213" s="151"/>
      <c r="H213" s="151"/>
      <c r="I213" s="151"/>
      <c r="J213" s="151"/>
      <c r="K213" s="151"/>
      <c r="L213" s="151"/>
      <c r="M213" s="151"/>
      <c r="N213" s="151"/>
      <c r="O213" s="151"/>
      <c r="P213" s="151"/>
      <c r="Q213" s="151"/>
      <c r="R213" s="151"/>
      <c r="S213" s="151"/>
      <c r="T213" s="151"/>
      <c r="U213" s="151"/>
      <c r="V213" s="151"/>
      <c r="W213" s="151"/>
      <c r="X213" s="151"/>
      <c r="Y213" s="247"/>
      <c r="Z213" s="247"/>
      <c r="AA213" s="247"/>
      <c r="AB213" s="247"/>
      <c r="AC213" s="153"/>
      <c r="AD213" s="149"/>
      <c r="AE213" s="149"/>
      <c r="AF213" s="149"/>
      <c r="AG213" s="149"/>
      <c r="AH213" s="149"/>
      <c r="AI213" s="149"/>
      <c r="AJ213" s="149"/>
      <c r="AK213" s="149"/>
      <c r="AL213" s="149"/>
      <c r="AM213" s="149"/>
      <c r="AN213" s="149"/>
      <c r="AO213" s="149"/>
    </row>
    <row r="214" spans="2:41" ht="15">
      <c r="B214" s="152" t="s">
        <v>404</v>
      </c>
      <c r="C214" s="151"/>
      <c r="D214" s="151"/>
      <c r="E214" s="151"/>
      <c r="F214" s="151"/>
      <c r="G214" s="151"/>
      <c r="H214" s="151"/>
      <c r="I214" s="151"/>
      <c r="J214" s="151"/>
      <c r="K214" s="151"/>
      <c r="L214" s="151"/>
      <c r="M214" s="151"/>
      <c r="N214" s="151"/>
      <c r="O214" s="151"/>
      <c r="P214" s="151"/>
      <c r="Q214" s="151"/>
      <c r="R214" s="151"/>
      <c r="S214" s="151"/>
      <c r="T214" s="151"/>
      <c r="U214" s="151"/>
      <c r="V214" s="151"/>
      <c r="W214" s="151"/>
      <c r="X214" s="151"/>
      <c r="Y214" s="247"/>
      <c r="Z214" s="247"/>
      <c r="AA214" s="247"/>
      <c r="AB214" s="247"/>
      <c r="AC214" s="153"/>
      <c r="AD214" s="149"/>
      <c r="AE214" s="149"/>
      <c r="AF214" s="149"/>
      <c r="AG214" s="149"/>
      <c r="AH214" s="149"/>
      <c r="AI214" s="149"/>
      <c r="AJ214" s="149"/>
      <c r="AK214" s="149"/>
      <c r="AL214" s="149"/>
      <c r="AM214" s="149"/>
      <c r="AN214" s="149"/>
      <c r="AO214" s="149"/>
    </row>
    <row r="215" spans="2:41" ht="15">
      <c r="B215" s="152" t="s">
        <v>404</v>
      </c>
      <c r="C215" s="151"/>
      <c r="D215" s="151"/>
      <c r="E215" s="151"/>
      <c r="F215" s="151"/>
      <c r="G215" s="151"/>
      <c r="H215" s="151"/>
      <c r="I215" s="151"/>
      <c r="J215" s="151"/>
      <c r="K215" s="151"/>
      <c r="L215" s="151"/>
      <c r="M215" s="151"/>
      <c r="N215" s="151"/>
      <c r="O215" s="151"/>
      <c r="P215" s="151"/>
      <c r="Q215" s="151"/>
      <c r="R215" s="151"/>
      <c r="S215" s="151"/>
      <c r="T215" s="151"/>
      <c r="U215" s="151"/>
      <c r="V215" s="151"/>
      <c r="W215" s="151"/>
      <c r="X215" s="151"/>
      <c r="Y215" s="247"/>
      <c r="Z215" s="247"/>
      <c r="AA215" s="247"/>
      <c r="AB215" s="247"/>
      <c r="AC215" s="153"/>
      <c r="AD215" s="149"/>
      <c r="AE215" s="149"/>
      <c r="AF215" s="149"/>
      <c r="AG215" s="149"/>
      <c r="AH215" s="149"/>
      <c r="AI215" s="149"/>
      <c r="AJ215" s="149"/>
      <c r="AK215" s="149"/>
      <c r="AL215" s="149"/>
      <c r="AM215" s="149"/>
      <c r="AN215" s="149"/>
      <c r="AO215" s="149"/>
    </row>
    <row r="216" spans="2:41" ht="15">
      <c r="B216" s="152" t="s">
        <v>404</v>
      </c>
      <c r="C216" s="151"/>
      <c r="D216" s="151"/>
      <c r="E216" s="151"/>
      <c r="F216" s="151"/>
      <c r="G216" s="151"/>
      <c r="H216" s="151"/>
      <c r="I216" s="151"/>
      <c r="J216" s="151"/>
      <c r="K216" s="151"/>
      <c r="L216" s="151"/>
      <c r="M216" s="151"/>
      <c r="N216" s="151"/>
      <c r="O216" s="151"/>
      <c r="P216" s="151"/>
      <c r="Q216" s="151"/>
      <c r="R216" s="151"/>
      <c r="S216" s="151"/>
      <c r="T216" s="151"/>
      <c r="U216" s="151"/>
      <c r="V216" s="151"/>
      <c r="W216" s="151"/>
      <c r="X216" s="151"/>
      <c r="Y216" s="247"/>
      <c r="Z216" s="247"/>
      <c r="AA216" s="247"/>
      <c r="AB216" s="247"/>
      <c r="AC216" s="153"/>
      <c r="AD216" s="149"/>
      <c r="AE216" s="149"/>
      <c r="AF216" s="149"/>
      <c r="AG216" s="149"/>
      <c r="AH216" s="149"/>
      <c r="AI216" s="149"/>
      <c r="AJ216" s="149"/>
      <c r="AK216" s="149"/>
      <c r="AL216" s="149"/>
      <c r="AM216" s="149"/>
      <c r="AN216" s="149"/>
      <c r="AO216" s="149"/>
    </row>
    <row r="217" spans="2:41" ht="15">
      <c r="B217" s="152" t="s">
        <v>404</v>
      </c>
      <c r="C217" s="151"/>
      <c r="D217" s="151"/>
      <c r="E217" s="151"/>
      <c r="F217" s="151"/>
      <c r="G217" s="151"/>
      <c r="H217" s="151"/>
      <c r="I217" s="151"/>
      <c r="J217" s="151"/>
      <c r="K217" s="151"/>
      <c r="L217" s="151"/>
      <c r="M217" s="151"/>
      <c r="N217" s="151"/>
      <c r="O217" s="151"/>
      <c r="P217" s="151"/>
      <c r="Q217" s="151"/>
      <c r="R217" s="151"/>
      <c r="S217" s="151"/>
      <c r="T217" s="151"/>
      <c r="U217" s="151"/>
      <c r="V217" s="151"/>
      <c r="W217" s="151"/>
      <c r="X217" s="151"/>
      <c r="Y217" s="247"/>
      <c r="Z217" s="247"/>
      <c r="AA217" s="247"/>
      <c r="AB217" s="247"/>
      <c r="AC217" s="153"/>
      <c r="AD217" s="149"/>
      <c r="AE217" s="149"/>
      <c r="AF217" s="149"/>
      <c r="AG217" s="149"/>
      <c r="AH217" s="149"/>
      <c r="AI217" s="149"/>
      <c r="AJ217" s="149"/>
      <c r="AK217" s="149"/>
      <c r="AL217" s="149"/>
      <c r="AM217" s="149"/>
      <c r="AN217" s="149"/>
      <c r="AO217" s="149"/>
    </row>
    <row r="218" spans="2:41" ht="15">
      <c r="B218" s="152" t="s">
        <v>404</v>
      </c>
      <c r="C218" s="151"/>
      <c r="D218" s="151"/>
      <c r="E218" s="151"/>
      <c r="F218" s="151"/>
      <c r="G218" s="151"/>
      <c r="H218" s="151"/>
      <c r="I218" s="151"/>
      <c r="J218" s="151"/>
      <c r="K218" s="151"/>
      <c r="L218" s="151"/>
      <c r="M218" s="151"/>
      <c r="N218" s="151"/>
      <c r="O218" s="151"/>
      <c r="P218" s="151"/>
      <c r="Q218" s="151"/>
      <c r="R218" s="151"/>
      <c r="S218" s="151"/>
      <c r="T218" s="151"/>
      <c r="U218" s="151"/>
      <c r="V218" s="151"/>
      <c r="W218" s="151"/>
      <c r="X218" s="151"/>
      <c r="Y218" s="247"/>
      <c r="Z218" s="247"/>
      <c r="AA218" s="247"/>
      <c r="AB218" s="247"/>
      <c r="AC218" s="153"/>
      <c r="AD218" s="149"/>
      <c r="AE218" s="149"/>
      <c r="AF218" s="149"/>
      <c r="AG218" s="149"/>
      <c r="AH218" s="149"/>
      <c r="AI218" s="149"/>
      <c r="AJ218" s="149"/>
      <c r="AK218" s="149"/>
      <c r="AL218" s="149"/>
      <c r="AM218" s="149"/>
      <c r="AN218" s="149"/>
      <c r="AO218" s="149"/>
    </row>
    <row r="219" spans="2:41" ht="15">
      <c r="B219" s="152" t="s">
        <v>404</v>
      </c>
      <c r="C219" s="151"/>
      <c r="D219" s="151"/>
      <c r="E219" s="151"/>
      <c r="F219" s="151"/>
      <c r="G219" s="151"/>
      <c r="H219" s="151"/>
      <c r="I219" s="151"/>
      <c r="J219" s="151"/>
      <c r="K219" s="151"/>
      <c r="L219" s="151"/>
      <c r="M219" s="151"/>
      <c r="N219" s="151"/>
      <c r="O219" s="151"/>
      <c r="P219" s="151"/>
      <c r="Q219" s="151"/>
      <c r="R219" s="151"/>
      <c r="S219" s="151"/>
      <c r="T219" s="151"/>
      <c r="U219" s="151"/>
      <c r="V219" s="151"/>
      <c r="W219" s="151"/>
      <c r="X219" s="151"/>
      <c r="Y219" s="247"/>
      <c r="Z219" s="247"/>
      <c r="AA219" s="247"/>
      <c r="AB219" s="247"/>
      <c r="AC219" s="153"/>
      <c r="AD219" s="149"/>
      <c r="AE219" s="149"/>
      <c r="AF219" s="149"/>
      <c r="AG219" s="149"/>
      <c r="AH219" s="149"/>
      <c r="AI219" s="149"/>
      <c r="AJ219" s="149"/>
      <c r="AK219" s="149"/>
      <c r="AL219" s="149"/>
      <c r="AM219" s="149"/>
      <c r="AN219" s="149"/>
      <c r="AO219" s="149"/>
    </row>
    <row r="220" spans="2:41" ht="15">
      <c r="B220" s="152" t="s">
        <v>404</v>
      </c>
      <c r="C220" s="151"/>
      <c r="D220" s="151"/>
      <c r="E220" s="151"/>
      <c r="F220" s="151"/>
      <c r="G220" s="151"/>
      <c r="H220" s="151"/>
      <c r="I220" s="151"/>
      <c r="J220" s="151"/>
      <c r="K220" s="151"/>
      <c r="L220" s="151"/>
      <c r="M220" s="151"/>
      <c r="N220" s="151"/>
      <c r="O220" s="151"/>
      <c r="P220" s="151"/>
      <c r="Q220" s="151"/>
      <c r="R220" s="151"/>
      <c r="S220" s="151"/>
      <c r="T220" s="151"/>
      <c r="U220" s="151"/>
      <c r="V220" s="151"/>
      <c r="W220" s="151"/>
      <c r="X220" s="151"/>
      <c r="Y220" s="247"/>
      <c r="Z220" s="247"/>
      <c r="AA220" s="247"/>
      <c r="AB220" s="247"/>
      <c r="AC220" s="153"/>
      <c r="AD220" s="149"/>
      <c r="AE220" s="149"/>
      <c r="AF220" s="149"/>
      <c r="AG220" s="149"/>
      <c r="AH220" s="149"/>
      <c r="AI220" s="149"/>
      <c r="AJ220" s="149"/>
      <c r="AK220" s="149"/>
      <c r="AL220" s="149"/>
      <c r="AM220" s="149"/>
      <c r="AN220" s="149"/>
      <c r="AO220" s="149"/>
    </row>
    <row r="221" spans="2:41" ht="15">
      <c r="B221" s="152" t="s">
        <v>404</v>
      </c>
      <c r="C221" s="151"/>
      <c r="D221" s="151"/>
      <c r="E221" s="151"/>
      <c r="F221" s="151"/>
      <c r="G221" s="151"/>
      <c r="H221" s="151"/>
      <c r="I221" s="151"/>
      <c r="J221" s="151"/>
      <c r="K221" s="151"/>
      <c r="L221" s="151"/>
      <c r="M221" s="151"/>
      <c r="N221" s="151"/>
      <c r="O221" s="151"/>
      <c r="P221" s="151"/>
      <c r="Q221" s="151"/>
      <c r="R221" s="151"/>
      <c r="S221" s="151"/>
      <c r="T221" s="151"/>
      <c r="U221" s="151"/>
      <c r="V221" s="151"/>
      <c r="W221" s="151"/>
      <c r="X221" s="151"/>
      <c r="Y221" s="247"/>
      <c r="Z221" s="247"/>
      <c r="AA221" s="247"/>
      <c r="AB221" s="247"/>
      <c r="AC221" s="153"/>
      <c r="AD221" s="149"/>
      <c r="AE221" s="149"/>
      <c r="AF221" s="149"/>
      <c r="AG221" s="149"/>
      <c r="AH221" s="149"/>
      <c r="AI221" s="149"/>
      <c r="AJ221" s="149"/>
      <c r="AK221" s="149"/>
      <c r="AL221" s="149"/>
      <c r="AM221" s="149"/>
      <c r="AN221" s="149"/>
      <c r="AO221" s="149"/>
    </row>
    <row r="222" spans="2:41" ht="15">
      <c r="B222" s="152" t="s">
        <v>404</v>
      </c>
      <c r="C222" s="151"/>
      <c r="D222" s="151"/>
      <c r="E222" s="151"/>
      <c r="F222" s="151"/>
      <c r="G222" s="151"/>
      <c r="H222" s="151"/>
      <c r="I222" s="151"/>
      <c r="J222" s="151"/>
      <c r="K222" s="151"/>
      <c r="L222" s="151"/>
      <c r="M222" s="151"/>
      <c r="N222" s="151"/>
      <c r="O222" s="151"/>
      <c r="P222" s="151"/>
      <c r="Q222" s="151"/>
      <c r="R222" s="151"/>
      <c r="S222" s="151"/>
      <c r="T222" s="151"/>
      <c r="U222" s="151"/>
      <c r="V222" s="151"/>
      <c r="W222" s="151"/>
      <c r="X222" s="151"/>
      <c r="Y222" s="247"/>
      <c r="Z222" s="247"/>
      <c r="AA222" s="247"/>
      <c r="AB222" s="247"/>
      <c r="AC222" s="153"/>
      <c r="AD222" s="149"/>
      <c r="AE222" s="149"/>
      <c r="AF222" s="149"/>
      <c r="AG222" s="149"/>
      <c r="AH222" s="149"/>
      <c r="AI222" s="149"/>
      <c r="AJ222" s="149"/>
      <c r="AK222" s="149"/>
      <c r="AL222" s="149"/>
      <c r="AM222" s="149"/>
      <c r="AN222" s="149"/>
      <c r="AO222" s="149"/>
    </row>
    <row r="223" spans="2:41" ht="15">
      <c r="B223" s="152" t="s">
        <v>404</v>
      </c>
      <c r="C223" s="151"/>
      <c r="D223" s="151"/>
      <c r="E223" s="151"/>
      <c r="F223" s="151"/>
      <c r="G223" s="151"/>
      <c r="H223" s="151"/>
      <c r="I223" s="151"/>
      <c r="J223" s="151"/>
      <c r="K223" s="151"/>
      <c r="L223" s="151"/>
      <c r="M223" s="151"/>
      <c r="N223" s="151"/>
      <c r="O223" s="151"/>
      <c r="P223" s="151"/>
      <c r="Q223" s="151"/>
      <c r="R223" s="151"/>
      <c r="S223" s="151"/>
      <c r="T223" s="151"/>
      <c r="U223" s="151"/>
      <c r="V223" s="151"/>
      <c r="W223" s="151"/>
      <c r="X223" s="151"/>
      <c r="Y223" s="247"/>
      <c r="Z223" s="247"/>
      <c r="AA223" s="247"/>
      <c r="AB223" s="247"/>
      <c r="AC223" s="153"/>
      <c r="AD223" s="149"/>
      <c r="AE223" s="149"/>
      <c r="AF223" s="149"/>
      <c r="AG223" s="149"/>
      <c r="AH223" s="149"/>
      <c r="AI223" s="149"/>
      <c r="AJ223" s="149"/>
      <c r="AK223" s="149"/>
      <c r="AL223" s="149"/>
      <c r="AM223" s="149"/>
      <c r="AN223" s="149"/>
      <c r="AO223" s="149"/>
    </row>
    <row r="224" spans="2:41" ht="15">
      <c r="B224" s="152" t="s">
        <v>404</v>
      </c>
      <c r="C224" s="151"/>
      <c r="D224" s="151"/>
      <c r="E224" s="151"/>
      <c r="F224" s="151"/>
      <c r="G224" s="151"/>
      <c r="H224" s="151"/>
      <c r="I224" s="151"/>
      <c r="J224" s="151"/>
      <c r="K224" s="151"/>
      <c r="L224" s="151"/>
      <c r="M224" s="151"/>
      <c r="N224" s="151"/>
      <c r="O224" s="151"/>
      <c r="P224" s="151"/>
      <c r="Q224" s="151"/>
      <c r="R224" s="151"/>
      <c r="S224" s="151"/>
      <c r="T224" s="151"/>
      <c r="U224" s="151"/>
      <c r="V224" s="151"/>
      <c r="W224" s="151"/>
      <c r="X224" s="151"/>
      <c r="Y224" s="247"/>
      <c r="Z224" s="247"/>
      <c r="AA224" s="247"/>
      <c r="AB224" s="247"/>
      <c r="AC224" s="153"/>
      <c r="AD224" s="149"/>
      <c r="AE224" s="149"/>
      <c r="AF224" s="149"/>
      <c r="AG224" s="149"/>
      <c r="AH224" s="149"/>
      <c r="AI224" s="149"/>
      <c r="AJ224" s="149"/>
      <c r="AK224" s="149"/>
      <c r="AL224" s="149"/>
      <c r="AM224" s="149"/>
      <c r="AN224" s="149"/>
      <c r="AO224" s="149"/>
    </row>
    <row r="225" spans="2:41" ht="15">
      <c r="B225" s="152" t="s">
        <v>404</v>
      </c>
      <c r="C225" s="151"/>
      <c r="D225" s="151"/>
      <c r="E225" s="151"/>
      <c r="F225" s="151"/>
      <c r="G225" s="151"/>
      <c r="H225" s="151"/>
      <c r="I225" s="151"/>
      <c r="J225" s="151"/>
      <c r="K225" s="151"/>
      <c r="L225" s="151"/>
      <c r="M225" s="151"/>
      <c r="N225" s="151"/>
      <c r="O225" s="151"/>
      <c r="P225" s="151"/>
      <c r="Q225" s="151"/>
      <c r="R225" s="151"/>
      <c r="S225" s="151"/>
      <c r="T225" s="151"/>
      <c r="U225" s="151"/>
      <c r="V225" s="151"/>
      <c r="W225" s="151"/>
      <c r="X225" s="151"/>
      <c r="Y225" s="247"/>
      <c r="Z225" s="247"/>
      <c r="AA225" s="247"/>
      <c r="AB225" s="247"/>
      <c r="AC225" s="153"/>
      <c r="AD225" s="149"/>
      <c r="AE225" s="149"/>
      <c r="AF225" s="149"/>
      <c r="AG225" s="149"/>
      <c r="AH225" s="149"/>
      <c r="AI225" s="149"/>
      <c r="AJ225" s="149"/>
      <c r="AK225" s="149"/>
      <c r="AL225" s="149"/>
      <c r="AM225" s="149"/>
      <c r="AN225" s="149"/>
      <c r="AO225" s="149"/>
    </row>
    <row r="226" spans="2:41" ht="15">
      <c r="B226" s="152" t="s">
        <v>404</v>
      </c>
      <c r="C226" s="151"/>
      <c r="D226" s="151"/>
      <c r="E226" s="151"/>
      <c r="F226" s="151"/>
      <c r="G226" s="151"/>
      <c r="H226" s="151"/>
      <c r="I226" s="151"/>
      <c r="J226" s="151"/>
      <c r="K226" s="151"/>
      <c r="L226" s="151"/>
      <c r="M226" s="151"/>
      <c r="N226" s="151"/>
      <c r="O226" s="151"/>
      <c r="P226" s="151"/>
      <c r="Q226" s="151"/>
      <c r="R226" s="151"/>
      <c r="S226" s="151"/>
      <c r="T226" s="151"/>
      <c r="U226" s="151"/>
      <c r="V226" s="151"/>
      <c r="W226" s="151"/>
      <c r="X226" s="151"/>
      <c r="Y226" s="247"/>
      <c r="Z226" s="247"/>
      <c r="AA226" s="247"/>
      <c r="AB226" s="247"/>
      <c r="AC226" s="153"/>
      <c r="AD226" s="149"/>
      <c r="AE226" s="149"/>
      <c r="AF226" s="149"/>
      <c r="AG226" s="149"/>
      <c r="AH226" s="149"/>
      <c r="AI226" s="149"/>
      <c r="AJ226" s="149"/>
      <c r="AK226" s="149"/>
      <c r="AL226" s="149"/>
      <c r="AM226" s="149"/>
      <c r="AN226" s="149"/>
      <c r="AO226" s="149"/>
    </row>
    <row r="227" spans="2:41" ht="15">
      <c r="B227" s="152" t="s">
        <v>404</v>
      </c>
      <c r="C227" s="151"/>
      <c r="D227" s="151"/>
      <c r="E227" s="151"/>
      <c r="F227" s="151"/>
      <c r="G227" s="151"/>
      <c r="H227" s="151"/>
      <c r="I227" s="151"/>
      <c r="J227" s="151"/>
      <c r="K227" s="151"/>
      <c r="L227" s="151"/>
      <c r="M227" s="151"/>
      <c r="N227" s="151"/>
      <c r="O227" s="151"/>
      <c r="P227" s="151"/>
      <c r="Q227" s="151"/>
      <c r="R227" s="151"/>
      <c r="S227" s="151"/>
      <c r="T227" s="151"/>
      <c r="U227" s="151"/>
      <c r="V227" s="151"/>
      <c r="W227" s="151"/>
      <c r="X227" s="151"/>
      <c r="Y227" s="247"/>
      <c r="Z227" s="247"/>
      <c r="AA227" s="247"/>
      <c r="AB227" s="247"/>
      <c r="AC227" s="153"/>
      <c r="AD227" s="149"/>
      <c r="AE227" s="149"/>
      <c r="AF227" s="149"/>
      <c r="AG227" s="149"/>
      <c r="AH227" s="149"/>
      <c r="AI227" s="149"/>
      <c r="AJ227" s="149"/>
      <c r="AK227" s="149"/>
      <c r="AL227" s="149"/>
      <c r="AM227" s="149"/>
      <c r="AN227" s="149"/>
      <c r="AO227" s="149"/>
    </row>
    <row r="228" spans="2:41" ht="15">
      <c r="B228" s="152" t="s">
        <v>404</v>
      </c>
      <c r="C228" s="151"/>
      <c r="D228" s="151"/>
      <c r="E228" s="151"/>
      <c r="F228" s="151"/>
      <c r="G228" s="151"/>
      <c r="H228" s="151"/>
      <c r="I228" s="151"/>
      <c r="J228" s="151"/>
      <c r="K228" s="151"/>
      <c r="L228" s="151"/>
      <c r="M228" s="151"/>
      <c r="N228" s="151"/>
      <c r="O228" s="151"/>
      <c r="P228" s="151"/>
      <c r="Q228" s="151"/>
      <c r="R228" s="151"/>
      <c r="S228" s="151"/>
      <c r="T228" s="151"/>
      <c r="U228" s="151"/>
      <c r="V228" s="151"/>
      <c r="W228" s="151"/>
      <c r="X228" s="151"/>
      <c r="Y228" s="247"/>
      <c r="Z228" s="247"/>
      <c r="AA228" s="247"/>
      <c r="AB228" s="247"/>
      <c r="AC228" s="153"/>
      <c r="AD228" s="149"/>
      <c r="AE228" s="149"/>
      <c r="AF228" s="149"/>
      <c r="AG228" s="149"/>
      <c r="AH228" s="149"/>
      <c r="AI228" s="149"/>
      <c r="AJ228" s="149"/>
      <c r="AK228" s="149"/>
      <c r="AL228" s="149"/>
      <c r="AM228" s="149"/>
      <c r="AN228" s="149"/>
      <c r="AO228" s="149"/>
    </row>
    <row r="229" spans="2:41" ht="15">
      <c r="B229" s="152" t="s">
        <v>404</v>
      </c>
      <c r="C229" s="151"/>
      <c r="D229" s="151"/>
      <c r="E229" s="151"/>
      <c r="F229" s="151"/>
      <c r="G229" s="151"/>
      <c r="H229" s="151"/>
      <c r="I229" s="151"/>
      <c r="J229" s="151"/>
      <c r="K229" s="151"/>
      <c r="L229" s="151"/>
      <c r="M229" s="151"/>
      <c r="N229" s="151"/>
      <c r="O229" s="151"/>
      <c r="P229" s="151"/>
      <c r="Q229" s="151"/>
      <c r="R229" s="151"/>
      <c r="S229" s="151"/>
      <c r="T229" s="151"/>
      <c r="U229" s="151"/>
      <c r="V229" s="151"/>
      <c r="W229" s="151"/>
      <c r="X229" s="151"/>
      <c r="Y229" s="247"/>
      <c r="Z229" s="247"/>
      <c r="AA229" s="247"/>
      <c r="AB229" s="247"/>
      <c r="AC229" s="153"/>
      <c r="AD229" s="149"/>
      <c r="AE229" s="149"/>
      <c r="AF229" s="149"/>
      <c r="AG229" s="149"/>
      <c r="AH229" s="149"/>
      <c r="AI229" s="149"/>
      <c r="AJ229" s="149"/>
      <c r="AK229" s="149"/>
      <c r="AL229" s="149"/>
      <c r="AM229" s="149"/>
      <c r="AN229" s="149"/>
      <c r="AO229" s="149"/>
    </row>
    <row r="230" spans="2:41" ht="15">
      <c r="B230" s="152" t="s">
        <v>404</v>
      </c>
      <c r="C230" s="151"/>
      <c r="D230" s="151"/>
      <c r="E230" s="151"/>
      <c r="F230" s="151"/>
      <c r="G230" s="151"/>
      <c r="H230" s="151"/>
      <c r="I230" s="151"/>
      <c r="J230" s="151"/>
      <c r="K230" s="151"/>
      <c r="L230" s="151"/>
      <c r="M230" s="151"/>
      <c r="N230" s="151"/>
      <c r="O230" s="151"/>
      <c r="P230" s="151"/>
      <c r="Q230" s="151"/>
      <c r="R230" s="151"/>
      <c r="S230" s="151"/>
      <c r="T230" s="151"/>
      <c r="U230" s="151"/>
      <c r="V230" s="151"/>
      <c r="W230" s="151"/>
      <c r="X230" s="151"/>
      <c r="Y230" s="247"/>
      <c r="Z230" s="247"/>
      <c r="AA230" s="247"/>
      <c r="AB230" s="247"/>
      <c r="AC230" s="153"/>
      <c r="AD230" s="149"/>
      <c r="AE230" s="149"/>
      <c r="AF230" s="149"/>
      <c r="AG230" s="149"/>
      <c r="AH230" s="149"/>
      <c r="AI230" s="149"/>
      <c r="AJ230" s="149"/>
      <c r="AK230" s="149"/>
      <c r="AL230" s="149"/>
      <c r="AM230" s="149"/>
      <c r="AN230" s="149"/>
      <c r="AO230" s="149"/>
    </row>
    <row r="231" spans="2:41" ht="15">
      <c r="B231" s="152" t="s">
        <v>404</v>
      </c>
      <c r="C231" s="151"/>
      <c r="D231" s="151"/>
      <c r="E231" s="151"/>
      <c r="F231" s="151"/>
      <c r="G231" s="151"/>
      <c r="H231" s="151"/>
      <c r="I231" s="151"/>
      <c r="J231" s="151"/>
      <c r="K231" s="151"/>
      <c r="L231" s="151"/>
      <c r="M231" s="151"/>
      <c r="N231" s="151"/>
      <c r="O231" s="151"/>
      <c r="P231" s="151"/>
      <c r="Q231" s="151"/>
      <c r="R231" s="151"/>
      <c r="S231" s="151"/>
      <c r="T231" s="151"/>
      <c r="U231" s="151"/>
      <c r="V231" s="151"/>
      <c r="W231" s="151"/>
      <c r="X231" s="151"/>
      <c r="Y231" s="247"/>
      <c r="Z231" s="247"/>
      <c r="AA231" s="247"/>
      <c r="AB231" s="247"/>
      <c r="AC231" s="153"/>
      <c r="AD231" s="149"/>
      <c r="AE231" s="149"/>
      <c r="AF231" s="149"/>
      <c r="AG231" s="149"/>
      <c r="AH231" s="149"/>
      <c r="AI231" s="149"/>
      <c r="AJ231" s="149"/>
      <c r="AK231" s="149"/>
      <c r="AL231" s="149"/>
      <c r="AM231" s="149"/>
      <c r="AN231" s="149"/>
      <c r="AO231" s="149"/>
    </row>
    <row r="232" spans="2:41" ht="15">
      <c r="B232" s="152" t="s">
        <v>404</v>
      </c>
      <c r="C232" s="151"/>
      <c r="D232" s="151"/>
      <c r="E232" s="151"/>
      <c r="F232" s="151"/>
      <c r="G232" s="151"/>
      <c r="H232" s="151"/>
      <c r="I232" s="151"/>
      <c r="J232" s="151"/>
      <c r="K232" s="151"/>
      <c r="L232" s="151"/>
      <c r="M232" s="151"/>
      <c r="N232" s="151"/>
      <c r="O232" s="151"/>
      <c r="P232" s="151"/>
      <c r="Q232" s="151"/>
      <c r="R232" s="151"/>
      <c r="S232" s="151"/>
      <c r="T232" s="151"/>
      <c r="U232" s="151"/>
      <c r="V232" s="151"/>
      <c r="W232" s="151"/>
      <c r="X232" s="151"/>
      <c r="Y232" s="247"/>
      <c r="Z232" s="247"/>
      <c r="AA232" s="247"/>
      <c r="AB232" s="247"/>
      <c r="AC232" s="153"/>
      <c r="AD232" s="149"/>
      <c r="AE232" s="149"/>
      <c r="AF232" s="149"/>
      <c r="AG232" s="149"/>
      <c r="AH232" s="149"/>
      <c r="AI232" s="149"/>
      <c r="AJ232" s="149"/>
      <c r="AK232" s="149"/>
      <c r="AL232" s="149"/>
      <c r="AM232" s="149"/>
      <c r="AN232" s="149"/>
      <c r="AO232" s="149"/>
    </row>
    <row r="233" spans="2:41" ht="15">
      <c r="B233" s="152" t="s">
        <v>404</v>
      </c>
      <c r="C233" s="151"/>
      <c r="D233" s="151"/>
      <c r="E233" s="151"/>
      <c r="F233" s="151"/>
      <c r="G233" s="151"/>
      <c r="H233" s="151"/>
      <c r="I233" s="151"/>
      <c r="J233" s="151"/>
      <c r="K233" s="151"/>
      <c r="L233" s="151"/>
      <c r="M233" s="151"/>
      <c r="N233" s="151"/>
      <c r="O233" s="151"/>
      <c r="P233" s="151"/>
      <c r="Q233" s="151"/>
      <c r="R233" s="151"/>
      <c r="S233" s="151"/>
      <c r="T233" s="151"/>
      <c r="U233" s="151"/>
      <c r="V233" s="151"/>
      <c r="W233" s="151"/>
      <c r="X233" s="151"/>
      <c r="Y233" s="247"/>
      <c r="Z233" s="247"/>
      <c r="AA233" s="247"/>
      <c r="AB233" s="247"/>
      <c r="AC233" s="153"/>
      <c r="AD233" s="149"/>
      <c r="AE233" s="149"/>
      <c r="AF233" s="149"/>
      <c r="AG233" s="149"/>
      <c r="AH233" s="149"/>
      <c r="AI233" s="149"/>
      <c r="AJ233" s="149"/>
      <c r="AK233" s="149"/>
      <c r="AL233" s="149"/>
      <c r="AM233" s="149"/>
      <c r="AN233" s="149"/>
      <c r="AO233" s="149"/>
    </row>
    <row r="234" spans="2:41" ht="15">
      <c r="B234" s="152" t="s">
        <v>404</v>
      </c>
      <c r="C234" s="151"/>
      <c r="D234" s="151"/>
      <c r="E234" s="151"/>
      <c r="F234" s="151"/>
      <c r="G234" s="151"/>
      <c r="H234" s="151"/>
      <c r="I234" s="151"/>
      <c r="J234" s="151"/>
      <c r="K234" s="151"/>
      <c r="L234" s="151"/>
      <c r="M234" s="151"/>
      <c r="N234" s="151"/>
      <c r="O234" s="151"/>
      <c r="P234" s="151"/>
      <c r="Q234" s="151"/>
      <c r="R234" s="151"/>
      <c r="S234" s="151"/>
      <c r="T234" s="151"/>
      <c r="U234" s="151"/>
      <c r="V234" s="151"/>
      <c r="W234" s="151"/>
      <c r="X234" s="151"/>
      <c r="Y234" s="247"/>
      <c r="Z234" s="247"/>
      <c r="AA234" s="247"/>
      <c r="AB234" s="247"/>
      <c r="AC234" s="153"/>
      <c r="AD234" s="149"/>
      <c r="AE234" s="149"/>
      <c r="AF234" s="149"/>
      <c r="AG234" s="149"/>
      <c r="AH234" s="149"/>
      <c r="AI234" s="149"/>
      <c r="AJ234" s="149"/>
      <c r="AK234" s="149"/>
      <c r="AL234" s="149"/>
      <c r="AM234" s="149"/>
      <c r="AN234" s="149"/>
      <c r="AO234" s="149"/>
    </row>
    <row r="235" spans="2:41" ht="15">
      <c r="B235" s="152" t="s">
        <v>404</v>
      </c>
      <c r="C235" s="151"/>
      <c r="D235" s="151"/>
      <c r="E235" s="151"/>
      <c r="F235" s="151"/>
      <c r="G235" s="151"/>
      <c r="H235" s="151"/>
      <c r="I235" s="151"/>
      <c r="J235" s="151"/>
      <c r="K235" s="151"/>
      <c r="L235" s="151"/>
      <c r="M235" s="151"/>
      <c r="N235" s="151"/>
      <c r="O235" s="151"/>
      <c r="P235" s="151"/>
      <c r="Q235" s="151"/>
      <c r="R235" s="151"/>
      <c r="S235" s="151"/>
      <c r="T235" s="151"/>
      <c r="U235" s="151"/>
      <c r="V235" s="151"/>
      <c r="W235" s="151"/>
      <c r="X235" s="151"/>
      <c r="Y235" s="247"/>
      <c r="Z235" s="247"/>
      <c r="AA235" s="247"/>
      <c r="AB235" s="247"/>
      <c r="AC235" s="153"/>
      <c r="AD235" s="149"/>
      <c r="AE235" s="149"/>
      <c r="AF235" s="149"/>
      <c r="AG235" s="149"/>
      <c r="AH235" s="149"/>
      <c r="AI235" s="149"/>
      <c r="AJ235" s="149"/>
      <c r="AK235" s="149"/>
      <c r="AL235" s="149"/>
      <c r="AM235" s="149"/>
      <c r="AN235" s="149"/>
      <c r="AO235" s="149"/>
    </row>
    <row r="236" spans="2:41" ht="15">
      <c r="B236" s="152" t="s">
        <v>404</v>
      </c>
      <c r="C236" s="151"/>
      <c r="D236" s="151"/>
      <c r="E236" s="151"/>
      <c r="F236" s="151"/>
      <c r="G236" s="151"/>
      <c r="H236" s="151"/>
      <c r="I236" s="151"/>
      <c r="J236" s="151"/>
      <c r="K236" s="151"/>
      <c r="L236" s="151"/>
      <c r="M236" s="151"/>
      <c r="N236" s="151"/>
      <c r="O236" s="151"/>
      <c r="P236" s="151"/>
      <c r="Q236" s="151"/>
      <c r="R236" s="151"/>
      <c r="S236" s="151"/>
      <c r="T236" s="151"/>
      <c r="U236" s="151"/>
      <c r="V236" s="151"/>
      <c r="W236" s="151"/>
      <c r="X236" s="151"/>
      <c r="Y236" s="247"/>
      <c r="Z236" s="247"/>
      <c r="AA236" s="247"/>
      <c r="AB236" s="247"/>
      <c r="AC236" s="153"/>
      <c r="AD236" s="149"/>
      <c r="AE236" s="149"/>
      <c r="AF236" s="149"/>
      <c r="AG236" s="149"/>
      <c r="AH236" s="149"/>
      <c r="AI236" s="149"/>
      <c r="AJ236" s="149"/>
      <c r="AK236" s="149"/>
      <c r="AL236" s="149"/>
      <c r="AM236" s="149"/>
      <c r="AN236" s="149"/>
      <c r="AO236" s="149"/>
    </row>
    <row r="237" spans="2:41" ht="15">
      <c r="B237" s="152" t="s">
        <v>404</v>
      </c>
      <c r="C237" s="151"/>
      <c r="D237" s="151"/>
      <c r="E237" s="151"/>
      <c r="F237" s="151"/>
      <c r="G237" s="151"/>
      <c r="H237" s="151"/>
      <c r="I237" s="151"/>
      <c r="J237" s="151"/>
      <c r="K237" s="151"/>
      <c r="L237" s="151"/>
      <c r="M237" s="151"/>
      <c r="N237" s="151"/>
      <c r="O237" s="151"/>
      <c r="P237" s="151"/>
      <c r="Q237" s="151"/>
      <c r="R237" s="151"/>
      <c r="S237" s="151"/>
      <c r="T237" s="151"/>
      <c r="U237" s="151"/>
      <c r="V237" s="151"/>
      <c r="W237" s="151"/>
      <c r="X237" s="151"/>
      <c r="Y237" s="247"/>
      <c r="Z237" s="247"/>
      <c r="AA237" s="247"/>
      <c r="AB237" s="247"/>
      <c r="AC237" s="153"/>
      <c r="AD237" s="149"/>
      <c r="AE237" s="149"/>
      <c r="AF237" s="149"/>
      <c r="AG237" s="149"/>
      <c r="AH237" s="149"/>
      <c r="AI237" s="149"/>
      <c r="AJ237" s="149"/>
      <c r="AK237" s="149"/>
      <c r="AL237" s="149"/>
      <c r="AM237" s="149"/>
      <c r="AN237" s="149"/>
      <c r="AO237" s="149"/>
    </row>
    <row r="238" spans="2:41" ht="15">
      <c r="B238" s="152" t="s">
        <v>404</v>
      </c>
      <c r="C238" s="151"/>
      <c r="D238" s="151"/>
      <c r="E238" s="151"/>
      <c r="F238" s="151"/>
      <c r="G238" s="151"/>
      <c r="H238" s="151"/>
      <c r="I238" s="151"/>
      <c r="J238" s="151"/>
      <c r="K238" s="151"/>
      <c r="L238" s="151"/>
      <c r="M238" s="151"/>
      <c r="N238" s="151"/>
      <c r="O238" s="151"/>
      <c r="P238" s="151"/>
      <c r="Q238" s="151"/>
      <c r="R238" s="151"/>
      <c r="S238" s="151"/>
      <c r="T238" s="151"/>
      <c r="U238" s="151"/>
      <c r="V238" s="151"/>
      <c r="W238" s="151"/>
      <c r="X238" s="151"/>
      <c r="Y238" s="247"/>
      <c r="Z238" s="247"/>
      <c r="AA238" s="247"/>
      <c r="AB238" s="247"/>
      <c r="AC238" s="153"/>
      <c r="AD238" s="149"/>
      <c r="AE238" s="149"/>
      <c r="AF238" s="149"/>
      <c r="AG238" s="149"/>
      <c r="AH238" s="149"/>
      <c r="AI238" s="149"/>
      <c r="AJ238" s="149"/>
      <c r="AK238" s="149"/>
      <c r="AL238" s="149"/>
      <c r="AM238" s="149"/>
      <c r="AN238" s="149"/>
      <c r="AO238" s="149"/>
    </row>
    <row r="239" spans="2:41" ht="15">
      <c r="B239" s="152" t="s">
        <v>404</v>
      </c>
      <c r="C239" s="151"/>
      <c r="D239" s="151"/>
      <c r="E239" s="151"/>
      <c r="F239" s="151"/>
      <c r="G239" s="151"/>
      <c r="H239" s="151"/>
      <c r="I239" s="151"/>
      <c r="J239" s="151"/>
      <c r="K239" s="151"/>
      <c r="L239" s="151"/>
      <c r="M239" s="151"/>
      <c r="N239" s="151"/>
      <c r="O239" s="151"/>
      <c r="P239" s="151"/>
      <c r="Q239" s="151"/>
      <c r="R239" s="151"/>
      <c r="S239" s="151"/>
      <c r="T239" s="151"/>
      <c r="U239" s="151"/>
      <c r="V239" s="151"/>
      <c r="W239" s="151"/>
      <c r="X239" s="151"/>
      <c r="Y239" s="247"/>
      <c r="Z239" s="247"/>
      <c r="AA239" s="247"/>
      <c r="AB239" s="247"/>
      <c r="AC239" s="153"/>
      <c r="AD239" s="149"/>
      <c r="AE239" s="149"/>
      <c r="AF239" s="149"/>
      <c r="AG239" s="149"/>
      <c r="AH239" s="149"/>
      <c r="AI239" s="149"/>
      <c r="AJ239" s="149"/>
      <c r="AK239" s="149"/>
      <c r="AL239" s="149"/>
      <c r="AM239" s="149"/>
      <c r="AN239" s="149"/>
      <c r="AO239" s="149"/>
    </row>
    <row r="240" spans="2:41" ht="15">
      <c r="B240" s="152" t="s">
        <v>404</v>
      </c>
      <c r="C240" s="151"/>
      <c r="D240" s="151"/>
      <c r="E240" s="151"/>
      <c r="F240" s="151"/>
      <c r="G240" s="151"/>
      <c r="H240" s="151"/>
      <c r="I240" s="151"/>
      <c r="J240" s="151"/>
      <c r="K240" s="151"/>
      <c r="L240" s="151"/>
      <c r="M240" s="151"/>
      <c r="N240" s="151"/>
      <c r="O240" s="151"/>
      <c r="P240" s="151"/>
      <c r="Q240" s="151"/>
      <c r="R240" s="151"/>
      <c r="S240" s="151"/>
      <c r="T240" s="151"/>
      <c r="U240" s="151"/>
      <c r="V240" s="151"/>
      <c r="W240" s="151"/>
      <c r="X240" s="151"/>
      <c r="Y240" s="247"/>
      <c r="Z240" s="247"/>
      <c r="AA240" s="247"/>
      <c r="AB240" s="247"/>
      <c r="AC240" s="153"/>
      <c r="AD240" s="149"/>
      <c r="AE240" s="149"/>
      <c r="AF240" s="149"/>
      <c r="AG240" s="149"/>
      <c r="AH240" s="149"/>
      <c r="AI240" s="149"/>
      <c r="AJ240" s="149"/>
      <c r="AK240" s="149"/>
      <c r="AL240" s="149"/>
      <c r="AM240" s="149"/>
      <c r="AN240" s="149"/>
      <c r="AO240" s="149"/>
    </row>
    <row r="241" spans="2:41" ht="15">
      <c r="B241" s="152" t="s">
        <v>404</v>
      </c>
      <c r="C241" s="151"/>
      <c r="D241" s="151"/>
      <c r="E241" s="151"/>
      <c r="F241" s="151"/>
      <c r="G241" s="151"/>
      <c r="H241" s="151"/>
      <c r="I241" s="151"/>
      <c r="J241" s="151"/>
      <c r="K241" s="151"/>
      <c r="L241" s="151"/>
      <c r="M241" s="151"/>
      <c r="N241" s="151"/>
      <c r="O241" s="151"/>
      <c r="P241" s="151"/>
      <c r="Q241" s="151"/>
      <c r="R241" s="151"/>
      <c r="S241" s="151"/>
      <c r="T241" s="151"/>
      <c r="U241" s="151"/>
      <c r="V241" s="151"/>
      <c r="W241" s="151"/>
      <c r="X241" s="151"/>
      <c r="Y241" s="247"/>
      <c r="Z241" s="247"/>
      <c r="AA241" s="247"/>
      <c r="AB241" s="247"/>
      <c r="AC241" s="153"/>
      <c r="AD241" s="149"/>
      <c r="AE241" s="149"/>
      <c r="AF241" s="149"/>
      <c r="AG241" s="149"/>
      <c r="AH241" s="149"/>
      <c r="AI241" s="149"/>
      <c r="AJ241" s="149"/>
      <c r="AK241" s="149"/>
      <c r="AL241" s="149"/>
      <c r="AM241" s="149"/>
      <c r="AN241" s="149"/>
      <c r="AO241" s="149"/>
    </row>
    <row r="242" spans="2:41" ht="15">
      <c r="B242" s="152" t="s">
        <v>404</v>
      </c>
      <c r="C242" s="151"/>
      <c r="D242" s="151"/>
      <c r="E242" s="151"/>
      <c r="F242" s="151"/>
      <c r="G242" s="151"/>
      <c r="H242" s="151"/>
      <c r="I242" s="151"/>
      <c r="J242" s="151"/>
      <c r="K242" s="151"/>
      <c r="L242" s="151"/>
      <c r="M242" s="151"/>
      <c r="N242" s="151"/>
      <c r="O242" s="151"/>
      <c r="P242" s="151"/>
      <c r="Q242" s="151"/>
      <c r="R242" s="151"/>
      <c r="S242" s="151"/>
      <c r="T242" s="151"/>
      <c r="U242" s="151"/>
      <c r="V242" s="151"/>
      <c r="W242" s="151"/>
      <c r="X242" s="151"/>
      <c r="Y242" s="247"/>
      <c r="Z242" s="247"/>
      <c r="AA242" s="247"/>
      <c r="AB242" s="247"/>
      <c r="AC242" s="153"/>
      <c r="AD242" s="149"/>
      <c r="AE242" s="149"/>
      <c r="AF242" s="149"/>
      <c r="AG242" s="149"/>
      <c r="AH242" s="149"/>
      <c r="AI242" s="149"/>
      <c r="AJ242" s="149"/>
      <c r="AK242" s="149"/>
      <c r="AL242" s="149"/>
      <c r="AM242" s="149"/>
      <c r="AN242" s="149"/>
      <c r="AO242" s="149"/>
    </row>
    <row r="243" spans="2:41" ht="15">
      <c r="B243" s="152" t="s">
        <v>404</v>
      </c>
      <c r="C243" s="151"/>
      <c r="D243" s="151"/>
      <c r="E243" s="151"/>
      <c r="F243" s="151"/>
      <c r="G243" s="151"/>
      <c r="H243" s="151"/>
      <c r="I243" s="151"/>
      <c r="J243" s="151"/>
      <c r="K243" s="151"/>
      <c r="L243" s="151"/>
      <c r="M243" s="151"/>
      <c r="N243" s="151"/>
      <c r="O243" s="151"/>
      <c r="P243" s="151"/>
      <c r="Q243" s="151"/>
      <c r="R243" s="151"/>
      <c r="S243" s="151"/>
      <c r="T243" s="151"/>
      <c r="U243" s="151"/>
      <c r="V243" s="151"/>
      <c r="W243" s="151"/>
      <c r="X243" s="151"/>
      <c r="Y243" s="247"/>
      <c r="Z243" s="247"/>
      <c r="AA243" s="247"/>
      <c r="AB243" s="247"/>
      <c r="AC243" s="153"/>
      <c r="AD243" s="149"/>
      <c r="AE243" s="149"/>
      <c r="AF243" s="149"/>
      <c r="AG243" s="149"/>
      <c r="AH243" s="149"/>
      <c r="AI243" s="149"/>
      <c r="AJ243" s="149"/>
      <c r="AK243" s="149"/>
      <c r="AL243" s="149"/>
      <c r="AM243" s="149"/>
      <c r="AN243" s="149"/>
      <c r="AO243" s="149"/>
    </row>
    <row r="244" spans="2:41" ht="15">
      <c r="B244" s="152" t="s">
        <v>404</v>
      </c>
      <c r="C244" s="151"/>
      <c r="D244" s="151"/>
      <c r="E244" s="151"/>
      <c r="F244" s="151"/>
      <c r="G244" s="151"/>
      <c r="H244" s="151"/>
      <c r="I244" s="151"/>
      <c r="J244" s="151"/>
      <c r="K244" s="151"/>
      <c r="L244" s="151"/>
      <c r="M244" s="151"/>
      <c r="N244" s="151"/>
      <c r="O244" s="151"/>
      <c r="P244" s="151"/>
      <c r="Q244" s="151"/>
      <c r="R244" s="151"/>
      <c r="S244" s="151"/>
      <c r="T244" s="151"/>
      <c r="U244" s="151"/>
      <c r="V244" s="151"/>
      <c r="W244" s="151"/>
      <c r="X244" s="151"/>
      <c r="Y244" s="247"/>
      <c r="Z244" s="247"/>
      <c r="AA244" s="247"/>
      <c r="AB244" s="247"/>
      <c r="AC244" s="153"/>
      <c r="AD244" s="149"/>
      <c r="AE244" s="149"/>
      <c r="AF244" s="149"/>
      <c r="AG244" s="149"/>
      <c r="AH244" s="149"/>
      <c r="AI244" s="149"/>
      <c r="AJ244" s="149"/>
      <c r="AK244" s="149"/>
      <c r="AL244" s="149"/>
      <c r="AM244" s="149"/>
      <c r="AN244" s="149"/>
      <c r="AO244" s="149"/>
    </row>
    <row r="245" spans="2:41" ht="15">
      <c r="B245" s="152" t="s">
        <v>404</v>
      </c>
      <c r="C245" s="151"/>
      <c r="D245" s="151"/>
      <c r="E245" s="151"/>
      <c r="F245" s="151"/>
      <c r="G245" s="151"/>
      <c r="H245" s="151"/>
      <c r="I245" s="151"/>
      <c r="J245" s="151"/>
      <c r="K245" s="151"/>
      <c r="L245" s="151"/>
      <c r="M245" s="151"/>
      <c r="N245" s="151"/>
      <c r="O245" s="151"/>
      <c r="P245" s="151"/>
      <c r="Q245" s="151"/>
      <c r="R245" s="151"/>
      <c r="S245" s="151"/>
      <c r="T245" s="151"/>
      <c r="U245" s="151"/>
      <c r="V245" s="151"/>
      <c r="W245" s="151"/>
      <c r="X245" s="151"/>
      <c r="Y245" s="247"/>
      <c r="Z245" s="247"/>
      <c r="AA245" s="247"/>
      <c r="AB245" s="247"/>
      <c r="AC245" s="153"/>
      <c r="AD245" s="149"/>
      <c r="AE245" s="149"/>
      <c r="AF245" s="149"/>
      <c r="AG245" s="149"/>
      <c r="AH245" s="149"/>
      <c r="AI245" s="149"/>
      <c r="AJ245" s="149"/>
      <c r="AK245" s="149"/>
      <c r="AL245" s="149"/>
      <c r="AM245" s="149"/>
      <c r="AN245" s="149"/>
      <c r="AO245" s="149"/>
    </row>
    <row r="246" spans="2:41" ht="15">
      <c r="B246" s="152" t="s">
        <v>404</v>
      </c>
      <c r="C246" s="151"/>
      <c r="D246" s="151"/>
      <c r="E246" s="151"/>
      <c r="F246" s="151"/>
      <c r="G246" s="151"/>
      <c r="H246" s="151"/>
      <c r="I246" s="151"/>
      <c r="J246" s="151"/>
      <c r="K246" s="151"/>
      <c r="L246" s="151"/>
      <c r="M246" s="151"/>
      <c r="N246" s="151"/>
      <c r="O246" s="151"/>
      <c r="P246" s="151"/>
      <c r="Q246" s="151"/>
      <c r="R246" s="151"/>
      <c r="S246" s="151"/>
      <c r="T246" s="151"/>
      <c r="U246" s="151"/>
      <c r="V246" s="151"/>
      <c r="W246" s="151"/>
      <c r="X246" s="151"/>
      <c r="Y246" s="247"/>
      <c r="Z246" s="247"/>
      <c r="AA246" s="247"/>
      <c r="AB246" s="247"/>
      <c r="AC246" s="153"/>
      <c r="AD246" s="149"/>
      <c r="AE246" s="149"/>
      <c r="AF246" s="149"/>
      <c r="AG246" s="149"/>
      <c r="AH246" s="149"/>
      <c r="AI246" s="149"/>
      <c r="AJ246" s="149"/>
      <c r="AK246" s="149"/>
      <c r="AL246" s="149"/>
      <c r="AM246" s="149"/>
      <c r="AN246" s="149"/>
      <c r="AO246" s="149"/>
    </row>
    <row r="247" spans="2:41" ht="15">
      <c r="B247" s="152" t="s">
        <v>404</v>
      </c>
      <c r="C247" s="151"/>
      <c r="D247" s="151"/>
      <c r="E247" s="151"/>
      <c r="F247" s="151"/>
      <c r="G247" s="151"/>
      <c r="H247" s="151"/>
      <c r="I247" s="151"/>
      <c r="J247" s="151"/>
      <c r="K247" s="151"/>
      <c r="L247" s="151"/>
      <c r="M247" s="151"/>
      <c r="N247" s="151"/>
      <c r="O247" s="151"/>
      <c r="P247" s="151"/>
      <c r="Q247" s="151"/>
      <c r="R247" s="151"/>
      <c r="S247" s="151"/>
      <c r="T247" s="151"/>
      <c r="U247" s="151"/>
      <c r="V247" s="151"/>
      <c r="W247" s="151"/>
      <c r="X247" s="151"/>
      <c r="Y247" s="247"/>
      <c r="Z247" s="247"/>
      <c r="AA247" s="247"/>
      <c r="AB247" s="247"/>
      <c r="AC247" s="153"/>
      <c r="AD247" s="149"/>
      <c r="AE247" s="149"/>
      <c r="AF247" s="149"/>
      <c r="AG247" s="149"/>
      <c r="AH247" s="149"/>
      <c r="AI247" s="149"/>
      <c r="AJ247" s="149"/>
      <c r="AK247" s="149"/>
      <c r="AL247" s="149"/>
      <c r="AM247" s="149"/>
      <c r="AN247" s="149"/>
      <c r="AO247" s="149"/>
    </row>
    <row r="248" spans="2:41" ht="15">
      <c r="B248" s="152" t="s">
        <v>404</v>
      </c>
      <c r="C248" s="151"/>
      <c r="D248" s="151"/>
      <c r="E248" s="151"/>
      <c r="F248" s="151"/>
      <c r="G248" s="151"/>
      <c r="H248" s="151"/>
      <c r="I248" s="151"/>
      <c r="J248" s="151"/>
      <c r="K248" s="151"/>
      <c r="L248" s="151"/>
      <c r="M248" s="151"/>
      <c r="N248" s="151"/>
      <c r="O248" s="151"/>
      <c r="P248" s="151"/>
      <c r="Q248" s="151"/>
      <c r="R248" s="151"/>
      <c r="S248" s="151"/>
      <c r="T248" s="151"/>
      <c r="U248" s="151"/>
      <c r="V248" s="151"/>
      <c r="W248" s="151"/>
      <c r="X248" s="151"/>
      <c r="Y248" s="247"/>
      <c r="Z248" s="247"/>
      <c r="AA248" s="247"/>
      <c r="AB248" s="247"/>
      <c r="AC248" s="153"/>
      <c r="AD248" s="149"/>
      <c r="AE248" s="149"/>
      <c r="AF248" s="149"/>
      <c r="AG248" s="149"/>
      <c r="AH248" s="149"/>
      <c r="AI248" s="149"/>
      <c r="AJ248" s="149"/>
      <c r="AK248" s="149"/>
      <c r="AL248" s="149"/>
      <c r="AM248" s="149"/>
      <c r="AN248" s="149"/>
      <c r="AO248" s="149"/>
    </row>
    <row r="249" spans="2:41" ht="15">
      <c r="B249" s="152" t="s">
        <v>404</v>
      </c>
      <c r="C249" s="151"/>
      <c r="D249" s="151"/>
      <c r="E249" s="151"/>
      <c r="F249" s="151"/>
      <c r="G249" s="151"/>
      <c r="H249" s="151"/>
      <c r="I249" s="151"/>
      <c r="J249" s="151"/>
      <c r="K249" s="151"/>
      <c r="L249" s="151"/>
      <c r="M249" s="151"/>
      <c r="N249" s="151"/>
      <c r="O249" s="151"/>
      <c r="P249" s="151"/>
      <c r="Q249" s="151"/>
      <c r="R249" s="151"/>
      <c r="S249" s="151"/>
      <c r="T249" s="151"/>
      <c r="U249" s="151"/>
      <c r="V249" s="151"/>
      <c r="W249" s="151"/>
      <c r="X249" s="151"/>
      <c r="Y249" s="247"/>
      <c r="Z249" s="247"/>
      <c r="AA249" s="247"/>
      <c r="AB249" s="247"/>
      <c r="AC249" s="153"/>
      <c r="AD249" s="149"/>
      <c r="AE249" s="149"/>
      <c r="AF249" s="149"/>
      <c r="AG249" s="149"/>
      <c r="AH249" s="149"/>
      <c r="AI249" s="149"/>
      <c r="AJ249" s="149"/>
      <c r="AK249" s="149"/>
      <c r="AL249" s="149"/>
      <c r="AM249" s="149"/>
      <c r="AN249" s="149"/>
      <c r="AO249" s="149"/>
    </row>
    <row r="250" spans="2:41" ht="15">
      <c r="B250" s="152" t="s">
        <v>404</v>
      </c>
      <c r="C250" s="151"/>
      <c r="D250" s="151"/>
      <c r="E250" s="151"/>
      <c r="F250" s="151"/>
      <c r="G250" s="151"/>
      <c r="H250" s="151"/>
      <c r="I250" s="151"/>
      <c r="J250" s="151"/>
      <c r="K250" s="151"/>
      <c r="L250" s="151"/>
      <c r="M250" s="151"/>
      <c r="N250" s="151"/>
      <c r="O250" s="151"/>
      <c r="P250" s="151"/>
      <c r="Q250" s="151"/>
      <c r="R250" s="151"/>
      <c r="S250" s="151"/>
      <c r="T250" s="151"/>
      <c r="U250" s="151"/>
      <c r="V250" s="151"/>
      <c r="W250" s="151"/>
      <c r="X250" s="151"/>
      <c r="Y250" s="247"/>
      <c r="Z250" s="247"/>
      <c r="AA250" s="247"/>
      <c r="AB250" s="247"/>
      <c r="AC250" s="153"/>
      <c r="AD250" s="149"/>
      <c r="AE250" s="149"/>
      <c r="AF250" s="149"/>
      <c r="AG250" s="149"/>
      <c r="AH250" s="149"/>
      <c r="AI250" s="149"/>
      <c r="AJ250" s="149"/>
      <c r="AK250" s="149"/>
      <c r="AL250" s="149"/>
      <c r="AM250" s="149"/>
      <c r="AN250" s="149"/>
      <c r="AO250" s="149"/>
    </row>
    <row r="251" spans="2:41" ht="15">
      <c r="B251" s="152" t="s">
        <v>404</v>
      </c>
      <c r="C251" s="151"/>
      <c r="D251" s="151"/>
      <c r="E251" s="151"/>
      <c r="F251" s="151"/>
      <c r="G251" s="151"/>
      <c r="H251" s="151"/>
      <c r="I251" s="151"/>
      <c r="J251" s="151"/>
      <c r="K251" s="151"/>
      <c r="L251" s="151"/>
      <c r="M251" s="151"/>
      <c r="N251" s="151"/>
      <c r="O251" s="151"/>
      <c r="P251" s="151"/>
      <c r="Q251" s="151"/>
      <c r="R251" s="151"/>
      <c r="S251" s="151"/>
      <c r="T251" s="151"/>
      <c r="U251" s="151"/>
      <c r="V251" s="151"/>
      <c r="W251" s="151"/>
      <c r="X251" s="151"/>
      <c r="Y251" s="247"/>
      <c r="Z251" s="247"/>
      <c r="AA251" s="247"/>
      <c r="AB251" s="247"/>
      <c r="AC251" s="153"/>
      <c r="AD251" s="149"/>
      <c r="AE251" s="149"/>
      <c r="AF251" s="149"/>
      <c r="AG251" s="149"/>
      <c r="AH251" s="149"/>
      <c r="AI251" s="149"/>
      <c r="AJ251" s="149"/>
      <c r="AK251" s="149"/>
      <c r="AL251" s="149"/>
      <c r="AM251" s="149"/>
      <c r="AN251" s="149"/>
      <c r="AO251" s="149"/>
    </row>
    <row r="252" spans="2:41" ht="15">
      <c r="B252" s="152" t="s">
        <v>404</v>
      </c>
      <c r="C252" s="151"/>
      <c r="D252" s="151"/>
      <c r="E252" s="151"/>
      <c r="F252" s="151"/>
      <c r="G252" s="151"/>
      <c r="H252" s="151"/>
      <c r="I252" s="151"/>
      <c r="J252" s="151"/>
      <c r="K252" s="151"/>
      <c r="L252" s="151"/>
      <c r="M252" s="151"/>
      <c r="N252" s="151"/>
      <c r="O252" s="151"/>
      <c r="P252" s="151"/>
      <c r="Q252" s="151"/>
      <c r="R252" s="151"/>
      <c r="S252" s="151"/>
      <c r="T252" s="151"/>
      <c r="U252" s="151"/>
      <c r="V252" s="151"/>
      <c r="W252" s="151"/>
      <c r="X252" s="151"/>
      <c r="Y252" s="247"/>
      <c r="Z252" s="247"/>
      <c r="AA252" s="247"/>
      <c r="AB252" s="247"/>
      <c r="AC252" s="153"/>
      <c r="AD252" s="149"/>
      <c r="AE252" s="149"/>
      <c r="AF252" s="149"/>
      <c r="AG252" s="149"/>
      <c r="AH252" s="149"/>
      <c r="AI252" s="149"/>
      <c r="AJ252" s="149"/>
      <c r="AK252" s="149"/>
      <c r="AL252" s="149"/>
      <c r="AM252" s="149"/>
      <c r="AN252" s="149"/>
      <c r="AO252" s="149"/>
    </row>
    <row r="253" spans="2:41" ht="15">
      <c r="B253" s="152" t="s">
        <v>404</v>
      </c>
      <c r="C253" s="151"/>
      <c r="D253" s="151"/>
      <c r="E253" s="151"/>
      <c r="F253" s="151"/>
      <c r="G253" s="151"/>
      <c r="H253" s="151"/>
      <c r="I253" s="151"/>
      <c r="J253" s="151"/>
      <c r="K253" s="151"/>
      <c r="L253" s="151"/>
      <c r="M253" s="151"/>
      <c r="N253" s="151"/>
      <c r="O253" s="151"/>
      <c r="P253" s="151"/>
      <c r="Q253" s="151"/>
      <c r="R253" s="151"/>
      <c r="S253" s="151"/>
      <c r="T253" s="151"/>
      <c r="U253" s="151"/>
      <c r="V253" s="151"/>
      <c r="W253" s="151"/>
      <c r="X253" s="151"/>
      <c r="Y253" s="247"/>
      <c r="Z253" s="247"/>
      <c r="AA253" s="247"/>
      <c r="AB253" s="247"/>
      <c r="AC253" s="153"/>
      <c r="AD253" s="149"/>
      <c r="AE253" s="149"/>
      <c r="AF253" s="149"/>
      <c r="AG253" s="149"/>
      <c r="AH253" s="149"/>
      <c r="AI253" s="149"/>
      <c r="AJ253" s="149"/>
      <c r="AK253" s="149"/>
      <c r="AL253" s="149"/>
      <c r="AM253" s="149"/>
      <c r="AN253" s="149"/>
      <c r="AO253" s="149"/>
    </row>
    <row r="254" spans="2:41" ht="15">
      <c r="B254" s="152" t="s">
        <v>404</v>
      </c>
      <c r="C254" s="151"/>
      <c r="D254" s="151"/>
      <c r="E254" s="151"/>
      <c r="F254" s="151"/>
      <c r="G254" s="151"/>
      <c r="H254" s="151"/>
      <c r="I254" s="151"/>
      <c r="J254" s="151"/>
      <c r="K254" s="151"/>
      <c r="L254" s="151"/>
      <c r="M254" s="151"/>
      <c r="N254" s="151"/>
      <c r="O254" s="151"/>
      <c r="P254" s="151"/>
      <c r="Q254" s="151"/>
      <c r="R254" s="151"/>
      <c r="S254" s="151"/>
      <c r="T254" s="151"/>
      <c r="U254" s="151"/>
      <c r="V254" s="151"/>
      <c r="W254" s="151"/>
      <c r="X254" s="151"/>
      <c r="Y254" s="247"/>
      <c r="Z254" s="247"/>
      <c r="AA254" s="247"/>
      <c r="AB254" s="247"/>
      <c r="AC254" s="153"/>
      <c r="AD254" s="149"/>
      <c r="AE254" s="149"/>
      <c r="AF254" s="149"/>
      <c r="AG254" s="149"/>
      <c r="AH254" s="149"/>
      <c r="AI254" s="149"/>
      <c r="AJ254" s="149"/>
      <c r="AK254" s="149"/>
      <c r="AL254" s="149"/>
      <c r="AM254" s="149"/>
      <c r="AN254" s="149"/>
      <c r="AO254" s="149"/>
    </row>
    <row r="255" spans="2:41" ht="15">
      <c r="B255" s="152" t="s">
        <v>404</v>
      </c>
      <c r="C255" s="151"/>
      <c r="D255" s="151"/>
      <c r="E255" s="151"/>
      <c r="F255" s="151"/>
      <c r="G255" s="151"/>
      <c r="H255" s="151"/>
      <c r="I255" s="151"/>
      <c r="J255" s="151"/>
      <c r="K255" s="151"/>
      <c r="L255" s="151"/>
      <c r="M255" s="151"/>
      <c r="N255" s="151"/>
      <c r="O255" s="151"/>
      <c r="P255" s="151"/>
      <c r="Q255" s="151"/>
      <c r="R255" s="151"/>
      <c r="S255" s="151"/>
      <c r="T255" s="151"/>
      <c r="U255" s="151"/>
      <c r="V255" s="151"/>
      <c r="W255" s="151"/>
      <c r="X255" s="151"/>
      <c r="Y255" s="247"/>
      <c r="Z255" s="247"/>
      <c r="AA255" s="247"/>
      <c r="AB255" s="247"/>
      <c r="AC255" s="153"/>
      <c r="AD255" s="149"/>
      <c r="AE255" s="149"/>
      <c r="AF255" s="149"/>
      <c r="AG255" s="149"/>
      <c r="AH255" s="149"/>
      <c r="AI255" s="149"/>
      <c r="AJ255" s="149"/>
      <c r="AK255" s="149"/>
      <c r="AL255" s="149"/>
      <c r="AM255" s="149"/>
      <c r="AN255" s="149"/>
      <c r="AO255" s="149"/>
    </row>
    <row r="256" spans="2:41" ht="15">
      <c r="B256" s="152" t="s">
        <v>404</v>
      </c>
      <c r="C256" s="151"/>
      <c r="D256" s="151"/>
      <c r="E256" s="151"/>
      <c r="F256" s="151"/>
      <c r="G256" s="151"/>
      <c r="H256" s="151"/>
      <c r="I256" s="151"/>
      <c r="J256" s="151"/>
      <c r="K256" s="151"/>
      <c r="L256" s="151"/>
      <c r="M256" s="151"/>
      <c r="N256" s="151"/>
      <c r="O256" s="151"/>
      <c r="P256" s="151"/>
      <c r="Q256" s="151"/>
      <c r="R256" s="151"/>
      <c r="S256" s="151"/>
      <c r="T256" s="151"/>
      <c r="U256" s="151"/>
      <c r="V256" s="151"/>
      <c r="W256" s="151"/>
      <c r="X256" s="151"/>
      <c r="Y256" s="247"/>
      <c r="Z256" s="247"/>
      <c r="AA256" s="247"/>
      <c r="AB256" s="247"/>
      <c r="AC256" s="153"/>
      <c r="AD256" s="149"/>
      <c r="AE256" s="149"/>
      <c r="AF256" s="149"/>
      <c r="AG256" s="149"/>
      <c r="AH256" s="149"/>
      <c r="AI256" s="149"/>
      <c r="AJ256" s="149"/>
      <c r="AK256" s="149"/>
      <c r="AL256" s="149"/>
      <c r="AM256" s="149"/>
      <c r="AN256" s="149"/>
      <c r="AO256" s="149"/>
    </row>
    <row r="257" spans="2:41" ht="15">
      <c r="B257" s="152" t="s">
        <v>404</v>
      </c>
      <c r="C257" s="151"/>
      <c r="D257" s="151"/>
      <c r="E257" s="151"/>
      <c r="F257" s="151"/>
      <c r="G257" s="151"/>
      <c r="H257" s="151"/>
      <c r="I257" s="151"/>
      <c r="J257" s="151"/>
      <c r="K257" s="151"/>
      <c r="L257" s="151"/>
      <c r="M257" s="151"/>
      <c r="N257" s="151"/>
      <c r="O257" s="151"/>
      <c r="P257" s="151"/>
      <c r="Q257" s="151"/>
      <c r="R257" s="151"/>
      <c r="S257" s="151"/>
      <c r="T257" s="151"/>
      <c r="U257" s="151"/>
      <c r="V257" s="151"/>
      <c r="W257" s="151"/>
      <c r="X257" s="151"/>
      <c r="Y257" s="247"/>
      <c r="Z257" s="247"/>
      <c r="AA257" s="247"/>
      <c r="AB257" s="247"/>
      <c r="AC257" s="153"/>
      <c r="AD257" s="149"/>
      <c r="AE257" s="149"/>
      <c r="AF257" s="149"/>
      <c r="AG257" s="149"/>
      <c r="AH257" s="149"/>
      <c r="AI257" s="149"/>
      <c r="AJ257" s="149"/>
      <c r="AK257" s="149"/>
      <c r="AL257" s="149"/>
      <c r="AM257" s="149"/>
      <c r="AN257" s="149"/>
      <c r="AO257" s="149"/>
    </row>
    <row r="258" spans="2:41" ht="15">
      <c r="B258" s="152" t="s">
        <v>404</v>
      </c>
      <c r="C258" s="151"/>
      <c r="D258" s="151"/>
      <c r="E258" s="151"/>
      <c r="F258" s="151"/>
      <c r="G258" s="151"/>
      <c r="H258" s="151"/>
      <c r="I258" s="151"/>
      <c r="J258" s="151"/>
      <c r="K258" s="151"/>
      <c r="L258" s="151"/>
      <c r="M258" s="151"/>
      <c r="N258" s="151"/>
      <c r="O258" s="151"/>
      <c r="P258" s="151"/>
      <c r="Q258" s="151"/>
      <c r="R258" s="151"/>
      <c r="S258" s="151"/>
      <c r="T258" s="151"/>
      <c r="U258" s="151"/>
      <c r="V258" s="151"/>
      <c r="W258" s="151"/>
      <c r="X258" s="151"/>
      <c r="Y258" s="247"/>
      <c r="Z258" s="247"/>
      <c r="AA258" s="247"/>
      <c r="AB258" s="247"/>
      <c r="AC258" s="153"/>
      <c r="AD258" s="149"/>
      <c r="AE258" s="149"/>
      <c r="AF258" s="149"/>
      <c r="AG258" s="149"/>
      <c r="AH258" s="149"/>
      <c r="AI258" s="149"/>
      <c r="AJ258" s="149"/>
      <c r="AK258" s="149"/>
      <c r="AL258" s="149"/>
      <c r="AM258" s="149"/>
      <c r="AN258" s="149"/>
      <c r="AO258" s="149"/>
    </row>
    <row r="259" spans="2:41" ht="15">
      <c r="B259" s="152" t="s">
        <v>404</v>
      </c>
      <c r="C259" s="151"/>
      <c r="D259" s="151"/>
      <c r="E259" s="151"/>
      <c r="F259" s="151"/>
      <c r="G259" s="151"/>
      <c r="H259" s="151"/>
      <c r="I259" s="151"/>
      <c r="J259" s="151"/>
      <c r="K259" s="151"/>
      <c r="L259" s="151"/>
      <c r="M259" s="151"/>
      <c r="N259" s="151"/>
      <c r="O259" s="151"/>
      <c r="P259" s="151"/>
      <c r="Q259" s="151"/>
      <c r="R259" s="151"/>
      <c r="S259" s="151"/>
      <c r="T259" s="151"/>
      <c r="U259" s="151"/>
      <c r="V259" s="151"/>
      <c r="W259" s="151"/>
      <c r="X259" s="151"/>
      <c r="Y259" s="247"/>
      <c r="Z259" s="247"/>
      <c r="AA259" s="247"/>
      <c r="AB259" s="247"/>
      <c r="AC259" s="153"/>
      <c r="AD259" s="149"/>
      <c r="AE259" s="149"/>
      <c r="AF259" s="149"/>
      <c r="AG259" s="149"/>
      <c r="AH259" s="149"/>
      <c r="AI259" s="149"/>
      <c r="AJ259" s="149"/>
      <c r="AK259" s="149"/>
      <c r="AL259" s="149"/>
      <c r="AM259" s="149"/>
      <c r="AN259" s="149"/>
      <c r="AO259" s="149"/>
    </row>
    <row r="260" spans="2:41" ht="15">
      <c r="B260" s="152" t="s">
        <v>404</v>
      </c>
      <c r="C260" s="151"/>
      <c r="D260" s="151"/>
      <c r="E260" s="151"/>
      <c r="F260" s="151"/>
      <c r="G260" s="151"/>
      <c r="H260" s="151"/>
      <c r="I260" s="151"/>
      <c r="J260" s="151"/>
      <c r="K260" s="151"/>
      <c r="L260" s="151"/>
      <c r="M260" s="151"/>
      <c r="N260" s="151"/>
      <c r="O260" s="151"/>
      <c r="P260" s="151"/>
      <c r="Q260" s="151"/>
      <c r="R260" s="151"/>
      <c r="S260" s="151"/>
      <c r="T260" s="151"/>
      <c r="U260" s="151"/>
      <c r="V260" s="151"/>
      <c r="W260" s="151"/>
      <c r="X260" s="151"/>
      <c r="Y260" s="247"/>
      <c r="Z260" s="247"/>
      <c r="AA260" s="247"/>
      <c r="AB260" s="247"/>
      <c r="AC260" s="153"/>
      <c r="AD260" s="149"/>
      <c r="AE260" s="149"/>
      <c r="AF260" s="149"/>
      <c r="AG260" s="149"/>
      <c r="AH260" s="149"/>
      <c r="AI260" s="149"/>
      <c r="AJ260" s="149"/>
      <c r="AK260" s="149"/>
      <c r="AL260" s="149"/>
      <c r="AM260" s="149"/>
      <c r="AN260" s="149"/>
      <c r="AO260" s="149"/>
    </row>
    <row r="261" spans="2:41" ht="15">
      <c r="B261" s="152" t="s">
        <v>404</v>
      </c>
      <c r="C261" s="151"/>
      <c r="D261" s="151"/>
      <c r="E261" s="151"/>
      <c r="F261" s="151"/>
      <c r="G261" s="151"/>
      <c r="H261" s="151"/>
      <c r="I261" s="151"/>
      <c r="J261" s="151"/>
      <c r="K261" s="151"/>
      <c r="L261" s="151"/>
      <c r="M261" s="151"/>
      <c r="N261" s="151"/>
      <c r="O261" s="151"/>
      <c r="P261" s="151"/>
      <c r="Q261" s="151"/>
      <c r="R261" s="151"/>
      <c r="S261" s="151"/>
      <c r="T261" s="151"/>
      <c r="U261" s="151"/>
      <c r="V261" s="151"/>
      <c r="W261" s="151"/>
      <c r="X261" s="151"/>
      <c r="Y261" s="247"/>
      <c r="Z261" s="247"/>
      <c r="AA261" s="247"/>
      <c r="AB261" s="247"/>
      <c r="AC261" s="153"/>
      <c r="AD261" s="149"/>
      <c r="AE261" s="149"/>
      <c r="AF261" s="149"/>
      <c r="AG261" s="149"/>
      <c r="AH261" s="149"/>
      <c r="AI261" s="149"/>
      <c r="AJ261" s="149"/>
      <c r="AK261" s="149"/>
      <c r="AL261" s="149"/>
      <c r="AM261" s="149"/>
      <c r="AN261" s="149"/>
      <c r="AO261" s="149"/>
    </row>
    <row r="262" spans="2:41" ht="15">
      <c r="B262" s="152" t="s">
        <v>404</v>
      </c>
      <c r="C262" s="151"/>
      <c r="D262" s="151"/>
      <c r="E262" s="151"/>
      <c r="F262" s="151"/>
      <c r="G262" s="151"/>
      <c r="H262" s="151"/>
      <c r="I262" s="151"/>
      <c r="J262" s="151"/>
      <c r="K262" s="151"/>
      <c r="L262" s="151"/>
      <c r="M262" s="151"/>
      <c r="N262" s="151"/>
      <c r="O262" s="151"/>
      <c r="P262" s="151"/>
      <c r="Q262" s="151"/>
      <c r="R262" s="151"/>
      <c r="S262" s="151"/>
      <c r="T262" s="151"/>
      <c r="U262" s="151"/>
      <c r="V262" s="151"/>
      <c r="W262" s="151"/>
      <c r="X262" s="151"/>
      <c r="Y262" s="247"/>
      <c r="Z262" s="247"/>
      <c r="AA262" s="247"/>
      <c r="AB262" s="247"/>
      <c r="AC262" s="153"/>
      <c r="AD262" s="149"/>
      <c r="AE262" s="149"/>
      <c r="AF262" s="149"/>
      <c r="AG262" s="149"/>
      <c r="AH262" s="149"/>
      <c r="AI262" s="149"/>
      <c r="AJ262" s="149"/>
      <c r="AK262" s="149"/>
      <c r="AL262" s="149"/>
      <c r="AM262" s="149"/>
      <c r="AN262" s="149"/>
      <c r="AO262" s="149"/>
    </row>
    <row r="263" spans="2:41" ht="15">
      <c r="B263" s="152" t="s">
        <v>404</v>
      </c>
      <c r="C263" s="151"/>
      <c r="D263" s="151"/>
      <c r="E263" s="151"/>
      <c r="F263" s="151"/>
      <c r="G263" s="151"/>
      <c r="H263" s="151"/>
      <c r="I263" s="151"/>
      <c r="J263" s="151"/>
      <c r="K263" s="151"/>
      <c r="L263" s="151"/>
      <c r="M263" s="151"/>
      <c r="N263" s="151"/>
      <c r="O263" s="151"/>
      <c r="P263" s="151"/>
      <c r="Q263" s="151"/>
      <c r="R263" s="151"/>
      <c r="S263" s="151"/>
      <c r="T263" s="151"/>
      <c r="U263" s="151"/>
      <c r="V263" s="151"/>
      <c r="W263" s="151"/>
      <c r="X263" s="151"/>
      <c r="Y263" s="247"/>
      <c r="Z263" s="247"/>
      <c r="AA263" s="247"/>
      <c r="AB263" s="247"/>
      <c r="AC263" s="153"/>
      <c r="AD263" s="149"/>
      <c r="AE263" s="149"/>
      <c r="AF263" s="149"/>
      <c r="AG263" s="149"/>
      <c r="AH263" s="149"/>
      <c r="AI263" s="149"/>
      <c r="AJ263" s="149"/>
      <c r="AK263" s="149"/>
      <c r="AL263" s="149"/>
      <c r="AM263" s="149"/>
      <c r="AN263" s="149"/>
      <c r="AO263" s="149"/>
    </row>
    <row r="264" spans="2:41" ht="15">
      <c r="B264" s="152" t="s">
        <v>404</v>
      </c>
      <c r="C264" s="151"/>
      <c r="D264" s="151"/>
      <c r="E264" s="151"/>
      <c r="F264" s="151"/>
      <c r="G264" s="151"/>
      <c r="H264" s="151"/>
      <c r="I264" s="151"/>
      <c r="J264" s="151"/>
      <c r="K264" s="151"/>
      <c r="L264" s="151"/>
      <c r="M264" s="151"/>
      <c r="N264" s="151"/>
      <c r="O264" s="151"/>
      <c r="P264" s="151"/>
      <c r="Q264" s="151"/>
      <c r="R264" s="151"/>
      <c r="S264" s="151"/>
      <c r="T264" s="151"/>
      <c r="U264" s="151"/>
      <c r="V264" s="151"/>
      <c r="W264" s="151"/>
      <c r="X264" s="151"/>
      <c r="Y264" s="247"/>
      <c r="Z264" s="247"/>
      <c r="AA264" s="247"/>
      <c r="AB264" s="247"/>
      <c r="AC264" s="153"/>
      <c r="AD264" s="149"/>
      <c r="AE264" s="149"/>
      <c r="AF264" s="149"/>
      <c r="AG264" s="149"/>
      <c r="AH264" s="149"/>
      <c r="AI264" s="149"/>
      <c r="AJ264" s="149"/>
      <c r="AK264" s="149"/>
      <c r="AL264" s="149"/>
      <c r="AM264" s="149"/>
      <c r="AN264" s="149"/>
      <c r="AO264" s="149"/>
    </row>
    <row r="265" spans="2:41" ht="15">
      <c r="B265" s="152" t="s">
        <v>404</v>
      </c>
      <c r="C265" s="151"/>
      <c r="D265" s="151"/>
      <c r="E265" s="151"/>
      <c r="F265" s="151"/>
      <c r="G265" s="151"/>
      <c r="H265" s="151"/>
      <c r="I265" s="151"/>
      <c r="J265" s="151"/>
      <c r="K265" s="151"/>
      <c r="L265" s="151"/>
      <c r="M265" s="151"/>
      <c r="N265" s="151"/>
      <c r="O265" s="151"/>
      <c r="P265" s="151"/>
      <c r="Q265" s="151"/>
      <c r="R265" s="151"/>
      <c r="S265" s="151"/>
      <c r="T265" s="151"/>
      <c r="U265" s="151"/>
      <c r="V265" s="151"/>
      <c r="W265" s="151"/>
      <c r="X265" s="151"/>
      <c r="Y265" s="247"/>
      <c r="Z265" s="247"/>
      <c r="AA265" s="247"/>
      <c r="AB265" s="247"/>
      <c r="AC265" s="153"/>
      <c r="AD265" s="149"/>
      <c r="AE265" s="149"/>
      <c r="AF265" s="149"/>
      <c r="AG265" s="149"/>
      <c r="AH265" s="149"/>
      <c r="AI265" s="149"/>
      <c r="AJ265" s="149"/>
      <c r="AK265" s="149"/>
      <c r="AL265" s="149"/>
      <c r="AM265" s="149"/>
      <c r="AN265" s="149"/>
      <c r="AO265" s="149"/>
    </row>
    <row r="266" spans="2:41" ht="15">
      <c r="B266" s="152" t="s">
        <v>404</v>
      </c>
      <c r="C266" s="151"/>
      <c r="D266" s="151"/>
      <c r="E266" s="151"/>
      <c r="F266" s="151"/>
      <c r="G266" s="151"/>
      <c r="H266" s="151"/>
      <c r="I266" s="151"/>
      <c r="J266" s="151"/>
      <c r="K266" s="151"/>
      <c r="L266" s="151"/>
      <c r="M266" s="151"/>
      <c r="N266" s="151"/>
      <c r="O266" s="151"/>
      <c r="P266" s="151"/>
      <c r="Q266" s="151"/>
      <c r="R266" s="151"/>
      <c r="S266" s="151"/>
      <c r="T266" s="151"/>
      <c r="U266" s="151"/>
      <c r="V266" s="151"/>
      <c r="W266" s="151"/>
      <c r="X266" s="151"/>
      <c r="Y266" s="247"/>
      <c r="Z266" s="247"/>
      <c r="AA266" s="247"/>
      <c r="AB266" s="247"/>
      <c r="AC266" s="153"/>
      <c r="AD266" s="149"/>
      <c r="AE266" s="149"/>
      <c r="AF266" s="149"/>
      <c r="AG266" s="149"/>
      <c r="AH266" s="149"/>
      <c r="AI266" s="149"/>
      <c r="AJ266" s="149"/>
      <c r="AK266" s="149"/>
      <c r="AL266" s="149"/>
      <c r="AM266" s="149"/>
      <c r="AN266" s="149"/>
      <c r="AO266" s="149"/>
    </row>
    <row r="267" spans="2:41" ht="15">
      <c r="B267" s="152" t="s">
        <v>404</v>
      </c>
      <c r="C267" s="151"/>
      <c r="D267" s="151"/>
      <c r="E267" s="151"/>
      <c r="F267" s="151"/>
      <c r="G267" s="151"/>
      <c r="H267" s="151"/>
      <c r="I267" s="151"/>
      <c r="J267" s="151"/>
      <c r="K267" s="151"/>
      <c r="L267" s="151"/>
      <c r="M267" s="151"/>
      <c r="N267" s="151"/>
      <c r="O267" s="151"/>
      <c r="P267" s="151"/>
      <c r="Q267" s="151"/>
      <c r="R267" s="151"/>
      <c r="S267" s="151"/>
      <c r="T267" s="151"/>
      <c r="U267" s="151"/>
      <c r="V267" s="151"/>
      <c r="W267" s="151"/>
      <c r="X267" s="151"/>
      <c r="Y267" s="247"/>
      <c r="Z267" s="247"/>
      <c r="AA267" s="247"/>
      <c r="AB267" s="247"/>
      <c r="AC267" s="153"/>
      <c r="AD267" s="149"/>
      <c r="AE267" s="149"/>
      <c r="AF267" s="149"/>
      <c r="AG267" s="149"/>
      <c r="AH267" s="149"/>
      <c r="AI267" s="149"/>
      <c r="AJ267" s="149"/>
      <c r="AK267" s="149"/>
      <c r="AL267" s="149"/>
      <c r="AM267" s="149"/>
      <c r="AN267" s="149"/>
      <c r="AO267" s="149"/>
    </row>
    <row r="268" spans="2:41" ht="15">
      <c r="B268" s="152" t="s">
        <v>404</v>
      </c>
      <c r="C268" s="151"/>
      <c r="D268" s="151"/>
      <c r="E268" s="151"/>
      <c r="F268" s="151"/>
      <c r="G268" s="151"/>
      <c r="H268" s="151"/>
      <c r="I268" s="151"/>
      <c r="J268" s="151"/>
      <c r="K268" s="151"/>
      <c r="L268" s="151"/>
      <c r="M268" s="151"/>
      <c r="N268" s="151"/>
      <c r="O268" s="151"/>
      <c r="P268" s="151"/>
      <c r="Q268" s="151"/>
      <c r="R268" s="151"/>
      <c r="S268" s="151"/>
      <c r="T268" s="151"/>
      <c r="U268" s="151"/>
      <c r="V268" s="151"/>
      <c r="W268" s="151"/>
      <c r="X268" s="151"/>
      <c r="Y268" s="247"/>
      <c r="Z268" s="247"/>
      <c r="AA268" s="247"/>
      <c r="AB268" s="247"/>
      <c r="AC268" s="153"/>
      <c r="AD268" s="149"/>
      <c r="AE268" s="149"/>
      <c r="AF268" s="149"/>
      <c r="AG268" s="149"/>
      <c r="AH268" s="149"/>
      <c r="AI268" s="149"/>
      <c r="AJ268" s="149"/>
      <c r="AK268" s="149"/>
      <c r="AL268" s="149"/>
      <c r="AM268" s="149"/>
      <c r="AN268" s="149"/>
      <c r="AO268" s="149"/>
    </row>
    <row r="269" spans="2:41" ht="15">
      <c r="B269" s="152" t="s">
        <v>404</v>
      </c>
      <c r="C269" s="151"/>
      <c r="D269" s="151"/>
      <c r="E269" s="151"/>
      <c r="F269" s="151"/>
      <c r="G269" s="151"/>
      <c r="H269" s="151"/>
      <c r="I269" s="151"/>
      <c r="J269" s="151"/>
      <c r="K269" s="151"/>
      <c r="L269" s="151"/>
      <c r="M269" s="151"/>
      <c r="N269" s="151"/>
      <c r="O269" s="151"/>
      <c r="P269" s="151"/>
      <c r="Q269" s="151"/>
      <c r="R269" s="151"/>
      <c r="S269" s="151"/>
      <c r="T269" s="151"/>
      <c r="U269" s="151"/>
      <c r="V269" s="151"/>
      <c r="W269" s="151"/>
      <c r="X269" s="151"/>
      <c r="Y269" s="247"/>
      <c r="Z269" s="247"/>
      <c r="AA269" s="247"/>
      <c r="AB269" s="247"/>
      <c r="AC269" s="153"/>
      <c r="AD269" s="149"/>
      <c r="AE269" s="149"/>
      <c r="AF269" s="149"/>
      <c r="AG269" s="149"/>
      <c r="AH269" s="149"/>
      <c r="AI269" s="149"/>
      <c r="AJ269" s="149"/>
      <c r="AK269" s="149"/>
      <c r="AL269" s="149"/>
      <c r="AM269" s="149"/>
      <c r="AN269" s="149"/>
      <c r="AO269" s="149"/>
    </row>
    <row r="270" spans="2:41" ht="15">
      <c r="B270" s="152" t="s">
        <v>404</v>
      </c>
      <c r="C270" s="151"/>
      <c r="D270" s="151"/>
      <c r="E270" s="151"/>
      <c r="F270" s="151"/>
      <c r="G270" s="151"/>
      <c r="H270" s="151"/>
      <c r="I270" s="151"/>
      <c r="J270" s="151"/>
      <c r="K270" s="151"/>
      <c r="L270" s="151"/>
      <c r="M270" s="151"/>
      <c r="N270" s="151"/>
      <c r="O270" s="151"/>
      <c r="P270" s="151"/>
      <c r="Q270" s="151"/>
      <c r="R270" s="151"/>
      <c r="S270" s="151"/>
      <c r="T270" s="151"/>
      <c r="U270" s="151"/>
      <c r="V270" s="151"/>
      <c r="W270" s="151"/>
      <c r="X270" s="151"/>
      <c r="Y270" s="247"/>
      <c r="Z270" s="247"/>
      <c r="AA270" s="247"/>
      <c r="AB270" s="247"/>
      <c r="AC270" s="153"/>
      <c r="AD270" s="149"/>
      <c r="AE270" s="149"/>
      <c r="AF270" s="149"/>
      <c r="AG270" s="149"/>
      <c r="AH270" s="149"/>
      <c r="AI270" s="149"/>
      <c r="AJ270" s="149"/>
      <c r="AK270" s="149"/>
      <c r="AL270" s="149"/>
      <c r="AM270" s="149"/>
      <c r="AN270" s="149"/>
      <c r="AO270" s="149"/>
    </row>
    <row r="271" spans="2:41" ht="15">
      <c r="B271" s="152" t="s">
        <v>404</v>
      </c>
      <c r="C271" s="151"/>
      <c r="D271" s="151"/>
      <c r="E271" s="151"/>
      <c r="F271" s="151"/>
      <c r="G271" s="151"/>
      <c r="H271" s="151"/>
      <c r="I271" s="151"/>
      <c r="J271" s="151"/>
      <c r="K271" s="151"/>
      <c r="L271" s="151"/>
      <c r="M271" s="151"/>
      <c r="N271" s="151"/>
      <c r="O271" s="151"/>
      <c r="P271" s="151"/>
      <c r="Q271" s="151"/>
      <c r="R271" s="151"/>
      <c r="S271" s="151"/>
      <c r="T271" s="151"/>
      <c r="U271" s="151"/>
      <c r="V271" s="151"/>
      <c r="W271" s="151"/>
      <c r="X271" s="151"/>
      <c r="Y271" s="247"/>
      <c r="Z271" s="247"/>
      <c r="AA271" s="247"/>
      <c r="AB271" s="247"/>
      <c r="AC271" s="153"/>
      <c r="AD271" s="149"/>
      <c r="AE271" s="149"/>
      <c r="AF271" s="149"/>
      <c r="AG271" s="149"/>
      <c r="AH271" s="149"/>
      <c r="AI271" s="149"/>
      <c r="AJ271" s="149"/>
      <c r="AK271" s="149"/>
      <c r="AL271" s="149"/>
      <c r="AM271" s="149"/>
      <c r="AN271" s="149"/>
      <c r="AO271" s="149"/>
    </row>
    <row r="272" spans="2:41" ht="15">
      <c r="B272" s="152" t="s">
        <v>404</v>
      </c>
      <c r="C272" s="151"/>
      <c r="D272" s="151"/>
      <c r="E272" s="151"/>
      <c r="F272" s="151"/>
      <c r="G272" s="151"/>
      <c r="H272" s="151"/>
      <c r="I272" s="151"/>
      <c r="J272" s="151"/>
      <c r="K272" s="151"/>
      <c r="L272" s="151"/>
      <c r="M272" s="151"/>
      <c r="N272" s="151"/>
      <c r="O272" s="151"/>
      <c r="P272" s="151"/>
      <c r="Q272" s="151"/>
      <c r="R272" s="151"/>
      <c r="S272" s="151"/>
      <c r="T272" s="151"/>
      <c r="U272" s="151"/>
      <c r="V272" s="151"/>
      <c r="W272" s="151"/>
      <c r="X272" s="151"/>
      <c r="Y272" s="247"/>
      <c r="Z272" s="247"/>
      <c r="AA272" s="247"/>
      <c r="AB272" s="247"/>
      <c r="AC272" s="153"/>
      <c r="AD272" s="149"/>
      <c r="AE272" s="149"/>
      <c r="AF272" s="149"/>
      <c r="AG272" s="149"/>
      <c r="AH272" s="149"/>
      <c r="AI272" s="149"/>
      <c r="AJ272" s="149"/>
      <c r="AK272" s="149"/>
      <c r="AL272" s="149"/>
      <c r="AM272" s="149"/>
      <c r="AN272" s="149"/>
      <c r="AO272" s="149"/>
    </row>
    <row r="273" spans="2:41" ht="15">
      <c r="B273" s="152" t="s">
        <v>404</v>
      </c>
      <c r="C273" s="151"/>
      <c r="D273" s="151"/>
      <c r="E273" s="151"/>
      <c r="F273" s="151"/>
      <c r="G273" s="151"/>
      <c r="H273" s="151"/>
      <c r="I273" s="151"/>
      <c r="J273" s="151"/>
      <c r="K273" s="151"/>
      <c r="L273" s="151"/>
      <c r="M273" s="151"/>
      <c r="N273" s="151"/>
      <c r="O273" s="151"/>
      <c r="P273" s="151"/>
      <c r="Q273" s="151"/>
      <c r="R273" s="151"/>
      <c r="S273" s="151"/>
      <c r="T273" s="151"/>
      <c r="U273" s="151"/>
      <c r="V273" s="151"/>
      <c r="W273" s="151"/>
      <c r="X273" s="151"/>
      <c r="Y273" s="247"/>
      <c r="Z273" s="247"/>
      <c r="AA273" s="247"/>
      <c r="AB273" s="247"/>
      <c r="AC273" s="153"/>
      <c r="AD273" s="149"/>
      <c r="AE273" s="149"/>
      <c r="AF273" s="149"/>
      <c r="AG273" s="149"/>
      <c r="AH273" s="149"/>
      <c r="AI273" s="149"/>
      <c r="AJ273" s="149"/>
      <c r="AK273" s="149"/>
      <c r="AL273" s="149"/>
      <c r="AM273" s="149"/>
      <c r="AN273" s="149"/>
      <c r="AO273" s="149"/>
    </row>
    <row r="274" spans="2:41" ht="15">
      <c r="B274" s="152" t="s">
        <v>404</v>
      </c>
      <c r="C274" s="151"/>
      <c r="D274" s="151"/>
      <c r="E274" s="151"/>
      <c r="F274" s="151"/>
      <c r="G274" s="151"/>
      <c r="H274" s="151"/>
      <c r="I274" s="151"/>
      <c r="J274" s="151"/>
      <c r="K274" s="151"/>
      <c r="L274" s="151"/>
      <c r="M274" s="151"/>
      <c r="N274" s="151"/>
      <c r="O274" s="151"/>
      <c r="P274" s="151"/>
      <c r="Q274" s="151"/>
      <c r="R274" s="151"/>
      <c r="S274" s="151"/>
      <c r="T274" s="151"/>
      <c r="U274" s="151"/>
      <c r="V274" s="151"/>
      <c r="W274" s="151"/>
      <c r="X274" s="151"/>
      <c r="Y274" s="247"/>
      <c r="Z274" s="247"/>
      <c r="AA274" s="247"/>
      <c r="AB274" s="247"/>
      <c r="AC274" s="153"/>
      <c r="AD274" s="149"/>
      <c r="AE274" s="149"/>
      <c r="AF274" s="149"/>
      <c r="AG274" s="149"/>
      <c r="AH274" s="149"/>
      <c r="AI274" s="149"/>
      <c r="AJ274" s="149"/>
      <c r="AK274" s="149"/>
      <c r="AL274" s="149"/>
      <c r="AM274" s="149"/>
      <c r="AN274" s="149"/>
      <c r="AO274" s="149"/>
    </row>
    <row r="275" spans="2:41" ht="15">
      <c r="B275" s="152" t="s">
        <v>404</v>
      </c>
      <c r="C275" s="151"/>
      <c r="D275" s="151"/>
      <c r="E275" s="151"/>
      <c r="F275" s="151"/>
      <c r="G275" s="151"/>
      <c r="H275" s="151"/>
      <c r="I275" s="151"/>
      <c r="J275" s="151"/>
      <c r="K275" s="151"/>
      <c r="L275" s="151"/>
      <c r="M275" s="151"/>
      <c r="N275" s="151"/>
      <c r="O275" s="151"/>
      <c r="P275" s="151"/>
      <c r="Q275" s="151"/>
      <c r="R275" s="151"/>
      <c r="S275" s="151"/>
      <c r="T275" s="151"/>
      <c r="U275" s="151"/>
      <c r="V275" s="151"/>
      <c r="W275" s="151"/>
      <c r="X275" s="151"/>
      <c r="Y275" s="247"/>
      <c r="Z275" s="247"/>
      <c r="AA275" s="247"/>
      <c r="AB275" s="247"/>
      <c r="AC275" s="153"/>
      <c r="AD275" s="149"/>
      <c r="AE275" s="149"/>
      <c r="AF275" s="149"/>
      <c r="AG275" s="149"/>
      <c r="AH275" s="149"/>
      <c r="AI275" s="149"/>
      <c r="AJ275" s="149"/>
      <c r="AK275" s="149"/>
      <c r="AL275" s="149"/>
      <c r="AM275" s="149"/>
      <c r="AN275" s="149"/>
      <c r="AO275" s="149"/>
    </row>
    <row r="276" spans="2:41" ht="15">
      <c r="B276" s="152" t="s">
        <v>404</v>
      </c>
      <c r="C276" s="151"/>
      <c r="D276" s="151"/>
      <c r="E276" s="151"/>
      <c r="F276" s="151"/>
      <c r="G276" s="151"/>
      <c r="H276" s="151"/>
      <c r="I276" s="151"/>
      <c r="J276" s="151"/>
      <c r="K276" s="151"/>
      <c r="L276" s="151"/>
      <c r="M276" s="151"/>
      <c r="N276" s="151"/>
      <c r="O276" s="151"/>
      <c r="P276" s="151"/>
      <c r="Q276" s="151"/>
      <c r="R276" s="151"/>
      <c r="S276" s="151"/>
      <c r="T276" s="151"/>
      <c r="U276" s="151"/>
      <c r="V276" s="151"/>
      <c r="W276" s="151"/>
      <c r="X276" s="151"/>
      <c r="Y276" s="247"/>
      <c r="Z276" s="247"/>
      <c r="AA276" s="247"/>
      <c r="AB276" s="247"/>
      <c r="AC276" s="153"/>
      <c r="AD276" s="149"/>
      <c r="AE276" s="149"/>
      <c r="AF276" s="149"/>
      <c r="AG276" s="149"/>
      <c r="AH276" s="149"/>
      <c r="AI276" s="149"/>
      <c r="AJ276" s="149"/>
      <c r="AK276" s="149"/>
      <c r="AL276" s="149"/>
      <c r="AM276" s="149"/>
      <c r="AN276" s="149"/>
      <c r="AO276" s="149"/>
    </row>
    <row r="277" spans="2:41" ht="15">
      <c r="B277" s="152" t="s">
        <v>404</v>
      </c>
      <c r="C277" s="151"/>
      <c r="D277" s="151"/>
      <c r="E277" s="151"/>
      <c r="F277" s="151"/>
      <c r="G277" s="151"/>
      <c r="H277" s="151"/>
      <c r="I277" s="151"/>
      <c r="J277" s="151"/>
      <c r="K277" s="151"/>
      <c r="L277" s="151"/>
      <c r="M277" s="151"/>
      <c r="N277" s="151"/>
      <c r="O277" s="151"/>
      <c r="P277" s="151"/>
      <c r="Q277" s="151"/>
      <c r="R277" s="151"/>
      <c r="S277" s="151"/>
      <c r="T277" s="151"/>
      <c r="U277" s="151"/>
      <c r="V277" s="151"/>
      <c r="W277" s="151"/>
      <c r="X277" s="151"/>
      <c r="Y277" s="247"/>
      <c r="Z277" s="247"/>
      <c r="AA277" s="247"/>
      <c r="AB277" s="247"/>
      <c r="AC277" s="153"/>
      <c r="AD277" s="149"/>
      <c r="AE277" s="149"/>
      <c r="AF277" s="149"/>
      <c r="AG277" s="149"/>
      <c r="AH277" s="149"/>
      <c r="AI277" s="149"/>
      <c r="AJ277" s="149"/>
      <c r="AK277" s="149"/>
      <c r="AL277" s="149"/>
      <c r="AM277" s="149"/>
      <c r="AN277" s="149"/>
      <c r="AO277" s="149"/>
    </row>
    <row r="278" spans="2:41" ht="15">
      <c r="B278" s="152" t="s">
        <v>404</v>
      </c>
      <c r="C278" s="151"/>
      <c r="D278" s="151"/>
      <c r="E278" s="151"/>
      <c r="F278" s="151"/>
      <c r="G278" s="151"/>
      <c r="H278" s="151"/>
      <c r="I278" s="151"/>
      <c r="J278" s="151"/>
      <c r="K278" s="151"/>
      <c r="L278" s="151"/>
      <c r="M278" s="151"/>
      <c r="N278" s="151"/>
      <c r="O278" s="151"/>
      <c r="P278" s="151"/>
      <c r="Q278" s="151"/>
      <c r="R278" s="151"/>
      <c r="S278" s="151"/>
      <c r="T278" s="151"/>
      <c r="U278" s="151"/>
      <c r="V278" s="151"/>
      <c r="W278" s="151"/>
      <c r="X278" s="151"/>
      <c r="Y278" s="247"/>
      <c r="Z278" s="247"/>
      <c r="AA278" s="247"/>
      <c r="AB278" s="247"/>
      <c r="AC278" s="153"/>
      <c r="AD278" s="149"/>
      <c r="AE278" s="149"/>
      <c r="AF278" s="149"/>
      <c r="AG278" s="149"/>
      <c r="AH278" s="149"/>
      <c r="AI278" s="149"/>
      <c r="AJ278" s="149"/>
      <c r="AK278" s="149"/>
      <c r="AL278" s="149"/>
      <c r="AM278" s="149"/>
      <c r="AN278" s="149"/>
      <c r="AO278" s="149"/>
    </row>
    <row r="279" spans="2:41" ht="15">
      <c r="B279" s="152" t="s">
        <v>404</v>
      </c>
      <c r="C279" s="151"/>
      <c r="D279" s="151"/>
      <c r="E279" s="151"/>
      <c r="F279" s="151"/>
      <c r="G279" s="151"/>
      <c r="H279" s="151"/>
      <c r="I279" s="151"/>
      <c r="J279" s="151"/>
      <c r="K279" s="151"/>
      <c r="L279" s="151"/>
      <c r="M279" s="151"/>
      <c r="N279" s="151"/>
      <c r="O279" s="151"/>
      <c r="P279" s="151"/>
      <c r="Q279" s="151"/>
      <c r="R279" s="151"/>
      <c r="S279" s="151"/>
      <c r="T279" s="151"/>
      <c r="U279" s="151"/>
      <c r="V279" s="151"/>
      <c r="W279" s="151"/>
      <c r="X279" s="151"/>
      <c r="Y279" s="247"/>
      <c r="Z279" s="247"/>
      <c r="AA279" s="247"/>
      <c r="AB279" s="247"/>
      <c r="AC279" s="153"/>
      <c r="AD279" s="149"/>
      <c r="AE279" s="149"/>
      <c r="AF279" s="149"/>
      <c r="AG279" s="149"/>
      <c r="AH279" s="149"/>
      <c r="AI279" s="149"/>
      <c r="AJ279" s="149"/>
      <c r="AK279" s="149"/>
      <c r="AL279" s="149"/>
      <c r="AM279" s="149"/>
      <c r="AN279" s="149"/>
      <c r="AO279" s="149"/>
    </row>
    <row r="280" spans="2:41" ht="15">
      <c r="B280" s="152" t="s">
        <v>404</v>
      </c>
      <c r="C280" s="151"/>
      <c r="D280" s="151"/>
      <c r="E280" s="151"/>
      <c r="F280" s="151"/>
      <c r="G280" s="151"/>
      <c r="H280" s="151"/>
      <c r="I280" s="151"/>
      <c r="J280" s="151"/>
      <c r="K280" s="151"/>
      <c r="L280" s="151"/>
      <c r="M280" s="151"/>
      <c r="N280" s="151"/>
      <c r="O280" s="151"/>
      <c r="P280" s="151"/>
      <c r="Q280" s="151"/>
      <c r="R280" s="151"/>
      <c r="S280" s="151"/>
      <c r="T280" s="151"/>
      <c r="U280" s="151"/>
      <c r="V280" s="151"/>
      <c r="W280" s="151"/>
      <c r="X280" s="151"/>
      <c r="Y280" s="247"/>
      <c r="Z280" s="247"/>
      <c r="AA280" s="247"/>
      <c r="AB280" s="247"/>
      <c r="AC280" s="153"/>
      <c r="AD280" s="149"/>
      <c r="AE280" s="149"/>
      <c r="AF280" s="149"/>
      <c r="AG280" s="149"/>
      <c r="AH280" s="149"/>
      <c r="AI280" s="149"/>
      <c r="AJ280" s="149"/>
      <c r="AK280" s="149"/>
      <c r="AL280" s="149"/>
      <c r="AM280" s="149"/>
      <c r="AN280" s="149"/>
      <c r="AO280" s="149"/>
    </row>
    <row r="281" spans="2:41" ht="15">
      <c r="B281" s="152" t="s">
        <v>404</v>
      </c>
      <c r="C281" s="151"/>
      <c r="D281" s="151"/>
      <c r="E281" s="151"/>
      <c r="F281" s="151"/>
      <c r="G281" s="151"/>
      <c r="H281" s="151"/>
      <c r="I281" s="151"/>
      <c r="J281" s="151"/>
      <c r="K281" s="151"/>
      <c r="L281" s="151"/>
      <c r="M281" s="151"/>
      <c r="N281" s="151"/>
      <c r="O281" s="151"/>
      <c r="P281" s="151"/>
      <c r="Q281" s="151"/>
      <c r="R281" s="151"/>
      <c r="S281" s="151"/>
      <c r="T281" s="151"/>
      <c r="U281" s="151"/>
      <c r="V281" s="151"/>
      <c r="W281" s="151"/>
      <c r="X281" s="151"/>
      <c r="Y281" s="247"/>
      <c r="Z281" s="247"/>
      <c r="AA281" s="247"/>
      <c r="AB281" s="247"/>
      <c r="AC281" s="153"/>
      <c r="AD281" s="149"/>
      <c r="AE281" s="149"/>
      <c r="AF281" s="149"/>
      <c r="AG281" s="149"/>
      <c r="AH281" s="149"/>
      <c r="AI281" s="149"/>
      <c r="AJ281" s="149"/>
      <c r="AK281" s="149"/>
      <c r="AL281" s="149"/>
      <c r="AM281" s="149"/>
      <c r="AN281" s="149"/>
      <c r="AO281" s="149"/>
    </row>
    <row r="282" spans="2:41" ht="15">
      <c r="B282" s="152" t="s">
        <v>404</v>
      </c>
      <c r="C282" s="151"/>
      <c r="D282" s="151"/>
      <c r="E282" s="151"/>
      <c r="F282" s="151"/>
      <c r="G282" s="151"/>
      <c r="H282" s="151"/>
      <c r="I282" s="151"/>
      <c r="J282" s="151"/>
      <c r="K282" s="151"/>
      <c r="L282" s="151"/>
      <c r="M282" s="151"/>
      <c r="N282" s="151"/>
      <c r="O282" s="151"/>
      <c r="P282" s="151"/>
      <c r="Q282" s="151"/>
      <c r="R282" s="151"/>
      <c r="S282" s="151"/>
      <c r="T282" s="151"/>
      <c r="U282" s="151"/>
      <c r="V282" s="151"/>
      <c r="W282" s="151"/>
      <c r="X282" s="151"/>
      <c r="Y282" s="247"/>
      <c r="Z282" s="247"/>
      <c r="AA282" s="247"/>
      <c r="AB282" s="247"/>
      <c r="AC282" s="153"/>
      <c r="AD282" s="149"/>
      <c r="AE282" s="149"/>
      <c r="AF282" s="149"/>
      <c r="AG282" s="149"/>
      <c r="AH282" s="149"/>
      <c r="AI282" s="149"/>
      <c r="AJ282" s="149"/>
      <c r="AK282" s="149"/>
      <c r="AL282" s="149"/>
      <c r="AM282" s="149"/>
      <c r="AN282" s="149"/>
      <c r="AO282" s="149"/>
    </row>
    <row r="283" spans="2:41" ht="15">
      <c r="B283" s="152" t="s">
        <v>404</v>
      </c>
      <c r="C283" s="151"/>
      <c r="D283" s="151"/>
      <c r="E283" s="151"/>
      <c r="F283" s="151"/>
      <c r="G283" s="151"/>
      <c r="H283" s="151"/>
      <c r="I283" s="151"/>
      <c r="J283" s="151"/>
      <c r="K283" s="151"/>
      <c r="L283" s="151"/>
      <c r="M283" s="151"/>
      <c r="N283" s="151"/>
      <c r="O283" s="151"/>
      <c r="P283" s="151"/>
      <c r="Q283" s="151"/>
      <c r="R283" s="151"/>
      <c r="S283" s="151"/>
      <c r="T283" s="151"/>
      <c r="U283" s="151"/>
      <c r="V283" s="151"/>
      <c r="W283" s="151"/>
      <c r="X283" s="151"/>
      <c r="Y283" s="247"/>
      <c r="Z283" s="247"/>
      <c r="AA283" s="247"/>
      <c r="AB283" s="247"/>
      <c r="AC283" s="153"/>
      <c r="AD283" s="149"/>
      <c r="AE283" s="149"/>
      <c r="AF283" s="149"/>
      <c r="AG283" s="149"/>
      <c r="AH283" s="149"/>
      <c r="AI283" s="149"/>
      <c r="AJ283" s="149"/>
      <c r="AK283" s="149"/>
      <c r="AL283" s="149"/>
      <c r="AM283" s="149"/>
      <c r="AN283" s="149"/>
      <c r="AO283" s="149"/>
    </row>
    <row r="284" spans="2:41" ht="15">
      <c r="B284" s="152" t="s">
        <v>404</v>
      </c>
      <c r="C284" s="151"/>
      <c r="D284" s="151"/>
      <c r="E284" s="151"/>
      <c r="F284" s="151"/>
      <c r="G284" s="151"/>
      <c r="H284" s="151"/>
      <c r="I284" s="151"/>
      <c r="J284" s="151"/>
      <c r="K284" s="151"/>
      <c r="L284" s="151"/>
      <c r="M284" s="151"/>
      <c r="N284" s="151"/>
      <c r="O284" s="151"/>
      <c r="P284" s="151"/>
      <c r="Q284" s="151"/>
      <c r="R284" s="151"/>
      <c r="S284" s="151"/>
      <c r="T284" s="151"/>
      <c r="U284" s="151"/>
      <c r="V284" s="151"/>
      <c r="W284" s="151"/>
      <c r="X284" s="151"/>
      <c r="Y284" s="247"/>
      <c r="Z284" s="247"/>
      <c r="AA284" s="247"/>
      <c r="AB284" s="247"/>
      <c r="AC284" s="153"/>
      <c r="AD284" s="149"/>
      <c r="AE284" s="149"/>
      <c r="AF284" s="149"/>
      <c r="AG284" s="149"/>
      <c r="AH284" s="149"/>
      <c r="AI284" s="149"/>
      <c r="AJ284" s="149"/>
      <c r="AK284" s="149"/>
      <c r="AL284" s="149"/>
      <c r="AM284" s="149"/>
      <c r="AN284" s="149"/>
      <c r="AO284" s="149"/>
    </row>
    <row r="285" spans="2:41" ht="15">
      <c r="B285" s="152" t="s">
        <v>404</v>
      </c>
      <c r="C285" s="151"/>
      <c r="D285" s="151"/>
      <c r="E285" s="151"/>
      <c r="F285" s="151"/>
      <c r="G285" s="151"/>
      <c r="H285" s="151"/>
      <c r="I285" s="151"/>
      <c r="J285" s="151"/>
      <c r="K285" s="151"/>
      <c r="L285" s="151"/>
      <c r="M285" s="151"/>
      <c r="N285" s="151"/>
      <c r="O285" s="151"/>
      <c r="P285" s="151"/>
      <c r="Q285" s="151"/>
      <c r="R285" s="151"/>
      <c r="S285" s="151"/>
      <c r="T285" s="151"/>
      <c r="U285" s="151"/>
      <c r="V285" s="151"/>
      <c r="W285" s="151"/>
      <c r="X285" s="151"/>
      <c r="Y285" s="247"/>
      <c r="Z285" s="247"/>
      <c r="AA285" s="247"/>
      <c r="AB285" s="247"/>
      <c r="AC285" s="153"/>
      <c r="AD285" s="149"/>
      <c r="AE285" s="149"/>
      <c r="AF285" s="149"/>
      <c r="AG285" s="149"/>
      <c r="AH285" s="149"/>
      <c r="AI285" s="149"/>
      <c r="AJ285" s="149"/>
      <c r="AK285" s="149"/>
      <c r="AL285" s="149"/>
      <c r="AM285" s="149"/>
      <c r="AN285" s="149"/>
      <c r="AO285" s="149"/>
    </row>
    <row r="286" spans="2:41" ht="15">
      <c r="B286" s="152" t="s">
        <v>404</v>
      </c>
      <c r="C286" s="151"/>
      <c r="D286" s="151"/>
      <c r="E286" s="151"/>
      <c r="F286" s="151"/>
      <c r="G286" s="151"/>
      <c r="H286" s="151"/>
      <c r="I286" s="151"/>
      <c r="J286" s="151"/>
      <c r="K286" s="151"/>
      <c r="L286" s="151"/>
      <c r="M286" s="151"/>
      <c r="N286" s="151"/>
      <c r="O286" s="151"/>
      <c r="P286" s="151"/>
      <c r="Q286" s="151"/>
      <c r="R286" s="151"/>
      <c r="S286" s="151"/>
      <c r="T286" s="151"/>
      <c r="U286" s="151"/>
      <c r="V286" s="151"/>
      <c r="W286" s="151"/>
      <c r="X286" s="151"/>
      <c r="Y286" s="247"/>
      <c r="Z286" s="247"/>
      <c r="AA286" s="247"/>
      <c r="AB286" s="247"/>
      <c r="AC286" s="153"/>
      <c r="AD286" s="149"/>
      <c r="AE286" s="149"/>
      <c r="AF286" s="149"/>
      <c r="AG286" s="149"/>
      <c r="AH286" s="149"/>
      <c r="AI286" s="149"/>
      <c r="AJ286" s="149"/>
      <c r="AK286" s="149"/>
      <c r="AL286" s="149"/>
      <c r="AM286" s="149"/>
      <c r="AN286" s="149"/>
      <c r="AO286" s="149"/>
    </row>
    <row r="287" spans="2:41" ht="15">
      <c r="B287" s="152" t="s">
        <v>404</v>
      </c>
      <c r="C287" s="151"/>
      <c r="D287" s="151"/>
      <c r="E287" s="151"/>
      <c r="F287" s="151"/>
      <c r="G287" s="151"/>
      <c r="H287" s="151"/>
      <c r="I287" s="151"/>
      <c r="J287" s="151"/>
      <c r="K287" s="151"/>
      <c r="L287" s="151"/>
      <c r="M287" s="151"/>
      <c r="N287" s="151"/>
      <c r="O287" s="151"/>
      <c r="P287" s="151"/>
      <c r="Q287" s="151"/>
      <c r="R287" s="151"/>
      <c r="S287" s="151"/>
      <c r="T287" s="151"/>
      <c r="U287" s="151"/>
      <c r="V287" s="151"/>
      <c r="W287" s="151"/>
      <c r="X287" s="151"/>
      <c r="Y287" s="247"/>
      <c r="Z287" s="247"/>
      <c r="AA287" s="247"/>
      <c r="AB287" s="247"/>
      <c r="AC287" s="153"/>
      <c r="AD287" s="149"/>
      <c r="AE287" s="149"/>
      <c r="AF287" s="149"/>
      <c r="AG287" s="149"/>
      <c r="AH287" s="149"/>
      <c r="AI287" s="149"/>
      <c r="AJ287" s="149"/>
      <c r="AK287" s="149"/>
      <c r="AL287" s="149"/>
      <c r="AM287" s="149"/>
      <c r="AN287" s="149"/>
      <c r="AO287" s="149"/>
    </row>
    <row r="288" spans="2:41" ht="15">
      <c r="B288" s="152" t="s">
        <v>404</v>
      </c>
      <c r="C288" s="151"/>
      <c r="D288" s="151"/>
      <c r="E288" s="151"/>
      <c r="F288" s="151"/>
      <c r="G288" s="151"/>
      <c r="H288" s="151"/>
      <c r="I288" s="151"/>
      <c r="J288" s="151"/>
      <c r="K288" s="151"/>
      <c r="L288" s="151"/>
      <c r="M288" s="151"/>
      <c r="N288" s="151"/>
      <c r="O288" s="151"/>
      <c r="P288" s="151"/>
      <c r="Q288" s="151"/>
      <c r="R288" s="151"/>
      <c r="S288" s="151"/>
      <c r="T288" s="151"/>
      <c r="U288" s="151"/>
      <c r="V288" s="151"/>
      <c r="W288" s="151"/>
      <c r="X288" s="151"/>
      <c r="Y288" s="247"/>
      <c r="Z288" s="247"/>
      <c r="AA288" s="247"/>
      <c r="AB288" s="247"/>
      <c r="AC288" s="153"/>
      <c r="AD288" s="149"/>
      <c r="AE288" s="149"/>
      <c r="AF288" s="149"/>
      <c r="AG288" s="149"/>
      <c r="AH288" s="149"/>
      <c r="AI288" s="149"/>
      <c r="AJ288" s="149"/>
      <c r="AK288" s="149"/>
      <c r="AL288" s="149"/>
      <c r="AM288" s="149"/>
      <c r="AN288" s="149"/>
      <c r="AO288" s="149"/>
    </row>
    <row r="289" spans="2:41" ht="15">
      <c r="B289" s="152" t="s">
        <v>404</v>
      </c>
      <c r="C289" s="151"/>
      <c r="D289" s="151"/>
      <c r="E289" s="151"/>
      <c r="F289" s="151"/>
      <c r="G289" s="151"/>
      <c r="H289" s="151"/>
      <c r="I289" s="151"/>
      <c r="J289" s="151"/>
      <c r="K289" s="151"/>
      <c r="L289" s="151"/>
      <c r="M289" s="151"/>
      <c r="N289" s="151"/>
      <c r="O289" s="151"/>
      <c r="P289" s="151"/>
      <c r="Q289" s="151"/>
      <c r="R289" s="151"/>
      <c r="S289" s="151"/>
      <c r="T289" s="151"/>
      <c r="U289" s="151"/>
      <c r="V289" s="151"/>
      <c r="W289" s="151"/>
      <c r="X289" s="151"/>
      <c r="Y289" s="247"/>
      <c r="Z289" s="247"/>
      <c r="AA289" s="247"/>
      <c r="AB289" s="247"/>
      <c r="AC289" s="153"/>
      <c r="AD289" s="149"/>
      <c r="AE289" s="149"/>
      <c r="AF289" s="149"/>
      <c r="AG289" s="149"/>
      <c r="AH289" s="149"/>
      <c r="AI289" s="149"/>
      <c r="AJ289" s="149"/>
      <c r="AK289" s="149"/>
      <c r="AL289" s="149"/>
      <c r="AM289" s="149"/>
      <c r="AN289" s="149"/>
      <c r="AO289" s="149"/>
    </row>
    <row r="290" spans="2:41" ht="15">
      <c r="B290" s="152" t="s">
        <v>404</v>
      </c>
      <c r="C290" s="151"/>
      <c r="D290" s="151"/>
      <c r="E290" s="151"/>
      <c r="F290" s="151"/>
      <c r="G290" s="151"/>
      <c r="H290" s="151"/>
      <c r="I290" s="151"/>
      <c r="J290" s="151"/>
      <c r="K290" s="151"/>
      <c r="L290" s="151"/>
      <c r="M290" s="151"/>
      <c r="N290" s="151"/>
      <c r="O290" s="151"/>
      <c r="P290" s="151"/>
      <c r="Q290" s="151"/>
      <c r="R290" s="151"/>
      <c r="S290" s="151"/>
      <c r="T290" s="151"/>
      <c r="U290" s="151"/>
      <c r="V290" s="151"/>
      <c r="W290" s="151"/>
      <c r="X290" s="151"/>
      <c r="Y290" s="247"/>
      <c r="Z290" s="247"/>
      <c r="AA290" s="247"/>
      <c r="AB290" s="247"/>
      <c r="AC290" s="153"/>
      <c r="AD290" s="149"/>
      <c r="AE290" s="149"/>
      <c r="AF290" s="149"/>
      <c r="AG290" s="149"/>
      <c r="AH290" s="149"/>
      <c r="AI290" s="149"/>
      <c r="AJ290" s="149"/>
      <c r="AK290" s="149"/>
      <c r="AL290" s="149"/>
      <c r="AM290" s="149"/>
      <c r="AN290" s="149"/>
      <c r="AO290" s="149"/>
    </row>
    <row r="291" spans="2:41" ht="15">
      <c r="B291" s="152" t="s">
        <v>404</v>
      </c>
      <c r="C291" s="151"/>
      <c r="D291" s="151"/>
      <c r="E291" s="151"/>
      <c r="F291" s="151"/>
      <c r="G291" s="151"/>
      <c r="H291" s="151"/>
      <c r="I291" s="151"/>
      <c r="J291" s="151"/>
      <c r="K291" s="151"/>
      <c r="L291" s="151"/>
      <c r="M291" s="151"/>
      <c r="N291" s="151"/>
      <c r="O291" s="151"/>
      <c r="P291" s="151"/>
      <c r="Q291" s="151"/>
      <c r="R291" s="151"/>
      <c r="S291" s="151"/>
      <c r="T291" s="151"/>
      <c r="U291" s="151"/>
      <c r="V291" s="151"/>
      <c r="W291" s="151"/>
      <c r="X291" s="151"/>
      <c r="Y291" s="247"/>
      <c r="Z291" s="247"/>
      <c r="AA291" s="247"/>
      <c r="AB291" s="247"/>
      <c r="AC291" s="153"/>
      <c r="AD291" s="149"/>
      <c r="AE291" s="149"/>
      <c r="AF291" s="149"/>
      <c r="AG291" s="149"/>
      <c r="AH291" s="149"/>
      <c r="AI291" s="149"/>
      <c r="AJ291" s="149"/>
      <c r="AK291" s="149"/>
      <c r="AL291" s="149"/>
      <c r="AM291" s="149"/>
      <c r="AN291" s="149"/>
      <c r="AO291" s="149"/>
    </row>
    <row r="292" spans="2:41" ht="15">
      <c r="B292" s="152" t="s">
        <v>404</v>
      </c>
      <c r="C292" s="151"/>
      <c r="D292" s="151"/>
      <c r="E292" s="151"/>
      <c r="F292" s="151"/>
      <c r="G292" s="151"/>
      <c r="H292" s="151"/>
      <c r="I292" s="151"/>
      <c r="J292" s="151"/>
      <c r="K292" s="151"/>
      <c r="L292" s="151"/>
      <c r="M292" s="151"/>
      <c r="N292" s="151"/>
      <c r="O292" s="151"/>
      <c r="P292" s="151"/>
      <c r="Q292" s="151"/>
      <c r="R292" s="151"/>
      <c r="S292" s="151"/>
      <c r="T292" s="151"/>
      <c r="U292" s="151"/>
      <c r="V292" s="151"/>
      <c r="W292" s="151"/>
      <c r="X292" s="151"/>
      <c r="Y292" s="247"/>
      <c r="Z292" s="247"/>
      <c r="AA292" s="247"/>
      <c r="AB292" s="247"/>
      <c r="AC292" s="153"/>
      <c r="AD292" s="149"/>
      <c r="AE292" s="149"/>
      <c r="AF292" s="149"/>
      <c r="AG292" s="149"/>
      <c r="AH292" s="149"/>
      <c r="AI292" s="149"/>
      <c r="AJ292" s="149"/>
      <c r="AK292" s="149"/>
      <c r="AL292" s="149"/>
      <c r="AM292" s="149"/>
      <c r="AN292" s="149"/>
      <c r="AO292" s="149"/>
    </row>
    <row r="293" spans="2:41" ht="15">
      <c r="B293" s="152" t="s">
        <v>404</v>
      </c>
      <c r="C293" s="151"/>
      <c r="D293" s="151"/>
      <c r="E293" s="151"/>
      <c r="F293" s="151"/>
      <c r="G293" s="151"/>
      <c r="H293" s="151"/>
      <c r="I293" s="151"/>
      <c r="J293" s="151"/>
      <c r="K293" s="151"/>
      <c r="L293" s="151"/>
      <c r="M293" s="151"/>
      <c r="N293" s="151"/>
      <c r="O293" s="151"/>
      <c r="P293" s="151"/>
      <c r="Q293" s="151"/>
      <c r="R293" s="151"/>
      <c r="S293" s="151"/>
      <c r="T293" s="151"/>
      <c r="U293" s="151"/>
      <c r="V293" s="151"/>
      <c r="W293" s="151"/>
      <c r="X293" s="151"/>
      <c r="Y293" s="247"/>
      <c r="Z293" s="247"/>
      <c r="AA293" s="247"/>
      <c r="AB293" s="247"/>
      <c r="AC293" s="153"/>
      <c r="AD293" s="149"/>
      <c r="AE293" s="149"/>
      <c r="AF293" s="149"/>
      <c r="AG293" s="149"/>
      <c r="AH293" s="149"/>
      <c r="AI293" s="149"/>
      <c r="AJ293" s="149"/>
      <c r="AK293" s="149"/>
      <c r="AL293" s="149"/>
      <c r="AM293" s="149"/>
      <c r="AN293" s="149"/>
      <c r="AO293" s="149"/>
    </row>
    <row r="294" spans="2:41" ht="15">
      <c r="B294" s="152" t="s">
        <v>404</v>
      </c>
      <c r="C294" s="151"/>
      <c r="D294" s="151"/>
      <c r="E294" s="151"/>
      <c r="F294" s="151"/>
      <c r="G294" s="151"/>
      <c r="H294" s="151"/>
      <c r="I294" s="151"/>
      <c r="J294" s="151"/>
      <c r="K294" s="151"/>
      <c r="L294" s="151"/>
      <c r="M294" s="151"/>
      <c r="N294" s="151"/>
      <c r="O294" s="151"/>
      <c r="P294" s="151"/>
      <c r="Q294" s="151"/>
      <c r="R294" s="151"/>
      <c r="S294" s="151"/>
      <c r="T294" s="151"/>
      <c r="U294" s="151"/>
      <c r="V294" s="151"/>
      <c r="W294" s="151"/>
      <c r="X294" s="151"/>
      <c r="Y294" s="247"/>
      <c r="Z294" s="247"/>
      <c r="AA294" s="247"/>
      <c r="AB294" s="247"/>
      <c r="AC294" s="153"/>
      <c r="AD294" s="149"/>
      <c r="AE294" s="149"/>
      <c r="AF294" s="149"/>
      <c r="AG294" s="149"/>
      <c r="AH294" s="149"/>
      <c r="AI294" s="149"/>
      <c r="AJ294" s="149"/>
      <c r="AK294" s="149"/>
      <c r="AL294" s="149"/>
      <c r="AM294" s="149"/>
      <c r="AN294" s="149"/>
      <c r="AO294" s="149"/>
    </row>
    <row r="295" spans="2:41" ht="15">
      <c r="B295" s="152" t="s">
        <v>404</v>
      </c>
      <c r="C295" s="151"/>
      <c r="D295" s="151"/>
      <c r="E295" s="151"/>
      <c r="F295" s="151"/>
      <c r="G295" s="151"/>
      <c r="H295" s="151"/>
      <c r="I295" s="151"/>
      <c r="J295" s="151"/>
      <c r="K295" s="151"/>
      <c r="L295" s="151"/>
      <c r="M295" s="151"/>
      <c r="N295" s="151"/>
      <c r="O295" s="151"/>
      <c r="P295" s="151"/>
      <c r="Q295" s="151"/>
      <c r="R295" s="151"/>
      <c r="S295" s="151"/>
      <c r="T295" s="151"/>
      <c r="U295" s="151"/>
      <c r="V295" s="151"/>
      <c r="W295" s="151"/>
      <c r="X295" s="151"/>
      <c r="Y295" s="247"/>
      <c r="Z295" s="247"/>
      <c r="AA295" s="247"/>
      <c r="AB295" s="247"/>
      <c r="AC295" s="153"/>
      <c r="AD295" s="149"/>
      <c r="AE295" s="149"/>
      <c r="AF295" s="149"/>
      <c r="AG295" s="149"/>
      <c r="AH295" s="149"/>
      <c r="AI295" s="149"/>
      <c r="AJ295" s="149"/>
      <c r="AK295" s="149"/>
      <c r="AL295" s="149"/>
      <c r="AM295" s="149"/>
      <c r="AN295" s="149"/>
      <c r="AO295" s="149"/>
    </row>
    <row r="296" spans="2:41" ht="15">
      <c r="B296" s="152" t="s">
        <v>404</v>
      </c>
      <c r="C296" s="151"/>
      <c r="D296" s="151"/>
      <c r="E296" s="151"/>
      <c r="F296" s="151"/>
      <c r="G296" s="151"/>
      <c r="H296" s="151"/>
      <c r="I296" s="151"/>
      <c r="J296" s="151"/>
      <c r="K296" s="151"/>
      <c r="L296" s="151"/>
      <c r="M296" s="151"/>
      <c r="N296" s="151"/>
      <c r="O296" s="151"/>
      <c r="P296" s="151"/>
      <c r="Q296" s="151"/>
      <c r="R296" s="151"/>
      <c r="S296" s="151"/>
      <c r="T296" s="151"/>
      <c r="U296" s="151"/>
      <c r="V296" s="151"/>
      <c r="W296" s="151"/>
      <c r="X296" s="151"/>
      <c r="Y296" s="247"/>
      <c r="Z296" s="247"/>
      <c r="AA296" s="247"/>
      <c r="AB296" s="247"/>
      <c r="AC296" s="153"/>
      <c r="AD296" s="149"/>
      <c r="AE296" s="149"/>
      <c r="AF296" s="149"/>
      <c r="AG296" s="149"/>
      <c r="AH296" s="149"/>
      <c r="AI296" s="149"/>
      <c r="AJ296" s="149"/>
      <c r="AK296" s="149"/>
      <c r="AL296" s="149"/>
      <c r="AM296" s="149"/>
      <c r="AN296" s="149"/>
      <c r="AO296" s="149"/>
    </row>
    <row r="297" spans="2:41" ht="15">
      <c r="B297" s="152" t="s">
        <v>404</v>
      </c>
      <c r="C297" s="151"/>
      <c r="D297" s="151"/>
      <c r="E297" s="151"/>
      <c r="F297" s="151"/>
      <c r="G297" s="151"/>
      <c r="H297" s="151"/>
      <c r="I297" s="151"/>
      <c r="J297" s="151"/>
      <c r="K297" s="151"/>
      <c r="L297" s="151"/>
      <c r="M297" s="151"/>
      <c r="N297" s="151"/>
      <c r="O297" s="151"/>
      <c r="P297" s="151"/>
      <c r="Q297" s="151"/>
      <c r="R297" s="151"/>
      <c r="S297" s="151"/>
      <c r="T297" s="151"/>
      <c r="U297" s="151"/>
      <c r="V297" s="151"/>
      <c r="W297" s="151"/>
      <c r="X297" s="151"/>
      <c r="Y297" s="247"/>
      <c r="Z297" s="247"/>
      <c r="AA297" s="247"/>
      <c r="AB297" s="247"/>
      <c r="AC297" s="153"/>
      <c r="AD297" s="149"/>
      <c r="AE297" s="149"/>
      <c r="AF297" s="149"/>
      <c r="AG297" s="149"/>
      <c r="AH297" s="149"/>
      <c r="AI297" s="149"/>
      <c r="AJ297" s="149"/>
      <c r="AK297" s="149"/>
      <c r="AL297" s="149"/>
      <c r="AM297" s="149"/>
      <c r="AN297" s="149"/>
      <c r="AO297" s="149"/>
    </row>
    <row r="298" spans="2:41" ht="15">
      <c r="B298" s="152" t="s">
        <v>404</v>
      </c>
      <c r="C298" s="151"/>
      <c r="D298" s="151"/>
      <c r="E298" s="151"/>
      <c r="F298" s="151"/>
      <c r="G298" s="151"/>
      <c r="H298" s="151"/>
      <c r="I298" s="151"/>
      <c r="J298" s="151"/>
      <c r="K298" s="151"/>
      <c r="L298" s="151"/>
      <c r="M298" s="151"/>
      <c r="N298" s="151"/>
      <c r="O298" s="151"/>
      <c r="P298" s="151"/>
      <c r="Q298" s="151"/>
      <c r="R298" s="151"/>
      <c r="S298" s="151"/>
      <c r="T298" s="151"/>
      <c r="U298" s="151"/>
      <c r="V298" s="151"/>
      <c r="W298" s="151"/>
      <c r="X298" s="151"/>
      <c r="Y298" s="247"/>
      <c r="Z298" s="247"/>
      <c r="AA298" s="247"/>
      <c r="AB298" s="247"/>
      <c r="AC298" s="153"/>
      <c r="AD298" s="149"/>
      <c r="AE298" s="149"/>
      <c r="AF298" s="149"/>
      <c r="AG298" s="149"/>
      <c r="AH298" s="149"/>
      <c r="AI298" s="149"/>
      <c r="AJ298" s="149"/>
      <c r="AK298" s="149"/>
      <c r="AL298" s="149"/>
      <c r="AM298" s="149"/>
      <c r="AN298" s="149"/>
      <c r="AO298" s="149"/>
    </row>
    <row r="299" spans="2:41" ht="15">
      <c r="B299" s="152" t="s">
        <v>404</v>
      </c>
      <c r="C299" s="151"/>
      <c r="D299" s="151"/>
      <c r="E299" s="151"/>
      <c r="F299" s="151"/>
      <c r="G299" s="151"/>
      <c r="H299" s="151"/>
      <c r="I299" s="151"/>
      <c r="J299" s="151"/>
      <c r="K299" s="151"/>
      <c r="L299" s="151"/>
      <c r="M299" s="151"/>
      <c r="N299" s="151"/>
      <c r="O299" s="151"/>
      <c r="P299" s="151"/>
      <c r="Q299" s="151"/>
      <c r="R299" s="151"/>
      <c r="S299" s="151"/>
      <c r="T299" s="151"/>
      <c r="U299" s="151"/>
      <c r="V299" s="151"/>
      <c r="W299" s="151"/>
      <c r="X299" s="151"/>
      <c r="Y299" s="247"/>
      <c r="Z299" s="247"/>
      <c r="AA299" s="247"/>
      <c r="AB299" s="247"/>
      <c r="AC299" s="153"/>
      <c r="AD299" s="149"/>
      <c r="AE299" s="149"/>
      <c r="AF299" s="149"/>
      <c r="AG299" s="149"/>
      <c r="AH299" s="149"/>
      <c r="AI299" s="149"/>
      <c r="AJ299" s="149"/>
      <c r="AK299" s="149"/>
      <c r="AL299" s="149"/>
      <c r="AM299" s="149"/>
      <c r="AN299" s="149"/>
      <c r="AO299" s="149"/>
    </row>
    <row r="300" spans="2:41" ht="15">
      <c r="B300" s="152" t="s">
        <v>404</v>
      </c>
      <c r="C300" s="151"/>
      <c r="D300" s="151"/>
      <c r="E300" s="151"/>
      <c r="F300" s="151"/>
      <c r="G300" s="151"/>
      <c r="H300" s="151"/>
      <c r="I300" s="151"/>
      <c r="J300" s="151"/>
      <c r="K300" s="151"/>
      <c r="L300" s="151"/>
      <c r="M300" s="151"/>
      <c r="N300" s="151"/>
      <c r="O300" s="151"/>
      <c r="P300" s="151"/>
      <c r="Q300" s="151"/>
      <c r="R300" s="151"/>
      <c r="S300" s="151"/>
      <c r="T300" s="151"/>
      <c r="U300" s="151"/>
      <c r="V300" s="151"/>
      <c r="W300" s="151"/>
      <c r="X300" s="151"/>
      <c r="Y300" s="247"/>
      <c r="Z300" s="247"/>
      <c r="AA300" s="247"/>
      <c r="AB300" s="247"/>
      <c r="AC300" s="153"/>
      <c r="AD300" s="149"/>
      <c r="AE300" s="149"/>
      <c r="AF300" s="149"/>
      <c r="AG300" s="149"/>
      <c r="AH300" s="149"/>
      <c r="AI300" s="149"/>
      <c r="AJ300" s="149"/>
      <c r="AK300" s="149"/>
      <c r="AL300" s="149"/>
      <c r="AM300" s="149"/>
      <c r="AN300" s="149"/>
      <c r="AO300" s="149"/>
    </row>
    <row r="301" spans="2:41" ht="15">
      <c r="B301" s="152" t="s">
        <v>404</v>
      </c>
      <c r="C301" s="151"/>
      <c r="D301" s="151"/>
      <c r="E301" s="151"/>
      <c r="F301" s="151"/>
      <c r="G301" s="151"/>
      <c r="H301" s="151"/>
      <c r="I301" s="151"/>
      <c r="J301" s="151"/>
      <c r="K301" s="151"/>
      <c r="L301" s="151"/>
      <c r="M301" s="151"/>
      <c r="N301" s="151"/>
      <c r="O301" s="151"/>
      <c r="P301" s="151"/>
      <c r="Q301" s="151"/>
      <c r="R301" s="151"/>
      <c r="S301" s="151"/>
      <c r="T301" s="151"/>
      <c r="U301" s="151"/>
      <c r="V301" s="151"/>
      <c r="W301" s="151"/>
      <c r="X301" s="151"/>
      <c r="Y301" s="247"/>
      <c r="Z301" s="247"/>
      <c r="AA301" s="247"/>
      <c r="AB301" s="247"/>
      <c r="AC301" s="153"/>
      <c r="AD301" s="149"/>
      <c r="AE301" s="149"/>
      <c r="AF301" s="149"/>
      <c r="AG301" s="149"/>
      <c r="AH301" s="149"/>
      <c r="AI301" s="149"/>
      <c r="AJ301" s="149"/>
      <c r="AK301" s="149"/>
      <c r="AL301" s="149"/>
      <c r="AM301" s="149"/>
      <c r="AN301" s="149"/>
      <c r="AO301" s="149"/>
    </row>
    <row r="302" spans="2:41" ht="15">
      <c r="B302" s="152" t="s">
        <v>404</v>
      </c>
      <c r="C302" s="151"/>
      <c r="D302" s="151"/>
      <c r="E302" s="151"/>
      <c r="F302" s="151"/>
      <c r="G302" s="151"/>
      <c r="H302" s="151"/>
      <c r="I302" s="151"/>
      <c r="J302" s="151"/>
      <c r="K302" s="151"/>
      <c r="L302" s="151"/>
      <c r="M302" s="151"/>
      <c r="N302" s="151"/>
      <c r="O302" s="151"/>
      <c r="P302" s="151"/>
      <c r="Q302" s="151"/>
      <c r="R302" s="151"/>
      <c r="S302" s="151"/>
      <c r="T302" s="151"/>
      <c r="U302" s="151"/>
      <c r="V302" s="151"/>
      <c r="W302" s="151"/>
      <c r="X302" s="151"/>
      <c r="Y302" s="247"/>
      <c r="Z302" s="247"/>
      <c r="AA302" s="247"/>
      <c r="AB302" s="247"/>
      <c r="AC302" s="153"/>
      <c r="AD302" s="149"/>
      <c r="AE302" s="149"/>
      <c r="AF302" s="149"/>
      <c r="AG302" s="149"/>
      <c r="AH302" s="149"/>
      <c r="AI302" s="149"/>
      <c r="AJ302" s="149"/>
      <c r="AK302" s="149"/>
      <c r="AL302" s="149"/>
      <c r="AM302" s="149"/>
      <c r="AN302" s="149"/>
      <c r="AO302" s="149"/>
    </row>
    <row r="303" spans="2:41" ht="15">
      <c r="B303" s="152" t="s">
        <v>404</v>
      </c>
      <c r="C303" s="151"/>
      <c r="D303" s="151"/>
      <c r="E303" s="151"/>
      <c r="F303" s="151"/>
      <c r="G303" s="151"/>
      <c r="H303" s="151"/>
      <c r="I303" s="151"/>
      <c r="J303" s="151"/>
      <c r="K303" s="151"/>
      <c r="L303" s="151"/>
      <c r="M303" s="151"/>
      <c r="N303" s="151"/>
      <c r="O303" s="151"/>
      <c r="P303" s="151"/>
      <c r="Q303" s="151"/>
      <c r="R303" s="151"/>
      <c r="S303" s="151"/>
      <c r="T303" s="151"/>
      <c r="U303" s="151"/>
      <c r="V303" s="151"/>
      <c r="W303" s="151"/>
      <c r="X303" s="151"/>
      <c r="Y303" s="247"/>
      <c r="Z303" s="247"/>
      <c r="AA303" s="247"/>
      <c r="AB303" s="247"/>
      <c r="AC303" s="153"/>
      <c r="AD303" s="149"/>
      <c r="AE303" s="149"/>
      <c r="AF303" s="149"/>
      <c r="AG303" s="149"/>
      <c r="AH303" s="149"/>
      <c r="AI303" s="149"/>
      <c r="AJ303" s="149"/>
      <c r="AK303" s="149"/>
      <c r="AL303" s="149"/>
      <c r="AM303" s="149"/>
      <c r="AN303" s="149"/>
      <c r="AO303" s="149"/>
    </row>
    <row r="304" spans="2:41" ht="15">
      <c r="B304" s="152" t="s">
        <v>404</v>
      </c>
      <c r="C304" s="151"/>
      <c r="D304" s="151"/>
      <c r="E304" s="151"/>
      <c r="F304" s="151"/>
      <c r="G304" s="151"/>
      <c r="H304" s="151"/>
      <c r="I304" s="151"/>
      <c r="J304" s="151"/>
      <c r="K304" s="151"/>
      <c r="L304" s="151"/>
      <c r="M304" s="151"/>
      <c r="N304" s="151"/>
      <c r="O304" s="151"/>
      <c r="P304" s="151"/>
      <c r="Q304" s="151"/>
      <c r="R304" s="151"/>
      <c r="S304" s="151"/>
      <c r="T304" s="151"/>
      <c r="U304" s="151"/>
      <c r="V304" s="151"/>
      <c r="W304" s="151"/>
      <c r="X304" s="151"/>
      <c r="Y304" s="247"/>
      <c r="Z304" s="247"/>
      <c r="AA304" s="247"/>
      <c r="AB304" s="247"/>
      <c r="AC304" s="153"/>
      <c r="AD304" s="149"/>
      <c r="AE304" s="149"/>
      <c r="AF304" s="149"/>
      <c r="AG304" s="149"/>
      <c r="AH304" s="149"/>
      <c r="AI304" s="149"/>
      <c r="AJ304" s="149"/>
      <c r="AK304" s="149"/>
      <c r="AL304" s="149"/>
      <c r="AM304" s="149"/>
      <c r="AN304" s="149"/>
      <c r="AO304" s="149"/>
    </row>
    <row r="305" spans="2:41" ht="15">
      <c r="B305" s="152" t="s">
        <v>404</v>
      </c>
      <c r="C305" s="151"/>
      <c r="D305" s="151"/>
      <c r="E305" s="151"/>
      <c r="F305" s="151"/>
      <c r="G305" s="151"/>
      <c r="H305" s="151"/>
      <c r="I305" s="151"/>
      <c r="J305" s="151"/>
      <c r="K305" s="151"/>
      <c r="L305" s="151"/>
      <c r="M305" s="151"/>
      <c r="N305" s="151"/>
      <c r="O305" s="151"/>
      <c r="P305" s="151"/>
      <c r="Q305" s="151"/>
      <c r="R305" s="151"/>
      <c r="S305" s="151"/>
      <c r="T305" s="151"/>
      <c r="U305" s="151"/>
      <c r="V305" s="151"/>
      <c r="W305" s="151"/>
      <c r="X305" s="151"/>
      <c r="Y305" s="247"/>
      <c r="Z305" s="247"/>
      <c r="AA305" s="247"/>
      <c r="AB305" s="247"/>
      <c r="AC305" s="153"/>
      <c r="AD305" s="149"/>
      <c r="AE305" s="149"/>
      <c r="AF305" s="149"/>
      <c r="AG305" s="149"/>
      <c r="AH305" s="149"/>
      <c r="AI305" s="149"/>
      <c r="AJ305" s="149"/>
      <c r="AK305" s="149"/>
      <c r="AL305" s="149"/>
      <c r="AM305" s="149"/>
      <c r="AN305" s="149"/>
      <c r="AO305" s="149"/>
    </row>
    <row r="306" spans="2:41" ht="15">
      <c r="B306" s="152" t="s">
        <v>404</v>
      </c>
      <c r="C306" s="151"/>
      <c r="D306" s="151"/>
      <c r="E306" s="151"/>
      <c r="F306" s="151"/>
      <c r="G306" s="151"/>
      <c r="H306" s="151"/>
      <c r="I306" s="151"/>
      <c r="J306" s="151"/>
      <c r="K306" s="151"/>
      <c r="L306" s="151"/>
      <c r="M306" s="151"/>
      <c r="N306" s="151"/>
      <c r="O306" s="151"/>
      <c r="P306" s="151"/>
      <c r="Q306" s="151"/>
      <c r="R306" s="151"/>
      <c r="S306" s="151"/>
      <c r="T306" s="151"/>
      <c r="U306" s="151"/>
      <c r="V306" s="151"/>
      <c r="W306" s="151"/>
      <c r="X306" s="151"/>
      <c r="Y306" s="247"/>
      <c r="Z306" s="247"/>
      <c r="AA306" s="247"/>
      <c r="AB306" s="247"/>
      <c r="AC306" s="153"/>
      <c r="AD306" s="149"/>
      <c r="AE306" s="149"/>
      <c r="AF306" s="149"/>
      <c r="AG306" s="149"/>
      <c r="AH306" s="149"/>
      <c r="AI306" s="149"/>
      <c r="AJ306" s="149"/>
      <c r="AK306" s="149"/>
      <c r="AL306" s="149"/>
      <c r="AM306" s="149"/>
      <c r="AN306" s="149"/>
      <c r="AO306" s="149"/>
    </row>
    <row r="307" spans="2:41" ht="15">
      <c r="B307" s="152" t="s">
        <v>404</v>
      </c>
      <c r="C307" s="151"/>
      <c r="D307" s="151"/>
      <c r="E307" s="151"/>
      <c r="F307" s="151"/>
      <c r="G307" s="151"/>
      <c r="H307" s="151"/>
      <c r="I307" s="151"/>
      <c r="J307" s="151"/>
      <c r="K307" s="151"/>
      <c r="L307" s="151"/>
      <c r="M307" s="151"/>
      <c r="N307" s="151"/>
      <c r="O307" s="151"/>
      <c r="P307" s="151"/>
      <c r="Q307" s="151"/>
      <c r="R307" s="151"/>
      <c r="S307" s="151"/>
      <c r="T307" s="151"/>
      <c r="U307" s="151"/>
      <c r="V307" s="151"/>
      <c r="W307" s="151"/>
      <c r="X307" s="151"/>
      <c r="Y307" s="247"/>
      <c r="Z307" s="247"/>
      <c r="AA307" s="247"/>
      <c r="AB307" s="247"/>
      <c r="AC307" s="153"/>
      <c r="AD307" s="149"/>
      <c r="AE307" s="149"/>
      <c r="AF307" s="149"/>
      <c r="AG307" s="149"/>
      <c r="AH307" s="149"/>
      <c r="AI307" s="149"/>
      <c r="AJ307" s="149"/>
      <c r="AK307" s="149"/>
      <c r="AL307" s="149"/>
      <c r="AM307" s="149"/>
      <c r="AN307" s="149"/>
      <c r="AO307" s="149"/>
    </row>
    <row r="308" spans="2:41" ht="15">
      <c r="B308" s="152" t="s">
        <v>404</v>
      </c>
      <c r="C308" s="151"/>
      <c r="D308" s="151"/>
      <c r="E308" s="151"/>
      <c r="F308" s="151"/>
      <c r="G308" s="151"/>
      <c r="H308" s="151"/>
      <c r="I308" s="151"/>
      <c r="J308" s="151"/>
      <c r="K308" s="151"/>
      <c r="L308" s="151"/>
      <c r="M308" s="151"/>
      <c r="N308" s="151"/>
      <c r="O308" s="151"/>
      <c r="P308" s="151"/>
      <c r="Q308" s="151"/>
      <c r="R308" s="151"/>
      <c r="S308" s="151"/>
      <c r="T308" s="151"/>
      <c r="U308" s="151"/>
      <c r="V308" s="151"/>
      <c r="W308" s="151"/>
      <c r="X308" s="151"/>
      <c r="Y308" s="247"/>
      <c r="Z308" s="247"/>
      <c r="AA308" s="247"/>
      <c r="AB308" s="247"/>
      <c r="AC308" s="153"/>
      <c r="AD308" s="149"/>
      <c r="AE308" s="149"/>
      <c r="AF308" s="149"/>
      <c r="AG308" s="149"/>
      <c r="AH308" s="149"/>
      <c r="AI308" s="149"/>
      <c r="AJ308" s="149"/>
      <c r="AK308" s="149"/>
      <c r="AL308" s="149"/>
      <c r="AM308" s="149"/>
      <c r="AN308" s="149"/>
      <c r="AO308" s="149"/>
    </row>
    <row r="309" spans="2:41" ht="15">
      <c r="B309" s="152" t="s">
        <v>404</v>
      </c>
      <c r="C309" s="151"/>
      <c r="D309" s="151"/>
      <c r="E309" s="151"/>
      <c r="F309" s="151"/>
      <c r="G309" s="151"/>
      <c r="H309" s="151"/>
      <c r="I309" s="151"/>
      <c r="J309" s="151"/>
      <c r="K309" s="151"/>
      <c r="L309" s="151"/>
      <c r="M309" s="151"/>
      <c r="N309" s="151"/>
      <c r="O309" s="151"/>
      <c r="P309" s="151"/>
      <c r="Q309" s="151"/>
      <c r="R309" s="151"/>
      <c r="S309" s="151"/>
      <c r="T309" s="151"/>
      <c r="U309" s="151"/>
      <c r="V309" s="151"/>
      <c r="W309" s="151"/>
      <c r="X309" s="151"/>
      <c r="Y309" s="247"/>
      <c r="Z309" s="247"/>
      <c r="AA309" s="247"/>
      <c r="AB309" s="247"/>
      <c r="AC309" s="153"/>
      <c r="AD309" s="149"/>
      <c r="AE309" s="149"/>
      <c r="AF309" s="149"/>
      <c r="AG309" s="149"/>
      <c r="AH309" s="149"/>
      <c r="AI309" s="149"/>
      <c r="AJ309" s="149"/>
      <c r="AK309" s="149"/>
      <c r="AL309" s="149"/>
      <c r="AM309" s="149"/>
      <c r="AN309" s="149"/>
      <c r="AO309" s="149"/>
    </row>
    <row r="310" spans="2:41" ht="15">
      <c r="B310" s="152" t="s">
        <v>404</v>
      </c>
      <c r="C310" s="151"/>
      <c r="D310" s="151"/>
      <c r="E310" s="151"/>
      <c r="F310" s="151"/>
      <c r="G310" s="151"/>
      <c r="H310" s="151"/>
      <c r="I310" s="151"/>
      <c r="J310" s="151"/>
      <c r="K310" s="151"/>
      <c r="L310" s="151"/>
      <c r="M310" s="151"/>
      <c r="N310" s="151"/>
      <c r="O310" s="151"/>
      <c r="P310" s="151"/>
      <c r="Q310" s="151"/>
      <c r="R310" s="151"/>
      <c r="S310" s="151"/>
      <c r="T310" s="151"/>
      <c r="U310" s="151"/>
      <c r="V310" s="151"/>
      <c r="W310" s="151"/>
      <c r="X310" s="151"/>
      <c r="Y310" s="247"/>
      <c r="Z310" s="247"/>
      <c r="AA310" s="247"/>
      <c r="AB310" s="247"/>
      <c r="AC310" s="153"/>
      <c r="AD310" s="149"/>
      <c r="AE310" s="149"/>
      <c r="AF310" s="149"/>
      <c r="AG310" s="149"/>
      <c r="AH310" s="149"/>
      <c r="AI310" s="149"/>
      <c r="AJ310" s="149"/>
      <c r="AK310" s="149"/>
      <c r="AL310" s="149"/>
      <c r="AM310" s="149"/>
      <c r="AN310" s="149"/>
      <c r="AO310" s="149"/>
    </row>
    <row r="311" spans="2:41" ht="15">
      <c r="B311" s="152" t="s">
        <v>404</v>
      </c>
      <c r="C311" s="151"/>
      <c r="D311" s="151"/>
      <c r="E311" s="151"/>
      <c r="F311" s="151"/>
      <c r="G311" s="151"/>
      <c r="H311" s="151"/>
      <c r="I311" s="151"/>
      <c r="J311" s="151"/>
      <c r="K311" s="151"/>
      <c r="L311" s="151"/>
      <c r="M311" s="151"/>
      <c r="N311" s="151"/>
      <c r="O311" s="151"/>
      <c r="P311" s="151"/>
      <c r="Q311" s="151"/>
      <c r="R311" s="151"/>
      <c r="S311" s="151"/>
      <c r="T311" s="151"/>
      <c r="U311" s="151"/>
      <c r="V311" s="151"/>
      <c r="W311" s="151"/>
      <c r="X311" s="151"/>
      <c r="Y311" s="247"/>
      <c r="Z311" s="247"/>
      <c r="AA311" s="247"/>
      <c r="AB311" s="247"/>
      <c r="AC311" s="153"/>
      <c r="AD311" s="149"/>
      <c r="AE311" s="149"/>
      <c r="AF311" s="149"/>
      <c r="AG311" s="149"/>
      <c r="AH311" s="149"/>
      <c r="AI311" s="149"/>
      <c r="AJ311" s="149"/>
      <c r="AK311" s="149"/>
      <c r="AL311" s="149"/>
      <c r="AM311" s="149"/>
      <c r="AN311" s="149"/>
      <c r="AO311" s="149"/>
    </row>
    <row r="312" spans="2:41" ht="15">
      <c r="B312" s="152" t="s">
        <v>404</v>
      </c>
      <c r="C312" s="151"/>
      <c r="D312" s="151"/>
      <c r="E312" s="151"/>
      <c r="F312" s="151"/>
      <c r="G312" s="151"/>
      <c r="H312" s="151"/>
      <c r="I312" s="151"/>
      <c r="J312" s="151"/>
      <c r="K312" s="151"/>
      <c r="L312" s="151"/>
      <c r="M312" s="151"/>
      <c r="N312" s="151"/>
      <c r="O312" s="151"/>
      <c r="P312" s="151"/>
      <c r="Q312" s="151"/>
      <c r="R312" s="151"/>
      <c r="S312" s="151"/>
      <c r="T312" s="151"/>
      <c r="U312" s="151"/>
      <c r="V312" s="151"/>
      <c r="W312" s="151"/>
      <c r="X312" s="151"/>
      <c r="Y312" s="247"/>
      <c r="Z312" s="247"/>
      <c r="AA312" s="247"/>
      <c r="AB312" s="247"/>
      <c r="AC312" s="153"/>
      <c r="AD312" s="149"/>
      <c r="AE312" s="149"/>
      <c r="AF312" s="149"/>
      <c r="AG312" s="149"/>
      <c r="AH312" s="149"/>
      <c r="AI312" s="149"/>
      <c r="AJ312" s="149"/>
      <c r="AK312" s="149"/>
      <c r="AL312" s="149"/>
      <c r="AM312" s="149"/>
      <c r="AN312" s="149"/>
      <c r="AO312" s="149"/>
    </row>
    <row r="313" spans="2:41" ht="15">
      <c r="B313" s="152" t="s">
        <v>404</v>
      </c>
      <c r="C313" s="151"/>
      <c r="D313" s="151"/>
      <c r="E313" s="151"/>
      <c r="F313" s="151"/>
      <c r="G313" s="151"/>
      <c r="H313" s="151"/>
      <c r="I313" s="151"/>
      <c r="J313" s="151"/>
      <c r="K313" s="151"/>
      <c r="L313" s="151"/>
      <c r="M313" s="151"/>
      <c r="N313" s="151"/>
      <c r="O313" s="151"/>
      <c r="P313" s="151"/>
      <c r="Q313" s="151"/>
      <c r="R313" s="151"/>
      <c r="S313" s="151"/>
      <c r="T313" s="151"/>
      <c r="U313" s="151"/>
      <c r="V313" s="151"/>
      <c r="W313" s="151"/>
      <c r="X313" s="151"/>
      <c r="Y313" s="247"/>
      <c r="Z313" s="247"/>
      <c r="AA313" s="247"/>
      <c r="AB313" s="247"/>
      <c r="AC313" s="153"/>
      <c r="AD313" s="149"/>
      <c r="AE313" s="149"/>
      <c r="AF313" s="149"/>
      <c r="AG313" s="149"/>
      <c r="AH313" s="149"/>
      <c r="AI313" s="149"/>
      <c r="AJ313" s="149"/>
      <c r="AK313" s="149"/>
      <c r="AL313" s="149"/>
      <c r="AM313" s="149"/>
      <c r="AN313" s="149"/>
      <c r="AO313" s="149"/>
    </row>
    <row r="314" spans="2:41" ht="15">
      <c r="B314" s="152" t="s">
        <v>404</v>
      </c>
      <c r="C314" s="151"/>
      <c r="D314" s="151"/>
      <c r="E314" s="151"/>
      <c r="F314" s="151"/>
      <c r="G314" s="151"/>
      <c r="H314" s="151"/>
      <c r="I314" s="151"/>
      <c r="J314" s="151"/>
      <c r="K314" s="151"/>
      <c r="L314" s="151"/>
      <c r="M314" s="151"/>
      <c r="N314" s="151"/>
      <c r="O314" s="151"/>
      <c r="P314" s="151"/>
      <c r="Q314" s="151"/>
      <c r="R314" s="151"/>
      <c r="S314" s="151"/>
      <c r="T314" s="151"/>
      <c r="U314" s="151"/>
      <c r="V314" s="151"/>
      <c r="W314" s="151"/>
      <c r="X314" s="151"/>
      <c r="Y314" s="247"/>
      <c r="Z314" s="247"/>
      <c r="AA314" s="247"/>
      <c r="AB314" s="247"/>
      <c r="AC314" s="153"/>
      <c r="AD314" s="149"/>
      <c r="AE314" s="149"/>
      <c r="AF314" s="149"/>
      <c r="AG314" s="149"/>
      <c r="AH314" s="149"/>
      <c r="AI314" s="149"/>
      <c r="AJ314" s="149"/>
      <c r="AK314" s="149"/>
      <c r="AL314" s="149"/>
      <c r="AM314" s="149"/>
      <c r="AN314" s="149"/>
      <c r="AO314" s="149"/>
    </row>
    <row r="315" spans="2:41" ht="15">
      <c r="B315" s="152" t="s">
        <v>404</v>
      </c>
      <c r="C315" s="151"/>
      <c r="D315" s="151"/>
      <c r="E315" s="151"/>
      <c r="F315" s="151"/>
      <c r="G315" s="151"/>
      <c r="H315" s="151"/>
      <c r="I315" s="151"/>
      <c r="J315" s="151"/>
      <c r="K315" s="151"/>
      <c r="L315" s="151"/>
      <c r="M315" s="151"/>
      <c r="N315" s="151"/>
      <c r="O315" s="151"/>
      <c r="P315" s="151"/>
      <c r="Q315" s="151"/>
      <c r="R315" s="151"/>
      <c r="S315" s="151"/>
      <c r="T315" s="151"/>
      <c r="U315" s="151"/>
      <c r="V315" s="151"/>
      <c r="W315" s="151"/>
      <c r="X315" s="151"/>
      <c r="Y315" s="247"/>
      <c r="Z315" s="247"/>
      <c r="AA315" s="247"/>
      <c r="AB315" s="247"/>
      <c r="AC315" s="153"/>
      <c r="AD315" s="149"/>
      <c r="AE315" s="149"/>
      <c r="AF315" s="149"/>
      <c r="AG315" s="149"/>
      <c r="AH315" s="149"/>
      <c r="AI315" s="149"/>
      <c r="AJ315" s="149"/>
      <c r="AK315" s="149"/>
      <c r="AL315" s="149"/>
      <c r="AM315" s="149"/>
      <c r="AN315" s="149"/>
      <c r="AO315" s="149"/>
    </row>
    <row r="316" spans="2:41" ht="15">
      <c r="B316" s="152" t="s">
        <v>404</v>
      </c>
      <c r="C316" s="151"/>
      <c r="D316" s="151"/>
      <c r="E316" s="151"/>
      <c r="F316" s="151"/>
      <c r="G316" s="151"/>
      <c r="H316" s="151"/>
      <c r="I316" s="151"/>
      <c r="J316" s="151"/>
      <c r="K316" s="151"/>
      <c r="L316" s="151"/>
      <c r="M316" s="151"/>
      <c r="N316" s="151"/>
      <c r="O316" s="151"/>
      <c r="P316" s="151"/>
      <c r="Q316" s="151"/>
      <c r="R316" s="151"/>
      <c r="S316" s="151"/>
      <c r="T316" s="151"/>
      <c r="U316" s="151"/>
      <c r="V316" s="151"/>
      <c r="W316" s="151"/>
      <c r="X316" s="151"/>
      <c r="Y316" s="247"/>
      <c r="Z316" s="247"/>
      <c r="AA316" s="247"/>
      <c r="AB316" s="247"/>
      <c r="AC316" s="153"/>
      <c r="AD316" s="149"/>
      <c r="AE316" s="149"/>
      <c r="AF316" s="149"/>
      <c r="AG316" s="149"/>
      <c r="AH316" s="149"/>
      <c r="AI316" s="149"/>
      <c r="AJ316" s="149"/>
      <c r="AK316" s="149"/>
      <c r="AL316" s="149"/>
      <c r="AM316" s="149"/>
      <c r="AN316" s="149"/>
      <c r="AO316" s="149"/>
    </row>
    <row r="317" spans="2:41" ht="15">
      <c r="B317" s="152" t="s">
        <v>404</v>
      </c>
      <c r="C317" s="151"/>
      <c r="D317" s="151"/>
      <c r="E317" s="151"/>
      <c r="F317" s="151"/>
      <c r="G317" s="151"/>
      <c r="H317" s="151"/>
      <c r="I317" s="151"/>
      <c r="J317" s="151"/>
      <c r="K317" s="151"/>
      <c r="L317" s="151"/>
      <c r="M317" s="151"/>
      <c r="N317" s="151"/>
      <c r="O317" s="151"/>
      <c r="P317" s="151"/>
      <c r="Q317" s="151"/>
      <c r="R317" s="151"/>
      <c r="S317" s="151"/>
      <c r="T317" s="151"/>
      <c r="U317" s="151"/>
      <c r="V317" s="151"/>
      <c r="W317" s="151"/>
      <c r="X317" s="151"/>
      <c r="Y317" s="247"/>
      <c r="Z317" s="247"/>
      <c r="AA317" s="247"/>
      <c r="AB317" s="247"/>
      <c r="AC317" s="153"/>
      <c r="AD317" s="149"/>
      <c r="AE317" s="149"/>
      <c r="AF317" s="149"/>
      <c r="AG317" s="149"/>
      <c r="AH317" s="149"/>
      <c r="AI317" s="149"/>
      <c r="AJ317" s="149"/>
      <c r="AK317" s="149"/>
      <c r="AL317" s="149"/>
      <c r="AM317" s="149"/>
      <c r="AN317" s="149"/>
      <c r="AO317" s="149"/>
    </row>
    <row r="318" spans="2:41" ht="15">
      <c r="B318" s="152" t="s">
        <v>404</v>
      </c>
      <c r="C318" s="151"/>
      <c r="D318" s="151"/>
      <c r="E318" s="151"/>
      <c r="F318" s="151"/>
      <c r="G318" s="151"/>
      <c r="H318" s="151"/>
      <c r="I318" s="151"/>
      <c r="J318" s="151"/>
      <c r="K318" s="151"/>
      <c r="L318" s="151"/>
      <c r="M318" s="151"/>
      <c r="N318" s="151"/>
      <c r="O318" s="151"/>
      <c r="P318" s="151"/>
      <c r="Q318" s="151"/>
      <c r="R318" s="151"/>
      <c r="S318" s="151"/>
      <c r="T318" s="151"/>
      <c r="U318" s="151"/>
      <c r="V318" s="151"/>
      <c r="W318" s="151"/>
      <c r="X318" s="151"/>
      <c r="Y318" s="247"/>
      <c r="Z318" s="247"/>
      <c r="AA318" s="247"/>
      <c r="AB318" s="247"/>
      <c r="AC318" s="153"/>
      <c r="AD318" s="149"/>
      <c r="AE318" s="149"/>
      <c r="AF318" s="149"/>
      <c r="AG318" s="149"/>
      <c r="AH318" s="149"/>
      <c r="AI318" s="149"/>
      <c r="AJ318" s="149"/>
      <c r="AK318" s="149"/>
      <c r="AL318" s="149"/>
      <c r="AM318" s="149"/>
      <c r="AN318" s="149"/>
      <c r="AO318" s="149"/>
    </row>
    <row r="319" spans="2:41" ht="15">
      <c r="B319" s="152" t="s">
        <v>404</v>
      </c>
      <c r="C319" s="151"/>
      <c r="D319" s="151"/>
      <c r="E319" s="151"/>
      <c r="F319" s="151"/>
      <c r="G319" s="151"/>
      <c r="H319" s="151"/>
      <c r="I319" s="151"/>
      <c r="J319" s="151"/>
      <c r="K319" s="151"/>
      <c r="L319" s="151"/>
      <c r="M319" s="151"/>
      <c r="N319" s="151"/>
      <c r="O319" s="151"/>
      <c r="P319" s="151"/>
      <c r="Q319" s="151"/>
      <c r="R319" s="151"/>
      <c r="S319" s="151"/>
      <c r="T319" s="151"/>
      <c r="U319" s="151"/>
      <c r="V319" s="151"/>
      <c r="W319" s="151"/>
      <c r="X319" s="151"/>
      <c r="Y319" s="247"/>
      <c r="Z319" s="247"/>
      <c r="AA319" s="247"/>
      <c r="AB319" s="247"/>
      <c r="AC319" s="153"/>
      <c r="AD319" s="149"/>
      <c r="AE319" s="149"/>
      <c r="AF319" s="149"/>
      <c r="AG319" s="149"/>
      <c r="AH319" s="149"/>
      <c r="AI319" s="149"/>
      <c r="AJ319" s="149"/>
      <c r="AK319" s="149"/>
      <c r="AL319" s="149"/>
      <c r="AM319" s="149"/>
      <c r="AN319" s="149"/>
      <c r="AO319" s="149"/>
    </row>
    <row r="320" spans="2:41" ht="15">
      <c r="B320" s="152" t="s">
        <v>404</v>
      </c>
      <c r="C320" s="151"/>
      <c r="D320" s="151"/>
      <c r="E320" s="151"/>
      <c r="F320" s="151"/>
      <c r="G320" s="151"/>
      <c r="H320" s="151"/>
      <c r="I320" s="151"/>
      <c r="J320" s="151"/>
      <c r="K320" s="151"/>
      <c r="L320" s="151"/>
      <c r="M320" s="151"/>
      <c r="N320" s="151"/>
      <c r="O320" s="151"/>
      <c r="P320" s="151"/>
      <c r="Q320" s="151"/>
      <c r="R320" s="151"/>
      <c r="S320" s="151"/>
      <c r="T320" s="151"/>
      <c r="U320" s="151"/>
      <c r="V320" s="151"/>
      <c r="W320" s="151"/>
      <c r="X320" s="151"/>
      <c r="Y320" s="247"/>
      <c r="Z320" s="247"/>
      <c r="AA320" s="247"/>
      <c r="AB320" s="247"/>
      <c r="AC320" s="153"/>
      <c r="AD320" s="149"/>
      <c r="AE320" s="149"/>
      <c r="AF320" s="149"/>
      <c r="AG320" s="149"/>
      <c r="AH320" s="149"/>
      <c r="AI320" s="149"/>
      <c r="AJ320" s="149"/>
      <c r="AK320" s="149"/>
      <c r="AL320" s="149"/>
      <c r="AM320" s="149"/>
      <c r="AN320" s="149"/>
      <c r="AO320" s="149"/>
    </row>
    <row r="321" spans="2:41" ht="15">
      <c r="B321" s="152" t="s">
        <v>404</v>
      </c>
      <c r="C321" s="151"/>
      <c r="D321" s="151"/>
      <c r="E321" s="151"/>
      <c r="F321" s="151"/>
      <c r="G321" s="151"/>
      <c r="H321" s="151"/>
      <c r="I321" s="151"/>
      <c r="J321" s="151"/>
      <c r="K321" s="151"/>
      <c r="L321" s="151"/>
      <c r="M321" s="151"/>
      <c r="N321" s="151"/>
      <c r="O321" s="151"/>
      <c r="P321" s="151"/>
      <c r="Q321" s="151"/>
      <c r="R321" s="151"/>
      <c r="S321" s="151"/>
      <c r="T321" s="151"/>
      <c r="U321" s="151"/>
      <c r="V321" s="151"/>
      <c r="W321" s="151"/>
      <c r="X321" s="151"/>
      <c r="Y321" s="247"/>
      <c r="Z321" s="247"/>
      <c r="AA321" s="247"/>
      <c r="AB321" s="247"/>
      <c r="AC321" s="153"/>
      <c r="AD321" s="149"/>
      <c r="AE321" s="149"/>
      <c r="AF321" s="149"/>
      <c r="AG321" s="149"/>
      <c r="AH321" s="149"/>
      <c r="AI321" s="149"/>
      <c r="AJ321" s="149"/>
      <c r="AK321" s="149"/>
      <c r="AL321" s="149"/>
      <c r="AM321" s="149"/>
      <c r="AN321" s="149"/>
      <c r="AO321" s="149"/>
    </row>
    <row r="322" spans="2:41" ht="15">
      <c r="B322" s="152" t="s">
        <v>404</v>
      </c>
      <c r="C322" s="151"/>
      <c r="D322" s="151"/>
      <c r="E322" s="151"/>
      <c r="F322" s="151"/>
      <c r="G322" s="151"/>
      <c r="H322" s="151"/>
      <c r="I322" s="151"/>
      <c r="J322" s="151"/>
      <c r="K322" s="151"/>
      <c r="L322" s="151"/>
      <c r="M322" s="151"/>
      <c r="N322" s="151"/>
      <c r="O322" s="151"/>
      <c r="P322" s="151"/>
      <c r="Q322" s="151"/>
      <c r="R322" s="151"/>
      <c r="S322" s="151"/>
      <c r="T322" s="151"/>
      <c r="U322" s="151"/>
      <c r="V322" s="151"/>
      <c r="W322" s="151"/>
      <c r="X322" s="151"/>
      <c r="Y322" s="247"/>
      <c r="Z322" s="247"/>
      <c r="AA322" s="247"/>
      <c r="AB322" s="247"/>
      <c r="AC322" s="153"/>
      <c r="AD322" s="149"/>
      <c r="AE322" s="149"/>
      <c r="AF322" s="149"/>
      <c r="AG322" s="149"/>
      <c r="AH322" s="149"/>
      <c r="AI322" s="149"/>
      <c r="AJ322" s="149"/>
      <c r="AK322" s="149"/>
      <c r="AL322" s="149"/>
      <c r="AM322" s="149"/>
      <c r="AN322" s="149"/>
      <c r="AO322" s="149"/>
    </row>
    <row r="323" spans="2:41" ht="15">
      <c r="B323" s="152" t="s">
        <v>404</v>
      </c>
      <c r="C323" s="151"/>
      <c r="D323" s="151"/>
      <c r="E323" s="151"/>
      <c r="F323" s="151"/>
      <c r="G323" s="151"/>
      <c r="H323" s="151"/>
      <c r="I323" s="151"/>
      <c r="J323" s="151"/>
      <c r="K323" s="151"/>
      <c r="L323" s="151"/>
      <c r="M323" s="151"/>
      <c r="N323" s="151"/>
      <c r="O323" s="151"/>
      <c r="P323" s="151"/>
      <c r="Q323" s="151"/>
      <c r="R323" s="151"/>
      <c r="S323" s="151"/>
      <c r="T323" s="151"/>
      <c r="U323" s="151"/>
      <c r="V323" s="151"/>
      <c r="W323" s="151"/>
      <c r="X323" s="151"/>
      <c r="Y323" s="247"/>
      <c r="Z323" s="247"/>
      <c r="AA323" s="247"/>
      <c r="AB323" s="247"/>
      <c r="AC323" s="153"/>
      <c r="AD323" s="149"/>
      <c r="AE323" s="149"/>
      <c r="AF323" s="149"/>
      <c r="AG323" s="149"/>
      <c r="AH323" s="149"/>
      <c r="AI323" s="149"/>
      <c r="AJ323" s="149"/>
      <c r="AK323" s="149"/>
      <c r="AL323" s="149"/>
      <c r="AM323" s="149"/>
      <c r="AN323" s="149"/>
      <c r="AO323" s="149"/>
    </row>
    <row r="324" spans="2:41" ht="15">
      <c r="B324" s="152" t="s">
        <v>404</v>
      </c>
      <c r="C324" s="151"/>
      <c r="D324" s="151"/>
      <c r="E324" s="151"/>
      <c r="F324" s="151"/>
      <c r="G324" s="151"/>
      <c r="H324" s="151"/>
      <c r="I324" s="151"/>
      <c r="J324" s="151"/>
      <c r="K324" s="151"/>
      <c r="L324" s="151"/>
      <c r="M324" s="151"/>
      <c r="N324" s="151"/>
      <c r="O324" s="151"/>
      <c r="P324" s="151"/>
      <c r="Q324" s="151"/>
      <c r="R324" s="151"/>
      <c r="S324" s="151"/>
      <c r="T324" s="151"/>
      <c r="U324" s="151"/>
      <c r="V324" s="151"/>
      <c r="W324" s="151"/>
      <c r="X324" s="151"/>
      <c r="Y324" s="247"/>
      <c r="Z324" s="247"/>
      <c r="AA324" s="247"/>
      <c r="AB324" s="247"/>
      <c r="AC324" s="153"/>
      <c r="AD324" s="149"/>
      <c r="AE324" s="149"/>
      <c r="AF324" s="149"/>
      <c r="AG324" s="149"/>
      <c r="AH324" s="149"/>
      <c r="AI324" s="149"/>
      <c r="AJ324" s="149"/>
      <c r="AK324" s="149"/>
      <c r="AL324" s="149"/>
      <c r="AM324" s="149"/>
      <c r="AN324" s="149"/>
      <c r="AO324" s="149"/>
    </row>
    <row r="325" spans="2:41" ht="15">
      <c r="B325" s="152" t="s">
        <v>404</v>
      </c>
      <c r="C325" s="151"/>
      <c r="D325" s="151"/>
      <c r="E325" s="151"/>
      <c r="F325" s="151"/>
      <c r="G325" s="151"/>
      <c r="H325" s="151"/>
      <c r="I325" s="151"/>
      <c r="J325" s="151"/>
      <c r="K325" s="151"/>
      <c r="L325" s="151"/>
      <c r="M325" s="151"/>
      <c r="N325" s="151"/>
      <c r="O325" s="151"/>
      <c r="P325" s="151"/>
      <c r="Q325" s="151"/>
      <c r="R325" s="151"/>
      <c r="S325" s="151"/>
      <c r="T325" s="151"/>
      <c r="U325" s="151"/>
      <c r="V325" s="151"/>
      <c r="W325" s="151"/>
      <c r="X325" s="151"/>
      <c r="Y325" s="247"/>
      <c r="Z325" s="247"/>
      <c r="AA325" s="247"/>
      <c r="AB325" s="247"/>
      <c r="AC325" s="153"/>
      <c r="AD325" s="149"/>
      <c r="AE325" s="149"/>
      <c r="AF325" s="149"/>
      <c r="AG325" s="149"/>
      <c r="AH325" s="149"/>
      <c r="AI325" s="149"/>
      <c r="AJ325" s="149"/>
      <c r="AK325" s="149"/>
      <c r="AL325" s="149"/>
      <c r="AM325" s="149"/>
      <c r="AN325" s="149"/>
      <c r="AO325" s="149"/>
    </row>
    <row r="326" spans="2:41" ht="15">
      <c r="B326" s="152" t="s">
        <v>404</v>
      </c>
      <c r="C326" s="151"/>
      <c r="D326" s="151"/>
      <c r="E326" s="151"/>
      <c r="F326" s="151"/>
      <c r="G326" s="151"/>
      <c r="H326" s="151"/>
      <c r="I326" s="151"/>
      <c r="J326" s="151"/>
      <c r="K326" s="151"/>
      <c r="L326" s="151"/>
      <c r="M326" s="151"/>
      <c r="N326" s="151"/>
      <c r="O326" s="151"/>
      <c r="P326" s="151"/>
      <c r="Q326" s="151"/>
      <c r="R326" s="151"/>
      <c r="S326" s="151"/>
      <c r="T326" s="151"/>
      <c r="U326" s="151"/>
      <c r="V326" s="151"/>
      <c r="W326" s="151"/>
      <c r="X326" s="151"/>
      <c r="Y326" s="247"/>
      <c r="Z326" s="247"/>
      <c r="AA326" s="247"/>
      <c r="AB326" s="247"/>
      <c r="AC326" s="153"/>
      <c r="AD326" s="149"/>
      <c r="AE326" s="149"/>
      <c r="AF326" s="149"/>
      <c r="AG326" s="149"/>
      <c r="AH326" s="149"/>
      <c r="AI326" s="149"/>
      <c r="AJ326" s="149"/>
      <c r="AK326" s="149"/>
      <c r="AL326" s="149"/>
      <c r="AM326" s="149"/>
      <c r="AN326" s="149"/>
      <c r="AO326" s="149"/>
    </row>
    <row r="327" spans="2:41" ht="15">
      <c r="B327" s="152" t="s">
        <v>404</v>
      </c>
      <c r="C327" s="151"/>
      <c r="D327" s="151"/>
      <c r="E327" s="151"/>
      <c r="F327" s="151"/>
      <c r="G327" s="151"/>
      <c r="H327" s="151"/>
      <c r="I327" s="151"/>
      <c r="J327" s="151"/>
      <c r="K327" s="151"/>
      <c r="L327" s="151"/>
      <c r="M327" s="151"/>
      <c r="N327" s="151"/>
      <c r="O327" s="151"/>
      <c r="P327" s="151"/>
      <c r="Q327" s="151"/>
      <c r="R327" s="151"/>
      <c r="S327" s="151"/>
      <c r="T327" s="151"/>
      <c r="U327" s="151"/>
      <c r="V327" s="151"/>
      <c r="W327" s="151"/>
      <c r="X327" s="151"/>
      <c r="Y327" s="247"/>
      <c r="Z327" s="247"/>
      <c r="AA327" s="247"/>
      <c r="AB327" s="247"/>
      <c r="AC327" s="153"/>
      <c r="AD327" s="149"/>
      <c r="AE327" s="149"/>
      <c r="AF327" s="149"/>
      <c r="AG327" s="149"/>
      <c r="AH327" s="149"/>
      <c r="AI327" s="149"/>
      <c r="AJ327" s="149"/>
      <c r="AK327" s="149"/>
      <c r="AL327" s="149"/>
      <c r="AM327" s="149"/>
      <c r="AN327" s="149"/>
      <c r="AO327" s="149"/>
    </row>
    <row r="328" spans="2:41" ht="15">
      <c r="B328" s="152" t="s">
        <v>404</v>
      </c>
      <c r="C328" s="151"/>
      <c r="D328" s="151"/>
      <c r="E328" s="151"/>
      <c r="F328" s="151"/>
      <c r="G328" s="151"/>
      <c r="H328" s="151"/>
      <c r="I328" s="151"/>
      <c r="J328" s="151"/>
      <c r="K328" s="151"/>
      <c r="L328" s="151"/>
      <c r="M328" s="151"/>
      <c r="N328" s="151"/>
      <c r="O328" s="151"/>
      <c r="P328" s="151"/>
      <c r="Q328" s="151"/>
      <c r="R328" s="151"/>
      <c r="S328" s="151"/>
      <c r="T328" s="151"/>
      <c r="U328" s="151"/>
      <c r="V328" s="151"/>
      <c r="W328" s="151"/>
      <c r="X328" s="151"/>
      <c r="Y328" s="247"/>
      <c r="Z328" s="247"/>
      <c r="AA328" s="247"/>
      <c r="AB328" s="247"/>
      <c r="AC328" s="153"/>
      <c r="AD328" s="149"/>
      <c r="AE328" s="149"/>
      <c r="AF328" s="149"/>
      <c r="AG328" s="149"/>
      <c r="AH328" s="149"/>
      <c r="AI328" s="149"/>
      <c r="AJ328" s="149"/>
      <c r="AK328" s="149"/>
      <c r="AL328" s="149"/>
      <c r="AM328" s="149"/>
      <c r="AN328" s="149"/>
      <c r="AO328" s="149"/>
    </row>
    <row r="329" spans="2:41" ht="15">
      <c r="B329" s="152" t="s">
        <v>404</v>
      </c>
      <c r="C329" s="151"/>
      <c r="D329" s="151"/>
      <c r="E329" s="151"/>
      <c r="F329" s="151"/>
      <c r="G329" s="151"/>
      <c r="H329" s="151"/>
      <c r="I329" s="151"/>
      <c r="J329" s="151"/>
      <c r="K329" s="151"/>
      <c r="L329" s="151"/>
      <c r="M329" s="151"/>
      <c r="N329" s="151"/>
      <c r="O329" s="151"/>
      <c r="P329" s="151"/>
      <c r="Q329" s="151"/>
      <c r="R329" s="151"/>
      <c r="S329" s="151"/>
      <c r="T329" s="151"/>
      <c r="U329" s="151"/>
      <c r="V329" s="151"/>
      <c r="W329" s="151"/>
      <c r="X329" s="151"/>
      <c r="Y329" s="247"/>
      <c r="Z329" s="247"/>
      <c r="AA329" s="247"/>
      <c r="AB329" s="247"/>
      <c r="AC329" s="153"/>
      <c r="AD329" s="149"/>
      <c r="AE329" s="149"/>
      <c r="AF329" s="149"/>
      <c r="AG329" s="149"/>
      <c r="AH329" s="149"/>
      <c r="AI329" s="149"/>
      <c r="AJ329" s="149"/>
      <c r="AK329" s="149"/>
      <c r="AL329" s="149"/>
      <c r="AM329" s="149"/>
      <c r="AN329" s="149"/>
      <c r="AO329" s="149"/>
    </row>
    <row r="330" spans="2:41" ht="15">
      <c r="B330" s="152" t="s">
        <v>404</v>
      </c>
      <c r="C330" s="151"/>
      <c r="D330" s="151"/>
      <c r="E330" s="151"/>
      <c r="F330" s="151"/>
      <c r="G330" s="151"/>
      <c r="H330" s="151"/>
      <c r="I330" s="151"/>
      <c r="J330" s="151"/>
      <c r="K330" s="151"/>
      <c r="L330" s="151"/>
      <c r="M330" s="151"/>
      <c r="N330" s="151"/>
      <c r="O330" s="151"/>
      <c r="P330" s="151"/>
      <c r="Q330" s="151"/>
      <c r="R330" s="151"/>
      <c r="S330" s="151"/>
      <c r="T330" s="151"/>
      <c r="U330" s="151"/>
      <c r="V330" s="151"/>
      <c r="W330" s="151"/>
      <c r="X330" s="151"/>
      <c r="Y330" s="247"/>
      <c r="Z330" s="247"/>
      <c r="AA330" s="247"/>
      <c r="AB330" s="247"/>
      <c r="AC330" s="153"/>
      <c r="AD330" s="149"/>
      <c r="AE330" s="149"/>
      <c r="AF330" s="149"/>
      <c r="AG330" s="149"/>
      <c r="AH330" s="149"/>
      <c r="AI330" s="149"/>
      <c r="AJ330" s="149"/>
      <c r="AK330" s="149"/>
      <c r="AL330" s="149"/>
      <c r="AM330" s="149"/>
      <c r="AN330" s="149"/>
      <c r="AO330" s="149"/>
    </row>
    <row r="331" spans="2:41" ht="15">
      <c r="B331" s="152" t="s">
        <v>404</v>
      </c>
      <c r="C331" s="151"/>
      <c r="D331" s="151"/>
      <c r="E331" s="151"/>
      <c r="F331" s="151"/>
      <c r="G331" s="151"/>
      <c r="H331" s="151"/>
      <c r="I331" s="151"/>
      <c r="J331" s="151"/>
      <c r="K331" s="151"/>
      <c r="L331" s="151"/>
      <c r="M331" s="151"/>
      <c r="N331" s="151"/>
      <c r="O331" s="151"/>
      <c r="P331" s="151"/>
      <c r="Q331" s="151"/>
      <c r="R331" s="151"/>
      <c r="S331" s="151"/>
      <c r="T331" s="151"/>
      <c r="U331" s="151"/>
      <c r="V331" s="151"/>
      <c r="W331" s="151"/>
      <c r="X331" s="151"/>
      <c r="Y331" s="247"/>
      <c r="Z331" s="247"/>
      <c r="AA331" s="247"/>
      <c r="AB331" s="247"/>
      <c r="AC331" s="153"/>
      <c r="AD331" s="149"/>
      <c r="AE331" s="149"/>
      <c r="AF331" s="149"/>
      <c r="AG331" s="149"/>
      <c r="AH331" s="149"/>
      <c r="AI331" s="149"/>
      <c r="AJ331" s="149"/>
      <c r="AK331" s="149"/>
      <c r="AL331" s="149"/>
      <c r="AM331" s="149"/>
      <c r="AN331" s="149"/>
      <c r="AO331" s="149"/>
    </row>
    <row r="332" spans="2:41" ht="15">
      <c r="B332" s="152" t="s">
        <v>404</v>
      </c>
      <c r="C332" s="151"/>
      <c r="D332" s="151"/>
      <c r="E332" s="151"/>
      <c r="F332" s="151"/>
      <c r="G332" s="151"/>
      <c r="H332" s="151"/>
      <c r="I332" s="151"/>
      <c r="J332" s="151"/>
      <c r="K332" s="151"/>
      <c r="L332" s="151"/>
      <c r="M332" s="151"/>
      <c r="N332" s="151"/>
      <c r="O332" s="151"/>
      <c r="P332" s="151"/>
      <c r="Q332" s="151"/>
      <c r="R332" s="151"/>
      <c r="S332" s="151"/>
      <c r="T332" s="151"/>
      <c r="U332" s="151"/>
      <c r="V332" s="151"/>
      <c r="W332" s="151"/>
      <c r="X332" s="151"/>
      <c r="Y332" s="247"/>
      <c r="Z332" s="247"/>
      <c r="AA332" s="247"/>
      <c r="AB332" s="247"/>
      <c r="AC332" s="153"/>
      <c r="AD332" s="149"/>
      <c r="AE332" s="149"/>
      <c r="AF332" s="149"/>
      <c r="AG332" s="149"/>
      <c r="AH332" s="149"/>
      <c r="AI332" s="149"/>
      <c r="AJ332" s="149"/>
      <c r="AK332" s="149"/>
      <c r="AL332" s="149"/>
      <c r="AM332" s="149"/>
      <c r="AN332" s="149"/>
      <c r="AO332" s="149"/>
    </row>
    <row r="333" spans="2:41" ht="15">
      <c r="B333" s="152" t="s">
        <v>404</v>
      </c>
      <c r="C333" s="151"/>
      <c r="D333" s="151"/>
      <c r="E333" s="151"/>
      <c r="F333" s="151"/>
      <c r="G333" s="151"/>
      <c r="H333" s="151"/>
      <c r="I333" s="151"/>
      <c r="J333" s="151"/>
      <c r="K333" s="151"/>
      <c r="L333" s="151"/>
      <c r="M333" s="151"/>
      <c r="N333" s="151"/>
      <c r="O333" s="151"/>
      <c r="P333" s="151"/>
      <c r="Q333" s="151"/>
      <c r="R333" s="151"/>
      <c r="S333" s="151"/>
      <c r="T333" s="151"/>
      <c r="U333" s="151"/>
      <c r="V333" s="151"/>
      <c r="W333" s="151"/>
      <c r="X333" s="151"/>
      <c r="Y333" s="247"/>
      <c r="Z333" s="247"/>
      <c r="AA333" s="247"/>
      <c r="AB333" s="247"/>
      <c r="AC333" s="153"/>
      <c r="AD333" s="149"/>
      <c r="AE333" s="149"/>
      <c r="AF333" s="149"/>
      <c r="AG333" s="149"/>
      <c r="AH333" s="149"/>
      <c r="AI333" s="149"/>
      <c r="AJ333" s="149"/>
      <c r="AK333" s="149"/>
      <c r="AL333" s="149"/>
      <c r="AM333" s="149"/>
      <c r="AN333" s="149"/>
      <c r="AO333" s="149"/>
    </row>
    <row r="334" spans="2:41" ht="15">
      <c r="B334" s="152" t="s">
        <v>404</v>
      </c>
      <c r="C334" s="151"/>
      <c r="D334" s="151"/>
      <c r="E334" s="151"/>
      <c r="F334" s="151"/>
      <c r="G334" s="151"/>
      <c r="H334" s="151"/>
      <c r="I334" s="151"/>
      <c r="J334" s="151"/>
      <c r="K334" s="151"/>
      <c r="L334" s="151"/>
      <c r="M334" s="151"/>
      <c r="N334" s="151"/>
      <c r="O334" s="151"/>
      <c r="P334" s="151"/>
      <c r="Q334" s="151"/>
      <c r="R334" s="151"/>
      <c r="S334" s="151"/>
      <c r="T334" s="151"/>
      <c r="U334" s="151"/>
      <c r="V334" s="151"/>
      <c r="W334" s="151"/>
      <c r="X334" s="151"/>
      <c r="Y334" s="247"/>
      <c r="Z334" s="247"/>
      <c r="AA334" s="247"/>
      <c r="AB334" s="247"/>
      <c r="AC334" s="153"/>
      <c r="AD334" s="149"/>
      <c r="AE334" s="149"/>
      <c r="AF334" s="149"/>
      <c r="AG334" s="149"/>
      <c r="AH334" s="149"/>
      <c r="AI334" s="149"/>
      <c r="AJ334" s="149"/>
      <c r="AK334" s="149"/>
      <c r="AL334" s="149"/>
      <c r="AM334" s="149"/>
      <c r="AN334" s="149"/>
      <c r="AO334" s="149"/>
    </row>
    <row r="335" spans="2:41" ht="15">
      <c r="B335" s="152" t="s">
        <v>404</v>
      </c>
      <c r="C335" s="151"/>
      <c r="D335" s="151"/>
      <c r="E335" s="151"/>
      <c r="F335" s="151"/>
      <c r="G335" s="151"/>
      <c r="H335" s="151"/>
      <c r="I335" s="151"/>
      <c r="J335" s="151"/>
      <c r="K335" s="151"/>
      <c r="L335" s="151"/>
      <c r="M335" s="151"/>
      <c r="N335" s="151"/>
      <c r="O335" s="151"/>
      <c r="P335" s="151"/>
      <c r="Q335" s="151"/>
      <c r="R335" s="151"/>
      <c r="S335" s="151"/>
      <c r="T335" s="151"/>
      <c r="U335" s="151"/>
      <c r="V335" s="151"/>
      <c r="W335" s="151"/>
      <c r="X335" s="151"/>
      <c r="Y335" s="247"/>
      <c r="Z335" s="247"/>
      <c r="AA335" s="247"/>
      <c r="AB335" s="247"/>
      <c r="AC335" s="153"/>
      <c r="AD335" s="149"/>
      <c r="AE335" s="149"/>
      <c r="AF335" s="149"/>
      <c r="AG335" s="149"/>
      <c r="AH335" s="149"/>
      <c r="AI335" s="149"/>
      <c r="AJ335" s="149"/>
      <c r="AK335" s="149"/>
      <c r="AL335" s="149"/>
      <c r="AM335" s="149"/>
      <c r="AN335" s="149"/>
      <c r="AO335" s="149"/>
    </row>
    <row r="336" spans="2:41" ht="15">
      <c r="B336" s="152" t="s">
        <v>404</v>
      </c>
      <c r="C336" s="151"/>
      <c r="D336" s="151"/>
      <c r="E336" s="151"/>
      <c r="F336" s="151"/>
      <c r="G336" s="151"/>
      <c r="H336" s="151"/>
      <c r="I336" s="151"/>
      <c r="J336" s="151"/>
      <c r="K336" s="151"/>
      <c r="L336" s="151"/>
      <c r="M336" s="151"/>
      <c r="N336" s="151"/>
      <c r="O336" s="151"/>
      <c r="P336" s="151"/>
      <c r="Q336" s="151"/>
      <c r="R336" s="151"/>
      <c r="S336" s="151"/>
      <c r="T336" s="151"/>
      <c r="U336" s="151"/>
      <c r="V336" s="151"/>
      <c r="W336" s="151"/>
      <c r="X336" s="151"/>
      <c r="Y336" s="247"/>
      <c r="Z336" s="247"/>
      <c r="AA336" s="247"/>
      <c r="AB336" s="247"/>
      <c r="AC336" s="153"/>
      <c r="AD336" s="149"/>
      <c r="AE336" s="149"/>
      <c r="AF336" s="149"/>
      <c r="AG336" s="149"/>
      <c r="AH336" s="149"/>
      <c r="AI336" s="149"/>
      <c r="AJ336" s="149"/>
      <c r="AK336" s="149"/>
      <c r="AL336" s="149"/>
      <c r="AM336" s="149"/>
      <c r="AN336" s="149"/>
      <c r="AO336" s="149"/>
    </row>
    <row r="337" spans="2:41" ht="15">
      <c r="B337" s="152" t="s">
        <v>404</v>
      </c>
      <c r="C337" s="151"/>
      <c r="D337" s="151"/>
      <c r="E337" s="151"/>
      <c r="F337" s="151"/>
      <c r="G337" s="151"/>
      <c r="H337" s="151"/>
      <c r="I337" s="151"/>
      <c r="J337" s="151"/>
      <c r="K337" s="151"/>
      <c r="L337" s="151"/>
      <c r="M337" s="151"/>
      <c r="N337" s="151"/>
      <c r="O337" s="151"/>
      <c r="P337" s="151"/>
      <c r="Q337" s="151"/>
      <c r="R337" s="151"/>
      <c r="S337" s="151"/>
      <c r="T337" s="151"/>
      <c r="U337" s="151"/>
      <c r="V337" s="151"/>
      <c r="W337" s="151"/>
      <c r="X337" s="151"/>
      <c r="Y337" s="247"/>
      <c r="Z337" s="247"/>
      <c r="AA337" s="247"/>
      <c r="AB337" s="247"/>
      <c r="AC337" s="153"/>
      <c r="AD337" s="149"/>
      <c r="AE337" s="149"/>
      <c r="AF337" s="149"/>
      <c r="AG337" s="149"/>
      <c r="AH337" s="149"/>
      <c r="AI337" s="149"/>
      <c r="AJ337" s="149"/>
      <c r="AK337" s="149"/>
      <c r="AL337" s="149"/>
      <c r="AM337" s="149"/>
      <c r="AN337" s="149"/>
      <c r="AO337" s="149"/>
    </row>
    <row r="338" spans="2:41" ht="15">
      <c r="B338" s="152" t="s">
        <v>404</v>
      </c>
      <c r="C338" s="151"/>
      <c r="D338" s="151"/>
      <c r="E338" s="151"/>
      <c r="F338" s="151"/>
      <c r="G338" s="151"/>
      <c r="H338" s="151"/>
      <c r="I338" s="151"/>
      <c r="J338" s="151"/>
      <c r="K338" s="151"/>
      <c r="L338" s="151"/>
      <c r="M338" s="151"/>
      <c r="N338" s="151"/>
      <c r="O338" s="151"/>
      <c r="P338" s="151"/>
      <c r="Q338" s="151"/>
      <c r="R338" s="151"/>
      <c r="S338" s="151"/>
      <c r="T338" s="151"/>
      <c r="U338" s="151"/>
      <c r="V338" s="151"/>
      <c r="W338" s="151"/>
      <c r="X338" s="151"/>
      <c r="Y338" s="247"/>
      <c r="Z338" s="247"/>
      <c r="AA338" s="247"/>
      <c r="AB338" s="247"/>
      <c r="AC338" s="153"/>
      <c r="AD338" s="149"/>
      <c r="AE338" s="149"/>
      <c r="AF338" s="149"/>
      <c r="AG338" s="149"/>
      <c r="AH338" s="149"/>
      <c r="AI338" s="149"/>
      <c r="AJ338" s="149"/>
      <c r="AK338" s="149"/>
      <c r="AL338" s="149"/>
      <c r="AM338" s="149"/>
      <c r="AN338" s="149"/>
      <c r="AO338" s="149"/>
    </row>
    <row r="339" spans="2:41" ht="15">
      <c r="B339" s="152" t="s">
        <v>404</v>
      </c>
      <c r="C339" s="151"/>
      <c r="D339" s="151"/>
      <c r="E339" s="151"/>
      <c r="F339" s="151"/>
      <c r="G339" s="151"/>
      <c r="H339" s="151"/>
      <c r="I339" s="151"/>
      <c r="J339" s="151"/>
      <c r="K339" s="151"/>
      <c r="L339" s="151"/>
      <c r="M339" s="151"/>
      <c r="N339" s="151"/>
      <c r="O339" s="151"/>
      <c r="P339" s="151"/>
      <c r="Q339" s="151"/>
      <c r="R339" s="151"/>
      <c r="S339" s="151"/>
      <c r="T339" s="151"/>
      <c r="U339" s="151"/>
      <c r="V339" s="151"/>
      <c r="W339" s="151"/>
      <c r="X339" s="151"/>
      <c r="Y339" s="247"/>
      <c r="Z339" s="247"/>
      <c r="AA339" s="247"/>
      <c r="AB339" s="247"/>
      <c r="AC339" s="153"/>
      <c r="AD339" s="149"/>
      <c r="AE339" s="149"/>
      <c r="AF339" s="149"/>
      <c r="AG339" s="149"/>
      <c r="AH339" s="149"/>
      <c r="AI339" s="149"/>
      <c r="AJ339" s="149"/>
      <c r="AK339" s="149"/>
      <c r="AL339" s="149"/>
      <c r="AM339" s="149"/>
      <c r="AN339" s="149"/>
      <c r="AO339" s="149"/>
    </row>
    <row r="340" spans="2:41" ht="15">
      <c r="B340" s="152" t="s">
        <v>404</v>
      </c>
      <c r="C340" s="151"/>
      <c r="D340" s="151"/>
      <c r="E340" s="151"/>
      <c r="F340" s="151"/>
      <c r="G340" s="151"/>
      <c r="H340" s="151"/>
      <c r="I340" s="151"/>
      <c r="J340" s="151"/>
      <c r="K340" s="151"/>
      <c r="L340" s="151"/>
      <c r="M340" s="151"/>
      <c r="N340" s="151"/>
      <c r="O340" s="151"/>
      <c r="P340" s="151"/>
      <c r="Q340" s="151"/>
      <c r="R340" s="151"/>
      <c r="S340" s="151"/>
      <c r="T340" s="151"/>
      <c r="U340" s="151"/>
      <c r="V340" s="151"/>
      <c r="W340" s="151"/>
      <c r="X340" s="151"/>
      <c r="Y340" s="247"/>
      <c r="Z340" s="247"/>
      <c r="AA340" s="247"/>
      <c r="AB340" s="247"/>
      <c r="AC340" s="153"/>
      <c r="AD340" s="149"/>
      <c r="AE340" s="149"/>
      <c r="AF340" s="149"/>
      <c r="AG340" s="149"/>
      <c r="AH340" s="149"/>
      <c r="AI340" s="149"/>
      <c r="AJ340" s="149"/>
      <c r="AK340" s="149"/>
      <c r="AL340" s="149"/>
      <c r="AM340" s="149"/>
      <c r="AN340" s="149"/>
      <c r="AO340" s="149"/>
    </row>
    <row r="341" spans="2:41" ht="15">
      <c r="B341" s="152" t="s">
        <v>404</v>
      </c>
      <c r="C341" s="151"/>
      <c r="D341" s="151"/>
      <c r="E341" s="151"/>
      <c r="F341" s="151"/>
      <c r="G341" s="151"/>
      <c r="H341" s="151"/>
      <c r="I341" s="151"/>
      <c r="J341" s="151"/>
      <c r="K341" s="151"/>
      <c r="L341" s="151"/>
      <c r="M341" s="151"/>
      <c r="N341" s="151"/>
      <c r="O341" s="151"/>
      <c r="P341" s="151"/>
      <c r="Q341" s="151"/>
      <c r="R341" s="151"/>
      <c r="S341" s="151"/>
      <c r="T341" s="151"/>
      <c r="U341" s="151"/>
      <c r="V341" s="151"/>
      <c r="W341" s="151"/>
      <c r="X341" s="151"/>
      <c r="Y341" s="247"/>
      <c r="Z341" s="247"/>
      <c r="AA341" s="247"/>
      <c r="AB341" s="247"/>
      <c r="AC341" s="153"/>
      <c r="AD341" s="149"/>
      <c r="AE341" s="149"/>
      <c r="AF341" s="149"/>
      <c r="AG341" s="149"/>
      <c r="AH341" s="149"/>
      <c r="AI341" s="149"/>
      <c r="AJ341" s="149"/>
      <c r="AK341" s="149"/>
      <c r="AL341" s="149"/>
      <c r="AM341" s="149"/>
      <c r="AN341" s="149"/>
      <c r="AO341" s="149"/>
    </row>
    <row r="342" spans="2:41" ht="15">
      <c r="B342" s="152" t="s">
        <v>404</v>
      </c>
      <c r="C342" s="151"/>
      <c r="D342" s="151"/>
      <c r="E342" s="151"/>
      <c r="F342" s="151"/>
      <c r="G342" s="151"/>
      <c r="H342" s="151"/>
      <c r="I342" s="151"/>
      <c r="J342" s="151"/>
      <c r="K342" s="151"/>
      <c r="L342" s="151"/>
      <c r="M342" s="151"/>
      <c r="N342" s="151"/>
      <c r="O342" s="151"/>
      <c r="P342" s="151"/>
      <c r="Q342" s="151"/>
      <c r="R342" s="151"/>
      <c r="S342" s="151"/>
      <c r="T342" s="151"/>
      <c r="U342" s="151"/>
      <c r="V342" s="151"/>
      <c r="W342" s="151"/>
      <c r="X342" s="151"/>
      <c r="Y342" s="247"/>
      <c r="Z342" s="247"/>
      <c r="AA342" s="247"/>
      <c r="AB342" s="247"/>
      <c r="AC342" s="153"/>
      <c r="AD342" s="149"/>
      <c r="AE342" s="149"/>
      <c r="AF342" s="149"/>
      <c r="AG342" s="149"/>
      <c r="AH342" s="149"/>
      <c r="AI342" s="149"/>
      <c r="AJ342" s="149"/>
      <c r="AK342" s="149"/>
      <c r="AL342" s="149"/>
      <c r="AM342" s="149"/>
      <c r="AN342" s="149"/>
      <c r="AO342" s="149"/>
    </row>
    <row r="343" spans="2:41" ht="15">
      <c r="B343" s="152" t="s">
        <v>404</v>
      </c>
      <c r="C343" s="151"/>
      <c r="D343" s="151"/>
      <c r="E343" s="151"/>
      <c r="F343" s="151"/>
      <c r="G343" s="151"/>
      <c r="H343" s="151"/>
      <c r="I343" s="151"/>
      <c r="J343" s="151"/>
      <c r="K343" s="151"/>
      <c r="L343" s="151"/>
      <c r="M343" s="151"/>
      <c r="N343" s="151"/>
      <c r="O343" s="151"/>
      <c r="P343" s="151"/>
      <c r="Q343" s="151"/>
      <c r="R343" s="151"/>
      <c r="S343" s="151"/>
      <c r="T343" s="151"/>
      <c r="U343" s="151"/>
      <c r="V343" s="151"/>
      <c r="W343" s="151"/>
      <c r="X343" s="151"/>
      <c r="Y343" s="247"/>
      <c r="Z343" s="247"/>
      <c r="AA343" s="247"/>
      <c r="AB343" s="247"/>
      <c r="AC343" s="153"/>
      <c r="AD343" s="149"/>
      <c r="AE343" s="149"/>
      <c r="AF343" s="149"/>
      <c r="AG343" s="149"/>
      <c r="AH343" s="149"/>
      <c r="AI343" s="149"/>
      <c r="AJ343" s="149"/>
      <c r="AK343" s="149"/>
      <c r="AL343" s="149"/>
      <c r="AM343" s="149"/>
      <c r="AN343" s="149"/>
      <c r="AO343" s="149"/>
    </row>
    <row r="344" spans="2:41" ht="15">
      <c r="B344" s="152" t="s">
        <v>404</v>
      </c>
      <c r="C344" s="151"/>
      <c r="D344" s="151"/>
      <c r="E344" s="151"/>
      <c r="F344" s="151"/>
      <c r="G344" s="151"/>
      <c r="H344" s="151"/>
      <c r="I344" s="151"/>
      <c r="J344" s="151"/>
      <c r="K344" s="151"/>
      <c r="L344" s="151"/>
      <c r="M344" s="151"/>
      <c r="N344" s="151"/>
      <c r="O344" s="151"/>
      <c r="P344" s="151"/>
      <c r="Q344" s="151"/>
      <c r="R344" s="151"/>
      <c r="S344" s="151"/>
      <c r="T344" s="151"/>
      <c r="U344" s="151"/>
      <c r="V344" s="151"/>
      <c r="W344" s="151"/>
      <c r="X344" s="151"/>
      <c r="Y344" s="247"/>
      <c r="Z344" s="247"/>
      <c r="AA344" s="247"/>
      <c r="AB344" s="247"/>
      <c r="AC344" s="153"/>
      <c r="AD344" s="149"/>
      <c r="AE344" s="149"/>
      <c r="AF344" s="149"/>
      <c r="AG344" s="149"/>
      <c r="AH344" s="149"/>
      <c r="AI344" s="149"/>
      <c r="AJ344" s="149"/>
      <c r="AK344" s="149"/>
      <c r="AL344" s="149"/>
      <c r="AM344" s="149"/>
      <c r="AN344" s="149"/>
      <c r="AO344" s="149"/>
    </row>
    <row r="345" spans="2:41" ht="15">
      <c r="B345" s="152" t="s">
        <v>404</v>
      </c>
      <c r="C345" s="151"/>
      <c r="D345" s="151"/>
      <c r="E345" s="151"/>
      <c r="F345" s="151"/>
      <c r="G345" s="151"/>
      <c r="H345" s="151"/>
      <c r="I345" s="151"/>
      <c r="J345" s="151"/>
      <c r="K345" s="151"/>
      <c r="L345" s="151"/>
      <c r="M345" s="151"/>
      <c r="N345" s="151"/>
      <c r="O345" s="151"/>
      <c r="P345" s="151"/>
      <c r="Q345" s="151"/>
      <c r="R345" s="151"/>
      <c r="S345" s="151"/>
      <c r="T345" s="151"/>
      <c r="U345" s="151"/>
      <c r="V345" s="151"/>
      <c r="W345" s="151"/>
      <c r="X345" s="151"/>
      <c r="Y345" s="247"/>
      <c r="Z345" s="247"/>
      <c r="AA345" s="247"/>
      <c r="AB345" s="247"/>
      <c r="AC345" s="153"/>
      <c r="AD345" s="149"/>
      <c r="AE345" s="149"/>
      <c r="AF345" s="149"/>
      <c r="AG345" s="149"/>
      <c r="AH345" s="149"/>
      <c r="AI345" s="149"/>
      <c r="AJ345" s="149"/>
      <c r="AK345" s="149"/>
      <c r="AL345" s="149"/>
      <c r="AM345" s="149"/>
      <c r="AN345" s="149"/>
      <c r="AO345" s="149"/>
    </row>
    <row r="346" spans="2:41" ht="15">
      <c r="B346" s="152" t="s">
        <v>404</v>
      </c>
      <c r="C346" s="151"/>
      <c r="D346" s="151"/>
      <c r="E346" s="151"/>
      <c r="F346" s="151"/>
      <c r="G346" s="151"/>
      <c r="H346" s="151"/>
      <c r="I346" s="151"/>
      <c r="J346" s="151"/>
      <c r="K346" s="151"/>
      <c r="L346" s="151"/>
      <c r="M346" s="151"/>
      <c r="N346" s="151"/>
      <c r="O346" s="151"/>
      <c r="P346" s="151"/>
      <c r="Q346" s="151"/>
      <c r="R346" s="151"/>
      <c r="S346" s="151"/>
      <c r="T346" s="151"/>
      <c r="U346" s="151"/>
      <c r="V346" s="151"/>
      <c r="W346" s="151"/>
      <c r="X346" s="151"/>
      <c r="Y346" s="247"/>
      <c r="Z346" s="247"/>
      <c r="AA346" s="247"/>
      <c r="AB346" s="247"/>
      <c r="AC346" s="153"/>
      <c r="AD346" s="149"/>
      <c r="AE346" s="149"/>
      <c r="AF346" s="149"/>
      <c r="AG346" s="149"/>
      <c r="AH346" s="149"/>
      <c r="AI346" s="149"/>
      <c r="AJ346" s="149"/>
      <c r="AK346" s="149"/>
      <c r="AL346" s="149"/>
      <c r="AM346" s="149"/>
      <c r="AN346" s="149"/>
      <c r="AO346" s="149"/>
    </row>
    <row r="347" spans="2:41" ht="15">
      <c r="B347" s="152" t="s">
        <v>404</v>
      </c>
      <c r="C347" s="151"/>
      <c r="D347" s="151"/>
      <c r="E347" s="151"/>
      <c r="F347" s="151"/>
      <c r="G347" s="151"/>
      <c r="H347" s="151"/>
      <c r="I347" s="151"/>
      <c r="J347" s="151"/>
      <c r="K347" s="151"/>
      <c r="L347" s="151"/>
      <c r="M347" s="151"/>
      <c r="N347" s="151"/>
      <c r="O347" s="151"/>
      <c r="P347" s="151"/>
      <c r="Q347" s="151"/>
      <c r="R347" s="151"/>
      <c r="S347" s="151"/>
      <c r="T347" s="151"/>
      <c r="U347" s="151"/>
      <c r="V347" s="151"/>
      <c r="W347" s="151"/>
      <c r="X347" s="151"/>
      <c r="Y347" s="247"/>
      <c r="Z347" s="247"/>
      <c r="AA347" s="247"/>
      <c r="AB347" s="247"/>
      <c r="AC347" s="153"/>
      <c r="AD347" s="149"/>
      <c r="AE347" s="149"/>
      <c r="AF347" s="149"/>
      <c r="AG347" s="149"/>
      <c r="AH347" s="149"/>
      <c r="AI347" s="149"/>
      <c r="AJ347" s="149"/>
      <c r="AK347" s="149"/>
      <c r="AL347" s="149"/>
      <c r="AM347" s="149"/>
      <c r="AN347" s="149"/>
      <c r="AO347" s="149"/>
    </row>
    <row r="348" spans="2:41" ht="15">
      <c r="B348" s="152" t="s">
        <v>404</v>
      </c>
      <c r="C348" s="151"/>
      <c r="D348" s="151"/>
      <c r="E348" s="151"/>
      <c r="F348" s="151"/>
      <c r="G348" s="151"/>
      <c r="H348" s="151"/>
      <c r="I348" s="151"/>
      <c r="J348" s="151"/>
      <c r="K348" s="151"/>
      <c r="L348" s="151"/>
      <c r="M348" s="151"/>
      <c r="N348" s="151"/>
      <c r="O348" s="151"/>
      <c r="P348" s="151"/>
      <c r="Q348" s="151"/>
      <c r="R348" s="151"/>
      <c r="S348" s="151"/>
      <c r="T348" s="151"/>
      <c r="U348" s="151"/>
      <c r="V348" s="151"/>
      <c r="W348" s="151"/>
      <c r="X348" s="151"/>
      <c r="Y348" s="247"/>
      <c r="Z348" s="247"/>
      <c r="AA348" s="247"/>
      <c r="AB348" s="247"/>
      <c r="AC348" s="153"/>
      <c r="AD348" s="149"/>
      <c r="AE348" s="149"/>
      <c r="AF348" s="149"/>
      <c r="AG348" s="149"/>
      <c r="AH348" s="149"/>
      <c r="AI348" s="149"/>
      <c r="AJ348" s="149"/>
      <c r="AK348" s="149"/>
      <c r="AL348" s="149"/>
      <c r="AM348" s="149"/>
      <c r="AN348" s="149"/>
      <c r="AO348" s="149"/>
    </row>
    <row r="349" spans="2:41" ht="15">
      <c r="B349" s="152" t="s">
        <v>404</v>
      </c>
      <c r="C349" s="151"/>
      <c r="D349" s="151"/>
      <c r="E349" s="151"/>
      <c r="F349" s="151"/>
      <c r="G349" s="151"/>
      <c r="H349" s="151"/>
      <c r="I349" s="151"/>
      <c r="J349" s="151"/>
      <c r="K349" s="151"/>
      <c r="L349" s="151"/>
      <c r="M349" s="151"/>
      <c r="N349" s="151"/>
      <c r="O349" s="151"/>
      <c r="P349" s="151"/>
      <c r="Q349" s="151"/>
      <c r="R349" s="151"/>
      <c r="S349" s="151"/>
      <c r="T349" s="151"/>
      <c r="U349" s="151"/>
      <c r="V349" s="151"/>
      <c r="W349" s="151"/>
      <c r="X349" s="151"/>
      <c r="Y349" s="247"/>
      <c r="Z349" s="247"/>
      <c r="AA349" s="247"/>
      <c r="AB349" s="247"/>
      <c r="AC349" s="153"/>
      <c r="AD349" s="149"/>
      <c r="AE349" s="149"/>
      <c r="AF349" s="149"/>
      <c r="AG349" s="149"/>
      <c r="AH349" s="149"/>
      <c r="AI349" s="149"/>
      <c r="AJ349" s="149"/>
      <c r="AK349" s="149"/>
      <c r="AL349" s="149"/>
      <c r="AM349" s="149"/>
      <c r="AN349" s="149"/>
      <c r="AO349" s="149"/>
    </row>
    <row r="350" spans="2:41" ht="15">
      <c r="B350" s="152" t="s">
        <v>404</v>
      </c>
      <c r="C350" s="151"/>
      <c r="D350" s="151"/>
      <c r="E350" s="151"/>
      <c r="F350" s="151"/>
      <c r="G350" s="151"/>
      <c r="H350" s="151"/>
      <c r="I350" s="151"/>
      <c r="J350" s="151"/>
      <c r="K350" s="151"/>
      <c r="L350" s="151"/>
      <c r="M350" s="151"/>
      <c r="N350" s="151"/>
      <c r="O350" s="151"/>
      <c r="P350" s="151"/>
      <c r="Q350" s="151"/>
      <c r="R350" s="151"/>
      <c r="S350" s="151"/>
      <c r="T350" s="151"/>
      <c r="U350" s="151"/>
      <c r="V350" s="151"/>
      <c r="W350" s="151"/>
      <c r="X350" s="151"/>
      <c r="Y350" s="247"/>
      <c r="Z350" s="247"/>
      <c r="AA350" s="247"/>
      <c r="AB350" s="247"/>
      <c r="AC350" s="153"/>
      <c r="AD350" s="149"/>
      <c r="AE350" s="149"/>
      <c r="AF350" s="149"/>
      <c r="AG350" s="149"/>
      <c r="AH350" s="149"/>
      <c r="AI350" s="149"/>
      <c r="AJ350" s="149"/>
      <c r="AK350" s="149"/>
      <c r="AL350" s="149"/>
      <c r="AM350" s="149"/>
      <c r="AN350" s="149"/>
      <c r="AO350" s="149"/>
    </row>
    <row r="351" spans="2:41" ht="15">
      <c r="B351" s="152" t="s">
        <v>404</v>
      </c>
      <c r="C351" s="151"/>
      <c r="D351" s="151"/>
      <c r="E351" s="151"/>
      <c r="F351" s="151"/>
      <c r="G351" s="151"/>
      <c r="H351" s="151"/>
      <c r="I351" s="151"/>
      <c r="J351" s="151"/>
      <c r="K351" s="151"/>
      <c r="L351" s="151"/>
      <c r="M351" s="151"/>
      <c r="N351" s="151"/>
      <c r="O351" s="151"/>
      <c r="P351" s="151"/>
      <c r="Q351" s="151"/>
      <c r="R351" s="151"/>
      <c r="S351" s="151"/>
      <c r="T351" s="151"/>
      <c r="U351" s="151"/>
      <c r="V351" s="151"/>
      <c r="W351" s="151"/>
      <c r="X351" s="151"/>
      <c r="Y351" s="247"/>
      <c r="Z351" s="247"/>
      <c r="AA351" s="247"/>
      <c r="AB351" s="247"/>
      <c r="AC351" s="153"/>
      <c r="AD351" s="149"/>
      <c r="AE351" s="149"/>
      <c r="AF351" s="149"/>
      <c r="AG351" s="149"/>
      <c r="AH351" s="149"/>
      <c r="AI351" s="149"/>
      <c r="AJ351" s="149"/>
      <c r="AK351" s="149"/>
      <c r="AL351" s="149"/>
      <c r="AM351" s="149"/>
      <c r="AN351" s="149"/>
      <c r="AO351" s="149"/>
    </row>
    <row r="352" spans="2:41" ht="15">
      <c r="B352" s="152" t="s">
        <v>404</v>
      </c>
      <c r="C352" s="151"/>
      <c r="D352" s="151"/>
      <c r="E352" s="151"/>
      <c r="F352" s="151"/>
      <c r="G352" s="151"/>
      <c r="H352" s="151"/>
      <c r="I352" s="151"/>
      <c r="J352" s="151"/>
      <c r="K352" s="151"/>
      <c r="L352" s="151"/>
      <c r="M352" s="151"/>
      <c r="N352" s="151"/>
      <c r="O352" s="151"/>
      <c r="P352" s="151"/>
      <c r="Q352" s="151"/>
      <c r="R352" s="151"/>
      <c r="S352" s="151"/>
      <c r="T352" s="151"/>
      <c r="U352" s="151"/>
      <c r="V352" s="151"/>
      <c r="W352" s="151"/>
      <c r="X352" s="151"/>
      <c r="Y352" s="247"/>
      <c r="Z352" s="247"/>
      <c r="AA352" s="247"/>
      <c r="AB352" s="247"/>
      <c r="AC352" s="153"/>
      <c r="AD352" s="149"/>
      <c r="AE352" s="149"/>
      <c r="AF352" s="149"/>
      <c r="AG352" s="149"/>
      <c r="AH352" s="149"/>
      <c r="AI352" s="149"/>
      <c r="AJ352" s="149"/>
      <c r="AK352" s="149"/>
      <c r="AL352" s="149"/>
      <c r="AM352" s="149"/>
      <c r="AN352" s="149"/>
      <c r="AO352" s="149"/>
    </row>
    <row r="353" spans="2:41" ht="15">
      <c r="B353" s="152" t="s">
        <v>404</v>
      </c>
      <c r="C353" s="151"/>
      <c r="D353" s="151"/>
      <c r="E353" s="151"/>
      <c r="F353" s="151"/>
      <c r="G353" s="151"/>
      <c r="H353" s="151"/>
      <c r="I353" s="151"/>
      <c r="J353" s="151"/>
      <c r="K353" s="151"/>
      <c r="L353" s="151"/>
      <c r="M353" s="151"/>
      <c r="N353" s="151"/>
      <c r="O353" s="151"/>
      <c r="P353" s="151"/>
      <c r="Q353" s="151"/>
      <c r="R353" s="151"/>
      <c r="S353" s="151"/>
      <c r="T353" s="151"/>
      <c r="U353" s="151"/>
      <c r="V353" s="151"/>
      <c r="W353" s="151"/>
      <c r="X353" s="151"/>
      <c r="Y353" s="247"/>
      <c r="Z353" s="247"/>
      <c r="AA353" s="247"/>
      <c r="AB353" s="247"/>
      <c r="AC353" s="153"/>
      <c r="AD353" s="149"/>
      <c r="AE353" s="149"/>
      <c r="AF353" s="149"/>
      <c r="AG353" s="149"/>
      <c r="AH353" s="149"/>
      <c r="AI353" s="149"/>
      <c r="AJ353" s="149"/>
      <c r="AK353" s="149"/>
      <c r="AL353" s="149"/>
      <c r="AM353" s="149"/>
      <c r="AN353" s="149"/>
      <c r="AO353" s="149"/>
    </row>
    <row r="354" spans="2:41" ht="15">
      <c r="B354" s="152" t="s">
        <v>404</v>
      </c>
      <c r="C354" s="151"/>
      <c r="D354" s="151"/>
      <c r="E354" s="151"/>
      <c r="F354" s="151"/>
      <c r="G354" s="151"/>
      <c r="H354" s="151"/>
      <c r="I354" s="151"/>
      <c r="J354" s="151"/>
      <c r="K354" s="151"/>
      <c r="L354" s="151"/>
      <c r="M354" s="151"/>
      <c r="N354" s="151"/>
      <c r="O354" s="151"/>
      <c r="P354" s="151"/>
      <c r="Q354" s="151"/>
      <c r="R354" s="151"/>
      <c r="S354" s="151"/>
      <c r="T354" s="151"/>
      <c r="U354" s="151"/>
      <c r="V354" s="151"/>
      <c r="W354" s="151"/>
      <c r="X354" s="151"/>
      <c r="Y354" s="247"/>
      <c r="Z354" s="247"/>
      <c r="AA354" s="247"/>
      <c r="AB354" s="247"/>
      <c r="AC354" s="153"/>
      <c r="AD354" s="149"/>
      <c r="AE354" s="149"/>
      <c r="AF354" s="149"/>
      <c r="AG354" s="149"/>
      <c r="AH354" s="149"/>
      <c r="AI354" s="149"/>
      <c r="AJ354" s="149"/>
      <c r="AK354" s="149"/>
      <c r="AL354" s="149"/>
      <c r="AM354" s="149"/>
      <c r="AN354" s="149"/>
      <c r="AO354" s="149"/>
    </row>
    <row r="355" spans="2:41" ht="15">
      <c r="B355" s="152" t="s">
        <v>404</v>
      </c>
      <c r="C355" s="151"/>
      <c r="D355" s="151"/>
      <c r="E355" s="151"/>
      <c r="F355" s="151"/>
      <c r="G355" s="151"/>
      <c r="H355" s="151"/>
      <c r="I355" s="151"/>
      <c r="J355" s="151"/>
      <c r="K355" s="151"/>
      <c r="L355" s="151"/>
      <c r="M355" s="151"/>
      <c r="N355" s="151"/>
      <c r="O355" s="151"/>
      <c r="P355" s="151"/>
      <c r="Q355" s="151"/>
      <c r="R355" s="151"/>
      <c r="S355" s="151"/>
      <c r="T355" s="151"/>
      <c r="U355" s="151"/>
      <c r="V355" s="151"/>
      <c r="W355" s="151"/>
      <c r="X355" s="151"/>
      <c r="Y355" s="247"/>
      <c r="Z355" s="247"/>
      <c r="AA355" s="247"/>
      <c r="AB355" s="247"/>
      <c r="AC355" s="153"/>
      <c r="AD355" s="149"/>
      <c r="AE355" s="149"/>
      <c r="AF355" s="149"/>
      <c r="AG355" s="149"/>
      <c r="AH355" s="149"/>
      <c r="AI355" s="149"/>
      <c r="AJ355" s="149"/>
      <c r="AK355" s="149"/>
      <c r="AL355" s="149"/>
      <c r="AM355" s="149"/>
      <c r="AN355" s="149"/>
      <c r="AO355" s="149"/>
    </row>
    <row r="356" spans="2:41" ht="15">
      <c r="B356" s="152" t="s">
        <v>404</v>
      </c>
      <c r="C356" s="151"/>
      <c r="D356" s="151"/>
      <c r="E356" s="151"/>
      <c r="F356" s="151"/>
      <c r="G356" s="151"/>
      <c r="H356" s="151"/>
      <c r="I356" s="151"/>
      <c r="J356" s="151"/>
      <c r="K356" s="151"/>
      <c r="L356" s="151"/>
      <c r="M356" s="151"/>
      <c r="N356" s="151"/>
      <c r="O356" s="151"/>
      <c r="P356" s="151"/>
      <c r="Q356" s="151"/>
      <c r="R356" s="151"/>
      <c r="S356" s="151"/>
      <c r="T356" s="151"/>
      <c r="U356" s="151"/>
      <c r="V356" s="151"/>
      <c r="W356" s="151"/>
      <c r="X356" s="151"/>
      <c r="Y356" s="247"/>
      <c r="Z356" s="247"/>
      <c r="AA356" s="247"/>
      <c r="AB356" s="247"/>
      <c r="AC356" s="153"/>
      <c r="AD356" s="149"/>
      <c r="AE356" s="149"/>
      <c r="AF356" s="149"/>
      <c r="AG356" s="149"/>
      <c r="AH356" s="149"/>
      <c r="AI356" s="149"/>
      <c r="AJ356" s="149"/>
      <c r="AK356" s="149"/>
      <c r="AL356" s="149"/>
      <c r="AM356" s="149"/>
      <c r="AN356" s="149"/>
      <c r="AO356" s="149"/>
    </row>
    <row r="357" spans="2:41" ht="15">
      <c r="B357" s="152" t="s">
        <v>404</v>
      </c>
      <c r="C357" s="151"/>
      <c r="D357" s="151"/>
      <c r="E357" s="151"/>
      <c r="F357" s="151"/>
      <c r="G357" s="151"/>
      <c r="H357" s="151"/>
      <c r="I357" s="151"/>
      <c r="J357" s="151"/>
      <c r="K357" s="151"/>
      <c r="L357" s="151"/>
      <c r="M357" s="151"/>
      <c r="N357" s="151"/>
      <c r="O357" s="151"/>
      <c r="P357" s="151"/>
      <c r="Q357" s="151"/>
      <c r="R357" s="151"/>
      <c r="S357" s="151"/>
      <c r="T357" s="151"/>
      <c r="U357" s="151"/>
      <c r="V357" s="151"/>
      <c r="W357" s="151"/>
      <c r="X357" s="151"/>
      <c r="Y357" s="247"/>
      <c r="Z357" s="247"/>
      <c r="AA357" s="247"/>
      <c r="AB357" s="247"/>
      <c r="AC357" s="153"/>
      <c r="AD357" s="149"/>
      <c r="AE357" s="149"/>
      <c r="AF357" s="149"/>
      <c r="AG357" s="149"/>
      <c r="AH357" s="149"/>
      <c r="AI357" s="149"/>
      <c r="AJ357" s="149"/>
      <c r="AK357" s="149"/>
      <c r="AL357" s="149"/>
      <c r="AM357" s="149"/>
      <c r="AN357" s="149"/>
      <c r="AO357" s="149"/>
    </row>
    <row r="358" spans="2:41" ht="15">
      <c r="B358" s="152" t="s">
        <v>404</v>
      </c>
      <c r="C358" s="151"/>
      <c r="D358" s="151"/>
      <c r="E358" s="151"/>
      <c r="F358" s="151"/>
      <c r="G358" s="151"/>
      <c r="H358" s="151"/>
      <c r="I358" s="151"/>
      <c r="J358" s="151"/>
      <c r="K358" s="151"/>
      <c r="L358" s="151"/>
      <c r="M358" s="151"/>
      <c r="N358" s="151"/>
      <c r="O358" s="151"/>
      <c r="P358" s="151"/>
      <c r="Q358" s="151"/>
      <c r="R358" s="151"/>
      <c r="S358" s="151"/>
      <c r="T358" s="151"/>
      <c r="U358" s="151"/>
      <c r="V358" s="151"/>
      <c r="W358" s="151"/>
      <c r="X358" s="151"/>
      <c r="Y358" s="247"/>
      <c r="Z358" s="247"/>
      <c r="AA358" s="247"/>
      <c r="AB358" s="247"/>
      <c r="AC358" s="153"/>
      <c r="AD358" s="149"/>
      <c r="AE358" s="149"/>
      <c r="AF358" s="149"/>
      <c r="AG358" s="149"/>
      <c r="AH358" s="149"/>
      <c r="AI358" s="149"/>
      <c r="AJ358" s="149"/>
      <c r="AK358" s="149"/>
      <c r="AL358" s="149"/>
      <c r="AM358" s="149"/>
      <c r="AN358" s="149"/>
      <c r="AO358" s="149"/>
    </row>
    <row r="359" spans="2:41" ht="15">
      <c r="B359" s="152" t="s">
        <v>404</v>
      </c>
      <c r="C359" s="151"/>
      <c r="D359" s="151"/>
      <c r="E359" s="151"/>
      <c r="F359" s="151"/>
      <c r="G359" s="151"/>
      <c r="H359" s="151"/>
      <c r="I359" s="151"/>
      <c r="J359" s="151"/>
      <c r="K359" s="151"/>
      <c r="L359" s="151"/>
      <c r="M359" s="151"/>
      <c r="N359" s="151"/>
      <c r="O359" s="151"/>
      <c r="P359" s="151"/>
      <c r="Q359" s="151"/>
      <c r="R359" s="151"/>
      <c r="S359" s="151"/>
      <c r="T359" s="151"/>
      <c r="U359" s="151"/>
      <c r="V359" s="151"/>
      <c r="W359" s="151"/>
      <c r="X359" s="151"/>
      <c r="Y359" s="247"/>
      <c r="Z359" s="247"/>
      <c r="AA359" s="247"/>
      <c r="AB359" s="247"/>
      <c r="AC359" s="153"/>
      <c r="AD359" s="149"/>
      <c r="AE359" s="149"/>
      <c r="AF359" s="149"/>
      <c r="AG359" s="149"/>
      <c r="AH359" s="149"/>
      <c r="AI359" s="149"/>
      <c r="AJ359" s="149"/>
      <c r="AK359" s="149"/>
      <c r="AL359" s="149"/>
      <c r="AM359" s="149"/>
      <c r="AN359" s="149"/>
      <c r="AO359" s="149"/>
    </row>
    <row r="360" spans="2:41" ht="15">
      <c r="B360" s="152" t="s">
        <v>404</v>
      </c>
      <c r="C360" s="151"/>
      <c r="D360" s="151"/>
      <c r="E360" s="151"/>
      <c r="F360" s="151"/>
      <c r="G360" s="151"/>
      <c r="H360" s="151"/>
      <c r="I360" s="151"/>
      <c r="J360" s="151"/>
      <c r="K360" s="151"/>
      <c r="L360" s="151"/>
      <c r="M360" s="151"/>
      <c r="N360" s="151"/>
      <c r="O360" s="151"/>
      <c r="P360" s="151"/>
      <c r="Q360" s="151"/>
      <c r="R360" s="151"/>
      <c r="S360" s="151"/>
      <c r="T360" s="151"/>
      <c r="U360" s="151"/>
      <c r="V360" s="151"/>
      <c r="W360" s="151"/>
      <c r="X360" s="151"/>
      <c r="Y360" s="247"/>
      <c r="Z360" s="247"/>
      <c r="AA360" s="247"/>
      <c r="AB360" s="247"/>
      <c r="AC360" s="153"/>
      <c r="AD360" s="149"/>
      <c r="AE360" s="149"/>
      <c r="AF360" s="149"/>
      <c r="AG360" s="149"/>
      <c r="AH360" s="149"/>
      <c r="AI360" s="149"/>
      <c r="AJ360" s="149"/>
      <c r="AK360" s="149"/>
      <c r="AL360" s="149"/>
      <c r="AM360" s="149"/>
      <c r="AN360" s="149"/>
      <c r="AO360" s="149"/>
    </row>
    <row r="361" spans="2:41" ht="15">
      <c r="B361" s="152" t="s">
        <v>404</v>
      </c>
      <c r="C361" s="151"/>
      <c r="D361" s="151"/>
      <c r="E361" s="151"/>
      <c r="F361" s="151"/>
      <c r="G361" s="151"/>
      <c r="H361" s="151"/>
      <c r="I361" s="151"/>
      <c r="J361" s="151"/>
      <c r="K361" s="151"/>
      <c r="L361" s="151"/>
      <c r="M361" s="151"/>
      <c r="N361" s="151"/>
      <c r="O361" s="151"/>
      <c r="P361" s="151"/>
      <c r="Q361" s="151"/>
      <c r="R361" s="151"/>
      <c r="S361" s="151"/>
      <c r="T361" s="151"/>
      <c r="U361" s="151"/>
      <c r="V361" s="151"/>
      <c r="W361" s="151"/>
      <c r="X361" s="151"/>
      <c r="Y361" s="247"/>
      <c r="Z361" s="247"/>
      <c r="AA361" s="247"/>
      <c r="AB361" s="247"/>
      <c r="AC361" s="153"/>
      <c r="AD361" s="149"/>
      <c r="AE361" s="149"/>
      <c r="AF361" s="149"/>
      <c r="AG361" s="149"/>
      <c r="AH361" s="149"/>
      <c r="AI361" s="149"/>
      <c r="AJ361" s="149"/>
      <c r="AK361" s="149"/>
      <c r="AL361" s="149"/>
      <c r="AM361" s="149"/>
      <c r="AN361" s="149"/>
      <c r="AO361" s="149"/>
    </row>
    <row r="362" spans="2:41" ht="15">
      <c r="B362" s="152" t="s">
        <v>404</v>
      </c>
      <c r="C362" s="151"/>
      <c r="D362" s="151"/>
      <c r="E362" s="151"/>
      <c r="F362" s="151"/>
      <c r="G362" s="151"/>
      <c r="H362" s="151"/>
      <c r="I362" s="151"/>
      <c r="J362" s="151"/>
      <c r="K362" s="151"/>
      <c r="L362" s="151"/>
      <c r="M362" s="151"/>
      <c r="N362" s="151"/>
      <c r="O362" s="151"/>
      <c r="P362" s="151"/>
      <c r="Q362" s="151"/>
      <c r="R362" s="151"/>
      <c r="S362" s="151"/>
      <c r="T362" s="151"/>
      <c r="U362" s="151"/>
      <c r="V362" s="151"/>
      <c r="W362" s="151"/>
      <c r="X362" s="151"/>
      <c r="Y362" s="247"/>
      <c r="Z362" s="247"/>
      <c r="AA362" s="247"/>
      <c r="AB362" s="247"/>
      <c r="AC362" s="153"/>
      <c r="AD362" s="149"/>
      <c r="AE362" s="149"/>
      <c r="AF362" s="149"/>
      <c r="AG362" s="149"/>
      <c r="AH362" s="149"/>
      <c r="AI362" s="149"/>
      <c r="AJ362" s="149"/>
      <c r="AK362" s="149"/>
      <c r="AL362" s="149"/>
      <c r="AM362" s="149"/>
      <c r="AN362" s="149"/>
      <c r="AO362" s="149"/>
    </row>
    <row r="363" spans="2:41" ht="15">
      <c r="B363" s="152" t="s">
        <v>404</v>
      </c>
      <c r="C363" s="151"/>
      <c r="D363" s="151"/>
      <c r="E363" s="151"/>
      <c r="F363" s="151"/>
      <c r="G363" s="151"/>
      <c r="H363" s="151"/>
      <c r="I363" s="151"/>
      <c r="J363" s="151"/>
      <c r="K363" s="151"/>
      <c r="L363" s="151"/>
      <c r="M363" s="151"/>
      <c r="N363" s="151"/>
      <c r="O363" s="151"/>
      <c r="P363" s="151"/>
      <c r="Q363" s="151"/>
      <c r="R363" s="151"/>
      <c r="S363" s="151"/>
      <c r="T363" s="151"/>
      <c r="U363" s="151"/>
      <c r="V363" s="151"/>
      <c r="W363" s="151"/>
      <c r="X363" s="151"/>
      <c r="Y363" s="247"/>
      <c r="Z363" s="247"/>
      <c r="AA363" s="247"/>
      <c r="AB363" s="247"/>
      <c r="AC363" s="153"/>
      <c r="AD363" s="149"/>
      <c r="AE363" s="149"/>
      <c r="AF363" s="149"/>
      <c r="AG363" s="149"/>
      <c r="AH363" s="149"/>
      <c r="AI363" s="149"/>
      <c r="AJ363" s="149"/>
      <c r="AK363" s="149"/>
      <c r="AL363" s="149"/>
      <c r="AM363" s="149"/>
      <c r="AN363" s="149"/>
      <c r="AO363" s="149"/>
    </row>
    <row r="364" spans="2:41" ht="15">
      <c r="B364" s="152" t="s">
        <v>404</v>
      </c>
      <c r="C364" s="151"/>
      <c r="D364" s="151"/>
      <c r="E364" s="151"/>
      <c r="F364" s="151"/>
      <c r="G364" s="151"/>
      <c r="H364" s="151"/>
      <c r="I364" s="151"/>
      <c r="J364" s="151"/>
      <c r="K364" s="151"/>
      <c r="L364" s="151"/>
      <c r="M364" s="151"/>
      <c r="N364" s="151"/>
      <c r="O364" s="151"/>
      <c r="P364" s="151"/>
      <c r="Q364" s="151"/>
      <c r="R364" s="151"/>
      <c r="S364" s="151"/>
      <c r="T364" s="151"/>
      <c r="U364" s="151"/>
      <c r="V364" s="151"/>
      <c r="W364" s="151"/>
      <c r="X364" s="151"/>
      <c r="Y364" s="247"/>
      <c r="Z364" s="247"/>
      <c r="AA364" s="247"/>
      <c r="AB364" s="247"/>
      <c r="AC364" s="153"/>
      <c r="AD364" s="149"/>
      <c r="AE364" s="149"/>
      <c r="AF364" s="149"/>
      <c r="AG364" s="149"/>
      <c r="AH364" s="149"/>
      <c r="AI364" s="149"/>
      <c r="AJ364" s="149"/>
      <c r="AK364" s="149"/>
      <c r="AL364" s="149"/>
      <c r="AM364" s="149"/>
      <c r="AN364" s="149"/>
      <c r="AO364" s="149"/>
    </row>
    <row r="365" spans="2:41" ht="15">
      <c r="B365" s="152" t="s">
        <v>404</v>
      </c>
      <c r="C365" s="151"/>
      <c r="D365" s="151"/>
      <c r="E365" s="151"/>
      <c r="F365" s="151"/>
      <c r="G365" s="151"/>
      <c r="H365" s="151"/>
      <c r="I365" s="151"/>
      <c r="J365" s="151"/>
      <c r="K365" s="151"/>
      <c r="L365" s="151"/>
      <c r="M365" s="151"/>
      <c r="N365" s="151"/>
      <c r="O365" s="151"/>
      <c r="P365" s="151"/>
      <c r="Q365" s="151"/>
      <c r="R365" s="151"/>
      <c r="S365" s="151"/>
      <c r="T365" s="151"/>
      <c r="U365" s="151"/>
      <c r="V365" s="151"/>
      <c r="W365" s="151"/>
      <c r="X365" s="151"/>
      <c r="Y365" s="247"/>
      <c r="Z365" s="247"/>
      <c r="AA365" s="247"/>
      <c r="AB365" s="247"/>
      <c r="AC365" s="153"/>
      <c r="AD365" s="149"/>
      <c r="AE365" s="149"/>
      <c r="AF365" s="149"/>
      <c r="AG365" s="149"/>
      <c r="AH365" s="149"/>
      <c r="AI365" s="149"/>
      <c r="AJ365" s="149"/>
      <c r="AK365" s="149"/>
      <c r="AL365" s="149"/>
      <c r="AM365" s="149"/>
      <c r="AN365" s="149"/>
      <c r="AO365" s="149"/>
    </row>
    <row r="366" spans="2:41" ht="15">
      <c r="B366" s="152" t="s">
        <v>404</v>
      </c>
      <c r="C366" s="151"/>
      <c r="D366" s="151"/>
      <c r="E366" s="151"/>
      <c r="F366" s="151"/>
      <c r="G366" s="151"/>
      <c r="H366" s="151"/>
      <c r="I366" s="151"/>
      <c r="J366" s="151"/>
      <c r="K366" s="151"/>
      <c r="L366" s="151"/>
      <c r="M366" s="151"/>
      <c r="N366" s="151"/>
      <c r="O366" s="151"/>
      <c r="P366" s="151"/>
      <c r="Q366" s="151"/>
      <c r="R366" s="151"/>
      <c r="S366" s="151"/>
      <c r="T366" s="151"/>
      <c r="U366" s="151"/>
      <c r="V366" s="151"/>
      <c r="W366" s="151"/>
      <c r="X366" s="151"/>
      <c r="Y366" s="247"/>
      <c r="Z366" s="247"/>
      <c r="AA366" s="247"/>
      <c r="AB366" s="247"/>
      <c r="AC366" s="153"/>
      <c r="AD366" s="149"/>
      <c r="AE366" s="149"/>
      <c r="AF366" s="149"/>
      <c r="AG366" s="149"/>
      <c r="AH366" s="149"/>
      <c r="AI366" s="149"/>
      <c r="AJ366" s="149"/>
      <c r="AK366" s="149"/>
      <c r="AL366" s="149"/>
      <c r="AM366" s="149"/>
      <c r="AN366" s="149"/>
      <c r="AO366" s="149"/>
    </row>
    <row r="367" spans="2:41" ht="15">
      <c r="B367" s="152" t="s">
        <v>404</v>
      </c>
      <c r="C367" s="151"/>
      <c r="D367" s="151"/>
      <c r="E367" s="151"/>
      <c r="F367" s="151"/>
      <c r="G367" s="151"/>
      <c r="H367" s="151"/>
      <c r="I367" s="151"/>
      <c r="J367" s="151"/>
      <c r="K367" s="151"/>
      <c r="L367" s="151"/>
      <c r="M367" s="151"/>
      <c r="N367" s="151"/>
      <c r="O367" s="151"/>
      <c r="P367" s="151"/>
      <c r="Q367" s="151"/>
      <c r="R367" s="151"/>
      <c r="S367" s="151"/>
      <c r="T367" s="151"/>
      <c r="U367" s="151"/>
      <c r="V367" s="151"/>
      <c r="W367" s="151"/>
      <c r="X367" s="151"/>
      <c r="Y367" s="247"/>
      <c r="Z367" s="247"/>
      <c r="AA367" s="247"/>
      <c r="AB367" s="247"/>
      <c r="AC367" s="153"/>
      <c r="AD367" s="149"/>
      <c r="AE367" s="149"/>
      <c r="AF367" s="149"/>
      <c r="AG367" s="149"/>
      <c r="AH367" s="149"/>
      <c r="AI367" s="149"/>
      <c r="AJ367" s="149"/>
      <c r="AK367" s="149"/>
      <c r="AL367" s="149"/>
      <c r="AM367" s="149"/>
      <c r="AN367" s="149"/>
      <c r="AO367" s="149"/>
    </row>
    <row r="368" spans="2:41" ht="15">
      <c r="B368" s="152" t="s">
        <v>404</v>
      </c>
      <c r="C368" s="151"/>
      <c r="D368" s="151"/>
      <c r="E368" s="151"/>
      <c r="F368" s="151"/>
      <c r="G368" s="151"/>
      <c r="H368" s="151"/>
      <c r="I368" s="151"/>
      <c r="J368" s="151"/>
      <c r="K368" s="151"/>
      <c r="L368" s="151"/>
      <c r="M368" s="151"/>
      <c r="N368" s="151"/>
      <c r="O368" s="151"/>
      <c r="P368" s="151"/>
      <c r="Q368" s="151"/>
      <c r="R368" s="151"/>
      <c r="S368" s="151"/>
      <c r="T368" s="151"/>
      <c r="U368" s="151"/>
      <c r="V368" s="151"/>
      <c r="W368" s="151"/>
      <c r="X368" s="151"/>
      <c r="Y368" s="247"/>
      <c r="Z368" s="247"/>
      <c r="AA368" s="247"/>
      <c r="AB368" s="247"/>
      <c r="AC368" s="153"/>
      <c r="AD368" s="149"/>
      <c r="AE368" s="149"/>
      <c r="AF368" s="149"/>
      <c r="AG368" s="149"/>
      <c r="AH368" s="149"/>
      <c r="AI368" s="149"/>
      <c r="AJ368" s="149"/>
      <c r="AK368" s="149"/>
      <c r="AL368" s="149"/>
      <c r="AM368" s="149"/>
      <c r="AN368" s="149"/>
      <c r="AO368" s="149"/>
    </row>
    <row r="369" spans="2:41" ht="15">
      <c r="B369" s="152" t="s">
        <v>404</v>
      </c>
      <c r="C369" s="151"/>
      <c r="D369" s="151"/>
      <c r="E369" s="151"/>
      <c r="F369" s="151"/>
      <c r="G369" s="151"/>
      <c r="H369" s="151"/>
      <c r="I369" s="151"/>
      <c r="J369" s="151"/>
      <c r="K369" s="151"/>
      <c r="L369" s="151"/>
      <c r="M369" s="151"/>
      <c r="N369" s="151"/>
      <c r="O369" s="151"/>
      <c r="P369" s="151"/>
      <c r="Q369" s="151"/>
      <c r="R369" s="151"/>
      <c r="S369" s="151"/>
      <c r="T369" s="151"/>
      <c r="U369" s="151"/>
      <c r="V369" s="151"/>
      <c r="W369" s="151"/>
      <c r="X369" s="151"/>
      <c r="Y369" s="247"/>
      <c r="Z369" s="247"/>
      <c r="AA369" s="247"/>
      <c r="AB369" s="247"/>
      <c r="AC369" s="153"/>
      <c r="AD369" s="149"/>
      <c r="AE369" s="149"/>
      <c r="AF369" s="149"/>
      <c r="AG369" s="149"/>
      <c r="AH369" s="149"/>
      <c r="AI369" s="149"/>
      <c r="AJ369" s="149"/>
      <c r="AK369" s="149"/>
      <c r="AL369" s="149"/>
      <c r="AM369" s="149"/>
      <c r="AN369" s="149"/>
      <c r="AO369" s="149"/>
    </row>
    <row r="370" spans="2:41" ht="15">
      <c r="B370" s="152" t="s">
        <v>404</v>
      </c>
      <c r="C370" s="151"/>
      <c r="D370" s="151"/>
      <c r="E370" s="151"/>
      <c r="F370" s="151"/>
      <c r="G370" s="151"/>
      <c r="H370" s="151"/>
      <c r="I370" s="151"/>
      <c r="J370" s="151"/>
      <c r="K370" s="151"/>
      <c r="L370" s="151"/>
      <c r="M370" s="151"/>
      <c r="N370" s="151"/>
      <c r="O370" s="151"/>
      <c r="P370" s="151"/>
      <c r="Q370" s="151"/>
      <c r="R370" s="151"/>
      <c r="S370" s="151"/>
      <c r="T370" s="151"/>
      <c r="U370" s="151"/>
      <c r="V370" s="151"/>
      <c r="W370" s="151"/>
      <c r="X370" s="151"/>
      <c r="Y370" s="247"/>
      <c r="Z370" s="247"/>
      <c r="AA370" s="247"/>
      <c r="AB370" s="247"/>
      <c r="AC370" s="153"/>
      <c r="AD370" s="149"/>
      <c r="AE370" s="149"/>
      <c r="AF370" s="149"/>
      <c r="AG370" s="149"/>
      <c r="AH370" s="149"/>
      <c r="AI370" s="149"/>
      <c r="AJ370" s="149"/>
      <c r="AK370" s="149"/>
      <c r="AL370" s="149"/>
      <c r="AM370" s="149"/>
      <c r="AN370" s="149"/>
      <c r="AO370" s="149"/>
    </row>
    <row r="371" spans="2:41" ht="15">
      <c r="B371" s="152" t="s">
        <v>404</v>
      </c>
      <c r="C371" s="151"/>
      <c r="D371" s="151"/>
      <c r="E371" s="151"/>
      <c r="F371" s="151"/>
      <c r="G371" s="151"/>
      <c r="H371" s="151"/>
      <c r="I371" s="151"/>
      <c r="J371" s="151"/>
      <c r="K371" s="151"/>
      <c r="L371" s="151"/>
      <c r="M371" s="151"/>
      <c r="N371" s="151"/>
      <c r="O371" s="151"/>
      <c r="P371" s="151"/>
      <c r="Q371" s="151"/>
      <c r="R371" s="151"/>
      <c r="S371" s="151"/>
      <c r="T371" s="151"/>
      <c r="U371" s="151"/>
      <c r="V371" s="151"/>
      <c r="W371" s="151"/>
      <c r="X371" s="151"/>
      <c r="Y371" s="247"/>
      <c r="Z371" s="247"/>
      <c r="AA371" s="247"/>
      <c r="AB371" s="247"/>
      <c r="AC371" s="153"/>
      <c r="AD371" s="149"/>
      <c r="AE371" s="149"/>
      <c r="AF371" s="149"/>
      <c r="AG371" s="149"/>
      <c r="AH371" s="149"/>
      <c r="AI371" s="149"/>
      <c r="AJ371" s="149"/>
      <c r="AK371" s="149"/>
      <c r="AL371" s="149"/>
      <c r="AM371" s="149"/>
      <c r="AN371" s="149"/>
      <c r="AO371" s="149"/>
    </row>
    <row r="372" spans="2:41" ht="15">
      <c r="B372" s="152" t="s">
        <v>404</v>
      </c>
      <c r="C372" s="151"/>
      <c r="D372" s="151"/>
      <c r="E372" s="151"/>
      <c r="F372" s="151"/>
      <c r="G372" s="151"/>
      <c r="H372" s="151"/>
      <c r="I372" s="151"/>
      <c r="J372" s="151"/>
      <c r="K372" s="151"/>
      <c r="L372" s="151"/>
      <c r="M372" s="151"/>
      <c r="N372" s="151"/>
      <c r="O372" s="151"/>
      <c r="P372" s="151"/>
      <c r="Q372" s="151"/>
      <c r="R372" s="151"/>
      <c r="S372" s="151"/>
      <c r="T372" s="151"/>
      <c r="U372" s="151"/>
      <c r="V372" s="151"/>
      <c r="W372" s="151"/>
      <c r="X372" s="151"/>
      <c r="Y372" s="247"/>
      <c r="Z372" s="247"/>
      <c r="AA372" s="247"/>
      <c r="AB372" s="247"/>
      <c r="AC372" s="153"/>
      <c r="AD372" s="149"/>
      <c r="AE372" s="149"/>
      <c r="AF372" s="149"/>
      <c r="AG372" s="149"/>
      <c r="AH372" s="149"/>
      <c r="AI372" s="149"/>
      <c r="AJ372" s="149"/>
      <c r="AK372" s="149"/>
      <c r="AL372" s="149"/>
      <c r="AM372" s="149"/>
      <c r="AN372" s="149"/>
      <c r="AO372" s="149"/>
    </row>
    <row r="373" spans="2:41" ht="15">
      <c r="B373" s="152" t="s">
        <v>404</v>
      </c>
      <c r="C373" s="151"/>
      <c r="D373" s="151"/>
      <c r="E373" s="151"/>
      <c r="F373" s="151"/>
      <c r="G373" s="151"/>
      <c r="H373" s="151"/>
      <c r="I373" s="151"/>
      <c r="J373" s="151"/>
      <c r="K373" s="151"/>
      <c r="L373" s="151"/>
      <c r="M373" s="151"/>
      <c r="N373" s="151"/>
      <c r="O373" s="151"/>
      <c r="P373" s="151"/>
      <c r="Q373" s="151"/>
      <c r="R373" s="151"/>
      <c r="S373" s="151"/>
      <c r="T373" s="151"/>
      <c r="U373" s="151"/>
      <c r="V373" s="151"/>
      <c r="W373" s="151"/>
      <c r="X373" s="151"/>
      <c r="Y373" s="247"/>
      <c r="Z373" s="247"/>
      <c r="AA373" s="247"/>
      <c r="AB373" s="247"/>
      <c r="AC373" s="153"/>
      <c r="AD373" s="149"/>
      <c r="AE373" s="149"/>
      <c r="AF373" s="149"/>
      <c r="AG373" s="149"/>
      <c r="AH373" s="149"/>
      <c r="AI373" s="149"/>
      <c r="AJ373" s="149"/>
      <c r="AK373" s="149"/>
      <c r="AL373" s="149"/>
      <c r="AM373" s="149"/>
      <c r="AN373" s="149"/>
      <c r="AO373" s="149"/>
    </row>
    <row r="374" spans="2:41" ht="15">
      <c r="B374" s="152" t="s">
        <v>404</v>
      </c>
      <c r="C374" s="151"/>
      <c r="D374" s="151"/>
      <c r="E374" s="151"/>
      <c r="F374" s="151"/>
      <c r="G374" s="151"/>
      <c r="H374" s="151"/>
      <c r="I374" s="151"/>
      <c r="J374" s="151"/>
      <c r="K374" s="151"/>
      <c r="L374" s="151"/>
      <c r="M374" s="151"/>
      <c r="N374" s="151"/>
      <c r="O374" s="151"/>
      <c r="P374" s="151"/>
      <c r="Q374" s="151"/>
      <c r="R374" s="151"/>
      <c r="S374" s="151"/>
      <c r="T374" s="151"/>
      <c r="U374" s="151"/>
      <c r="V374" s="151"/>
      <c r="W374" s="151"/>
      <c r="X374" s="151"/>
      <c r="Y374" s="247"/>
      <c r="Z374" s="247"/>
      <c r="AA374" s="247"/>
      <c r="AB374" s="247"/>
      <c r="AC374" s="153"/>
      <c r="AD374" s="149"/>
      <c r="AE374" s="149"/>
      <c r="AF374" s="149"/>
      <c r="AG374" s="149"/>
      <c r="AH374" s="149"/>
      <c r="AI374" s="149"/>
      <c r="AJ374" s="149"/>
      <c r="AK374" s="149"/>
      <c r="AL374" s="149"/>
      <c r="AM374" s="149"/>
      <c r="AN374" s="149"/>
      <c r="AO374" s="149"/>
    </row>
    <row r="375" spans="2:41" ht="15">
      <c r="B375" s="152" t="s">
        <v>404</v>
      </c>
      <c r="C375" s="151"/>
      <c r="D375" s="151"/>
      <c r="E375" s="151"/>
      <c r="F375" s="151"/>
      <c r="G375" s="151"/>
      <c r="H375" s="151"/>
      <c r="I375" s="151"/>
      <c r="J375" s="151"/>
      <c r="K375" s="151"/>
      <c r="L375" s="151"/>
      <c r="M375" s="151"/>
      <c r="N375" s="151"/>
      <c r="O375" s="151"/>
      <c r="P375" s="151"/>
      <c r="Q375" s="151"/>
      <c r="R375" s="151"/>
      <c r="S375" s="151"/>
      <c r="T375" s="151"/>
      <c r="U375" s="151"/>
      <c r="V375" s="151"/>
      <c r="W375" s="151"/>
      <c r="X375" s="151"/>
      <c r="Y375" s="247"/>
      <c r="Z375" s="247"/>
      <c r="AA375" s="247"/>
      <c r="AB375" s="247"/>
      <c r="AC375" s="153"/>
      <c r="AD375" s="149"/>
      <c r="AE375" s="149"/>
      <c r="AF375" s="149"/>
      <c r="AG375" s="149"/>
      <c r="AH375" s="149"/>
      <c r="AI375" s="149"/>
      <c r="AJ375" s="149"/>
      <c r="AK375" s="149"/>
      <c r="AL375" s="149"/>
      <c r="AM375" s="149"/>
      <c r="AN375" s="149"/>
      <c r="AO375" s="149"/>
    </row>
    <row r="376" spans="2:41" ht="15">
      <c r="B376" s="152" t="s">
        <v>404</v>
      </c>
      <c r="C376" s="151"/>
      <c r="D376" s="151"/>
      <c r="E376" s="151"/>
      <c r="F376" s="151"/>
      <c r="G376" s="151"/>
      <c r="H376" s="151"/>
      <c r="I376" s="151"/>
      <c r="J376" s="151"/>
      <c r="K376" s="151"/>
      <c r="L376" s="151"/>
      <c r="M376" s="151"/>
      <c r="N376" s="151"/>
      <c r="O376" s="151"/>
      <c r="P376" s="151"/>
      <c r="Q376" s="151"/>
      <c r="R376" s="151"/>
      <c r="S376" s="151"/>
      <c r="T376" s="151"/>
      <c r="U376" s="151"/>
      <c r="V376" s="151"/>
      <c r="W376" s="151"/>
      <c r="X376" s="151"/>
      <c r="Y376" s="247"/>
      <c r="Z376" s="247"/>
      <c r="AA376" s="247"/>
      <c r="AB376" s="247"/>
      <c r="AC376" s="153"/>
      <c r="AD376" s="149"/>
      <c r="AE376" s="149"/>
      <c r="AF376" s="149"/>
      <c r="AG376" s="149"/>
      <c r="AH376" s="149"/>
      <c r="AI376" s="149"/>
      <c r="AJ376" s="149"/>
      <c r="AK376" s="149"/>
      <c r="AL376" s="149"/>
      <c r="AM376" s="149"/>
      <c r="AN376" s="149"/>
      <c r="AO376" s="149"/>
    </row>
    <row r="377" spans="2:41" ht="15">
      <c r="B377" s="152" t="s">
        <v>404</v>
      </c>
      <c r="C377" s="151"/>
      <c r="D377" s="151"/>
      <c r="E377" s="151"/>
      <c r="F377" s="151"/>
      <c r="G377" s="151"/>
      <c r="H377" s="151"/>
      <c r="I377" s="151"/>
      <c r="J377" s="151"/>
      <c r="K377" s="151"/>
      <c r="L377" s="151"/>
      <c r="M377" s="151"/>
      <c r="N377" s="151"/>
      <c r="O377" s="151"/>
      <c r="P377" s="151"/>
      <c r="Q377" s="151"/>
      <c r="R377" s="151"/>
      <c r="S377" s="151"/>
      <c r="T377" s="151"/>
      <c r="U377" s="151"/>
      <c r="V377" s="151"/>
      <c r="W377" s="151"/>
      <c r="X377" s="151"/>
      <c r="Y377" s="247"/>
      <c r="Z377" s="247"/>
      <c r="AA377" s="247"/>
      <c r="AB377" s="247"/>
      <c r="AC377" s="153"/>
      <c r="AD377" s="149"/>
      <c r="AE377" s="149"/>
      <c r="AF377" s="149"/>
      <c r="AG377" s="149"/>
      <c r="AH377" s="149"/>
      <c r="AI377" s="149"/>
      <c r="AJ377" s="149"/>
      <c r="AK377" s="149"/>
      <c r="AL377" s="149"/>
      <c r="AM377" s="149"/>
      <c r="AN377" s="149"/>
      <c r="AO377" s="149"/>
    </row>
    <row r="378" spans="2:41" ht="15">
      <c r="B378" s="152" t="s">
        <v>404</v>
      </c>
      <c r="C378" s="151"/>
      <c r="D378" s="151"/>
      <c r="E378" s="151"/>
      <c r="F378" s="151"/>
      <c r="G378" s="151"/>
      <c r="H378" s="151"/>
      <c r="I378" s="151"/>
      <c r="J378" s="151"/>
      <c r="K378" s="151"/>
      <c r="L378" s="151"/>
      <c r="M378" s="151"/>
      <c r="N378" s="151"/>
      <c r="O378" s="151"/>
      <c r="P378" s="151"/>
      <c r="Q378" s="151"/>
      <c r="R378" s="151"/>
      <c r="S378" s="151"/>
      <c r="T378" s="151"/>
      <c r="U378" s="151"/>
      <c r="V378" s="151"/>
      <c r="W378" s="151"/>
      <c r="X378" s="151"/>
      <c r="Y378" s="247"/>
      <c r="Z378" s="247"/>
      <c r="AA378" s="247"/>
      <c r="AB378" s="247"/>
      <c r="AC378" s="153"/>
      <c r="AD378" s="149"/>
      <c r="AE378" s="149"/>
      <c r="AF378" s="149"/>
      <c r="AG378" s="149"/>
      <c r="AH378" s="149"/>
      <c r="AI378" s="149"/>
      <c r="AJ378" s="149"/>
      <c r="AK378" s="149"/>
      <c r="AL378" s="149"/>
      <c r="AM378" s="149"/>
      <c r="AN378" s="149"/>
      <c r="AO378" s="149"/>
    </row>
    <row r="379" spans="2:41" ht="15">
      <c r="B379" s="152" t="s">
        <v>404</v>
      </c>
      <c r="C379" s="151"/>
      <c r="D379" s="151"/>
      <c r="E379" s="151"/>
      <c r="F379" s="151"/>
      <c r="G379" s="151"/>
      <c r="H379" s="151"/>
      <c r="I379" s="151"/>
      <c r="J379" s="151"/>
      <c r="K379" s="151"/>
      <c r="L379" s="151"/>
      <c r="M379" s="151"/>
      <c r="N379" s="151"/>
      <c r="O379" s="151"/>
      <c r="P379" s="151"/>
      <c r="Q379" s="151"/>
      <c r="R379" s="151"/>
      <c r="S379" s="151"/>
      <c r="T379" s="151"/>
      <c r="U379" s="151"/>
      <c r="V379" s="151"/>
      <c r="W379" s="151"/>
      <c r="X379" s="151"/>
      <c r="Y379" s="247"/>
      <c r="Z379" s="247"/>
      <c r="AA379" s="247"/>
      <c r="AB379" s="247"/>
      <c r="AC379" s="153"/>
      <c r="AD379" s="149"/>
      <c r="AE379" s="149"/>
      <c r="AF379" s="149"/>
      <c r="AG379" s="149"/>
      <c r="AH379" s="149"/>
      <c r="AI379" s="149"/>
      <c r="AJ379" s="149"/>
      <c r="AK379" s="149"/>
      <c r="AL379" s="149"/>
      <c r="AM379" s="149"/>
      <c r="AN379" s="149"/>
      <c r="AO379" s="149"/>
    </row>
    <row r="380" spans="2:41" ht="15">
      <c r="B380" s="152" t="s">
        <v>404</v>
      </c>
      <c r="C380" s="151"/>
      <c r="D380" s="151"/>
      <c r="E380" s="151"/>
      <c r="F380" s="151"/>
      <c r="G380" s="151"/>
      <c r="H380" s="151"/>
      <c r="I380" s="151"/>
      <c r="J380" s="151"/>
      <c r="K380" s="151"/>
      <c r="L380" s="151"/>
      <c r="M380" s="151"/>
      <c r="N380" s="151"/>
      <c r="O380" s="151"/>
      <c r="P380" s="151"/>
      <c r="Q380" s="151"/>
      <c r="R380" s="151"/>
      <c r="S380" s="151"/>
      <c r="T380" s="151"/>
      <c r="U380" s="151"/>
      <c r="V380" s="151"/>
      <c r="W380" s="151"/>
      <c r="X380" s="151"/>
      <c r="Y380" s="247"/>
      <c r="Z380" s="247"/>
      <c r="AA380" s="247"/>
      <c r="AB380" s="247"/>
      <c r="AC380" s="153"/>
      <c r="AD380" s="149"/>
      <c r="AE380" s="149"/>
      <c r="AF380" s="149"/>
      <c r="AG380" s="149"/>
      <c r="AH380" s="149"/>
      <c r="AI380" s="149"/>
      <c r="AJ380" s="149"/>
      <c r="AK380" s="149"/>
      <c r="AL380" s="149"/>
      <c r="AM380" s="149"/>
      <c r="AN380" s="149"/>
      <c r="AO380" s="149"/>
    </row>
    <row r="381" spans="2:41" ht="15">
      <c r="B381" s="152" t="s">
        <v>404</v>
      </c>
      <c r="C381" s="151"/>
      <c r="D381" s="151"/>
      <c r="E381" s="151"/>
      <c r="F381" s="151"/>
      <c r="G381" s="151"/>
      <c r="H381" s="151"/>
      <c r="I381" s="151"/>
      <c r="J381" s="151"/>
      <c r="K381" s="151"/>
      <c r="L381" s="151"/>
      <c r="M381" s="151"/>
      <c r="N381" s="151"/>
      <c r="O381" s="151"/>
      <c r="P381" s="151"/>
      <c r="Q381" s="151"/>
      <c r="R381" s="151"/>
      <c r="S381" s="151"/>
      <c r="T381" s="151"/>
      <c r="U381" s="151"/>
      <c r="V381" s="151"/>
      <c r="W381" s="151"/>
      <c r="X381" s="151"/>
      <c r="Y381" s="247"/>
      <c r="Z381" s="247"/>
      <c r="AA381" s="247"/>
      <c r="AB381" s="247"/>
      <c r="AC381" s="153"/>
      <c r="AD381" s="149"/>
      <c r="AE381" s="149"/>
      <c r="AF381" s="149"/>
      <c r="AG381" s="149"/>
      <c r="AH381" s="149"/>
      <c r="AI381" s="149"/>
      <c r="AJ381" s="149"/>
      <c r="AK381" s="149"/>
      <c r="AL381" s="149"/>
      <c r="AM381" s="149"/>
      <c r="AN381" s="149"/>
      <c r="AO381" s="149"/>
    </row>
    <row r="382" spans="2:41" ht="15">
      <c r="B382" s="152" t="s">
        <v>404</v>
      </c>
      <c r="C382" s="151"/>
      <c r="D382" s="151"/>
      <c r="E382" s="151"/>
      <c r="F382" s="151"/>
      <c r="G382" s="151"/>
      <c r="H382" s="151"/>
      <c r="I382" s="151"/>
      <c r="J382" s="151"/>
      <c r="K382" s="151"/>
      <c r="L382" s="151"/>
      <c r="M382" s="151"/>
      <c r="N382" s="151"/>
      <c r="O382" s="151"/>
      <c r="P382" s="151"/>
      <c r="Q382" s="151"/>
      <c r="R382" s="151"/>
      <c r="S382" s="151"/>
      <c r="T382" s="151"/>
      <c r="U382" s="151"/>
      <c r="V382" s="151"/>
      <c r="W382" s="151"/>
      <c r="X382" s="151"/>
      <c r="Y382" s="247"/>
      <c r="Z382" s="247"/>
      <c r="AA382" s="247"/>
      <c r="AB382" s="247"/>
      <c r="AC382" s="153"/>
      <c r="AD382" s="149"/>
      <c r="AE382" s="149"/>
      <c r="AF382" s="149"/>
      <c r="AG382" s="149"/>
      <c r="AH382" s="149"/>
      <c r="AI382" s="149"/>
      <c r="AJ382" s="149"/>
      <c r="AK382" s="149"/>
      <c r="AL382" s="149"/>
      <c r="AM382" s="149"/>
      <c r="AN382" s="149"/>
      <c r="AO382" s="149"/>
    </row>
    <row r="383" spans="2:41" ht="15">
      <c r="B383" s="152" t="s">
        <v>404</v>
      </c>
      <c r="C383" s="151"/>
      <c r="D383" s="151"/>
      <c r="E383" s="151"/>
      <c r="F383" s="151"/>
      <c r="G383" s="151"/>
      <c r="H383" s="151"/>
      <c r="I383" s="151"/>
      <c r="J383" s="151"/>
      <c r="K383" s="151"/>
      <c r="L383" s="151"/>
      <c r="M383" s="151"/>
      <c r="N383" s="151"/>
      <c r="O383" s="151"/>
      <c r="P383" s="151"/>
      <c r="Q383" s="151"/>
      <c r="R383" s="151"/>
      <c r="S383" s="151"/>
      <c r="T383" s="151"/>
      <c r="U383" s="151"/>
      <c r="V383" s="151"/>
      <c r="W383" s="151"/>
      <c r="X383" s="151"/>
      <c r="Y383" s="247"/>
      <c r="Z383" s="247"/>
      <c r="AA383" s="247"/>
      <c r="AB383" s="247"/>
      <c r="AC383" s="153"/>
      <c r="AD383" s="149"/>
      <c r="AE383" s="149"/>
      <c r="AF383" s="149"/>
      <c r="AG383" s="149"/>
      <c r="AH383" s="149"/>
      <c r="AI383" s="149"/>
      <c r="AJ383" s="149"/>
      <c r="AK383" s="149"/>
      <c r="AL383" s="149"/>
      <c r="AM383" s="149"/>
      <c r="AN383" s="149"/>
      <c r="AO383" s="149"/>
    </row>
    <row r="384" spans="2:41" ht="15">
      <c r="B384" s="152" t="s">
        <v>404</v>
      </c>
      <c r="C384" s="151"/>
      <c r="D384" s="151"/>
      <c r="E384" s="151"/>
      <c r="F384" s="151"/>
      <c r="G384" s="151"/>
      <c r="H384" s="151"/>
      <c r="I384" s="151"/>
      <c r="J384" s="151"/>
      <c r="K384" s="151"/>
      <c r="L384" s="151"/>
      <c r="M384" s="151"/>
      <c r="N384" s="151"/>
      <c r="O384" s="151"/>
      <c r="P384" s="151"/>
      <c r="Q384" s="151"/>
      <c r="R384" s="151"/>
      <c r="S384" s="151"/>
      <c r="T384" s="151"/>
      <c r="U384" s="151"/>
      <c r="V384" s="151"/>
      <c r="W384" s="151"/>
      <c r="X384" s="151"/>
      <c r="Y384" s="247"/>
      <c r="Z384" s="247"/>
      <c r="AA384" s="247"/>
      <c r="AB384" s="247"/>
      <c r="AC384" s="153"/>
      <c r="AD384" s="149"/>
      <c r="AE384" s="149"/>
      <c r="AF384" s="149"/>
      <c r="AG384" s="149"/>
      <c r="AH384" s="149"/>
      <c r="AI384" s="149"/>
      <c r="AJ384" s="149"/>
      <c r="AK384" s="149"/>
      <c r="AL384" s="149"/>
      <c r="AM384" s="149"/>
      <c r="AN384" s="149"/>
      <c r="AO384" s="149"/>
    </row>
    <row r="385" spans="2:41" ht="15">
      <c r="B385" s="152" t="s">
        <v>404</v>
      </c>
      <c r="C385" s="151"/>
      <c r="D385" s="151"/>
      <c r="E385" s="151"/>
      <c r="F385" s="151"/>
      <c r="G385" s="151"/>
      <c r="H385" s="151"/>
      <c r="I385" s="151"/>
      <c r="J385" s="151"/>
      <c r="K385" s="151"/>
      <c r="L385" s="151"/>
      <c r="M385" s="151"/>
      <c r="N385" s="151"/>
      <c r="O385" s="151"/>
      <c r="P385" s="151"/>
      <c r="Q385" s="151"/>
      <c r="R385" s="151"/>
      <c r="S385" s="151"/>
      <c r="T385" s="151"/>
      <c r="U385" s="151"/>
      <c r="V385" s="151"/>
      <c r="W385" s="151"/>
      <c r="X385" s="151"/>
      <c r="Y385" s="247"/>
      <c r="Z385" s="247"/>
      <c r="AA385" s="247"/>
      <c r="AB385" s="247"/>
      <c r="AC385" s="153"/>
      <c r="AD385" s="149"/>
      <c r="AE385" s="149"/>
      <c r="AF385" s="149"/>
      <c r="AG385" s="149"/>
      <c r="AH385" s="149"/>
      <c r="AI385" s="149"/>
      <c r="AJ385" s="149"/>
      <c r="AK385" s="149"/>
      <c r="AL385" s="149"/>
      <c r="AM385" s="149"/>
      <c r="AN385" s="149"/>
      <c r="AO385" s="149"/>
    </row>
    <row r="386" spans="2:41" ht="15">
      <c r="B386" s="152" t="s">
        <v>404</v>
      </c>
      <c r="C386" s="151"/>
      <c r="D386" s="151"/>
      <c r="E386" s="151"/>
      <c r="F386" s="151"/>
      <c r="G386" s="151"/>
      <c r="H386" s="151"/>
      <c r="I386" s="151"/>
      <c r="J386" s="151"/>
      <c r="K386" s="151"/>
      <c r="L386" s="151"/>
      <c r="M386" s="151"/>
      <c r="N386" s="151"/>
      <c r="O386" s="151"/>
      <c r="P386" s="151"/>
      <c r="Q386" s="151"/>
      <c r="R386" s="151"/>
      <c r="S386" s="151"/>
      <c r="T386" s="151"/>
      <c r="U386" s="151"/>
      <c r="V386" s="151"/>
      <c r="W386" s="151"/>
      <c r="X386" s="151"/>
      <c r="Y386" s="247"/>
      <c r="Z386" s="247"/>
      <c r="AA386" s="247"/>
      <c r="AB386" s="247"/>
      <c r="AC386" s="153"/>
      <c r="AD386" s="149"/>
      <c r="AE386" s="149"/>
      <c r="AF386" s="149"/>
      <c r="AG386" s="149"/>
      <c r="AH386" s="149"/>
      <c r="AI386" s="149"/>
      <c r="AJ386" s="149"/>
      <c r="AK386" s="149"/>
      <c r="AL386" s="149"/>
      <c r="AM386" s="149"/>
      <c r="AN386" s="149"/>
      <c r="AO386" s="149"/>
    </row>
    <row r="387" spans="2:41" ht="15">
      <c r="B387" s="152" t="s">
        <v>404</v>
      </c>
      <c r="C387" s="151"/>
      <c r="D387" s="151"/>
      <c r="E387" s="151"/>
      <c r="F387" s="151"/>
      <c r="G387" s="151"/>
      <c r="H387" s="151"/>
      <c r="I387" s="151"/>
      <c r="J387" s="151"/>
      <c r="K387" s="151"/>
      <c r="L387" s="151"/>
      <c r="M387" s="151"/>
      <c r="N387" s="151"/>
      <c r="O387" s="151"/>
      <c r="P387" s="151"/>
      <c r="Q387" s="151"/>
      <c r="R387" s="151"/>
      <c r="S387" s="151"/>
      <c r="T387" s="151"/>
      <c r="U387" s="151"/>
      <c r="V387" s="151"/>
      <c r="W387" s="151"/>
      <c r="X387" s="151"/>
      <c r="Y387" s="247"/>
      <c r="Z387" s="247"/>
      <c r="AA387" s="247"/>
      <c r="AB387" s="247"/>
      <c r="AC387" s="153"/>
      <c r="AD387" s="149"/>
      <c r="AE387" s="149"/>
      <c r="AF387" s="149"/>
      <c r="AG387" s="149"/>
      <c r="AH387" s="149"/>
      <c r="AI387" s="149"/>
      <c r="AJ387" s="149"/>
      <c r="AK387" s="149"/>
      <c r="AL387" s="149"/>
      <c r="AM387" s="149"/>
      <c r="AN387" s="149"/>
      <c r="AO387" s="149"/>
    </row>
    <row r="388" spans="2:41" ht="15">
      <c r="B388" s="152" t="s">
        <v>404</v>
      </c>
      <c r="C388" s="151"/>
      <c r="D388" s="151"/>
      <c r="E388" s="151"/>
      <c r="F388" s="151"/>
      <c r="G388" s="151"/>
      <c r="H388" s="151"/>
      <c r="I388" s="151"/>
      <c r="J388" s="151"/>
      <c r="K388" s="151"/>
      <c r="L388" s="151"/>
      <c r="M388" s="151"/>
      <c r="N388" s="151"/>
      <c r="O388" s="151"/>
      <c r="P388" s="151"/>
      <c r="Q388" s="151"/>
      <c r="R388" s="151"/>
      <c r="S388" s="151"/>
      <c r="T388" s="151"/>
      <c r="U388" s="151"/>
      <c r="V388" s="151"/>
      <c r="W388" s="151"/>
      <c r="X388" s="151"/>
      <c r="Y388" s="247"/>
      <c r="Z388" s="247"/>
      <c r="AA388" s="247"/>
      <c r="AB388" s="247"/>
      <c r="AC388" s="153"/>
      <c r="AD388" s="149"/>
      <c r="AE388" s="149"/>
      <c r="AF388" s="149"/>
      <c r="AG388" s="149"/>
      <c r="AH388" s="149"/>
      <c r="AI388" s="149"/>
      <c r="AJ388" s="149"/>
      <c r="AK388" s="149"/>
      <c r="AL388" s="149"/>
      <c r="AM388" s="149"/>
      <c r="AN388" s="149"/>
      <c r="AO388" s="149"/>
    </row>
    <row r="389" spans="2:41" ht="15">
      <c r="B389" s="152" t="s">
        <v>404</v>
      </c>
      <c r="C389" s="151"/>
      <c r="D389" s="151"/>
      <c r="E389" s="151"/>
      <c r="F389" s="151"/>
      <c r="G389" s="151"/>
      <c r="H389" s="151"/>
      <c r="I389" s="151"/>
      <c r="J389" s="151"/>
      <c r="K389" s="151"/>
      <c r="L389" s="151"/>
      <c r="M389" s="151"/>
      <c r="N389" s="151"/>
      <c r="O389" s="151"/>
      <c r="P389" s="151"/>
      <c r="Q389" s="151"/>
      <c r="R389" s="151"/>
      <c r="S389" s="151"/>
      <c r="T389" s="151"/>
      <c r="U389" s="151"/>
      <c r="V389" s="151"/>
      <c r="W389" s="151"/>
      <c r="X389" s="151"/>
      <c r="Y389" s="247"/>
      <c r="Z389" s="247"/>
      <c r="AA389" s="247"/>
      <c r="AB389" s="247"/>
      <c r="AC389" s="153"/>
      <c r="AD389" s="149"/>
      <c r="AE389" s="149"/>
      <c r="AF389" s="149"/>
      <c r="AG389" s="149"/>
      <c r="AH389" s="149"/>
      <c r="AI389" s="149"/>
      <c r="AJ389" s="149"/>
      <c r="AK389" s="149"/>
      <c r="AL389" s="149"/>
      <c r="AM389" s="149"/>
      <c r="AN389" s="149"/>
      <c r="AO389" s="149"/>
    </row>
    <row r="390" spans="2:41" ht="15">
      <c r="B390" s="152" t="s">
        <v>404</v>
      </c>
      <c r="C390" s="151"/>
      <c r="D390" s="151"/>
      <c r="E390" s="151"/>
      <c r="F390" s="151"/>
      <c r="G390" s="151"/>
      <c r="H390" s="151"/>
      <c r="I390" s="151"/>
      <c r="J390" s="151"/>
      <c r="K390" s="151"/>
      <c r="L390" s="151"/>
      <c r="M390" s="151"/>
      <c r="N390" s="151"/>
      <c r="O390" s="151"/>
      <c r="P390" s="151"/>
      <c r="Q390" s="151"/>
      <c r="R390" s="151"/>
      <c r="S390" s="151"/>
      <c r="T390" s="151"/>
      <c r="U390" s="151"/>
      <c r="V390" s="151"/>
      <c r="W390" s="151"/>
      <c r="X390" s="151"/>
      <c r="Y390" s="247"/>
      <c r="Z390" s="247"/>
      <c r="AA390" s="247"/>
      <c r="AB390" s="247"/>
      <c r="AC390" s="153"/>
      <c r="AD390" s="149"/>
      <c r="AE390" s="149"/>
      <c r="AF390" s="149"/>
      <c r="AG390" s="149"/>
      <c r="AH390" s="149"/>
      <c r="AI390" s="149"/>
      <c r="AJ390" s="149"/>
      <c r="AK390" s="149"/>
      <c r="AL390" s="149"/>
      <c r="AM390" s="149"/>
      <c r="AN390" s="149"/>
      <c r="AO390" s="149"/>
    </row>
    <row r="391" spans="2:41" ht="15">
      <c r="B391" s="152" t="s">
        <v>404</v>
      </c>
      <c r="C391" s="151"/>
      <c r="D391" s="151"/>
      <c r="E391" s="151"/>
      <c r="F391" s="151"/>
      <c r="G391" s="151"/>
      <c r="H391" s="151"/>
      <c r="I391" s="151"/>
      <c r="J391" s="151"/>
      <c r="K391" s="151"/>
      <c r="L391" s="151"/>
      <c r="M391" s="151"/>
      <c r="N391" s="151"/>
      <c r="O391" s="151"/>
      <c r="P391" s="151"/>
      <c r="Q391" s="151"/>
      <c r="R391" s="151"/>
      <c r="S391" s="151"/>
      <c r="T391" s="151"/>
      <c r="U391" s="151"/>
      <c r="V391" s="151"/>
      <c r="W391" s="151"/>
      <c r="X391" s="151"/>
      <c r="Y391" s="247"/>
      <c r="Z391" s="247"/>
      <c r="AA391" s="247"/>
      <c r="AB391" s="247"/>
      <c r="AC391" s="153"/>
      <c r="AD391" s="149"/>
      <c r="AE391" s="149"/>
      <c r="AF391" s="149"/>
      <c r="AG391" s="149"/>
      <c r="AH391" s="149"/>
      <c r="AI391" s="149"/>
      <c r="AJ391" s="149"/>
      <c r="AK391" s="149"/>
      <c r="AL391" s="149"/>
      <c r="AM391" s="149"/>
      <c r="AN391" s="149"/>
      <c r="AO391" s="149"/>
    </row>
    <row r="392" spans="2:41" ht="15">
      <c r="B392" s="152" t="s">
        <v>404</v>
      </c>
      <c r="C392" s="151"/>
      <c r="D392" s="151"/>
      <c r="E392" s="151"/>
      <c r="F392" s="151"/>
      <c r="G392" s="151"/>
      <c r="H392" s="151"/>
      <c r="I392" s="151"/>
      <c r="J392" s="151"/>
      <c r="K392" s="151"/>
      <c r="L392" s="151"/>
      <c r="M392" s="151"/>
      <c r="N392" s="151"/>
      <c r="O392" s="151"/>
      <c r="P392" s="151"/>
      <c r="Q392" s="151"/>
      <c r="R392" s="151"/>
      <c r="S392" s="151"/>
      <c r="T392" s="151"/>
      <c r="U392" s="151"/>
      <c r="V392" s="151"/>
      <c r="W392" s="151"/>
      <c r="X392" s="151"/>
      <c r="Y392" s="247"/>
      <c r="Z392" s="247"/>
      <c r="AA392" s="247"/>
      <c r="AB392" s="247"/>
      <c r="AC392" s="153"/>
      <c r="AD392" s="149"/>
      <c r="AE392" s="149"/>
      <c r="AF392" s="149"/>
      <c r="AG392" s="149"/>
      <c r="AH392" s="149"/>
      <c r="AI392" s="149"/>
      <c r="AJ392" s="149"/>
      <c r="AK392" s="149"/>
      <c r="AL392" s="149"/>
      <c r="AM392" s="149"/>
      <c r="AN392" s="149"/>
      <c r="AO392" s="149"/>
    </row>
    <row r="393" spans="2:41" ht="15">
      <c r="B393" s="152" t="s">
        <v>404</v>
      </c>
      <c r="C393" s="151"/>
      <c r="D393" s="151"/>
      <c r="E393" s="151"/>
      <c r="F393" s="151"/>
      <c r="G393" s="151"/>
      <c r="H393" s="151"/>
      <c r="I393" s="151"/>
      <c r="J393" s="151"/>
      <c r="K393" s="151"/>
      <c r="L393" s="151"/>
      <c r="M393" s="151"/>
      <c r="N393" s="151"/>
      <c r="O393" s="151"/>
      <c r="P393" s="151"/>
      <c r="Q393" s="151"/>
      <c r="R393" s="151"/>
      <c r="S393" s="151"/>
      <c r="T393" s="151"/>
      <c r="U393" s="151"/>
      <c r="V393" s="151"/>
      <c r="W393" s="151"/>
      <c r="X393" s="151"/>
      <c r="Y393" s="247"/>
      <c r="Z393" s="247"/>
      <c r="AA393" s="247"/>
      <c r="AB393" s="247"/>
      <c r="AC393" s="153"/>
      <c r="AD393" s="149"/>
      <c r="AE393" s="149"/>
      <c r="AF393" s="149"/>
      <c r="AG393" s="149"/>
      <c r="AH393" s="149"/>
      <c r="AI393" s="149"/>
      <c r="AJ393" s="149"/>
      <c r="AK393" s="149"/>
      <c r="AL393" s="149"/>
      <c r="AM393" s="149"/>
      <c r="AN393" s="149"/>
      <c r="AO393" s="149"/>
    </row>
    <row r="394" spans="2:41" ht="15">
      <c r="B394" s="152" t="s">
        <v>404</v>
      </c>
      <c r="C394" s="151"/>
      <c r="D394" s="151"/>
      <c r="E394" s="151"/>
      <c r="F394" s="151"/>
      <c r="G394" s="151"/>
      <c r="H394" s="151"/>
      <c r="I394" s="151"/>
      <c r="J394" s="151"/>
      <c r="K394" s="151"/>
      <c r="L394" s="151"/>
      <c r="M394" s="151"/>
      <c r="N394" s="151"/>
      <c r="O394" s="151"/>
      <c r="P394" s="151"/>
      <c r="Q394" s="151"/>
      <c r="R394" s="151"/>
      <c r="S394" s="151"/>
      <c r="T394" s="151"/>
      <c r="U394" s="151"/>
      <c r="V394" s="151"/>
      <c r="W394" s="151"/>
      <c r="X394" s="151"/>
      <c r="Y394" s="247"/>
      <c r="Z394" s="247"/>
      <c r="AA394" s="247"/>
      <c r="AB394" s="247"/>
      <c r="AC394" s="153"/>
      <c r="AD394" s="149"/>
      <c r="AE394" s="149"/>
      <c r="AF394" s="149"/>
      <c r="AG394" s="149"/>
      <c r="AH394" s="149"/>
      <c r="AI394" s="149"/>
      <c r="AJ394" s="149"/>
      <c r="AK394" s="149"/>
      <c r="AL394" s="149"/>
      <c r="AM394" s="149"/>
      <c r="AN394" s="149"/>
      <c r="AO394" s="149"/>
    </row>
    <row r="395" spans="2:41" ht="15">
      <c r="B395" s="152" t="s">
        <v>404</v>
      </c>
      <c r="C395" s="151"/>
      <c r="D395" s="151"/>
      <c r="E395" s="151"/>
      <c r="F395" s="151"/>
      <c r="G395" s="151"/>
      <c r="H395" s="151"/>
      <c r="I395" s="151"/>
      <c r="J395" s="151"/>
      <c r="K395" s="151"/>
      <c r="L395" s="151"/>
      <c r="M395" s="151"/>
      <c r="N395" s="151"/>
      <c r="O395" s="151"/>
      <c r="P395" s="151"/>
      <c r="Q395" s="151"/>
      <c r="R395" s="151"/>
      <c r="S395" s="151"/>
      <c r="T395" s="151"/>
      <c r="U395" s="151"/>
      <c r="V395" s="151"/>
      <c r="W395" s="151"/>
      <c r="X395" s="151"/>
      <c r="Y395" s="247"/>
      <c r="Z395" s="247"/>
      <c r="AA395" s="247"/>
      <c r="AB395" s="247"/>
      <c r="AC395" s="153"/>
      <c r="AD395" s="149"/>
      <c r="AE395" s="149"/>
      <c r="AF395" s="149"/>
      <c r="AG395" s="149"/>
      <c r="AH395" s="149"/>
      <c r="AI395" s="149"/>
      <c r="AJ395" s="149"/>
      <c r="AK395" s="149"/>
      <c r="AL395" s="149"/>
      <c r="AM395" s="149"/>
      <c r="AN395" s="149"/>
      <c r="AO395" s="149"/>
    </row>
    <row r="396" spans="2:41" ht="15">
      <c r="B396" s="152" t="s">
        <v>404</v>
      </c>
      <c r="C396" s="151"/>
      <c r="D396" s="151"/>
      <c r="E396" s="151"/>
      <c r="F396" s="151"/>
      <c r="G396" s="151"/>
      <c r="H396" s="151"/>
      <c r="I396" s="151"/>
      <c r="J396" s="151"/>
      <c r="K396" s="151"/>
      <c r="L396" s="151"/>
      <c r="M396" s="151"/>
      <c r="N396" s="151"/>
      <c r="O396" s="151"/>
      <c r="P396" s="151"/>
      <c r="Q396" s="151"/>
      <c r="R396" s="151"/>
      <c r="S396" s="151"/>
      <c r="T396" s="151"/>
      <c r="U396" s="151"/>
      <c r="V396" s="151"/>
      <c r="W396" s="151"/>
      <c r="X396" s="151"/>
      <c r="Y396" s="247"/>
      <c r="Z396" s="247"/>
      <c r="AA396" s="247"/>
      <c r="AB396" s="247"/>
      <c r="AC396" s="153"/>
      <c r="AD396" s="149"/>
      <c r="AE396" s="149"/>
      <c r="AF396" s="149"/>
      <c r="AG396" s="149"/>
      <c r="AH396" s="149"/>
      <c r="AI396" s="149"/>
      <c r="AJ396" s="149"/>
      <c r="AK396" s="149"/>
      <c r="AL396" s="149"/>
      <c r="AM396" s="149"/>
      <c r="AN396" s="149"/>
      <c r="AO396" s="149"/>
    </row>
    <row r="397" spans="2:41" ht="15">
      <c r="B397" s="152" t="s">
        <v>404</v>
      </c>
      <c r="C397" s="151"/>
      <c r="D397" s="151"/>
      <c r="E397" s="151"/>
      <c r="F397" s="151"/>
      <c r="G397" s="151"/>
      <c r="H397" s="151"/>
      <c r="I397" s="151"/>
      <c r="J397" s="151"/>
      <c r="K397" s="151"/>
      <c r="L397" s="151"/>
      <c r="M397" s="151"/>
      <c r="N397" s="151"/>
      <c r="O397" s="151"/>
      <c r="P397" s="151"/>
      <c r="Q397" s="151"/>
      <c r="R397" s="151"/>
      <c r="S397" s="151"/>
      <c r="T397" s="151"/>
      <c r="U397" s="151"/>
      <c r="V397" s="151"/>
      <c r="W397" s="151"/>
      <c r="X397" s="151"/>
      <c r="Y397" s="247"/>
      <c r="Z397" s="247"/>
      <c r="AA397" s="247"/>
      <c r="AB397" s="247"/>
      <c r="AC397" s="153"/>
      <c r="AD397" s="149"/>
      <c r="AE397" s="149"/>
      <c r="AF397" s="149"/>
      <c r="AG397" s="149"/>
      <c r="AH397" s="149"/>
      <c r="AI397" s="149"/>
      <c r="AJ397" s="149"/>
      <c r="AK397" s="149"/>
      <c r="AL397" s="149"/>
      <c r="AM397" s="149"/>
      <c r="AN397" s="149"/>
      <c r="AO397" s="149"/>
    </row>
    <row r="398" spans="2:41" ht="15">
      <c r="B398" s="152" t="s">
        <v>404</v>
      </c>
      <c r="C398" s="151"/>
      <c r="D398" s="151"/>
      <c r="E398" s="151"/>
      <c r="F398" s="151"/>
      <c r="G398" s="151"/>
      <c r="H398" s="151"/>
      <c r="I398" s="151"/>
      <c r="J398" s="151"/>
      <c r="K398" s="151"/>
      <c r="L398" s="151"/>
      <c r="M398" s="151"/>
      <c r="N398" s="151"/>
      <c r="O398" s="151"/>
      <c r="P398" s="151"/>
      <c r="Q398" s="151"/>
      <c r="R398" s="151"/>
      <c r="S398" s="151"/>
      <c r="T398" s="151"/>
      <c r="U398" s="151"/>
      <c r="V398" s="151"/>
      <c r="W398" s="151"/>
      <c r="X398" s="151"/>
      <c r="Y398" s="247"/>
      <c r="Z398" s="247"/>
      <c r="AA398" s="247"/>
      <c r="AB398" s="247"/>
      <c r="AC398" s="153"/>
      <c r="AD398" s="149"/>
      <c r="AE398" s="149"/>
      <c r="AF398" s="149"/>
      <c r="AG398" s="149"/>
      <c r="AH398" s="149"/>
      <c r="AI398" s="149"/>
      <c r="AJ398" s="149"/>
      <c r="AK398" s="149"/>
      <c r="AL398" s="149"/>
      <c r="AM398" s="149"/>
      <c r="AN398" s="149"/>
      <c r="AO398" s="149"/>
    </row>
    <row r="399" spans="2:41" ht="15">
      <c r="B399" s="152" t="s">
        <v>404</v>
      </c>
      <c r="C399" s="151"/>
      <c r="D399" s="151"/>
      <c r="E399" s="151"/>
      <c r="F399" s="151"/>
      <c r="G399" s="151"/>
      <c r="H399" s="151"/>
      <c r="I399" s="151"/>
      <c r="J399" s="151"/>
      <c r="K399" s="151"/>
      <c r="L399" s="151"/>
      <c r="M399" s="151"/>
      <c r="N399" s="151"/>
      <c r="O399" s="151"/>
      <c r="P399" s="151"/>
      <c r="Q399" s="151"/>
      <c r="R399" s="151"/>
      <c r="S399" s="151"/>
      <c r="T399" s="151"/>
      <c r="U399" s="151"/>
      <c r="V399" s="151"/>
      <c r="W399" s="151"/>
      <c r="X399" s="151"/>
      <c r="Y399" s="247"/>
      <c r="Z399" s="247"/>
      <c r="AA399" s="247"/>
      <c r="AB399" s="247"/>
      <c r="AC399" s="153"/>
      <c r="AD399" s="149"/>
      <c r="AE399" s="149"/>
      <c r="AF399" s="149"/>
      <c r="AG399" s="149"/>
      <c r="AH399" s="149"/>
      <c r="AI399" s="149"/>
      <c r="AJ399" s="149"/>
      <c r="AK399" s="149"/>
      <c r="AL399" s="149"/>
      <c r="AM399" s="149"/>
      <c r="AN399" s="149"/>
      <c r="AO399" s="149"/>
    </row>
    <row r="400" spans="2:41" ht="15">
      <c r="B400" s="152" t="s">
        <v>404</v>
      </c>
      <c r="C400" s="151"/>
      <c r="D400" s="151"/>
      <c r="E400" s="151"/>
      <c r="F400" s="151"/>
      <c r="G400" s="151"/>
      <c r="H400" s="151"/>
      <c r="I400" s="151"/>
      <c r="J400" s="151"/>
      <c r="K400" s="151"/>
      <c r="L400" s="151"/>
      <c r="M400" s="151"/>
      <c r="N400" s="151"/>
      <c r="O400" s="151"/>
      <c r="P400" s="151"/>
      <c r="Q400" s="151"/>
      <c r="R400" s="151"/>
      <c r="S400" s="151"/>
      <c r="T400" s="151"/>
      <c r="U400" s="151"/>
      <c r="V400" s="151"/>
      <c r="W400" s="151"/>
      <c r="X400" s="151"/>
      <c r="Y400" s="247"/>
      <c r="Z400" s="247"/>
      <c r="AA400" s="247"/>
      <c r="AB400" s="247"/>
      <c r="AC400" s="153"/>
      <c r="AD400" s="149"/>
      <c r="AE400" s="149"/>
      <c r="AF400" s="149"/>
      <c r="AG400" s="149"/>
      <c r="AH400" s="149"/>
      <c r="AI400" s="149"/>
      <c r="AJ400" s="149"/>
      <c r="AK400" s="149"/>
      <c r="AL400" s="149"/>
      <c r="AM400" s="149"/>
      <c r="AN400" s="149"/>
      <c r="AO400" s="149"/>
    </row>
    <row r="401" spans="2:41" ht="15">
      <c r="B401" s="152" t="s">
        <v>404</v>
      </c>
      <c r="C401" s="151"/>
      <c r="D401" s="151"/>
      <c r="E401" s="151"/>
      <c r="F401" s="151"/>
      <c r="G401" s="151"/>
      <c r="H401" s="151"/>
      <c r="I401" s="151"/>
      <c r="J401" s="151"/>
      <c r="K401" s="151"/>
      <c r="L401" s="151"/>
      <c r="M401" s="151"/>
      <c r="N401" s="151"/>
      <c r="O401" s="151"/>
      <c r="P401" s="151"/>
      <c r="Q401" s="151"/>
      <c r="R401" s="151"/>
      <c r="S401" s="151"/>
      <c r="T401" s="151"/>
      <c r="U401" s="151"/>
      <c r="V401" s="151"/>
      <c r="W401" s="151"/>
      <c r="X401" s="151"/>
      <c r="Y401" s="247"/>
      <c r="Z401" s="247"/>
      <c r="AA401" s="247"/>
      <c r="AB401" s="247"/>
      <c r="AC401" s="153"/>
      <c r="AD401" s="149"/>
      <c r="AE401" s="149"/>
      <c r="AF401" s="149"/>
      <c r="AG401" s="149"/>
      <c r="AH401" s="149"/>
      <c r="AI401" s="149"/>
      <c r="AJ401" s="149"/>
      <c r="AK401" s="149"/>
      <c r="AL401" s="149"/>
      <c r="AM401" s="149"/>
      <c r="AN401" s="149"/>
      <c r="AO401" s="149"/>
    </row>
    <row r="402" spans="2:41" ht="15">
      <c r="B402" s="152" t="s">
        <v>404</v>
      </c>
      <c r="C402" s="151"/>
      <c r="D402" s="151"/>
      <c r="E402" s="151"/>
      <c r="F402" s="151"/>
      <c r="G402" s="151"/>
      <c r="H402" s="151"/>
      <c r="I402" s="151"/>
      <c r="J402" s="151"/>
      <c r="K402" s="151"/>
      <c r="L402" s="151"/>
      <c r="M402" s="151"/>
      <c r="N402" s="151"/>
      <c r="O402" s="151"/>
      <c r="P402" s="151"/>
      <c r="Q402" s="151"/>
      <c r="R402" s="151"/>
      <c r="S402" s="151"/>
      <c r="T402" s="151"/>
      <c r="U402" s="151"/>
      <c r="V402" s="151"/>
      <c r="W402" s="151"/>
      <c r="X402" s="151"/>
      <c r="Y402" s="247"/>
      <c r="Z402" s="247"/>
      <c r="AA402" s="247"/>
      <c r="AB402" s="247"/>
      <c r="AC402" s="153"/>
      <c r="AD402" s="149"/>
      <c r="AE402" s="149"/>
      <c r="AF402" s="149"/>
      <c r="AG402" s="149"/>
      <c r="AH402" s="149"/>
      <c r="AI402" s="149"/>
      <c r="AJ402" s="149"/>
      <c r="AK402" s="149"/>
      <c r="AL402" s="149"/>
      <c r="AM402" s="149"/>
      <c r="AN402" s="149"/>
      <c r="AO402" s="149"/>
    </row>
    <row r="403" spans="2:41" ht="15">
      <c r="B403" s="152" t="s">
        <v>404</v>
      </c>
      <c r="C403" s="151"/>
      <c r="D403" s="151"/>
      <c r="E403" s="151"/>
      <c r="F403" s="151"/>
      <c r="G403" s="151"/>
      <c r="H403" s="151"/>
      <c r="I403" s="151"/>
      <c r="J403" s="151"/>
      <c r="K403" s="151"/>
      <c r="L403" s="151"/>
      <c r="M403" s="151"/>
      <c r="N403" s="151"/>
      <c r="O403" s="151"/>
      <c r="P403" s="151"/>
      <c r="Q403" s="151"/>
      <c r="R403" s="151"/>
      <c r="S403" s="151"/>
      <c r="T403" s="151"/>
      <c r="U403" s="151"/>
      <c r="V403" s="151"/>
      <c r="W403" s="151"/>
      <c r="X403" s="151"/>
      <c r="Y403" s="247"/>
      <c r="Z403" s="247"/>
      <c r="AA403" s="247"/>
      <c r="AB403" s="247"/>
      <c r="AC403" s="153"/>
      <c r="AD403" s="149"/>
      <c r="AE403" s="149"/>
      <c r="AF403" s="149"/>
      <c r="AG403" s="149"/>
      <c r="AH403" s="149"/>
      <c r="AI403" s="149"/>
      <c r="AJ403" s="149"/>
      <c r="AK403" s="149"/>
      <c r="AL403" s="149"/>
      <c r="AM403" s="149"/>
      <c r="AN403" s="149"/>
      <c r="AO403" s="149"/>
    </row>
    <row r="404" spans="2:41" ht="15">
      <c r="B404" s="152" t="s">
        <v>404</v>
      </c>
      <c r="C404" s="151"/>
      <c r="D404" s="151"/>
      <c r="E404" s="151"/>
      <c r="F404" s="151"/>
      <c r="G404" s="151"/>
      <c r="H404" s="151"/>
      <c r="I404" s="151"/>
      <c r="J404" s="151"/>
      <c r="K404" s="151"/>
      <c r="L404" s="151"/>
      <c r="M404" s="151"/>
      <c r="N404" s="151"/>
      <c r="O404" s="151"/>
      <c r="P404" s="151"/>
      <c r="Q404" s="151"/>
      <c r="R404" s="151"/>
      <c r="S404" s="151"/>
      <c r="T404" s="151"/>
      <c r="U404" s="151"/>
      <c r="V404" s="151"/>
      <c r="W404" s="151"/>
      <c r="X404" s="151"/>
      <c r="Y404" s="247"/>
      <c r="Z404" s="247"/>
      <c r="AA404" s="247"/>
      <c r="AB404" s="247"/>
      <c r="AC404" s="153"/>
      <c r="AD404" s="149"/>
      <c r="AE404" s="149"/>
      <c r="AF404" s="149"/>
      <c r="AG404" s="149"/>
      <c r="AH404" s="149"/>
      <c r="AI404" s="149"/>
      <c r="AJ404" s="149"/>
      <c r="AK404" s="149"/>
      <c r="AL404" s="149"/>
      <c r="AM404" s="149"/>
      <c r="AN404" s="149"/>
      <c r="AO404" s="149"/>
    </row>
    <row r="405" spans="2:41" ht="15">
      <c r="B405" s="152" t="s">
        <v>404</v>
      </c>
      <c r="C405" s="151"/>
      <c r="D405" s="151"/>
      <c r="E405" s="151"/>
      <c r="F405" s="151"/>
      <c r="G405" s="151"/>
      <c r="H405" s="151"/>
      <c r="I405" s="151"/>
      <c r="J405" s="151"/>
      <c r="K405" s="151"/>
      <c r="L405" s="151"/>
      <c r="M405" s="151"/>
      <c r="N405" s="151"/>
      <c r="O405" s="151"/>
      <c r="P405" s="151"/>
      <c r="Q405" s="151"/>
      <c r="R405" s="151"/>
      <c r="S405" s="151"/>
      <c r="T405" s="151"/>
      <c r="U405" s="151"/>
      <c r="V405" s="151"/>
      <c r="W405" s="151"/>
      <c r="X405" s="151"/>
      <c r="Y405" s="247"/>
      <c r="Z405" s="247"/>
      <c r="AA405" s="247"/>
      <c r="AB405" s="247"/>
      <c r="AC405" s="153"/>
      <c r="AD405" s="149"/>
      <c r="AE405" s="149"/>
      <c r="AF405" s="149"/>
      <c r="AG405" s="149"/>
      <c r="AH405" s="149"/>
      <c r="AI405" s="149"/>
      <c r="AJ405" s="149"/>
      <c r="AK405" s="149"/>
      <c r="AL405" s="149"/>
      <c r="AM405" s="149"/>
      <c r="AN405" s="149"/>
      <c r="AO405" s="149"/>
    </row>
    <row r="406" spans="2:41" ht="15">
      <c r="B406" s="152" t="s">
        <v>404</v>
      </c>
      <c r="C406" s="151"/>
      <c r="D406" s="151"/>
      <c r="E406" s="151"/>
      <c r="F406" s="151"/>
      <c r="G406" s="151"/>
      <c r="H406" s="151"/>
      <c r="I406" s="151"/>
      <c r="J406" s="151"/>
      <c r="K406" s="151"/>
      <c r="L406" s="151"/>
      <c r="M406" s="151"/>
      <c r="N406" s="151"/>
      <c r="O406" s="151"/>
      <c r="P406" s="151"/>
      <c r="Q406" s="151"/>
      <c r="R406" s="151"/>
      <c r="S406" s="151"/>
      <c r="T406" s="151"/>
      <c r="U406" s="151"/>
      <c r="V406" s="151"/>
      <c r="W406" s="151"/>
      <c r="X406" s="151"/>
      <c r="Y406" s="247"/>
      <c r="Z406" s="247"/>
      <c r="AA406" s="247"/>
      <c r="AB406" s="247"/>
      <c r="AC406" s="153"/>
      <c r="AD406" s="149"/>
      <c r="AE406" s="149"/>
      <c r="AF406" s="149"/>
      <c r="AG406" s="149"/>
      <c r="AH406" s="149"/>
      <c r="AI406" s="149"/>
      <c r="AJ406" s="149"/>
      <c r="AK406" s="149"/>
      <c r="AL406" s="149"/>
      <c r="AM406" s="149"/>
      <c r="AN406" s="149"/>
      <c r="AO406" s="149"/>
    </row>
    <row r="407" spans="2:41" ht="15">
      <c r="B407" s="152" t="s">
        <v>404</v>
      </c>
      <c r="C407" s="151"/>
      <c r="D407" s="151"/>
      <c r="E407" s="151"/>
      <c r="F407" s="151"/>
      <c r="G407" s="151"/>
      <c r="H407" s="151"/>
      <c r="I407" s="151"/>
      <c r="J407" s="151"/>
      <c r="K407" s="151"/>
      <c r="L407" s="151"/>
      <c r="M407" s="151"/>
      <c r="N407" s="151"/>
      <c r="O407" s="151"/>
      <c r="P407" s="151"/>
      <c r="Q407" s="151"/>
      <c r="R407" s="151"/>
      <c r="S407" s="151"/>
      <c r="T407" s="151"/>
      <c r="U407" s="151"/>
      <c r="V407" s="151"/>
      <c r="W407" s="151"/>
      <c r="X407" s="151"/>
      <c r="Y407" s="247"/>
      <c r="Z407" s="247"/>
      <c r="AA407" s="247"/>
      <c r="AB407" s="247"/>
      <c r="AC407" s="153"/>
      <c r="AD407" s="149"/>
      <c r="AE407" s="149"/>
      <c r="AF407" s="149"/>
      <c r="AG407" s="149"/>
      <c r="AH407" s="149"/>
      <c r="AI407" s="149"/>
      <c r="AJ407" s="149"/>
      <c r="AK407" s="149"/>
      <c r="AL407" s="149"/>
      <c r="AM407" s="149"/>
      <c r="AN407" s="149"/>
      <c r="AO407" s="149"/>
    </row>
    <row r="408" spans="2:41" ht="15">
      <c r="B408" s="152" t="s">
        <v>404</v>
      </c>
      <c r="C408" s="151"/>
      <c r="D408" s="151"/>
      <c r="E408" s="151"/>
      <c r="F408" s="151"/>
      <c r="G408" s="151"/>
      <c r="H408" s="151"/>
      <c r="I408" s="151"/>
      <c r="J408" s="151"/>
      <c r="K408" s="151"/>
      <c r="L408" s="151"/>
      <c r="M408" s="151"/>
      <c r="N408" s="151"/>
      <c r="O408" s="151"/>
      <c r="P408" s="151"/>
      <c r="Q408" s="151"/>
      <c r="R408" s="151"/>
      <c r="S408" s="151"/>
      <c r="T408" s="151"/>
      <c r="U408" s="151"/>
      <c r="V408" s="151"/>
      <c r="W408" s="151"/>
      <c r="X408" s="151"/>
      <c r="Y408" s="247"/>
      <c r="Z408" s="247"/>
      <c r="AA408" s="247"/>
      <c r="AB408" s="247"/>
      <c r="AC408" s="153"/>
      <c r="AD408" s="149"/>
      <c r="AE408" s="149"/>
      <c r="AF408" s="149"/>
      <c r="AG408" s="149"/>
      <c r="AH408" s="149"/>
      <c r="AI408" s="149"/>
      <c r="AJ408" s="149"/>
      <c r="AK408" s="149"/>
      <c r="AL408" s="149"/>
      <c r="AM408" s="149"/>
      <c r="AN408" s="149"/>
      <c r="AO408" s="149"/>
    </row>
    <row r="409" spans="2:41" ht="15">
      <c r="B409" s="152" t="s">
        <v>404</v>
      </c>
      <c r="C409" s="151"/>
      <c r="D409" s="151"/>
      <c r="E409" s="151"/>
      <c r="F409" s="151"/>
      <c r="G409" s="151"/>
      <c r="H409" s="151"/>
      <c r="I409" s="151"/>
      <c r="J409" s="151"/>
      <c r="K409" s="151"/>
      <c r="L409" s="151"/>
      <c r="M409" s="151"/>
      <c r="N409" s="151"/>
      <c r="O409" s="151"/>
      <c r="P409" s="151"/>
      <c r="Q409" s="151"/>
      <c r="R409" s="151"/>
      <c r="S409" s="151"/>
      <c r="T409" s="151"/>
      <c r="U409" s="151"/>
      <c r="V409" s="151"/>
      <c r="W409" s="151"/>
      <c r="X409" s="151"/>
      <c r="Y409" s="247"/>
      <c r="Z409" s="247"/>
      <c r="AA409" s="247"/>
      <c r="AB409" s="247"/>
      <c r="AC409" s="153"/>
      <c r="AD409" s="149"/>
      <c r="AE409" s="149"/>
      <c r="AF409" s="149"/>
      <c r="AG409" s="149"/>
      <c r="AH409" s="149"/>
      <c r="AI409" s="149"/>
      <c r="AJ409" s="149"/>
      <c r="AK409" s="149"/>
      <c r="AL409" s="149"/>
      <c r="AM409" s="149"/>
      <c r="AN409" s="149"/>
      <c r="AO409" s="149"/>
    </row>
    <row r="410" spans="2:41" ht="15">
      <c r="B410" s="152" t="s">
        <v>404</v>
      </c>
      <c r="C410" s="151"/>
      <c r="D410" s="151"/>
      <c r="E410" s="151"/>
      <c r="F410" s="151"/>
      <c r="G410" s="151"/>
      <c r="H410" s="151"/>
      <c r="I410" s="151"/>
      <c r="J410" s="151"/>
      <c r="K410" s="151"/>
      <c r="L410" s="151"/>
      <c r="M410" s="151"/>
      <c r="N410" s="151"/>
      <c r="O410" s="151"/>
      <c r="P410" s="151"/>
      <c r="Q410" s="151"/>
      <c r="R410" s="151"/>
      <c r="S410" s="151"/>
      <c r="T410" s="151"/>
      <c r="U410" s="151"/>
      <c r="V410" s="151"/>
      <c r="W410" s="151"/>
      <c r="X410" s="151"/>
      <c r="Y410" s="247"/>
      <c r="Z410" s="247"/>
      <c r="AA410" s="247"/>
      <c r="AB410" s="247"/>
      <c r="AC410" s="153"/>
      <c r="AD410" s="149"/>
      <c r="AE410" s="149"/>
      <c r="AF410" s="149"/>
      <c r="AG410" s="149"/>
      <c r="AH410" s="149"/>
      <c r="AI410" s="149"/>
      <c r="AJ410" s="149"/>
      <c r="AK410" s="149"/>
      <c r="AL410" s="149"/>
      <c r="AM410" s="149"/>
      <c r="AN410" s="149"/>
      <c r="AO410" s="149"/>
    </row>
    <row r="411" spans="2:41" ht="15">
      <c r="B411" s="152" t="s">
        <v>404</v>
      </c>
      <c r="C411" s="151"/>
      <c r="D411" s="151"/>
      <c r="E411" s="151"/>
      <c r="F411" s="151"/>
      <c r="G411" s="151"/>
      <c r="H411" s="151"/>
      <c r="I411" s="151"/>
      <c r="J411" s="151"/>
      <c r="K411" s="151"/>
      <c r="L411" s="151"/>
      <c r="M411" s="151"/>
      <c r="N411" s="151"/>
      <c r="O411" s="151"/>
      <c r="P411" s="151"/>
      <c r="Q411" s="151"/>
      <c r="R411" s="151"/>
      <c r="S411" s="151"/>
      <c r="T411" s="151"/>
      <c r="U411" s="151"/>
      <c r="V411" s="151"/>
      <c r="W411" s="151"/>
      <c r="X411" s="151"/>
      <c r="Y411" s="247"/>
      <c r="Z411" s="247"/>
      <c r="AA411" s="247"/>
      <c r="AB411" s="247"/>
      <c r="AC411" s="153"/>
      <c r="AD411" s="149"/>
      <c r="AE411" s="149"/>
      <c r="AF411" s="149"/>
      <c r="AG411" s="149"/>
      <c r="AH411" s="149"/>
      <c r="AI411" s="149"/>
      <c r="AJ411" s="149"/>
      <c r="AK411" s="149"/>
      <c r="AL411" s="149"/>
      <c r="AM411" s="149"/>
      <c r="AN411" s="149"/>
      <c r="AO411" s="149"/>
    </row>
    <row r="412" spans="2:41" ht="15">
      <c r="B412" s="152" t="s">
        <v>404</v>
      </c>
      <c r="C412" s="151"/>
      <c r="D412" s="151"/>
      <c r="E412" s="151"/>
      <c r="F412" s="151"/>
      <c r="G412" s="151"/>
      <c r="H412" s="151"/>
      <c r="I412" s="151"/>
      <c r="J412" s="151"/>
      <c r="K412" s="151"/>
      <c r="L412" s="151"/>
      <c r="M412" s="151"/>
      <c r="N412" s="151"/>
      <c r="O412" s="151"/>
      <c r="P412" s="151"/>
      <c r="Q412" s="151"/>
      <c r="R412" s="151"/>
      <c r="S412" s="151"/>
      <c r="T412" s="151"/>
      <c r="U412" s="151"/>
      <c r="V412" s="151"/>
      <c r="W412" s="151"/>
      <c r="X412" s="151"/>
      <c r="Y412" s="247"/>
      <c r="Z412" s="247"/>
      <c r="AA412" s="247"/>
      <c r="AB412" s="247"/>
      <c r="AC412" s="153"/>
      <c r="AD412" s="149"/>
      <c r="AE412" s="149"/>
      <c r="AF412" s="149"/>
      <c r="AG412" s="149"/>
      <c r="AH412" s="149"/>
      <c r="AI412" s="149"/>
      <c r="AJ412" s="149"/>
      <c r="AK412" s="149"/>
      <c r="AL412" s="149"/>
      <c r="AM412" s="149"/>
      <c r="AN412" s="149"/>
      <c r="AO412" s="149"/>
    </row>
    <row r="413" spans="2:41" ht="15">
      <c r="B413" s="152" t="s">
        <v>404</v>
      </c>
      <c r="C413" s="151"/>
      <c r="D413" s="151"/>
      <c r="E413" s="151"/>
      <c r="F413" s="151"/>
      <c r="G413" s="151"/>
      <c r="H413" s="151"/>
      <c r="I413" s="151"/>
      <c r="J413" s="151"/>
      <c r="K413" s="151"/>
      <c r="L413" s="151"/>
      <c r="M413" s="151"/>
      <c r="N413" s="151"/>
      <c r="O413" s="151"/>
      <c r="P413" s="151"/>
      <c r="Q413" s="151"/>
      <c r="R413" s="151"/>
      <c r="S413" s="151"/>
      <c r="T413" s="151"/>
      <c r="U413" s="151"/>
      <c r="V413" s="151"/>
      <c r="W413" s="151"/>
      <c r="X413" s="151"/>
      <c r="Y413" s="247"/>
      <c r="Z413" s="247"/>
      <c r="AA413" s="247"/>
      <c r="AB413" s="247"/>
      <c r="AC413" s="153"/>
      <c r="AD413" s="149"/>
      <c r="AE413" s="149"/>
      <c r="AF413" s="149"/>
      <c r="AG413" s="149"/>
      <c r="AH413" s="149"/>
      <c r="AI413" s="149"/>
      <c r="AJ413" s="149"/>
      <c r="AK413" s="149"/>
      <c r="AL413" s="149"/>
      <c r="AM413" s="149"/>
      <c r="AN413" s="149"/>
      <c r="AO413" s="149"/>
    </row>
    <row r="414" spans="2:41" ht="15">
      <c r="B414" s="152" t="s">
        <v>404</v>
      </c>
      <c r="C414" s="151"/>
      <c r="D414" s="151"/>
      <c r="E414" s="151"/>
      <c r="F414" s="151"/>
      <c r="G414" s="151"/>
      <c r="H414" s="151"/>
      <c r="I414" s="151"/>
      <c r="J414" s="151"/>
      <c r="K414" s="151"/>
      <c r="L414" s="151"/>
      <c r="M414" s="151"/>
      <c r="N414" s="151"/>
      <c r="O414" s="151"/>
      <c r="P414" s="151"/>
      <c r="Q414" s="151"/>
      <c r="R414" s="151"/>
      <c r="S414" s="151"/>
      <c r="T414" s="151"/>
      <c r="U414" s="151"/>
      <c r="V414" s="151"/>
      <c r="W414" s="151"/>
      <c r="X414" s="151"/>
      <c r="Y414" s="247"/>
      <c r="Z414" s="247"/>
      <c r="AA414" s="247"/>
      <c r="AB414" s="247"/>
      <c r="AC414" s="153"/>
      <c r="AD414" s="149"/>
      <c r="AE414" s="149"/>
      <c r="AF414" s="149"/>
      <c r="AG414" s="149"/>
      <c r="AH414" s="149"/>
      <c r="AI414" s="149"/>
      <c r="AJ414" s="149"/>
      <c r="AK414" s="149"/>
      <c r="AL414" s="149"/>
      <c r="AM414" s="149"/>
      <c r="AN414" s="149"/>
      <c r="AO414" s="149"/>
    </row>
    <row r="415" spans="2:41" ht="15">
      <c r="B415" s="152" t="s">
        <v>404</v>
      </c>
      <c r="C415" s="151"/>
      <c r="D415" s="151"/>
      <c r="E415" s="151"/>
      <c r="F415" s="151"/>
      <c r="G415" s="151"/>
      <c r="H415" s="151"/>
      <c r="I415" s="151"/>
      <c r="J415" s="151"/>
      <c r="K415" s="151"/>
      <c r="L415" s="151"/>
      <c r="M415" s="151"/>
      <c r="N415" s="151"/>
      <c r="O415" s="151"/>
      <c r="P415" s="151"/>
      <c r="Q415" s="151"/>
      <c r="R415" s="151"/>
      <c r="S415" s="151"/>
      <c r="T415" s="151"/>
      <c r="U415" s="151"/>
      <c r="V415" s="151"/>
      <c r="W415" s="151"/>
      <c r="X415" s="151"/>
      <c r="Y415" s="247"/>
      <c r="Z415" s="247"/>
      <c r="AA415" s="247"/>
      <c r="AB415" s="247"/>
      <c r="AC415" s="153"/>
      <c r="AD415" s="149"/>
      <c r="AE415" s="149"/>
      <c r="AF415" s="149"/>
      <c r="AG415" s="149"/>
      <c r="AH415" s="149"/>
      <c r="AI415" s="149"/>
      <c r="AJ415" s="149"/>
      <c r="AK415" s="149"/>
      <c r="AL415" s="149"/>
      <c r="AM415" s="149"/>
      <c r="AN415" s="149"/>
      <c r="AO415" s="149"/>
    </row>
    <row r="416" spans="2:41" ht="15">
      <c r="B416" s="152" t="s">
        <v>404</v>
      </c>
      <c r="C416" s="151"/>
      <c r="D416" s="151"/>
      <c r="E416" s="151"/>
      <c r="F416" s="151"/>
      <c r="G416" s="151"/>
      <c r="H416" s="151"/>
      <c r="I416" s="151"/>
      <c r="J416" s="151"/>
      <c r="K416" s="151"/>
      <c r="L416" s="151"/>
      <c r="M416" s="151"/>
      <c r="N416" s="151"/>
      <c r="O416" s="151"/>
      <c r="P416" s="151"/>
      <c r="Q416" s="151"/>
      <c r="R416" s="151"/>
      <c r="S416" s="151"/>
      <c r="T416" s="151"/>
      <c r="U416" s="151"/>
      <c r="V416" s="151"/>
      <c r="W416" s="151"/>
      <c r="X416" s="151"/>
      <c r="Y416" s="247"/>
      <c r="Z416" s="247"/>
      <c r="AA416" s="247"/>
      <c r="AB416" s="247"/>
      <c r="AC416" s="153"/>
      <c r="AD416" s="149"/>
      <c r="AE416" s="149"/>
      <c r="AF416" s="149"/>
      <c r="AG416" s="149"/>
      <c r="AH416" s="149"/>
      <c r="AI416" s="149"/>
      <c r="AJ416" s="149"/>
      <c r="AK416" s="149"/>
      <c r="AL416" s="149"/>
      <c r="AM416" s="149"/>
      <c r="AN416" s="149"/>
      <c r="AO416" s="149"/>
    </row>
    <row r="417" spans="2:41" ht="15">
      <c r="B417" s="152" t="s">
        <v>404</v>
      </c>
      <c r="C417" s="151"/>
      <c r="D417" s="151"/>
      <c r="E417" s="151"/>
      <c r="F417" s="151"/>
      <c r="G417" s="151"/>
      <c r="H417" s="151"/>
      <c r="I417" s="151"/>
      <c r="J417" s="151"/>
      <c r="K417" s="151"/>
      <c r="L417" s="151"/>
      <c r="M417" s="151"/>
      <c r="N417" s="151"/>
      <c r="O417" s="151"/>
      <c r="P417" s="151"/>
      <c r="Q417" s="151"/>
      <c r="R417" s="151"/>
      <c r="S417" s="151"/>
      <c r="T417" s="151"/>
      <c r="U417" s="151"/>
      <c r="V417" s="151"/>
      <c r="W417" s="151"/>
      <c r="X417" s="151"/>
      <c r="Y417" s="247"/>
      <c r="Z417" s="247"/>
      <c r="AA417" s="247"/>
      <c r="AB417" s="247"/>
      <c r="AC417" s="153"/>
      <c r="AD417" s="149"/>
      <c r="AE417" s="149"/>
      <c r="AF417" s="149"/>
      <c r="AG417" s="149"/>
      <c r="AH417" s="149"/>
      <c r="AI417" s="149"/>
      <c r="AJ417" s="149"/>
      <c r="AK417" s="149"/>
      <c r="AL417" s="149"/>
      <c r="AM417" s="149"/>
      <c r="AN417" s="149"/>
      <c r="AO417" s="149"/>
    </row>
    <row r="418" spans="2:41" ht="15">
      <c r="B418" s="152" t="s">
        <v>404</v>
      </c>
      <c r="C418" s="151"/>
      <c r="D418" s="151"/>
      <c r="E418" s="151"/>
      <c r="F418" s="151"/>
      <c r="G418" s="151"/>
      <c r="H418" s="151"/>
      <c r="I418" s="151"/>
      <c r="J418" s="151"/>
      <c r="K418" s="151"/>
      <c r="L418" s="151"/>
      <c r="M418" s="151"/>
      <c r="N418" s="151"/>
      <c r="O418" s="151"/>
      <c r="P418" s="151"/>
      <c r="Q418" s="151"/>
      <c r="R418" s="151"/>
      <c r="S418" s="151"/>
      <c r="T418" s="151"/>
      <c r="U418" s="151"/>
      <c r="V418" s="151"/>
      <c r="W418" s="151"/>
      <c r="X418" s="151"/>
      <c r="Y418" s="247"/>
      <c r="Z418" s="247"/>
      <c r="AA418" s="247"/>
      <c r="AB418" s="247"/>
      <c r="AC418" s="153"/>
      <c r="AD418" s="149"/>
      <c r="AE418" s="149"/>
      <c r="AF418" s="149"/>
      <c r="AG418" s="149"/>
      <c r="AH418" s="149"/>
      <c r="AI418" s="149"/>
      <c r="AJ418" s="149"/>
      <c r="AK418" s="149"/>
      <c r="AL418" s="149"/>
      <c r="AM418" s="149"/>
      <c r="AN418" s="149"/>
      <c r="AO418" s="149"/>
    </row>
    <row r="419" spans="2:41" ht="15">
      <c r="B419" s="152" t="s">
        <v>404</v>
      </c>
      <c r="C419" s="151"/>
      <c r="D419" s="151"/>
      <c r="E419" s="151"/>
      <c r="F419" s="151"/>
      <c r="G419" s="151"/>
      <c r="H419" s="151"/>
      <c r="I419" s="151"/>
      <c r="J419" s="151"/>
      <c r="K419" s="151"/>
      <c r="L419" s="151"/>
      <c r="M419" s="151"/>
      <c r="N419" s="151"/>
      <c r="O419" s="151"/>
      <c r="P419" s="151"/>
      <c r="Q419" s="151"/>
      <c r="R419" s="151"/>
      <c r="S419" s="151"/>
      <c r="T419" s="151"/>
      <c r="U419" s="151"/>
      <c r="V419" s="151"/>
      <c r="W419" s="151"/>
      <c r="X419" s="151"/>
      <c r="Y419" s="247"/>
      <c r="Z419" s="247"/>
      <c r="AA419" s="247"/>
      <c r="AB419" s="247"/>
      <c r="AC419" s="153"/>
      <c r="AD419" s="149"/>
      <c r="AE419" s="149"/>
      <c r="AF419" s="149"/>
      <c r="AG419" s="149"/>
      <c r="AH419" s="149"/>
      <c r="AI419" s="149"/>
      <c r="AJ419" s="149"/>
      <c r="AK419" s="149"/>
      <c r="AL419" s="149"/>
      <c r="AM419" s="149"/>
      <c r="AN419" s="149"/>
      <c r="AO419" s="149"/>
    </row>
    <row r="420" spans="2:41" ht="15">
      <c r="B420" s="152" t="s">
        <v>404</v>
      </c>
      <c r="C420" s="151"/>
      <c r="D420" s="151"/>
      <c r="E420" s="151"/>
      <c r="F420" s="151"/>
      <c r="G420" s="151"/>
      <c r="H420" s="151"/>
      <c r="I420" s="151"/>
      <c r="J420" s="151"/>
      <c r="K420" s="151"/>
      <c r="L420" s="151"/>
      <c r="M420" s="151"/>
      <c r="N420" s="151"/>
      <c r="O420" s="151"/>
      <c r="P420" s="151"/>
      <c r="Q420" s="151"/>
      <c r="R420" s="151"/>
      <c r="S420" s="151"/>
      <c r="T420" s="151"/>
      <c r="U420" s="151"/>
      <c r="V420" s="151"/>
      <c r="W420" s="151"/>
      <c r="X420" s="151"/>
      <c r="Y420" s="247"/>
      <c r="Z420" s="247"/>
      <c r="AA420" s="247"/>
      <c r="AB420" s="247"/>
      <c r="AC420" s="153"/>
      <c r="AD420" s="149"/>
      <c r="AE420" s="149"/>
      <c r="AF420" s="149"/>
      <c r="AG420" s="149"/>
      <c r="AH420" s="149"/>
      <c r="AI420" s="149"/>
      <c r="AJ420" s="149"/>
      <c r="AK420" s="149"/>
      <c r="AL420" s="149"/>
      <c r="AM420" s="149"/>
      <c r="AN420" s="149"/>
      <c r="AO420" s="149"/>
    </row>
    <row r="421" spans="2:41" ht="15">
      <c r="B421" s="152" t="s">
        <v>404</v>
      </c>
      <c r="C421" s="151"/>
      <c r="D421" s="151"/>
      <c r="E421" s="151"/>
      <c r="F421" s="151"/>
      <c r="G421" s="151"/>
      <c r="H421" s="151"/>
      <c r="I421" s="151"/>
      <c r="J421" s="151"/>
      <c r="K421" s="151"/>
      <c r="L421" s="151"/>
      <c r="M421" s="151"/>
      <c r="N421" s="151"/>
      <c r="O421" s="151"/>
      <c r="P421" s="151"/>
      <c r="Q421" s="151"/>
      <c r="R421" s="151"/>
      <c r="S421" s="151"/>
      <c r="T421" s="151"/>
      <c r="U421" s="151"/>
      <c r="V421" s="151"/>
      <c r="W421" s="151"/>
      <c r="X421" s="151"/>
      <c r="Y421" s="247"/>
      <c r="Z421" s="247"/>
      <c r="AA421" s="247"/>
      <c r="AB421" s="247"/>
      <c r="AC421" s="153"/>
      <c r="AD421" s="149"/>
      <c r="AE421" s="149"/>
      <c r="AF421" s="149"/>
      <c r="AG421" s="149"/>
      <c r="AH421" s="149"/>
      <c r="AI421" s="149"/>
      <c r="AJ421" s="149"/>
      <c r="AK421" s="149"/>
      <c r="AL421" s="149"/>
      <c r="AM421" s="149"/>
      <c r="AN421" s="149"/>
      <c r="AO421" s="149"/>
    </row>
    <row r="422" spans="2:41" ht="15">
      <c r="B422" s="152" t="s">
        <v>404</v>
      </c>
      <c r="C422" s="151"/>
      <c r="D422" s="151"/>
      <c r="E422" s="151"/>
      <c r="F422" s="151"/>
      <c r="G422" s="151"/>
      <c r="H422" s="151"/>
      <c r="I422" s="151"/>
      <c r="J422" s="151"/>
      <c r="K422" s="151"/>
      <c r="L422" s="151"/>
      <c r="M422" s="151"/>
      <c r="N422" s="151"/>
      <c r="O422" s="151"/>
      <c r="P422" s="151"/>
      <c r="Q422" s="151"/>
      <c r="R422" s="151"/>
      <c r="S422" s="151"/>
      <c r="T422" s="151"/>
      <c r="U422" s="151"/>
      <c r="V422" s="151"/>
      <c r="W422" s="151"/>
      <c r="X422" s="151"/>
      <c r="Y422" s="247"/>
      <c r="Z422" s="247"/>
      <c r="AA422" s="247"/>
      <c r="AB422" s="247"/>
      <c r="AC422" s="153"/>
      <c r="AD422" s="149"/>
      <c r="AE422" s="149"/>
      <c r="AF422" s="149"/>
      <c r="AG422" s="149"/>
      <c r="AH422" s="149"/>
      <c r="AI422" s="149"/>
      <c r="AJ422" s="149"/>
      <c r="AK422" s="149"/>
      <c r="AL422" s="149"/>
      <c r="AM422" s="149"/>
      <c r="AN422" s="149"/>
      <c r="AO422" s="149"/>
    </row>
    <row r="423" spans="2:41" ht="15">
      <c r="B423" s="152" t="s">
        <v>404</v>
      </c>
      <c r="C423" s="151"/>
      <c r="D423" s="151"/>
      <c r="E423" s="151"/>
      <c r="F423" s="151"/>
      <c r="G423" s="151"/>
      <c r="H423" s="151"/>
      <c r="I423" s="151"/>
      <c r="J423" s="151"/>
      <c r="K423" s="151"/>
      <c r="L423" s="151"/>
      <c r="M423" s="151"/>
      <c r="N423" s="151"/>
      <c r="O423" s="151"/>
      <c r="P423" s="151"/>
      <c r="Q423" s="151"/>
      <c r="R423" s="151"/>
      <c r="S423" s="151"/>
      <c r="T423" s="151"/>
      <c r="U423" s="151"/>
      <c r="V423" s="151"/>
      <c r="W423" s="151"/>
      <c r="X423" s="151"/>
      <c r="Y423" s="247"/>
      <c r="Z423" s="247"/>
      <c r="AA423" s="247"/>
      <c r="AB423" s="247"/>
      <c r="AC423" s="153"/>
      <c r="AD423" s="149"/>
      <c r="AE423" s="149"/>
      <c r="AF423" s="149"/>
      <c r="AG423" s="149"/>
      <c r="AH423" s="149"/>
      <c r="AI423" s="149"/>
      <c r="AJ423" s="149"/>
      <c r="AK423" s="149"/>
      <c r="AL423" s="149"/>
      <c r="AM423" s="149"/>
      <c r="AN423" s="149"/>
      <c r="AO423" s="149"/>
    </row>
    <row r="424" spans="2:41" ht="15">
      <c r="B424" s="152" t="s">
        <v>404</v>
      </c>
      <c r="C424" s="151"/>
      <c r="D424" s="151"/>
      <c r="E424" s="151"/>
      <c r="F424" s="151"/>
      <c r="G424" s="151"/>
      <c r="H424" s="151"/>
      <c r="I424" s="151"/>
      <c r="J424" s="151"/>
      <c r="K424" s="151"/>
      <c r="L424" s="151"/>
      <c r="M424" s="151"/>
      <c r="N424" s="151"/>
      <c r="O424" s="151"/>
      <c r="P424" s="151"/>
      <c r="Q424" s="151"/>
      <c r="R424" s="151"/>
      <c r="S424" s="151"/>
      <c r="T424" s="151"/>
      <c r="U424" s="151"/>
      <c r="V424" s="151"/>
      <c r="W424" s="151"/>
      <c r="X424" s="151"/>
      <c r="Y424" s="247"/>
      <c r="Z424" s="247"/>
      <c r="AA424" s="247"/>
      <c r="AB424" s="247"/>
      <c r="AC424" s="153"/>
      <c r="AD424" s="149"/>
      <c r="AE424" s="149"/>
      <c r="AF424" s="149"/>
      <c r="AG424" s="149"/>
      <c r="AH424" s="149"/>
      <c r="AI424" s="149"/>
      <c r="AJ424" s="149"/>
      <c r="AK424" s="149"/>
      <c r="AL424" s="149"/>
      <c r="AM424" s="149"/>
      <c r="AN424" s="149"/>
      <c r="AO424" s="149"/>
    </row>
    <row r="425" spans="2:41" ht="15">
      <c r="B425" s="152" t="s">
        <v>404</v>
      </c>
      <c r="C425" s="151"/>
      <c r="D425" s="151"/>
      <c r="E425" s="151"/>
      <c r="F425" s="151"/>
      <c r="G425" s="151"/>
      <c r="H425" s="151"/>
      <c r="I425" s="151"/>
      <c r="J425" s="151"/>
      <c r="K425" s="151"/>
      <c r="L425" s="151"/>
      <c r="M425" s="151"/>
      <c r="N425" s="151"/>
      <c r="O425" s="151"/>
      <c r="P425" s="151"/>
      <c r="Q425" s="151"/>
      <c r="R425" s="151"/>
      <c r="S425" s="151"/>
      <c r="T425" s="151"/>
      <c r="U425" s="151"/>
      <c r="V425" s="151"/>
      <c r="W425" s="151"/>
      <c r="X425" s="151"/>
      <c r="Y425" s="247"/>
      <c r="Z425" s="247"/>
      <c r="AA425" s="247"/>
      <c r="AB425" s="247"/>
      <c r="AC425" s="153"/>
      <c r="AD425" s="149"/>
      <c r="AE425" s="149"/>
      <c r="AF425" s="149"/>
      <c r="AG425" s="149"/>
      <c r="AH425" s="149"/>
      <c r="AI425" s="149"/>
      <c r="AJ425" s="149"/>
      <c r="AK425" s="149"/>
      <c r="AL425" s="149"/>
      <c r="AM425" s="149"/>
      <c r="AN425" s="149"/>
      <c r="AO425" s="149"/>
    </row>
    <row r="426" spans="2:41" ht="15">
      <c r="B426" s="152" t="s">
        <v>404</v>
      </c>
      <c r="C426" s="151"/>
      <c r="D426" s="151"/>
      <c r="E426" s="151"/>
      <c r="F426" s="151"/>
      <c r="G426" s="151"/>
      <c r="H426" s="151"/>
      <c r="I426" s="151"/>
      <c r="J426" s="151"/>
      <c r="K426" s="151"/>
      <c r="L426" s="151"/>
      <c r="M426" s="151"/>
      <c r="N426" s="151"/>
      <c r="O426" s="151"/>
      <c r="P426" s="151"/>
      <c r="Q426" s="151"/>
      <c r="R426" s="151"/>
      <c r="S426" s="151"/>
      <c r="T426" s="151"/>
      <c r="U426" s="151"/>
      <c r="V426" s="151"/>
      <c r="W426" s="151"/>
      <c r="X426" s="151"/>
      <c r="Y426" s="247"/>
      <c r="Z426" s="247"/>
      <c r="AA426" s="247"/>
      <c r="AB426" s="247"/>
      <c r="AC426" s="153"/>
      <c r="AD426" s="149"/>
      <c r="AE426" s="149"/>
      <c r="AF426" s="149"/>
      <c r="AG426" s="149"/>
      <c r="AH426" s="149"/>
      <c r="AI426" s="149"/>
      <c r="AJ426" s="149"/>
      <c r="AK426" s="149"/>
      <c r="AL426" s="149"/>
      <c r="AM426" s="149"/>
      <c r="AN426" s="149"/>
      <c r="AO426" s="149"/>
    </row>
    <row r="427" spans="2:41" ht="15">
      <c r="B427" s="152" t="s">
        <v>404</v>
      </c>
      <c r="C427" s="151"/>
      <c r="D427" s="151"/>
      <c r="E427" s="151"/>
      <c r="F427" s="151"/>
      <c r="G427" s="151"/>
      <c r="H427" s="151"/>
      <c r="I427" s="151"/>
      <c r="J427" s="151"/>
      <c r="K427" s="151"/>
      <c r="L427" s="151"/>
      <c r="M427" s="151"/>
      <c r="N427" s="151"/>
      <c r="O427" s="151"/>
      <c r="P427" s="151"/>
      <c r="Q427" s="151"/>
      <c r="R427" s="151"/>
      <c r="S427" s="151"/>
      <c r="T427" s="151"/>
      <c r="U427" s="151"/>
      <c r="V427" s="151"/>
      <c r="W427" s="151"/>
      <c r="X427" s="151"/>
      <c r="Y427" s="247"/>
      <c r="Z427" s="247"/>
      <c r="AA427" s="247"/>
      <c r="AB427" s="247"/>
      <c r="AC427" s="153"/>
      <c r="AD427" s="149"/>
      <c r="AE427" s="149"/>
      <c r="AF427" s="149"/>
      <c r="AG427" s="149"/>
      <c r="AH427" s="149"/>
      <c r="AI427" s="149"/>
      <c r="AJ427" s="149"/>
      <c r="AK427" s="149"/>
      <c r="AL427" s="149"/>
      <c r="AM427" s="149"/>
      <c r="AN427" s="149"/>
      <c r="AO427" s="149"/>
    </row>
    <row r="428" spans="2:41" ht="15">
      <c r="B428" s="152" t="s">
        <v>404</v>
      </c>
      <c r="C428" s="151"/>
      <c r="D428" s="151"/>
      <c r="E428" s="151"/>
      <c r="F428" s="151"/>
      <c r="G428" s="151"/>
      <c r="H428" s="151"/>
      <c r="I428" s="151"/>
      <c r="J428" s="151"/>
      <c r="K428" s="151"/>
      <c r="L428" s="151"/>
      <c r="M428" s="151"/>
      <c r="N428" s="151"/>
      <c r="O428" s="151"/>
      <c r="P428" s="151"/>
      <c r="Q428" s="151"/>
      <c r="R428" s="151"/>
      <c r="S428" s="151"/>
      <c r="T428" s="151"/>
      <c r="U428" s="151"/>
      <c r="V428" s="151"/>
      <c r="W428" s="151"/>
      <c r="X428" s="151"/>
      <c r="Y428" s="247"/>
      <c r="Z428" s="247"/>
      <c r="AA428" s="247"/>
      <c r="AB428" s="247"/>
      <c r="AC428" s="153"/>
      <c r="AD428" s="149"/>
      <c r="AE428" s="149"/>
      <c r="AF428" s="149"/>
      <c r="AG428" s="149"/>
      <c r="AH428" s="149"/>
      <c r="AI428" s="149"/>
      <c r="AJ428" s="149"/>
      <c r="AK428" s="149"/>
      <c r="AL428" s="149"/>
      <c r="AM428" s="149"/>
      <c r="AN428" s="149"/>
      <c r="AO428" s="149"/>
    </row>
    <row r="429" spans="2:41" ht="15">
      <c r="B429" s="152" t="s">
        <v>404</v>
      </c>
      <c r="C429" s="151"/>
      <c r="D429" s="151"/>
      <c r="E429" s="151"/>
      <c r="F429" s="151"/>
      <c r="G429" s="151"/>
      <c r="H429" s="151"/>
      <c r="I429" s="151"/>
      <c r="J429" s="151"/>
      <c r="K429" s="151"/>
      <c r="L429" s="151"/>
      <c r="M429" s="151"/>
      <c r="N429" s="151"/>
      <c r="O429" s="151"/>
      <c r="P429" s="151"/>
      <c r="Q429" s="151"/>
      <c r="R429" s="151"/>
      <c r="S429" s="151"/>
      <c r="T429" s="151"/>
      <c r="U429" s="151"/>
      <c r="V429" s="151"/>
      <c r="W429" s="151"/>
      <c r="X429" s="151"/>
      <c r="Y429" s="247"/>
      <c r="Z429" s="247"/>
      <c r="AA429" s="247"/>
      <c r="AB429" s="247"/>
      <c r="AC429" s="153"/>
      <c r="AD429" s="149"/>
      <c r="AE429" s="149"/>
      <c r="AF429" s="149"/>
      <c r="AG429" s="149"/>
      <c r="AH429" s="149"/>
      <c r="AI429" s="149"/>
      <c r="AJ429" s="149"/>
      <c r="AK429" s="149"/>
      <c r="AL429" s="149"/>
      <c r="AM429" s="149"/>
      <c r="AN429" s="149"/>
      <c r="AO429" s="149"/>
    </row>
    <row r="430" spans="2:41" ht="15">
      <c r="B430" s="152" t="s">
        <v>404</v>
      </c>
      <c r="C430" s="151"/>
      <c r="D430" s="151"/>
      <c r="E430" s="151"/>
      <c r="F430" s="151"/>
      <c r="G430" s="151"/>
      <c r="H430" s="151"/>
      <c r="I430" s="151"/>
      <c r="J430" s="151"/>
      <c r="K430" s="151"/>
      <c r="L430" s="151"/>
      <c r="M430" s="151"/>
      <c r="N430" s="151"/>
      <c r="O430" s="151"/>
      <c r="P430" s="151"/>
      <c r="Q430" s="151"/>
      <c r="R430" s="151"/>
      <c r="S430" s="151"/>
      <c r="T430" s="151"/>
      <c r="U430" s="151"/>
      <c r="V430" s="151"/>
      <c r="W430" s="151"/>
      <c r="X430" s="151"/>
      <c r="Y430" s="247"/>
      <c r="Z430" s="247"/>
      <c r="AA430" s="247"/>
      <c r="AB430" s="247"/>
      <c r="AC430" s="153"/>
      <c r="AD430" s="149"/>
      <c r="AE430" s="149"/>
      <c r="AF430" s="149"/>
      <c r="AG430" s="149"/>
      <c r="AH430" s="149"/>
      <c r="AI430" s="149"/>
      <c r="AJ430" s="149"/>
      <c r="AK430" s="149"/>
      <c r="AL430" s="149"/>
      <c r="AM430" s="149"/>
      <c r="AN430" s="149"/>
      <c r="AO430" s="149"/>
    </row>
    <row r="431" spans="2:41" ht="15">
      <c r="B431" s="152" t="s">
        <v>404</v>
      </c>
      <c r="C431" s="151"/>
      <c r="D431" s="151"/>
      <c r="E431" s="151"/>
      <c r="F431" s="151"/>
      <c r="G431" s="151"/>
      <c r="H431" s="151"/>
      <c r="I431" s="151"/>
      <c r="J431" s="151"/>
      <c r="K431" s="151"/>
      <c r="L431" s="151"/>
      <c r="M431" s="151"/>
      <c r="N431" s="151"/>
      <c r="O431" s="151"/>
      <c r="P431" s="151"/>
      <c r="Q431" s="151"/>
      <c r="R431" s="151"/>
      <c r="S431" s="151"/>
      <c r="T431" s="151"/>
      <c r="U431" s="151"/>
      <c r="V431" s="151"/>
      <c r="W431" s="151"/>
      <c r="X431" s="151"/>
      <c r="Y431" s="247"/>
      <c r="Z431" s="247"/>
      <c r="AA431" s="247"/>
      <c r="AB431" s="247"/>
      <c r="AC431" s="153"/>
      <c r="AD431" s="149"/>
      <c r="AE431" s="149"/>
      <c r="AF431" s="149"/>
      <c r="AG431" s="149"/>
      <c r="AH431" s="149"/>
      <c r="AI431" s="149"/>
      <c r="AJ431" s="149"/>
      <c r="AK431" s="149"/>
      <c r="AL431" s="149"/>
      <c r="AM431" s="149"/>
      <c r="AN431" s="149"/>
      <c r="AO431" s="149"/>
    </row>
    <row r="432" spans="2:41" ht="15">
      <c r="B432" s="152" t="s">
        <v>404</v>
      </c>
      <c r="C432" s="151"/>
      <c r="D432" s="151"/>
      <c r="E432" s="151"/>
      <c r="F432" s="151"/>
      <c r="G432" s="151"/>
      <c r="H432" s="151"/>
      <c r="I432" s="151"/>
      <c r="J432" s="151"/>
      <c r="K432" s="151"/>
      <c r="L432" s="151"/>
      <c r="M432" s="151"/>
      <c r="N432" s="151"/>
      <c r="O432" s="151"/>
      <c r="P432" s="151"/>
      <c r="Q432" s="151"/>
      <c r="R432" s="151"/>
      <c r="S432" s="151"/>
      <c r="T432" s="151"/>
      <c r="U432" s="151"/>
      <c r="V432" s="151"/>
      <c r="W432" s="151"/>
      <c r="X432" s="151"/>
      <c r="Y432" s="247"/>
      <c r="Z432" s="247"/>
      <c r="AA432" s="247"/>
      <c r="AB432" s="247"/>
      <c r="AC432" s="153"/>
      <c r="AD432" s="149"/>
      <c r="AE432" s="149"/>
      <c r="AF432" s="149"/>
      <c r="AG432" s="149"/>
      <c r="AH432" s="149"/>
      <c r="AI432" s="149"/>
      <c r="AJ432" s="149"/>
      <c r="AK432" s="149"/>
      <c r="AL432" s="149"/>
      <c r="AM432" s="149"/>
      <c r="AN432" s="149"/>
      <c r="AO432" s="149"/>
    </row>
    <row r="433" spans="2:41" ht="15">
      <c r="B433" s="152" t="s">
        <v>404</v>
      </c>
      <c r="C433" s="151"/>
      <c r="D433" s="151"/>
      <c r="E433" s="151"/>
      <c r="F433" s="151"/>
      <c r="G433" s="151"/>
      <c r="H433" s="151"/>
      <c r="I433" s="151"/>
      <c r="J433" s="151"/>
      <c r="K433" s="151"/>
      <c r="L433" s="151"/>
      <c r="M433" s="151"/>
      <c r="N433" s="151"/>
      <c r="O433" s="151"/>
      <c r="P433" s="151"/>
      <c r="Q433" s="151"/>
      <c r="R433" s="151"/>
      <c r="S433" s="151"/>
      <c r="T433" s="151"/>
      <c r="U433" s="151"/>
      <c r="V433" s="151"/>
      <c r="W433" s="151"/>
      <c r="X433" s="151"/>
      <c r="Y433" s="247"/>
      <c r="Z433" s="247"/>
      <c r="AA433" s="247"/>
      <c r="AB433" s="247"/>
      <c r="AC433" s="153"/>
      <c r="AD433" s="149"/>
      <c r="AE433" s="149"/>
      <c r="AF433" s="149"/>
      <c r="AG433" s="149"/>
      <c r="AH433" s="149"/>
      <c r="AI433" s="149"/>
      <c r="AJ433" s="149"/>
      <c r="AK433" s="149"/>
      <c r="AL433" s="149"/>
      <c r="AM433" s="149"/>
      <c r="AN433" s="149"/>
      <c r="AO433" s="149"/>
    </row>
    <row r="434" spans="2:41" ht="15">
      <c r="B434" s="152" t="s">
        <v>404</v>
      </c>
      <c r="C434" s="151"/>
      <c r="D434" s="151"/>
      <c r="E434" s="151"/>
      <c r="F434" s="151"/>
      <c r="G434" s="151"/>
      <c r="H434" s="151"/>
      <c r="I434" s="151"/>
      <c r="J434" s="151"/>
      <c r="K434" s="151"/>
      <c r="L434" s="151"/>
      <c r="M434" s="151"/>
      <c r="N434" s="151"/>
      <c r="O434" s="151"/>
      <c r="P434" s="151"/>
      <c r="Q434" s="151"/>
      <c r="R434" s="151"/>
      <c r="S434" s="151"/>
      <c r="T434" s="151"/>
      <c r="U434" s="151"/>
      <c r="V434" s="151"/>
      <c r="W434" s="151"/>
      <c r="X434" s="151"/>
      <c r="Y434" s="247"/>
      <c r="Z434" s="247"/>
      <c r="AA434" s="247"/>
      <c r="AB434" s="247"/>
      <c r="AC434" s="153"/>
      <c r="AD434" s="149"/>
      <c r="AE434" s="149"/>
      <c r="AF434" s="149"/>
      <c r="AG434" s="149"/>
      <c r="AH434" s="149"/>
      <c r="AI434" s="149"/>
      <c r="AJ434" s="149"/>
      <c r="AK434" s="149"/>
      <c r="AL434" s="149"/>
      <c r="AM434" s="149"/>
      <c r="AN434" s="149"/>
      <c r="AO434" s="149"/>
    </row>
    <row r="435" spans="2:41" ht="15">
      <c r="B435" s="152" t="s">
        <v>404</v>
      </c>
      <c r="C435" s="151"/>
      <c r="D435" s="151"/>
      <c r="E435" s="151"/>
      <c r="F435" s="151"/>
      <c r="G435" s="151"/>
      <c r="H435" s="151"/>
      <c r="I435" s="151"/>
      <c r="J435" s="151"/>
      <c r="K435" s="151"/>
      <c r="L435" s="151"/>
      <c r="M435" s="151"/>
      <c r="N435" s="151"/>
      <c r="O435" s="151"/>
      <c r="P435" s="151"/>
      <c r="Q435" s="151"/>
      <c r="R435" s="151"/>
      <c r="S435" s="151"/>
      <c r="T435" s="151"/>
      <c r="U435" s="151"/>
      <c r="V435" s="151"/>
      <c r="W435" s="151"/>
      <c r="X435" s="151"/>
      <c r="Y435" s="247"/>
      <c r="Z435" s="247"/>
      <c r="AA435" s="247"/>
      <c r="AB435" s="247"/>
      <c r="AC435" s="153"/>
      <c r="AD435" s="149"/>
      <c r="AE435" s="149"/>
      <c r="AF435" s="149"/>
      <c r="AG435" s="149"/>
      <c r="AH435" s="149"/>
      <c r="AI435" s="149"/>
      <c r="AJ435" s="149"/>
      <c r="AK435" s="149"/>
      <c r="AL435" s="149"/>
      <c r="AM435" s="149"/>
      <c r="AN435" s="149"/>
      <c r="AO435" s="149"/>
    </row>
    <row r="436" spans="2:41" ht="15">
      <c r="B436" s="152" t="s">
        <v>404</v>
      </c>
      <c r="C436" s="151"/>
      <c r="D436" s="151"/>
      <c r="E436" s="151"/>
      <c r="F436" s="151"/>
      <c r="G436" s="151"/>
      <c r="H436" s="151"/>
      <c r="I436" s="151"/>
      <c r="J436" s="151"/>
      <c r="K436" s="151"/>
      <c r="L436" s="151"/>
      <c r="M436" s="151"/>
      <c r="N436" s="151"/>
      <c r="O436" s="151"/>
      <c r="P436" s="151"/>
      <c r="Q436" s="151"/>
      <c r="R436" s="151"/>
      <c r="S436" s="151"/>
      <c r="T436" s="151"/>
      <c r="U436" s="151"/>
      <c r="V436" s="151"/>
      <c r="W436" s="151"/>
      <c r="X436" s="151"/>
      <c r="Y436" s="247"/>
      <c r="Z436" s="247"/>
      <c r="AA436" s="247"/>
      <c r="AB436" s="247"/>
      <c r="AC436" s="153"/>
      <c r="AD436" s="149"/>
      <c r="AE436" s="149"/>
      <c r="AF436" s="149"/>
      <c r="AG436" s="149"/>
      <c r="AH436" s="149"/>
      <c r="AI436" s="149"/>
      <c r="AJ436" s="149"/>
      <c r="AK436" s="149"/>
      <c r="AL436" s="149"/>
      <c r="AM436" s="149"/>
      <c r="AN436" s="149"/>
      <c r="AO436" s="149"/>
    </row>
    <row r="437" spans="2:41" ht="15">
      <c r="B437" s="152" t="s">
        <v>404</v>
      </c>
      <c r="C437" s="151"/>
      <c r="D437" s="151"/>
      <c r="E437" s="151"/>
      <c r="F437" s="151"/>
      <c r="G437" s="151"/>
      <c r="H437" s="151"/>
      <c r="I437" s="151"/>
      <c r="J437" s="151"/>
      <c r="K437" s="151"/>
      <c r="L437" s="151"/>
      <c r="M437" s="151"/>
      <c r="N437" s="151"/>
      <c r="O437" s="151"/>
      <c r="P437" s="151"/>
      <c r="Q437" s="151"/>
      <c r="R437" s="151"/>
      <c r="S437" s="151"/>
      <c r="T437" s="151"/>
      <c r="U437" s="151"/>
      <c r="V437" s="151"/>
      <c r="W437" s="151"/>
      <c r="X437" s="151"/>
      <c r="Y437" s="247"/>
      <c r="Z437" s="247"/>
      <c r="AA437" s="247"/>
      <c r="AB437" s="247"/>
      <c r="AC437" s="153"/>
      <c r="AD437" s="149"/>
      <c r="AE437" s="149"/>
      <c r="AF437" s="149"/>
      <c r="AG437" s="149"/>
      <c r="AH437" s="149"/>
      <c r="AI437" s="149"/>
      <c r="AJ437" s="149"/>
      <c r="AK437" s="149"/>
      <c r="AL437" s="149"/>
      <c r="AM437" s="149"/>
      <c r="AN437" s="149"/>
      <c r="AO437" s="149"/>
    </row>
    <row r="438" spans="2:41" ht="15">
      <c r="B438" s="152" t="s">
        <v>404</v>
      </c>
      <c r="C438" s="151"/>
      <c r="D438" s="151"/>
      <c r="E438" s="151"/>
      <c r="F438" s="151"/>
      <c r="G438" s="151"/>
      <c r="H438" s="151"/>
      <c r="I438" s="151"/>
      <c r="J438" s="151"/>
      <c r="K438" s="151"/>
      <c r="L438" s="151"/>
      <c r="M438" s="151"/>
      <c r="N438" s="151"/>
      <c r="O438" s="151"/>
      <c r="P438" s="151"/>
      <c r="Q438" s="151"/>
      <c r="R438" s="151"/>
      <c r="S438" s="151"/>
      <c r="T438" s="151"/>
      <c r="U438" s="151"/>
      <c r="V438" s="151"/>
      <c r="W438" s="151"/>
      <c r="X438" s="151"/>
      <c r="Y438" s="247"/>
      <c r="Z438" s="247"/>
      <c r="AA438" s="247"/>
      <c r="AB438" s="247"/>
      <c r="AC438" s="153"/>
      <c r="AD438" s="149"/>
      <c r="AE438" s="149"/>
      <c r="AF438" s="149"/>
      <c r="AG438" s="149"/>
      <c r="AH438" s="149"/>
      <c r="AI438" s="149"/>
      <c r="AJ438" s="149"/>
      <c r="AK438" s="149"/>
      <c r="AL438" s="149"/>
      <c r="AM438" s="149"/>
      <c r="AN438" s="149"/>
      <c r="AO438" s="149"/>
    </row>
    <row r="439" spans="2:41" ht="15">
      <c r="B439" s="152" t="s">
        <v>404</v>
      </c>
      <c r="C439" s="151"/>
      <c r="D439" s="151"/>
      <c r="E439" s="151"/>
      <c r="F439" s="151"/>
      <c r="G439" s="151"/>
      <c r="H439" s="151"/>
      <c r="I439" s="151"/>
      <c r="J439" s="151"/>
      <c r="K439" s="151"/>
      <c r="L439" s="151"/>
      <c r="M439" s="151"/>
      <c r="N439" s="151"/>
      <c r="O439" s="151"/>
      <c r="P439" s="151"/>
      <c r="Q439" s="151"/>
      <c r="R439" s="151"/>
      <c r="S439" s="151"/>
      <c r="T439" s="151"/>
      <c r="U439" s="151"/>
      <c r="V439" s="151"/>
      <c r="W439" s="151"/>
      <c r="X439" s="151"/>
      <c r="Y439" s="247"/>
      <c r="Z439" s="247"/>
      <c r="AA439" s="247"/>
      <c r="AB439" s="247"/>
      <c r="AC439" s="153"/>
      <c r="AD439" s="149"/>
      <c r="AE439" s="149"/>
      <c r="AF439" s="149"/>
      <c r="AG439" s="149"/>
      <c r="AH439" s="149"/>
      <c r="AI439" s="149"/>
      <c r="AJ439" s="149"/>
      <c r="AK439" s="149"/>
      <c r="AL439" s="149"/>
      <c r="AM439" s="149"/>
      <c r="AN439" s="149"/>
      <c r="AO439" s="149"/>
    </row>
    <row r="440" spans="2:41" ht="15">
      <c r="B440" s="152" t="s">
        <v>404</v>
      </c>
      <c r="C440" s="151"/>
      <c r="D440" s="151"/>
      <c r="E440" s="151"/>
      <c r="F440" s="151"/>
      <c r="G440" s="151"/>
      <c r="H440" s="151"/>
      <c r="I440" s="151"/>
      <c r="J440" s="151"/>
      <c r="K440" s="151"/>
      <c r="L440" s="151"/>
      <c r="M440" s="151"/>
      <c r="N440" s="151"/>
      <c r="O440" s="151"/>
      <c r="P440" s="151"/>
      <c r="Q440" s="151"/>
      <c r="R440" s="151"/>
      <c r="S440" s="151"/>
      <c r="T440" s="151"/>
      <c r="U440" s="151"/>
      <c r="V440" s="151"/>
      <c r="W440" s="151"/>
      <c r="X440" s="151"/>
      <c r="Y440" s="247"/>
      <c r="Z440" s="247"/>
      <c r="AA440" s="247"/>
      <c r="AB440" s="247"/>
      <c r="AC440" s="153"/>
      <c r="AD440" s="149"/>
      <c r="AE440" s="149"/>
      <c r="AF440" s="149"/>
      <c r="AG440" s="149"/>
      <c r="AH440" s="149"/>
      <c r="AI440" s="149"/>
      <c r="AJ440" s="149"/>
      <c r="AK440" s="149"/>
      <c r="AL440" s="149"/>
      <c r="AM440" s="149"/>
      <c r="AN440" s="149"/>
      <c r="AO440" s="149"/>
    </row>
    <row r="441" spans="2:41" ht="15">
      <c r="B441" s="152" t="s">
        <v>404</v>
      </c>
      <c r="C441" s="151"/>
      <c r="D441" s="151"/>
      <c r="E441" s="151"/>
      <c r="F441" s="151"/>
      <c r="G441" s="151"/>
      <c r="H441" s="151"/>
      <c r="I441" s="151"/>
      <c r="J441" s="151"/>
      <c r="K441" s="151"/>
      <c r="L441" s="151"/>
      <c r="M441" s="151"/>
      <c r="N441" s="151"/>
      <c r="O441" s="151"/>
      <c r="P441" s="151"/>
      <c r="Q441" s="151"/>
      <c r="R441" s="151"/>
      <c r="S441" s="151"/>
      <c r="T441" s="151"/>
      <c r="U441" s="151"/>
      <c r="V441" s="151"/>
      <c r="W441" s="151"/>
      <c r="X441" s="151"/>
      <c r="Y441" s="247"/>
      <c r="Z441" s="247"/>
      <c r="AA441" s="247"/>
      <c r="AB441" s="247"/>
      <c r="AC441" s="153"/>
      <c r="AD441" s="149"/>
      <c r="AE441" s="149"/>
      <c r="AF441" s="149"/>
      <c r="AG441" s="149"/>
      <c r="AH441" s="149"/>
      <c r="AI441" s="149"/>
      <c r="AJ441" s="149"/>
      <c r="AK441" s="149"/>
      <c r="AL441" s="149"/>
      <c r="AM441" s="149"/>
      <c r="AN441" s="149"/>
      <c r="AO441" s="149"/>
    </row>
    <row r="442" spans="2:41" ht="15">
      <c r="B442" s="152" t="s">
        <v>404</v>
      </c>
      <c r="C442" s="151"/>
      <c r="D442" s="151"/>
      <c r="E442" s="151"/>
      <c r="F442" s="151"/>
      <c r="G442" s="151"/>
      <c r="H442" s="151"/>
      <c r="I442" s="151"/>
      <c r="J442" s="151"/>
      <c r="K442" s="151"/>
      <c r="L442" s="151"/>
      <c r="M442" s="151"/>
      <c r="N442" s="151"/>
      <c r="O442" s="151"/>
      <c r="P442" s="151"/>
      <c r="Q442" s="151"/>
      <c r="R442" s="151"/>
      <c r="S442" s="151"/>
      <c r="T442" s="151"/>
      <c r="U442" s="151"/>
      <c r="V442" s="151"/>
      <c r="W442" s="151"/>
      <c r="X442" s="151"/>
      <c r="Y442" s="247"/>
      <c r="Z442" s="247"/>
      <c r="AA442" s="247"/>
      <c r="AB442" s="247"/>
      <c r="AC442" s="153"/>
      <c r="AD442" s="149"/>
      <c r="AE442" s="149"/>
      <c r="AF442" s="149"/>
      <c r="AG442" s="149"/>
      <c r="AH442" s="149"/>
      <c r="AI442" s="149"/>
      <c r="AJ442" s="149"/>
      <c r="AK442" s="149"/>
      <c r="AL442" s="149"/>
      <c r="AM442" s="149"/>
      <c r="AN442" s="149"/>
      <c r="AO442" s="149"/>
    </row>
    <row r="443" spans="2:41" ht="15">
      <c r="B443" s="152" t="s">
        <v>404</v>
      </c>
      <c r="C443" s="151"/>
      <c r="D443" s="151"/>
      <c r="E443" s="151"/>
      <c r="F443" s="151"/>
      <c r="G443" s="151"/>
      <c r="H443" s="151"/>
      <c r="I443" s="151"/>
      <c r="J443" s="151"/>
      <c r="K443" s="151"/>
      <c r="L443" s="151"/>
      <c r="M443" s="151"/>
      <c r="N443" s="151"/>
      <c r="O443" s="151"/>
      <c r="P443" s="151"/>
      <c r="Q443" s="151"/>
      <c r="R443" s="151"/>
      <c r="S443" s="151"/>
      <c r="T443" s="151"/>
      <c r="U443" s="151"/>
      <c r="V443" s="151"/>
      <c r="W443" s="151"/>
      <c r="X443" s="151"/>
      <c r="Y443" s="247"/>
      <c r="Z443" s="247"/>
      <c r="AA443" s="247"/>
      <c r="AB443" s="247"/>
      <c r="AC443" s="153"/>
      <c r="AD443" s="149"/>
      <c r="AE443" s="149"/>
      <c r="AF443" s="149"/>
      <c r="AG443" s="149"/>
      <c r="AH443" s="149"/>
      <c r="AI443" s="149"/>
      <c r="AJ443" s="149"/>
      <c r="AK443" s="149"/>
      <c r="AL443" s="149"/>
      <c r="AM443" s="149"/>
      <c r="AN443" s="149"/>
      <c r="AO443" s="149"/>
    </row>
    <row r="444" spans="2:41" ht="15">
      <c r="B444" s="152" t="s">
        <v>404</v>
      </c>
      <c r="C444" s="151"/>
      <c r="D444" s="151"/>
      <c r="E444" s="151"/>
      <c r="F444" s="151"/>
      <c r="G444" s="151"/>
      <c r="H444" s="151"/>
      <c r="I444" s="151"/>
      <c r="J444" s="151"/>
      <c r="K444" s="151"/>
      <c r="L444" s="151"/>
      <c r="M444" s="151"/>
      <c r="N444" s="151"/>
      <c r="O444" s="151"/>
      <c r="P444" s="151"/>
      <c r="Q444" s="151"/>
      <c r="R444" s="151"/>
      <c r="S444" s="151"/>
      <c r="T444" s="151"/>
      <c r="U444" s="151"/>
      <c r="V444" s="151"/>
      <c r="W444" s="151"/>
      <c r="X444" s="151"/>
      <c r="Y444" s="247"/>
      <c r="Z444" s="247"/>
      <c r="AA444" s="247"/>
      <c r="AB444" s="247"/>
      <c r="AC444" s="153"/>
      <c r="AD444" s="149"/>
      <c r="AE444" s="149"/>
      <c r="AF444" s="149"/>
      <c r="AG444" s="149"/>
      <c r="AH444" s="149"/>
      <c r="AI444" s="149"/>
      <c r="AJ444" s="149"/>
      <c r="AK444" s="149"/>
      <c r="AL444" s="149"/>
      <c r="AM444" s="149"/>
      <c r="AN444" s="149"/>
      <c r="AO444" s="149"/>
    </row>
    <row r="445" spans="2:41" ht="15">
      <c r="B445" s="152" t="s">
        <v>404</v>
      </c>
      <c r="C445" s="151"/>
      <c r="D445" s="151"/>
      <c r="E445" s="151"/>
      <c r="F445" s="151"/>
      <c r="G445" s="151"/>
      <c r="H445" s="151"/>
      <c r="I445" s="151"/>
      <c r="J445" s="151"/>
      <c r="K445" s="151"/>
      <c r="L445" s="151"/>
      <c r="M445" s="151"/>
      <c r="N445" s="151"/>
      <c r="O445" s="151"/>
      <c r="P445" s="151"/>
      <c r="Q445" s="151"/>
      <c r="R445" s="151"/>
      <c r="S445" s="151"/>
      <c r="T445" s="151"/>
      <c r="U445" s="151"/>
      <c r="V445" s="151"/>
      <c r="W445" s="151"/>
      <c r="X445" s="151"/>
      <c r="Y445" s="247"/>
      <c r="Z445" s="247"/>
      <c r="AA445" s="247"/>
      <c r="AB445" s="247"/>
      <c r="AC445" s="153"/>
      <c r="AD445" s="149"/>
      <c r="AE445" s="149"/>
      <c r="AF445" s="149"/>
      <c r="AG445" s="149"/>
      <c r="AH445" s="149"/>
      <c r="AI445" s="149"/>
      <c r="AJ445" s="149"/>
      <c r="AK445" s="149"/>
      <c r="AL445" s="149"/>
      <c r="AM445" s="149"/>
      <c r="AN445" s="149"/>
      <c r="AO445" s="149"/>
    </row>
    <row r="446" spans="2:41" ht="15">
      <c r="B446" s="152" t="s">
        <v>404</v>
      </c>
      <c r="C446" s="151"/>
      <c r="D446" s="151"/>
      <c r="E446" s="151"/>
      <c r="F446" s="151"/>
      <c r="G446" s="151"/>
      <c r="H446" s="151"/>
      <c r="I446" s="151"/>
      <c r="J446" s="151"/>
      <c r="K446" s="151"/>
      <c r="L446" s="151"/>
      <c r="M446" s="151"/>
      <c r="N446" s="151"/>
      <c r="O446" s="151"/>
      <c r="P446" s="151"/>
      <c r="Q446" s="151"/>
      <c r="R446" s="151"/>
      <c r="S446" s="151"/>
      <c r="T446" s="151"/>
      <c r="U446" s="151"/>
      <c r="V446" s="151"/>
      <c r="W446" s="151"/>
      <c r="X446" s="151"/>
      <c r="Y446" s="247"/>
      <c r="Z446" s="247"/>
      <c r="AA446" s="247"/>
      <c r="AB446" s="247"/>
      <c r="AC446" s="153"/>
      <c r="AD446" s="149"/>
      <c r="AE446" s="149"/>
      <c r="AF446" s="149"/>
      <c r="AG446" s="149"/>
      <c r="AH446" s="149"/>
      <c r="AI446" s="149"/>
      <c r="AJ446" s="149"/>
      <c r="AK446" s="149"/>
      <c r="AL446" s="149"/>
      <c r="AM446" s="149"/>
      <c r="AN446" s="149"/>
      <c r="AO446" s="149"/>
    </row>
    <row r="447" spans="2:41" ht="15">
      <c r="B447" s="152" t="s">
        <v>404</v>
      </c>
      <c r="C447" s="151"/>
      <c r="D447" s="151"/>
      <c r="E447" s="151"/>
      <c r="F447" s="151"/>
      <c r="G447" s="151"/>
      <c r="H447" s="151"/>
      <c r="I447" s="151"/>
      <c r="J447" s="151"/>
      <c r="K447" s="151"/>
      <c r="L447" s="151"/>
      <c r="M447" s="151"/>
      <c r="N447" s="151"/>
      <c r="O447" s="151"/>
      <c r="P447" s="151"/>
      <c r="Q447" s="151"/>
      <c r="R447" s="151"/>
      <c r="S447" s="151"/>
      <c r="T447" s="151"/>
      <c r="U447" s="151"/>
      <c r="V447" s="151"/>
      <c r="W447" s="151"/>
      <c r="X447" s="151"/>
      <c r="Y447" s="247"/>
      <c r="Z447" s="247"/>
      <c r="AA447" s="247"/>
      <c r="AB447" s="247"/>
      <c r="AC447" s="153"/>
      <c r="AD447" s="149"/>
      <c r="AE447" s="149"/>
      <c r="AF447" s="149"/>
      <c r="AG447" s="149"/>
      <c r="AH447" s="149"/>
      <c r="AI447" s="149"/>
      <c r="AJ447" s="149"/>
      <c r="AK447" s="149"/>
      <c r="AL447" s="149"/>
      <c r="AM447" s="149"/>
      <c r="AN447" s="149"/>
      <c r="AO447" s="149"/>
    </row>
    <row r="448" spans="2:41" ht="15">
      <c r="B448" s="152" t="s">
        <v>404</v>
      </c>
      <c r="C448" s="151"/>
      <c r="D448" s="151"/>
      <c r="E448" s="151"/>
      <c r="F448" s="151"/>
      <c r="G448" s="151"/>
      <c r="H448" s="151"/>
      <c r="I448" s="151"/>
      <c r="J448" s="151"/>
      <c r="K448" s="151"/>
      <c r="L448" s="151"/>
      <c r="M448" s="151"/>
      <c r="N448" s="151"/>
      <c r="O448" s="151"/>
      <c r="P448" s="151"/>
      <c r="Q448" s="151"/>
      <c r="R448" s="151"/>
      <c r="S448" s="151"/>
      <c r="T448" s="151"/>
      <c r="U448" s="151"/>
      <c r="V448" s="151"/>
      <c r="W448" s="151"/>
      <c r="X448" s="151"/>
      <c r="Y448" s="247"/>
      <c r="Z448" s="247"/>
      <c r="AA448" s="247"/>
      <c r="AB448" s="247"/>
      <c r="AC448" s="153"/>
      <c r="AD448" s="149"/>
      <c r="AE448" s="149"/>
      <c r="AF448" s="149"/>
      <c r="AG448" s="149"/>
      <c r="AH448" s="149"/>
      <c r="AI448" s="149"/>
      <c r="AJ448" s="149"/>
      <c r="AK448" s="149"/>
      <c r="AL448" s="149"/>
      <c r="AM448" s="149"/>
      <c r="AN448" s="149"/>
      <c r="AO448" s="149"/>
    </row>
    <row r="449" spans="2:41" ht="15">
      <c r="B449" s="152" t="s">
        <v>404</v>
      </c>
      <c r="C449" s="151"/>
      <c r="D449" s="151"/>
      <c r="E449" s="151"/>
      <c r="F449" s="151"/>
      <c r="G449" s="151"/>
      <c r="H449" s="151"/>
      <c r="I449" s="151"/>
      <c r="J449" s="151"/>
      <c r="K449" s="151"/>
      <c r="L449" s="151"/>
      <c r="M449" s="151"/>
      <c r="N449" s="151"/>
      <c r="O449" s="151"/>
      <c r="P449" s="151"/>
      <c r="Q449" s="151"/>
      <c r="R449" s="151"/>
      <c r="S449" s="151"/>
      <c r="T449" s="151"/>
      <c r="U449" s="151"/>
      <c r="V449" s="151"/>
      <c r="W449" s="151"/>
      <c r="X449" s="151"/>
      <c r="Y449" s="247"/>
      <c r="Z449" s="247"/>
      <c r="AA449" s="247"/>
      <c r="AB449" s="247"/>
      <c r="AC449" s="153"/>
      <c r="AD449" s="149"/>
      <c r="AE449" s="149"/>
      <c r="AF449" s="149"/>
      <c r="AG449" s="149"/>
      <c r="AH449" s="149"/>
      <c r="AI449" s="149"/>
      <c r="AJ449" s="149"/>
      <c r="AK449" s="149"/>
      <c r="AL449" s="149"/>
      <c r="AM449" s="149"/>
      <c r="AN449" s="149"/>
      <c r="AO449" s="149"/>
    </row>
    <row r="450" spans="2:41" ht="15">
      <c r="B450" s="152" t="s">
        <v>404</v>
      </c>
      <c r="C450" s="151"/>
      <c r="D450" s="151"/>
      <c r="E450" s="151"/>
      <c r="F450" s="151"/>
      <c r="G450" s="151"/>
      <c r="H450" s="151"/>
      <c r="I450" s="151"/>
      <c r="J450" s="151"/>
      <c r="K450" s="151"/>
      <c r="L450" s="151"/>
      <c r="M450" s="151"/>
      <c r="N450" s="151"/>
      <c r="O450" s="151"/>
      <c r="P450" s="151"/>
      <c r="Q450" s="151"/>
      <c r="R450" s="151"/>
      <c r="S450" s="151"/>
      <c r="T450" s="151"/>
      <c r="U450" s="151"/>
      <c r="V450" s="151"/>
      <c r="W450" s="151"/>
      <c r="X450" s="151"/>
      <c r="Y450" s="247"/>
      <c r="Z450" s="247"/>
      <c r="AA450" s="247"/>
      <c r="AB450" s="247"/>
      <c r="AC450" s="153"/>
      <c r="AD450" s="149"/>
      <c r="AE450" s="149"/>
      <c r="AF450" s="149"/>
      <c r="AG450" s="149"/>
      <c r="AH450" s="149"/>
      <c r="AI450" s="149"/>
      <c r="AJ450" s="149"/>
      <c r="AK450" s="149"/>
      <c r="AL450" s="149"/>
      <c r="AM450" s="149"/>
      <c r="AN450" s="149"/>
      <c r="AO450" s="149"/>
    </row>
    <row r="451" spans="2:41" ht="15">
      <c r="B451" s="152" t="s">
        <v>404</v>
      </c>
      <c r="C451" s="151"/>
      <c r="D451" s="151"/>
      <c r="E451" s="151"/>
      <c r="F451" s="151"/>
      <c r="G451" s="151"/>
      <c r="H451" s="151"/>
      <c r="I451" s="151"/>
      <c r="J451" s="151"/>
      <c r="K451" s="151"/>
      <c r="L451" s="151"/>
      <c r="M451" s="151"/>
      <c r="N451" s="151"/>
      <c r="O451" s="151"/>
      <c r="P451" s="151"/>
      <c r="Q451" s="151"/>
      <c r="R451" s="151"/>
      <c r="S451" s="151"/>
      <c r="T451" s="151"/>
      <c r="U451" s="151"/>
      <c r="V451" s="151"/>
      <c r="W451" s="151"/>
      <c r="X451" s="151"/>
      <c r="Y451" s="247"/>
      <c r="Z451" s="247"/>
      <c r="AA451" s="247"/>
      <c r="AB451" s="247"/>
      <c r="AC451" s="153"/>
      <c r="AD451" s="149"/>
      <c r="AE451" s="149"/>
      <c r="AF451" s="149"/>
      <c r="AG451" s="149"/>
      <c r="AH451" s="149"/>
      <c r="AI451" s="149"/>
      <c r="AJ451" s="149"/>
      <c r="AK451" s="149"/>
      <c r="AL451" s="149"/>
      <c r="AM451" s="149"/>
      <c r="AN451" s="149"/>
      <c r="AO451" s="149"/>
    </row>
    <row r="452" spans="2:41" ht="15">
      <c r="B452" s="152" t="s">
        <v>404</v>
      </c>
      <c r="C452" s="151"/>
      <c r="D452" s="151"/>
      <c r="E452" s="151"/>
      <c r="F452" s="151"/>
      <c r="G452" s="151"/>
      <c r="H452" s="151"/>
      <c r="I452" s="151"/>
      <c r="J452" s="151"/>
      <c r="K452" s="151"/>
      <c r="L452" s="151"/>
      <c r="M452" s="151"/>
      <c r="N452" s="151"/>
      <c r="O452" s="151"/>
      <c r="P452" s="151"/>
      <c r="Q452" s="151"/>
      <c r="R452" s="151"/>
      <c r="S452" s="151"/>
      <c r="T452" s="151"/>
      <c r="U452" s="151"/>
      <c r="V452" s="151"/>
      <c r="W452" s="151"/>
      <c r="X452" s="151"/>
      <c r="Y452" s="247"/>
      <c r="Z452" s="247"/>
      <c r="AA452" s="247"/>
      <c r="AB452" s="247"/>
      <c r="AC452" s="153"/>
      <c r="AD452" s="149"/>
      <c r="AE452" s="149"/>
      <c r="AF452" s="149"/>
      <c r="AG452" s="149"/>
      <c r="AH452" s="149"/>
      <c r="AI452" s="149"/>
      <c r="AJ452" s="149"/>
      <c r="AK452" s="149"/>
      <c r="AL452" s="149"/>
      <c r="AM452" s="149"/>
      <c r="AN452" s="149"/>
      <c r="AO452" s="149"/>
    </row>
    <row r="453" spans="2:41" ht="15">
      <c r="B453" s="152" t="s">
        <v>404</v>
      </c>
      <c r="C453" s="151"/>
      <c r="D453" s="151"/>
      <c r="E453" s="151"/>
      <c r="F453" s="151"/>
      <c r="G453" s="151"/>
      <c r="H453" s="151"/>
      <c r="I453" s="151"/>
      <c r="J453" s="151"/>
      <c r="K453" s="151"/>
      <c r="L453" s="151"/>
      <c r="M453" s="151"/>
      <c r="N453" s="151"/>
      <c r="O453" s="151"/>
      <c r="P453" s="151"/>
      <c r="Q453" s="151"/>
      <c r="R453" s="151"/>
      <c r="S453" s="151"/>
      <c r="T453" s="151"/>
      <c r="U453" s="151"/>
      <c r="V453" s="151"/>
      <c r="W453" s="151"/>
      <c r="X453" s="151"/>
      <c r="Y453" s="247"/>
      <c r="Z453" s="247"/>
      <c r="AA453" s="247"/>
      <c r="AB453" s="247"/>
      <c r="AC453" s="153"/>
      <c r="AD453" s="149"/>
      <c r="AE453" s="149"/>
      <c r="AF453" s="149"/>
      <c r="AG453" s="149"/>
      <c r="AH453" s="149"/>
      <c r="AI453" s="149"/>
      <c r="AJ453" s="149"/>
      <c r="AK453" s="149"/>
      <c r="AL453" s="149"/>
      <c r="AM453" s="149"/>
      <c r="AN453" s="149"/>
      <c r="AO453" s="149"/>
    </row>
    <row r="454" spans="2:41" ht="15">
      <c r="B454" s="152" t="s">
        <v>404</v>
      </c>
      <c r="C454" s="151"/>
      <c r="D454" s="151"/>
      <c r="E454" s="151"/>
      <c r="F454" s="151"/>
      <c r="G454" s="151"/>
      <c r="H454" s="151"/>
      <c r="I454" s="151"/>
      <c r="J454" s="151"/>
      <c r="K454" s="151"/>
      <c r="L454" s="151"/>
      <c r="M454" s="151"/>
      <c r="N454" s="151"/>
      <c r="O454" s="151"/>
      <c r="P454" s="151"/>
      <c r="Q454" s="151"/>
      <c r="R454" s="151"/>
      <c r="S454" s="151"/>
      <c r="T454" s="151"/>
      <c r="U454" s="151"/>
      <c r="V454" s="151"/>
      <c r="W454" s="151"/>
      <c r="X454" s="151"/>
      <c r="Y454" s="247"/>
      <c r="Z454" s="247"/>
      <c r="AA454" s="247"/>
      <c r="AB454" s="247"/>
      <c r="AC454" s="153"/>
      <c r="AD454" s="149"/>
      <c r="AE454" s="149"/>
      <c r="AF454" s="149"/>
      <c r="AG454" s="149"/>
      <c r="AH454" s="149"/>
      <c r="AI454" s="149"/>
      <c r="AJ454" s="149"/>
      <c r="AK454" s="149"/>
      <c r="AL454" s="149"/>
      <c r="AM454" s="149"/>
      <c r="AN454" s="149"/>
      <c r="AO454" s="149"/>
    </row>
    <row r="455" spans="2:41" ht="15">
      <c r="B455" s="152" t="s">
        <v>404</v>
      </c>
      <c r="C455" s="151"/>
      <c r="D455" s="151"/>
      <c r="E455" s="151"/>
      <c r="F455" s="151"/>
      <c r="G455" s="151"/>
      <c r="H455" s="151"/>
      <c r="I455" s="151"/>
      <c r="J455" s="151"/>
      <c r="K455" s="151"/>
      <c r="L455" s="151"/>
      <c r="M455" s="151"/>
      <c r="N455" s="151"/>
      <c r="O455" s="151"/>
      <c r="P455" s="151"/>
      <c r="Q455" s="151"/>
      <c r="R455" s="151"/>
      <c r="S455" s="151"/>
      <c r="T455" s="151"/>
      <c r="U455" s="151"/>
      <c r="V455" s="151"/>
      <c r="W455" s="151"/>
      <c r="X455" s="151"/>
      <c r="Y455" s="247"/>
      <c r="Z455" s="247"/>
      <c r="AA455" s="247"/>
      <c r="AB455" s="247"/>
      <c r="AC455" s="153"/>
      <c r="AD455" s="149"/>
      <c r="AE455" s="149"/>
      <c r="AF455" s="149"/>
      <c r="AG455" s="149"/>
      <c r="AH455" s="149"/>
      <c r="AI455" s="149"/>
      <c r="AJ455" s="149"/>
      <c r="AK455" s="149"/>
      <c r="AL455" s="149"/>
      <c r="AM455" s="149"/>
      <c r="AN455" s="149"/>
      <c r="AO455" s="149"/>
    </row>
    <row r="456" spans="2:41" ht="15">
      <c r="B456" s="152" t="s">
        <v>404</v>
      </c>
      <c r="C456" s="151"/>
      <c r="D456" s="151"/>
      <c r="E456" s="151"/>
      <c r="F456" s="151"/>
      <c r="G456" s="151"/>
      <c r="H456" s="151"/>
      <c r="I456" s="151"/>
      <c r="J456" s="151"/>
      <c r="K456" s="151"/>
      <c r="L456" s="151"/>
      <c r="M456" s="151"/>
      <c r="N456" s="151"/>
      <c r="O456" s="151"/>
      <c r="P456" s="151"/>
      <c r="Q456" s="151"/>
      <c r="R456" s="151"/>
      <c r="S456" s="151"/>
      <c r="T456" s="151"/>
      <c r="U456" s="151"/>
      <c r="V456" s="151"/>
      <c r="W456" s="151"/>
      <c r="X456" s="151"/>
      <c r="Y456" s="247"/>
      <c r="Z456" s="247"/>
      <c r="AA456" s="247"/>
      <c r="AB456" s="247"/>
      <c r="AC456" s="153"/>
      <c r="AD456" s="149"/>
      <c r="AE456" s="149"/>
      <c r="AF456" s="149"/>
      <c r="AG456" s="149"/>
      <c r="AH456" s="149"/>
      <c r="AI456" s="149"/>
      <c r="AJ456" s="149"/>
      <c r="AK456" s="149"/>
      <c r="AL456" s="149"/>
      <c r="AM456" s="149"/>
      <c r="AN456" s="149"/>
      <c r="AO456" s="149"/>
    </row>
    <row r="457" spans="2:41" ht="15">
      <c r="B457" s="152" t="s">
        <v>404</v>
      </c>
      <c r="C457" s="151"/>
      <c r="D457" s="151"/>
      <c r="E457" s="151"/>
      <c r="F457" s="151"/>
      <c r="G457" s="151"/>
      <c r="H457" s="151"/>
      <c r="I457" s="151"/>
      <c r="J457" s="151"/>
      <c r="K457" s="151"/>
      <c r="L457" s="151"/>
      <c r="M457" s="151"/>
      <c r="N457" s="151"/>
      <c r="O457" s="151"/>
      <c r="P457" s="151"/>
      <c r="Q457" s="151"/>
      <c r="R457" s="151"/>
      <c r="S457" s="151"/>
      <c r="T457" s="151"/>
      <c r="U457" s="151"/>
      <c r="V457" s="151"/>
      <c r="W457" s="151"/>
      <c r="X457" s="151"/>
      <c r="Y457" s="247"/>
      <c r="Z457" s="247"/>
      <c r="AA457" s="247"/>
      <c r="AB457" s="247"/>
      <c r="AC457" s="153"/>
      <c r="AD457" s="149"/>
      <c r="AE457" s="149"/>
      <c r="AF457" s="149"/>
      <c r="AG457" s="149"/>
      <c r="AH457" s="149"/>
      <c r="AI457" s="149"/>
      <c r="AJ457" s="149"/>
      <c r="AK457" s="149"/>
      <c r="AL457" s="149"/>
      <c r="AM457" s="149"/>
      <c r="AN457" s="149"/>
      <c r="AO457" s="149"/>
    </row>
    <row r="458" spans="2:41" ht="15">
      <c r="B458" s="152" t="s">
        <v>404</v>
      </c>
      <c r="C458" s="151"/>
      <c r="D458" s="151"/>
      <c r="E458" s="151"/>
      <c r="F458" s="151"/>
      <c r="G458" s="151"/>
      <c r="H458" s="151"/>
      <c r="I458" s="151"/>
      <c r="J458" s="151"/>
      <c r="K458" s="151"/>
      <c r="L458" s="151"/>
      <c r="M458" s="151"/>
      <c r="N458" s="151"/>
      <c r="O458" s="151"/>
      <c r="P458" s="151"/>
      <c r="Q458" s="151"/>
      <c r="R458" s="151"/>
      <c r="S458" s="151"/>
      <c r="T458" s="151"/>
      <c r="U458" s="151"/>
      <c r="V458" s="151"/>
      <c r="W458" s="151"/>
      <c r="X458" s="151"/>
      <c r="Y458" s="247"/>
      <c r="Z458" s="247"/>
      <c r="AA458" s="247"/>
      <c r="AB458" s="247"/>
      <c r="AC458" s="153"/>
      <c r="AD458" s="149"/>
      <c r="AE458" s="149"/>
      <c r="AF458" s="149"/>
      <c r="AG458" s="149"/>
      <c r="AH458" s="149"/>
      <c r="AI458" s="149"/>
      <c r="AJ458" s="149"/>
      <c r="AK458" s="149"/>
      <c r="AL458" s="149"/>
      <c r="AM458" s="149"/>
      <c r="AN458" s="149"/>
      <c r="AO458" s="149"/>
    </row>
    <row r="459" spans="2:41" ht="15">
      <c r="B459" s="152" t="s">
        <v>404</v>
      </c>
      <c r="C459" s="151"/>
      <c r="D459" s="151"/>
      <c r="E459" s="151"/>
      <c r="F459" s="151"/>
      <c r="G459" s="151"/>
      <c r="H459" s="151"/>
      <c r="I459" s="151"/>
      <c r="J459" s="151"/>
      <c r="K459" s="151"/>
      <c r="L459" s="151"/>
      <c r="M459" s="151"/>
      <c r="N459" s="151"/>
      <c r="O459" s="151"/>
      <c r="P459" s="151"/>
      <c r="Q459" s="151"/>
      <c r="R459" s="151"/>
      <c r="S459" s="151"/>
      <c r="T459" s="151"/>
      <c r="U459" s="151"/>
      <c r="V459" s="151"/>
      <c r="W459" s="151"/>
      <c r="X459" s="151"/>
      <c r="Y459" s="247"/>
      <c r="Z459" s="247"/>
      <c r="AA459" s="247"/>
      <c r="AB459" s="247"/>
      <c r="AC459" s="153"/>
      <c r="AD459" s="149"/>
      <c r="AE459" s="149"/>
      <c r="AF459" s="149"/>
      <c r="AG459" s="149"/>
      <c r="AH459" s="149"/>
      <c r="AI459" s="149"/>
      <c r="AJ459" s="149"/>
      <c r="AK459" s="149"/>
      <c r="AL459" s="149"/>
      <c r="AM459" s="149"/>
      <c r="AN459" s="149"/>
      <c r="AO459" s="149"/>
    </row>
    <row r="460" spans="2:41" ht="15">
      <c r="B460" s="152" t="s">
        <v>404</v>
      </c>
      <c r="C460" s="151"/>
      <c r="D460" s="151"/>
      <c r="E460" s="151"/>
      <c r="F460" s="151"/>
      <c r="G460" s="151"/>
      <c r="H460" s="151"/>
      <c r="I460" s="151"/>
      <c r="J460" s="151"/>
      <c r="K460" s="151"/>
      <c r="L460" s="151"/>
      <c r="M460" s="151"/>
      <c r="N460" s="151"/>
      <c r="O460" s="151"/>
      <c r="P460" s="151"/>
      <c r="Q460" s="151"/>
      <c r="R460" s="151"/>
      <c r="S460" s="151"/>
      <c r="T460" s="151"/>
      <c r="U460" s="151"/>
      <c r="V460" s="151"/>
      <c r="W460" s="151"/>
      <c r="X460" s="151"/>
      <c r="Y460" s="247"/>
      <c r="Z460" s="247"/>
      <c r="AA460" s="247"/>
      <c r="AB460" s="247"/>
      <c r="AC460" s="153"/>
      <c r="AD460" s="149"/>
      <c r="AE460" s="149"/>
      <c r="AF460" s="149"/>
      <c r="AG460" s="149"/>
      <c r="AH460" s="149"/>
      <c r="AI460" s="149"/>
      <c r="AJ460" s="149"/>
      <c r="AK460" s="149"/>
      <c r="AL460" s="149"/>
      <c r="AM460" s="149"/>
      <c r="AN460" s="149"/>
      <c r="AO460" s="149"/>
    </row>
    <row r="461" spans="2:41" ht="15">
      <c r="B461" s="152" t="s">
        <v>404</v>
      </c>
      <c r="C461" s="151"/>
      <c r="D461" s="151"/>
      <c r="E461" s="151"/>
      <c r="F461" s="151"/>
      <c r="G461" s="151"/>
      <c r="H461" s="151"/>
      <c r="I461" s="151"/>
      <c r="J461" s="151"/>
      <c r="K461" s="151"/>
      <c r="L461" s="151"/>
      <c r="M461" s="151"/>
      <c r="N461" s="151"/>
      <c r="O461" s="151"/>
      <c r="P461" s="151"/>
      <c r="Q461" s="151"/>
      <c r="R461" s="151"/>
      <c r="S461" s="151"/>
      <c r="T461" s="151"/>
      <c r="U461" s="151"/>
      <c r="V461" s="151"/>
      <c r="W461" s="151"/>
      <c r="X461" s="151"/>
      <c r="Y461" s="247"/>
      <c r="Z461" s="247"/>
      <c r="AA461" s="247"/>
      <c r="AB461" s="247"/>
      <c r="AC461" s="153"/>
      <c r="AD461" s="149"/>
      <c r="AE461" s="149"/>
      <c r="AF461" s="149"/>
      <c r="AG461" s="149"/>
      <c r="AH461" s="149"/>
      <c r="AI461" s="149"/>
      <c r="AJ461" s="149"/>
      <c r="AK461" s="149"/>
      <c r="AL461" s="149"/>
      <c r="AM461" s="149"/>
      <c r="AN461" s="149"/>
      <c r="AO461" s="149"/>
    </row>
    <row r="462" spans="2:41" ht="15">
      <c r="B462" s="152" t="s">
        <v>404</v>
      </c>
      <c r="C462" s="151"/>
      <c r="D462" s="151"/>
      <c r="E462" s="151"/>
      <c r="F462" s="151"/>
      <c r="G462" s="151"/>
      <c r="H462" s="151"/>
      <c r="I462" s="151"/>
      <c r="J462" s="151"/>
      <c r="K462" s="151"/>
      <c r="L462" s="151"/>
      <c r="M462" s="151"/>
      <c r="N462" s="151"/>
      <c r="O462" s="151"/>
      <c r="P462" s="151"/>
      <c r="Q462" s="151"/>
      <c r="R462" s="151"/>
      <c r="S462" s="151"/>
      <c r="T462" s="151"/>
      <c r="U462" s="151"/>
      <c r="V462" s="151"/>
      <c r="W462" s="151"/>
      <c r="X462" s="151"/>
      <c r="Y462" s="247"/>
      <c r="Z462" s="247"/>
      <c r="AA462" s="247"/>
      <c r="AB462" s="247"/>
      <c r="AC462" s="153"/>
      <c r="AD462" s="149"/>
      <c r="AE462" s="149"/>
      <c r="AF462" s="149"/>
      <c r="AG462" s="149"/>
      <c r="AH462" s="149"/>
      <c r="AI462" s="149"/>
      <c r="AJ462" s="149"/>
      <c r="AK462" s="149"/>
      <c r="AL462" s="149"/>
      <c r="AM462" s="149"/>
      <c r="AN462" s="149"/>
      <c r="AO462" s="149"/>
    </row>
    <row r="463" spans="2:41" ht="15">
      <c r="B463" s="152" t="s">
        <v>404</v>
      </c>
      <c r="C463" s="151"/>
      <c r="D463" s="151"/>
      <c r="E463" s="151"/>
      <c r="F463" s="151"/>
      <c r="G463" s="151"/>
      <c r="H463" s="151"/>
      <c r="I463" s="151"/>
      <c r="J463" s="151"/>
      <c r="K463" s="151"/>
      <c r="L463" s="151"/>
      <c r="M463" s="151"/>
      <c r="N463" s="151"/>
      <c r="O463" s="151"/>
      <c r="P463" s="151"/>
      <c r="Q463" s="151"/>
      <c r="R463" s="151"/>
      <c r="S463" s="151"/>
      <c r="T463" s="151"/>
      <c r="U463" s="151"/>
      <c r="V463" s="151"/>
      <c r="W463" s="151"/>
      <c r="X463" s="151"/>
      <c r="Y463" s="247"/>
      <c r="Z463" s="247"/>
      <c r="AA463" s="247"/>
      <c r="AB463" s="247"/>
      <c r="AC463" s="153"/>
      <c r="AD463" s="149"/>
      <c r="AE463" s="149"/>
      <c r="AF463" s="149"/>
      <c r="AG463" s="149"/>
      <c r="AH463" s="149"/>
      <c r="AI463" s="149"/>
      <c r="AJ463" s="149"/>
      <c r="AK463" s="149"/>
      <c r="AL463" s="149"/>
      <c r="AM463" s="149"/>
      <c r="AN463" s="149"/>
      <c r="AO463" s="149"/>
    </row>
    <row r="464" spans="2:41" ht="15">
      <c r="B464" s="152" t="s">
        <v>404</v>
      </c>
      <c r="C464" s="151"/>
      <c r="D464" s="151"/>
      <c r="E464" s="151"/>
      <c r="F464" s="151"/>
      <c r="G464" s="151"/>
      <c r="H464" s="151"/>
      <c r="I464" s="151"/>
      <c r="J464" s="151"/>
      <c r="K464" s="151"/>
      <c r="L464" s="151"/>
      <c r="M464" s="151"/>
      <c r="N464" s="151"/>
      <c r="O464" s="151"/>
      <c r="P464" s="151"/>
      <c r="Q464" s="151"/>
      <c r="R464" s="151"/>
      <c r="S464" s="151"/>
      <c r="T464" s="151"/>
      <c r="U464" s="151"/>
      <c r="V464" s="151"/>
      <c r="W464" s="151"/>
      <c r="X464" s="151"/>
      <c r="Y464" s="247"/>
      <c r="Z464" s="247"/>
      <c r="AA464" s="247"/>
      <c r="AB464" s="247"/>
      <c r="AC464" s="153"/>
      <c r="AD464" s="149"/>
      <c r="AE464" s="149"/>
      <c r="AF464" s="149"/>
      <c r="AG464" s="149"/>
      <c r="AH464" s="149"/>
      <c r="AI464" s="149"/>
      <c r="AJ464" s="149"/>
      <c r="AK464" s="149"/>
      <c r="AL464" s="149"/>
      <c r="AM464" s="149"/>
      <c r="AN464" s="149"/>
      <c r="AO464" s="149"/>
    </row>
    <row r="465" spans="2:41" ht="15">
      <c r="B465" s="152" t="s">
        <v>404</v>
      </c>
      <c r="C465" s="151"/>
      <c r="D465" s="151"/>
      <c r="E465" s="151"/>
      <c r="F465" s="151"/>
      <c r="G465" s="151"/>
      <c r="H465" s="151"/>
      <c r="I465" s="151"/>
      <c r="J465" s="151"/>
      <c r="K465" s="151"/>
      <c r="L465" s="151"/>
      <c r="M465" s="151"/>
      <c r="N465" s="151"/>
      <c r="O465" s="151"/>
      <c r="P465" s="151"/>
      <c r="Q465" s="151"/>
      <c r="R465" s="151"/>
      <c r="S465" s="151"/>
      <c r="T465" s="151"/>
      <c r="U465" s="151"/>
      <c r="V465" s="151"/>
      <c r="W465" s="151"/>
      <c r="X465" s="151"/>
      <c r="Y465" s="247"/>
      <c r="Z465" s="247"/>
      <c r="AA465" s="247"/>
      <c r="AB465" s="247"/>
      <c r="AC465" s="153"/>
      <c r="AD465" s="149"/>
      <c r="AE465" s="149"/>
      <c r="AF465" s="149"/>
      <c r="AG465" s="149"/>
      <c r="AH465" s="149"/>
      <c r="AI465" s="149"/>
      <c r="AJ465" s="149"/>
      <c r="AK465" s="149"/>
      <c r="AL465" s="149"/>
      <c r="AM465" s="149"/>
      <c r="AN465" s="149"/>
      <c r="AO465" s="149"/>
    </row>
    <row r="466" spans="2:41" ht="15">
      <c r="B466" s="152" t="s">
        <v>404</v>
      </c>
      <c r="C466" s="151"/>
      <c r="D466" s="151"/>
      <c r="E466" s="151"/>
      <c r="F466" s="151"/>
      <c r="G466" s="151"/>
      <c r="H466" s="151"/>
      <c r="I466" s="151"/>
      <c r="J466" s="151"/>
      <c r="K466" s="151"/>
      <c r="L466" s="151"/>
      <c r="M466" s="151"/>
      <c r="N466" s="151"/>
      <c r="O466" s="151"/>
      <c r="P466" s="151"/>
      <c r="Q466" s="151"/>
      <c r="R466" s="151"/>
      <c r="S466" s="151"/>
      <c r="T466" s="151"/>
      <c r="U466" s="151"/>
      <c r="V466" s="151"/>
      <c r="W466" s="151"/>
      <c r="X466" s="151"/>
      <c r="Y466" s="247"/>
      <c r="Z466" s="247"/>
      <c r="AA466" s="247"/>
      <c r="AB466" s="247"/>
      <c r="AC466" s="153"/>
      <c r="AD466" s="149"/>
      <c r="AE466" s="149"/>
      <c r="AF466" s="149"/>
      <c r="AG466" s="149"/>
      <c r="AH466" s="149"/>
      <c r="AI466" s="149"/>
      <c r="AJ466" s="149"/>
      <c r="AK466" s="149"/>
      <c r="AL466" s="149"/>
      <c r="AM466" s="149"/>
      <c r="AN466" s="149"/>
      <c r="AO466" s="149"/>
    </row>
    <row r="467" spans="2:41" ht="15">
      <c r="B467" s="152" t="s">
        <v>404</v>
      </c>
      <c r="C467" s="151"/>
      <c r="D467" s="151"/>
      <c r="E467" s="151"/>
      <c r="F467" s="151"/>
      <c r="G467" s="151"/>
      <c r="H467" s="151"/>
      <c r="I467" s="151"/>
      <c r="J467" s="151"/>
      <c r="K467" s="151"/>
      <c r="L467" s="151"/>
      <c r="M467" s="151"/>
      <c r="N467" s="151"/>
      <c r="O467" s="151"/>
      <c r="P467" s="151"/>
      <c r="Q467" s="151"/>
      <c r="R467" s="151"/>
      <c r="S467" s="151"/>
      <c r="T467" s="151"/>
      <c r="U467" s="151"/>
      <c r="V467" s="151"/>
      <c r="W467" s="151"/>
      <c r="X467" s="151"/>
      <c r="Y467" s="247"/>
      <c r="Z467" s="247"/>
      <c r="AA467" s="247"/>
      <c r="AB467" s="247"/>
      <c r="AC467" s="153"/>
      <c r="AD467" s="149"/>
      <c r="AE467" s="149"/>
      <c r="AF467" s="149"/>
      <c r="AG467" s="149"/>
      <c r="AH467" s="149"/>
      <c r="AI467" s="149"/>
      <c r="AJ467" s="149"/>
      <c r="AK467" s="149"/>
      <c r="AL467" s="149"/>
      <c r="AM467" s="149"/>
      <c r="AN467" s="149"/>
      <c r="AO467" s="149"/>
    </row>
    <row r="468" spans="2:41" ht="15">
      <c r="B468" s="152" t="s">
        <v>404</v>
      </c>
      <c r="C468" s="151"/>
      <c r="D468" s="151"/>
      <c r="E468" s="151"/>
      <c r="F468" s="151"/>
      <c r="G468" s="151"/>
      <c r="H468" s="151"/>
      <c r="I468" s="151"/>
      <c r="J468" s="151"/>
      <c r="K468" s="151"/>
      <c r="L468" s="151"/>
      <c r="M468" s="151"/>
      <c r="N468" s="151"/>
      <c r="O468" s="151"/>
      <c r="P468" s="151"/>
      <c r="Q468" s="151"/>
      <c r="R468" s="151"/>
      <c r="S468" s="151"/>
      <c r="T468" s="151"/>
      <c r="U468" s="151"/>
      <c r="V468" s="151"/>
      <c r="W468" s="151"/>
      <c r="X468" s="151"/>
      <c r="Y468" s="247"/>
      <c r="Z468" s="247"/>
      <c r="AA468" s="247"/>
      <c r="AB468" s="247"/>
      <c r="AC468" s="153"/>
      <c r="AD468" s="149"/>
      <c r="AE468" s="149"/>
      <c r="AF468" s="149"/>
      <c r="AG468" s="149"/>
      <c r="AH468" s="149"/>
      <c r="AI468" s="149"/>
      <c r="AJ468" s="149"/>
      <c r="AK468" s="149"/>
      <c r="AL468" s="149"/>
      <c r="AM468" s="149"/>
      <c r="AN468" s="149"/>
      <c r="AO468" s="149"/>
    </row>
    <row r="469" spans="2:41" ht="15">
      <c r="B469" s="152" t="s">
        <v>404</v>
      </c>
      <c r="C469" s="151"/>
      <c r="D469" s="151"/>
      <c r="E469" s="151"/>
      <c r="F469" s="151"/>
      <c r="G469" s="151"/>
      <c r="H469" s="151"/>
      <c r="I469" s="151"/>
      <c r="J469" s="151"/>
      <c r="K469" s="151"/>
      <c r="L469" s="151"/>
      <c r="M469" s="151"/>
      <c r="N469" s="151"/>
      <c r="O469" s="151"/>
      <c r="P469" s="151"/>
      <c r="Q469" s="151"/>
      <c r="R469" s="151"/>
      <c r="S469" s="151"/>
      <c r="T469" s="151"/>
      <c r="U469" s="151"/>
      <c r="V469" s="151"/>
      <c r="W469" s="151"/>
      <c r="X469" s="151"/>
      <c r="Y469" s="247"/>
      <c r="Z469" s="247"/>
      <c r="AA469" s="247"/>
      <c r="AB469" s="247"/>
      <c r="AC469" s="153"/>
      <c r="AD469" s="149"/>
      <c r="AE469" s="149"/>
      <c r="AF469" s="149"/>
      <c r="AG469" s="149"/>
      <c r="AH469" s="149"/>
      <c r="AI469" s="149"/>
      <c r="AJ469" s="149"/>
      <c r="AK469" s="149"/>
      <c r="AL469" s="149"/>
      <c r="AM469" s="149"/>
      <c r="AN469" s="149"/>
      <c r="AO469" s="149"/>
    </row>
    <row r="470" spans="2:41" ht="15">
      <c r="B470" s="152" t="s">
        <v>404</v>
      </c>
      <c r="C470" s="151"/>
      <c r="D470" s="151"/>
      <c r="E470" s="151"/>
      <c r="F470" s="151"/>
      <c r="G470" s="151"/>
      <c r="H470" s="151"/>
      <c r="I470" s="151"/>
      <c r="J470" s="151"/>
      <c r="K470" s="151"/>
      <c r="L470" s="151"/>
      <c r="M470" s="151"/>
      <c r="N470" s="151"/>
      <c r="O470" s="151"/>
      <c r="P470" s="151"/>
      <c r="Q470" s="151"/>
      <c r="R470" s="151"/>
      <c r="S470" s="151"/>
      <c r="T470" s="151"/>
      <c r="U470" s="151"/>
      <c r="V470" s="151"/>
      <c r="W470" s="151"/>
      <c r="X470" s="151"/>
      <c r="Y470" s="247"/>
      <c r="Z470" s="247"/>
      <c r="AA470" s="247"/>
      <c r="AB470" s="247"/>
      <c r="AC470" s="153"/>
      <c r="AD470" s="149"/>
      <c r="AE470" s="149"/>
      <c r="AF470" s="149"/>
      <c r="AG470" s="149"/>
      <c r="AH470" s="149"/>
      <c r="AI470" s="149"/>
      <c r="AJ470" s="149"/>
      <c r="AK470" s="149"/>
      <c r="AL470" s="149"/>
      <c r="AM470" s="149"/>
      <c r="AN470" s="149"/>
      <c r="AO470" s="149"/>
    </row>
    <row r="471" spans="2:41" ht="15">
      <c r="B471" s="152" t="s">
        <v>404</v>
      </c>
      <c r="C471" s="151"/>
      <c r="D471" s="151"/>
      <c r="E471" s="151"/>
      <c r="F471" s="151"/>
      <c r="G471" s="151"/>
      <c r="H471" s="151"/>
      <c r="I471" s="151"/>
      <c r="J471" s="151"/>
      <c r="K471" s="151"/>
      <c r="L471" s="151"/>
      <c r="M471" s="151"/>
      <c r="N471" s="151"/>
      <c r="O471" s="151"/>
      <c r="P471" s="151"/>
      <c r="Q471" s="151"/>
      <c r="R471" s="151"/>
      <c r="S471" s="151"/>
      <c r="T471" s="151"/>
      <c r="U471" s="151"/>
      <c r="V471" s="151"/>
      <c r="W471" s="151"/>
      <c r="X471" s="151"/>
      <c r="Y471" s="247"/>
      <c r="Z471" s="247"/>
      <c r="AA471" s="247"/>
      <c r="AB471" s="247"/>
      <c r="AC471" s="153"/>
      <c r="AD471" s="149"/>
      <c r="AE471" s="149"/>
      <c r="AF471" s="149"/>
      <c r="AG471" s="149"/>
      <c r="AH471" s="149"/>
      <c r="AI471" s="149"/>
      <c r="AJ471" s="149"/>
      <c r="AK471" s="149"/>
      <c r="AL471" s="149"/>
      <c r="AM471" s="149"/>
      <c r="AN471" s="149"/>
      <c r="AO471" s="149"/>
    </row>
    <row r="472" spans="2:41" ht="15">
      <c r="B472" s="152" t="s">
        <v>404</v>
      </c>
      <c r="C472" s="151"/>
      <c r="D472" s="151"/>
      <c r="E472" s="151"/>
      <c r="F472" s="151"/>
      <c r="G472" s="151"/>
      <c r="H472" s="151"/>
      <c r="I472" s="151"/>
      <c r="J472" s="151"/>
      <c r="K472" s="151"/>
      <c r="L472" s="151"/>
      <c r="M472" s="151"/>
      <c r="N472" s="151"/>
      <c r="O472" s="151"/>
      <c r="P472" s="151"/>
      <c r="Q472" s="151"/>
      <c r="R472" s="151"/>
      <c r="S472" s="151"/>
      <c r="T472" s="151"/>
      <c r="U472" s="151"/>
      <c r="V472" s="151"/>
      <c r="W472" s="151"/>
      <c r="X472" s="151"/>
      <c r="Y472" s="247"/>
      <c r="Z472" s="247"/>
      <c r="AA472" s="247"/>
      <c r="AB472" s="247"/>
      <c r="AC472" s="153"/>
      <c r="AD472" s="149"/>
      <c r="AE472" s="149"/>
      <c r="AF472" s="149"/>
      <c r="AG472" s="149"/>
      <c r="AH472" s="149"/>
      <c r="AI472" s="149"/>
      <c r="AJ472" s="149"/>
      <c r="AK472" s="149"/>
      <c r="AL472" s="149"/>
      <c r="AM472" s="149"/>
      <c r="AN472" s="149"/>
      <c r="AO472" s="149"/>
    </row>
    <row r="473" spans="2:41" ht="15">
      <c r="B473" s="152" t="s">
        <v>404</v>
      </c>
      <c r="C473" s="151"/>
      <c r="D473" s="151"/>
      <c r="E473" s="151"/>
      <c r="F473" s="151"/>
      <c r="G473" s="151"/>
      <c r="H473" s="151"/>
      <c r="I473" s="151"/>
      <c r="J473" s="151"/>
      <c r="K473" s="151"/>
      <c r="L473" s="151"/>
      <c r="M473" s="151"/>
      <c r="N473" s="151"/>
      <c r="O473" s="151"/>
      <c r="P473" s="151"/>
      <c r="Q473" s="151"/>
      <c r="R473" s="151"/>
      <c r="S473" s="151"/>
      <c r="T473" s="151"/>
      <c r="U473" s="151"/>
      <c r="V473" s="151"/>
      <c r="W473" s="151"/>
      <c r="X473" s="151"/>
      <c r="Y473" s="247"/>
      <c r="Z473" s="247"/>
      <c r="AA473" s="247"/>
      <c r="AB473" s="247"/>
      <c r="AC473" s="153"/>
      <c r="AD473" s="149"/>
      <c r="AE473" s="149"/>
      <c r="AF473" s="149"/>
      <c r="AG473" s="149"/>
      <c r="AH473" s="149"/>
      <c r="AI473" s="149"/>
      <c r="AJ473" s="149"/>
      <c r="AK473" s="149"/>
      <c r="AL473" s="149"/>
      <c r="AM473" s="149"/>
      <c r="AN473" s="149"/>
      <c r="AO473" s="149"/>
    </row>
    <row r="474" spans="2:41" ht="15">
      <c r="B474" s="152" t="s">
        <v>404</v>
      </c>
      <c r="C474" s="151"/>
      <c r="D474" s="151"/>
      <c r="E474" s="151"/>
      <c r="F474" s="151"/>
      <c r="G474" s="151"/>
      <c r="H474" s="151"/>
      <c r="I474" s="151"/>
      <c r="J474" s="151"/>
      <c r="K474" s="151"/>
      <c r="L474" s="151"/>
      <c r="M474" s="151"/>
      <c r="N474" s="151"/>
      <c r="O474" s="151"/>
      <c r="P474" s="151"/>
      <c r="Q474" s="151"/>
      <c r="R474" s="151"/>
      <c r="S474" s="151"/>
      <c r="T474" s="151"/>
      <c r="U474" s="151"/>
      <c r="V474" s="151"/>
      <c r="W474" s="151"/>
      <c r="X474" s="151"/>
      <c r="Y474" s="247"/>
      <c r="Z474" s="247"/>
      <c r="AA474" s="247"/>
      <c r="AB474" s="247"/>
      <c r="AC474" s="153"/>
      <c r="AD474" s="149"/>
      <c r="AE474" s="149"/>
      <c r="AF474" s="149"/>
      <c r="AG474" s="149"/>
      <c r="AH474" s="149"/>
      <c r="AI474" s="149"/>
      <c r="AJ474" s="149"/>
      <c r="AK474" s="149"/>
      <c r="AL474" s="149"/>
      <c r="AM474" s="149"/>
      <c r="AN474" s="149"/>
      <c r="AO474" s="149"/>
    </row>
    <row r="475" spans="2:41" ht="15">
      <c r="B475" s="152" t="s">
        <v>404</v>
      </c>
      <c r="C475" s="151"/>
      <c r="D475" s="151"/>
      <c r="E475" s="151"/>
      <c r="F475" s="151"/>
      <c r="G475" s="151"/>
      <c r="H475" s="151"/>
      <c r="I475" s="151"/>
      <c r="J475" s="151"/>
      <c r="K475" s="151"/>
      <c r="L475" s="151"/>
      <c r="M475" s="151"/>
      <c r="N475" s="151"/>
      <c r="O475" s="151"/>
      <c r="P475" s="151"/>
      <c r="Q475" s="151"/>
      <c r="R475" s="151"/>
      <c r="S475" s="151"/>
      <c r="T475" s="151"/>
      <c r="U475" s="151"/>
      <c r="V475" s="151"/>
      <c r="W475" s="151"/>
      <c r="X475" s="151"/>
      <c r="Y475" s="247"/>
      <c r="Z475" s="247"/>
      <c r="AA475" s="247"/>
      <c r="AB475" s="247"/>
      <c r="AC475" s="153"/>
      <c r="AD475" s="149"/>
      <c r="AE475" s="149"/>
      <c r="AF475" s="149"/>
      <c r="AG475" s="149"/>
      <c r="AH475" s="149"/>
      <c r="AI475" s="149"/>
      <c r="AJ475" s="149"/>
      <c r="AK475" s="149"/>
      <c r="AL475" s="149"/>
      <c r="AM475" s="149"/>
      <c r="AN475" s="149"/>
      <c r="AO475" s="149"/>
    </row>
    <row r="476" spans="2:41" ht="15">
      <c r="B476" s="152" t="s">
        <v>404</v>
      </c>
      <c r="C476" s="151"/>
      <c r="D476" s="151"/>
      <c r="E476" s="151"/>
      <c r="F476" s="151"/>
      <c r="G476" s="151"/>
      <c r="H476" s="151"/>
      <c r="I476" s="151"/>
      <c r="J476" s="151"/>
      <c r="K476" s="151"/>
      <c r="L476" s="151"/>
      <c r="M476" s="151"/>
      <c r="N476" s="151"/>
      <c r="O476" s="151"/>
      <c r="P476" s="151"/>
      <c r="Q476" s="151"/>
      <c r="R476" s="151"/>
      <c r="S476" s="151"/>
      <c r="T476" s="151"/>
      <c r="U476" s="151"/>
      <c r="V476" s="151"/>
      <c r="W476" s="151"/>
      <c r="X476" s="151"/>
      <c r="Y476" s="247"/>
      <c r="Z476" s="247"/>
      <c r="AA476" s="247"/>
      <c r="AB476" s="247"/>
      <c r="AC476" s="153"/>
      <c r="AD476" s="149"/>
      <c r="AE476" s="149"/>
      <c r="AF476" s="149"/>
      <c r="AG476" s="149"/>
      <c r="AH476" s="149"/>
      <c r="AI476" s="149"/>
      <c r="AJ476" s="149"/>
      <c r="AK476" s="149"/>
      <c r="AL476" s="149"/>
      <c r="AM476" s="149"/>
      <c r="AN476" s="149"/>
      <c r="AO476" s="149"/>
    </row>
    <row r="477" spans="2:41" ht="15">
      <c r="B477" s="152" t="s">
        <v>404</v>
      </c>
      <c r="C477" s="151"/>
      <c r="D477" s="151"/>
      <c r="E477" s="151"/>
      <c r="F477" s="151"/>
      <c r="G477" s="151"/>
      <c r="H477" s="151"/>
      <c r="I477" s="151"/>
      <c r="J477" s="151"/>
      <c r="K477" s="151"/>
      <c r="L477" s="151"/>
      <c r="M477" s="151"/>
      <c r="N477" s="151"/>
      <c r="O477" s="151"/>
      <c r="P477" s="151"/>
      <c r="Q477" s="151"/>
      <c r="R477" s="151"/>
      <c r="S477" s="151"/>
      <c r="T477" s="151"/>
      <c r="U477" s="151"/>
      <c r="V477" s="151"/>
      <c r="W477" s="151"/>
      <c r="X477" s="151"/>
      <c r="Y477" s="247"/>
      <c r="Z477" s="247"/>
      <c r="AA477" s="247"/>
      <c r="AB477" s="247"/>
      <c r="AC477" s="153"/>
      <c r="AD477" s="149"/>
      <c r="AE477" s="149"/>
      <c r="AF477" s="149"/>
      <c r="AG477" s="149"/>
      <c r="AH477" s="149"/>
      <c r="AI477" s="149"/>
      <c r="AJ477" s="149"/>
      <c r="AK477" s="149"/>
      <c r="AL477" s="149"/>
      <c r="AM477" s="149"/>
      <c r="AN477" s="149"/>
      <c r="AO477" s="149"/>
    </row>
    <row r="478" spans="2:41" ht="15">
      <c r="B478" s="152" t="s">
        <v>404</v>
      </c>
      <c r="C478" s="151"/>
      <c r="D478" s="151"/>
      <c r="E478" s="151"/>
      <c r="F478" s="151"/>
      <c r="G478" s="151"/>
      <c r="H478" s="151"/>
      <c r="I478" s="151"/>
      <c r="J478" s="151"/>
      <c r="K478" s="151"/>
      <c r="L478" s="151"/>
      <c r="M478" s="151"/>
      <c r="N478" s="151"/>
      <c r="O478" s="151"/>
      <c r="P478" s="151"/>
      <c r="Q478" s="151"/>
      <c r="R478" s="151"/>
      <c r="S478" s="151"/>
      <c r="T478" s="151"/>
      <c r="U478" s="151"/>
      <c r="V478" s="151"/>
      <c r="W478" s="151"/>
      <c r="X478" s="151"/>
      <c r="Y478" s="247"/>
      <c r="Z478" s="247"/>
      <c r="AA478" s="247"/>
      <c r="AB478" s="247"/>
      <c r="AC478" s="153"/>
      <c r="AD478" s="149"/>
      <c r="AE478" s="149"/>
      <c r="AF478" s="149"/>
      <c r="AG478" s="149"/>
      <c r="AH478" s="149"/>
      <c r="AI478" s="149"/>
      <c r="AJ478" s="149"/>
      <c r="AK478" s="149"/>
      <c r="AL478" s="149"/>
      <c r="AM478" s="149"/>
      <c r="AN478" s="149"/>
      <c r="AO478" s="149"/>
    </row>
    <row r="479" spans="2:41" ht="15">
      <c r="B479" s="152" t="s">
        <v>404</v>
      </c>
      <c r="C479" s="151"/>
      <c r="D479" s="151"/>
      <c r="E479" s="151"/>
      <c r="F479" s="151"/>
      <c r="G479" s="151"/>
      <c r="H479" s="151"/>
      <c r="I479" s="151"/>
      <c r="J479" s="151"/>
      <c r="K479" s="151"/>
      <c r="L479" s="151"/>
      <c r="M479" s="151"/>
      <c r="N479" s="151"/>
      <c r="O479" s="151"/>
      <c r="P479" s="151"/>
      <c r="Q479" s="151"/>
      <c r="R479" s="151"/>
      <c r="S479" s="151"/>
      <c r="T479" s="151"/>
      <c r="U479" s="151"/>
      <c r="V479" s="151"/>
      <c r="W479" s="151"/>
      <c r="X479" s="151"/>
      <c r="Y479" s="247"/>
      <c r="Z479" s="247"/>
      <c r="AA479" s="247"/>
      <c r="AB479" s="247"/>
      <c r="AC479" s="153"/>
      <c r="AD479" s="149"/>
      <c r="AE479" s="149"/>
      <c r="AF479" s="149"/>
      <c r="AG479" s="149"/>
      <c r="AH479" s="149"/>
      <c r="AI479" s="149"/>
      <c r="AJ479" s="149"/>
      <c r="AK479" s="149"/>
      <c r="AL479" s="149"/>
      <c r="AM479" s="149"/>
      <c r="AN479" s="149"/>
      <c r="AO479" s="149"/>
    </row>
    <row r="480" spans="2:41" ht="15">
      <c r="B480" s="152" t="s">
        <v>404</v>
      </c>
      <c r="C480" s="151"/>
      <c r="D480" s="151"/>
      <c r="E480" s="151"/>
      <c r="F480" s="151"/>
      <c r="G480" s="151"/>
      <c r="H480" s="151"/>
      <c r="I480" s="151"/>
      <c r="J480" s="151"/>
      <c r="K480" s="151"/>
      <c r="L480" s="151"/>
      <c r="M480" s="151"/>
      <c r="N480" s="151"/>
      <c r="O480" s="151"/>
      <c r="P480" s="151"/>
      <c r="Q480" s="151"/>
      <c r="R480" s="151"/>
      <c r="S480" s="151"/>
      <c r="T480" s="151"/>
      <c r="U480" s="151"/>
      <c r="V480" s="151"/>
      <c r="W480" s="151"/>
      <c r="X480" s="151"/>
      <c r="Y480" s="247"/>
      <c r="Z480" s="247"/>
      <c r="AA480" s="247"/>
      <c r="AB480" s="247"/>
      <c r="AC480" s="153"/>
      <c r="AD480" s="149"/>
      <c r="AE480" s="149"/>
      <c r="AF480" s="149"/>
      <c r="AG480" s="149"/>
      <c r="AH480" s="149"/>
      <c r="AI480" s="149"/>
      <c r="AJ480" s="149"/>
      <c r="AK480" s="149"/>
      <c r="AL480" s="149"/>
      <c r="AM480" s="149"/>
      <c r="AN480" s="149"/>
      <c r="AO480" s="149"/>
    </row>
    <row r="481" spans="2:41" ht="15">
      <c r="B481" s="152" t="s">
        <v>404</v>
      </c>
      <c r="C481" s="151"/>
      <c r="D481" s="151"/>
      <c r="E481" s="151"/>
      <c r="F481" s="151"/>
      <c r="G481" s="151"/>
      <c r="H481" s="151"/>
      <c r="I481" s="151"/>
      <c r="J481" s="151"/>
      <c r="K481" s="151"/>
      <c r="L481" s="151"/>
      <c r="M481" s="151"/>
      <c r="N481" s="151"/>
      <c r="O481" s="151"/>
      <c r="P481" s="151"/>
      <c r="Q481" s="151"/>
      <c r="R481" s="151"/>
      <c r="S481" s="151"/>
      <c r="T481" s="151"/>
      <c r="U481" s="151"/>
      <c r="V481" s="151"/>
      <c r="W481" s="151"/>
      <c r="X481" s="151"/>
      <c r="Y481" s="247"/>
      <c r="Z481" s="247"/>
      <c r="AA481" s="247"/>
      <c r="AB481" s="247"/>
      <c r="AC481" s="153"/>
      <c r="AD481" s="149"/>
      <c r="AE481" s="149"/>
      <c r="AF481" s="149"/>
      <c r="AG481" s="149"/>
      <c r="AH481" s="149"/>
      <c r="AI481" s="149"/>
      <c r="AJ481" s="149"/>
      <c r="AK481" s="149"/>
      <c r="AL481" s="149"/>
      <c r="AM481" s="149"/>
      <c r="AN481" s="149"/>
      <c r="AO481" s="149"/>
    </row>
    <row r="482" spans="2:41" ht="15">
      <c r="B482" s="152" t="s">
        <v>404</v>
      </c>
      <c r="C482" s="151"/>
      <c r="D482" s="151"/>
      <c r="E482" s="151"/>
      <c r="F482" s="151"/>
      <c r="G482" s="151"/>
      <c r="H482" s="151"/>
      <c r="I482" s="151"/>
      <c r="J482" s="151"/>
      <c r="K482" s="151"/>
      <c r="L482" s="151"/>
      <c r="M482" s="151"/>
      <c r="N482" s="151"/>
      <c r="O482" s="151"/>
      <c r="P482" s="151"/>
      <c r="Q482" s="151"/>
      <c r="R482" s="151"/>
      <c r="S482" s="151"/>
      <c r="T482" s="151"/>
      <c r="U482" s="151"/>
      <c r="V482" s="151"/>
      <c r="W482" s="151"/>
      <c r="X482" s="151"/>
      <c r="Y482" s="247"/>
      <c r="Z482" s="247"/>
      <c r="AA482" s="247"/>
      <c r="AB482" s="247"/>
      <c r="AC482" s="153"/>
      <c r="AD482" s="149"/>
      <c r="AE482" s="149"/>
      <c r="AF482" s="149"/>
      <c r="AG482" s="149"/>
      <c r="AH482" s="149"/>
      <c r="AI482" s="149"/>
      <c r="AJ482" s="149"/>
      <c r="AK482" s="149"/>
      <c r="AL482" s="149"/>
      <c r="AM482" s="149"/>
      <c r="AN482" s="149"/>
      <c r="AO482" s="149"/>
    </row>
    <row r="483" spans="2:41" ht="15">
      <c r="B483" s="152" t="s">
        <v>404</v>
      </c>
      <c r="C483" s="151"/>
      <c r="D483" s="151"/>
      <c r="E483" s="151"/>
      <c r="F483" s="151"/>
      <c r="G483" s="151"/>
      <c r="H483" s="151"/>
      <c r="I483" s="151"/>
      <c r="J483" s="151"/>
      <c r="K483" s="151"/>
      <c r="L483" s="151"/>
      <c r="M483" s="151"/>
      <c r="N483" s="151"/>
      <c r="O483" s="151"/>
      <c r="P483" s="151"/>
      <c r="Q483" s="151"/>
      <c r="R483" s="151"/>
      <c r="S483" s="151"/>
      <c r="T483" s="151"/>
      <c r="U483" s="151"/>
      <c r="V483" s="151"/>
      <c r="W483" s="151"/>
      <c r="X483" s="151"/>
      <c r="Y483" s="247"/>
      <c r="Z483" s="247"/>
      <c r="AA483" s="247"/>
      <c r="AB483" s="247"/>
      <c r="AC483" s="153"/>
      <c r="AD483" s="149"/>
      <c r="AE483" s="149"/>
      <c r="AF483" s="149"/>
      <c r="AG483" s="149"/>
      <c r="AH483" s="149"/>
      <c r="AI483" s="149"/>
      <c r="AJ483" s="149"/>
      <c r="AK483" s="149"/>
      <c r="AL483" s="149"/>
      <c r="AM483" s="149"/>
      <c r="AN483" s="149"/>
      <c r="AO483" s="149"/>
    </row>
    <row r="484" spans="2:41" ht="15">
      <c r="B484" s="152" t="s">
        <v>404</v>
      </c>
      <c r="C484" s="151"/>
      <c r="D484" s="151"/>
      <c r="E484" s="151"/>
      <c r="F484" s="151"/>
      <c r="G484" s="151"/>
      <c r="H484" s="151"/>
      <c r="I484" s="151"/>
      <c r="J484" s="151"/>
      <c r="K484" s="151"/>
      <c r="L484" s="151"/>
      <c r="M484" s="151"/>
      <c r="N484" s="151"/>
      <c r="O484" s="151"/>
      <c r="P484" s="151"/>
      <c r="Q484" s="151"/>
      <c r="R484" s="151"/>
      <c r="S484" s="151"/>
      <c r="T484" s="151"/>
      <c r="U484" s="151"/>
      <c r="V484" s="151"/>
      <c r="W484" s="151"/>
      <c r="X484" s="151"/>
      <c r="Y484" s="247"/>
      <c r="Z484" s="247"/>
      <c r="AA484" s="247"/>
      <c r="AB484" s="247"/>
      <c r="AC484" s="153"/>
      <c r="AD484" s="149"/>
      <c r="AE484" s="149"/>
      <c r="AF484" s="149"/>
      <c r="AG484" s="149"/>
      <c r="AH484" s="149"/>
      <c r="AI484" s="149"/>
      <c r="AJ484" s="149"/>
      <c r="AK484" s="149"/>
      <c r="AL484" s="149"/>
      <c r="AM484" s="149"/>
      <c r="AN484" s="149"/>
      <c r="AO484" s="149"/>
    </row>
    <row r="485" spans="2:41" ht="15">
      <c r="B485" s="152" t="s">
        <v>404</v>
      </c>
      <c r="C485" s="151"/>
      <c r="D485" s="151"/>
      <c r="E485" s="151"/>
      <c r="F485" s="151"/>
      <c r="G485" s="151"/>
      <c r="H485" s="151"/>
      <c r="I485" s="151"/>
      <c r="J485" s="151"/>
      <c r="K485" s="151"/>
      <c r="L485" s="151"/>
      <c r="M485" s="151"/>
      <c r="N485" s="151"/>
      <c r="O485" s="151"/>
      <c r="P485" s="151"/>
      <c r="Q485" s="151"/>
      <c r="R485" s="151"/>
      <c r="S485" s="151"/>
      <c r="T485" s="151"/>
      <c r="U485" s="151"/>
      <c r="V485" s="151"/>
      <c r="W485" s="151"/>
      <c r="X485" s="151"/>
      <c r="Y485" s="247"/>
      <c r="Z485" s="247"/>
      <c r="AA485" s="247"/>
      <c r="AB485" s="247"/>
      <c r="AC485" s="153"/>
      <c r="AD485" s="149"/>
      <c r="AE485" s="149"/>
      <c r="AF485" s="149"/>
      <c r="AG485" s="149"/>
      <c r="AH485" s="149"/>
      <c r="AI485" s="149"/>
      <c r="AJ485" s="149"/>
      <c r="AK485" s="149"/>
      <c r="AL485" s="149"/>
      <c r="AM485" s="149"/>
      <c r="AN485" s="149"/>
      <c r="AO485" s="149"/>
    </row>
    <row r="486" spans="2:41" ht="15">
      <c r="B486" s="152" t="s">
        <v>404</v>
      </c>
      <c r="C486" s="151"/>
      <c r="D486" s="151"/>
      <c r="E486" s="151"/>
      <c r="F486" s="151"/>
      <c r="G486" s="151"/>
      <c r="H486" s="151"/>
      <c r="I486" s="151"/>
      <c r="J486" s="151"/>
      <c r="K486" s="151"/>
      <c r="L486" s="151"/>
      <c r="M486" s="151"/>
      <c r="N486" s="151"/>
      <c r="O486" s="151"/>
      <c r="P486" s="151"/>
      <c r="Q486" s="151"/>
      <c r="R486" s="151"/>
      <c r="S486" s="151"/>
      <c r="T486" s="151"/>
      <c r="U486" s="151"/>
      <c r="V486" s="151"/>
      <c r="W486" s="151"/>
      <c r="X486" s="151"/>
      <c r="Y486" s="247"/>
      <c r="Z486" s="247"/>
      <c r="AA486" s="247"/>
      <c r="AB486" s="247"/>
      <c r="AC486" s="153"/>
      <c r="AD486" s="149"/>
      <c r="AE486" s="149"/>
      <c r="AF486" s="149"/>
      <c r="AG486" s="149"/>
      <c r="AH486" s="149"/>
      <c r="AI486" s="149"/>
      <c r="AJ486" s="149"/>
      <c r="AK486" s="149"/>
      <c r="AL486" s="149"/>
      <c r="AM486" s="149"/>
      <c r="AN486" s="149"/>
      <c r="AO486" s="149"/>
    </row>
    <row r="487" spans="2:41" ht="15">
      <c r="B487" s="152" t="s">
        <v>404</v>
      </c>
      <c r="C487" s="151"/>
      <c r="D487" s="151"/>
      <c r="E487" s="151"/>
      <c r="F487" s="151"/>
      <c r="G487" s="151"/>
      <c r="H487" s="151"/>
      <c r="I487" s="151"/>
      <c r="J487" s="151"/>
      <c r="K487" s="151"/>
      <c r="L487" s="151"/>
      <c r="M487" s="151"/>
      <c r="N487" s="151"/>
      <c r="O487" s="151"/>
      <c r="P487" s="151"/>
      <c r="Q487" s="151"/>
      <c r="R487" s="151"/>
      <c r="S487" s="151"/>
      <c r="T487" s="151"/>
      <c r="U487" s="151"/>
      <c r="V487" s="151"/>
      <c r="W487" s="151"/>
      <c r="X487" s="151"/>
      <c r="Y487" s="247"/>
      <c r="Z487" s="247"/>
      <c r="AA487" s="247"/>
      <c r="AB487" s="247"/>
      <c r="AC487" s="153"/>
      <c r="AD487" s="149"/>
      <c r="AE487" s="149"/>
      <c r="AF487" s="149"/>
      <c r="AG487" s="149"/>
      <c r="AH487" s="149"/>
      <c r="AI487" s="149"/>
      <c r="AJ487" s="149"/>
      <c r="AK487" s="149"/>
      <c r="AL487" s="149"/>
      <c r="AM487" s="149"/>
      <c r="AN487" s="149"/>
      <c r="AO487" s="149"/>
    </row>
    <row r="488" spans="2:41" ht="15">
      <c r="B488" s="152" t="s">
        <v>404</v>
      </c>
      <c r="C488" s="151"/>
      <c r="D488" s="151"/>
      <c r="E488" s="151"/>
      <c r="F488" s="151"/>
      <c r="G488" s="151"/>
      <c r="H488" s="151"/>
      <c r="I488" s="151"/>
      <c r="J488" s="151"/>
      <c r="K488" s="151"/>
      <c r="L488" s="151"/>
      <c r="M488" s="151"/>
      <c r="N488" s="151"/>
      <c r="O488" s="151"/>
      <c r="P488" s="151"/>
      <c r="Q488" s="151"/>
      <c r="R488" s="151"/>
      <c r="S488" s="151"/>
      <c r="T488" s="151"/>
      <c r="U488" s="151"/>
      <c r="V488" s="151"/>
      <c r="W488" s="151"/>
      <c r="X488" s="151"/>
      <c r="Y488" s="247"/>
      <c r="Z488" s="247"/>
      <c r="AA488" s="247"/>
      <c r="AB488" s="247"/>
      <c r="AC488" s="153"/>
      <c r="AD488" s="149"/>
      <c r="AE488" s="149"/>
      <c r="AF488" s="149"/>
      <c r="AG488" s="149"/>
      <c r="AH488" s="149"/>
      <c r="AI488" s="149"/>
      <c r="AJ488" s="149"/>
      <c r="AK488" s="149"/>
      <c r="AL488" s="149"/>
      <c r="AM488" s="149"/>
      <c r="AN488" s="149"/>
      <c r="AO488" s="149"/>
    </row>
    <row r="489" spans="2:41" ht="15">
      <c r="B489" s="152" t="s">
        <v>404</v>
      </c>
      <c r="C489" s="151"/>
      <c r="D489" s="151"/>
      <c r="E489" s="151"/>
      <c r="F489" s="151"/>
      <c r="G489" s="151"/>
      <c r="H489" s="151"/>
      <c r="I489" s="151"/>
      <c r="J489" s="151"/>
      <c r="K489" s="151"/>
      <c r="L489" s="151"/>
      <c r="M489" s="151"/>
      <c r="N489" s="151"/>
      <c r="O489" s="151"/>
      <c r="P489" s="151"/>
      <c r="Q489" s="151"/>
      <c r="R489" s="151"/>
      <c r="S489" s="151"/>
      <c r="T489" s="151"/>
      <c r="U489" s="151"/>
      <c r="V489" s="151"/>
      <c r="W489" s="151"/>
      <c r="X489" s="151"/>
      <c r="Y489" s="247"/>
      <c r="Z489" s="247"/>
      <c r="AA489" s="247"/>
      <c r="AB489" s="247"/>
      <c r="AC489" s="153"/>
      <c r="AD489" s="149"/>
      <c r="AE489" s="149"/>
      <c r="AF489" s="149"/>
      <c r="AG489" s="149"/>
      <c r="AH489" s="149"/>
      <c r="AI489" s="149"/>
      <c r="AJ489" s="149"/>
      <c r="AK489" s="149"/>
      <c r="AL489" s="149"/>
      <c r="AM489" s="149"/>
      <c r="AN489" s="149"/>
      <c r="AO489" s="149"/>
    </row>
    <row r="490" spans="2:41" ht="15">
      <c r="B490" s="152" t="s">
        <v>404</v>
      </c>
      <c r="C490" s="151"/>
      <c r="D490" s="151"/>
      <c r="E490" s="151"/>
      <c r="F490" s="151"/>
      <c r="G490" s="151"/>
      <c r="H490" s="151"/>
      <c r="I490" s="151"/>
      <c r="J490" s="151"/>
      <c r="K490" s="151"/>
      <c r="L490" s="151"/>
      <c r="M490" s="151"/>
      <c r="N490" s="151"/>
      <c r="O490" s="151"/>
      <c r="P490" s="151"/>
      <c r="Q490" s="151"/>
      <c r="R490" s="151"/>
      <c r="S490" s="151"/>
      <c r="T490" s="151"/>
      <c r="U490" s="151"/>
      <c r="V490" s="151"/>
      <c r="W490" s="151"/>
      <c r="X490" s="151"/>
      <c r="Y490" s="247"/>
      <c r="Z490" s="247"/>
      <c r="AA490" s="247"/>
      <c r="AB490" s="247"/>
      <c r="AC490" s="153"/>
      <c r="AD490" s="149"/>
      <c r="AE490" s="149"/>
      <c r="AF490" s="149"/>
      <c r="AG490" s="149"/>
      <c r="AH490" s="149"/>
      <c r="AI490" s="149"/>
      <c r="AJ490" s="149"/>
      <c r="AK490" s="149"/>
      <c r="AL490" s="149"/>
      <c r="AM490" s="149"/>
      <c r="AN490" s="149"/>
      <c r="AO490" s="149"/>
    </row>
    <row r="491" spans="2:41" ht="15">
      <c r="B491" s="152" t="s">
        <v>404</v>
      </c>
      <c r="C491" s="151"/>
      <c r="D491" s="151"/>
      <c r="E491" s="151"/>
      <c r="F491" s="151"/>
      <c r="G491" s="151"/>
      <c r="H491" s="151"/>
      <c r="I491" s="151"/>
      <c r="J491" s="151"/>
      <c r="K491" s="151"/>
      <c r="L491" s="151"/>
      <c r="M491" s="151"/>
      <c r="N491" s="151"/>
      <c r="O491" s="151"/>
      <c r="P491" s="151"/>
      <c r="Q491" s="151"/>
      <c r="R491" s="151"/>
      <c r="S491" s="151"/>
      <c r="T491" s="151"/>
      <c r="U491" s="151"/>
      <c r="V491" s="151"/>
      <c r="W491" s="151"/>
      <c r="X491" s="151"/>
      <c r="Y491" s="247"/>
      <c r="Z491" s="247"/>
      <c r="AA491" s="247"/>
      <c r="AB491" s="247"/>
      <c r="AC491" s="153"/>
      <c r="AD491" s="149"/>
      <c r="AE491" s="149"/>
      <c r="AF491" s="149"/>
      <c r="AG491" s="149"/>
      <c r="AH491" s="149"/>
      <c r="AI491" s="149"/>
      <c r="AJ491" s="149"/>
      <c r="AK491" s="149"/>
      <c r="AL491" s="149"/>
      <c r="AM491" s="149"/>
      <c r="AN491" s="149"/>
      <c r="AO491" s="149"/>
    </row>
    <row r="492" spans="2:41" ht="15">
      <c r="B492" s="152" t="s">
        <v>404</v>
      </c>
      <c r="C492" s="151"/>
      <c r="D492" s="151"/>
      <c r="E492" s="151"/>
      <c r="F492" s="151"/>
      <c r="G492" s="151"/>
      <c r="H492" s="151"/>
      <c r="I492" s="151"/>
      <c r="J492" s="151"/>
      <c r="K492" s="151"/>
      <c r="L492" s="151"/>
      <c r="M492" s="151"/>
      <c r="N492" s="151"/>
      <c r="O492" s="151"/>
      <c r="P492" s="151"/>
      <c r="Q492" s="151"/>
      <c r="R492" s="151"/>
      <c r="S492" s="151"/>
      <c r="T492" s="151"/>
      <c r="U492" s="151"/>
      <c r="V492" s="151"/>
      <c r="W492" s="151"/>
      <c r="X492" s="151"/>
      <c r="Y492" s="247"/>
      <c r="Z492" s="247"/>
      <c r="AA492" s="247"/>
      <c r="AB492" s="247"/>
      <c r="AC492" s="153"/>
      <c r="AD492" s="149"/>
      <c r="AE492" s="149"/>
      <c r="AF492" s="149"/>
      <c r="AG492" s="149"/>
      <c r="AH492" s="149"/>
      <c r="AI492" s="149"/>
      <c r="AJ492" s="149"/>
      <c r="AK492" s="149"/>
      <c r="AL492" s="149"/>
      <c r="AM492" s="149"/>
      <c r="AN492" s="149"/>
      <c r="AO492" s="149"/>
    </row>
    <row r="493" spans="2:41" ht="15">
      <c r="B493" s="152" t="s">
        <v>404</v>
      </c>
      <c r="C493" s="151"/>
      <c r="D493" s="151"/>
      <c r="E493" s="151"/>
      <c r="F493" s="151"/>
      <c r="G493" s="151"/>
      <c r="H493" s="151"/>
      <c r="I493" s="151"/>
      <c r="J493" s="151"/>
      <c r="K493" s="151"/>
      <c r="L493" s="151"/>
      <c r="M493" s="151"/>
      <c r="N493" s="151"/>
      <c r="O493" s="151"/>
      <c r="P493" s="151"/>
      <c r="Q493" s="151"/>
      <c r="R493" s="151"/>
      <c r="S493" s="151"/>
      <c r="T493" s="151"/>
      <c r="U493" s="151"/>
      <c r="V493" s="151"/>
      <c r="W493" s="151"/>
      <c r="X493" s="151"/>
      <c r="Y493" s="247"/>
      <c r="Z493" s="247"/>
      <c r="AA493" s="247"/>
      <c r="AB493" s="247"/>
      <c r="AC493" s="153"/>
      <c r="AD493" s="149"/>
      <c r="AE493" s="149"/>
      <c r="AF493" s="149"/>
      <c r="AG493" s="149"/>
      <c r="AH493" s="149"/>
      <c r="AI493" s="149"/>
      <c r="AJ493" s="149"/>
      <c r="AK493" s="149"/>
      <c r="AL493" s="149"/>
      <c r="AM493" s="149"/>
      <c r="AN493" s="149"/>
      <c r="AO493" s="149"/>
    </row>
    <row r="494" spans="2:41" ht="15">
      <c r="B494" s="152" t="s">
        <v>404</v>
      </c>
      <c r="C494" s="151"/>
      <c r="D494" s="151"/>
      <c r="E494" s="151"/>
      <c r="F494" s="151"/>
      <c r="G494" s="151"/>
      <c r="H494" s="151"/>
      <c r="I494" s="151"/>
      <c r="J494" s="151"/>
      <c r="K494" s="151"/>
      <c r="L494" s="151"/>
      <c r="M494" s="151"/>
      <c r="N494" s="151"/>
      <c r="O494" s="151"/>
      <c r="P494" s="151"/>
      <c r="Q494" s="151"/>
      <c r="R494" s="151"/>
      <c r="S494" s="151"/>
      <c r="T494" s="151"/>
      <c r="U494" s="151"/>
      <c r="V494" s="151"/>
      <c r="W494" s="151"/>
      <c r="X494" s="151"/>
      <c r="Y494" s="247"/>
      <c r="Z494" s="247"/>
      <c r="AA494" s="247"/>
      <c r="AB494" s="247"/>
      <c r="AC494" s="153"/>
      <c r="AD494" s="149"/>
      <c r="AE494" s="149"/>
      <c r="AF494" s="149"/>
      <c r="AG494" s="149"/>
      <c r="AH494" s="149"/>
      <c r="AI494" s="149"/>
      <c r="AJ494" s="149"/>
      <c r="AK494" s="149"/>
      <c r="AL494" s="149"/>
      <c r="AM494" s="149"/>
      <c r="AN494" s="149"/>
      <c r="AO494" s="149"/>
    </row>
    <row r="495" spans="2:41" ht="15">
      <c r="B495" s="152" t="s">
        <v>404</v>
      </c>
      <c r="C495" s="151"/>
      <c r="D495" s="151"/>
      <c r="E495" s="151"/>
      <c r="F495" s="151"/>
      <c r="G495" s="151"/>
      <c r="H495" s="151"/>
      <c r="I495" s="151"/>
      <c r="J495" s="151"/>
      <c r="K495" s="151"/>
      <c r="L495" s="151"/>
      <c r="M495" s="151"/>
      <c r="N495" s="151"/>
      <c r="O495" s="151"/>
      <c r="P495" s="151"/>
      <c r="Q495" s="151"/>
      <c r="R495" s="151"/>
      <c r="S495" s="151"/>
      <c r="T495" s="151"/>
      <c r="U495" s="151"/>
      <c r="V495" s="151"/>
      <c r="W495" s="151"/>
      <c r="X495" s="151"/>
      <c r="Y495" s="247"/>
      <c r="Z495" s="247"/>
      <c r="AA495" s="247"/>
      <c r="AB495" s="247"/>
      <c r="AC495" s="153"/>
      <c r="AD495" s="149"/>
      <c r="AE495" s="149"/>
      <c r="AF495" s="149"/>
      <c r="AG495" s="149"/>
      <c r="AH495" s="149"/>
      <c r="AI495" s="149"/>
      <c r="AJ495" s="149"/>
      <c r="AK495" s="149"/>
      <c r="AL495" s="149"/>
      <c r="AM495" s="149"/>
      <c r="AN495" s="149"/>
      <c r="AO495" s="149"/>
    </row>
    <row r="496" spans="2:41">
      <c r="AC496" s="190"/>
      <c r="AO496" s="149"/>
    </row>
  </sheetData>
  <sheetProtection formatCells="0"/>
  <mergeCells count="1">
    <mergeCell ref="AD23:AD25"/>
  </mergeCells>
  <printOptions horizontalCentered="1"/>
  <pageMargins left="0.2" right="0.2" top="0.5" bottom="0.5" header="0.3" footer="0.3"/>
  <pageSetup scale="30" orientation="landscape" r:id="rId1"/>
  <rowBreaks count="9" manualBreakCount="9">
    <brk id="45" max="27" man="1"/>
    <brk id="95" max="27" man="1"/>
    <brk id="145" max="27" man="1"/>
    <brk id="195" max="27" man="1"/>
    <brk id="245" max="27" man="1"/>
    <brk id="295" max="27" man="1"/>
    <brk id="345" max="27" man="1"/>
    <brk id="395" max="27" man="1"/>
    <brk id="445" max="27" man="1"/>
  </rowBreaks>
  <colBreaks count="1" manualBreakCount="1">
    <brk id="32" max="35" man="1"/>
  </colBreak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8FC1A-6D5E-4E0D-AD13-982620B49866}">
  <sheetPr codeName="Sheet20"/>
  <dimension ref="A1:J39"/>
  <sheetViews>
    <sheetView workbookViewId="0">
      <pane ySplit="1" topLeftCell="A2" activePane="bottomLeft" state="frozen"/>
      <selection pane="bottomLeft" activeCell="I2" sqref="I2"/>
    </sheetView>
  </sheetViews>
  <sheetFormatPr defaultRowHeight="12.75"/>
  <cols>
    <col min="1" max="1" width="10.28515625" style="195" customWidth="1"/>
    <col min="2" max="2" width="11.85546875" style="194" customWidth="1"/>
    <col min="3" max="3" width="14" style="194" customWidth="1"/>
    <col min="4" max="4" width="15.140625" style="194" customWidth="1"/>
    <col min="5" max="5" width="11.7109375" style="195" customWidth="1"/>
    <col min="6" max="6" width="11.42578125" style="195" customWidth="1"/>
    <col min="7" max="7" width="15" style="195" customWidth="1"/>
    <col min="8" max="8" width="26.140625" style="150" customWidth="1"/>
    <col min="9" max="9" width="11" style="216" customWidth="1"/>
    <col min="10" max="10" width="35.28515625" style="214" customWidth="1"/>
    <col min="11" max="16384" width="9.140625" style="150"/>
  </cols>
  <sheetData>
    <row r="1" spans="1:10" ht="22.5" customHeight="1">
      <c r="A1" s="191" t="s">
        <v>417</v>
      </c>
      <c r="B1" s="192" t="s">
        <v>418</v>
      </c>
      <c r="C1" s="192" t="s">
        <v>419</v>
      </c>
      <c r="D1" s="192" t="s">
        <v>420</v>
      </c>
      <c r="E1" s="192" t="s">
        <v>421</v>
      </c>
      <c r="F1" s="192" t="s">
        <v>422</v>
      </c>
      <c r="G1" s="192" t="s">
        <v>423</v>
      </c>
      <c r="H1" s="192" t="s">
        <v>424</v>
      </c>
      <c r="I1" s="222" t="s">
        <v>567</v>
      </c>
      <c r="J1" s="215" t="s">
        <v>568</v>
      </c>
    </row>
    <row r="2" spans="1:10">
      <c r="A2" s="193" t="s">
        <v>569</v>
      </c>
      <c r="B2" s="194" t="s">
        <v>570</v>
      </c>
      <c r="C2" s="194" t="s">
        <v>571</v>
      </c>
      <c r="D2" s="194" t="s">
        <v>572</v>
      </c>
      <c r="E2" s="195" t="s">
        <v>573</v>
      </c>
      <c r="F2" s="195" t="s">
        <v>574</v>
      </c>
      <c r="G2" s="195" t="s">
        <v>575</v>
      </c>
      <c r="H2" s="150" t="s">
        <v>576</v>
      </c>
      <c r="J2" s="213"/>
    </row>
    <row r="3" spans="1:10">
      <c r="A3" s="193"/>
      <c r="B3" s="196"/>
      <c r="C3" s="226"/>
      <c r="D3" s="226"/>
      <c r="H3" s="198"/>
      <c r="J3" s="213"/>
    </row>
    <row r="4" spans="1:10">
      <c r="A4" s="193"/>
      <c r="B4" s="196"/>
      <c r="C4" s="199"/>
      <c r="D4" s="199"/>
      <c r="H4" s="198"/>
    </row>
    <row r="5" spans="1:10">
      <c r="A5" s="193"/>
      <c r="B5" s="196"/>
      <c r="C5" s="226"/>
      <c r="D5" s="226"/>
      <c r="H5" s="198"/>
    </row>
    <row r="6" spans="1:10">
      <c r="A6" s="193"/>
      <c r="B6" s="196"/>
      <c r="C6" s="197"/>
      <c r="D6" s="197"/>
      <c r="H6" s="198"/>
    </row>
    <row r="7" spans="1:10">
      <c r="A7" s="193"/>
      <c r="B7" s="196"/>
      <c r="C7" s="226"/>
      <c r="D7" s="226"/>
      <c r="H7" s="198"/>
    </row>
    <row r="8" spans="1:10">
      <c r="A8" s="193"/>
      <c r="B8" s="196"/>
      <c r="C8" s="197"/>
      <c r="D8" s="197"/>
      <c r="H8" s="198"/>
    </row>
    <row r="9" spans="1:10">
      <c r="A9" s="193"/>
      <c r="B9" s="196"/>
      <c r="C9" s="197"/>
      <c r="D9" s="226"/>
      <c r="H9" s="198"/>
    </row>
    <row r="10" spans="1:10">
      <c r="B10" s="196"/>
      <c r="C10" s="197"/>
      <c r="D10" s="197"/>
      <c r="H10" s="198"/>
    </row>
    <row r="11" spans="1:10">
      <c r="B11" s="196"/>
      <c r="C11" s="197"/>
      <c r="D11" s="197"/>
      <c r="H11" s="198"/>
    </row>
    <row r="12" spans="1:10">
      <c r="B12" s="196"/>
      <c r="C12" s="197"/>
      <c r="D12" s="197"/>
      <c r="H12" s="198"/>
    </row>
    <row r="13" spans="1:10">
      <c r="B13" s="196"/>
      <c r="C13" s="197"/>
      <c r="D13" s="197"/>
      <c r="H13" s="198"/>
    </row>
    <row r="14" spans="1:10">
      <c r="B14" s="196"/>
      <c r="C14" s="197"/>
      <c r="D14" s="197"/>
      <c r="H14" s="198"/>
    </row>
    <row r="15" spans="1:10">
      <c r="B15" s="196"/>
      <c r="C15" s="197"/>
      <c r="D15" s="197"/>
      <c r="H15" s="198"/>
    </row>
    <row r="16" spans="1:10">
      <c r="B16" s="196"/>
      <c r="C16" s="197"/>
      <c r="D16" s="197"/>
      <c r="H16" s="198"/>
    </row>
    <row r="17" spans="2:8">
      <c r="B17" s="196"/>
      <c r="C17" s="197"/>
      <c r="D17" s="197"/>
      <c r="H17" s="198"/>
    </row>
    <row r="18" spans="2:8">
      <c r="B18" s="196"/>
      <c r="C18" s="197"/>
      <c r="D18" s="197"/>
      <c r="H18" s="198"/>
    </row>
    <row r="19" spans="2:8">
      <c r="B19" s="196"/>
      <c r="C19" s="197"/>
      <c r="D19" s="197"/>
      <c r="H19" s="198"/>
    </row>
    <row r="20" spans="2:8">
      <c r="B20" s="196"/>
      <c r="C20" s="197"/>
      <c r="D20" s="197"/>
      <c r="H20" s="198"/>
    </row>
    <row r="21" spans="2:8">
      <c r="B21" s="196"/>
      <c r="C21" s="197"/>
      <c r="D21" s="197"/>
      <c r="H21" s="198"/>
    </row>
    <row r="22" spans="2:8">
      <c r="B22" s="196"/>
      <c r="C22" s="197"/>
      <c r="D22" s="197"/>
      <c r="H22" s="198"/>
    </row>
    <row r="23" spans="2:8">
      <c r="B23" s="196"/>
      <c r="C23" s="197"/>
      <c r="D23" s="197"/>
      <c r="H23" s="198"/>
    </row>
    <row r="24" spans="2:8">
      <c r="B24" s="196"/>
      <c r="C24" s="197"/>
      <c r="D24" s="197"/>
      <c r="H24" s="198"/>
    </row>
    <row r="25" spans="2:8">
      <c r="B25" s="196"/>
      <c r="C25" s="197"/>
      <c r="D25" s="197"/>
      <c r="H25" s="198"/>
    </row>
    <row r="26" spans="2:8">
      <c r="B26" s="196"/>
      <c r="C26" s="197"/>
      <c r="D26" s="197"/>
      <c r="H26" s="198"/>
    </row>
    <row r="27" spans="2:8">
      <c r="B27" s="196"/>
      <c r="C27" s="199"/>
      <c r="D27" s="199"/>
      <c r="H27" s="198"/>
    </row>
    <row r="28" spans="2:8">
      <c r="B28" s="196"/>
      <c r="C28" s="199"/>
      <c r="D28" s="197"/>
      <c r="H28" s="198"/>
    </row>
    <row r="29" spans="2:8">
      <c r="B29" s="196"/>
      <c r="C29" s="197"/>
      <c r="D29" s="197"/>
      <c r="H29" s="198"/>
    </row>
    <row r="30" spans="2:8">
      <c r="B30" s="196"/>
      <c r="C30" s="197"/>
      <c r="D30" s="197"/>
      <c r="H30" s="198"/>
    </row>
    <row r="31" spans="2:8">
      <c r="B31" s="196"/>
      <c r="C31" s="197"/>
      <c r="D31" s="197"/>
      <c r="H31" s="198"/>
    </row>
    <row r="32" spans="2:8">
      <c r="B32" s="196"/>
      <c r="C32" s="197"/>
      <c r="D32" s="197"/>
      <c r="H32" s="198"/>
    </row>
    <row r="33" spans="2:8">
      <c r="B33" s="196"/>
      <c r="C33" s="197"/>
      <c r="D33" s="197"/>
      <c r="H33" s="198"/>
    </row>
    <row r="34" spans="2:8">
      <c r="B34" s="196"/>
      <c r="C34" s="197"/>
      <c r="D34" s="197"/>
      <c r="H34" s="198"/>
    </row>
    <row r="35" spans="2:8">
      <c r="B35" s="196"/>
      <c r="C35" s="197"/>
      <c r="D35" s="197"/>
      <c r="H35" s="198"/>
    </row>
    <row r="36" spans="2:8">
      <c r="B36" s="196"/>
      <c r="C36" s="197"/>
      <c r="D36" s="197"/>
      <c r="H36" s="198"/>
    </row>
    <row r="37" spans="2:8">
      <c r="B37" s="196"/>
      <c r="C37" s="199"/>
      <c r="D37" s="199"/>
      <c r="H37" s="198"/>
    </row>
    <row r="38" spans="2:8">
      <c r="B38" s="196"/>
      <c r="C38" s="199"/>
      <c r="D38" s="199"/>
      <c r="H38" s="198"/>
    </row>
    <row r="39" spans="2:8">
      <c r="B39" s="196"/>
      <c r="C39" s="199"/>
      <c r="D39" s="199"/>
      <c r="H39" s="198"/>
    </row>
  </sheetData>
  <sheetProtection algorithmName="SHA-512" hashValue="sTtMq3UiHI7YeU58rMJIy0X3IKMDwiPpk9dgKPf/n2L+S4Ntaa58ItxHZ/vgJrhvziluJrHrOrCklnR5c52r5A==" saltValue="zZC7JW+oMS1IE/kkm5E+dw==" spinCount="100000" sheet="1" objects="1" scenarios="1" select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Line="0" autoPict="0" macro="[0]!Sheet20.CleanData">
                <anchor moveWithCells="1" sizeWithCells="1">
                  <from>
                    <xdr:col>10</xdr:col>
                    <xdr:colOff>133350</xdr:colOff>
                    <xdr:row>0</xdr:row>
                    <xdr:rowOff>0</xdr:rowOff>
                  </from>
                  <to>
                    <xdr:col>12</xdr:col>
                    <xdr:colOff>552450</xdr:colOff>
                    <xdr:row>1</xdr:row>
                    <xdr:rowOff>9525</xdr:rowOff>
                  </to>
                </anchor>
              </controlPr>
            </control>
          </mc:Choice>
        </mc:AlternateContent>
        <mc:AlternateContent xmlns:mc="http://schemas.openxmlformats.org/markup-compatibility/2006">
          <mc:Choice Requires="x14">
            <control shapeId="19458" r:id="rId5" name="Button 2">
              <controlPr defaultSize="0" print="0" autoLine="0" autoPict="0" macro="[0]!Sheet20.TransferData">
                <anchor moveWithCells="1" sizeWithCells="1">
                  <from>
                    <xdr:col>13</xdr:col>
                    <xdr:colOff>257175</xdr:colOff>
                    <xdr:row>0</xdr:row>
                    <xdr:rowOff>0</xdr:rowOff>
                  </from>
                  <to>
                    <xdr:col>16</xdr:col>
                    <xdr:colOff>66675</xdr:colOff>
                    <xdr:row>1</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CP885"/>
  <sheetViews>
    <sheetView workbookViewId="0">
      <pane xSplit="3" ySplit="1" topLeftCell="G2" activePane="bottomRight" state="frozen"/>
      <selection pane="topRight" activeCell="D1" sqref="D1"/>
      <selection pane="bottomLeft" activeCell="A2" sqref="A2"/>
      <selection pane="bottomRight" activeCell="A9" sqref="A9"/>
    </sheetView>
  </sheetViews>
  <sheetFormatPr defaultColWidth="9.140625" defaultRowHeight="15" outlineLevelCol="1"/>
  <cols>
    <col min="1" max="1" width="10.7109375" style="90" customWidth="1"/>
    <col min="2" max="2" width="37.5703125" style="79" hidden="1" customWidth="1" outlineLevel="1"/>
    <col min="3" max="3" width="19" style="79" customWidth="1" collapsed="1"/>
    <col min="4" max="6" width="10.7109375" style="224" hidden="1" customWidth="1" outlineLevel="1"/>
    <col min="7" max="7" width="12" style="79" bestFit="1" customWidth="1" collapsed="1"/>
    <col min="8" max="8" width="12.140625" style="79" hidden="1" customWidth="1" outlineLevel="1"/>
    <col min="9" max="9" width="12.140625" style="219" hidden="1" customWidth="1" outlineLevel="1"/>
    <col min="10" max="10" width="12.140625" style="79" hidden="1" customWidth="1" outlineLevel="1"/>
    <col min="11" max="11" width="17.7109375" style="79" hidden="1" customWidth="1" outlineLevel="1"/>
    <col min="12" max="12" width="36.42578125" style="219" bestFit="1" customWidth="1" collapsed="1"/>
    <col min="13" max="13" width="43" style="219" bestFit="1" customWidth="1"/>
    <col min="14" max="14" width="28.140625" style="79" bestFit="1" customWidth="1"/>
    <col min="15" max="15" width="18.7109375" style="79" bestFit="1" customWidth="1"/>
    <col min="16" max="16" width="30" style="90" bestFit="1" customWidth="1"/>
    <col min="17" max="17" width="43" style="93" bestFit="1" customWidth="1"/>
    <col min="18" max="18" width="10.7109375" style="90" hidden="1" customWidth="1" outlineLevel="1"/>
    <col min="19" max="24" width="10.140625" style="93" hidden="1" customWidth="1" outlineLevel="1"/>
    <col min="25" max="25" width="21.85546875" style="79" bestFit="1" customWidth="1" collapsed="1"/>
    <col min="26" max="26" width="11.140625" style="306" bestFit="1" customWidth="1"/>
    <col min="27" max="94" width="18.28515625" style="306" customWidth="1"/>
    <col min="95" max="16384" width="9.140625" style="79"/>
  </cols>
  <sheetData>
    <row r="1" spans="1:94">
      <c r="A1" s="330" t="s">
        <v>315</v>
      </c>
      <c r="B1" s="330"/>
      <c r="C1" s="330"/>
      <c r="D1" s="330"/>
      <c r="E1" s="330"/>
      <c r="F1" s="330"/>
      <c r="G1" s="330"/>
      <c r="H1" s="330"/>
      <c r="I1" s="330"/>
      <c r="J1" s="330"/>
      <c r="K1" s="330"/>
      <c r="L1" s="330"/>
      <c r="M1" s="330"/>
      <c r="N1" s="101"/>
      <c r="O1" s="101"/>
      <c r="P1" s="104" t="s">
        <v>295</v>
      </c>
      <c r="Q1" s="101"/>
      <c r="R1" s="101"/>
      <c r="S1" s="101"/>
      <c r="T1" s="101"/>
      <c r="U1" s="101"/>
      <c r="V1" s="101"/>
      <c r="W1" s="101"/>
      <c r="X1" s="101"/>
      <c r="Y1" s="101"/>
      <c r="Z1" s="298"/>
      <c r="AA1" s="299"/>
      <c r="AB1" s="299"/>
      <c r="AC1" s="299"/>
      <c r="AD1" s="299"/>
      <c r="AE1" s="299"/>
      <c r="AF1" s="299"/>
      <c r="AG1" s="299"/>
      <c r="AH1" s="299"/>
      <c r="AI1" s="299"/>
      <c r="AJ1" s="299"/>
      <c r="AK1" s="300"/>
      <c r="AL1" s="298"/>
      <c r="AM1" s="299"/>
      <c r="AN1" s="299"/>
      <c r="AO1" s="299"/>
      <c r="AP1" s="299"/>
      <c r="AQ1" s="299"/>
      <c r="AR1" s="299"/>
      <c r="AS1" s="299"/>
      <c r="AT1" s="299"/>
      <c r="AU1" s="299"/>
      <c r="AV1" s="300"/>
      <c r="AW1" s="298"/>
      <c r="AX1" s="299"/>
      <c r="AY1" s="299"/>
      <c r="AZ1" s="299"/>
      <c r="BA1" s="299"/>
      <c r="BB1" s="299"/>
      <c r="BC1" s="299"/>
      <c r="BD1" s="301"/>
      <c r="BE1" s="301"/>
      <c r="BF1" s="301"/>
      <c r="BG1" s="301"/>
      <c r="BH1" s="301"/>
      <c r="BI1" s="301"/>
      <c r="BJ1" s="299"/>
      <c r="BK1" s="299"/>
      <c r="BL1" s="299"/>
      <c r="BM1" s="300"/>
      <c r="BN1" s="298"/>
      <c r="BO1" s="299"/>
      <c r="BP1" s="299"/>
      <c r="BQ1" s="299"/>
      <c r="BR1" s="299"/>
      <c r="BS1" s="299"/>
      <c r="BT1" s="299"/>
      <c r="BU1" s="299"/>
      <c r="BV1" s="299"/>
      <c r="BW1" s="299"/>
      <c r="BX1" s="300"/>
      <c r="BY1" s="298"/>
      <c r="BZ1" s="299"/>
      <c r="CA1" s="299"/>
      <c r="CB1" s="299"/>
      <c r="CC1" s="299"/>
      <c r="CD1" s="299"/>
      <c r="CE1" s="299"/>
      <c r="CF1" s="299"/>
      <c r="CG1" s="299"/>
      <c r="CH1" s="299"/>
      <c r="CI1" s="300"/>
      <c r="CJ1" s="298"/>
      <c r="CK1" s="299"/>
      <c r="CL1" s="299"/>
      <c r="CM1" s="299"/>
      <c r="CN1" s="299"/>
      <c r="CO1" s="299"/>
      <c r="CP1" s="299"/>
    </row>
    <row r="2" spans="1:94" s="80" customFormat="1">
      <c r="A2" s="95" t="s">
        <v>78</v>
      </c>
      <c r="B2" s="97" t="s">
        <v>286</v>
      </c>
      <c r="C2" s="95" t="s">
        <v>78</v>
      </c>
      <c r="D2" s="95" t="s">
        <v>288</v>
      </c>
      <c r="E2" s="95" t="s">
        <v>288</v>
      </c>
      <c r="F2" s="95" t="s">
        <v>288</v>
      </c>
      <c r="G2" s="95" t="s">
        <v>288</v>
      </c>
      <c r="H2" s="95" t="s">
        <v>288</v>
      </c>
      <c r="I2" s="217" t="s">
        <v>288</v>
      </c>
      <c r="J2" s="95" t="s">
        <v>288</v>
      </c>
      <c r="K2" s="95" t="s">
        <v>288</v>
      </c>
      <c r="L2" s="217" t="s">
        <v>288</v>
      </c>
      <c r="M2" s="322" t="s">
        <v>286</v>
      </c>
      <c r="N2" s="96" t="s">
        <v>78</v>
      </c>
      <c r="O2" s="96" t="s">
        <v>287</v>
      </c>
      <c r="P2" s="96" t="s">
        <v>78</v>
      </c>
      <c r="Q2" s="95" t="s">
        <v>288</v>
      </c>
      <c r="R2" s="95" t="s">
        <v>288</v>
      </c>
      <c r="S2" s="95" t="s">
        <v>79</v>
      </c>
      <c r="T2" s="95" t="s">
        <v>79</v>
      </c>
      <c r="U2" s="95" t="s">
        <v>79</v>
      </c>
      <c r="V2" s="95" t="s">
        <v>79</v>
      </c>
      <c r="W2" s="95" t="s">
        <v>79</v>
      </c>
      <c r="X2" s="95" t="s">
        <v>79</v>
      </c>
      <c r="Y2" s="97" t="s">
        <v>78</v>
      </c>
      <c r="Z2" s="95" t="s">
        <v>288</v>
      </c>
      <c r="AA2" s="95"/>
      <c r="AB2" s="95"/>
      <c r="AC2" s="95"/>
      <c r="AD2" s="95"/>
      <c r="AE2" s="95"/>
      <c r="AF2" s="95"/>
      <c r="AG2" s="95"/>
      <c r="AH2" s="95"/>
      <c r="AI2" s="95"/>
      <c r="AJ2" s="95"/>
      <c r="AK2" s="95"/>
      <c r="AL2" s="95"/>
      <c r="AM2" s="95"/>
      <c r="AN2" s="95"/>
      <c r="AO2" s="95"/>
      <c r="AP2" s="95"/>
      <c r="AQ2" s="95"/>
      <c r="AR2" s="95"/>
      <c r="AS2" s="95"/>
      <c r="AT2" s="95"/>
      <c r="AU2" s="95"/>
      <c r="AV2" s="95"/>
      <c r="AW2" s="95"/>
      <c r="AX2" s="95"/>
      <c r="AY2" s="95"/>
      <c r="AZ2" s="95"/>
      <c r="BA2" s="95"/>
      <c r="BB2" s="95"/>
      <c r="BC2" s="95"/>
      <c r="BD2" s="95"/>
      <c r="BE2" s="95"/>
      <c r="BF2" s="95"/>
      <c r="BG2" s="95"/>
      <c r="BH2" s="95"/>
      <c r="BI2" s="95"/>
      <c r="BJ2" s="95"/>
      <c r="BK2" s="95"/>
      <c r="BL2" s="95"/>
      <c r="BM2" s="95"/>
      <c r="BN2" s="95"/>
      <c r="BO2" s="95"/>
      <c r="BP2" s="95"/>
      <c r="BQ2" s="95"/>
      <c r="BR2" s="95"/>
      <c r="BS2" s="95"/>
      <c r="BT2" s="95"/>
      <c r="BU2" s="95"/>
      <c r="BV2" s="95"/>
      <c r="BW2" s="95"/>
      <c r="BX2" s="95"/>
      <c r="BY2" s="95"/>
      <c r="BZ2" s="95"/>
      <c r="CA2" s="95"/>
      <c r="CB2" s="95"/>
      <c r="CC2" s="95"/>
      <c r="CD2" s="95"/>
      <c r="CE2" s="95"/>
      <c r="CF2" s="95"/>
      <c r="CG2" s="95"/>
      <c r="CH2" s="95"/>
      <c r="CI2" s="95"/>
      <c r="CJ2" s="95"/>
      <c r="CK2" s="95"/>
      <c r="CL2" s="95"/>
      <c r="CM2" s="95"/>
      <c r="CN2" s="95"/>
      <c r="CO2" s="95"/>
      <c r="CP2" s="95"/>
    </row>
    <row r="3" spans="1:94" s="309" customFormat="1" ht="45">
      <c r="A3" s="97" t="s">
        <v>80</v>
      </c>
      <c r="B3" s="97" t="s">
        <v>185</v>
      </c>
      <c r="C3" s="98" t="s">
        <v>0</v>
      </c>
      <c r="D3" s="223" t="s">
        <v>578</v>
      </c>
      <c r="E3" s="223" t="s">
        <v>579</v>
      </c>
      <c r="F3" s="223" t="s">
        <v>580</v>
      </c>
      <c r="G3" s="99" t="s">
        <v>577</v>
      </c>
      <c r="H3" s="102" t="s">
        <v>87</v>
      </c>
      <c r="I3" s="218" t="s">
        <v>86</v>
      </c>
      <c r="J3" s="102" t="s">
        <v>88</v>
      </c>
      <c r="K3" s="102" t="s">
        <v>256</v>
      </c>
      <c r="L3" s="220" t="s">
        <v>3</v>
      </c>
      <c r="M3" s="323" t="s">
        <v>257</v>
      </c>
      <c r="N3" s="121" t="s">
        <v>258</v>
      </c>
      <c r="O3" s="122" t="s">
        <v>267</v>
      </c>
      <c r="P3" s="98" t="s">
        <v>255</v>
      </c>
      <c r="Q3" s="98" t="s">
        <v>586</v>
      </c>
      <c r="R3" s="102" t="s">
        <v>285</v>
      </c>
      <c r="S3" s="97" t="s">
        <v>583</v>
      </c>
      <c r="T3" s="97" t="s">
        <v>339</v>
      </c>
      <c r="U3" s="97" t="s">
        <v>585</v>
      </c>
      <c r="V3" s="246" t="s">
        <v>584</v>
      </c>
      <c r="W3" s="246" t="s">
        <v>582</v>
      </c>
      <c r="X3" s="246" t="s">
        <v>581</v>
      </c>
      <c r="Y3" s="97" t="s">
        <v>372</v>
      </c>
      <c r="Z3" s="302" t="s">
        <v>609</v>
      </c>
      <c r="AA3" s="97"/>
      <c r="AB3" s="97"/>
      <c r="AC3" s="97"/>
      <c r="AD3" s="97"/>
      <c r="AE3" s="97"/>
      <c r="AF3" s="97"/>
      <c r="AG3" s="97"/>
      <c r="AH3" s="97"/>
      <c r="AI3" s="97"/>
      <c r="AJ3" s="97"/>
      <c r="AK3" s="97"/>
      <c r="AL3" s="97"/>
      <c r="AM3" s="97"/>
      <c r="AN3" s="97"/>
      <c r="AO3" s="97"/>
      <c r="AP3" s="97"/>
      <c r="AQ3" s="97"/>
      <c r="AR3" s="97"/>
      <c r="AS3" s="97"/>
      <c r="AT3" s="97"/>
      <c r="AU3" s="97"/>
      <c r="AV3" s="97"/>
      <c r="AW3" s="97"/>
      <c r="AX3" s="97"/>
      <c r="AY3" s="97"/>
      <c r="AZ3" s="97"/>
      <c r="BA3" s="97"/>
      <c r="BB3" s="97"/>
      <c r="BC3" s="97"/>
      <c r="BD3" s="97"/>
      <c r="BE3" s="97"/>
      <c r="BF3" s="97"/>
      <c r="BG3" s="97"/>
      <c r="BH3" s="97"/>
      <c r="BI3" s="97"/>
      <c r="BJ3" s="97"/>
      <c r="BK3" s="97"/>
      <c r="BL3" s="97"/>
      <c r="BM3" s="97"/>
      <c r="BN3" s="97"/>
      <c r="BO3" s="97"/>
      <c r="BP3" s="97"/>
      <c r="BQ3" s="97"/>
      <c r="BR3" s="97"/>
      <c r="BS3" s="97"/>
      <c r="BT3" s="97"/>
      <c r="BU3" s="97"/>
      <c r="BV3" s="97"/>
      <c r="BW3" s="97"/>
      <c r="BX3" s="97"/>
      <c r="BY3" s="97"/>
      <c r="BZ3" s="97"/>
      <c r="CA3" s="97"/>
      <c r="CB3" s="97"/>
      <c r="CC3" s="97"/>
      <c r="CD3" s="97"/>
      <c r="CE3" s="97"/>
      <c r="CF3" s="97"/>
      <c r="CG3" s="97"/>
      <c r="CH3" s="97"/>
      <c r="CI3" s="97"/>
      <c r="CJ3" s="97"/>
      <c r="CK3" s="97"/>
      <c r="CL3" s="97"/>
      <c r="CM3" s="97"/>
      <c r="CN3" s="97"/>
      <c r="CO3" s="97"/>
      <c r="CP3" s="97"/>
    </row>
    <row r="4" spans="1:94" s="238" customFormat="1">
      <c r="A4" s="227">
        <v>1</v>
      </c>
      <c r="B4" s="228"/>
      <c r="C4" s="229" t="s">
        <v>8</v>
      </c>
      <c r="D4" s="230" t="s">
        <v>33</v>
      </c>
      <c r="E4" s="230" t="s">
        <v>33</v>
      </c>
      <c r="F4" s="230" t="s">
        <v>33</v>
      </c>
      <c r="G4" s="231" t="s">
        <v>81</v>
      </c>
      <c r="H4" s="230" t="str">
        <f t="shared" ref="H4:H8" si="0">IF(G4="Attribute","NA",D4)</f>
        <v>NA</v>
      </c>
      <c r="I4" s="232" t="str">
        <f t="shared" ref="I4:I8" si="1">IF(G4="Attribute","NA",E4)</f>
        <v>NA</v>
      </c>
      <c r="J4" s="230" t="str">
        <f t="shared" ref="J4:J8" si="2">IF(G4="Attribute","NA",F4)</f>
        <v>NA</v>
      </c>
      <c r="K4" s="230" t="str">
        <f t="shared" ref="K4:K9" si="3">IF(RIGH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_",LEF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LEN(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f>
        <v>i</v>
      </c>
      <c r="L4" s="233" t="s">
        <v>281</v>
      </c>
      <c r="M4" s="324" t="s">
        <v>33</v>
      </c>
      <c r="N4" s="235" t="s">
        <v>59</v>
      </c>
      <c r="O4" s="236">
        <v>1</v>
      </c>
      <c r="P4" s="234" t="s">
        <v>33</v>
      </c>
      <c r="Q4" s="234" t="s">
        <v>33</v>
      </c>
      <c r="R4" s="230" t="str">
        <f>IFERROR(SUM(F4-D4),"NA")</f>
        <v>NA</v>
      </c>
      <c r="S4" s="237" t="s">
        <v>33</v>
      </c>
      <c r="T4" s="237" t="s">
        <v>33</v>
      </c>
      <c r="U4" s="237" t="s">
        <v>33</v>
      </c>
      <c r="V4" s="237" t="s">
        <v>33</v>
      </c>
      <c r="W4" s="237" t="s">
        <v>33</v>
      </c>
      <c r="X4" s="237" t="s">
        <v>33</v>
      </c>
      <c r="Y4" s="228"/>
      <c r="Z4" s="303"/>
      <c r="AA4" s="303"/>
      <c r="AB4" s="303"/>
      <c r="AC4" s="303"/>
      <c r="AD4" s="303"/>
      <c r="AE4" s="303"/>
      <c r="AF4" s="303"/>
      <c r="AG4" s="303"/>
      <c r="AH4" s="303"/>
      <c r="AI4" s="303"/>
      <c r="AJ4" s="303"/>
      <c r="AK4" s="303"/>
      <c r="AL4" s="303"/>
      <c r="AM4" s="303"/>
      <c r="AN4" s="303"/>
      <c r="AO4" s="303"/>
      <c r="AP4" s="303"/>
      <c r="AQ4" s="303"/>
      <c r="AR4" s="303"/>
      <c r="AS4" s="303"/>
      <c r="AT4" s="303"/>
      <c r="AU4" s="303"/>
      <c r="AV4" s="303"/>
      <c r="AW4" s="303"/>
      <c r="AX4" s="303"/>
      <c r="AY4" s="303"/>
      <c r="AZ4" s="303"/>
      <c r="BA4" s="303"/>
      <c r="BB4" s="303"/>
      <c r="BC4" s="303"/>
      <c r="BD4" s="303"/>
      <c r="BE4" s="303"/>
      <c r="BF4" s="303"/>
      <c r="BG4" s="303"/>
      <c r="BH4" s="303"/>
      <c r="BI4" s="303"/>
      <c r="BJ4" s="303"/>
      <c r="BK4" s="303"/>
      <c r="BL4" s="303"/>
      <c r="BM4" s="303"/>
      <c r="BN4" s="303"/>
      <c r="BO4" s="303"/>
      <c r="BP4" s="303"/>
      <c r="BQ4" s="303"/>
      <c r="BR4" s="303"/>
      <c r="BS4" s="303"/>
      <c r="BT4" s="303"/>
      <c r="BU4" s="303"/>
      <c r="BV4" s="303"/>
      <c r="BW4" s="303"/>
      <c r="BX4" s="303"/>
      <c r="BY4" s="303"/>
      <c r="BZ4" s="303"/>
      <c r="CA4" s="303"/>
      <c r="CB4" s="303"/>
      <c r="CC4" s="303"/>
      <c r="CD4" s="303"/>
      <c r="CE4" s="303"/>
      <c r="CF4" s="303"/>
      <c r="CG4" s="303"/>
      <c r="CH4" s="303"/>
      <c r="CI4" s="303"/>
      <c r="CJ4" s="303"/>
      <c r="CK4" s="303"/>
      <c r="CL4" s="303"/>
      <c r="CM4" s="303"/>
      <c r="CN4" s="303"/>
      <c r="CO4" s="303"/>
      <c r="CP4" s="303"/>
    </row>
    <row r="5" spans="1:94" s="238" customFormat="1">
      <c r="A5" s="227">
        <v>2</v>
      </c>
      <c r="B5" s="228"/>
      <c r="C5" s="229" t="s">
        <v>9</v>
      </c>
      <c r="D5" s="230" t="s">
        <v>33</v>
      </c>
      <c r="E5" s="230" t="s">
        <v>33</v>
      </c>
      <c r="F5" s="230" t="s">
        <v>33</v>
      </c>
      <c r="G5" s="231" t="s">
        <v>81</v>
      </c>
      <c r="H5" s="230" t="str">
        <f t="shared" si="0"/>
        <v>NA</v>
      </c>
      <c r="I5" s="232" t="str">
        <f t="shared" si="1"/>
        <v>NA</v>
      </c>
      <c r="J5" s="230" t="str">
        <f t="shared" si="2"/>
        <v>NA</v>
      </c>
      <c r="K5" s="230" t="str">
        <f t="shared" si="3"/>
        <v>ii</v>
      </c>
      <c r="L5" s="233" t="s">
        <v>83</v>
      </c>
      <c r="M5" s="324" t="s">
        <v>33</v>
      </c>
      <c r="N5" s="235" t="s">
        <v>59</v>
      </c>
      <c r="O5" s="236">
        <v>1</v>
      </c>
      <c r="P5" s="234" t="s">
        <v>33</v>
      </c>
      <c r="Q5" s="234" t="s">
        <v>33</v>
      </c>
      <c r="R5" s="230" t="str">
        <f t="shared" ref="R5:R68" si="4">IFERROR(SUM(F5-D5),"NA")</f>
        <v>NA</v>
      </c>
      <c r="S5" s="237" t="s">
        <v>33</v>
      </c>
      <c r="T5" s="237" t="s">
        <v>33</v>
      </c>
      <c r="U5" s="237" t="s">
        <v>33</v>
      </c>
      <c r="V5" s="237" t="s">
        <v>33</v>
      </c>
      <c r="W5" s="237" t="s">
        <v>33</v>
      </c>
      <c r="X5" s="237" t="s">
        <v>33</v>
      </c>
      <c r="Y5" s="228"/>
      <c r="Z5" s="303"/>
      <c r="AA5" s="303"/>
      <c r="AB5" s="303"/>
      <c r="AC5" s="303"/>
      <c r="AD5" s="303"/>
      <c r="AE5" s="303"/>
      <c r="AF5" s="303"/>
      <c r="AG5" s="303"/>
      <c r="AH5" s="303"/>
      <c r="AI5" s="303"/>
      <c r="AJ5" s="303"/>
      <c r="AK5" s="303"/>
      <c r="AL5" s="303"/>
      <c r="AM5" s="303"/>
      <c r="AN5" s="303"/>
      <c r="AO5" s="303"/>
      <c r="AP5" s="303"/>
      <c r="AQ5" s="303"/>
      <c r="AR5" s="303"/>
      <c r="AS5" s="303"/>
      <c r="AT5" s="303"/>
      <c r="AU5" s="303"/>
      <c r="AV5" s="303"/>
      <c r="AW5" s="303"/>
      <c r="AX5" s="303"/>
      <c r="AY5" s="303"/>
      <c r="AZ5" s="303"/>
      <c r="BA5" s="303"/>
      <c r="BB5" s="303"/>
      <c r="BC5" s="303"/>
      <c r="BD5" s="303"/>
      <c r="BE5" s="303"/>
      <c r="BF5" s="303"/>
      <c r="BG5" s="303"/>
      <c r="BH5" s="303"/>
      <c r="BI5" s="303"/>
      <c r="BJ5" s="303"/>
      <c r="BK5" s="303"/>
      <c r="BL5" s="303"/>
      <c r="BM5" s="303"/>
      <c r="BN5" s="303"/>
      <c r="BO5" s="303"/>
      <c r="BP5" s="303"/>
      <c r="BQ5" s="303"/>
      <c r="BR5" s="303"/>
      <c r="BS5" s="303"/>
      <c r="BT5" s="303"/>
      <c r="BU5" s="303"/>
      <c r="BV5" s="303"/>
      <c r="BW5" s="303"/>
      <c r="BX5" s="303"/>
      <c r="BY5" s="303"/>
      <c r="BZ5" s="303"/>
      <c r="CA5" s="303"/>
      <c r="CB5" s="303"/>
      <c r="CC5" s="303"/>
      <c r="CD5" s="303"/>
      <c r="CE5" s="303"/>
      <c r="CF5" s="303"/>
      <c r="CG5" s="303"/>
      <c r="CH5" s="303"/>
      <c r="CI5" s="303"/>
      <c r="CJ5" s="303"/>
      <c r="CK5" s="303"/>
      <c r="CL5" s="303"/>
      <c r="CM5" s="303"/>
      <c r="CN5" s="303"/>
      <c r="CO5" s="303"/>
      <c r="CP5" s="303"/>
    </row>
    <row r="6" spans="1:94" s="238" customFormat="1">
      <c r="A6" s="227">
        <v>3</v>
      </c>
      <c r="B6" s="228"/>
      <c r="C6" s="229" t="s">
        <v>10</v>
      </c>
      <c r="D6" s="230" t="s">
        <v>33</v>
      </c>
      <c r="E6" s="230" t="s">
        <v>33</v>
      </c>
      <c r="F6" s="230" t="s">
        <v>33</v>
      </c>
      <c r="G6" s="231" t="s">
        <v>81</v>
      </c>
      <c r="H6" s="230" t="str">
        <f t="shared" si="0"/>
        <v>NA</v>
      </c>
      <c r="I6" s="232" t="str">
        <f t="shared" si="1"/>
        <v>NA</v>
      </c>
      <c r="J6" s="230" t="str">
        <f t="shared" si="2"/>
        <v>NA</v>
      </c>
      <c r="K6" s="230" t="str">
        <f t="shared" si="3"/>
        <v>iii</v>
      </c>
      <c r="L6" s="233" t="s">
        <v>84</v>
      </c>
      <c r="M6" s="324" t="s">
        <v>33</v>
      </c>
      <c r="N6" s="235" t="s">
        <v>59</v>
      </c>
      <c r="O6" s="236">
        <v>1</v>
      </c>
      <c r="P6" s="234" t="s">
        <v>33</v>
      </c>
      <c r="Q6" s="234" t="s">
        <v>33</v>
      </c>
      <c r="R6" s="230" t="str">
        <f t="shared" si="4"/>
        <v>NA</v>
      </c>
      <c r="S6" s="237" t="s">
        <v>33</v>
      </c>
      <c r="T6" s="237" t="s">
        <v>33</v>
      </c>
      <c r="U6" s="237" t="s">
        <v>33</v>
      </c>
      <c r="V6" s="237" t="s">
        <v>33</v>
      </c>
      <c r="W6" s="237" t="s">
        <v>33</v>
      </c>
      <c r="X6" s="237" t="s">
        <v>33</v>
      </c>
      <c r="Y6" s="228"/>
      <c r="Z6" s="303"/>
      <c r="AA6" s="303"/>
      <c r="AB6" s="303"/>
      <c r="AC6" s="303"/>
      <c r="AD6" s="303"/>
      <c r="AE6" s="303"/>
      <c r="AF6" s="303"/>
      <c r="AG6" s="303"/>
      <c r="AH6" s="303"/>
      <c r="AI6" s="303"/>
      <c r="AJ6" s="303"/>
      <c r="AK6" s="303"/>
      <c r="AL6" s="303"/>
      <c r="AM6" s="303"/>
      <c r="AN6" s="303"/>
      <c r="AO6" s="303"/>
      <c r="AP6" s="303"/>
      <c r="AQ6" s="303"/>
      <c r="AR6" s="303"/>
      <c r="AS6" s="303"/>
      <c r="AT6" s="303"/>
      <c r="AU6" s="303"/>
      <c r="AV6" s="303"/>
      <c r="AW6" s="303"/>
      <c r="AX6" s="303"/>
      <c r="AY6" s="303"/>
      <c r="AZ6" s="303"/>
      <c r="BA6" s="303"/>
      <c r="BB6" s="303"/>
      <c r="BC6" s="303"/>
      <c r="BD6" s="303"/>
      <c r="BE6" s="303"/>
      <c r="BF6" s="303"/>
      <c r="BG6" s="303"/>
      <c r="BH6" s="303"/>
      <c r="BI6" s="303"/>
      <c r="BJ6" s="303"/>
      <c r="BK6" s="303"/>
      <c r="BL6" s="303"/>
      <c r="BM6" s="303"/>
      <c r="BN6" s="303"/>
      <c r="BO6" s="303"/>
      <c r="BP6" s="303"/>
      <c r="BQ6" s="303"/>
      <c r="BR6" s="303"/>
      <c r="BS6" s="303"/>
      <c r="BT6" s="303"/>
      <c r="BU6" s="303"/>
      <c r="BV6" s="303"/>
      <c r="BW6" s="303"/>
      <c r="BX6" s="303"/>
      <c r="BY6" s="303"/>
      <c r="BZ6" s="303"/>
      <c r="CA6" s="303"/>
      <c r="CB6" s="303"/>
      <c r="CC6" s="303"/>
      <c r="CD6" s="303"/>
      <c r="CE6" s="303"/>
      <c r="CF6" s="303"/>
      <c r="CG6" s="303"/>
      <c r="CH6" s="303"/>
      <c r="CI6" s="303"/>
      <c r="CJ6" s="303"/>
      <c r="CK6" s="303"/>
      <c r="CL6" s="303"/>
      <c r="CM6" s="303"/>
      <c r="CN6" s="303"/>
      <c r="CO6" s="303"/>
      <c r="CP6" s="303"/>
    </row>
    <row r="7" spans="1:94" s="238" customFormat="1" ht="25.5" customHeight="1">
      <c r="A7" s="227">
        <v>4</v>
      </c>
      <c r="B7" s="228"/>
      <c r="C7" s="229" t="s">
        <v>11</v>
      </c>
      <c r="D7" s="230" t="s">
        <v>33</v>
      </c>
      <c r="E7" s="230" t="s">
        <v>33</v>
      </c>
      <c r="F7" s="230" t="s">
        <v>33</v>
      </c>
      <c r="G7" s="231" t="s">
        <v>81</v>
      </c>
      <c r="H7" s="230" t="str">
        <f t="shared" si="0"/>
        <v>NA</v>
      </c>
      <c r="I7" s="232" t="str">
        <f t="shared" si="1"/>
        <v>NA</v>
      </c>
      <c r="J7" s="230" t="str">
        <f t="shared" si="2"/>
        <v>NA</v>
      </c>
      <c r="K7" s="230" t="str">
        <f t="shared" si="3"/>
        <v>iv</v>
      </c>
      <c r="L7" s="239" t="s">
        <v>253</v>
      </c>
      <c r="M7" s="233" t="s">
        <v>33</v>
      </c>
      <c r="N7" s="235" t="s">
        <v>90</v>
      </c>
      <c r="O7" s="236" t="s">
        <v>108</v>
      </c>
      <c r="P7" s="240" t="s">
        <v>33</v>
      </c>
      <c r="Q7" s="234" t="s">
        <v>33</v>
      </c>
      <c r="R7" s="230" t="str">
        <f t="shared" si="4"/>
        <v>NA</v>
      </c>
      <c r="S7" s="237" t="s">
        <v>33</v>
      </c>
      <c r="T7" s="237" t="s">
        <v>33</v>
      </c>
      <c r="U7" s="237" t="s">
        <v>33</v>
      </c>
      <c r="V7" s="237" t="s">
        <v>33</v>
      </c>
      <c r="W7" s="237" t="s">
        <v>33</v>
      </c>
      <c r="X7" s="237" t="s">
        <v>33</v>
      </c>
      <c r="Y7" s="228" t="s">
        <v>254</v>
      </c>
      <c r="Z7" s="303"/>
      <c r="AA7" s="303"/>
      <c r="AB7" s="303"/>
      <c r="AC7" s="303"/>
      <c r="AD7" s="303"/>
      <c r="AE7" s="303"/>
      <c r="AF7" s="303"/>
      <c r="AG7" s="303"/>
      <c r="AH7" s="303"/>
      <c r="AI7" s="303"/>
      <c r="AJ7" s="303"/>
      <c r="AK7" s="303"/>
      <c r="AL7" s="303"/>
      <c r="AM7" s="303"/>
      <c r="AN7" s="303"/>
      <c r="AO7" s="303"/>
      <c r="AP7" s="303"/>
      <c r="AQ7" s="303"/>
      <c r="AR7" s="303"/>
      <c r="AS7" s="303"/>
      <c r="AT7" s="303"/>
      <c r="AU7" s="303"/>
      <c r="AV7" s="303"/>
      <c r="AW7" s="303"/>
      <c r="AX7" s="303"/>
      <c r="AY7" s="303"/>
      <c r="AZ7" s="303"/>
      <c r="BA7" s="303"/>
      <c r="BB7" s="303"/>
      <c r="BC7" s="303"/>
      <c r="BD7" s="303"/>
      <c r="BE7" s="303"/>
      <c r="BF7" s="303"/>
      <c r="BG7" s="303"/>
      <c r="BH7" s="303"/>
      <c r="BI7" s="303"/>
      <c r="BJ7" s="303"/>
      <c r="BK7" s="303"/>
      <c r="BL7" s="303"/>
      <c r="BM7" s="303"/>
      <c r="BN7" s="303"/>
      <c r="BO7" s="303"/>
      <c r="BP7" s="303"/>
      <c r="BQ7" s="303"/>
      <c r="BR7" s="303"/>
      <c r="BS7" s="303"/>
      <c r="BT7" s="303"/>
      <c r="BU7" s="303"/>
      <c r="BV7" s="303"/>
      <c r="BW7" s="303"/>
      <c r="BX7" s="303"/>
      <c r="BY7" s="303"/>
      <c r="BZ7" s="303"/>
      <c r="CA7" s="303"/>
      <c r="CB7" s="303"/>
      <c r="CC7" s="303"/>
      <c r="CD7" s="303"/>
      <c r="CE7" s="303"/>
      <c r="CF7" s="303"/>
      <c r="CG7" s="303"/>
      <c r="CH7" s="303"/>
      <c r="CI7" s="303"/>
      <c r="CJ7" s="303"/>
      <c r="CK7" s="303"/>
      <c r="CL7" s="303"/>
      <c r="CM7" s="303"/>
      <c r="CN7" s="303"/>
      <c r="CO7" s="303"/>
      <c r="CP7" s="303"/>
    </row>
    <row r="8" spans="1:94" s="238" customFormat="1" ht="16.5" customHeight="1">
      <c r="A8" s="241">
        <v>5</v>
      </c>
      <c r="B8" s="228"/>
      <c r="C8" s="242" t="s">
        <v>85</v>
      </c>
      <c r="D8" s="230" t="s">
        <v>33</v>
      </c>
      <c r="E8" s="230" t="s">
        <v>33</v>
      </c>
      <c r="F8" s="230" t="s">
        <v>33</v>
      </c>
      <c r="G8" s="231" t="s">
        <v>81</v>
      </c>
      <c r="H8" s="230" t="str">
        <f t="shared" si="0"/>
        <v>NA</v>
      </c>
      <c r="I8" s="232" t="str">
        <f t="shared" si="1"/>
        <v>NA</v>
      </c>
      <c r="J8" s="230" t="str">
        <f t="shared" si="2"/>
        <v>NA</v>
      </c>
      <c r="K8" s="230" t="str">
        <f t="shared" si="3"/>
        <v>v</v>
      </c>
      <c r="L8" s="243" t="s">
        <v>280</v>
      </c>
      <c r="M8" s="233" t="s">
        <v>33</v>
      </c>
      <c r="N8" s="235" t="s">
        <v>90</v>
      </c>
      <c r="O8" s="236">
        <v>1</v>
      </c>
      <c r="P8" s="244" t="s">
        <v>33</v>
      </c>
      <c r="Q8" s="244" t="s">
        <v>33</v>
      </c>
      <c r="R8" s="230" t="str">
        <f t="shared" si="4"/>
        <v>NA</v>
      </c>
      <c r="S8" s="245" t="s">
        <v>33</v>
      </c>
      <c r="T8" s="237" t="s">
        <v>33</v>
      </c>
      <c r="U8" s="237" t="s">
        <v>33</v>
      </c>
      <c r="V8" s="245" t="s">
        <v>33</v>
      </c>
      <c r="W8" s="237" t="s">
        <v>33</v>
      </c>
      <c r="X8" s="237" t="s">
        <v>33</v>
      </c>
      <c r="Y8" s="228"/>
      <c r="Z8" s="303"/>
      <c r="AA8" s="303"/>
      <c r="AB8" s="303"/>
      <c r="AC8" s="303"/>
      <c r="AD8" s="303"/>
      <c r="AE8" s="303"/>
      <c r="AF8" s="303"/>
      <c r="AG8" s="303"/>
      <c r="AH8" s="303"/>
      <c r="AI8" s="303"/>
      <c r="AJ8" s="303"/>
      <c r="AK8" s="303"/>
      <c r="AL8" s="303"/>
      <c r="AM8" s="303"/>
      <c r="AN8" s="303"/>
      <c r="AO8" s="303"/>
      <c r="AP8" s="303"/>
      <c r="AQ8" s="303"/>
      <c r="AR8" s="303"/>
      <c r="AS8" s="303"/>
      <c r="AT8" s="303"/>
      <c r="AU8" s="303"/>
      <c r="AV8" s="303"/>
      <c r="AW8" s="303"/>
      <c r="AX8" s="303"/>
      <c r="AY8" s="303"/>
      <c r="AZ8" s="303"/>
      <c r="BA8" s="303"/>
      <c r="BB8" s="303"/>
      <c r="BC8" s="303"/>
      <c r="BD8" s="303"/>
      <c r="BE8" s="303"/>
      <c r="BF8" s="303"/>
      <c r="BG8" s="303"/>
      <c r="BH8" s="303"/>
      <c r="BI8" s="303"/>
      <c r="BJ8" s="303"/>
      <c r="BK8" s="303"/>
      <c r="BL8" s="303"/>
      <c r="BM8" s="303"/>
      <c r="BN8" s="303"/>
      <c r="BO8" s="303"/>
      <c r="BP8" s="303"/>
      <c r="BQ8" s="303"/>
      <c r="BR8" s="303"/>
      <c r="BS8" s="303"/>
      <c r="BT8" s="303"/>
      <c r="BU8" s="303"/>
      <c r="BV8" s="303"/>
      <c r="BW8" s="303"/>
      <c r="BX8" s="303"/>
      <c r="BY8" s="303"/>
      <c r="BZ8" s="303"/>
      <c r="CA8" s="303"/>
      <c r="CB8" s="303"/>
      <c r="CC8" s="303"/>
      <c r="CD8" s="303"/>
      <c r="CE8" s="303"/>
      <c r="CF8" s="303"/>
      <c r="CG8" s="303"/>
      <c r="CH8" s="303"/>
      <c r="CI8" s="303"/>
      <c r="CJ8" s="303"/>
      <c r="CK8" s="303"/>
      <c r="CL8" s="303"/>
      <c r="CM8" s="303"/>
      <c r="CN8" s="303"/>
      <c r="CO8" s="303"/>
      <c r="CP8" s="303"/>
    </row>
    <row r="9" spans="1:94" s="87" customFormat="1">
      <c r="A9" s="81"/>
      <c r="B9" s="83"/>
      <c r="C9" s="82"/>
      <c r="D9" s="102"/>
      <c r="E9" s="102"/>
      <c r="F9" s="102"/>
      <c r="G9" s="225"/>
      <c r="H9" s="218">
        <f t="shared" ref="H9:H20" si="5">IF($G9="Attribute","NA",D9)</f>
        <v>0</v>
      </c>
      <c r="I9" s="218">
        <f t="shared" ref="I9:I20" si="6">IF($G9="Attribute","NA",E9)</f>
        <v>0</v>
      </c>
      <c r="J9" s="218">
        <f t="shared" ref="J9:J20" si="7">IF($G9="Attribute","NA",F9)</f>
        <v>0</v>
      </c>
      <c r="K9" s="102" t="str">
        <f t="shared" si="3"/>
        <v/>
      </c>
      <c r="L9" s="221"/>
      <c r="M9" s="325"/>
      <c r="N9" s="94"/>
      <c r="O9" s="326"/>
      <c r="P9" s="84"/>
      <c r="Q9" s="88"/>
      <c r="R9" s="102">
        <f t="shared" si="4"/>
        <v>0</v>
      </c>
      <c r="S9" s="89"/>
      <c r="T9" s="100"/>
      <c r="U9" s="100"/>
      <c r="V9" s="100"/>
      <c r="W9" s="100"/>
      <c r="X9" s="100"/>
      <c r="Y9" s="83"/>
      <c r="Z9" s="304"/>
      <c r="AA9" s="304"/>
      <c r="AB9" s="304"/>
      <c r="AC9" s="304"/>
      <c r="AD9" s="304"/>
      <c r="AE9" s="304"/>
      <c r="AF9" s="304"/>
      <c r="AG9" s="304"/>
      <c r="AH9" s="304"/>
      <c r="AI9" s="304"/>
      <c r="AJ9" s="304"/>
      <c r="AK9" s="304"/>
      <c r="AL9" s="304"/>
      <c r="AM9" s="304"/>
      <c r="AN9" s="304"/>
      <c r="AO9" s="304"/>
      <c r="AP9" s="304"/>
      <c r="AQ9" s="304"/>
      <c r="AR9" s="304"/>
      <c r="AS9" s="304"/>
      <c r="AT9" s="304"/>
      <c r="AU9" s="304"/>
      <c r="AV9" s="304"/>
      <c r="AW9" s="304"/>
      <c r="AX9" s="304"/>
      <c r="AY9" s="304"/>
      <c r="AZ9" s="304"/>
      <c r="BA9" s="304"/>
      <c r="BB9" s="304"/>
      <c r="BC9" s="304"/>
      <c r="BD9" s="304"/>
      <c r="BE9" s="304"/>
      <c r="BF9" s="304"/>
      <c r="BG9" s="304"/>
      <c r="BH9" s="304"/>
      <c r="BI9" s="304"/>
      <c r="BJ9" s="304"/>
      <c r="BK9" s="304"/>
      <c r="BL9" s="304"/>
      <c r="BM9" s="304"/>
      <c r="BN9" s="304"/>
      <c r="BO9" s="304"/>
      <c r="BP9" s="304"/>
      <c r="BQ9" s="304"/>
      <c r="BR9" s="304"/>
      <c r="BS9" s="304"/>
      <c r="BT9" s="304"/>
      <c r="BU9" s="304"/>
      <c r="BV9" s="304"/>
      <c r="BW9" s="304"/>
      <c r="BX9" s="304"/>
      <c r="BY9" s="304"/>
      <c r="BZ9" s="304"/>
      <c r="CA9" s="304"/>
      <c r="CB9" s="304"/>
      <c r="CC9" s="304"/>
      <c r="CD9" s="304"/>
      <c r="CE9" s="304"/>
      <c r="CF9" s="304"/>
      <c r="CG9" s="304"/>
      <c r="CH9" s="304"/>
      <c r="CI9" s="304"/>
      <c r="CJ9" s="304"/>
      <c r="CK9" s="304"/>
      <c r="CL9" s="304"/>
      <c r="CM9" s="304"/>
      <c r="CN9" s="304"/>
      <c r="CO9" s="304"/>
      <c r="CP9" s="304"/>
    </row>
    <row r="10" spans="1:94" s="87" customFormat="1">
      <c r="A10" s="81"/>
      <c r="B10" s="83"/>
      <c r="C10" s="82"/>
      <c r="D10" s="102"/>
      <c r="E10" s="102"/>
      <c r="F10" s="102"/>
      <c r="G10" s="225"/>
      <c r="H10" s="218">
        <f t="shared" si="5"/>
        <v>0</v>
      </c>
      <c r="I10" s="218">
        <f t="shared" si="6"/>
        <v>0</v>
      </c>
      <c r="J10" s="218">
        <f t="shared" si="7"/>
        <v>0</v>
      </c>
      <c r="K10" s="102" t="str">
        <f t="shared" ref="K10:K73" si="8">IF(RIGHT(IF(LEFT(SUBSTITUTE(SUBSTITUTE(IF(ISERROR(LEFT(SUBSTITUTE(SUBSTITUTE(C10,"(",""),")",""),1)*1),SUBSTITUTE(SUBSTITUTE(C10,"(",""),")",""),SUBSTITUTE(SUBSTITUTE(SUBSTITUTE(C10,"(",""),")",""),"_","",1)),"00",""),"_0","_"),1)="0",RIGHT(SUBSTITUTE(SUBSTITUTE(IF(ISERROR(LEFT(SUBSTITUTE(SUBSTITUTE(C10,"(",""),")",""),1)*1),SUBSTITUTE(SUBSTITUTE(C10,"(",""),")",""),SUBSTITUTE(SUBSTITUTE(SUBSTITUTE(C10,"(",""),")",""),"_","",1)),"00",""),"_0","_"),LEN(SUBSTITUTE(SUBSTITUTE(IF(ISERROR(LEFT(SUBSTITUTE(SUBSTITUTE(C10,"(",""),")",""),1)*1),SUBSTITUTE(SUBSTITUTE(C10,"(",""),")",""),SUBSTITUTE(SUBSTITUTE(SUBSTITUTE(C10,"(",""),")",""),"_","",1)),"00",""),"_0","_"))-1),SUBSTITUTE(SUBSTITUTE(IF(ISERROR(LEFT(SUBSTITUTE(SUBSTITUTE(C10,"(",""),")",""),1)*1),SUBSTITUTE(SUBSTITUTE(C10,"(",""),")",""),SUBSTITUTE(SUBSTITUTE(SUBSTITUTE(C10,"(",""),")",""),"_","",1)),"00",""),"_0","_")),1)="_",LEFT(IF(LEFT(SUBSTITUTE(SUBSTITUTE(IF(ISERROR(LEFT(SUBSTITUTE(SUBSTITUTE(C10,"(",""),")",""),1)*1),SUBSTITUTE(SUBSTITUTE(C10,"(",""),")",""),SUBSTITUTE(SUBSTITUTE(SUBSTITUTE(C10,"(",""),")",""),"_","",1)),"00",""),"_0","_"),1)="0",RIGHT(SUBSTITUTE(SUBSTITUTE(IF(ISERROR(LEFT(SUBSTITUTE(SUBSTITUTE(C10,"(",""),")",""),1)*1),SUBSTITUTE(SUBSTITUTE(C10,"(",""),")",""),SUBSTITUTE(SUBSTITUTE(SUBSTITUTE(C10,"(",""),")",""),"_","",1)),"00",""),"_0","_"),LEN(SUBSTITUTE(SUBSTITUTE(IF(ISERROR(LEFT(SUBSTITUTE(SUBSTITUTE(C10,"(",""),")",""),1)*1),SUBSTITUTE(SUBSTITUTE(C10,"(",""),")",""),SUBSTITUTE(SUBSTITUTE(SUBSTITUTE(C10,"(",""),")",""),"_","",1)),"00",""),"_0","_"))-1),SUBSTITUTE(SUBSTITUTE(IF(ISERROR(LEFT(SUBSTITUTE(SUBSTITUTE(C10,"(",""),")",""),1)*1),SUBSTITUTE(SUBSTITUTE(C10,"(",""),")",""),SUBSTITUTE(SUBSTITUTE(SUBSTITUTE(C10,"(",""),")",""),"_","",1)),"00",""),"_0","_")),LEN(IF(LEFT(SUBSTITUTE(SUBSTITUTE(IF(ISERROR(LEFT(SUBSTITUTE(SUBSTITUTE(C10,"(",""),")",""),1)*1),SUBSTITUTE(SUBSTITUTE(C10,"(",""),")",""),SUBSTITUTE(SUBSTITUTE(SUBSTITUTE(C10,"(",""),")",""),"_","",1)),"00",""),"_0","_"),1)="0",RIGHT(SUBSTITUTE(SUBSTITUTE(IF(ISERROR(LEFT(SUBSTITUTE(SUBSTITUTE(C10,"(",""),")",""),1)*1),SUBSTITUTE(SUBSTITUTE(C10,"(",""),")",""),SUBSTITUTE(SUBSTITUTE(SUBSTITUTE(C10,"(",""),")",""),"_","",1)),"00",""),"_0","_"),LEN(SUBSTITUTE(SUBSTITUTE(IF(ISERROR(LEFT(SUBSTITUTE(SUBSTITUTE(C10,"(",""),")",""),1)*1),SUBSTITUTE(SUBSTITUTE(C10,"(",""),")",""),SUBSTITUTE(SUBSTITUTE(SUBSTITUTE(C10,"(",""),")",""),"_","",1)),"00",""),"_0","_"))-1),SUBSTITUTE(SUBSTITUTE(IF(ISERROR(LEFT(SUBSTITUTE(SUBSTITUTE(C10,"(",""),")",""),1)*1),SUBSTITUTE(SUBSTITUTE(C10,"(",""),")",""),SUBSTITUTE(SUBSTITUTE(SUBSTITUTE(C10,"(",""),")",""),"_","",1)),"00",""),"_0","_")))-1),IF(LEFT(SUBSTITUTE(SUBSTITUTE(IF(ISERROR(LEFT(SUBSTITUTE(SUBSTITUTE(C10,"(",""),")",""),1)*1),SUBSTITUTE(SUBSTITUTE(C10,"(",""),")",""),SUBSTITUTE(SUBSTITUTE(SUBSTITUTE(C10,"(",""),")",""),"_","",1)),"00",""),"_0","_"),1)="0",RIGHT(SUBSTITUTE(SUBSTITUTE(IF(ISERROR(LEFT(SUBSTITUTE(SUBSTITUTE(C10,"(",""),")",""),1)*1),SUBSTITUTE(SUBSTITUTE(C10,"(",""),")",""),SUBSTITUTE(SUBSTITUTE(SUBSTITUTE(C10,"(",""),")",""),"_","",1)),"00",""),"_0","_"),LEN(SUBSTITUTE(SUBSTITUTE(IF(ISERROR(LEFT(SUBSTITUTE(SUBSTITUTE(C10,"(",""),")",""),1)*1),SUBSTITUTE(SUBSTITUTE(C10,"(",""),")",""),SUBSTITUTE(SUBSTITUTE(SUBSTITUTE(C10,"(",""),")",""),"_","",1)),"00",""),"_0","_"))-1),SUBSTITUTE(SUBSTITUTE(IF(ISERROR(LEFT(SUBSTITUTE(SUBSTITUTE(C10,"(",""),")",""),1)*1),SUBSTITUTE(SUBSTITUTE(C10,"(",""),")",""),SUBSTITUTE(SUBSTITUTE(SUBSTITUTE(C10,"(",""),")",""),"_","",1)),"00",""),"_0","_")))</f>
        <v/>
      </c>
      <c r="L10" s="221"/>
      <c r="M10" s="325"/>
      <c r="N10" s="94"/>
      <c r="O10" s="326"/>
      <c r="P10" s="84"/>
      <c r="Q10" s="88"/>
      <c r="R10" s="102">
        <f t="shared" si="4"/>
        <v>0</v>
      </c>
      <c r="S10" s="89"/>
      <c r="T10" s="100"/>
      <c r="U10" s="100"/>
      <c r="V10" s="100"/>
      <c r="W10" s="100"/>
      <c r="X10" s="100"/>
      <c r="Y10" s="83"/>
      <c r="Z10" s="304"/>
      <c r="AA10" s="304"/>
      <c r="AB10" s="304"/>
      <c r="AC10" s="304"/>
      <c r="AD10" s="304"/>
      <c r="AE10" s="304"/>
      <c r="AF10" s="304"/>
      <c r="AG10" s="304"/>
      <c r="AH10" s="304"/>
      <c r="AI10" s="304"/>
      <c r="AJ10" s="304"/>
      <c r="AK10" s="304"/>
      <c r="AL10" s="304"/>
      <c r="AM10" s="304"/>
      <c r="AN10" s="304"/>
      <c r="AO10" s="304"/>
      <c r="AP10" s="304"/>
      <c r="AQ10" s="304"/>
      <c r="AR10" s="304"/>
      <c r="AS10" s="304"/>
      <c r="AT10" s="304"/>
      <c r="AU10" s="304"/>
      <c r="AV10" s="304"/>
      <c r="AW10" s="304"/>
      <c r="AX10" s="304"/>
      <c r="AY10" s="304"/>
      <c r="AZ10" s="304"/>
      <c r="BA10" s="304"/>
      <c r="BB10" s="304"/>
      <c r="BC10" s="304"/>
      <c r="BD10" s="304"/>
      <c r="BE10" s="304"/>
      <c r="BF10" s="304"/>
      <c r="BG10" s="304"/>
      <c r="BH10" s="304"/>
      <c r="BI10" s="304"/>
      <c r="BJ10" s="304"/>
      <c r="BK10" s="304"/>
      <c r="BL10" s="304"/>
      <c r="BM10" s="304"/>
      <c r="BN10" s="304"/>
      <c r="BO10" s="304"/>
      <c r="BP10" s="304"/>
      <c r="BQ10" s="304"/>
      <c r="BR10" s="304"/>
      <c r="BS10" s="304"/>
      <c r="BT10" s="304"/>
      <c r="BU10" s="304"/>
      <c r="BV10" s="304"/>
      <c r="BW10" s="304"/>
      <c r="BX10" s="304"/>
      <c r="BY10" s="304"/>
      <c r="BZ10" s="304"/>
      <c r="CA10" s="304"/>
      <c r="CB10" s="304"/>
      <c r="CC10" s="304"/>
      <c r="CD10" s="304"/>
      <c r="CE10" s="304"/>
      <c r="CF10" s="304"/>
      <c r="CG10" s="304"/>
      <c r="CH10" s="304"/>
      <c r="CI10" s="304"/>
      <c r="CJ10" s="304"/>
      <c r="CK10" s="304"/>
      <c r="CL10" s="304"/>
      <c r="CM10" s="304"/>
      <c r="CN10" s="304"/>
      <c r="CO10" s="304"/>
      <c r="CP10" s="304"/>
    </row>
    <row r="11" spans="1:94" s="87" customFormat="1">
      <c r="A11" s="81"/>
      <c r="B11" s="83"/>
      <c r="C11" s="82"/>
      <c r="D11" s="102"/>
      <c r="E11" s="102"/>
      <c r="F11" s="102"/>
      <c r="G11" s="225"/>
      <c r="H11" s="218">
        <f t="shared" si="5"/>
        <v>0</v>
      </c>
      <c r="I11" s="218">
        <f t="shared" si="6"/>
        <v>0</v>
      </c>
      <c r="J11" s="218">
        <f t="shared" si="7"/>
        <v>0</v>
      </c>
      <c r="K11" s="102" t="str">
        <f t="shared" si="8"/>
        <v/>
      </c>
      <c r="L11" s="221"/>
      <c r="M11" s="325"/>
      <c r="N11" s="94"/>
      <c r="O11" s="326"/>
      <c r="P11" s="84"/>
      <c r="Q11" s="88"/>
      <c r="R11" s="102">
        <f t="shared" si="4"/>
        <v>0</v>
      </c>
      <c r="S11" s="89"/>
      <c r="T11" s="100"/>
      <c r="U11" s="100"/>
      <c r="V11" s="100"/>
      <c r="W11" s="100"/>
      <c r="X11" s="100"/>
      <c r="Y11" s="83"/>
      <c r="Z11" s="304"/>
      <c r="AA11" s="304"/>
      <c r="AB11" s="316"/>
      <c r="AC11" s="304"/>
      <c r="AD11" s="304"/>
      <c r="AE11" s="304"/>
      <c r="AF11" s="304"/>
      <c r="AG11" s="304"/>
      <c r="AH11" s="304"/>
      <c r="AI11" s="304"/>
      <c r="AJ11" s="304"/>
      <c r="AK11" s="304"/>
      <c r="AL11" s="304"/>
      <c r="AM11" s="304"/>
      <c r="AN11" s="304"/>
      <c r="AO11" s="304"/>
      <c r="AP11" s="304"/>
      <c r="AQ11" s="304"/>
      <c r="AR11" s="304"/>
      <c r="AS11" s="304"/>
      <c r="AT11" s="304"/>
      <c r="AU11" s="304"/>
      <c r="AV11" s="304"/>
      <c r="AW11" s="304"/>
      <c r="AX11" s="304"/>
      <c r="AY11" s="304"/>
      <c r="AZ11" s="304"/>
      <c r="BA11" s="304"/>
      <c r="BB11" s="304"/>
      <c r="BC11" s="304"/>
      <c r="BD11" s="304"/>
      <c r="BE11" s="304"/>
      <c r="BF11" s="304"/>
      <c r="BG11" s="304"/>
      <c r="BH11" s="304"/>
      <c r="BI11" s="304"/>
      <c r="BJ11" s="304"/>
      <c r="BK11" s="304"/>
      <c r="BL11" s="304"/>
      <c r="BM11" s="304"/>
      <c r="BN11" s="304"/>
      <c r="BO11" s="304"/>
      <c r="BP11" s="304"/>
      <c r="BQ11" s="304"/>
      <c r="BR11" s="304"/>
      <c r="BS11" s="304"/>
      <c r="BT11" s="304"/>
      <c r="BU11" s="304"/>
      <c r="BV11" s="304"/>
      <c r="BW11" s="304"/>
      <c r="BX11" s="304"/>
      <c r="BY11" s="304"/>
      <c r="BZ11" s="304"/>
      <c r="CA11" s="304"/>
      <c r="CB11" s="304"/>
      <c r="CC11" s="304"/>
      <c r="CD11" s="304"/>
      <c r="CE11" s="304"/>
      <c r="CF11" s="304"/>
      <c r="CG11" s="304"/>
      <c r="CH11" s="304"/>
      <c r="CI11" s="304"/>
      <c r="CJ11" s="304"/>
      <c r="CK11" s="304"/>
      <c r="CL11" s="304"/>
      <c r="CM11" s="304"/>
      <c r="CN11" s="304"/>
      <c r="CO11" s="304"/>
      <c r="CP11" s="304"/>
    </row>
    <row r="12" spans="1:94" s="274" customFormat="1">
      <c r="A12" s="265"/>
      <c r="B12" s="266"/>
      <c r="C12" s="267"/>
      <c r="D12" s="102"/>
      <c r="E12" s="102"/>
      <c r="F12" s="102"/>
      <c r="G12" s="268"/>
      <c r="H12" s="218">
        <f t="shared" si="5"/>
        <v>0</v>
      </c>
      <c r="I12" s="218">
        <f t="shared" si="6"/>
        <v>0</v>
      </c>
      <c r="J12" s="218">
        <f t="shared" si="7"/>
        <v>0</v>
      </c>
      <c r="K12" s="102" t="str">
        <f t="shared" si="8"/>
        <v/>
      </c>
      <c r="L12" s="269"/>
      <c r="M12" s="277"/>
      <c r="N12" s="94"/>
      <c r="O12" s="279"/>
      <c r="P12" s="270"/>
      <c r="Q12" s="271"/>
      <c r="R12" s="102">
        <f t="shared" si="4"/>
        <v>0</v>
      </c>
      <c r="S12" s="272"/>
      <c r="T12" s="273"/>
      <c r="U12" s="273"/>
      <c r="V12" s="273"/>
      <c r="W12" s="273"/>
      <c r="X12" s="273"/>
      <c r="Y12" s="266"/>
      <c r="Z12" s="304"/>
      <c r="AA12" s="304"/>
      <c r="AB12" s="304"/>
      <c r="AC12" s="304"/>
      <c r="AD12" s="304"/>
      <c r="AE12" s="304"/>
      <c r="AF12" s="304"/>
      <c r="AG12" s="304"/>
      <c r="AH12" s="304"/>
      <c r="AI12" s="304"/>
      <c r="AJ12" s="304"/>
      <c r="AK12" s="304"/>
      <c r="AL12" s="304"/>
      <c r="AM12" s="304"/>
      <c r="AN12" s="304"/>
      <c r="AO12" s="304"/>
      <c r="AP12" s="304"/>
      <c r="AQ12" s="304"/>
      <c r="AR12" s="304"/>
      <c r="AS12" s="304"/>
      <c r="AT12" s="304"/>
      <c r="AU12" s="304"/>
      <c r="AV12" s="304"/>
      <c r="AW12" s="304"/>
      <c r="AX12" s="304"/>
      <c r="AY12" s="304"/>
      <c r="AZ12" s="304"/>
      <c r="BA12" s="304"/>
      <c r="BB12" s="304"/>
      <c r="BC12" s="304"/>
      <c r="BD12" s="304"/>
      <c r="BE12" s="304"/>
      <c r="BF12" s="304"/>
      <c r="BG12" s="304"/>
      <c r="BH12" s="304"/>
      <c r="BI12" s="304"/>
      <c r="BJ12" s="304"/>
      <c r="BK12" s="304"/>
      <c r="BL12" s="304"/>
      <c r="BM12" s="304"/>
      <c r="BN12" s="304"/>
      <c r="BO12" s="304"/>
      <c r="BP12" s="304"/>
      <c r="BQ12" s="304"/>
      <c r="BR12" s="304"/>
      <c r="BS12" s="304"/>
      <c r="BT12" s="304"/>
      <c r="BU12" s="304"/>
      <c r="BV12" s="304"/>
      <c r="BW12" s="304"/>
      <c r="BX12" s="304"/>
      <c r="BY12" s="304"/>
      <c r="BZ12" s="304"/>
      <c r="CA12" s="304"/>
      <c r="CB12" s="304"/>
      <c r="CC12" s="304"/>
      <c r="CD12" s="304"/>
      <c r="CE12" s="304"/>
      <c r="CF12" s="304"/>
      <c r="CG12" s="304"/>
      <c r="CH12" s="304"/>
      <c r="CI12" s="304"/>
      <c r="CJ12" s="304"/>
      <c r="CK12" s="304"/>
      <c r="CL12" s="304"/>
      <c r="CM12" s="304"/>
      <c r="CN12" s="304"/>
      <c r="CO12" s="304"/>
      <c r="CP12" s="304"/>
    </row>
    <row r="13" spans="1:94" s="274" customFormat="1">
      <c r="A13" s="265"/>
      <c r="B13" s="266"/>
      <c r="C13" s="267"/>
      <c r="D13" s="102"/>
      <c r="E13" s="102"/>
      <c r="F13" s="102"/>
      <c r="G13" s="275"/>
      <c r="H13" s="218">
        <f t="shared" si="5"/>
        <v>0</v>
      </c>
      <c r="I13" s="218">
        <f t="shared" si="6"/>
        <v>0</v>
      </c>
      <c r="J13" s="218">
        <f t="shared" si="7"/>
        <v>0</v>
      </c>
      <c r="K13" s="102" t="str">
        <f t="shared" si="8"/>
        <v/>
      </c>
      <c r="L13" s="276"/>
      <c r="M13" s="277"/>
      <c r="N13" s="278"/>
      <c r="O13" s="279"/>
      <c r="P13" s="276"/>
      <c r="Q13" s="280"/>
      <c r="R13" s="102">
        <f t="shared" si="4"/>
        <v>0</v>
      </c>
      <c r="S13" s="272"/>
      <c r="T13" s="273"/>
      <c r="U13" s="273"/>
      <c r="V13" s="273"/>
      <c r="W13" s="273"/>
      <c r="X13" s="273"/>
      <c r="Y13" s="281"/>
      <c r="Z13" s="304"/>
      <c r="AA13" s="304"/>
      <c r="AB13" s="304"/>
      <c r="AC13" s="304"/>
      <c r="AD13" s="304"/>
      <c r="AE13" s="304"/>
      <c r="AF13" s="304"/>
      <c r="AG13" s="304"/>
      <c r="AH13" s="304"/>
      <c r="AI13" s="304"/>
      <c r="AJ13" s="304"/>
      <c r="AK13" s="304"/>
      <c r="AL13" s="304"/>
      <c r="AM13" s="304"/>
      <c r="AN13" s="304"/>
      <c r="AO13" s="304"/>
      <c r="AP13" s="304"/>
      <c r="AQ13" s="304"/>
      <c r="AR13" s="304"/>
      <c r="AS13" s="304"/>
      <c r="AT13" s="304"/>
      <c r="AU13" s="304"/>
      <c r="AV13" s="304"/>
      <c r="AW13" s="304"/>
      <c r="AX13" s="304"/>
      <c r="AY13" s="304"/>
      <c r="AZ13" s="304"/>
      <c r="BA13" s="304"/>
      <c r="BB13" s="304"/>
      <c r="BC13" s="304"/>
      <c r="BD13" s="304"/>
      <c r="BE13" s="304"/>
      <c r="BF13" s="304"/>
      <c r="BG13" s="304"/>
      <c r="BH13" s="304"/>
      <c r="BI13" s="304"/>
      <c r="BJ13" s="304"/>
      <c r="BK13" s="304"/>
      <c r="BL13" s="304"/>
      <c r="BM13" s="304"/>
      <c r="BN13" s="304"/>
      <c r="BO13" s="304"/>
      <c r="BP13" s="304"/>
      <c r="BQ13" s="304"/>
      <c r="BR13" s="304"/>
      <c r="BS13" s="304"/>
      <c r="BT13" s="304"/>
      <c r="BU13" s="304"/>
      <c r="BV13" s="304"/>
      <c r="BW13" s="304"/>
      <c r="BX13" s="304"/>
      <c r="BY13" s="304"/>
      <c r="BZ13" s="304"/>
      <c r="CA13" s="304"/>
      <c r="CB13" s="304"/>
      <c r="CC13" s="304"/>
      <c r="CD13" s="304"/>
      <c r="CE13" s="304"/>
      <c r="CF13" s="304"/>
      <c r="CG13" s="304"/>
      <c r="CH13" s="304"/>
      <c r="CI13" s="304"/>
      <c r="CJ13" s="304"/>
      <c r="CK13" s="304"/>
      <c r="CL13" s="304"/>
      <c r="CM13" s="304"/>
      <c r="CN13" s="304"/>
      <c r="CO13" s="304"/>
      <c r="CP13" s="304"/>
    </row>
    <row r="14" spans="1:94" s="274" customFormat="1">
      <c r="A14" s="265"/>
      <c r="B14" s="266"/>
      <c r="C14" s="267"/>
      <c r="D14" s="102"/>
      <c r="E14" s="102"/>
      <c r="F14" s="102"/>
      <c r="G14" s="275"/>
      <c r="H14" s="218">
        <f t="shared" si="5"/>
        <v>0</v>
      </c>
      <c r="I14" s="218">
        <f t="shared" si="6"/>
        <v>0</v>
      </c>
      <c r="J14" s="218">
        <f t="shared" si="7"/>
        <v>0</v>
      </c>
      <c r="K14" s="102" t="str">
        <f t="shared" si="8"/>
        <v/>
      </c>
      <c r="L14" s="276"/>
      <c r="M14" s="277"/>
      <c r="N14" s="278"/>
      <c r="O14" s="279"/>
      <c r="P14" s="276"/>
      <c r="Q14" s="280"/>
      <c r="R14" s="102">
        <f t="shared" si="4"/>
        <v>0</v>
      </c>
      <c r="S14" s="272"/>
      <c r="T14" s="273"/>
      <c r="U14" s="273"/>
      <c r="V14" s="273"/>
      <c r="W14" s="273"/>
      <c r="X14" s="273"/>
      <c r="Y14" s="281"/>
      <c r="Z14" s="304"/>
      <c r="AA14" s="304"/>
      <c r="AB14" s="304"/>
      <c r="AC14" s="304"/>
      <c r="AD14" s="304"/>
      <c r="AE14" s="304"/>
      <c r="AF14" s="304"/>
      <c r="AG14" s="304"/>
      <c r="AH14" s="304"/>
      <c r="AI14" s="304"/>
      <c r="AJ14" s="304"/>
      <c r="AK14" s="304"/>
      <c r="AL14" s="304"/>
      <c r="AM14" s="304"/>
      <c r="AN14" s="304"/>
      <c r="AO14" s="304"/>
      <c r="AP14" s="304"/>
      <c r="AQ14" s="304"/>
      <c r="AR14" s="304"/>
      <c r="AS14" s="304"/>
      <c r="AT14" s="304"/>
      <c r="AU14" s="304"/>
      <c r="AV14" s="304"/>
      <c r="AW14" s="304"/>
      <c r="AX14" s="304"/>
      <c r="AY14" s="304"/>
      <c r="AZ14" s="304"/>
      <c r="BA14" s="304"/>
      <c r="BB14" s="304"/>
      <c r="BC14" s="304"/>
      <c r="BD14" s="304"/>
      <c r="BE14" s="304"/>
      <c r="BF14" s="304"/>
      <c r="BG14" s="304"/>
      <c r="BH14" s="304"/>
      <c r="BI14" s="304"/>
      <c r="BJ14" s="304"/>
      <c r="BK14" s="304"/>
      <c r="BL14" s="304"/>
      <c r="BM14" s="304"/>
      <c r="BN14" s="304"/>
      <c r="BO14" s="304"/>
      <c r="BP14" s="304"/>
      <c r="BQ14" s="304"/>
      <c r="BR14" s="304"/>
      <c r="BS14" s="304"/>
      <c r="BT14" s="304"/>
      <c r="BU14" s="304"/>
      <c r="BV14" s="304"/>
      <c r="BW14" s="304"/>
      <c r="BX14" s="304"/>
      <c r="BY14" s="304"/>
      <c r="BZ14" s="304"/>
      <c r="CA14" s="304"/>
      <c r="CB14" s="304"/>
      <c r="CC14" s="304"/>
      <c r="CD14" s="304"/>
      <c r="CE14" s="304"/>
      <c r="CF14" s="304"/>
      <c r="CG14" s="304"/>
      <c r="CH14" s="304"/>
      <c r="CI14" s="304"/>
      <c r="CJ14" s="304"/>
      <c r="CK14" s="304"/>
      <c r="CL14" s="304"/>
      <c r="CM14" s="304"/>
      <c r="CN14" s="304"/>
      <c r="CO14" s="304"/>
      <c r="CP14" s="304"/>
    </row>
    <row r="15" spans="1:94" s="274" customFormat="1">
      <c r="A15" s="265"/>
      <c r="B15" s="266"/>
      <c r="C15" s="267"/>
      <c r="D15" s="102"/>
      <c r="E15" s="102"/>
      <c r="F15" s="102"/>
      <c r="G15" s="275"/>
      <c r="H15" s="218">
        <f t="shared" si="5"/>
        <v>0</v>
      </c>
      <c r="I15" s="218">
        <f t="shared" si="6"/>
        <v>0</v>
      </c>
      <c r="J15" s="218">
        <f t="shared" si="7"/>
        <v>0</v>
      </c>
      <c r="K15" s="102" t="str">
        <f t="shared" si="8"/>
        <v/>
      </c>
      <c r="L15" s="276"/>
      <c r="M15" s="277"/>
      <c r="N15" s="278"/>
      <c r="O15" s="279"/>
      <c r="P15" s="276"/>
      <c r="Q15" s="280"/>
      <c r="R15" s="102">
        <f t="shared" si="4"/>
        <v>0</v>
      </c>
      <c r="S15" s="272"/>
      <c r="T15" s="273"/>
      <c r="U15" s="273"/>
      <c r="V15" s="273"/>
      <c r="W15" s="273"/>
      <c r="X15" s="273"/>
      <c r="Y15" s="281"/>
      <c r="Z15" s="304"/>
      <c r="AA15" s="304"/>
      <c r="AB15" s="304"/>
      <c r="AC15" s="304"/>
      <c r="AD15" s="304"/>
      <c r="AE15" s="304"/>
      <c r="AF15" s="304"/>
      <c r="AG15" s="304"/>
      <c r="AH15" s="304"/>
      <c r="AI15" s="304"/>
      <c r="AJ15" s="304"/>
      <c r="AK15" s="304"/>
      <c r="AL15" s="304"/>
      <c r="AM15" s="304"/>
      <c r="AN15" s="304"/>
      <c r="AO15" s="304"/>
      <c r="AP15" s="304"/>
      <c r="AQ15" s="304"/>
      <c r="AR15" s="304"/>
      <c r="AS15" s="304"/>
      <c r="AT15" s="304"/>
      <c r="AU15" s="304"/>
      <c r="AV15" s="304"/>
      <c r="AW15" s="304"/>
      <c r="AX15" s="304"/>
      <c r="AY15" s="304"/>
      <c r="AZ15" s="304"/>
      <c r="BA15" s="304"/>
      <c r="BB15" s="304"/>
      <c r="BC15" s="304"/>
      <c r="BD15" s="304"/>
      <c r="BE15" s="304"/>
      <c r="BF15" s="304"/>
      <c r="BG15" s="304"/>
      <c r="BH15" s="304"/>
      <c r="BI15" s="304"/>
      <c r="BJ15" s="304"/>
      <c r="BK15" s="304"/>
      <c r="BL15" s="304"/>
      <c r="BM15" s="304"/>
      <c r="BN15" s="304"/>
      <c r="BO15" s="304"/>
      <c r="BP15" s="304"/>
      <c r="BQ15" s="304"/>
      <c r="BR15" s="304"/>
      <c r="BS15" s="304"/>
      <c r="BT15" s="304"/>
      <c r="BU15" s="304"/>
      <c r="BV15" s="304"/>
      <c r="BW15" s="304"/>
      <c r="BX15" s="304"/>
      <c r="BY15" s="304"/>
      <c r="BZ15" s="304"/>
      <c r="CA15" s="304"/>
      <c r="CB15" s="304"/>
      <c r="CC15" s="304"/>
      <c r="CD15" s="304"/>
      <c r="CE15" s="304"/>
      <c r="CF15" s="304"/>
      <c r="CG15" s="304"/>
      <c r="CH15" s="304"/>
      <c r="CI15" s="304"/>
      <c r="CJ15" s="304"/>
      <c r="CK15" s="304"/>
      <c r="CL15" s="304"/>
      <c r="CM15" s="304"/>
      <c r="CN15" s="304"/>
      <c r="CO15" s="304"/>
      <c r="CP15" s="304"/>
    </row>
    <row r="16" spans="1:94" s="274" customFormat="1">
      <c r="A16" s="265"/>
      <c r="B16" s="266"/>
      <c r="C16" s="267"/>
      <c r="D16" s="102"/>
      <c r="E16" s="102"/>
      <c r="F16" s="102"/>
      <c r="G16" s="275"/>
      <c r="H16" s="218">
        <f t="shared" si="5"/>
        <v>0</v>
      </c>
      <c r="I16" s="218">
        <f t="shared" si="6"/>
        <v>0</v>
      </c>
      <c r="J16" s="218">
        <f t="shared" si="7"/>
        <v>0</v>
      </c>
      <c r="K16" s="102" t="str">
        <f t="shared" si="8"/>
        <v/>
      </c>
      <c r="L16" s="276"/>
      <c r="M16" s="277"/>
      <c r="N16" s="278"/>
      <c r="O16" s="279"/>
      <c r="P16" s="276"/>
      <c r="Q16" s="280"/>
      <c r="R16" s="102">
        <f t="shared" si="4"/>
        <v>0</v>
      </c>
      <c r="S16" s="272"/>
      <c r="T16" s="273"/>
      <c r="U16" s="273"/>
      <c r="V16" s="273"/>
      <c r="W16" s="273"/>
      <c r="X16" s="273"/>
      <c r="Y16" s="281"/>
      <c r="Z16" s="304"/>
      <c r="AA16" s="304"/>
      <c r="AB16" s="304"/>
      <c r="AC16" s="304"/>
      <c r="AD16" s="304"/>
      <c r="AE16" s="304"/>
      <c r="AF16" s="304"/>
      <c r="AG16" s="304"/>
      <c r="AH16" s="304"/>
      <c r="AI16" s="304"/>
      <c r="AJ16" s="304"/>
      <c r="AK16" s="304"/>
      <c r="AL16" s="304"/>
      <c r="AM16" s="304"/>
      <c r="AN16" s="304"/>
      <c r="AO16" s="304"/>
      <c r="AP16" s="304"/>
      <c r="AQ16" s="304"/>
      <c r="AR16" s="304"/>
      <c r="AS16" s="304"/>
      <c r="AT16" s="304"/>
      <c r="AU16" s="304"/>
      <c r="AV16" s="304"/>
      <c r="AW16" s="304"/>
      <c r="AX16" s="304"/>
      <c r="AY16" s="304"/>
      <c r="AZ16" s="304"/>
      <c r="BA16" s="304"/>
      <c r="BB16" s="304"/>
      <c r="BC16" s="304"/>
      <c r="BD16" s="304"/>
      <c r="BE16" s="304"/>
      <c r="BF16" s="304"/>
      <c r="BG16" s="304"/>
      <c r="BH16" s="304"/>
      <c r="BI16" s="304"/>
      <c r="BJ16" s="304"/>
      <c r="BK16" s="304"/>
      <c r="BL16" s="304"/>
      <c r="BM16" s="304"/>
      <c r="BN16" s="304"/>
      <c r="BO16" s="304"/>
      <c r="BP16" s="304"/>
      <c r="BQ16" s="304"/>
      <c r="BR16" s="304"/>
      <c r="BS16" s="304"/>
      <c r="BT16" s="304"/>
      <c r="BU16" s="304"/>
      <c r="BV16" s="304"/>
      <c r="BW16" s="304"/>
      <c r="BX16" s="304"/>
      <c r="BY16" s="304"/>
      <c r="BZ16" s="304"/>
      <c r="CA16" s="304"/>
      <c r="CB16" s="304"/>
      <c r="CC16" s="304"/>
      <c r="CD16" s="304"/>
      <c r="CE16" s="304"/>
      <c r="CF16" s="304"/>
      <c r="CG16" s="304"/>
      <c r="CH16" s="304"/>
      <c r="CI16" s="304"/>
      <c r="CJ16" s="304"/>
      <c r="CK16" s="304"/>
      <c r="CL16" s="304"/>
      <c r="CM16" s="304"/>
      <c r="CN16" s="304"/>
      <c r="CO16" s="304"/>
      <c r="CP16" s="304"/>
    </row>
    <row r="17" spans="1:94" s="274" customFormat="1">
      <c r="A17" s="265"/>
      <c r="B17" s="266"/>
      <c r="C17" s="267"/>
      <c r="D17" s="102"/>
      <c r="E17" s="102"/>
      <c r="F17" s="102"/>
      <c r="G17" s="275"/>
      <c r="H17" s="218">
        <f t="shared" si="5"/>
        <v>0</v>
      </c>
      <c r="I17" s="218">
        <f t="shared" si="6"/>
        <v>0</v>
      </c>
      <c r="J17" s="218">
        <f t="shared" si="7"/>
        <v>0</v>
      </c>
      <c r="K17" s="102" t="str">
        <f t="shared" si="8"/>
        <v/>
      </c>
      <c r="L17" s="276"/>
      <c r="M17" s="277"/>
      <c r="N17" s="278"/>
      <c r="O17" s="279"/>
      <c r="P17" s="276"/>
      <c r="Q17" s="280"/>
      <c r="R17" s="102">
        <f t="shared" si="4"/>
        <v>0</v>
      </c>
      <c r="S17" s="272"/>
      <c r="T17" s="273"/>
      <c r="U17" s="273"/>
      <c r="V17" s="273"/>
      <c r="W17" s="273"/>
      <c r="X17" s="273"/>
      <c r="Y17" s="281"/>
      <c r="Z17" s="304"/>
      <c r="AA17" s="304"/>
      <c r="AB17" s="304"/>
      <c r="AC17" s="304"/>
      <c r="AD17" s="304"/>
      <c r="AE17" s="304"/>
      <c r="AF17" s="304"/>
      <c r="AG17" s="304"/>
      <c r="AH17" s="304"/>
      <c r="AI17" s="304"/>
      <c r="AJ17" s="304"/>
      <c r="AK17" s="304"/>
      <c r="AL17" s="304"/>
      <c r="AM17" s="304"/>
      <c r="AN17" s="304"/>
      <c r="AO17" s="304"/>
      <c r="AP17" s="304"/>
      <c r="AQ17" s="304"/>
      <c r="AR17" s="304"/>
      <c r="AS17" s="304"/>
      <c r="AT17" s="304"/>
      <c r="AU17" s="304"/>
      <c r="AV17" s="304"/>
      <c r="AW17" s="304"/>
      <c r="AX17" s="304"/>
      <c r="AY17" s="304"/>
      <c r="AZ17" s="304"/>
      <c r="BA17" s="304"/>
      <c r="BB17" s="304"/>
      <c r="BC17" s="304"/>
      <c r="BD17" s="304"/>
      <c r="BE17" s="304"/>
      <c r="BF17" s="304"/>
      <c r="BG17" s="304"/>
      <c r="BH17" s="304"/>
      <c r="BI17" s="304"/>
      <c r="BJ17" s="304"/>
      <c r="BK17" s="304"/>
      <c r="BL17" s="304"/>
      <c r="BM17" s="304"/>
      <c r="BN17" s="304"/>
      <c r="BO17" s="304"/>
      <c r="BP17" s="304"/>
      <c r="BQ17" s="304"/>
      <c r="BR17" s="304"/>
      <c r="BS17" s="304"/>
      <c r="BT17" s="304"/>
      <c r="BU17" s="304"/>
      <c r="BV17" s="304"/>
      <c r="BW17" s="304"/>
      <c r="BX17" s="304"/>
      <c r="BY17" s="304"/>
      <c r="BZ17" s="304"/>
      <c r="CA17" s="304"/>
      <c r="CB17" s="304"/>
      <c r="CC17" s="304"/>
      <c r="CD17" s="304"/>
      <c r="CE17" s="304"/>
      <c r="CF17" s="304"/>
      <c r="CG17" s="304"/>
      <c r="CH17" s="304"/>
      <c r="CI17" s="304"/>
      <c r="CJ17" s="304"/>
      <c r="CK17" s="304"/>
      <c r="CL17" s="304"/>
      <c r="CM17" s="304"/>
      <c r="CN17" s="304"/>
      <c r="CO17" s="304"/>
      <c r="CP17" s="304"/>
    </row>
    <row r="18" spans="1:94" s="274" customFormat="1">
      <c r="A18" s="265"/>
      <c r="B18" s="266"/>
      <c r="C18" s="267"/>
      <c r="D18" s="102"/>
      <c r="E18" s="102"/>
      <c r="F18" s="102"/>
      <c r="G18" s="275"/>
      <c r="H18" s="218">
        <f t="shared" si="5"/>
        <v>0</v>
      </c>
      <c r="I18" s="218">
        <f t="shared" si="6"/>
        <v>0</v>
      </c>
      <c r="J18" s="218">
        <f t="shared" si="7"/>
        <v>0</v>
      </c>
      <c r="K18" s="102" t="str">
        <f t="shared" si="8"/>
        <v/>
      </c>
      <c r="L18" s="276"/>
      <c r="M18" s="277"/>
      <c r="N18" s="278"/>
      <c r="O18" s="279"/>
      <c r="P18" s="276"/>
      <c r="Q18" s="280"/>
      <c r="R18" s="102">
        <f t="shared" si="4"/>
        <v>0</v>
      </c>
      <c r="S18" s="272"/>
      <c r="T18" s="273"/>
      <c r="U18" s="273"/>
      <c r="V18" s="273"/>
      <c r="W18" s="273"/>
      <c r="X18" s="273"/>
      <c r="Y18" s="281"/>
      <c r="Z18" s="304"/>
      <c r="AA18" s="304"/>
      <c r="AB18" s="304"/>
      <c r="AC18" s="304"/>
      <c r="AD18" s="304"/>
      <c r="AE18" s="304"/>
      <c r="AF18" s="304"/>
      <c r="AG18" s="304"/>
      <c r="AH18" s="304"/>
      <c r="AI18" s="304"/>
      <c r="AJ18" s="304"/>
      <c r="AK18" s="304"/>
      <c r="AL18" s="304"/>
      <c r="AM18" s="304"/>
      <c r="AN18" s="304"/>
      <c r="AO18" s="304"/>
      <c r="AP18" s="304"/>
      <c r="AQ18" s="304"/>
      <c r="AR18" s="304"/>
      <c r="AS18" s="304"/>
      <c r="AT18" s="304"/>
      <c r="AU18" s="304"/>
      <c r="AV18" s="304"/>
      <c r="AW18" s="304"/>
      <c r="AX18" s="304"/>
      <c r="AY18" s="304"/>
      <c r="AZ18" s="304"/>
      <c r="BA18" s="304"/>
      <c r="BB18" s="304"/>
      <c r="BC18" s="304"/>
      <c r="BD18" s="304"/>
      <c r="BE18" s="304"/>
      <c r="BF18" s="304"/>
      <c r="BG18" s="304"/>
      <c r="BH18" s="304"/>
      <c r="BI18" s="304"/>
      <c r="BJ18" s="304"/>
      <c r="BK18" s="304"/>
      <c r="BL18" s="304"/>
      <c r="BM18" s="304"/>
      <c r="BN18" s="304"/>
      <c r="BO18" s="304"/>
      <c r="BP18" s="304"/>
      <c r="BQ18" s="304"/>
      <c r="BR18" s="304"/>
      <c r="BS18" s="304"/>
      <c r="BT18" s="304"/>
      <c r="BU18" s="304"/>
      <c r="BV18" s="304"/>
      <c r="BW18" s="304"/>
      <c r="BX18" s="304"/>
      <c r="BY18" s="304"/>
      <c r="BZ18" s="304"/>
      <c r="CA18" s="304"/>
      <c r="CB18" s="304"/>
      <c r="CC18" s="304"/>
      <c r="CD18" s="304"/>
      <c r="CE18" s="304"/>
      <c r="CF18" s="304"/>
      <c r="CG18" s="304"/>
      <c r="CH18" s="304"/>
      <c r="CI18" s="304"/>
      <c r="CJ18" s="304"/>
      <c r="CK18" s="304"/>
      <c r="CL18" s="304"/>
      <c r="CM18" s="304"/>
      <c r="CN18" s="304"/>
      <c r="CO18" s="304"/>
      <c r="CP18" s="304"/>
    </row>
    <row r="19" spans="1:94" s="87" customFormat="1">
      <c r="A19" s="81"/>
      <c r="B19" s="83"/>
      <c r="C19" s="82"/>
      <c r="D19" s="102"/>
      <c r="E19" s="102"/>
      <c r="F19" s="102"/>
      <c r="G19" s="225"/>
      <c r="H19" s="218">
        <f t="shared" si="5"/>
        <v>0</v>
      </c>
      <c r="I19" s="218">
        <f t="shared" si="6"/>
        <v>0</v>
      </c>
      <c r="J19" s="218">
        <f t="shared" si="7"/>
        <v>0</v>
      </c>
      <c r="K19" s="102" t="str">
        <f t="shared" si="8"/>
        <v/>
      </c>
      <c r="L19" s="221"/>
      <c r="M19" s="325"/>
      <c r="N19" s="94"/>
      <c r="O19" s="326"/>
      <c r="P19" s="84"/>
      <c r="Q19" s="88"/>
      <c r="R19" s="102">
        <f t="shared" si="4"/>
        <v>0</v>
      </c>
      <c r="S19" s="89"/>
      <c r="T19" s="100"/>
      <c r="U19" s="100"/>
      <c r="V19" s="100"/>
      <c r="W19" s="100"/>
      <c r="X19" s="100"/>
      <c r="Y19" s="83"/>
      <c r="Z19" s="304"/>
      <c r="AA19" s="304"/>
      <c r="AB19" s="304"/>
      <c r="AC19" s="304"/>
      <c r="AD19" s="304"/>
      <c r="AE19" s="304"/>
      <c r="AF19" s="304"/>
      <c r="AG19" s="304"/>
      <c r="AH19" s="304"/>
      <c r="AI19" s="304"/>
      <c r="AJ19" s="304"/>
      <c r="AK19" s="304"/>
      <c r="AL19" s="304"/>
      <c r="AM19" s="304"/>
      <c r="AN19" s="304"/>
      <c r="AO19" s="304"/>
      <c r="AP19" s="304"/>
      <c r="AQ19" s="304"/>
      <c r="AR19" s="304"/>
      <c r="AS19" s="304"/>
      <c r="AT19" s="304"/>
      <c r="AU19" s="304"/>
      <c r="AV19" s="304"/>
      <c r="AW19" s="304"/>
      <c r="AX19" s="304"/>
      <c r="AY19" s="304"/>
      <c r="AZ19" s="304"/>
      <c r="BA19" s="304"/>
      <c r="BB19" s="304"/>
      <c r="BC19" s="304"/>
      <c r="BD19" s="304"/>
      <c r="BE19" s="304"/>
      <c r="BF19" s="304"/>
      <c r="BG19" s="304"/>
      <c r="BH19" s="304"/>
      <c r="BI19" s="304"/>
      <c r="BJ19" s="304"/>
      <c r="BK19" s="304"/>
      <c r="BL19" s="304"/>
      <c r="BM19" s="304"/>
      <c r="BN19" s="304"/>
      <c r="BO19" s="304"/>
      <c r="BP19" s="304"/>
      <c r="BQ19" s="304"/>
      <c r="BR19" s="304"/>
      <c r="BS19" s="304"/>
      <c r="BT19" s="304"/>
      <c r="BU19" s="304"/>
      <c r="BV19" s="304"/>
      <c r="BW19" s="304"/>
      <c r="BX19" s="304"/>
      <c r="BY19" s="304"/>
      <c r="BZ19" s="304"/>
      <c r="CA19" s="304"/>
      <c r="CB19" s="304"/>
      <c r="CC19" s="304"/>
      <c r="CD19" s="304"/>
      <c r="CE19" s="304"/>
      <c r="CF19" s="304"/>
      <c r="CG19" s="304"/>
      <c r="CH19" s="304"/>
      <c r="CI19" s="304"/>
      <c r="CJ19" s="304"/>
      <c r="CK19" s="304"/>
      <c r="CL19" s="304"/>
      <c r="CM19" s="304"/>
      <c r="CN19" s="304"/>
      <c r="CO19" s="304"/>
      <c r="CP19" s="304"/>
    </row>
    <row r="20" spans="1:94" s="87" customFormat="1">
      <c r="A20" s="81"/>
      <c r="B20" s="83"/>
      <c r="C20" s="82"/>
      <c r="D20" s="102"/>
      <c r="E20" s="102"/>
      <c r="F20" s="102"/>
      <c r="G20" s="225"/>
      <c r="H20" s="218">
        <f t="shared" si="5"/>
        <v>0</v>
      </c>
      <c r="I20" s="218">
        <f t="shared" si="6"/>
        <v>0</v>
      </c>
      <c r="J20" s="218">
        <f t="shared" si="7"/>
        <v>0</v>
      </c>
      <c r="K20" s="102" t="str">
        <f t="shared" si="8"/>
        <v/>
      </c>
      <c r="L20" s="221"/>
      <c r="M20" s="325"/>
      <c r="N20" s="94"/>
      <c r="O20" s="326"/>
      <c r="P20" s="84"/>
      <c r="Q20" s="88"/>
      <c r="R20" s="102">
        <f t="shared" si="4"/>
        <v>0</v>
      </c>
      <c r="S20" s="89"/>
      <c r="T20" s="100"/>
      <c r="U20" s="100"/>
      <c r="V20" s="100"/>
      <c r="W20" s="100"/>
      <c r="X20" s="100"/>
      <c r="Y20" s="83"/>
      <c r="Z20" s="304"/>
      <c r="AA20" s="304"/>
      <c r="AB20" s="304"/>
      <c r="AC20" s="304"/>
      <c r="AD20" s="304"/>
      <c r="AE20" s="304"/>
      <c r="AF20" s="304"/>
      <c r="AG20" s="304"/>
      <c r="AH20" s="304"/>
      <c r="AI20" s="304"/>
      <c r="AJ20" s="304"/>
      <c r="AK20" s="304"/>
      <c r="AL20" s="304"/>
      <c r="AM20" s="304"/>
      <c r="AN20" s="304"/>
      <c r="AO20" s="304"/>
      <c r="AP20" s="304"/>
      <c r="AQ20" s="304"/>
      <c r="AR20" s="304"/>
      <c r="AS20" s="304"/>
      <c r="AT20" s="304"/>
      <c r="AU20" s="304"/>
      <c r="AV20" s="304"/>
      <c r="AW20" s="304"/>
      <c r="AX20" s="304"/>
      <c r="AY20" s="304"/>
      <c r="AZ20" s="304"/>
      <c r="BA20" s="304"/>
      <c r="BB20" s="304"/>
      <c r="BC20" s="304"/>
      <c r="BD20" s="304"/>
      <c r="BE20" s="304"/>
      <c r="BF20" s="304"/>
      <c r="BG20" s="304"/>
      <c r="BH20" s="304"/>
      <c r="BI20" s="304"/>
      <c r="BJ20" s="304"/>
      <c r="BK20" s="304"/>
      <c r="BL20" s="304"/>
      <c r="BM20" s="304"/>
      <c r="BN20" s="304"/>
      <c r="BO20" s="304"/>
      <c r="BP20" s="304"/>
      <c r="BQ20" s="304"/>
      <c r="BR20" s="304"/>
      <c r="BS20" s="304"/>
      <c r="BT20" s="304"/>
      <c r="BU20" s="304"/>
      <c r="BV20" s="304"/>
      <c r="BW20" s="304"/>
      <c r="BX20" s="304"/>
      <c r="BY20" s="304"/>
      <c r="BZ20" s="304"/>
      <c r="CA20" s="304"/>
      <c r="CB20" s="304"/>
      <c r="CC20" s="304"/>
      <c r="CD20" s="304"/>
      <c r="CE20" s="304"/>
      <c r="CF20" s="304"/>
      <c r="CG20" s="304"/>
      <c r="CH20" s="304"/>
      <c r="CI20" s="304"/>
      <c r="CJ20" s="304"/>
      <c r="CK20" s="304"/>
      <c r="CL20" s="304"/>
      <c r="CM20" s="304"/>
      <c r="CN20" s="304"/>
      <c r="CO20" s="304"/>
      <c r="CP20" s="304"/>
    </row>
    <row r="21" spans="1:94" s="87" customFormat="1">
      <c r="A21" s="81"/>
      <c r="B21" s="83"/>
      <c r="C21" s="82"/>
      <c r="D21" s="102"/>
      <c r="E21" s="102"/>
      <c r="F21" s="102"/>
      <c r="G21" s="225"/>
      <c r="H21" s="218">
        <f t="shared" ref="H21:H73" si="9">IF($G21="Attribute","NA",D21)</f>
        <v>0</v>
      </c>
      <c r="I21" s="218">
        <f t="shared" ref="I21:I73" si="10">IF($G21="Attribute","NA",E21)</f>
        <v>0</v>
      </c>
      <c r="J21" s="218">
        <f t="shared" ref="J21:J73" si="11">IF($G21="Attribute","NA",F21)</f>
        <v>0</v>
      </c>
      <c r="K21" s="102" t="str">
        <f t="shared" si="8"/>
        <v/>
      </c>
      <c r="L21" s="221"/>
      <c r="M21" s="325"/>
      <c r="N21" s="94"/>
      <c r="O21" s="326"/>
      <c r="P21" s="84"/>
      <c r="Q21" s="88"/>
      <c r="R21" s="102">
        <f t="shared" si="4"/>
        <v>0</v>
      </c>
      <c r="S21" s="89"/>
      <c r="T21" s="100"/>
      <c r="U21" s="100"/>
      <c r="V21" s="100"/>
      <c r="W21" s="100"/>
      <c r="X21" s="100"/>
      <c r="Y21" s="83"/>
      <c r="Z21" s="304"/>
      <c r="AA21" s="304"/>
      <c r="AB21" s="304"/>
      <c r="AC21" s="304"/>
      <c r="AD21" s="304"/>
      <c r="AE21" s="304"/>
      <c r="AF21" s="304"/>
      <c r="AG21" s="304"/>
      <c r="AH21" s="304"/>
      <c r="AI21" s="304"/>
      <c r="AJ21" s="304"/>
      <c r="AK21" s="304"/>
      <c r="AL21" s="304"/>
      <c r="AM21" s="304"/>
      <c r="AN21" s="304"/>
      <c r="AO21" s="304"/>
      <c r="AP21" s="304"/>
      <c r="AQ21" s="304"/>
      <c r="AR21" s="304"/>
      <c r="AS21" s="304"/>
      <c r="AT21" s="304"/>
      <c r="AU21" s="304"/>
      <c r="AV21" s="304"/>
      <c r="AW21" s="304"/>
      <c r="AX21" s="304"/>
      <c r="AY21" s="304"/>
      <c r="AZ21" s="304"/>
      <c r="BA21" s="304"/>
      <c r="BB21" s="304"/>
      <c r="BC21" s="304"/>
      <c r="BD21" s="304"/>
      <c r="BE21" s="304"/>
      <c r="BF21" s="304"/>
      <c r="BG21" s="304"/>
      <c r="BH21" s="304"/>
      <c r="BI21" s="304"/>
      <c r="BJ21" s="304"/>
      <c r="BK21" s="304"/>
      <c r="BL21" s="304"/>
      <c r="BM21" s="304"/>
      <c r="BN21" s="304"/>
      <c r="BO21" s="304"/>
      <c r="BP21" s="304"/>
      <c r="BQ21" s="304"/>
      <c r="BR21" s="304"/>
      <c r="BS21" s="304"/>
      <c r="BT21" s="304"/>
      <c r="BU21" s="304"/>
      <c r="BV21" s="304"/>
      <c r="BW21" s="304"/>
      <c r="BX21" s="304"/>
      <c r="BY21" s="304"/>
      <c r="BZ21" s="304"/>
      <c r="CA21" s="304"/>
      <c r="CB21" s="304"/>
      <c r="CC21" s="304"/>
      <c r="CD21" s="304"/>
      <c r="CE21" s="304"/>
      <c r="CF21" s="304"/>
      <c r="CG21" s="304"/>
      <c r="CH21" s="304"/>
      <c r="CI21" s="304"/>
      <c r="CJ21" s="304"/>
      <c r="CK21" s="304"/>
      <c r="CL21" s="304"/>
      <c r="CM21" s="304"/>
      <c r="CN21" s="304"/>
      <c r="CO21" s="304"/>
      <c r="CP21" s="304"/>
    </row>
    <row r="22" spans="1:94" s="87" customFormat="1">
      <c r="A22" s="81"/>
      <c r="B22" s="83"/>
      <c r="C22" s="82"/>
      <c r="D22" s="102"/>
      <c r="E22" s="102"/>
      <c r="F22" s="102"/>
      <c r="G22" s="225"/>
      <c r="H22" s="218">
        <f t="shared" si="9"/>
        <v>0</v>
      </c>
      <c r="I22" s="218">
        <f t="shared" si="10"/>
        <v>0</v>
      </c>
      <c r="J22" s="218">
        <f t="shared" si="11"/>
        <v>0</v>
      </c>
      <c r="K22" s="102" t="str">
        <f t="shared" si="8"/>
        <v/>
      </c>
      <c r="L22" s="221"/>
      <c r="M22" s="325"/>
      <c r="N22" s="94"/>
      <c r="O22" s="326"/>
      <c r="P22" s="84"/>
      <c r="Q22" s="88"/>
      <c r="R22" s="102">
        <f t="shared" si="4"/>
        <v>0</v>
      </c>
      <c r="S22" s="89"/>
      <c r="T22" s="100"/>
      <c r="U22" s="100"/>
      <c r="V22" s="100"/>
      <c r="W22" s="100"/>
      <c r="X22" s="100"/>
      <c r="Y22" s="83"/>
      <c r="Z22" s="304"/>
      <c r="AA22" s="304"/>
      <c r="AB22" s="304"/>
      <c r="AC22" s="304"/>
      <c r="AD22" s="304"/>
      <c r="AE22" s="304"/>
      <c r="AF22" s="304"/>
      <c r="AG22" s="304"/>
      <c r="AH22" s="304"/>
      <c r="AI22" s="304"/>
      <c r="AJ22" s="304"/>
      <c r="AK22" s="304"/>
      <c r="AL22" s="304"/>
      <c r="AM22" s="304"/>
      <c r="AN22" s="304"/>
      <c r="AO22" s="304"/>
      <c r="AP22" s="304"/>
      <c r="AQ22" s="304"/>
      <c r="AR22" s="304"/>
      <c r="AS22" s="304"/>
      <c r="AT22" s="304"/>
      <c r="AU22" s="304"/>
      <c r="AV22" s="304"/>
      <c r="AW22" s="304"/>
      <c r="AX22" s="304"/>
      <c r="AY22" s="304"/>
      <c r="AZ22" s="304"/>
      <c r="BA22" s="304"/>
      <c r="BB22" s="304"/>
      <c r="BC22" s="304"/>
      <c r="BD22" s="304"/>
      <c r="BE22" s="304"/>
      <c r="BF22" s="304"/>
      <c r="BG22" s="304"/>
      <c r="BH22" s="304"/>
      <c r="BI22" s="304"/>
      <c r="BJ22" s="304"/>
      <c r="BK22" s="304"/>
      <c r="BL22" s="304"/>
      <c r="BM22" s="304"/>
      <c r="BN22" s="304"/>
      <c r="BO22" s="304"/>
      <c r="BP22" s="304"/>
      <c r="BQ22" s="304"/>
      <c r="BR22" s="304"/>
      <c r="BS22" s="304"/>
      <c r="BT22" s="304"/>
      <c r="BU22" s="304"/>
      <c r="BV22" s="304"/>
      <c r="BW22" s="304"/>
      <c r="BX22" s="304"/>
      <c r="BY22" s="304"/>
      <c r="BZ22" s="304"/>
      <c r="CA22" s="304"/>
      <c r="CB22" s="304"/>
      <c r="CC22" s="304"/>
      <c r="CD22" s="304"/>
      <c r="CE22" s="304"/>
      <c r="CF22" s="304"/>
      <c r="CG22" s="304"/>
      <c r="CH22" s="304"/>
      <c r="CI22" s="304"/>
      <c r="CJ22" s="304"/>
      <c r="CK22" s="304"/>
      <c r="CL22" s="304"/>
      <c r="CM22" s="304"/>
      <c r="CN22" s="304"/>
      <c r="CO22" s="304"/>
      <c r="CP22" s="304"/>
    </row>
    <row r="23" spans="1:94" s="87" customFormat="1">
      <c r="A23" s="81"/>
      <c r="B23" s="83"/>
      <c r="C23" s="82"/>
      <c r="D23" s="102"/>
      <c r="E23" s="102"/>
      <c r="F23" s="102"/>
      <c r="G23" s="225"/>
      <c r="H23" s="218">
        <f t="shared" si="9"/>
        <v>0</v>
      </c>
      <c r="I23" s="218">
        <f t="shared" si="10"/>
        <v>0</v>
      </c>
      <c r="J23" s="218">
        <f t="shared" si="11"/>
        <v>0</v>
      </c>
      <c r="K23" s="102" t="str">
        <f t="shared" si="8"/>
        <v/>
      </c>
      <c r="L23" s="221"/>
      <c r="M23" s="325"/>
      <c r="N23" s="94"/>
      <c r="O23" s="326"/>
      <c r="P23" s="84"/>
      <c r="Q23" s="88"/>
      <c r="R23" s="102">
        <f t="shared" si="4"/>
        <v>0</v>
      </c>
      <c r="S23" s="89"/>
      <c r="T23" s="100"/>
      <c r="U23" s="100"/>
      <c r="V23" s="100"/>
      <c r="W23" s="100"/>
      <c r="X23" s="100"/>
      <c r="Y23" s="83"/>
      <c r="Z23" s="304"/>
      <c r="AA23" s="304"/>
      <c r="AB23" s="304"/>
      <c r="AC23" s="304"/>
      <c r="AD23" s="304"/>
      <c r="AE23" s="304"/>
      <c r="AF23" s="304"/>
      <c r="AG23" s="304"/>
      <c r="AH23" s="304"/>
      <c r="AI23" s="304"/>
      <c r="AJ23" s="304"/>
      <c r="AK23" s="304"/>
      <c r="AL23" s="304"/>
      <c r="AM23" s="304"/>
      <c r="AN23" s="304"/>
      <c r="AO23" s="304"/>
      <c r="AP23" s="304"/>
      <c r="AQ23" s="304"/>
      <c r="AR23" s="304"/>
      <c r="AS23" s="304"/>
      <c r="AT23" s="304"/>
      <c r="AU23" s="304"/>
      <c r="AV23" s="304"/>
      <c r="AW23" s="304"/>
      <c r="AX23" s="304"/>
      <c r="AY23" s="304"/>
      <c r="AZ23" s="304"/>
      <c r="BA23" s="304"/>
      <c r="BB23" s="304"/>
      <c r="BC23" s="304"/>
      <c r="BD23" s="304"/>
      <c r="BE23" s="304"/>
      <c r="BF23" s="304"/>
      <c r="BG23" s="304"/>
      <c r="BH23" s="304"/>
      <c r="BI23" s="304"/>
      <c r="BJ23" s="304"/>
      <c r="BK23" s="304"/>
      <c r="BL23" s="304"/>
      <c r="BM23" s="304"/>
      <c r="BN23" s="304"/>
      <c r="BO23" s="304"/>
      <c r="BP23" s="304"/>
      <c r="BQ23" s="304"/>
      <c r="BR23" s="304"/>
      <c r="BS23" s="304"/>
      <c r="BT23" s="304"/>
      <c r="BU23" s="304"/>
      <c r="BV23" s="304"/>
      <c r="BW23" s="304"/>
      <c r="BX23" s="304"/>
      <c r="BY23" s="304"/>
      <c r="BZ23" s="304"/>
      <c r="CA23" s="304"/>
      <c r="CB23" s="304"/>
      <c r="CC23" s="304"/>
      <c r="CD23" s="304"/>
      <c r="CE23" s="304"/>
      <c r="CF23" s="304"/>
      <c r="CG23" s="304"/>
      <c r="CH23" s="304"/>
      <c r="CI23" s="304"/>
      <c r="CJ23" s="304"/>
      <c r="CK23" s="304"/>
      <c r="CL23" s="304"/>
      <c r="CM23" s="304"/>
      <c r="CN23" s="304"/>
      <c r="CO23" s="304"/>
      <c r="CP23" s="304"/>
    </row>
    <row r="24" spans="1:94" s="87" customFormat="1">
      <c r="A24" s="81"/>
      <c r="B24" s="83"/>
      <c r="C24" s="82"/>
      <c r="D24" s="102"/>
      <c r="E24" s="102"/>
      <c r="F24" s="102"/>
      <c r="G24" s="225"/>
      <c r="H24" s="218">
        <f t="shared" si="9"/>
        <v>0</v>
      </c>
      <c r="I24" s="218">
        <f t="shared" si="10"/>
        <v>0</v>
      </c>
      <c r="J24" s="218">
        <f t="shared" si="11"/>
        <v>0</v>
      </c>
      <c r="K24" s="102" t="str">
        <f t="shared" si="8"/>
        <v/>
      </c>
      <c r="L24" s="221"/>
      <c r="M24" s="325"/>
      <c r="N24" s="94"/>
      <c r="O24" s="326"/>
      <c r="P24" s="84"/>
      <c r="Q24" s="88"/>
      <c r="R24" s="102">
        <f t="shared" si="4"/>
        <v>0</v>
      </c>
      <c r="S24" s="89"/>
      <c r="T24" s="100"/>
      <c r="U24" s="100"/>
      <c r="V24" s="100"/>
      <c r="W24" s="100"/>
      <c r="X24" s="100"/>
      <c r="Y24" s="83"/>
      <c r="Z24" s="304"/>
      <c r="AA24" s="304"/>
      <c r="AB24" s="304"/>
      <c r="AC24" s="304"/>
      <c r="AD24" s="304"/>
      <c r="AE24" s="304"/>
      <c r="AF24" s="304"/>
      <c r="AG24" s="304"/>
      <c r="AH24" s="304"/>
      <c r="AI24" s="304"/>
      <c r="AJ24" s="304"/>
      <c r="AK24" s="304"/>
      <c r="AL24" s="304"/>
      <c r="AM24" s="304"/>
      <c r="AN24" s="304"/>
      <c r="AO24" s="304"/>
      <c r="AP24" s="304"/>
      <c r="AQ24" s="304"/>
      <c r="AR24" s="304"/>
      <c r="AS24" s="304"/>
      <c r="AT24" s="304"/>
      <c r="AU24" s="304"/>
      <c r="AV24" s="304"/>
      <c r="AW24" s="304"/>
      <c r="AX24" s="304"/>
      <c r="AY24" s="304"/>
      <c r="AZ24" s="304"/>
      <c r="BA24" s="304"/>
      <c r="BB24" s="304"/>
      <c r="BC24" s="304"/>
      <c r="BD24" s="304"/>
      <c r="BE24" s="304"/>
      <c r="BF24" s="304"/>
      <c r="BG24" s="304"/>
      <c r="BH24" s="304"/>
      <c r="BI24" s="304"/>
      <c r="BJ24" s="304"/>
      <c r="BK24" s="304"/>
      <c r="BL24" s="304"/>
      <c r="BM24" s="304"/>
      <c r="BN24" s="304"/>
      <c r="BO24" s="304"/>
      <c r="BP24" s="304"/>
      <c r="BQ24" s="304"/>
      <c r="BR24" s="304"/>
      <c r="BS24" s="304"/>
      <c r="BT24" s="304"/>
      <c r="BU24" s="304"/>
      <c r="BV24" s="304"/>
      <c r="BW24" s="304"/>
      <c r="BX24" s="304"/>
      <c r="BY24" s="304"/>
      <c r="BZ24" s="304"/>
      <c r="CA24" s="304"/>
      <c r="CB24" s="304"/>
      <c r="CC24" s="304"/>
      <c r="CD24" s="304"/>
      <c r="CE24" s="304"/>
      <c r="CF24" s="304"/>
      <c r="CG24" s="304"/>
      <c r="CH24" s="304"/>
      <c r="CI24" s="304"/>
      <c r="CJ24" s="304"/>
      <c r="CK24" s="304"/>
      <c r="CL24" s="304"/>
      <c r="CM24" s="304"/>
      <c r="CN24" s="304"/>
      <c r="CO24" s="304"/>
      <c r="CP24" s="304"/>
    </row>
    <row r="25" spans="1:94" s="87" customFormat="1">
      <c r="A25" s="81"/>
      <c r="B25" s="83"/>
      <c r="C25" s="82"/>
      <c r="D25" s="102"/>
      <c r="E25" s="102"/>
      <c r="F25" s="102"/>
      <c r="G25" s="225"/>
      <c r="H25" s="218">
        <f t="shared" si="9"/>
        <v>0</v>
      </c>
      <c r="I25" s="218">
        <f t="shared" si="10"/>
        <v>0</v>
      </c>
      <c r="J25" s="218">
        <f t="shared" si="11"/>
        <v>0</v>
      </c>
      <c r="K25" s="102" t="str">
        <f t="shared" si="8"/>
        <v/>
      </c>
      <c r="L25" s="221"/>
      <c r="M25" s="325"/>
      <c r="N25" s="94"/>
      <c r="O25" s="326"/>
      <c r="P25" s="84"/>
      <c r="Q25" s="88"/>
      <c r="R25" s="102">
        <f t="shared" si="4"/>
        <v>0</v>
      </c>
      <c r="S25" s="89"/>
      <c r="T25" s="100"/>
      <c r="U25" s="100"/>
      <c r="V25" s="100"/>
      <c r="W25" s="100"/>
      <c r="X25" s="100"/>
      <c r="Y25" s="83"/>
      <c r="Z25" s="304"/>
      <c r="AA25" s="304"/>
      <c r="AB25" s="304"/>
      <c r="AC25" s="304"/>
      <c r="AD25" s="304"/>
      <c r="AE25" s="304"/>
      <c r="AF25" s="304"/>
      <c r="AG25" s="304"/>
      <c r="AH25" s="304"/>
      <c r="AI25" s="304"/>
      <c r="AJ25" s="304"/>
      <c r="AK25" s="304"/>
      <c r="AL25" s="304"/>
      <c r="AM25" s="304"/>
      <c r="AN25" s="304"/>
      <c r="AO25" s="304"/>
      <c r="AP25" s="304"/>
      <c r="AQ25" s="304"/>
      <c r="AR25" s="304"/>
      <c r="AS25" s="304"/>
      <c r="AT25" s="304"/>
      <c r="AU25" s="304"/>
      <c r="AV25" s="304"/>
      <c r="AW25" s="304"/>
      <c r="AX25" s="304"/>
      <c r="AY25" s="304"/>
      <c r="AZ25" s="304"/>
      <c r="BA25" s="304"/>
      <c r="BB25" s="304"/>
      <c r="BC25" s="304"/>
      <c r="BD25" s="304"/>
      <c r="BE25" s="304"/>
      <c r="BF25" s="304"/>
      <c r="BG25" s="304"/>
      <c r="BH25" s="304"/>
      <c r="BI25" s="304"/>
      <c r="BJ25" s="304"/>
      <c r="BK25" s="304"/>
      <c r="BL25" s="304"/>
      <c r="BM25" s="304"/>
      <c r="BN25" s="304"/>
      <c r="BO25" s="304"/>
      <c r="BP25" s="304"/>
      <c r="BQ25" s="304"/>
      <c r="BR25" s="304"/>
      <c r="BS25" s="304"/>
      <c r="BT25" s="304"/>
      <c r="BU25" s="304"/>
      <c r="BV25" s="304"/>
      <c r="BW25" s="304"/>
      <c r="BX25" s="304"/>
      <c r="BY25" s="304"/>
      <c r="BZ25" s="304"/>
      <c r="CA25" s="304"/>
      <c r="CB25" s="304"/>
      <c r="CC25" s="304"/>
      <c r="CD25" s="304"/>
      <c r="CE25" s="304"/>
      <c r="CF25" s="304"/>
      <c r="CG25" s="304"/>
      <c r="CH25" s="304"/>
      <c r="CI25" s="304"/>
      <c r="CJ25" s="304"/>
      <c r="CK25" s="304"/>
      <c r="CL25" s="304"/>
      <c r="CM25" s="304"/>
      <c r="CN25" s="304"/>
      <c r="CO25" s="304"/>
      <c r="CP25" s="304"/>
    </row>
    <row r="26" spans="1:94" s="87" customFormat="1">
      <c r="A26" s="81"/>
      <c r="B26" s="83"/>
      <c r="C26" s="82"/>
      <c r="D26" s="102"/>
      <c r="E26" s="102"/>
      <c r="F26" s="102"/>
      <c r="G26" s="225"/>
      <c r="H26" s="218">
        <f t="shared" si="9"/>
        <v>0</v>
      </c>
      <c r="I26" s="218">
        <f t="shared" si="10"/>
        <v>0</v>
      </c>
      <c r="J26" s="218">
        <f t="shared" si="11"/>
        <v>0</v>
      </c>
      <c r="K26" s="102" t="str">
        <f t="shared" si="8"/>
        <v/>
      </c>
      <c r="L26" s="221"/>
      <c r="M26" s="325"/>
      <c r="N26" s="94"/>
      <c r="O26" s="326"/>
      <c r="P26" s="84"/>
      <c r="Q26" s="88"/>
      <c r="R26" s="102">
        <f t="shared" si="4"/>
        <v>0</v>
      </c>
      <c r="S26" s="89"/>
      <c r="T26" s="100"/>
      <c r="U26" s="100"/>
      <c r="V26" s="100"/>
      <c r="W26" s="100"/>
      <c r="X26" s="100"/>
      <c r="Y26" s="83"/>
      <c r="Z26" s="304"/>
      <c r="AA26" s="304"/>
      <c r="AB26" s="304"/>
      <c r="AC26" s="304"/>
      <c r="AD26" s="304"/>
      <c r="AE26" s="304"/>
      <c r="AF26" s="304"/>
      <c r="AG26" s="304"/>
      <c r="AH26" s="304"/>
      <c r="AI26" s="304"/>
      <c r="AJ26" s="304"/>
      <c r="AK26" s="304"/>
      <c r="AL26" s="304"/>
      <c r="AM26" s="304"/>
      <c r="AN26" s="304"/>
      <c r="AO26" s="304"/>
      <c r="AP26" s="304"/>
      <c r="AQ26" s="304"/>
      <c r="AR26" s="304"/>
      <c r="AS26" s="304"/>
      <c r="AT26" s="304"/>
      <c r="AU26" s="304"/>
      <c r="AV26" s="304"/>
      <c r="AW26" s="304"/>
      <c r="AX26" s="304"/>
      <c r="AY26" s="304"/>
      <c r="AZ26" s="304"/>
      <c r="BA26" s="304"/>
      <c r="BB26" s="304"/>
      <c r="BC26" s="304"/>
      <c r="BD26" s="304"/>
      <c r="BE26" s="304"/>
      <c r="BF26" s="304"/>
      <c r="BG26" s="304"/>
      <c r="BH26" s="304"/>
      <c r="BI26" s="304"/>
      <c r="BJ26" s="304"/>
      <c r="BK26" s="304"/>
      <c r="BL26" s="304"/>
      <c r="BM26" s="304"/>
      <c r="BN26" s="304"/>
      <c r="BO26" s="304"/>
      <c r="BP26" s="304"/>
      <c r="BQ26" s="304"/>
      <c r="BR26" s="304"/>
      <c r="BS26" s="304"/>
      <c r="BT26" s="304"/>
      <c r="BU26" s="304"/>
      <c r="BV26" s="304"/>
      <c r="BW26" s="304"/>
      <c r="BX26" s="304"/>
      <c r="BY26" s="304"/>
      <c r="BZ26" s="304"/>
      <c r="CA26" s="304"/>
      <c r="CB26" s="304"/>
      <c r="CC26" s="304"/>
      <c r="CD26" s="304"/>
      <c r="CE26" s="304"/>
      <c r="CF26" s="304"/>
      <c r="CG26" s="304"/>
      <c r="CH26" s="304"/>
      <c r="CI26" s="304"/>
      <c r="CJ26" s="304"/>
      <c r="CK26" s="304"/>
      <c r="CL26" s="304"/>
      <c r="CM26" s="304"/>
      <c r="CN26" s="304"/>
      <c r="CO26" s="304"/>
      <c r="CP26" s="304"/>
    </row>
    <row r="27" spans="1:94" s="87" customFormat="1">
      <c r="A27" s="81"/>
      <c r="B27" s="83"/>
      <c r="C27" s="82"/>
      <c r="D27" s="102"/>
      <c r="E27" s="102"/>
      <c r="F27" s="102"/>
      <c r="G27" s="225"/>
      <c r="H27" s="218">
        <f t="shared" si="9"/>
        <v>0</v>
      </c>
      <c r="I27" s="218">
        <f t="shared" si="10"/>
        <v>0</v>
      </c>
      <c r="J27" s="218">
        <f t="shared" si="11"/>
        <v>0</v>
      </c>
      <c r="K27" s="102" t="str">
        <f t="shared" si="8"/>
        <v/>
      </c>
      <c r="L27" s="221"/>
      <c r="M27" s="325"/>
      <c r="N27" s="94"/>
      <c r="O27" s="326"/>
      <c r="P27" s="84"/>
      <c r="Q27" s="88"/>
      <c r="R27" s="102">
        <f t="shared" si="4"/>
        <v>0</v>
      </c>
      <c r="S27" s="89"/>
      <c r="T27" s="100"/>
      <c r="U27" s="100"/>
      <c r="V27" s="100"/>
      <c r="W27" s="100"/>
      <c r="X27" s="100"/>
      <c r="Y27" s="83"/>
      <c r="Z27" s="304"/>
      <c r="AA27" s="304"/>
      <c r="AB27" s="304"/>
      <c r="AC27" s="304"/>
      <c r="AD27" s="304"/>
      <c r="AE27" s="304"/>
      <c r="AF27" s="304"/>
      <c r="AG27" s="304"/>
      <c r="AH27" s="304"/>
      <c r="AI27" s="304"/>
      <c r="AJ27" s="304"/>
      <c r="AK27" s="304"/>
      <c r="AL27" s="304"/>
      <c r="AM27" s="304"/>
      <c r="AN27" s="304"/>
      <c r="AO27" s="304"/>
      <c r="AP27" s="304"/>
      <c r="AQ27" s="304"/>
      <c r="AR27" s="304"/>
      <c r="AS27" s="304"/>
      <c r="AT27" s="304"/>
      <c r="AU27" s="304"/>
      <c r="AV27" s="304"/>
      <c r="AW27" s="304"/>
      <c r="AX27" s="304"/>
      <c r="AY27" s="304"/>
      <c r="AZ27" s="304"/>
      <c r="BA27" s="304"/>
      <c r="BB27" s="304"/>
      <c r="BC27" s="304"/>
      <c r="BD27" s="304"/>
      <c r="BE27" s="304"/>
      <c r="BF27" s="304"/>
      <c r="BG27" s="304"/>
      <c r="BH27" s="304"/>
      <c r="BI27" s="304"/>
      <c r="BJ27" s="304"/>
      <c r="BK27" s="304"/>
      <c r="BL27" s="304"/>
      <c r="BM27" s="304"/>
      <c r="BN27" s="304"/>
      <c r="BO27" s="304"/>
      <c r="BP27" s="304"/>
      <c r="BQ27" s="304"/>
      <c r="BR27" s="304"/>
      <c r="BS27" s="304"/>
      <c r="BT27" s="304"/>
      <c r="BU27" s="304"/>
      <c r="BV27" s="304"/>
      <c r="BW27" s="304"/>
      <c r="BX27" s="304"/>
      <c r="BY27" s="304"/>
      <c r="BZ27" s="304"/>
      <c r="CA27" s="304"/>
      <c r="CB27" s="304"/>
      <c r="CC27" s="304"/>
      <c r="CD27" s="304"/>
      <c r="CE27" s="304"/>
      <c r="CF27" s="304"/>
      <c r="CG27" s="304"/>
      <c r="CH27" s="304"/>
      <c r="CI27" s="304"/>
      <c r="CJ27" s="304"/>
      <c r="CK27" s="304"/>
      <c r="CL27" s="304"/>
      <c r="CM27" s="304"/>
      <c r="CN27" s="304"/>
      <c r="CO27" s="304"/>
      <c r="CP27" s="304"/>
    </row>
    <row r="28" spans="1:94" s="87" customFormat="1">
      <c r="A28" s="81"/>
      <c r="B28" s="83"/>
      <c r="C28" s="82"/>
      <c r="D28" s="102"/>
      <c r="E28" s="102"/>
      <c r="F28" s="102"/>
      <c r="G28" s="225"/>
      <c r="H28" s="218">
        <f t="shared" si="9"/>
        <v>0</v>
      </c>
      <c r="I28" s="218">
        <f t="shared" si="10"/>
        <v>0</v>
      </c>
      <c r="J28" s="218">
        <f t="shared" si="11"/>
        <v>0</v>
      </c>
      <c r="K28" s="102" t="str">
        <f t="shared" si="8"/>
        <v/>
      </c>
      <c r="L28" s="221"/>
      <c r="M28" s="325"/>
      <c r="N28" s="94"/>
      <c r="O28" s="326"/>
      <c r="P28" s="84"/>
      <c r="Q28" s="88"/>
      <c r="R28" s="102">
        <f t="shared" si="4"/>
        <v>0</v>
      </c>
      <c r="S28" s="89"/>
      <c r="T28" s="100"/>
      <c r="U28" s="100"/>
      <c r="V28" s="100"/>
      <c r="W28" s="100"/>
      <c r="X28" s="100"/>
      <c r="Y28" s="83"/>
      <c r="Z28" s="304"/>
      <c r="AA28" s="304"/>
      <c r="AB28" s="304"/>
      <c r="AC28" s="304"/>
      <c r="AD28" s="304"/>
      <c r="AE28" s="304"/>
      <c r="AF28" s="304"/>
      <c r="AG28" s="304"/>
      <c r="AH28" s="304"/>
      <c r="AI28" s="304"/>
      <c r="AJ28" s="304"/>
      <c r="AK28" s="304"/>
      <c r="AL28" s="304"/>
      <c r="AM28" s="304"/>
      <c r="AN28" s="304"/>
      <c r="AO28" s="304"/>
      <c r="AP28" s="304"/>
      <c r="AQ28" s="304"/>
      <c r="AR28" s="304"/>
      <c r="AS28" s="304"/>
      <c r="AT28" s="304"/>
      <c r="AU28" s="304"/>
      <c r="AV28" s="304"/>
      <c r="AW28" s="304"/>
      <c r="AX28" s="304"/>
      <c r="AY28" s="304"/>
      <c r="AZ28" s="304"/>
      <c r="BA28" s="304"/>
      <c r="BB28" s="304"/>
      <c r="BC28" s="304"/>
      <c r="BD28" s="304"/>
      <c r="BE28" s="304"/>
      <c r="BF28" s="304"/>
      <c r="BG28" s="304"/>
      <c r="BH28" s="304"/>
      <c r="BI28" s="304"/>
      <c r="BJ28" s="304"/>
      <c r="BK28" s="304"/>
      <c r="BL28" s="304"/>
      <c r="BM28" s="304"/>
      <c r="BN28" s="304"/>
      <c r="BO28" s="304"/>
      <c r="BP28" s="304"/>
      <c r="BQ28" s="304"/>
      <c r="BR28" s="304"/>
      <c r="BS28" s="304"/>
      <c r="BT28" s="304"/>
      <c r="BU28" s="304"/>
      <c r="BV28" s="304"/>
      <c r="BW28" s="304"/>
      <c r="BX28" s="304"/>
      <c r="BY28" s="304"/>
      <c r="BZ28" s="304"/>
      <c r="CA28" s="304"/>
      <c r="CB28" s="304"/>
      <c r="CC28" s="304"/>
      <c r="CD28" s="304"/>
      <c r="CE28" s="304"/>
      <c r="CF28" s="304"/>
      <c r="CG28" s="304"/>
      <c r="CH28" s="304"/>
      <c r="CI28" s="304"/>
      <c r="CJ28" s="304"/>
      <c r="CK28" s="304"/>
      <c r="CL28" s="304"/>
      <c r="CM28" s="304"/>
      <c r="CN28" s="304"/>
      <c r="CO28" s="304"/>
      <c r="CP28" s="304"/>
    </row>
    <row r="29" spans="1:94" s="87" customFormat="1">
      <c r="A29" s="81"/>
      <c r="B29" s="83"/>
      <c r="C29" s="82"/>
      <c r="D29" s="102"/>
      <c r="E29" s="102"/>
      <c r="F29" s="102"/>
      <c r="G29" s="225"/>
      <c r="H29" s="218">
        <f t="shared" si="9"/>
        <v>0</v>
      </c>
      <c r="I29" s="218">
        <f t="shared" si="10"/>
        <v>0</v>
      </c>
      <c r="J29" s="218">
        <f t="shared" si="11"/>
        <v>0</v>
      </c>
      <c r="K29" s="102" t="str">
        <f t="shared" si="8"/>
        <v/>
      </c>
      <c r="L29" s="221"/>
      <c r="M29" s="325"/>
      <c r="N29" s="94"/>
      <c r="O29" s="326"/>
      <c r="P29" s="84"/>
      <c r="Q29" s="88"/>
      <c r="R29" s="102">
        <f t="shared" si="4"/>
        <v>0</v>
      </c>
      <c r="S29" s="89"/>
      <c r="T29" s="100"/>
      <c r="U29" s="100"/>
      <c r="V29" s="100"/>
      <c r="W29" s="100"/>
      <c r="X29" s="100"/>
      <c r="Y29" s="83"/>
      <c r="Z29" s="304"/>
      <c r="AA29" s="304"/>
      <c r="AB29" s="304"/>
      <c r="AC29" s="304"/>
      <c r="AD29" s="304"/>
      <c r="AE29" s="304"/>
      <c r="AF29" s="304"/>
      <c r="AG29" s="304"/>
      <c r="AH29" s="304"/>
      <c r="AI29" s="304"/>
      <c r="AJ29" s="304"/>
      <c r="AK29" s="304"/>
      <c r="AL29" s="304"/>
      <c r="AM29" s="304"/>
      <c r="AN29" s="304"/>
      <c r="AO29" s="304"/>
      <c r="AP29" s="304"/>
      <c r="AQ29" s="304"/>
      <c r="AR29" s="304"/>
      <c r="AS29" s="304"/>
      <c r="AT29" s="304"/>
      <c r="AU29" s="304"/>
      <c r="AV29" s="304"/>
      <c r="AW29" s="304"/>
      <c r="AX29" s="304"/>
      <c r="AY29" s="304"/>
      <c r="AZ29" s="304"/>
      <c r="BA29" s="304"/>
      <c r="BB29" s="304"/>
      <c r="BC29" s="304"/>
      <c r="BD29" s="304"/>
      <c r="BE29" s="304"/>
      <c r="BF29" s="304"/>
      <c r="BG29" s="304"/>
      <c r="BH29" s="304"/>
      <c r="BI29" s="304"/>
      <c r="BJ29" s="304"/>
      <c r="BK29" s="304"/>
      <c r="BL29" s="304"/>
      <c r="BM29" s="304"/>
      <c r="BN29" s="304"/>
      <c r="BO29" s="304"/>
      <c r="BP29" s="304"/>
      <c r="BQ29" s="304"/>
      <c r="BR29" s="304"/>
      <c r="BS29" s="304"/>
      <c r="BT29" s="304"/>
      <c r="BU29" s="304"/>
      <c r="BV29" s="304"/>
      <c r="BW29" s="304"/>
      <c r="BX29" s="304"/>
      <c r="BY29" s="304"/>
      <c r="BZ29" s="304"/>
      <c r="CA29" s="304"/>
      <c r="CB29" s="304"/>
      <c r="CC29" s="304"/>
      <c r="CD29" s="304"/>
      <c r="CE29" s="304"/>
      <c r="CF29" s="304"/>
      <c r="CG29" s="304"/>
      <c r="CH29" s="304"/>
      <c r="CI29" s="304"/>
      <c r="CJ29" s="304"/>
      <c r="CK29" s="304"/>
      <c r="CL29" s="304"/>
      <c r="CM29" s="304"/>
      <c r="CN29" s="304"/>
      <c r="CO29" s="304"/>
      <c r="CP29" s="304"/>
    </row>
    <row r="30" spans="1:94" s="87" customFormat="1">
      <c r="A30" s="81"/>
      <c r="B30" s="83"/>
      <c r="C30" s="82"/>
      <c r="D30" s="102"/>
      <c r="E30" s="102"/>
      <c r="F30" s="102"/>
      <c r="G30" s="225"/>
      <c r="H30" s="218">
        <f t="shared" si="9"/>
        <v>0</v>
      </c>
      <c r="I30" s="218">
        <f t="shared" si="10"/>
        <v>0</v>
      </c>
      <c r="J30" s="218">
        <f t="shared" si="11"/>
        <v>0</v>
      </c>
      <c r="K30" s="102" t="str">
        <f t="shared" si="8"/>
        <v/>
      </c>
      <c r="L30" s="221"/>
      <c r="M30" s="325"/>
      <c r="N30" s="94"/>
      <c r="O30" s="326"/>
      <c r="P30" s="84"/>
      <c r="Q30" s="88"/>
      <c r="R30" s="102">
        <f t="shared" si="4"/>
        <v>0</v>
      </c>
      <c r="S30" s="89"/>
      <c r="T30" s="100"/>
      <c r="U30" s="100"/>
      <c r="V30" s="100"/>
      <c r="W30" s="100"/>
      <c r="X30" s="100"/>
      <c r="Y30" s="83"/>
      <c r="Z30" s="304"/>
      <c r="AA30" s="304"/>
      <c r="AB30" s="304"/>
      <c r="AC30" s="304"/>
      <c r="AD30" s="304"/>
      <c r="AE30" s="304"/>
      <c r="AF30" s="304"/>
      <c r="AG30" s="304"/>
      <c r="AH30" s="304"/>
      <c r="AI30" s="304"/>
      <c r="AJ30" s="304"/>
      <c r="AK30" s="304"/>
      <c r="AL30" s="304"/>
      <c r="AM30" s="304"/>
      <c r="AN30" s="304"/>
      <c r="AO30" s="304"/>
      <c r="AP30" s="304"/>
      <c r="AQ30" s="304"/>
      <c r="AR30" s="304"/>
      <c r="AS30" s="304"/>
      <c r="AT30" s="304"/>
      <c r="AU30" s="304"/>
      <c r="AV30" s="304"/>
      <c r="AW30" s="304"/>
      <c r="AX30" s="304"/>
      <c r="AY30" s="304"/>
      <c r="AZ30" s="304"/>
      <c r="BA30" s="304"/>
      <c r="BB30" s="304"/>
      <c r="BC30" s="304"/>
      <c r="BD30" s="304"/>
      <c r="BE30" s="304"/>
      <c r="BF30" s="304"/>
      <c r="BG30" s="304"/>
      <c r="BH30" s="304"/>
      <c r="BI30" s="304"/>
      <c r="BJ30" s="304"/>
      <c r="BK30" s="304"/>
      <c r="BL30" s="304"/>
      <c r="BM30" s="304"/>
      <c r="BN30" s="304"/>
      <c r="BO30" s="304"/>
      <c r="BP30" s="304"/>
      <c r="BQ30" s="304"/>
      <c r="BR30" s="304"/>
      <c r="BS30" s="304"/>
      <c r="BT30" s="304"/>
      <c r="BU30" s="304"/>
      <c r="BV30" s="304"/>
      <c r="BW30" s="304"/>
      <c r="BX30" s="304"/>
      <c r="BY30" s="304"/>
      <c r="BZ30" s="304"/>
      <c r="CA30" s="304"/>
      <c r="CB30" s="304"/>
      <c r="CC30" s="304"/>
      <c r="CD30" s="304"/>
      <c r="CE30" s="304"/>
      <c r="CF30" s="304"/>
      <c r="CG30" s="304"/>
      <c r="CH30" s="304"/>
      <c r="CI30" s="304"/>
      <c r="CJ30" s="304"/>
      <c r="CK30" s="304"/>
      <c r="CL30" s="304"/>
      <c r="CM30" s="304"/>
      <c r="CN30" s="304"/>
      <c r="CO30" s="304"/>
      <c r="CP30" s="304"/>
    </row>
    <row r="31" spans="1:94" s="87" customFormat="1">
      <c r="A31" s="81"/>
      <c r="B31" s="83"/>
      <c r="C31" s="82"/>
      <c r="D31" s="102"/>
      <c r="E31" s="102"/>
      <c r="F31" s="102"/>
      <c r="G31" s="225"/>
      <c r="H31" s="218">
        <f t="shared" si="9"/>
        <v>0</v>
      </c>
      <c r="I31" s="218">
        <f t="shared" si="10"/>
        <v>0</v>
      </c>
      <c r="J31" s="218">
        <f t="shared" si="11"/>
        <v>0</v>
      </c>
      <c r="K31" s="102" t="str">
        <f t="shared" si="8"/>
        <v/>
      </c>
      <c r="L31" s="221"/>
      <c r="M31" s="325"/>
      <c r="N31" s="94"/>
      <c r="O31" s="326"/>
      <c r="P31" s="84"/>
      <c r="Q31" s="88"/>
      <c r="R31" s="102">
        <f t="shared" si="4"/>
        <v>0</v>
      </c>
      <c r="S31" s="89"/>
      <c r="T31" s="100"/>
      <c r="U31" s="100"/>
      <c r="V31" s="100"/>
      <c r="W31" s="100"/>
      <c r="X31" s="100"/>
      <c r="Y31" s="83"/>
      <c r="Z31" s="304"/>
      <c r="AA31" s="304"/>
      <c r="AB31" s="304"/>
      <c r="AC31" s="304"/>
      <c r="AD31" s="304"/>
      <c r="AE31" s="304"/>
      <c r="AF31" s="304"/>
      <c r="AG31" s="304"/>
      <c r="AH31" s="304"/>
      <c r="AI31" s="304"/>
      <c r="AJ31" s="304"/>
      <c r="AK31" s="304"/>
      <c r="AL31" s="304"/>
      <c r="AM31" s="304"/>
      <c r="AN31" s="304"/>
      <c r="AO31" s="304"/>
      <c r="AP31" s="304"/>
      <c r="AQ31" s="304"/>
      <c r="AR31" s="304"/>
      <c r="AS31" s="304"/>
      <c r="AT31" s="304"/>
      <c r="AU31" s="304"/>
      <c r="AV31" s="304"/>
      <c r="AW31" s="304"/>
      <c r="AX31" s="304"/>
      <c r="AY31" s="304"/>
      <c r="AZ31" s="304"/>
      <c r="BA31" s="304"/>
      <c r="BB31" s="304"/>
      <c r="BC31" s="304"/>
      <c r="BD31" s="304"/>
      <c r="BE31" s="304"/>
      <c r="BF31" s="304"/>
      <c r="BG31" s="304"/>
      <c r="BH31" s="304"/>
      <c r="BI31" s="304"/>
      <c r="BJ31" s="304"/>
      <c r="BK31" s="304"/>
      <c r="BL31" s="304"/>
      <c r="BM31" s="304"/>
      <c r="BN31" s="304"/>
      <c r="BO31" s="304"/>
      <c r="BP31" s="304"/>
      <c r="BQ31" s="304"/>
      <c r="BR31" s="304"/>
      <c r="BS31" s="304"/>
      <c r="BT31" s="304"/>
      <c r="BU31" s="304"/>
      <c r="BV31" s="304"/>
      <c r="BW31" s="304"/>
      <c r="BX31" s="304"/>
      <c r="BY31" s="304"/>
      <c r="BZ31" s="304"/>
      <c r="CA31" s="304"/>
      <c r="CB31" s="304"/>
      <c r="CC31" s="304"/>
      <c r="CD31" s="304"/>
      <c r="CE31" s="304"/>
      <c r="CF31" s="304"/>
      <c r="CG31" s="304"/>
      <c r="CH31" s="304"/>
      <c r="CI31" s="304"/>
      <c r="CJ31" s="304"/>
      <c r="CK31" s="304"/>
      <c r="CL31" s="304"/>
      <c r="CM31" s="304"/>
      <c r="CN31" s="304"/>
      <c r="CO31" s="304"/>
      <c r="CP31" s="304"/>
    </row>
    <row r="32" spans="1:94" s="87" customFormat="1">
      <c r="A32" s="81"/>
      <c r="B32" s="83"/>
      <c r="C32" s="82"/>
      <c r="D32" s="102"/>
      <c r="E32" s="102"/>
      <c r="F32" s="102"/>
      <c r="G32" s="225"/>
      <c r="H32" s="218">
        <f t="shared" si="9"/>
        <v>0</v>
      </c>
      <c r="I32" s="218">
        <f t="shared" si="10"/>
        <v>0</v>
      </c>
      <c r="J32" s="218">
        <f t="shared" si="11"/>
        <v>0</v>
      </c>
      <c r="K32" s="102" t="str">
        <f t="shared" si="8"/>
        <v/>
      </c>
      <c r="L32" s="221"/>
      <c r="M32" s="325"/>
      <c r="N32" s="94"/>
      <c r="O32" s="326"/>
      <c r="P32" s="84"/>
      <c r="Q32" s="88"/>
      <c r="R32" s="102">
        <f t="shared" si="4"/>
        <v>0</v>
      </c>
      <c r="S32" s="89"/>
      <c r="T32" s="100"/>
      <c r="U32" s="100"/>
      <c r="V32" s="100"/>
      <c r="W32" s="100"/>
      <c r="X32" s="100"/>
      <c r="Y32" s="83"/>
      <c r="Z32" s="304"/>
      <c r="AA32" s="304"/>
      <c r="AB32" s="304"/>
      <c r="AC32" s="304"/>
      <c r="AD32" s="304"/>
      <c r="AE32" s="304"/>
      <c r="AF32" s="304"/>
      <c r="AG32" s="304"/>
      <c r="AH32" s="304"/>
      <c r="AI32" s="304"/>
      <c r="AJ32" s="304"/>
      <c r="AK32" s="304"/>
      <c r="AL32" s="304"/>
      <c r="AM32" s="304"/>
      <c r="AN32" s="304"/>
      <c r="AO32" s="304"/>
      <c r="AP32" s="304"/>
      <c r="AQ32" s="304"/>
      <c r="AR32" s="304"/>
      <c r="AS32" s="304"/>
      <c r="AT32" s="304"/>
      <c r="AU32" s="304"/>
      <c r="AV32" s="304"/>
      <c r="AW32" s="304"/>
      <c r="AX32" s="304"/>
      <c r="AY32" s="304"/>
      <c r="AZ32" s="304"/>
      <c r="BA32" s="304"/>
      <c r="BB32" s="304"/>
      <c r="BC32" s="304"/>
      <c r="BD32" s="304"/>
      <c r="BE32" s="304"/>
      <c r="BF32" s="304"/>
      <c r="BG32" s="304"/>
      <c r="BH32" s="304"/>
      <c r="BI32" s="304"/>
      <c r="BJ32" s="304"/>
      <c r="BK32" s="304"/>
      <c r="BL32" s="304"/>
      <c r="BM32" s="304"/>
      <c r="BN32" s="304"/>
      <c r="BO32" s="304"/>
      <c r="BP32" s="304"/>
      <c r="BQ32" s="304"/>
      <c r="BR32" s="304"/>
      <c r="BS32" s="304"/>
      <c r="BT32" s="304"/>
      <c r="BU32" s="304"/>
      <c r="BV32" s="304"/>
      <c r="BW32" s="304"/>
      <c r="BX32" s="304"/>
      <c r="BY32" s="304"/>
      <c r="BZ32" s="304"/>
      <c r="CA32" s="304"/>
      <c r="CB32" s="304"/>
      <c r="CC32" s="304"/>
      <c r="CD32" s="304"/>
      <c r="CE32" s="304"/>
      <c r="CF32" s="304"/>
      <c r="CG32" s="304"/>
      <c r="CH32" s="304"/>
      <c r="CI32" s="304"/>
      <c r="CJ32" s="304"/>
      <c r="CK32" s="304"/>
      <c r="CL32" s="304"/>
      <c r="CM32" s="304"/>
      <c r="CN32" s="304"/>
      <c r="CO32" s="304"/>
      <c r="CP32" s="304"/>
    </row>
    <row r="33" spans="1:94" s="87" customFormat="1">
      <c r="A33" s="81"/>
      <c r="B33" s="83"/>
      <c r="C33" s="82"/>
      <c r="D33" s="102"/>
      <c r="E33" s="102"/>
      <c r="F33" s="102"/>
      <c r="G33" s="225"/>
      <c r="H33" s="218">
        <f t="shared" si="9"/>
        <v>0</v>
      </c>
      <c r="I33" s="218">
        <f t="shared" si="10"/>
        <v>0</v>
      </c>
      <c r="J33" s="218">
        <f t="shared" si="11"/>
        <v>0</v>
      </c>
      <c r="K33" s="102" t="str">
        <f t="shared" si="8"/>
        <v/>
      </c>
      <c r="L33" s="221"/>
      <c r="M33" s="325"/>
      <c r="N33" s="94"/>
      <c r="O33" s="326"/>
      <c r="P33" s="84"/>
      <c r="Q33" s="88"/>
      <c r="R33" s="102">
        <f t="shared" si="4"/>
        <v>0</v>
      </c>
      <c r="S33" s="89"/>
      <c r="T33" s="100"/>
      <c r="U33" s="100"/>
      <c r="V33" s="100"/>
      <c r="W33" s="100"/>
      <c r="X33" s="100"/>
      <c r="Y33" s="83"/>
      <c r="Z33" s="304"/>
      <c r="AA33" s="304"/>
      <c r="AB33" s="304"/>
      <c r="AC33" s="304"/>
      <c r="AD33" s="304"/>
      <c r="AE33" s="304"/>
      <c r="AF33" s="304"/>
      <c r="AG33" s="304"/>
      <c r="AH33" s="304"/>
      <c r="AI33" s="304"/>
      <c r="AJ33" s="304"/>
      <c r="AK33" s="304"/>
      <c r="AL33" s="304"/>
      <c r="AM33" s="304"/>
      <c r="AN33" s="304"/>
      <c r="AO33" s="304"/>
      <c r="AP33" s="304"/>
      <c r="AQ33" s="304"/>
      <c r="AR33" s="304"/>
      <c r="AS33" s="304"/>
      <c r="AT33" s="304"/>
      <c r="AU33" s="304"/>
      <c r="AV33" s="304"/>
      <c r="AW33" s="304"/>
      <c r="AX33" s="304"/>
      <c r="AY33" s="304"/>
      <c r="AZ33" s="304"/>
      <c r="BA33" s="304"/>
      <c r="BB33" s="304"/>
      <c r="BC33" s="304"/>
      <c r="BD33" s="304"/>
      <c r="BE33" s="304"/>
      <c r="BF33" s="304"/>
      <c r="BG33" s="304"/>
      <c r="BH33" s="304"/>
      <c r="BI33" s="304"/>
      <c r="BJ33" s="304"/>
      <c r="BK33" s="304"/>
      <c r="BL33" s="304"/>
      <c r="BM33" s="304"/>
      <c r="BN33" s="304"/>
      <c r="BO33" s="304"/>
      <c r="BP33" s="304"/>
      <c r="BQ33" s="304"/>
      <c r="BR33" s="304"/>
      <c r="BS33" s="304"/>
      <c r="BT33" s="304"/>
      <c r="BU33" s="304"/>
      <c r="BV33" s="304"/>
      <c r="BW33" s="304"/>
      <c r="BX33" s="304"/>
      <c r="BY33" s="304"/>
      <c r="BZ33" s="304"/>
      <c r="CA33" s="304"/>
      <c r="CB33" s="304"/>
      <c r="CC33" s="304"/>
      <c r="CD33" s="304"/>
      <c r="CE33" s="304"/>
      <c r="CF33" s="304"/>
      <c r="CG33" s="304"/>
      <c r="CH33" s="304"/>
      <c r="CI33" s="304"/>
      <c r="CJ33" s="304"/>
      <c r="CK33" s="304"/>
      <c r="CL33" s="304"/>
      <c r="CM33" s="304"/>
      <c r="CN33" s="304"/>
      <c r="CO33" s="304"/>
      <c r="CP33" s="304"/>
    </row>
    <row r="34" spans="1:94" s="87" customFormat="1">
      <c r="A34" s="81"/>
      <c r="B34" s="83"/>
      <c r="C34" s="82"/>
      <c r="D34" s="102"/>
      <c r="E34" s="102"/>
      <c r="F34" s="102"/>
      <c r="G34" s="225"/>
      <c r="H34" s="218">
        <f t="shared" si="9"/>
        <v>0</v>
      </c>
      <c r="I34" s="218">
        <f t="shared" si="10"/>
        <v>0</v>
      </c>
      <c r="J34" s="218">
        <f t="shared" si="11"/>
        <v>0</v>
      </c>
      <c r="K34" s="102" t="str">
        <f t="shared" si="8"/>
        <v/>
      </c>
      <c r="L34" s="221"/>
      <c r="M34" s="325"/>
      <c r="N34" s="94"/>
      <c r="O34" s="326"/>
      <c r="P34" s="84"/>
      <c r="Q34" s="88"/>
      <c r="R34" s="102">
        <f t="shared" si="4"/>
        <v>0</v>
      </c>
      <c r="S34" s="89"/>
      <c r="T34" s="100"/>
      <c r="U34" s="100"/>
      <c r="V34" s="100"/>
      <c r="W34" s="100"/>
      <c r="X34" s="100"/>
      <c r="Y34" s="83"/>
      <c r="Z34" s="304"/>
      <c r="AA34" s="304"/>
      <c r="AB34" s="304"/>
      <c r="AC34" s="304"/>
      <c r="AD34" s="304"/>
      <c r="AE34" s="304"/>
      <c r="AF34" s="304"/>
      <c r="AG34" s="304"/>
      <c r="AH34" s="304"/>
      <c r="AI34" s="304"/>
      <c r="AJ34" s="304"/>
      <c r="AK34" s="304"/>
      <c r="AL34" s="304"/>
      <c r="AM34" s="304"/>
      <c r="AN34" s="304"/>
      <c r="AO34" s="304"/>
      <c r="AP34" s="304"/>
      <c r="AQ34" s="304"/>
      <c r="AR34" s="304"/>
      <c r="AS34" s="304"/>
      <c r="AT34" s="304"/>
      <c r="AU34" s="304"/>
      <c r="AV34" s="304"/>
      <c r="AW34" s="304"/>
      <c r="AX34" s="304"/>
      <c r="AY34" s="304"/>
      <c r="AZ34" s="304"/>
      <c r="BA34" s="304"/>
      <c r="BB34" s="304"/>
      <c r="BC34" s="304"/>
      <c r="BD34" s="304"/>
      <c r="BE34" s="304"/>
      <c r="BF34" s="304"/>
      <c r="BG34" s="304"/>
      <c r="BH34" s="304"/>
      <c r="BI34" s="304"/>
      <c r="BJ34" s="304"/>
      <c r="BK34" s="304"/>
      <c r="BL34" s="304"/>
      <c r="BM34" s="304"/>
      <c r="BN34" s="304"/>
      <c r="BO34" s="304"/>
      <c r="BP34" s="304"/>
      <c r="BQ34" s="304"/>
      <c r="BR34" s="304"/>
      <c r="BS34" s="304"/>
      <c r="BT34" s="304"/>
      <c r="BU34" s="304"/>
      <c r="BV34" s="304"/>
      <c r="BW34" s="304"/>
      <c r="BX34" s="304"/>
      <c r="BY34" s="304"/>
      <c r="BZ34" s="304"/>
      <c r="CA34" s="304"/>
      <c r="CB34" s="304"/>
      <c r="CC34" s="304"/>
      <c r="CD34" s="304"/>
      <c r="CE34" s="304"/>
      <c r="CF34" s="304"/>
      <c r="CG34" s="304"/>
      <c r="CH34" s="304"/>
      <c r="CI34" s="304"/>
      <c r="CJ34" s="304"/>
      <c r="CK34" s="304"/>
      <c r="CL34" s="304"/>
      <c r="CM34" s="304"/>
      <c r="CN34" s="304"/>
      <c r="CO34" s="304"/>
      <c r="CP34" s="304"/>
    </row>
    <row r="35" spans="1:94" s="87" customFormat="1">
      <c r="A35" s="81"/>
      <c r="B35" s="83"/>
      <c r="C35" s="82"/>
      <c r="D35" s="102"/>
      <c r="E35" s="102"/>
      <c r="F35" s="102"/>
      <c r="G35" s="225"/>
      <c r="H35" s="218">
        <f t="shared" si="9"/>
        <v>0</v>
      </c>
      <c r="I35" s="218">
        <f t="shared" si="10"/>
        <v>0</v>
      </c>
      <c r="J35" s="218">
        <f t="shared" si="11"/>
        <v>0</v>
      </c>
      <c r="K35" s="102" t="str">
        <f t="shared" si="8"/>
        <v/>
      </c>
      <c r="L35" s="221"/>
      <c r="M35" s="325"/>
      <c r="N35" s="94"/>
      <c r="O35" s="326"/>
      <c r="P35" s="84"/>
      <c r="Q35" s="88"/>
      <c r="R35" s="102">
        <f t="shared" si="4"/>
        <v>0</v>
      </c>
      <c r="S35" s="89"/>
      <c r="T35" s="100"/>
      <c r="U35" s="100"/>
      <c r="V35" s="100"/>
      <c r="W35" s="100"/>
      <c r="X35" s="100"/>
      <c r="Y35" s="83"/>
      <c r="Z35" s="304"/>
      <c r="AA35" s="304"/>
      <c r="AB35" s="304"/>
      <c r="AC35" s="304"/>
      <c r="AD35" s="304"/>
      <c r="AE35" s="304"/>
      <c r="AF35" s="304"/>
      <c r="AG35" s="304"/>
      <c r="AH35" s="304"/>
      <c r="AI35" s="304"/>
      <c r="AJ35" s="304"/>
      <c r="AK35" s="304"/>
      <c r="AL35" s="304"/>
      <c r="AM35" s="304"/>
      <c r="AN35" s="304"/>
      <c r="AO35" s="304"/>
      <c r="AP35" s="304"/>
      <c r="AQ35" s="304"/>
      <c r="AR35" s="304"/>
      <c r="AS35" s="304"/>
      <c r="AT35" s="304"/>
      <c r="AU35" s="304"/>
      <c r="AV35" s="304"/>
      <c r="AW35" s="304"/>
      <c r="AX35" s="304"/>
      <c r="AY35" s="304"/>
      <c r="AZ35" s="304"/>
      <c r="BA35" s="304"/>
      <c r="BB35" s="304"/>
      <c r="BC35" s="304"/>
      <c r="BD35" s="304"/>
      <c r="BE35" s="304"/>
      <c r="BF35" s="304"/>
      <c r="BG35" s="304"/>
      <c r="BH35" s="304"/>
      <c r="BI35" s="304"/>
      <c r="BJ35" s="304"/>
      <c r="BK35" s="304"/>
      <c r="BL35" s="304"/>
      <c r="BM35" s="304"/>
      <c r="BN35" s="304"/>
      <c r="BO35" s="304"/>
      <c r="BP35" s="304"/>
      <c r="BQ35" s="304"/>
      <c r="BR35" s="304"/>
      <c r="BS35" s="304"/>
      <c r="BT35" s="304"/>
      <c r="BU35" s="304"/>
      <c r="BV35" s="304"/>
      <c r="BW35" s="304"/>
      <c r="BX35" s="304"/>
      <c r="BY35" s="304"/>
      <c r="BZ35" s="304"/>
      <c r="CA35" s="304"/>
      <c r="CB35" s="304"/>
      <c r="CC35" s="304"/>
      <c r="CD35" s="304"/>
      <c r="CE35" s="304"/>
      <c r="CF35" s="304"/>
      <c r="CG35" s="304"/>
      <c r="CH35" s="304"/>
      <c r="CI35" s="304"/>
      <c r="CJ35" s="304"/>
      <c r="CK35" s="304"/>
      <c r="CL35" s="304"/>
      <c r="CM35" s="304"/>
      <c r="CN35" s="304"/>
      <c r="CO35" s="304"/>
      <c r="CP35" s="304"/>
    </row>
    <row r="36" spans="1:94" s="87" customFormat="1">
      <c r="A36" s="81"/>
      <c r="B36" s="83"/>
      <c r="C36" s="82"/>
      <c r="D36" s="102"/>
      <c r="E36" s="102"/>
      <c r="F36" s="102"/>
      <c r="G36" s="225"/>
      <c r="H36" s="218">
        <f t="shared" si="9"/>
        <v>0</v>
      </c>
      <c r="I36" s="218">
        <f t="shared" si="10"/>
        <v>0</v>
      </c>
      <c r="J36" s="218">
        <f t="shared" si="11"/>
        <v>0</v>
      </c>
      <c r="K36" s="102" t="str">
        <f t="shared" si="8"/>
        <v/>
      </c>
      <c r="L36" s="221"/>
      <c r="M36" s="325"/>
      <c r="N36" s="94"/>
      <c r="O36" s="326"/>
      <c r="P36" s="84"/>
      <c r="Q36" s="88"/>
      <c r="R36" s="102">
        <f t="shared" si="4"/>
        <v>0</v>
      </c>
      <c r="S36" s="89"/>
      <c r="T36" s="100"/>
      <c r="U36" s="100"/>
      <c r="V36" s="100"/>
      <c r="W36" s="100"/>
      <c r="X36" s="100"/>
      <c r="Y36" s="83"/>
      <c r="Z36" s="304"/>
      <c r="AA36" s="304"/>
      <c r="AB36" s="304"/>
      <c r="AC36" s="304"/>
      <c r="AD36" s="304"/>
      <c r="AE36" s="304"/>
      <c r="AF36" s="304"/>
      <c r="AG36" s="304"/>
      <c r="AH36" s="304"/>
      <c r="AI36" s="304"/>
      <c r="AJ36" s="304"/>
      <c r="AK36" s="304"/>
      <c r="AL36" s="304"/>
      <c r="AM36" s="304"/>
      <c r="AN36" s="304"/>
      <c r="AO36" s="304"/>
      <c r="AP36" s="304"/>
      <c r="AQ36" s="304"/>
      <c r="AR36" s="304"/>
      <c r="AS36" s="304"/>
      <c r="AT36" s="304"/>
      <c r="AU36" s="304"/>
      <c r="AV36" s="304"/>
      <c r="AW36" s="304"/>
      <c r="AX36" s="304"/>
      <c r="AY36" s="304"/>
      <c r="AZ36" s="304"/>
      <c r="BA36" s="304"/>
      <c r="BB36" s="304"/>
      <c r="BC36" s="304"/>
      <c r="BD36" s="304"/>
      <c r="BE36" s="304"/>
      <c r="BF36" s="304"/>
      <c r="BG36" s="304"/>
      <c r="BH36" s="304"/>
      <c r="BI36" s="304"/>
      <c r="BJ36" s="304"/>
      <c r="BK36" s="304"/>
      <c r="BL36" s="304"/>
      <c r="BM36" s="304"/>
      <c r="BN36" s="304"/>
      <c r="BO36" s="304"/>
      <c r="BP36" s="304"/>
      <c r="BQ36" s="304"/>
      <c r="BR36" s="304"/>
      <c r="BS36" s="304"/>
      <c r="BT36" s="304"/>
      <c r="BU36" s="304"/>
      <c r="BV36" s="304"/>
      <c r="BW36" s="304"/>
      <c r="BX36" s="304"/>
      <c r="BY36" s="304"/>
      <c r="BZ36" s="304"/>
      <c r="CA36" s="304"/>
      <c r="CB36" s="304"/>
      <c r="CC36" s="304"/>
      <c r="CD36" s="304"/>
      <c r="CE36" s="304"/>
      <c r="CF36" s="304"/>
      <c r="CG36" s="304"/>
      <c r="CH36" s="304"/>
      <c r="CI36" s="304"/>
      <c r="CJ36" s="304"/>
      <c r="CK36" s="304"/>
      <c r="CL36" s="304"/>
      <c r="CM36" s="304"/>
      <c r="CN36" s="304"/>
      <c r="CO36" s="304"/>
      <c r="CP36" s="304"/>
    </row>
    <row r="37" spans="1:94" s="87" customFormat="1">
      <c r="A37" s="81"/>
      <c r="B37" s="83"/>
      <c r="C37" s="82"/>
      <c r="D37" s="102"/>
      <c r="E37" s="102"/>
      <c r="F37" s="102"/>
      <c r="G37" s="225"/>
      <c r="H37" s="218">
        <f t="shared" si="9"/>
        <v>0</v>
      </c>
      <c r="I37" s="218">
        <f t="shared" si="10"/>
        <v>0</v>
      </c>
      <c r="J37" s="218">
        <f t="shared" si="11"/>
        <v>0</v>
      </c>
      <c r="K37" s="102" t="str">
        <f t="shared" si="8"/>
        <v/>
      </c>
      <c r="L37" s="221"/>
      <c r="M37" s="325"/>
      <c r="N37" s="94"/>
      <c r="O37" s="326"/>
      <c r="P37" s="84"/>
      <c r="Q37" s="88"/>
      <c r="R37" s="102">
        <f t="shared" si="4"/>
        <v>0</v>
      </c>
      <c r="S37" s="89"/>
      <c r="T37" s="100"/>
      <c r="U37" s="100"/>
      <c r="V37" s="100"/>
      <c r="W37" s="100"/>
      <c r="X37" s="100"/>
      <c r="Y37" s="83"/>
      <c r="Z37" s="304"/>
      <c r="AA37" s="304"/>
      <c r="AB37" s="304"/>
      <c r="AC37" s="304"/>
      <c r="AD37" s="304"/>
      <c r="AE37" s="304"/>
      <c r="AF37" s="304"/>
      <c r="AG37" s="304"/>
      <c r="AH37" s="304"/>
      <c r="AI37" s="304"/>
      <c r="AJ37" s="304"/>
      <c r="AK37" s="304"/>
      <c r="AL37" s="304"/>
      <c r="AM37" s="304"/>
      <c r="AN37" s="304"/>
      <c r="AO37" s="304"/>
      <c r="AP37" s="304"/>
      <c r="AQ37" s="304"/>
      <c r="AR37" s="304"/>
      <c r="AS37" s="304"/>
      <c r="AT37" s="304"/>
      <c r="AU37" s="304"/>
      <c r="AV37" s="304"/>
      <c r="AW37" s="304"/>
      <c r="AX37" s="304"/>
      <c r="AY37" s="304"/>
      <c r="AZ37" s="304"/>
      <c r="BA37" s="304"/>
      <c r="BB37" s="304"/>
      <c r="BC37" s="304"/>
      <c r="BD37" s="304"/>
      <c r="BE37" s="304"/>
      <c r="BF37" s="304"/>
      <c r="BG37" s="304"/>
      <c r="BH37" s="304"/>
      <c r="BI37" s="304"/>
      <c r="BJ37" s="304"/>
      <c r="BK37" s="304"/>
      <c r="BL37" s="304"/>
      <c r="BM37" s="304"/>
      <c r="BN37" s="304"/>
      <c r="BO37" s="304"/>
      <c r="BP37" s="304"/>
      <c r="BQ37" s="304"/>
      <c r="BR37" s="304"/>
      <c r="BS37" s="304"/>
      <c r="BT37" s="304"/>
      <c r="BU37" s="304"/>
      <c r="BV37" s="304"/>
      <c r="BW37" s="304"/>
      <c r="BX37" s="304"/>
      <c r="BY37" s="304"/>
      <c r="BZ37" s="304"/>
      <c r="CA37" s="304"/>
      <c r="CB37" s="304"/>
      <c r="CC37" s="304"/>
      <c r="CD37" s="304"/>
      <c r="CE37" s="304"/>
      <c r="CF37" s="304"/>
      <c r="CG37" s="304"/>
      <c r="CH37" s="304"/>
      <c r="CI37" s="304"/>
      <c r="CJ37" s="304"/>
      <c r="CK37" s="304"/>
      <c r="CL37" s="304"/>
      <c r="CM37" s="304"/>
      <c r="CN37" s="304"/>
      <c r="CO37" s="304"/>
      <c r="CP37" s="304"/>
    </row>
    <row r="38" spans="1:94" s="87" customFormat="1">
      <c r="A38" s="81"/>
      <c r="B38" s="83"/>
      <c r="C38" s="82"/>
      <c r="D38" s="102"/>
      <c r="E38" s="102"/>
      <c r="F38" s="102"/>
      <c r="G38" s="225"/>
      <c r="H38" s="218">
        <f t="shared" si="9"/>
        <v>0</v>
      </c>
      <c r="I38" s="218">
        <f t="shared" si="10"/>
        <v>0</v>
      </c>
      <c r="J38" s="218">
        <f t="shared" si="11"/>
        <v>0</v>
      </c>
      <c r="K38" s="102" t="str">
        <f t="shared" si="8"/>
        <v/>
      </c>
      <c r="L38" s="221"/>
      <c r="M38" s="325"/>
      <c r="N38" s="94"/>
      <c r="O38" s="326"/>
      <c r="P38" s="84"/>
      <c r="Q38" s="88"/>
      <c r="R38" s="102">
        <f t="shared" si="4"/>
        <v>0</v>
      </c>
      <c r="S38" s="89"/>
      <c r="T38" s="100"/>
      <c r="U38" s="100"/>
      <c r="V38" s="100"/>
      <c r="W38" s="100"/>
      <c r="X38" s="100"/>
      <c r="Y38" s="83"/>
      <c r="Z38" s="304"/>
      <c r="AA38" s="304"/>
      <c r="AB38" s="304"/>
      <c r="AC38" s="304"/>
      <c r="AD38" s="304"/>
      <c r="AE38" s="304"/>
      <c r="AF38" s="304"/>
      <c r="AG38" s="304"/>
      <c r="AH38" s="304"/>
      <c r="AI38" s="304"/>
      <c r="AJ38" s="304"/>
      <c r="AK38" s="304"/>
      <c r="AL38" s="304"/>
      <c r="AM38" s="304"/>
      <c r="AN38" s="304"/>
      <c r="AO38" s="304"/>
      <c r="AP38" s="304"/>
      <c r="AQ38" s="304"/>
      <c r="AR38" s="304"/>
      <c r="AS38" s="304"/>
      <c r="AT38" s="304"/>
      <c r="AU38" s="304"/>
      <c r="AV38" s="304"/>
      <c r="AW38" s="304"/>
      <c r="AX38" s="304"/>
      <c r="AY38" s="304"/>
      <c r="AZ38" s="304"/>
      <c r="BA38" s="304"/>
      <c r="BB38" s="304"/>
      <c r="BC38" s="304"/>
      <c r="BD38" s="304"/>
      <c r="BE38" s="304"/>
      <c r="BF38" s="304"/>
      <c r="BG38" s="304"/>
      <c r="BH38" s="304"/>
      <c r="BI38" s="304"/>
      <c r="BJ38" s="304"/>
      <c r="BK38" s="304"/>
      <c r="BL38" s="304"/>
      <c r="BM38" s="304"/>
      <c r="BN38" s="304"/>
      <c r="BO38" s="304"/>
      <c r="BP38" s="304"/>
      <c r="BQ38" s="304"/>
      <c r="BR38" s="304"/>
      <c r="BS38" s="304"/>
      <c r="BT38" s="304"/>
      <c r="BU38" s="304"/>
      <c r="BV38" s="304"/>
      <c r="BW38" s="304"/>
      <c r="BX38" s="304"/>
      <c r="BY38" s="304"/>
      <c r="BZ38" s="304"/>
      <c r="CA38" s="304"/>
      <c r="CB38" s="304"/>
      <c r="CC38" s="304"/>
      <c r="CD38" s="304"/>
      <c r="CE38" s="304"/>
      <c r="CF38" s="304"/>
      <c r="CG38" s="304"/>
      <c r="CH38" s="304"/>
      <c r="CI38" s="304"/>
      <c r="CJ38" s="304"/>
      <c r="CK38" s="304"/>
      <c r="CL38" s="304"/>
      <c r="CM38" s="304"/>
      <c r="CN38" s="304"/>
      <c r="CO38" s="304"/>
      <c r="CP38" s="304"/>
    </row>
    <row r="39" spans="1:94" s="87" customFormat="1">
      <c r="A39" s="81"/>
      <c r="B39" s="83"/>
      <c r="C39" s="82"/>
      <c r="D39" s="102"/>
      <c r="E39" s="102"/>
      <c r="F39" s="102"/>
      <c r="G39" s="225"/>
      <c r="H39" s="218">
        <f t="shared" si="9"/>
        <v>0</v>
      </c>
      <c r="I39" s="218">
        <f t="shared" si="10"/>
        <v>0</v>
      </c>
      <c r="J39" s="218">
        <f t="shared" si="11"/>
        <v>0</v>
      </c>
      <c r="K39" s="102" t="str">
        <f t="shared" si="8"/>
        <v/>
      </c>
      <c r="L39" s="221"/>
      <c r="M39" s="325"/>
      <c r="N39" s="94"/>
      <c r="O39" s="326"/>
      <c r="P39" s="84"/>
      <c r="Q39" s="88"/>
      <c r="R39" s="102">
        <f t="shared" si="4"/>
        <v>0</v>
      </c>
      <c r="S39" s="89"/>
      <c r="T39" s="100"/>
      <c r="U39" s="100"/>
      <c r="V39" s="100"/>
      <c r="W39" s="100"/>
      <c r="X39" s="100"/>
      <c r="Y39" s="83"/>
      <c r="Z39" s="304"/>
      <c r="AA39" s="304"/>
      <c r="AB39" s="304"/>
      <c r="AC39" s="304"/>
      <c r="AD39" s="304"/>
      <c r="AE39" s="304"/>
      <c r="AF39" s="304"/>
      <c r="AG39" s="304"/>
      <c r="AH39" s="304"/>
      <c r="AI39" s="304"/>
      <c r="AJ39" s="304"/>
      <c r="AK39" s="304"/>
      <c r="AL39" s="304"/>
      <c r="AM39" s="304"/>
      <c r="AN39" s="304"/>
      <c r="AO39" s="304"/>
      <c r="AP39" s="304"/>
      <c r="AQ39" s="304"/>
      <c r="AR39" s="304"/>
      <c r="AS39" s="304"/>
      <c r="AT39" s="304"/>
      <c r="AU39" s="304"/>
      <c r="AV39" s="304"/>
      <c r="AW39" s="304"/>
      <c r="AX39" s="304"/>
      <c r="AY39" s="304"/>
      <c r="AZ39" s="304"/>
      <c r="BA39" s="304"/>
      <c r="BB39" s="304"/>
      <c r="BC39" s="304"/>
      <c r="BD39" s="304"/>
      <c r="BE39" s="304"/>
      <c r="BF39" s="304"/>
      <c r="BG39" s="304"/>
      <c r="BH39" s="304"/>
      <c r="BI39" s="304"/>
      <c r="BJ39" s="304"/>
      <c r="BK39" s="304"/>
      <c r="BL39" s="304"/>
      <c r="BM39" s="304"/>
      <c r="BN39" s="304"/>
      <c r="BO39" s="304"/>
      <c r="BP39" s="304"/>
      <c r="BQ39" s="304"/>
      <c r="BR39" s="304"/>
      <c r="BS39" s="304"/>
      <c r="BT39" s="304"/>
      <c r="BU39" s="304"/>
      <c r="BV39" s="304"/>
      <c r="BW39" s="304"/>
      <c r="BX39" s="304"/>
      <c r="BY39" s="304"/>
      <c r="BZ39" s="304"/>
      <c r="CA39" s="304"/>
      <c r="CB39" s="304"/>
      <c r="CC39" s="304"/>
      <c r="CD39" s="304"/>
      <c r="CE39" s="304"/>
      <c r="CF39" s="304"/>
      <c r="CG39" s="304"/>
      <c r="CH39" s="304"/>
      <c r="CI39" s="304"/>
      <c r="CJ39" s="304"/>
      <c r="CK39" s="304"/>
      <c r="CL39" s="304"/>
      <c r="CM39" s="304"/>
      <c r="CN39" s="304"/>
      <c r="CO39" s="304"/>
      <c r="CP39" s="304"/>
    </row>
    <row r="40" spans="1:94" s="87" customFormat="1">
      <c r="A40" s="81"/>
      <c r="B40" s="83"/>
      <c r="C40" s="82"/>
      <c r="D40" s="102"/>
      <c r="E40" s="102"/>
      <c r="F40" s="102"/>
      <c r="G40" s="225"/>
      <c r="H40" s="218">
        <f t="shared" si="9"/>
        <v>0</v>
      </c>
      <c r="I40" s="218">
        <f t="shared" si="10"/>
        <v>0</v>
      </c>
      <c r="J40" s="218">
        <f t="shared" si="11"/>
        <v>0</v>
      </c>
      <c r="K40" s="102" t="str">
        <f t="shared" si="8"/>
        <v/>
      </c>
      <c r="L40" s="221"/>
      <c r="M40" s="325"/>
      <c r="N40" s="94"/>
      <c r="O40" s="326"/>
      <c r="P40" s="84"/>
      <c r="Q40" s="88"/>
      <c r="R40" s="102">
        <f t="shared" si="4"/>
        <v>0</v>
      </c>
      <c r="S40" s="89"/>
      <c r="T40" s="100"/>
      <c r="U40" s="100"/>
      <c r="V40" s="100"/>
      <c r="W40" s="100"/>
      <c r="X40" s="100"/>
      <c r="Y40" s="83"/>
      <c r="Z40" s="304"/>
      <c r="AA40" s="304"/>
      <c r="AB40" s="304"/>
      <c r="AC40" s="304"/>
      <c r="AD40" s="304"/>
      <c r="AE40" s="304"/>
      <c r="AF40" s="304"/>
      <c r="AG40" s="304"/>
      <c r="AH40" s="304"/>
      <c r="AI40" s="304"/>
      <c r="AJ40" s="304"/>
      <c r="AK40" s="304"/>
      <c r="AL40" s="304"/>
      <c r="AM40" s="304"/>
      <c r="AN40" s="304"/>
      <c r="AO40" s="304"/>
      <c r="AP40" s="304"/>
      <c r="AQ40" s="304"/>
      <c r="AR40" s="304"/>
      <c r="AS40" s="304"/>
      <c r="AT40" s="304"/>
      <c r="AU40" s="304"/>
      <c r="AV40" s="304"/>
      <c r="AW40" s="304"/>
      <c r="AX40" s="304"/>
      <c r="AY40" s="304"/>
      <c r="AZ40" s="304"/>
      <c r="BA40" s="304"/>
      <c r="BB40" s="304"/>
      <c r="BC40" s="304"/>
      <c r="BD40" s="304"/>
      <c r="BE40" s="304"/>
      <c r="BF40" s="304"/>
      <c r="BG40" s="304"/>
      <c r="BH40" s="304"/>
      <c r="BI40" s="304"/>
      <c r="BJ40" s="304"/>
      <c r="BK40" s="304"/>
      <c r="BL40" s="304"/>
      <c r="BM40" s="304"/>
      <c r="BN40" s="304"/>
      <c r="BO40" s="304"/>
      <c r="BP40" s="304"/>
      <c r="BQ40" s="304"/>
      <c r="BR40" s="304"/>
      <c r="BS40" s="304"/>
      <c r="BT40" s="304"/>
      <c r="BU40" s="304"/>
      <c r="BV40" s="304"/>
      <c r="BW40" s="304"/>
      <c r="BX40" s="304"/>
      <c r="BY40" s="304"/>
      <c r="BZ40" s="304"/>
      <c r="CA40" s="304"/>
      <c r="CB40" s="304"/>
      <c r="CC40" s="304"/>
      <c r="CD40" s="304"/>
      <c r="CE40" s="304"/>
      <c r="CF40" s="304"/>
      <c r="CG40" s="304"/>
      <c r="CH40" s="304"/>
      <c r="CI40" s="304"/>
      <c r="CJ40" s="304"/>
      <c r="CK40" s="304"/>
      <c r="CL40" s="304"/>
      <c r="CM40" s="304"/>
      <c r="CN40" s="304"/>
      <c r="CO40" s="304"/>
      <c r="CP40" s="304"/>
    </row>
    <row r="41" spans="1:94" s="87" customFormat="1">
      <c r="A41" s="81"/>
      <c r="B41" s="83"/>
      <c r="C41" s="82"/>
      <c r="D41" s="102"/>
      <c r="E41" s="102"/>
      <c r="F41" s="102"/>
      <c r="G41" s="225"/>
      <c r="H41" s="218">
        <f t="shared" si="9"/>
        <v>0</v>
      </c>
      <c r="I41" s="218">
        <f t="shared" si="10"/>
        <v>0</v>
      </c>
      <c r="J41" s="218">
        <f t="shared" si="11"/>
        <v>0</v>
      </c>
      <c r="K41" s="102" t="str">
        <f t="shared" si="8"/>
        <v/>
      </c>
      <c r="L41" s="221"/>
      <c r="M41" s="325"/>
      <c r="N41" s="94"/>
      <c r="O41" s="326"/>
      <c r="P41" s="84"/>
      <c r="Q41" s="88"/>
      <c r="R41" s="102">
        <f t="shared" si="4"/>
        <v>0</v>
      </c>
      <c r="S41" s="89"/>
      <c r="T41" s="100"/>
      <c r="U41" s="100"/>
      <c r="V41" s="100"/>
      <c r="W41" s="100"/>
      <c r="X41" s="100"/>
      <c r="Y41" s="83"/>
      <c r="Z41" s="304"/>
      <c r="AA41" s="304"/>
      <c r="AB41" s="304"/>
      <c r="AC41" s="304"/>
      <c r="AD41" s="304"/>
      <c r="AE41" s="304"/>
      <c r="AF41" s="304"/>
      <c r="AG41" s="304"/>
      <c r="AH41" s="304"/>
      <c r="AI41" s="304"/>
      <c r="AJ41" s="304"/>
      <c r="AK41" s="304"/>
      <c r="AL41" s="304"/>
      <c r="AM41" s="304"/>
      <c r="AN41" s="304"/>
      <c r="AO41" s="304"/>
      <c r="AP41" s="304"/>
      <c r="AQ41" s="304"/>
      <c r="AR41" s="304"/>
      <c r="AS41" s="304"/>
      <c r="AT41" s="304"/>
      <c r="AU41" s="304"/>
      <c r="AV41" s="304"/>
      <c r="AW41" s="304"/>
      <c r="AX41" s="304"/>
      <c r="AY41" s="304"/>
      <c r="AZ41" s="304"/>
      <c r="BA41" s="304"/>
      <c r="BB41" s="304"/>
      <c r="BC41" s="304"/>
      <c r="BD41" s="304"/>
      <c r="BE41" s="304"/>
      <c r="BF41" s="304"/>
      <c r="BG41" s="304"/>
      <c r="BH41" s="304"/>
      <c r="BI41" s="304"/>
      <c r="BJ41" s="304"/>
      <c r="BK41" s="304"/>
      <c r="BL41" s="304"/>
      <c r="BM41" s="304"/>
      <c r="BN41" s="304"/>
      <c r="BO41" s="304"/>
      <c r="BP41" s="304"/>
      <c r="BQ41" s="304"/>
      <c r="BR41" s="304"/>
      <c r="BS41" s="304"/>
      <c r="BT41" s="304"/>
      <c r="BU41" s="304"/>
      <c r="BV41" s="304"/>
      <c r="BW41" s="304"/>
      <c r="BX41" s="304"/>
      <c r="BY41" s="304"/>
      <c r="BZ41" s="304"/>
      <c r="CA41" s="304"/>
      <c r="CB41" s="304"/>
      <c r="CC41" s="304"/>
      <c r="CD41" s="304"/>
      <c r="CE41" s="304"/>
      <c r="CF41" s="304"/>
      <c r="CG41" s="304"/>
      <c r="CH41" s="304"/>
      <c r="CI41" s="304"/>
      <c r="CJ41" s="304"/>
      <c r="CK41" s="304"/>
      <c r="CL41" s="304"/>
      <c r="CM41" s="304"/>
      <c r="CN41" s="304"/>
      <c r="CO41" s="304"/>
      <c r="CP41" s="304"/>
    </row>
    <row r="42" spans="1:94" s="87" customFormat="1">
      <c r="A42" s="81"/>
      <c r="B42" s="83"/>
      <c r="C42" s="82"/>
      <c r="D42" s="102"/>
      <c r="E42" s="102"/>
      <c r="F42" s="102"/>
      <c r="G42" s="225"/>
      <c r="H42" s="218">
        <f t="shared" si="9"/>
        <v>0</v>
      </c>
      <c r="I42" s="218">
        <f t="shared" si="10"/>
        <v>0</v>
      </c>
      <c r="J42" s="218">
        <f t="shared" si="11"/>
        <v>0</v>
      </c>
      <c r="K42" s="102" t="str">
        <f t="shared" si="8"/>
        <v/>
      </c>
      <c r="L42" s="221"/>
      <c r="M42" s="325"/>
      <c r="N42" s="94"/>
      <c r="O42" s="326"/>
      <c r="P42" s="84"/>
      <c r="Q42" s="88"/>
      <c r="R42" s="102">
        <f t="shared" si="4"/>
        <v>0</v>
      </c>
      <c r="S42" s="89"/>
      <c r="T42" s="100"/>
      <c r="U42" s="100"/>
      <c r="V42" s="100"/>
      <c r="W42" s="100"/>
      <c r="X42" s="100"/>
      <c r="Y42" s="83"/>
      <c r="Z42" s="304"/>
      <c r="AA42" s="304"/>
      <c r="AB42" s="304"/>
      <c r="AC42" s="304"/>
      <c r="AD42" s="304"/>
      <c r="AE42" s="304"/>
      <c r="AF42" s="304"/>
      <c r="AG42" s="304"/>
      <c r="AH42" s="304"/>
      <c r="AI42" s="304"/>
      <c r="AJ42" s="304"/>
      <c r="AK42" s="304"/>
      <c r="AL42" s="304"/>
      <c r="AM42" s="304"/>
      <c r="AN42" s="304"/>
      <c r="AO42" s="304"/>
      <c r="AP42" s="304"/>
      <c r="AQ42" s="304"/>
      <c r="AR42" s="304"/>
      <c r="AS42" s="304"/>
      <c r="AT42" s="304"/>
      <c r="AU42" s="304"/>
      <c r="AV42" s="304"/>
      <c r="AW42" s="304"/>
      <c r="AX42" s="304"/>
      <c r="AY42" s="304"/>
      <c r="AZ42" s="304"/>
      <c r="BA42" s="304"/>
      <c r="BB42" s="304"/>
      <c r="BC42" s="304"/>
      <c r="BD42" s="304"/>
      <c r="BE42" s="304"/>
      <c r="BF42" s="304"/>
      <c r="BG42" s="304"/>
      <c r="BH42" s="304"/>
      <c r="BI42" s="304"/>
      <c r="BJ42" s="304"/>
      <c r="BK42" s="304"/>
      <c r="BL42" s="304"/>
      <c r="BM42" s="304"/>
      <c r="BN42" s="304"/>
      <c r="BO42" s="304"/>
      <c r="BP42" s="304"/>
      <c r="BQ42" s="304"/>
      <c r="BR42" s="304"/>
      <c r="BS42" s="304"/>
      <c r="BT42" s="304"/>
      <c r="BU42" s="304"/>
      <c r="BV42" s="304"/>
      <c r="BW42" s="304"/>
      <c r="BX42" s="304"/>
      <c r="BY42" s="304"/>
      <c r="BZ42" s="304"/>
      <c r="CA42" s="304"/>
      <c r="CB42" s="304"/>
      <c r="CC42" s="304"/>
      <c r="CD42" s="304"/>
      <c r="CE42" s="304"/>
      <c r="CF42" s="304"/>
      <c r="CG42" s="304"/>
      <c r="CH42" s="304"/>
      <c r="CI42" s="304"/>
      <c r="CJ42" s="304"/>
      <c r="CK42" s="304"/>
      <c r="CL42" s="304"/>
      <c r="CM42" s="304"/>
      <c r="CN42" s="304"/>
      <c r="CO42" s="304"/>
      <c r="CP42" s="304"/>
    </row>
    <row r="43" spans="1:94" s="87" customFormat="1">
      <c r="A43" s="81"/>
      <c r="B43" s="83"/>
      <c r="C43" s="82"/>
      <c r="D43" s="102"/>
      <c r="E43" s="102"/>
      <c r="F43" s="102"/>
      <c r="G43" s="225"/>
      <c r="H43" s="218">
        <f t="shared" si="9"/>
        <v>0</v>
      </c>
      <c r="I43" s="218">
        <f t="shared" si="10"/>
        <v>0</v>
      </c>
      <c r="J43" s="218">
        <f t="shared" si="11"/>
        <v>0</v>
      </c>
      <c r="K43" s="102" t="str">
        <f t="shared" si="8"/>
        <v/>
      </c>
      <c r="L43" s="221"/>
      <c r="M43" s="325"/>
      <c r="N43" s="94"/>
      <c r="O43" s="326"/>
      <c r="P43" s="84"/>
      <c r="Q43" s="88"/>
      <c r="R43" s="102">
        <f t="shared" si="4"/>
        <v>0</v>
      </c>
      <c r="S43" s="89"/>
      <c r="T43" s="100"/>
      <c r="U43" s="100"/>
      <c r="V43" s="100"/>
      <c r="W43" s="100"/>
      <c r="X43" s="100"/>
      <c r="Y43" s="83"/>
      <c r="Z43" s="304"/>
      <c r="AA43" s="304"/>
      <c r="AB43" s="304"/>
      <c r="AC43" s="304"/>
      <c r="AD43" s="304"/>
      <c r="AE43" s="304"/>
      <c r="AF43" s="304"/>
      <c r="AG43" s="304"/>
      <c r="AH43" s="304"/>
      <c r="AI43" s="304"/>
      <c r="AJ43" s="304"/>
      <c r="AK43" s="304"/>
      <c r="AL43" s="304"/>
      <c r="AM43" s="304"/>
      <c r="AN43" s="304"/>
      <c r="AO43" s="304"/>
      <c r="AP43" s="304"/>
      <c r="AQ43" s="304"/>
      <c r="AR43" s="304"/>
      <c r="AS43" s="304"/>
      <c r="AT43" s="304"/>
      <c r="AU43" s="304"/>
      <c r="AV43" s="304"/>
      <c r="AW43" s="304"/>
      <c r="AX43" s="304"/>
      <c r="AY43" s="304"/>
      <c r="AZ43" s="304"/>
      <c r="BA43" s="304"/>
      <c r="BB43" s="304"/>
      <c r="BC43" s="304"/>
      <c r="BD43" s="304"/>
      <c r="BE43" s="304"/>
      <c r="BF43" s="304"/>
      <c r="BG43" s="304"/>
      <c r="BH43" s="304"/>
      <c r="BI43" s="304"/>
      <c r="BJ43" s="304"/>
      <c r="BK43" s="304"/>
      <c r="BL43" s="304"/>
      <c r="BM43" s="304"/>
      <c r="BN43" s="304"/>
      <c r="BO43" s="304"/>
      <c r="BP43" s="304"/>
      <c r="BQ43" s="304"/>
      <c r="BR43" s="304"/>
      <c r="BS43" s="304"/>
      <c r="BT43" s="304"/>
      <c r="BU43" s="304"/>
      <c r="BV43" s="304"/>
      <c r="BW43" s="304"/>
      <c r="BX43" s="304"/>
      <c r="BY43" s="304"/>
      <c r="BZ43" s="304"/>
      <c r="CA43" s="304"/>
      <c r="CB43" s="304"/>
      <c r="CC43" s="304"/>
      <c r="CD43" s="304"/>
      <c r="CE43" s="304"/>
      <c r="CF43" s="304"/>
      <c r="CG43" s="304"/>
      <c r="CH43" s="304"/>
      <c r="CI43" s="304"/>
      <c r="CJ43" s="304"/>
      <c r="CK43" s="304"/>
      <c r="CL43" s="304"/>
      <c r="CM43" s="304"/>
      <c r="CN43" s="304"/>
      <c r="CO43" s="304"/>
      <c r="CP43" s="304"/>
    </row>
    <row r="44" spans="1:94" s="87" customFormat="1">
      <c r="A44" s="81"/>
      <c r="B44" s="83"/>
      <c r="C44" s="82"/>
      <c r="D44" s="102"/>
      <c r="E44" s="102"/>
      <c r="F44" s="102"/>
      <c r="G44" s="225"/>
      <c r="H44" s="218">
        <f t="shared" si="9"/>
        <v>0</v>
      </c>
      <c r="I44" s="218">
        <f t="shared" si="10"/>
        <v>0</v>
      </c>
      <c r="J44" s="218">
        <f t="shared" si="11"/>
        <v>0</v>
      </c>
      <c r="K44" s="102" t="str">
        <f t="shared" si="8"/>
        <v/>
      </c>
      <c r="L44" s="221"/>
      <c r="M44" s="325"/>
      <c r="N44" s="94"/>
      <c r="O44" s="326"/>
      <c r="P44" s="84"/>
      <c r="Q44" s="88"/>
      <c r="R44" s="102">
        <f t="shared" si="4"/>
        <v>0</v>
      </c>
      <c r="S44" s="89"/>
      <c r="T44" s="100"/>
      <c r="U44" s="100"/>
      <c r="V44" s="100"/>
      <c r="W44" s="100"/>
      <c r="X44" s="100"/>
      <c r="Y44" s="83"/>
      <c r="Z44" s="304"/>
      <c r="AA44" s="304"/>
      <c r="AB44" s="304"/>
      <c r="AC44" s="304"/>
      <c r="AD44" s="304"/>
      <c r="AE44" s="304"/>
      <c r="AF44" s="304"/>
      <c r="AG44" s="304"/>
      <c r="AH44" s="304"/>
      <c r="AI44" s="304"/>
      <c r="AJ44" s="304"/>
      <c r="AK44" s="304"/>
      <c r="AL44" s="304"/>
      <c r="AM44" s="304"/>
      <c r="AN44" s="304"/>
      <c r="AO44" s="304"/>
      <c r="AP44" s="304"/>
      <c r="AQ44" s="304"/>
      <c r="AR44" s="304"/>
      <c r="AS44" s="304"/>
      <c r="AT44" s="304"/>
      <c r="AU44" s="304"/>
      <c r="AV44" s="304"/>
      <c r="AW44" s="304"/>
      <c r="AX44" s="304"/>
      <c r="AY44" s="304"/>
      <c r="AZ44" s="304"/>
      <c r="BA44" s="304"/>
      <c r="BB44" s="304"/>
      <c r="BC44" s="304"/>
      <c r="BD44" s="304"/>
      <c r="BE44" s="304"/>
      <c r="BF44" s="304"/>
      <c r="BG44" s="304"/>
      <c r="BH44" s="304"/>
      <c r="BI44" s="304"/>
      <c r="BJ44" s="304"/>
      <c r="BK44" s="304"/>
      <c r="BL44" s="304"/>
      <c r="BM44" s="304"/>
      <c r="BN44" s="304"/>
      <c r="BO44" s="304"/>
      <c r="BP44" s="304"/>
      <c r="BQ44" s="304"/>
      <c r="BR44" s="304"/>
      <c r="BS44" s="304"/>
      <c r="BT44" s="304"/>
      <c r="BU44" s="304"/>
      <c r="BV44" s="304"/>
      <c r="BW44" s="304"/>
      <c r="BX44" s="304"/>
      <c r="BY44" s="304"/>
      <c r="BZ44" s="304"/>
      <c r="CA44" s="304"/>
      <c r="CB44" s="304"/>
      <c r="CC44" s="304"/>
      <c r="CD44" s="304"/>
      <c r="CE44" s="304"/>
      <c r="CF44" s="304"/>
      <c r="CG44" s="304"/>
      <c r="CH44" s="304"/>
      <c r="CI44" s="304"/>
      <c r="CJ44" s="304"/>
      <c r="CK44" s="304"/>
      <c r="CL44" s="304"/>
      <c r="CM44" s="304"/>
      <c r="CN44" s="304"/>
      <c r="CO44" s="304"/>
      <c r="CP44" s="304"/>
    </row>
    <row r="45" spans="1:94" s="87" customFormat="1">
      <c r="A45" s="81"/>
      <c r="B45" s="83"/>
      <c r="C45" s="82"/>
      <c r="D45" s="102"/>
      <c r="E45" s="102"/>
      <c r="F45" s="102"/>
      <c r="G45" s="225"/>
      <c r="H45" s="218">
        <f t="shared" si="9"/>
        <v>0</v>
      </c>
      <c r="I45" s="218">
        <f t="shared" si="10"/>
        <v>0</v>
      </c>
      <c r="J45" s="218">
        <f t="shared" si="11"/>
        <v>0</v>
      </c>
      <c r="K45" s="102" t="str">
        <f t="shared" si="8"/>
        <v/>
      </c>
      <c r="L45" s="221"/>
      <c r="M45" s="325"/>
      <c r="N45" s="94"/>
      <c r="O45" s="326"/>
      <c r="P45" s="84"/>
      <c r="Q45" s="88"/>
      <c r="R45" s="102">
        <f t="shared" si="4"/>
        <v>0</v>
      </c>
      <c r="S45" s="89"/>
      <c r="T45" s="100"/>
      <c r="U45" s="100"/>
      <c r="V45" s="100"/>
      <c r="W45" s="100"/>
      <c r="X45" s="100"/>
      <c r="Y45" s="83"/>
      <c r="Z45" s="304"/>
      <c r="AA45" s="304"/>
      <c r="AB45" s="304"/>
      <c r="AC45" s="304"/>
      <c r="AD45" s="304"/>
      <c r="AE45" s="304"/>
      <c r="AF45" s="304"/>
      <c r="AG45" s="304"/>
      <c r="AH45" s="304"/>
      <c r="AI45" s="304"/>
      <c r="AJ45" s="304"/>
      <c r="AK45" s="304"/>
      <c r="AL45" s="304"/>
      <c r="AM45" s="304"/>
      <c r="AN45" s="304"/>
      <c r="AO45" s="304"/>
      <c r="AP45" s="304"/>
      <c r="AQ45" s="304"/>
      <c r="AR45" s="304"/>
      <c r="AS45" s="304"/>
      <c r="AT45" s="304"/>
      <c r="AU45" s="304"/>
      <c r="AV45" s="304"/>
      <c r="AW45" s="304"/>
      <c r="AX45" s="304"/>
      <c r="AY45" s="304"/>
      <c r="AZ45" s="304"/>
      <c r="BA45" s="304"/>
      <c r="BB45" s="304"/>
      <c r="BC45" s="304"/>
      <c r="BD45" s="304"/>
      <c r="BE45" s="304"/>
      <c r="BF45" s="304"/>
      <c r="BG45" s="304"/>
      <c r="BH45" s="304"/>
      <c r="BI45" s="304"/>
      <c r="BJ45" s="304"/>
      <c r="BK45" s="304"/>
      <c r="BL45" s="304"/>
      <c r="BM45" s="304"/>
      <c r="BN45" s="304"/>
      <c r="BO45" s="304"/>
      <c r="BP45" s="304"/>
      <c r="BQ45" s="304"/>
      <c r="BR45" s="304"/>
      <c r="BS45" s="304"/>
      <c r="BT45" s="304"/>
      <c r="BU45" s="304"/>
      <c r="BV45" s="304"/>
      <c r="BW45" s="304"/>
      <c r="BX45" s="304"/>
      <c r="BY45" s="304"/>
      <c r="BZ45" s="304"/>
      <c r="CA45" s="304"/>
      <c r="CB45" s="304"/>
      <c r="CC45" s="304"/>
      <c r="CD45" s="304"/>
      <c r="CE45" s="304"/>
      <c r="CF45" s="304"/>
      <c r="CG45" s="304"/>
      <c r="CH45" s="304"/>
      <c r="CI45" s="304"/>
      <c r="CJ45" s="304"/>
      <c r="CK45" s="304"/>
      <c r="CL45" s="304"/>
      <c r="CM45" s="304"/>
      <c r="CN45" s="304"/>
      <c r="CO45" s="304"/>
      <c r="CP45" s="304"/>
    </row>
    <row r="46" spans="1:94" s="87" customFormat="1">
      <c r="A46" s="81"/>
      <c r="B46" s="83"/>
      <c r="C46" s="82"/>
      <c r="D46" s="102"/>
      <c r="E46" s="102"/>
      <c r="F46" s="102"/>
      <c r="G46" s="225"/>
      <c r="H46" s="218">
        <f t="shared" si="9"/>
        <v>0</v>
      </c>
      <c r="I46" s="218">
        <f t="shared" si="10"/>
        <v>0</v>
      </c>
      <c r="J46" s="218">
        <f t="shared" si="11"/>
        <v>0</v>
      </c>
      <c r="K46" s="102" t="str">
        <f t="shared" si="8"/>
        <v/>
      </c>
      <c r="L46" s="221"/>
      <c r="M46" s="325"/>
      <c r="N46" s="94"/>
      <c r="O46" s="326"/>
      <c r="P46" s="84"/>
      <c r="Q46" s="88"/>
      <c r="R46" s="102">
        <f t="shared" si="4"/>
        <v>0</v>
      </c>
      <c r="S46" s="89"/>
      <c r="T46" s="100"/>
      <c r="U46" s="100"/>
      <c r="V46" s="100"/>
      <c r="W46" s="100"/>
      <c r="X46" s="100"/>
      <c r="Y46" s="83"/>
      <c r="Z46" s="304"/>
      <c r="AA46" s="304"/>
      <c r="AB46" s="304"/>
      <c r="AC46" s="304"/>
      <c r="AD46" s="304"/>
      <c r="AE46" s="304"/>
      <c r="AF46" s="304"/>
      <c r="AG46" s="304"/>
      <c r="AH46" s="304"/>
      <c r="AI46" s="304"/>
      <c r="AJ46" s="304"/>
      <c r="AK46" s="304"/>
      <c r="AL46" s="304"/>
      <c r="AM46" s="304"/>
      <c r="AN46" s="304"/>
      <c r="AO46" s="304"/>
      <c r="AP46" s="304"/>
      <c r="AQ46" s="304"/>
      <c r="AR46" s="304"/>
      <c r="AS46" s="304"/>
      <c r="AT46" s="304"/>
      <c r="AU46" s="304"/>
      <c r="AV46" s="304"/>
      <c r="AW46" s="304"/>
      <c r="AX46" s="304"/>
      <c r="AY46" s="304"/>
      <c r="AZ46" s="304"/>
      <c r="BA46" s="304"/>
      <c r="BB46" s="304"/>
      <c r="BC46" s="304"/>
      <c r="BD46" s="304"/>
      <c r="BE46" s="304"/>
      <c r="BF46" s="304"/>
      <c r="BG46" s="304"/>
      <c r="BH46" s="304"/>
      <c r="BI46" s="304"/>
      <c r="BJ46" s="304"/>
      <c r="BK46" s="304"/>
      <c r="BL46" s="304"/>
      <c r="BM46" s="304"/>
      <c r="BN46" s="304"/>
      <c r="BO46" s="304"/>
      <c r="BP46" s="304"/>
      <c r="BQ46" s="304"/>
      <c r="BR46" s="304"/>
      <c r="BS46" s="304"/>
      <c r="BT46" s="304"/>
      <c r="BU46" s="304"/>
      <c r="BV46" s="304"/>
      <c r="BW46" s="304"/>
      <c r="BX46" s="304"/>
      <c r="BY46" s="304"/>
      <c r="BZ46" s="304"/>
      <c r="CA46" s="304"/>
      <c r="CB46" s="304"/>
      <c r="CC46" s="304"/>
      <c r="CD46" s="304"/>
      <c r="CE46" s="304"/>
      <c r="CF46" s="304"/>
      <c r="CG46" s="304"/>
      <c r="CH46" s="304"/>
      <c r="CI46" s="304"/>
      <c r="CJ46" s="304"/>
      <c r="CK46" s="304"/>
      <c r="CL46" s="304"/>
      <c r="CM46" s="304"/>
      <c r="CN46" s="304"/>
      <c r="CO46" s="304"/>
      <c r="CP46" s="304"/>
    </row>
    <row r="47" spans="1:94" s="87" customFormat="1">
      <c r="A47" s="81"/>
      <c r="B47" s="83"/>
      <c r="C47" s="82"/>
      <c r="D47" s="102"/>
      <c r="E47" s="102"/>
      <c r="F47" s="102"/>
      <c r="G47" s="225"/>
      <c r="H47" s="218">
        <f t="shared" si="9"/>
        <v>0</v>
      </c>
      <c r="I47" s="218">
        <f t="shared" si="10"/>
        <v>0</v>
      </c>
      <c r="J47" s="218">
        <f t="shared" si="11"/>
        <v>0</v>
      </c>
      <c r="K47" s="102" t="str">
        <f t="shared" si="8"/>
        <v/>
      </c>
      <c r="L47" s="221"/>
      <c r="M47" s="325"/>
      <c r="N47" s="94"/>
      <c r="O47" s="326"/>
      <c r="P47" s="84"/>
      <c r="Q47" s="88"/>
      <c r="R47" s="102">
        <f t="shared" si="4"/>
        <v>0</v>
      </c>
      <c r="S47" s="89"/>
      <c r="T47" s="100"/>
      <c r="U47" s="100"/>
      <c r="V47" s="100"/>
      <c r="W47" s="100"/>
      <c r="X47" s="100"/>
      <c r="Y47" s="83"/>
      <c r="Z47" s="304"/>
      <c r="AA47" s="304"/>
      <c r="AB47" s="304"/>
      <c r="AC47" s="304"/>
      <c r="AD47" s="304"/>
      <c r="AE47" s="304"/>
      <c r="AF47" s="304"/>
      <c r="AG47" s="304"/>
      <c r="AH47" s="304"/>
      <c r="AI47" s="304"/>
      <c r="AJ47" s="304"/>
      <c r="AK47" s="304"/>
      <c r="AL47" s="304"/>
      <c r="AM47" s="304"/>
      <c r="AN47" s="304"/>
      <c r="AO47" s="304"/>
      <c r="AP47" s="304"/>
      <c r="AQ47" s="304"/>
      <c r="AR47" s="304"/>
      <c r="AS47" s="304"/>
      <c r="AT47" s="304"/>
      <c r="AU47" s="304"/>
      <c r="AV47" s="304"/>
      <c r="AW47" s="304"/>
      <c r="AX47" s="304"/>
      <c r="AY47" s="304"/>
      <c r="AZ47" s="304"/>
      <c r="BA47" s="304"/>
      <c r="BB47" s="304"/>
      <c r="BC47" s="304"/>
      <c r="BD47" s="304"/>
      <c r="BE47" s="304"/>
      <c r="BF47" s="304"/>
      <c r="BG47" s="304"/>
      <c r="BH47" s="304"/>
      <c r="BI47" s="304"/>
      <c r="BJ47" s="304"/>
      <c r="BK47" s="304"/>
      <c r="BL47" s="304"/>
      <c r="BM47" s="304"/>
      <c r="BN47" s="304"/>
      <c r="BO47" s="304"/>
      <c r="BP47" s="304"/>
      <c r="BQ47" s="304"/>
      <c r="BR47" s="304"/>
      <c r="BS47" s="304"/>
      <c r="BT47" s="304"/>
      <c r="BU47" s="304"/>
      <c r="BV47" s="304"/>
      <c r="BW47" s="304"/>
      <c r="BX47" s="304"/>
      <c r="BY47" s="304"/>
      <c r="BZ47" s="304"/>
      <c r="CA47" s="304"/>
      <c r="CB47" s="304"/>
      <c r="CC47" s="304"/>
      <c r="CD47" s="304"/>
      <c r="CE47" s="304"/>
      <c r="CF47" s="304"/>
      <c r="CG47" s="304"/>
      <c r="CH47" s="304"/>
      <c r="CI47" s="304"/>
      <c r="CJ47" s="304"/>
      <c r="CK47" s="304"/>
      <c r="CL47" s="304"/>
      <c r="CM47" s="304"/>
      <c r="CN47" s="304"/>
      <c r="CO47" s="304"/>
      <c r="CP47" s="304"/>
    </row>
    <row r="48" spans="1:94" s="87" customFormat="1">
      <c r="A48" s="81"/>
      <c r="B48" s="83"/>
      <c r="C48" s="82"/>
      <c r="D48" s="102"/>
      <c r="E48" s="102"/>
      <c r="F48" s="102"/>
      <c r="G48" s="225"/>
      <c r="H48" s="218">
        <f t="shared" si="9"/>
        <v>0</v>
      </c>
      <c r="I48" s="218">
        <f t="shared" si="10"/>
        <v>0</v>
      </c>
      <c r="J48" s="218">
        <f t="shared" si="11"/>
        <v>0</v>
      </c>
      <c r="K48" s="102" t="str">
        <f t="shared" si="8"/>
        <v/>
      </c>
      <c r="L48" s="221"/>
      <c r="M48" s="325"/>
      <c r="N48" s="94"/>
      <c r="O48" s="326"/>
      <c r="P48" s="84"/>
      <c r="Q48" s="88"/>
      <c r="R48" s="102">
        <f t="shared" si="4"/>
        <v>0</v>
      </c>
      <c r="S48" s="89"/>
      <c r="T48" s="100"/>
      <c r="U48" s="100"/>
      <c r="V48" s="100"/>
      <c r="W48" s="100"/>
      <c r="X48" s="100"/>
      <c r="Y48" s="83"/>
      <c r="Z48" s="304"/>
      <c r="AA48" s="304"/>
      <c r="AB48" s="304"/>
      <c r="AC48" s="304"/>
      <c r="AD48" s="304"/>
      <c r="AE48" s="304"/>
      <c r="AF48" s="304"/>
      <c r="AG48" s="304"/>
      <c r="AH48" s="304"/>
      <c r="AI48" s="304"/>
      <c r="AJ48" s="304"/>
      <c r="AK48" s="304"/>
      <c r="AL48" s="304"/>
      <c r="AM48" s="304"/>
      <c r="AN48" s="304"/>
      <c r="AO48" s="304"/>
      <c r="AP48" s="304"/>
      <c r="AQ48" s="304"/>
      <c r="AR48" s="304"/>
      <c r="AS48" s="304"/>
      <c r="AT48" s="304"/>
      <c r="AU48" s="304"/>
      <c r="AV48" s="304"/>
      <c r="AW48" s="304"/>
      <c r="AX48" s="304"/>
      <c r="AY48" s="304"/>
      <c r="AZ48" s="304"/>
      <c r="BA48" s="304"/>
      <c r="BB48" s="304"/>
      <c r="BC48" s="304"/>
      <c r="BD48" s="304"/>
      <c r="BE48" s="304"/>
      <c r="BF48" s="304"/>
      <c r="BG48" s="304"/>
      <c r="BH48" s="304"/>
      <c r="BI48" s="304"/>
      <c r="BJ48" s="304"/>
      <c r="BK48" s="304"/>
      <c r="BL48" s="304"/>
      <c r="BM48" s="304"/>
      <c r="BN48" s="304"/>
      <c r="BO48" s="304"/>
      <c r="BP48" s="304"/>
      <c r="BQ48" s="304"/>
      <c r="BR48" s="304"/>
      <c r="BS48" s="304"/>
      <c r="BT48" s="304"/>
      <c r="BU48" s="304"/>
      <c r="BV48" s="304"/>
      <c r="BW48" s="304"/>
      <c r="BX48" s="304"/>
      <c r="BY48" s="304"/>
      <c r="BZ48" s="304"/>
      <c r="CA48" s="304"/>
      <c r="CB48" s="304"/>
      <c r="CC48" s="304"/>
      <c r="CD48" s="304"/>
      <c r="CE48" s="304"/>
      <c r="CF48" s="304"/>
      <c r="CG48" s="304"/>
      <c r="CH48" s="304"/>
      <c r="CI48" s="304"/>
      <c r="CJ48" s="304"/>
      <c r="CK48" s="304"/>
      <c r="CL48" s="304"/>
      <c r="CM48" s="304"/>
      <c r="CN48" s="304"/>
      <c r="CO48" s="304"/>
      <c r="CP48" s="304"/>
    </row>
    <row r="49" spans="1:94" s="87" customFormat="1">
      <c r="A49" s="81"/>
      <c r="B49" s="83"/>
      <c r="C49" s="82"/>
      <c r="D49" s="102"/>
      <c r="E49" s="102"/>
      <c r="F49" s="102"/>
      <c r="G49" s="225"/>
      <c r="H49" s="218">
        <f t="shared" si="9"/>
        <v>0</v>
      </c>
      <c r="I49" s="218">
        <f t="shared" si="10"/>
        <v>0</v>
      </c>
      <c r="J49" s="218">
        <f t="shared" si="11"/>
        <v>0</v>
      </c>
      <c r="K49" s="102" t="str">
        <f t="shared" si="8"/>
        <v/>
      </c>
      <c r="L49" s="221"/>
      <c r="M49" s="325"/>
      <c r="N49" s="94"/>
      <c r="O49" s="326"/>
      <c r="P49" s="84"/>
      <c r="Q49" s="88"/>
      <c r="R49" s="102">
        <f t="shared" si="4"/>
        <v>0</v>
      </c>
      <c r="S49" s="89"/>
      <c r="T49" s="100"/>
      <c r="U49" s="100"/>
      <c r="V49" s="100"/>
      <c r="W49" s="100"/>
      <c r="X49" s="100"/>
      <c r="Y49" s="83"/>
      <c r="Z49" s="304"/>
      <c r="AA49" s="304"/>
      <c r="AB49" s="304"/>
      <c r="AC49" s="304"/>
      <c r="AD49" s="304"/>
      <c r="AE49" s="304"/>
      <c r="AF49" s="304"/>
      <c r="AG49" s="304"/>
      <c r="AH49" s="304"/>
      <c r="AI49" s="304"/>
      <c r="AJ49" s="304"/>
      <c r="AK49" s="304"/>
      <c r="AL49" s="304"/>
      <c r="AM49" s="304"/>
      <c r="AN49" s="304"/>
      <c r="AO49" s="304"/>
      <c r="AP49" s="304"/>
      <c r="AQ49" s="304"/>
      <c r="AR49" s="304"/>
      <c r="AS49" s="304"/>
      <c r="AT49" s="304"/>
      <c r="AU49" s="304"/>
      <c r="AV49" s="304"/>
      <c r="AW49" s="304"/>
      <c r="AX49" s="304"/>
      <c r="AY49" s="304"/>
      <c r="AZ49" s="304"/>
      <c r="BA49" s="304"/>
      <c r="BB49" s="304"/>
      <c r="BC49" s="304"/>
      <c r="BD49" s="304"/>
      <c r="BE49" s="304"/>
      <c r="BF49" s="304"/>
      <c r="BG49" s="304"/>
      <c r="BH49" s="304"/>
      <c r="BI49" s="304"/>
      <c r="BJ49" s="304"/>
      <c r="BK49" s="304"/>
      <c r="BL49" s="304"/>
      <c r="BM49" s="304"/>
      <c r="BN49" s="304"/>
      <c r="BO49" s="304"/>
      <c r="BP49" s="304"/>
      <c r="BQ49" s="304"/>
      <c r="BR49" s="304"/>
      <c r="BS49" s="304"/>
      <c r="BT49" s="304"/>
      <c r="BU49" s="304"/>
      <c r="BV49" s="304"/>
      <c r="BW49" s="304"/>
      <c r="BX49" s="304"/>
      <c r="BY49" s="304"/>
      <c r="BZ49" s="304"/>
      <c r="CA49" s="304"/>
      <c r="CB49" s="304"/>
      <c r="CC49" s="304"/>
      <c r="CD49" s="304"/>
      <c r="CE49" s="304"/>
      <c r="CF49" s="304"/>
      <c r="CG49" s="304"/>
      <c r="CH49" s="304"/>
      <c r="CI49" s="304"/>
      <c r="CJ49" s="304"/>
      <c r="CK49" s="304"/>
      <c r="CL49" s="304"/>
      <c r="CM49" s="304"/>
      <c r="CN49" s="304"/>
      <c r="CO49" s="304"/>
      <c r="CP49" s="304"/>
    </row>
    <row r="50" spans="1:94" s="87" customFormat="1">
      <c r="A50" s="81"/>
      <c r="B50" s="83"/>
      <c r="C50" s="82"/>
      <c r="D50" s="102"/>
      <c r="E50" s="102"/>
      <c r="F50" s="102"/>
      <c r="G50" s="225"/>
      <c r="H50" s="218">
        <f t="shared" si="9"/>
        <v>0</v>
      </c>
      <c r="I50" s="218">
        <f t="shared" si="10"/>
        <v>0</v>
      </c>
      <c r="J50" s="218">
        <f t="shared" si="11"/>
        <v>0</v>
      </c>
      <c r="K50" s="102" t="str">
        <f t="shared" si="8"/>
        <v/>
      </c>
      <c r="L50" s="221"/>
      <c r="M50" s="325"/>
      <c r="N50" s="94"/>
      <c r="O50" s="326"/>
      <c r="P50" s="84"/>
      <c r="Q50" s="88"/>
      <c r="R50" s="102">
        <f t="shared" si="4"/>
        <v>0</v>
      </c>
      <c r="S50" s="89"/>
      <c r="T50" s="100"/>
      <c r="U50" s="100"/>
      <c r="V50" s="100"/>
      <c r="W50" s="100"/>
      <c r="X50" s="100"/>
      <c r="Y50" s="83"/>
      <c r="Z50" s="304"/>
      <c r="AA50" s="304"/>
      <c r="AB50" s="304"/>
      <c r="AC50" s="304"/>
      <c r="AD50" s="304"/>
      <c r="AE50" s="304"/>
      <c r="AF50" s="304"/>
      <c r="AG50" s="304"/>
      <c r="AH50" s="304"/>
      <c r="AI50" s="304"/>
      <c r="AJ50" s="304"/>
      <c r="AK50" s="304"/>
      <c r="AL50" s="304"/>
      <c r="AM50" s="304"/>
      <c r="AN50" s="304"/>
      <c r="AO50" s="304"/>
      <c r="AP50" s="304"/>
      <c r="AQ50" s="304"/>
      <c r="AR50" s="304"/>
      <c r="AS50" s="304"/>
      <c r="AT50" s="304"/>
      <c r="AU50" s="304"/>
      <c r="AV50" s="304"/>
      <c r="AW50" s="304"/>
      <c r="AX50" s="304"/>
      <c r="AY50" s="304"/>
      <c r="AZ50" s="304"/>
      <c r="BA50" s="304"/>
      <c r="BB50" s="304"/>
      <c r="BC50" s="304"/>
      <c r="BD50" s="304"/>
      <c r="BE50" s="304"/>
      <c r="BF50" s="304"/>
      <c r="BG50" s="304"/>
      <c r="BH50" s="304"/>
      <c r="BI50" s="304"/>
      <c r="BJ50" s="304"/>
      <c r="BK50" s="304"/>
      <c r="BL50" s="304"/>
      <c r="BM50" s="304"/>
      <c r="BN50" s="304"/>
      <c r="BO50" s="304"/>
      <c r="BP50" s="304"/>
      <c r="BQ50" s="304"/>
      <c r="BR50" s="304"/>
      <c r="BS50" s="304"/>
      <c r="BT50" s="304"/>
      <c r="BU50" s="304"/>
      <c r="BV50" s="304"/>
      <c r="BW50" s="304"/>
      <c r="BX50" s="304"/>
      <c r="BY50" s="304"/>
      <c r="BZ50" s="304"/>
      <c r="CA50" s="304"/>
      <c r="CB50" s="304"/>
      <c r="CC50" s="304"/>
      <c r="CD50" s="304"/>
      <c r="CE50" s="304"/>
      <c r="CF50" s="304"/>
      <c r="CG50" s="304"/>
      <c r="CH50" s="304"/>
      <c r="CI50" s="304"/>
      <c r="CJ50" s="304"/>
      <c r="CK50" s="304"/>
      <c r="CL50" s="304"/>
      <c r="CM50" s="304"/>
      <c r="CN50" s="304"/>
      <c r="CO50" s="304"/>
      <c r="CP50" s="304"/>
    </row>
    <row r="51" spans="1:94" s="87" customFormat="1">
      <c r="A51" s="81"/>
      <c r="B51" s="83"/>
      <c r="C51" s="82"/>
      <c r="D51" s="102"/>
      <c r="E51" s="102"/>
      <c r="F51" s="102"/>
      <c r="G51" s="225"/>
      <c r="H51" s="218">
        <f t="shared" si="9"/>
        <v>0</v>
      </c>
      <c r="I51" s="218">
        <f t="shared" si="10"/>
        <v>0</v>
      </c>
      <c r="J51" s="218">
        <f t="shared" si="11"/>
        <v>0</v>
      </c>
      <c r="K51" s="102" t="str">
        <f t="shared" si="8"/>
        <v/>
      </c>
      <c r="L51" s="221"/>
      <c r="M51" s="325"/>
      <c r="N51" s="94"/>
      <c r="O51" s="326"/>
      <c r="P51" s="84"/>
      <c r="Q51" s="88"/>
      <c r="R51" s="102">
        <f t="shared" si="4"/>
        <v>0</v>
      </c>
      <c r="S51" s="89"/>
      <c r="T51" s="100"/>
      <c r="U51" s="100"/>
      <c r="V51" s="100"/>
      <c r="W51" s="100"/>
      <c r="X51" s="100"/>
      <c r="Y51" s="83"/>
      <c r="Z51" s="304"/>
      <c r="AA51" s="304"/>
      <c r="AB51" s="304"/>
      <c r="AC51" s="304"/>
      <c r="AD51" s="304"/>
      <c r="AE51" s="304"/>
      <c r="AF51" s="304"/>
      <c r="AG51" s="304"/>
      <c r="AH51" s="304"/>
      <c r="AI51" s="304"/>
      <c r="AJ51" s="304"/>
      <c r="AK51" s="304"/>
      <c r="AL51" s="304"/>
      <c r="AM51" s="304"/>
      <c r="AN51" s="304"/>
      <c r="AO51" s="304"/>
      <c r="AP51" s="304"/>
      <c r="AQ51" s="304"/>
      <c r="AR51" s="304"/>
      <c r="AS51" s="304"/>
      <c r="AT51" s="304"/>
      <c r="AU51" s="304"/>
      <c r="AV51" s="304"/>
      <c r="AW51" s="304"/>
      <c r="AX51" s="304"/>
      <c r="AY51" s="304"/>
      <c r="AZ51" s="304"/>
      <c r="BA51" s="304"/>
      <c r="BB51" s="304"/>
      <c r="BC51" s="304"/>
      <c r="BD51" s="304"/>
      <c r="BE51" s="304"/>
      <c r="BF51" s="304"/>
      <c r="BG51" s="304"/>
      <c r="BH51" s="304"/>
      <c r="BI51" s="304"/>
      <c r="BJ51" s="304"/>
      <c r="BK51" s="304"/>
      <c r="BL51" s="304"/>
      <c r="BM51" s="304"/>
      <c r="BN51" s="304"/>
      <c r="BO51" s="304"/>
      <c r="BP51" s="304"/>
      <c r="BQ51" s="304"/>
      <c r="BR51" s="304"/>
      <c r="BS51" s="304"/>
      <c r="BT51" s="304"/>
      <c r="BU51" s="304"/>
      <c r="BV51" s="304"/>
      <c r="BW51" s="304"/>
      <c r="BX51" s="304"/>
      <c r="BY51" s="304"/>
      <c r="BZ51" s="304"/>
      <c r="CA51" s="304"/>
      <c r="CB51" s="304"/>
      <c r="CC51" s="304"/>
      <c r="CD51" s="304"/>
      <c r="CE51" s="304"/>
      <c r="CF51" s="304"/>
      <c r="CG51" s="304"/>
      <c r="CH51" s="304"/>
      <c r="CI51" s="304"/>
      <c r="CJ51" s="304"/>
      <c r="CK51" s="304"/>
      <c r="CL51" s="304"/>
      <c r="CM51" s="304"/>
      <c r="CN51" s="304"/>
      <c r="CO51" s="304"/>
      <c r="CP51" s="304"/>
    </row>
    <row r="52" spans="1:94" s="87" customFormat="1">
      <c r="A52" s="81"/>
      <c r="B52" s="83"/>
      <c r="C52" s="82"/>
      <c r="D52" s="102"/>
      <c r="E52" s="102"/>
      <c r="F52" s="102"/>
      <c r="G52" s="225"/>
      <c r="H52" s="218">
        <f t="shared" si="9"/>
        <v>0</v>
      </c>
      <c r="I52" s="218">
        <f t="shared" si="10"/>
        <v>0</v>
      </c>
      <c r="J52" s="218">
        <f t="shared" si="11"/>
        <v>0</v>
      </c>
      <c r="K52" s="102" t="str">
        <f t="shared" si="8"/>
        <v/>
      </c>
      <c r="L52" s="221"/>
      <c r="M52" s="325"/>
      <c r="N52" s="94"/>
      <c r="O52" s="326"/>
      <c r="P52" s="84"/>
      <c r="Q52" s="88"/>
      <c r="R52" s="102">
        <f t="shared" si="4"/>
        <v>0</v>
      </c>
      <c r="S52" s="89"/>
      <c r="T52" s="100"/>
      <c r="U52" s="100"/>
      <c r="V52" s="100"/>
      <c r="W52" s="100"/>
      <c r="X52" s="100"/>
      <c r="Y52" s="83"/>
      <c r="Z52" s="304"/>
      <c r="AA52" s="304"/>
      <c r="AB52" s="304"/>
      <c r="AC52" s="304"/>
      <c r="AD52" s="304"/>
      <c r="AE52" s="304"/>
      <c r="AF52" s="304"/>
      <c r="AG52" s="304"/>
      <c r="AH52" s="304"/>
      <c r="AI52" s="304"/>
      <c r="AJ52" s="304"/>
      <c r="AK52" s="304"/>
      <c r="AL52" s="304"/>
      <c r="AM52" s="304"/>
      <c r="AN52" s="304"/>
      <c r="AO52" s="304"/>
      <c r="AP52" s="304"/>
      <c r="AQ52" s="304"/>
      <c r="AR52" s="304"/>
      <c r="AS52" s="304"/>
      <c r="AT52" s="304"/>
      <c r="AU52" s="304"/>
      <c r="AV52" s="304"/>
      <c r="AW52" s="304"/>
      <c r="AX52" s="304"/>
      <c r="AY52" s="304"/>
      <c r="AZ52" s="304"/>
      <c r="BA52" s="304"/>
      <c r="BB52" s="304"/>
      <c r="BC52" s="304"/>
      <c r="BD52" s="304"/>
      <c r="BE52" s="304"/>
      <c r="BF52" s="304"/>
      <c r="BG52" s="304"/>
      <c r="BH52" s="304"/>
      <c r="BI52" s="304"/>
      <c r="BJ52" s="304"/>
      <c r="BK52" s="304"/>
      <c r="BL52" s="304"/>
      <c r="BM52" s="304"/>
      <c r="BN52" s="304"/>
      <c r="BO52" s="304"/>
      <c r="BP52" s="304"/>
      <c r="BQ52" s="304"/>
      <c r="BR52" s="304"/>
      <c r="BS52" s="304"/>
      <c r="BT52" s="304"/>
      <c r="BU52" s="304"/>
      <c r="BV52" s="304"/>
      <c r="BW52" s="304"/>
      <c r="BX52" s="304"/>
      <c r="BY52" s="304"/>
      <c r="BZ52" s="304"/>
      <c r="CA52" s="304"/>
      <c r="CB52" s="304"/>
      <c r="CC52" s="304"/>
      <c r="CD52" s="304"/>
      <c r="CE52" s="304"/>
      <c r="CF52" s="304"/>
      <c r="CG52" s="304"/>
      <c r="CH52" s="304"/>
      <c r="CI52" s="304"/>
      <c r="CJ52" s="304"/>
      <c r="CK52" s="304"/>
      <c r="CL52" s="304"/>
      <c r="CM52" s="304"/>
      <c r="CN52" s="304"/>
      <c r="CO52" s="304"/>
      <c r="CP52" s="304"/>
    </row>
    <row r="53" spans="1:94" s="87" customFormat="1">
      <c r="A53" s="81"/>
      <c r="B53" s="83"/>
      <c r="C53" s="82"/>
      <c r="D53" s="102"/>
      <c r="E53" s="102"/>
      <c r="F53" s="102"/>
      <c r="G53" s="225"/>
      <c r="H53" s="218">
        <f t="shared" si="9"/>
        <v>0</v>
      </c>
      <c r="I53" s="218">
        <f t="shared" si="10"/>
        <v>0</v>
      </c>
      <c r="J53" s="218">
        <f t="shared" si="11"/>
        <v>0</v>
      </c>
      <c r="K53" s="102" t="str">
        <f t="shared" si="8"/>
        <v/>
      </c>
      <c r="L53" s="221"/>
      <c r="M53" s="325"/>
      <c r="N53" s="94"/>
      <c r="O53" s="326"/>
      <c r="P53" s="84"/>
      <c r="Q53" s="88"/>
      <c r="R53" s="102">
        <f t="shared" si="4"/>
        <v>0</v>
      </c>
      <c r="S53" s="89"/>
      <c r="T53" s="100"/>
      <c r="U53" s="100"/>
      <c r="V53" s="100"/>
      <c r="W53" s="100"/>
      <c r="X53" s="100"/>
      <c r="Y53" s="83"/>
      <c r="Z53" s="304"/>
      <c r="AA53" s="304"/>
      <c r="AB53" s="304"/>
      <c r="AC53" s="304"/>
      <c r="AD53" s="304"/>
      <c r="AE53" s="304"/>
      <c r="AF53" s="304"/>
      <c r="AG53" s="304"/>
      <c r="AH53" s="304"/>
      <c r="AI53" s="304"/>
      <c r="AJ53" s="304"/>
      <c r="AK53" s="304"/>
      <c r="AL53" s="304"/>
      <c r="AM53" s="304"/>
      <c r="AN53" s="304"/>
      <c r="AO53" s="304"/>
      <c r="AP53" s="304"/>
      <c r="AQ53" s="304"/>
      <c r="AR53" s="304"/>
      <c r="AS53" s="304"/>
      <c r="AT53" s="304"/>
      <c r="AU53" s="304"/>
      <c r="AV53" s="304"/>
      <c r="AW53" s="304"/>
      <c r="AX53" s="304"/>
      <c r="AY53" s="304"/>
      <c r="AZ53" s="304"/>
      <c r="BA53" s="304"/>
      <c r="BB53" s="304"/>
      <c r="BC53" s="304"/>
      <c r="BD53" s="304"/>
      <c r="BE53" s="304"/>
      <c r="BF53" s="304"/>
      <c r="BG53" s="304"/>
      <c r="BH53" s="304"/>
      <c r="BI53" s="304"/>
      <c r="BJ53" s="304"/>
      <c r="BK53" s="304"/>
      <c r="BL53" s="304"/>
      <c r="BM53" s="304"/>
      <c r="BN53" s="304"/>
      <c r="BO53" s="304"/>
      <c r="BP53" s="304"/>
      <c r="BQ53" s="304"/>
      <c r="BR53" s="304"/>
      <c r="BS53" s="304"/>
      <c r="BT53" s="304"/>
      <c r="BU53" s="304"/>
      <c r="BV53" s="304"/>
      <c r="BW53" s="304"/>
      <c r="BX53" s="304"/>
      <c r="BY53" s="304"/>
      <c r="BZ53" s="304"/>
      <c r="CA53" s="304"/>
      <c r="CB53" s="304"/>
      <c r="CC53" s="304"/>
      <c r="CD53" s="304"/>
      <c r="CE53" s="304"/>
      <c r="CF53" s="304"/>
      <c r="CG53" s="304"/>
      <c r="CH53" s="304"/>
      <c r="CI53" s="304"/>
      <c r="CJ53" s="304"/>
      <c r="CK53" s="304"/>
      <c r="CL53" s="304"/>
      <c r="CM53" s="304"/>
      <c r="CN53" s="304"/>
      <c r="CO53" s="304"/>
      <c r="CP53" s="304"/>
    </row>
    <row r="54" spans="1:94" s="87" customFormat="1">
      <c r="A54" s="81"/>
      <c r="B54" s="83"/>
      <c r="C54" s="82"/>
      <c r="D54" s="102"/>
      <c r="E54" s="102"/>
      <c r="F54" s="102"/>
      <c r="G54" s="225"/>
      <c r="H54" s="218">
        <f t="shared" si="9"/>
        <v>0</v>
      </c>
      <c r="I54" s="218">
        <f t="shared" si="10"/>
        <v>0</v>
      </c>
      <c r="J54" s="218">
        <f t="shared" si="11"/>
        <v>0</v>
      </c>
      <c r="K54" s="102" t="str">
        <f t="shared" si="8"/>
        <v/>
      </c>
      <c r="L54" s="221"/>
      <c r="M54" s="325"/>
      <c r="N54" s="94"/>
      <c r="O54" s="326"/>
      <c r="P54" s="84"/>
      <c r="Q54" s="88"/>
      <c r="R54" s="102">
        <f t="shared" si="4"/>
        <v>0</v>
      </c>
      <c r="S54" s="89"/>
      <c r="T54" s="100"/>
      <c r="U54" s="100"/>
      <c r="V54" s="100"/>
      <c r="W54" s="100"/>
      <c r="X54" s="100"/>
      <c r="Y54" s="83"/>
      <c r="Z54" s="304"/>
      <c r="AA54" s="304"/>
      <c r="AB54" s="304"/>
      <c r="AC54" s="304"/>
      <c r="AD54" s="304"/>
      <c r="AE54" s="304"/>
      <c r="AF54" s="304"/>
      <c r="AG54" s="304"/>
      <c r="AH54" s="304"/>
      <c r="AI54" s="304"/>
      <c r="AJ54" s="304"/>
      <c r="AK54" s="304"/>
      <c r="AL54" s="304"/>
      <c r="AM54" s="304"/>
      <c r="AN54" s="304"/>
      <c r="AO54" s="304"/>
      <c r="AP54" s="304"/>
      <c r="AQ54" s="304"/>
      <c r="AR54" s="304"/>
      <c r="AS54" s="304"/>
      <c r="AT54" s="304"/>
      <c r="AU54" s="304"/>
      <c r="AV54" s="304"/>
      <c r="AW54" s="304"/>
      <c r="AX54" s="304"/>
      <c r="AY54" s="304"/>
      <c r="AZ54" s="304"/>
      <c r="BA54" s="304"/>
      <c r="BB54" s="304"/>
      <c r="BC54" s="304"/>
      <c r="BD54" s="304"/>
      <c r="BE54" s="304"/>
      <c r="BF54" s="304"/>
      <c r="BG54" s="304"/>
      <c r="BH54" s="304"/>
      <c r="BI54" s="304"/>
      <c r="BJ54" s="304"/>
      <c r="BK54" s="304"/>
      <c r="BL54" s="304"/>
      <c r="BM54" s="304"/>
      <c r="BN54" s="304"/>
      <c r="BO54" s="304"/>
      <c r="BP54" s="304"/>
      <c r="BQ54" s="304"/>
      <c r="BR54" s="304"/>
      <c r="BS54" s="304"/>
      <c r="BT54" s="304"/>
      <c r="BU54" s="304"/>
      <c r="BV54" s="304"/>
      <c r="BW54" s="304"/>
      <c r="BX54" s="304"/>
      <c r="BY54" s="304"/>
      <c r="BZ54" s="304"/>
      <c r="CA54" s="304"/>
      <c r="CB54" s="304"/>
      <c r="CC54" s="304"/>
      <c r="CD54" s="304"/>
      <c r="CE54" s="304"/>
      <c r="CF54" s="304"/>
      <c r="CG54" s="304"/>
      <c r="CH54" s="304"/>
      <c r="CI54" s="304"/>
      <c r="CJ54" s="304"/>
      <c r="CK54" s="304"/>
      <c r="CL54" s="304"/>
      <c r="CM54" s="304"/>
      <c r="CN54" s="304"/>
      <c r="CO54" s="304"/>
      <c r="CP54" s="304"/>
    </row>
    <row r="55" spans="1:94" s="87" customFormat="1">
      <c r="A55" s="81"/>
      <c r="B55" s="83"/>
      <c r="C55" s="82"/>
      <c r="D55" s="102"/>
      <c r="E55" s="102"/>
      <c r="F55" s="102"/>
      <c r="G55" s="225"/>
      <c r="H55" s="218">
        <f t="shared" si="9"/>
        <v>0</v>
      </c>
      <c r="I55" s="218">
        <f t="shared" si="10"/>
        <v>0</v>
      </c>
      <c r="J55" s="218">
        <f t="shared" si="11"/>
        <v>0</v>
      </c>
      <c r="K55" s="102" t="str">
        <f t="shared" si="8"/>
        <v/>
      </c>
      <c r="L55" s="221"/>
      <c r="M55" s="325"/>
      <c r="N55" s="94"/>
      <c r="O55" s="326"/>
      <c r="P55" s="84"/>
      <c r="Q55" s="88"/>
      <c r="R55" s="102">
        <f t="shared" si="4"/>
        <v>0</v>
      </c>
      <c r="S55" s="89"/>
      <c r="T55" s="100"/>
      <c r="U55" s="100"/>
      <c r="V55" s="100"/>
      <c r="W55" s="100"/>
      <c r="X55" s="100"/>
      <c r="Y55" s="83"/>
      <c r="Z55" s="304"/>
      <c r="AA55" s="304"/>
      <c r="AB55" s="304"/>
      <c r="AC55" s="304"/>
      <c r="AD55" s="304"/>
      <c r="AE55" s="304"/>
      <c r="AF55" s="304"/>
      <c r="AG55" s="304"/>
      <c r="AH55" s="304"/>
      <c r="AI55" s="304"/>
      <c r="AJ55" s="304"/>
      <c r="AK55" s="304"/>
      <c r="AL55" s="304"/>
      <c r="AM55" s="304"/>
      <c r="AN55" s="304"/>
      <c r="AO55" s="304"/>
      <c r="AP55" s="304"/>
      <c r="AQ55" s="304"/>
      <c r="AR55" s="304"/>
      <c r="AS55" s="304"/>
      <c r="AT55" s="304"/>
      <c r="AU55" s="304"/>
      <c r="AV55" s="304"/>
      <c r="AW55" s="304"/>
      <c r="AX55" s="304"/>
      <c r="AY55" s="304"/>
      <c r="AZ55" s="304"/>
      <c r="BA55" s="304"/>
      <c r="BB55" s="304"/>
      <c r="BC55" s="304"/>
      <c r="BD55" s="304"/>
      <c r="BE55" s="304"/>
      <c r="BF55" s="304"/>
      <c r="BG55" s="304"/>
      <c r="BH55" s="304"/>
      <c r="BI55" s="304"/>
      <c r="BJ55" s="304"/>
      <c r="BK55" s="304"/>
      <c r="BL55" s="304"/>
      <c r="BM55" s="304"/>
      <c r="BN55" s="304"/>
      <c r="BO55" s="304"/>
      <c r="BP55" s="304"/>
      <c r="BQ55" s="304"/>
      <c r="BR55" s="304"/>
      <c r="BS55" s="304"/>
      <c r="BT55" s="304"/>
      <c r="BU55" s="304"/>
      <c r="BV55" s="304"/>
      <c r="BW55" s="304"/>
      <c r="BX55" s="304"/>
      <c r="BY55" s="304"/>
      <c r="BZ55" s="304"/>
      <c r="CA55" s="304"/>
      <c r="CB55" s="304"/>
      <c r="CC55" s="304"/>
      <c r="CD55" s="304"/>
      <c r="CE55" s="304"/>
      <c r="CF55" s="304"/>
      <c r="CG55" s="304"/>
      <c r="CH55" s="304"/>
      <c r="CI55" s="304"/>
      <c r="CJ55" s="304"/>
      <c r="CK55" s="304"/>
      <c r="CL55" s="304"/>
      <c r="CM55" s="304"/>
      <c r="CN55" s="304"/>
      <c r="CO55" s="304"/>
      <c r="CP55" s="304"/>
    </row>
    <row r="56" spans="1:94" s="87" customFormat="1">
      <c r="A56" s="81"/>
      <c r="B56" s="83"/>
      <c r="C56" s="82"/>
      <c r="D56" s="102"/>
      <c r="E56" s="102"/>
      <c r="F56" s="102"/>
      <c r="G56" s="225"/>
      <c r="H56" s="218">
        <f t="shared" si="9"/>
        <v>0</v>
      </c>
      <c r="I56" s="218">
        <f t="shared" si="10"/>
        <v>0</v>
      </c>
      <c r="J56" s="218">
        <f t="shared" si="11"/>
        <v>0</v>
      </c>
      <c r="K56" s="102" t="str">
        <f t="shared" si="8"/>
        <v/>
      </c>
      <c r="L56" s="221"/>
      <c r="M56" s="325"/>
      <c r="N56" s="94"/>
      <c r="O56" s="326"/>
      <c r="P56" s="84"/>
      <c r="Q56" s="88"/>
      <c r="R56" s="102">
        <f t="shared" si="4"/>
        <v>0</v>
      </c>
      <c r="S56" s="89"/>
      <c r="T56" s="100"/>
      <c r="U56" s="100"/>
      <c r="V56" s="100"/>
      <c r="W56" s="100"/>
      <c r="X56" s="100"/>
      <c r="Y56" s="83"/>
      <c r="Z56" s="304"/>
      <c r="AA56" s="304"/>
      <c r="AB56" s="304"/>
      <c r="AC56" s="304"/>
      <c r="AD56" s="304"/>
      <c r="AE56" s="304"/>
      <c r="AF56" s="304"/>
      <c r="AG56" s="304"/>
      <c r="AH56" s="304"/>
      <c r="AI56" s="304"/>
      <c r="AJ56" s="304"/>
      <c r="AK56" s="304"/>
      <c r="AL56" s="304"/>
      <c r="AM56" s="304"/>
      <c r="AN56" s="304"/>
      <c r="AO56" s="304"/>
      <c r="AP56" s="304"/>
      <c r="AQ56" s="304"/>
      <c r="AR56" s="304"/>
      <c r="AS56" s="304"/>
      <c r="AT56" s="304"/>
      <c r="AU56" s="304"/>
      <c r="AV56" s="304"/>
      <c r="AW56" s="304"/>
      <c r="AX56" s="304"/>
      <c r="AY56" s="304"/>
      <c r="AZ56" s="304"/>
      <c r="BA56" s="304"/>
      <c r="BB56" s="304"/>
      <c r="BC56" s="304"/>
      <c r="BD56" s="304"/>
      <c r="BE56" s="304"/>
      <c r="BF56" s="304"/>
      <c r="BG56" s="304"/>
      <c r="BH56" s="304"/>
      <c r="BI56" s="304"/>
      <c r="BJ56" s="304"/>
      <c r="BK56" s="304"/>
      <c r="BL56" s="304"/>
      <c r="BM56" s="304"/>
      <c r="BN56" s="304"/>
      <c r="BO56" s="304"/>
      <c r="BP56" s="304"/>
      <c r="BQ56" s="304"/>
      <c r="BR56" s="304"/>
      <c r="BS56" s="304"/>
      <c r="BT56" s="304"/>
      <c r="BU56" s="304"/>
      <c r="BV56" s="304"/>
      <c r="BW56" s="304"/>
      <c r="BX56" s="304"/>
      <c r="BY56" s="304"/>
      <c r="BZ56" s="304"/>
      <c r="CA56" s="304"/>
      <c r="CB56" s="304"/>
      <c r="CC56" s="304"/>
      <c r="CD56" s="304"/>
      <c r="CE56" s="304"/>
      <c r="CF56" s="304"/>
      <c r="CG56" s="304"/>
      <c r="CH56" s="304"/>
      <c r="CI56" s="304"/>
      <c r="CJ56" s="304"/>
      <c r="CK56" s="304"/>
      <c r="CL56" s="304"/>
      <c r="CM56" s="304"/>
      <c r="CN56" s="304"/>
      <c r="CO56" s="304"/>
      <c r="CP56" s="304"/>
    </row>
    <row r="57" spans="1:94" s="87" customFormat="1">
      <c r="A57" s="81"/>
      <c r="B57" s="83"/>
      <c r="C57" s="82"/>
      <c r="D57" s="102"/>
      <c r="E57" s="102"/>
      <c r="F57" s="102"/>
      <c r="G57" s="225"/>
      <c r="H57" s="218">
        <f t="shared" si="9"/>
        <v>0</v>
      </c>
      <c r="I57" s="218">
        <f t="shared" si="10"/>
        <v>0</v>
      </c>
      <c r="J57" s="218">
        <f t="shared" si="11"/>
        <v>0</v>
      </c>
      <c r="K57" s="102" t="str">
        <f t="shared" si="8"/>
        <v/>
      </c>
      <c r="L57" s="221"/>
      <c r="M57" s="325"/>
      <c r="N57" s="94"/>
      <c r="O57" s="326"/>
      <c r="P57" s="84"/>
      <c r="Q57" s="88"/>
      <c r="R57" s="102">
        <f t="shared" si="4"/>
        <v>0</v>
      </c>
      <c r="S57" s="89"/>
      <c r="T57" s="100"/>
      <c r="U57" s="100"/>
      <c r="V57" s="100"/>
      <c r="W57" s="100"/>
      <c r="X57" s="100"/>
      <c r="Y57" s="83"/>
      <c r="Z57" s="304"/>
      <c r="AA57" s="304"/>
      <c r="AB57" s="304"/>
      <c r="AC57" s="304"/>
      <c r="AD57" s="304"/>
      <c r="AE57" s="304"/>
      <c r="AF57" s="304"/>
      <c r="AG57" s="304"/>
      <c r="AH57" s="304"/>
      <c r="AI57" s="304"/>
      <c r="AJ57" s="304"/>
      <c r="AK57" s="304"/>
      <c r="AL57" s="304"/>
      <c r="AM57" s="304"/>
      <c r="AN57" s="304"/>
      <c r="AO57" s="304"/>
      <c r="AP57" s="304"/>
      <c r="AQ57" s="304"/>
      <c r="AR57" s="304"/>
      <c r="AS57" s="304"/>
      <c r="AT57" s="304"/>
      <c r="AU57" s="304"/>
      <c r="AV57" s="304"/>
      <c r="AW57" s="304"/>
      <c r="AX57" s="304"/>
      <c r="AY57" s="304"/>
      <c r="AZ57" s="304"/>
      <c r="BA57" s="304"/>
      <c r="BB57" s="304"/>
      <c r="BC57" s="304"/>
      <c r="BD57" s="304"/>
      <c r="BE57" s="304"/>
      <c r="BF57" s="304"/>
      <c r="BG57" s="304"/>
      <c r="BH57" s="304"/>
      <c r="BI57" s="304"/>
      <c r="BJ57" s="304"/>
      <c r="BK57" s="304"/>
      <c r="BL57" s="304"/>
      <c r="BM57" s="304"/>
      <c r="BN57" s="304"/>
      <c r="BO57" s="304"/>
      <c r="BP57" s="304"/>
      <c r="BQ57" s="304"/>
      <c r="BR57" s="304"/>
      <c r="BS57" s="304"/>
      <c r="BT57" s="304"/>
      <c r="BU57" s="304"/>
      <c r="BV57" s="304"/>
      <c r="BW57" s="304"/>
      <c r="BX57" s="304"/>
      <c r="BY57" s="304"/>
      <c r="BZ57" s="304"/>
      <c r="CA57" s="304"/>
      <c r="CB57" s="304"/>
      <c r="CC57" s="304"/>
      <c r="CD57" s="304"/>
      <c r="CE57" s="304"/>
      <c r="CF57" s="304"/>
      <c r="CG57" s="304"/>
      <c r="CH57" s="304"/>
      <c r="CI57" s="304"/>
      <c r="CJ57" s="304"/>
      <c r="CK57" s="304"/>
      <c r="CL57" s="304"/>
      <c r="CM57" s="304"/>
      <c r="CN57" s="304"/>
      <c r="CO57" s="304"/>
      <c r="CP57" s="304"/>
    </row>
    <row r="58" spans="1:94" s="87" customFormat="1">
      <c r="A58" s="81"/>
      <c r="B58" s="83"/>
      <c r="C58" s="82"/>
      <c r="D58" s="102"/>
      <c r="E58" s="102"/>
      <c r="F58" s="102"/>
      <c r="G58" s="225"/>
      <c r="H58" s="218">
        <f t="shared" si="9"/>
        <v>0</v>
      </c>
      <c r="I58" s="218">
        <f t="shared" si="10"/>
        <v>0</v>
      </c>
      <c r="J58" s="218">
        <f t="shared" si="11"/>
        <v>0</v>
      </c>
      <c r="K58" s="102" t="str">
        <f t="shared" si="8"/>
        <v/>
      </c>
      <c r="L58" s="221"/>
      <c r="M58" s="325"/>
      <c r="N58" s="94"/>
      <c r="O58" s="326"/>
      <c r="P58" s="84"/>
      <c r="Q58" s="88"/>
      <c r="R58" s="102">
        <f t="shared" si="4"/>
        <v>0</v>
      </c>
      <c r="S58" s="89"/>
      <c r="T58" s="100"/>
      <c r="U58" s="100"/>
      <c r="V58" s="100"/>
      <c r="W58" s="100"/>
      <c r="X58" s="100"/>
      <c r="Y58" s="83"/>
      <c r="Z58" s="304"/>
      <c r="AA58" s="304"/>
      <c r="AB58" s="304"/>
      <c r="AC58" s="304"/>
      <c r="AD58" s="304"/>
      <c r="AE58" s="304"/>
      <c r="AF58" s="304"/>
      <c r="AG58" s="304"/>
      <c r="AH58" s="304"/>
      <c r="AI58" s="304"/>
      <c r="AJ58" s="304"/>
      <c r="AK58" s="304"/>
      <c r="AL58" s="304"/>
      <c r="AM58" s="304"/>
      <c r="AN58" s="304"/>
      <c r="AO58" s="304"/>
      <c r="AP58" s="304"/>
      <c r="AQ58" s="304"/>
      <c r="AR58" s="304"/>
      <c r="AS58" s="304"/>
      <c r="AT58" s="304"/>
      <c r="AU58" s="304"/>
      <c r="AV58" s="304"/>
      <c r="AW58" s="304"/>
      <c r="AX58" s="304"/>
      <c r="AY58" s="304"/>
      <c r="AZ58" s="304"/>
      <c r="BA58" s="304"/>
      <c r="BB58" s="304"/>
      <c r="BC58" s="304"/>
      <c r="BD58" s="304"/>
      <c r="BE58" s="304"/>
      <c r="BF58" s="304"/>
      <c r="BG58" s="304"/>
      <c r="BH58" s="304"/>
      <c r="BI58" s="304"/>
      <c r="BJ58" s="304"/>
      <c r="BK58" s="304"/>
      <c r="BL58" s="304"/>
      <c r="BM58" s="304"/>
      <c r="BN58" s="304"/>
      <c r="BO58" s="304"/>
      <c r="BP58" s="304"/>
      <c r="BQ58" s="304"/>
      <c r="BR58" s="304"/>
      <c r="BS58" s="304"/>
      <c r="BT58" s="304"/>
      <c r="BU58" s="304"/>
      <c r="BV58" s="304"/>
      <c r="BW58" s="304"/>
      <c r="BX58" s="304"/>
      <c r="BY58" s="304"/>
      <c r="BZ58" s="304"/>
      <c r="CA58" s="304"/>
      <c r="CB58" s="304"/>
      <c r="CC58" s="304"/>
      <c r="CD58" s="304"/>
      <c r="CE58" s="304"/>
      <c r="CF58" s="304"/>
      <c r="CG58" s="304"/>
      <c r="CH58" s="304"/>
      <c r="CI58" s="304"/>
      <c r="CJ58" s="304"/>
      <c r="CK58" s="304"/>
      <c r="CL58" s="304"/>
      <c r="CM58" s="304"/>
      <c r="CN58" s="304"/>
      <c r="CO58" s="304"/>
      <c r="CP58" s="304"/>
    </row>
    <row r="59" spans="1:94" s="87" customFormat="1">
      <c r="A59" s="81"/>
      <c r="B59" s="83"/>
      <c r="C59" s="82"/>
      <c r="D59" s="102"/>
      <c r="E59" s="102"/>
      <c r="F59" s="102"/>
      <c r="G59" s="225"/>
      <c r="H59" s="218">
        <f t="shared" si="9"/>
        <v>0</v>
      </c>
      <c r="I59" s="218">
        <f t="shared" si="10"/>
        <v>0</v>
      </c>
      <c r="J59" s="218">
        <f t="shared" si="11"/>
        <v>0</v>
      </c>
      <c r="K59" s="102" t="str">
        <f t="shared" si="8"/>
        <v/>
      </c>
      <c r="L59" s="221"/>
      <c r="M59" s="325"/>
      <c r="N59" s="94"/>
      <c r="O59" s="326"/>
      <c r="P59" s="84"/>
      <c r="Q59" s="88"/>
      <c r="R59" s="102">
        <f t="shared" si="4"/>
        <v>0</v>
      </c>
      <c r="S59" s="89"/>
      <c r="T59" s="100"/>
      <c r="U59" s="100"/>
      <c r="V59" s="100"/>
      <c r="W59" s="100"/>
      <c r="X59" s="100"/>
      <c r="Y59" s="83"/>
      <c r="Z59" s="304"/>
      <c r="AA59" s="304"/>
      <c r="AB59" s="304"/>
      <c r="AC59" s="304"/>
      <c r="AD59" s="304"/>
      <c r="AE59" s="304"/>
      <c r="AF59" s="304"/>
      <c r="AG59" s="304"/>
      <c r="AH59" s="304"/>
      <c r="AI59" s="304"/>
      <c r="AJ59" s="304"/>
      <c r="AK59" s="304"/>
      <c r="AL59" s="304"/>
      <c r="AM59" s="304"/>
      <c r="AN59" s="304"/>
      <c r="AO59" s="304"/>
      <c r="AP59" s="304"/>
      <c r="AQ59" s="304"/>
      <c r="AR59" s="304"/>
      <c r="AS59" s="304"/>
      <c r="AT59" s="304"/>
      <c r="AU59" s="304"/>
      <c r="AV59" s="304"/>
      <c r="AW59" s="304"/>
      <c r="AX59" s="304"/>
      <c r="AY59" s="304"/>
      <c r="AZ59" s="304"/>
      <c r="BA59" s="304"/>
      <c r="BB59" s="304"/>
      <c r="BC59" s="304"/>
      <c r="BD59" s="304"/>
      <c r="BE59" s="304"/>
      <c r="BF59" s="304"/>
      <c r="BG59" s="304"/>
      <c r="BH59" s="304"/>
      <c r="BI59" s="304"/>
      <c r="BJ59" s="304"/>
      <c r="BK59" s="304"/>
      <c r="BL59" s="304"/>
      <c r="BM59" s="304"/>
      <c r="BN59" s="304"/>
      <c r="BO59" s="304"/>
      <c r="BP59" s="304"/>
      <c r="BQ59" s="304"/>
      <c r="BR59" s="304"/>
      <c r="BS59" s="304"/>
      <c r="BT59" s="304"/>
      <c r="BU59" s="304"/>
      <c r="BV59" s="304"/>
      <c r="BW59" s="304"/>
      <c r="BX59" s="304"/>
      <c r="BY59" s="304"/>
      <c r="BZ59" s="304"/>
      <c r="CA59" s="304"/>
      <c r="CB59" s="304"/>
      <c r="CC59" s="304"/>
      <c r="CD59" s="304"/>
      <c r="CE59" s="304"/>
      <c r="CF59" s="304"/>
      <c r="CG59" s="304"/>
      <c r="CH59" s="304"/>
      <c r="CI59" s="304"/>
      <c r="CJ59" s="304"/>
      <c r="CK59" s="304"/>
      <c r="CL59" s="304"/>
      <c r="CM59" s="304"/>
      <c r="CN59" s="304"/>
      <c r="CO59" s="304"/>
      <c r="CP59" s="304"/>
    </row>
    <row r="60" spans="1:94" s="87" customFormat="1">
      <c r="A60" s="81"/>
      <c r="B60" s="83"/>
      <c r="C60" s="82"/>
      <c r="D60" s="102"/>
      <c r="E60" s="102"/>
      <c r="F60" s="102"/>
      <c r="G60" s="225"/>
      <c r="H60" s="218">
        <f t="shared" si="9"/>
        <v>0</v>
      </c>
      <c r="I60" s="218">
        <f t="shared" si="10"/>
        <v>0</v>
      </c>
      <c r="J60" s="218">
        <f t="shared" si="11"/>
        <v>0</v>
      </c>
      <c r="K60" s="102" t="str">
        <f t="shared" si="8"/>
        <v/>
      </c>
      <c r="L60" s="221"/>
      <c r="M60" s="325"/>
      <c r="N60" s="94"/>
      <c r="O60" s="326"/>
      <c r="P60" s="84"/>
      <c r="Q60" s="88"/>
      <c r="R60" s="102">
        <f t="shared" si="4"/>
        <v>0</v>
      </c>
      <c r="S60" s="89"/>
      <c r="T60" s="100"/>
      <c r="U60" s="100"/>
      <c r="V60" s="100"/>
      <c r="W60" s="100"/>
      <c r="X60" s="100"/>
      <c r="Y60" s="83"/>
      <c r="Z60" s="304"/>
      <c r="AA60" s="304"/>
      <c r="AB60" s="304"/>
      <c r="AC60" s="304"/>
      <c r="AD60" s="304"/>
      <c r="AE60" s="304"/>
      <c r="AF60" s="304"/>
      <c r="AG60" s="304"/>
      <c r="AH60" s="304"/>
      <c r="AI60" s="304"/>
      <c r="AJ60" s="304"/>
      <c r="AK60" s="304"/>
      <c r="AL60" s="304"/>
      <c r="AM60" s="304"/>
      <c r="AN60" s="304"/>
      <c r="AO60" s="304"/>
      <c r="AP60" s="304"/>
      <c r="AQ60" s="304"/>
      <c r="AR60" s="304"/>
      <c r="AS60" s="304"/>
      <c r="AT60" s="304"/>
      <c r="AU60" s="304"/>
      <c r="AV60" s="304"/>
      <c r="AW60" s="304"/>
      <c r="AX60" s="304"/>
      <c r="AY60" s="304"/>
      <c r="AZ60" s="304"/>
      <c r="BA60" s="304"/>
      <c r="BB60" s="304"/>
      <c r="BC60" s="304"/>
      <c r="BD60" s="304"/>
      <c r="BE60" s="304"/>
      <c r="BF60" s="304"/>
      <c r="BG60" s="304"/>
      <c r="BH60" s="304"/>
      <c r="BI60" s="304"/>
      <c r="BJ60" s="304"/>
      <c r="BK60" s="304"/>
      <c r="BL60" s="304"/>
      <c r="BM60" s="304"/>
      <c r="BN60" s="304"/>
      <c r="BO60" s="304"/>
      <c r="BP60" s="304"/>
      <c r="BQ60" s="304"/>
      <c r="BR60" s="304"/>
      <c r="BS60" s="304"/>
      <c r="BT60" s="304"/>
      <c r="BU60" s="304"/>
      <c r="BV60" s="304"/>
      <c r="BW60" s="304"/>
      <c r="BX60" s="304"/>
      <c r="BY60" s="304"/>
      <c r="BZ60" s="304"/>
      <c r="CA60" s="304"/>
      <c r="CB60" s="304"/>
      <c r="CC60" s="304"/>
      <c r="CD60" s="304"/>
      <c r="CE60" s="304"/>
      <c r="CF60" s="304"/>
      <c r="CG60" s="304"/>
      <c r="CH60" s="304"/>
      <c r="CI60" s="304"/>
      <c r="CJ60" s="304"/>
      <c r="CK60" s="304"/>
      <c r="CL60" s="304"/>
      <c r="CM60" s="304"/>
      <c r="CN60" s="304"/>
      <c r="CO60" s="304"/>
      <c r="CP60" s="304"/>
    </row>
    <row r="61" spans="1:94" s="87" customFormat="1">
      <c r="A61" s="81"/>
      <c r="B61" s="83"/>
      <c r="C61" s="82"/>
      <c r="D61" s="102"/>
      <c r="E61" s="102"/>
      <c r="F61" s="102"/>
      <c r="G61" s="225"/>
      <c r="H61" s="218">
        <f t="shared" si="9"/>
        <v>0</v>
      </c>
      <c r="I61" s="218">
        <f t="shared" si="10"/>
        <v>0</v>
      </c>
      <c r="J61" s="218">
        <f t="shared" si="11"/>
        <v>0</v>
      </c>
      <c r="K61" s="102" t="str">
        <f t="shared" si="8"/>
        <v/>
      </c>
      <c r="L61" s="221"/>
      <c r="M61" s="325"/>
      <c r="N61" s="94"/>
      <c r="O61" s="326"/>
      <c r="P61" s="84"/>
      <c r="Q61" s="88"/>
      <c r="R61" s="102">
        <f t="shared" si="4"/>
        <v>0</v>
      </c>
      <c r="S61" s="89"/>
      <c r="T61" s="100"/>
      <c r="U61" s="100"/>
      <c r="V61" s="100"/>
      <c r="W61" s="100"/>
      <c r="X61" s="100"/>
      <c r="Y61" s="83"/>
      <c r="Z61" s="304"/>
      <c r="AA61" s="304"/>
      <c r="AB61" s="304"/>
      <c r="AC61" s="304"/>
      <c r="AD61" s="304"/>
      <c r="AE61" s="304"/>
      <c r="AF61" s="304"/>
      <c r="AG61" s="304"/>
      <c r="AH61" s="304"/>
      <c r="AI61" s="304"/>
      <c r="AJ61" s="304"/>
      <c r="AK61" s="304"/>
      <c r="AL61" s="304"/>
      <c r="AM61" s="304"/>
      <c r="AN61" s="304"/>
      <c r="AO61" s="304"/>
      <c r="AP61" s="304"/>
      <c r="AQ61" s="304"/>
      <c r="AR61" s="304"/>
      <c r="AS61" s="304"/>
      <c r="AT61" s="304"/>
      <c r="AU61" s="304"/>
      <c r="AV61" s="304"/>
      <c r="AW61" s="304"/>
      <c r="AX61" s="304"/>
      <c r="AY61" s="304"/>
      <c r="AZ61" s="304"/>
      <c r="BA61" s="304"/>
      <c r="BB61" s="304"/>
      <c r="BC61" s="304"/>
      <c r="BD61" s="304"/>
      <c r="BE61" s="304"/>
      <c r="BF61" s="304"/>
      <c r="BG61" s="304"/>
      <c r="BH61" s="304"/>
      <c r="BI61" s="304"/>
      <c r="BJ61" s="304"/>
      <c r="BK61" s="304"/>
      <c r="BL61" s="304"/>
      <c r="BM61" s="304"/>
      <c r="BN61" s="304"/>
      <c r="BO61" s="304"/>
      <c r="BP61" s="304"/>
      <c r="BQ61" s="304"/>
      <c r="BR61" s="304"/>
      <c r="BS61" s="304"/>
      <c r="BT61" s="304"/>
      <c r="BU61" s="304"/>
      <c r="BV61" s="304"/>
      <c r="BW61" s="304"/>
      <c r="BX61" s="304"/>
      <c r="BY61" s="304"/>
      <c r="BZ61" s="304"/>
      <c r="CA61" s="304"/>
      <c r="CB61" s="304"/>
      <c r="CC61" s="304"/>
      <c r="CD61" s="304"/>
      <c r="CE61" s="304"/>
      <c r="CF61" s="304"/>
      <c r="CG61" s="304"/>
      <c r="CH61" s="304"/>
      <c r="CI61" s="304"/>
      <c r="CJ61" s="304"/>
      <c r="CK61" s="304"/>
      <c r="CL61" s="304"/>
      <c r="CM61" s="304"/>
      <c r="CN61" s="304"/>
      <c r="CO61" s="304"/>
      <c r="CP61" s="304"/>
    </row>
    <row r="62" spans="1:94" s="87" customFormat="1">
      <c r="A62" s="81"/>
      <c r="B62" s="83"/>
      <c r="C62" s="82"/>
      <c r="D62" s="102"/>
      <c r="E62" s="102"/>
      <c r="F62" s="102"/>
      <c r="G62" s="225"/>
      <c r="H62" s="218">
        <f t="shared" si="9"/>
        <v>0</v>
      </c>
      <c r="I62" s="218">
        <f t="shared" si="10"/>
        <v>0</v>
      </c>
      <c r="J62" s="218">
        <f t="shared" si="11"/>
        <v>0</v>
      </c>
      <c r="K62" s="102" t="str">
        <f t="shared" si="8"/>
        <v/>
      </c>
      <c r="L62" s="221"/>
      <c r="M62" s="325"/>
      <c r="N62" s="94"/>
      <c r="O62" s="326"/>
      <c r="P62" s="84"/>
      <c r="Q62" s="88"/>
      <c r="R62" s="102">
        <f t="shared" si="4"/>
        <v>0</v>
      </c>
      <c r="S62" s="89"/>
      <c r="T62" s="100"/>
      <c r="U62" s="100"/>
      <c r="V62" s="100"/>
      <c r="W62" s="100"/>
      <c r="X62" s="100"/>
      <c r="Y62" s="83"/>
      <c r="Z62" s="304"/>
      <c r="AA62" s="304"/>
      <c r="AB62" s="304"/>
      <c r="AC62" s="304"/>
      <c r="AD62" s="304"/>
      <c r="AE62" s="304"/>
      <c r="AF62" s="304"/>
      <c r="AG62" s="304"/>
      <c r="AH62" s="304"/>
      <c r="AI62" s="304"/>
      <c r="AJ62" s="304"/>
      <c r="AK62" s="304"/>
      <c r="AL62" s="304"/>
      <c r="AM62" s="304"/>
      <c r="AN62" s="304"/>
      <c r="AO62" s="304"/>
      <c r="AP62" s="304"/>
      <c r="AQ62" s="304"/>
      <c r="AR62" s="304"/>
      <c r="AS62" s="304"/>
      <c r="AT62" s="304"/>
      <c r="AU62" s="304"/>
      <c r="AV62" s="304"/>
      <c r="AW62" s="304"/>
      <c r="AX62" s="304"/>
      <c r="AY62" s="304"/>
      <c r="AZ62" s="304"/>
      <c r="BA62" s="304"/>
      <c r="BB62" s="304"/>
      <c r="BC62" s="304"/>
      <c r="BD62" s="304"/>
      <c r="BE62" s="304"/>
      <c r="BF62" s="304"/>
      <c r="BG62" s="304"/>
      <c r="BH62" s="304"/>
      <c r="BI62" s="304"/>
      <c r="BJ62" s="304"/>
      <c r="BK62" s="304"/>
      <c r="BL62" s="304"/>
      <c r="BM62" s="304"/>
      <c r="BN62" s="304"/>
      <c r="BO62" s="304"/>
      <c r="BP62" s="304"/>
      <c r="BQ62" s="304"/>
      <c r="BR62" s="304"/>
      <c r="BS62" s="304"/>
      <c r="BT62" s="304"/>
      <c r="BU62" s="304"/>
      <c r="BV62" s="304"/>
      <c r="BW62" s="304"/>
      <c r="BX62" s="304"/>
      <c r="BY62" s="304"/>
      <c r="BZ62" s="304"/>
      <c r="CA62" s="304"/>
      <c r="CB62" s="304"/>
      <c r="CC62" s="304"/>
      <c r="CD62" s="304"/>
      <c r="CE62" s="304"/>
      <c r="CF62" s="304"/>
      <c r="CG62" s="304"/>
      <c r="CH62" s="304"/>
      <c r="CI62" s="304"/>
      <c r="CJ62" s="304"/>
      <c r="CK62" s="304"/>
      <c r="CL62" s="304"/>
      <c r="CM62" s="304"/>
      <c r="CN62" s="304"/>
      <c r="CO62" s="304"/>
      <c r="CP62" s="304"/>
    </row>
    <row r="63" spans="1:94" s="87" customFormat="1">
      <c r="A63" s="81"/>
      <c r="B63" s="83"/>
      <c r="C63" s="82"/>
      <c r="D63" s="102"/>
      <c r="E63" s="102"/>
      <c r="F63" s="102"/>
      <c r="G63" s="225"/>
      <c r="H63" s="218">
        <f t="shared" si="9"/>
        <v>0</v>
      </c>
      <c r="I63" s="218">
        <f t="shared" si="10"/>
        <v>0</v>
      </c>
      <c r="J63" s="218">
        <f t="shared" si="11"/>
        <v>0</v>
      </c>
      <c r="K63" s="102" t="str">
        <f t="shared" si="8"/>
        <v/>
      </c>
      <c r="L63" s="221"/>
      <c r="M63" s="325"/>
      <c r="N63" s="94"/>
      <c r="O63" s="326"/>
      <c r="P63" s="84"/>
      <c r="Q63" s="88"/>
      <c r="R63" s="102">
        <f t="shared" si="4"/>
        <v>0</v>
      </c>
      <c r="S63" s="89"/>
      <c r="T63" s="100"/>
      <c r="U63" s="100"/>
      <c r="V63" s="100"/>
      <c r="W63" s="100"/>
      <c r="X63" s="100"/>
      <c r="Y63" s="83"/>
      <c r="Z63" s="304"/>
      <c r="AA63" s="304"/>
      <c r="AB63" s="304"/>
      <c r="AC63" s="304"/>
      <c r="AD63" s="304"/>
      <c r="AE63" s="304"/>
      <c r="AF63" s="304"/>
      <c r="AG63" s="304"/>
      <c r="AH63" s="304"/>
      <c r="AI63" s="304"/>
      <c r="AJ63" s="304"/>
      <c r="AK63" s="304"/>
      <c r="AL63" s="304"/>
      <c r="AM63" s="304"/>
      <c r="AN63" s="304"/>
      <c r="AO63" s="304"/>
      <c r="AP63" s="304"/>
      <c r="AQ63" s="304"/>
      <c r="AR63" s="304"/>
      <c r="AS63" s="304"/>
      <c r="AT63" s="304"/>
      <c r="AU63" s="304"/>
      <c r="AV63" s="304"/>
      <c r="AW63" s="304"/>
      <c r="AX63" s="304"/>
      <c r="AY63" s="304"/>
      <c r="AZ63" s="304"/>
      <c r="BA63" s="304"/>
      <c r="BB63" s="304"/>
      <c r="BC63" s="304"/>
      <c r="BD63" s="304"/>
      <c r="BE63" s="304"/>
      <c r="BF63" s="304"/>
      <c r="BG63" s="304"/>
      <c r="BH63" s="304"/>
      <c r="BI63" s="304"/>
      <c r="BJ63" s="304"/>
      <c r="BK63" s="304"/>
      <c r="BL63" s="304"/>
      <c r="BM63" s="304"/>
      <c r="BN63" s="304"/>
      <c r="BO63" s="304"/>
      <c r="BP63" s="304"/>
      <c r="BQ63" s="304"/>
      <c r="BR63" s="304"/>
      <c r="BS63" s="304"/>
      <c r="BT63" s="304"/>
      <c r="BU63" s="304"/>
      <c r="BV63" s="304"/>
      <c r="BW63" s="304"/>
      <c r="BX63" s="304"/>
      <c r="BY63" s="304"/>
      <c r="BZ63" s="304"/>
      <c r="CA63" s="304"/>
      <c r="CB63" s="304"/>
      <c r="CC63" s="304"/>
      <c r="CD63" s="304"/>
      <c r="CE63" s="304"/>
      <c r="CF63" s="304"/>
      <c r="CG63" s="304"/>
      <c r="CH63" s="304"/>
      <c r="CI63" s="304"/>
      <c r="CJ63" s="304"/>
      <c r="CK63" s="304"/>
      <c r="CL63" s="304"/>
      <c r="CM63" s="304"/>
      <c r="CN63" s="304"/>
      <c r="CO63" s="304"/>
      <c r="CP63" s="304"/>
    </row>
    <row r="64" spans="1:94" s="87" customFormat="1">
      <c r="A64" s="81"/>
      <c r="B64" s="83"/>
      <c r="C64" s="82"/>
      <c r="D64" s="102"/>
      <c r="E64" s="102"/>
      <c r="F64" s="102"/>
      <c r="G64" s="225"/>
      <c r="H64" s="218">
        <f t="shared" si="9"/>
        <v>0</v>
      </c>
      <c r="I64" s="218">
        <f t="shared" si="10"/>
        <v>0</v>
      </c>
      <c r="J64" s="218">
        <f t="shared" si="11"/>
        <v>0</v>
      </c>
      <c r="K64" s="102" t="str">
        <f t="shared" si="8"/>
        <v/>
      </c>
      <c r="L64" s="221"/>
      <c r="M64" s="325"/>
      <c r="N64" s="94"/>
      <c r="O64" s="326"/>
      <c r="P64" s="84"/>
      <c r="Q64" s="88"/>
      <c r="R64" s="102">
        <f t="shared" si="4"/>
        <v>0</v>
      </c>
      <c r="S64" s="89"/>
      <c r="T64" s="100"/>
      <c r="U64" s="100"/>
      <c r="V64" s="100"/>
      <c r="W64" s="100"/>
      <c r="X64" s="100"/>
      <c r="Y64" s="83"/>
      <c r="Z64" s="304"/>
      <c r="AA64" s="304"/>
      <c r="AB64" s="304"/>
      <c r="AC64" s="304"/>
      <c r="AD64" s="304"/>
      <c r="AE64" s="304"/>
      <c r="AF64" s="304"/>
      <c r="AG64" s="304"/>
      <c r="AH64" s="304"/>
      <c r="AI64" s="304"/>
      <c r="AJ64" s="304"/>
      <c r="AK64" s="304"/>
      <c r="AL64" s="304"/>
      <c r="AM64" s="304"/>
      <c r="AN64" s="304"/>
      <c r="AO64" s="304"/>
      <c r="AP64" s="304"/>
      <c r="AQ64" s="304"/>
      <c r="AR64" s="304"/>
      <c r="AS64" s="304"/>
      <c r="AT64" s="304"/>
      <c r="AU64" s="304"/>
      <c r="AV64" s="304"/>
      <c r="AW64" s="304"/>
      <c r="AX64" s="304"/>
      <c r="AY64" s="304"/>
      <c r="AZ64" s="304"/>
      <c r="BA64" s="304"/>
      <c r="BB64" s="304"/>
      <c r="BC64" s="304"/>
      <c r="BD64" s="304"/>
      <c r="BE64" s="304"/>
      <c r="BF64" s="304"/>
      <c r="BG64" s="304"/>
      <c r="BH64" s="304"/>
      <c r="BI64" s="304"/>
      <c r="BJ64" s="304"/>
      <c r="BK64" s="304"/>
      <c r="BL64" s="304"/>
      <c r="BM64" s="304"/>
      <c r="BN64" s="304"/>
      <c r="BO64" s="304"/>
      <c r="BP64" s="304"/>
      <c r="BQ64" s="304"/>
      <c r="BR64" s="304"/>
      <c r="BS64" s="304"/>
      <c r="BT64" s="304"/>
      <c r="BU64" s="304"/>
      <c r="BV64" s="304"/>
      <c r="BW64" s="304"/>
      <c r="BX64" s="304"/>
      <c r="BY64" s="304"/>
      <c r="BZ64" s="304"/>
      <c r="CA64" s="304"/>
      <c r="CB64" s="304"/>
      <c r="CC64" s="304"/>
      <c r="CD64" s="304"/>
      <c r="CE64" s="304"/>
      <c r="CF64" s="304"/>
      <c r="CG64" s="304"/>
      <c r="CH64" s="304"/>
      <c r="CI64" s="304"/>
      <c r="CJ64" s="304"/>
      <c r="CK64" s="304"/>
      <c r="CL64" s="304"/>
      <c r="CM64" s="304"/>
      <c r="CN64" s="304"/>
      <c r="CO64" s="304"/>
      <c r="CP64" s="304"/>
    </row>
    <row r="65" spans="1:94" s="87" customFormat="1">
      <c r="A65" s="81"/>
      <c r="B65" s="83"/>
      <c r="C65" s="82"/>
      <c r="D65" s="102"/>
      <c r="E65" s="102"/>
      <c r="F65" s="102"/>
      <c r="G65" s="225"/>
      <c r="H65" s="218">
        <f t="shared" si="9"/>
        <v>0</v>
      </c>
      <c r="I65" s="218">
        <f t="shared" si="10"/>
        <v>0</v>
      </c>
      <c r="J65" s="218">
        <f t="shared" si="11"/>
        <v>0</v>
      </c>
      <c r="K65" s="102" t="str">
        <f t="shared" si="8"/>
        <v/>
      </c>
      <c r="L65" s="221"/>
      <c r="M65" s="325"/>
      <c r="N65" s="94"/>
      <c r="O65" s="326"/>
      <c r="P65" s="84"/>
      <c r="Q65" s="88"/>
      <c r="R65" s="102">
        <f t="shared" si="4"/>
        <v>0</v>
      </c>
      <c r="S65" s="89"/>
      <c r="T65" s="100"/>
      <c r="U65" s="100"/>
      <c r="V65" s="100"/>
      <c r="W65" s="100"/>
      <c r="X65" s="100"/>
      <c r="Y65" s="83"/>
      <c r="Z65" s="304"/>
      <c r="AA65" s="304"/>
      <c r="AB65" s="304"/>
      <c r="AC65" s="304"/>
      <c r="AD65" s="304"/>
      <c r="AE65" s="304"/>
      <c r="AF65" s="304"/>
      <c r="AG65" s="304"/>
      <c r="AH65" s="304"/>
      <c r="AI65" s="304"/>
      <c r="AJ65" s="304"/>
      <c r="AK65" s="304"/>
      <c r="AL65" s="304"/>
      <c r="AM65" s="304"/>
      <c r="AN65" s="304"/>
      <c r="AO65" s="304"/>
      <c r="AP65" s="304"/>
      <c r="AQ65" s="304"/>
      <c r="AR65" s="304"/>
      <c r="AS65" s="304"/>
      <c r="AT65" s="304"/>
      <c r="AU65" s="304"/>
      <c r="AV65" s="304"/>
      <c r="AW65" s="304"/>
      <c r="AX65" s="304"/>
      <c r="AY65" s="304"/>
      <c r="AZ65" s="304"/>
      <c r="BA65" s="304"/>
      <c r="BB65" s="304"/>
      <c r="BC65" s="304"/>
      <c r="BD65" s="304"/>
      <c r="BE65" s="304"/>
      <c r="BF65" s="304"/>
      <c r="BG65" s="304"/>
      <c r="BH65" s="304"/>
      <c r="BI65" s="304"/>
      <c r="BJ65" s="304"/>
      <c r="BK65" s="304"/>
      <c r="BL65" s="304"/>
      <c r="BM65" s="304"/>
      <c r="BN65" s="304"/>
      <c r="BO65" s="304"/>
      <c r="BP65" s="304"/>
      <c r="BQ65" s="304"/>
      <c r="BR65" s="304"/>
      <c r="BS65" s="304"/>
      <c r="BT65" s="304"/>
      <c r="BU65" s="304"/>
      <c r="BV65" s="304"/>
      <c r="BW65" s="304"/>
      <c r="BX65" s="304"/>
      <c r="BY65" s="304"/>
      <c r="BZ65" s="304"/>
      <c r="CA65" s="304"/>
      <c r="CB65" s="304"/>
      <c r="CC65" s="304"/>
      <c r="CD65" s="304"/>
      <c r="CE65" s="304"/>
      <c r="CF65" s="304"/>
      <c r="CG65" s="304"/>
      <c r="CH65" s="304"/>
      <c r="CI65" s="304"/>
      <c r="CJ65" s="304"/>
      <c r="CK65" s="304"/>
      <c r="CL65" s="304"/>
      <c r="CM65" s="304"/>
      <c r="CN65" s="304"/>
      <c r="CO65" s="304"/>
      <c r="CP65" s="304"/>
    </row>
    <row r="66" spans="1:94" s="87" customFormat="1">
      <c r="A66" s="81"/>
      <c r="B66" s="83"/>
      <c r="C66" s="82"/>
      <c r="D66" s="102"/>
      <c r="E66" s="102"/>
      <c r="F66" s="102"/>
      <c r="G66" s="225"/>
      <c r="H66" s="218">
        <f t="shared" si="9"/>
        <v>0</v>
      </c>
      <c r="I66" s="218">
        <f t="shared" si="10"/>
        <v>0</v>
      </c>
      <c r="J66" s="218">
        <f t="shared" si="11"/>
        <v>0</v>
      </c>
      <c r="K66" s="102" t="str">
        <f t="shared" si="8"/>
        <v/>
      </c>
      <c r="L66" s="221"/>
      <c r="M66" s="325"/>
      <c r="N66" s="94"/>
      <c r="O66" s="326"/>
      <c r="P66" s="84"/>
      <c r="Q66" s="88"/>
      <c r="R66" s="102">
        <f t="shared" si="4"/>
        <v>0</v>
      </c>
      <c r="S66" s="89"/>
      <c r="T66" s="100"/>
      <c r="U66" s="100"/>
      <c r="V66" s="100"/>
      <c r="W66" s="100"/>
      <c r="X66" s="100"/>
      <c r="Y66" s="83"/>
      <c r="Z66" s="304"/>
      <c r="AA66" s="304"/>
      <c r="AB66" s="304"/>
      <c r="AC66" s="304"/>
      <c r="AD66" s="304"/>
      <c r="AE66" s="304"/>
      <c r="AF66" s="304"/>
      <c r="AG66" s="304"/>
      <c r="AH66" s="304"/>
      <c r="AI66" s="304"/>
      <c r="AJ66" s="304"/>
      <c r="AK66" s="304"/>
      <c r="AL66" s="304"/>
      <c r="AM66" s="304"/>
      <c r="AN66" s="304"/>
      <c r="AO66" s="304"/>
      <c r="AP66" s="304"/>
      <c r="AQ66" s="304"/>
      <c r="AR66" s="304"/>
      <c r="AS66" s="304"/>
      <c r="AT66" s="304"/>
      <c r="AU66" s="304"/>
      <c r="AV66" s="304"/>
      <c r="AW66" s="304"/>
      <c r="AX66" s="304"/>
      <c r="AY66" s="304"/>
      <c r="AZ66" s="304"/>
      <c r="BA66" s="304"/>
      <c r="BB66" s="304"/>
      <c r="BC66" s="304"/>
      <c r="BD66" s="304"/>
      <c r="BE66" s="304"/>
      <c r="BF66" s="304"/>
      <c r="BG66" s="304"/>
      <c r="BH66" s="304"/>
      <c r="BI66" s="304"/>
      <c r="BJ66" s="304"/>
      <c r="BK66" s="304"/>
      <c r="BL66" s="304"/>
      <c r="BM66" s="304"/>
      <c r="BN66" s="304"/>
      <c r="BO66" s="304"/>
      <c r="BP66" s="304"/>
      <c r="BQ66" s="304"/>
      <c r="BR66" s="304"/>
      <c r="BS66" s="304"/>
      <c r="BT66" s="304"/>
      <c r="BU66" s="304"/>
      <c r="BV66" s="304"/>
      <c r="BW66" s="304"/>
      <c r="BX66" s="304"/>
      <c r="BY66" s="304"/>
      <c r="BZ66" s="304"/>
      <c r="CA66" s="304"/>
      <c r="CB66" s="304"/>
      <c r="CC66" s="304"/>
      <c r="CD66" s="304"/>
      <c r="CE66" s="304"/>
      <c r="CF66" s="304"/>
      <c r="CG66" s="304"/>
      <c r="CH66" s="304"/>
      <c r="CI66" s="304"/>
      <c r="CJ66" s="304"/>
      <c r="CK66" s="304"/>
      <c r="CL66" s="304"/>
      <c r="CM66" s="304"/>
      <c r="CN66" s="304"/>
      <c r="CO66" s="304"/>
      <c r="CP66" s="304"/>
    </row>
    <row r="67" spans="1:94" s="87" customFormat="1">
      <c r="A67" s="81"/>
      <c r="B67" s="83"/>
      <c r="C67" s="82"/>
      <c r="D67" s="102"/>
      <c r="E67" s="102"/>
      <c r="F67" s="102"/>
      <c r="G67" s="225"/>
      <c r="H67" s="218">
        <f t="shared" si="9"/>
        <v>0</v>
      </c>
      <c r="I67" s="218">
        <f t="shared" si="10"/>
        <v>0</v>
      </c>
      <c r="J67" s="218">
        <f t="shared" si="11"/>
        <v>0</v>
      </c>
      <c r="K67" s="102" t="str">
        <f t="shared" si="8"/>
        <v/>
      </c>
      <c r="L67" s="221"/>
      <c r="M67" s="325"/>
      <c r="N67" s="94"/>
      <c r="O67" s="326"/>
      <c r="P67" s="84"/>
      <c r="Q67" s="88"/>
      <c r="R67" s="102">
        <f t="shared" si="4"/>
        <v>0</v>
      </c>
      <c r="S67" s="89"/>
      <c r="T67" s="100"/>
      <c r="U67" s="100"/>
      <c r="V67" s="100"/>
      <c r="W67" s="100"/>
      <c r="X67" s="100"/>
      <c r="Y67" s="83"/>
      <c r="Z67" s="304"/>
      <c r="AA67" s="304"/>
      <c r="AB67" s="304"/>
      <c r="AC67" s="304"/>
      <c r="AD67" s="304"/>
      <c r="AE67" s="304"/>
      <c r="AF67" s="304"/>
      <c r="AG67" s="304"/>
      <c r="AH67" s="304"/>
      <c r="AI67" s="304"/>
      <c r="AJ67" s="304"/>
      <c r="AK67" s="304"/>
      <c r="AL67" s="304"/>
      <c r="AM67" s="304"/>
      <c r="AN67" s="304"/>
      <c r="AO67" s="304"/>
      <c r="AP67" s="304"/>
      <c r="AQ67" s="304"/>
      <c r="AR67" s="304"/>
      <c r="AS67" s="304"/>
      <c r="AT67" s="304"/>
      <c r="AU67" s="304"/>
      <c r="AV67" s="304"/>
      <c r="AW67" s="304"/>
      <c r="AX67" s="304"/>
      <c r="AY67" s="304"/>
      <c r="AZ67" s="304"/>
      <c r="BA67" s="304"/>
      <c r="BB67" s="304"/>
      <c r="BC67" s="304"/>
      <c r="BD67" s="304"/>
      <c r="BE67" s="304"/>
      <c r="BF67" s="304"/>
      <c r="BG67" s="304"/>
      <c r="BH67" s="304"/>
      <c r="BI67" s="304"/>
      <c r="BJ67" s="304"/>
      <c r="BK67" s="304"/>
      <c r="BL67" s="304"/>
      <c r="BM67" s="304"/>
      <c r="BN67" s="304"/>
      <c r="BO67" s="304"/>
      <c r="BP67" s="304"/>
      <c r="BQ67" s="304"/>
      <c r="BR67" s="304"/>
      <c r="BS67" s="304"/>
      <c r="BT67" s="304"/>
      <c r="BU67" s="304"/>
      <c r="BV67" s="304"/>
      <c r="BW67" s="304"/>
      <c r="BX67" s="304"/>
      <c r="BY67" s="304"/>
      <c r="BZ67" s="304"/>
      <c r="CA67" s="304"/>
      <c r="CB67" s="304"/>
      <c r="CC67" s="304"/>
      <c r="CD67" s="304"/>
      <c r="CE67" s="304"/>
      <c r="CF67" s="304"/>
      <c r="CG67" s="304"/>
      <c r="CH67" s="304"/>
      <c r="CI67" s="304"/>
      <c r="CJ67" s="304"/>
      <c r="CK67" s="304"/>
      <c r="CL67" s="304"/>
      <c r="CM67" s="304"/>
      <c r="CN67" s="304"/>
      <c r="CO67" s="304"/>
      <c r="CP67" s="304"/>
    </row>
    <row r="68" spans="1:94" s="87" customFormat="1">
      <c r="A68" s="81"/>
      <c r="B68" s="83"/>
      <c r="C68" s="82"/>
      <c r="D68" s="102"/>
      <c r="E68" s="102"/>
      <c r="F68" s="102"/>
      <c r="G68" s="225"/>
      <c r="H68" s="218">
        <f t="shared" si="9"/>
        <v>0</v>
      </c>
      <c r="I68" s="218">
        <f t="shared" si="10"/>
        <v>0</v>
      </c>
      <c r="J68" s="218">
        <f t="shared" si="11"/>
        <v>0</v>
      </c>
      <c r="K68" s="102" t="str">
        <f t="shared" si="8"/>
        <v/>
      </c>
      <c r="L68" s="221"/>
      <c r="M68" s="325"/>
      <c r="N68" s="94"/>
      <c r="O68" s="326"/>
      <c r="P68" s="84"/>
      <c r="Q68" s="88"/>
      <c r="R68" s="102">
        <f t="shared" si="4"/>
        <v>0</v>
      </c>
      <c r="S68" s="89"/>
      <c r="T68" s="100"/>
      <c r="U68" s="100"/>
      <c r="V68" s="100"/>
      <c r="W68" s="100"/>
      <c r="X68" s="100"/>
      <c r="Y68" s="83"/>
      <c r="Z68" s="304"/>
      <c r="AA68" s="304"/>
      <c r="AB68" s="304"/>
      <c r="AC68" s="304"/>
      <c r="AD68" s="304"/>
      <c r="AE68" s="304"/>
      <c r="AF68" s="304"/>
      <c r="AG68" s="304"/>
      <c r="AH68" s="304"/>
      <c r="AI68" s="304"/>
      <c r="AJ68" s="304"/>
      <c r="AK68" s="304"/>
      <c r="AL68" s="304"/>
      <c r="AM68" s="304"/>
      <c r="AN68" s="304"/>
      <c r="AO68" s="304"/>
      <c r="AP68" s="304"/>
      <c r="AQ68" s="304"/>
      <c r="AR68" s="304"/>
      <c r="AS68" s="304"/>
      <c r="AT68" s="304"/>
      <c r="AU68" s="304"/>
      <c r="AV68" s="304"/>
      <c r="AW68" s="304"/>
      <c r="AX68" s="304"/>
      <c r="AY68" s="304"/>
      <c r="AZ68" s="304"/>
      <c r="BA68" s="304"/>
      <c r="BB68" s="304"/>
      <c r="BC68" s="304"/>
      <c r="BD68" s="304"/>
      <c r="BE68" s="304"/>
      <c r="BF68" s="304"/>
      <c r="BG68" s="304"/>
      <c r="BH68" s="304"/>
      <c r="BI68" s="304"/>
      <c r="BJ68" s="304"/>
      <c r="BK68" s="304"/>
      <c r="BL68" s="304"/>
      <c r="BM68" s="304"/>
      <c r="BN68" s="304"/>
      <c r="BO68" s="304"/>
      <c r="BP68" s="304"/>
      <c r="BQ68" s="304"/>
      <c r="BR68" s="304"/>
      <c r="BS68" s="304"/>
      <c r="BT68" s="304"/>
      <c r="BU68" s="304"/>
      <c r="BV68" s="304"/>
      <c r="BW68" s="304"/>
      <c r="BX68" s="304"/>
      <c r="BY68" s="304"/>
      <c r="BZ68" s="304"/>
      <c r="CA68" s="304"/>
      <c r="CB68" s="304"/>
      <c r="CC68" s="304"/>
      <c r="CD68" s="304"/>
      <c r="CE68" s="304"/>
      <c r="CF68" s="304"/>
      <c r="CG68" s="304"/>
      <c r="CH68" s="304"/>
      <c r="CI68" s="304"/>
      <c r="CJ68" s="304"/>
      <c r="CK68" s="304"/>
      <c r="CL68" s="304"/>
      <c r="CM68" s="304"/>
      <c r="CN68" s="304"/>
      <c r="CO68" s="304"/>
      <c r="CP68" s="304"/>
    </row>
    <row r="69" spans="1:94" s="87" customFormat="1">
      <c r="A69" s="81"/>
      <c r="B69" s="83"/>
      <c r="C69" s="82"/>
      <c r="D69" s="102"/>
      <c r="E69" s="102"/>
      <c r="F69" s="102"/>
      <c r="G69" s="225"/>
      <c r="H69" s="218">
        <f t="shared" si="9"/>
        <v>0</v>
      </c>
      <c r="I69" s="218">
        <f t="shared" si="10"/>
        <v>0</v>
      </c>
      <c r="J69" s="218">
        <f t="shared" si="11"/>
        <v>0</v>
      </c>
      <c r="K69" s="102" t="str">
        <f t="shared" si="8"/>
        <v/>
      </c>
      <c r="L69" s="221"/>
      <c r="M69" s="325"/>
      <c r="N69" s="94"/>
      <c r="O69" s="326"/>
      <c r="P69" s="84"/>
      <c r="Q69" s="88"/>
      <c r="R69" s="102">
        <f t="shared" ref="R69:R132" si="12">IFERROR(SUM(F69-D69),"NA")</f>
        <v>0</v>
      </c>
      <c r="S69" s="89"/>
      <c r="T69" s="100"/>
      <c r="U69" s="100"/>
      <c r="V69" s="100"/>
      <c r="W69" s="100"/>
      <c r="X69" s="100"/>
      <c r="Y69" s="83"/>
      <c r="Z69" s="304"/>
      <c r="AA69" s="304"/>
      <c r="AB69" s="304"/>
      <c r="AC69" s="304"/>
      <c r="AD69" s="304"/>
      <c r="AE69" s="304"/>
      <c r="AF69" s="304"/>
      <c r="AG69" s="304"/>
      <c r="AH69" s="304"/>
      <c r="AI69" s="304"/>
      <c r="AJ69" s="304"/>
      <c r="AK69" s="304"/>
      <c r="AL69" s="304"/>
      <c r="AM69" s="304"/>
      <c r="AN69" s="304"/>
      <c r="AO69" s="304"/>
      <c r="AP69" s="304"/>
      <c r="AQ69" s="304"/>
      <c r="AR69" s="304"/>
      <c r="AS69" s="304"/>
      <c r="AT69" s="304"/>
      <c r="AU69" s="304"/>
      <c r="AV69" s="304"/>
      <c r="AW69" s="304"/>
      <c r="AX69" s="304"/>
      <c r="AY69" s="304"/>
      <c r="AZ69" s="304"/>
      <c r="BA69" s="304"/>
      <c r="BB69" s="304"/>
      <c r="BC69" s="304"/>
      <c r="BD69" s="304"/>
      <c r="BE69" s="304"/>
      <c r="BF69" s="304"/>
      <c r="BG69" s="304"/>
      <c r="BH69" s="304"/>
      <c r="BI69" s="304"/>
      <c r="BJ69" s="304"/>
      <c r="BK69" s="304"/>
      <c r="BL69" s="304"/>
      <c r="BM69" s="304"/>
      <c r="BN69" s="304"/>
      <c r="BO69" s="304"/>
      <c r="BP69" s="304"/>
      <c r="BQ69" s="304"/>
      <c r="BR69" s="304"/>
      <c r="BS69" s="304"/>
      <c r="BT69" s="304"/>
      <c r="BU69" s="304"/>
      <c r="BV69" s="304"/>
      <c r="BW69" s="304"/>
      <c r="BX69" s="304"/>
      <c r="BY69" s="304"/>
      <c r="BZ69" s="304"/>
      <c r="CA69" s="304"/>
      <c r="CB69" s="304"/>
      <c r="CC69" s="304"/>
      <c r="CD69" s="304"/>
      <c r="CE69" s="304"/>
      <c r="CF69" s="304"/>
      <c r="CG69" s="304"/>
      <c r="CH69" s="304"/>
      <c r="CI69" s="304"/>
      <c r="CJ69" s="304"/>
      <c r="CK69" s="304"/>
      <c r="CL69" s="304"/>
      <c r="CM69" s="304"/>
      <c r="CN69" s="304"/>
      <c r="CO69" s="304"/>
      <c r="CP69" s="304"/>
    </row>
    <row r="70" spans="1:94" s="87" customFormat="1">
      <c r="A70" s="81"/>
      <c r="B70" s="83"/>
      <c r="C70" s="82"/>
      <c r="D70" s="102"/>
      <c r="E70" s="102"/>
      <c r="F70" s="102"/>
      <c r="G70" s="225"/>
      <c r="H70" s="218">
        <f t="shared" si="9"/>
        <v>0</v>
      </c>
      <c r="I70" s="218">
        <f t="shared" si="10"/>
        <v>0</v>
      </c>
      <c r="J70" s="218">
        <f t="shared" si="11"/>
        <v>0</v>
      </c>
      <c r="K70" s="102" t="str">
        <f t="shared" si="8"/>
        <v/>
      </c>
      <c r="L70" s="221"/>
      <c r="M70" s="325"/>
      <c r="N70" s="94"/>
      <c r="O70" s="326"/>
      <c r="P70" s="84"/>
      <c r="Q70" s="88"/>
      <c r="R70" s="102">
        <f t="shared" si="12"/>
        <v>0</v>
      </c>
      <c r="S70" s="89"/>
      <c r="T70" s="100"/>
      <c r="U70" s="100"/>
      <c r="V70" s="100"/>
      <c r="W70" s="100"/>
      <c r="X70" s="100"/>
      <c r="Y70" s="83"/>
      <c r="Z70" s="304"/>
      <c r="AA70" s="304"/>
      <c r="AB70" s="304"/>
      <c r="AC70" s="304"/>
      <c r="AD70" s="304"/>
      <c r="AE70" s="304"/>
      <c r="AF70" s="304"/>
      <c r="AG70" s="304"/>
      <c r="AH70" s="304"/>
      <c r="AI70" s="304"/>
      <c r="AJ70" s="304"/>
      <c r="AK70" s="304"/>
      <c r="AL70" s="304"/>
      <c r="AM70" s="304"/>
      <c r="AN70" s="304"/>
      <c r="AO70" s="304"/>
      <c r="AP70" s="304"/>
      <c r="AQ70" s="304"/>
      <c r="AR70" s="304"/>
      <c r="AS70" s="304"/>
      <c r="AT70" s="304"/>
      <c r="AU70" s="304"/>
      <c r="AV70" s="304"/>
      <c r="AW70" s="304"/>
      <c r="AX70" s="304"/>
      <c r="AY70" s="304"/>
      <c r="AZ70" s="304"/>
      <c r="BA70" s="304"/>
      <c r="BB70" s="304"/>
      <c r="BC70" s="304"/>
      <c r="BD70" s="304"/>
      <c r="BE70" s="304"/>
      <c r="BF70" s="304"/>
      <c r="BG70" s="304"/>
      <c r="BH70" s="304"/>
      <c r="BI70" s="304"/>
      <c r="BJ70" s="304"/>
      <c r="BK70" s="304"/>
      <c r="BL70" s="304"/>
      <c r="BM70" s="304"/>
      <c r="BN70" s="304"/>
      <c r="BO70" s="304"/>
      <c r="BP70" s="304"/>
      <c r="BQ70" s="304"/>
      <c r="BR70" s="304"/>
      <c r="BS70" s="304"/>
      <c r="BT70" s="304"/>
      <c r="BU70" s="304"/>
      <c r="BV70" s="304"/>
      <c r="BW70" s="304"/>
      <c r="BX70" s="304"/>
      <c r="BY70" s="304"/>
      <c r="BZ70" s="304"/>
      <c r="CA70" s="304"/>
      <c r="CB70" s="304"/>
      <c r="CC70" s="304"/>
      <c r="CD70" s="304"/>
      <c r="CE70" s="304"/>
      <c r="CF70" s="304"/>
      <c r="CG70" s="304"/>
      <c r="CH70" s="304"/>
      <c r="CI70" s="304"/>
      <c r="CJ70" s="304"/>
      <c r="CK70" s="304"/>
      <c r="CL70" s="304"/>
      <c r="CM70" s="304"/>
      <c r="CN70" s="304"/>
      <c r="CO70" s="304"/>
      <c r="CP70" s="304"/>
    </row>
    <row r="71" spans="1:94" s="87" customFormat="1">
      <c r="A71" s="81"/>
      <c r="B71" s="83"/>
      <c r="C71" s="82"/>
      <c r="D71" s="102"/>
      <c r="E71" s="102"/>
      <c r="F71" s="102"/>
      <c r="G71" s="225"/>
      <c r="H71" s="218">
        <f t="shared" si="9"/>
        <v>0</v>
      </c>
      <c r="I71" s="218">
        <f t="shared" si="10"/>
        <v>0</v>
      </c>
      <c r="J71" s="218">
        <f t="shared" si="11"/>
        <v>0</v>
      </c>
      <c r="K71" s="102" t="str">
        <f t="shared" si="8"/>
        <v/>
      </c>
      <c r="L71" s="221"/>
      <c r="M71" s="325"/>
      <c r="N71" s="94"/>
      <c r="O71" s="326"/>
      <c r="P71" s="84"/>
      <c r="Q71" s="88"/>
      <c r="R71" s="102">
        <f t="shared" si="12"/>
        <v>0</v>
      </c>
      <c r="S71" s="89"/>
      <c r="T71" s="100"/>
      <c r="U71" s="100"/>
      <c r="V71" s="100"/>
      <c r="W71" s="100"/>
      <c r="X71" s="100"/>
      <c r="Y71" s="83"/>
      <c r="Z71" s="304"/>
      <c r="AA71" s="304"/>
      <c r="AB71" s="304"/>
      <c r="AC71" s="304"/>
      <c r="AD71" s="304"/>
      <c r="AE71" s="304"/>
      <c r="AF71" s="304"/>
      <c r="AG71" s="304"/>
      <c r="AH71" s="304"/>
      <c r="AI71" s="304"/>
      <c r="AJ71" s="304"/>
      <c r="AK71" s="304"/>
      <c r="AL71" s="304"/>
      <c r="AM71" s="304"/>
      <c r="AN71" s="304"/>
      <c r="AO71" s="304"/>
      <c r="AP71" s="304"/>
      <c r="AQ71" s="304"/>
      <c r="AR71" s="304"/>
      <c r="AS71" s="304"/>
      <c r="AT71" s="304"/>
      <c r="AU71" s="304"/>
      <c r="AV71" s="304"/>
      <c r="AW71" s="304"/>
      <c r="AX71" s="304"/>
      <c r="AY71" s="304"/>
      <c r="AZ71" s="304"/>
      <c r="BA71" s="304"/>
      <c r="BB71" s="304"/>
      <c r="BC71" s="304"/>
      <c r="BD71" s="304"/>
      <c r="BE71" s="304"/>
      <c r="BF71" s="304"/>
      <c r="BG71" s="304"/>
      <c r="BH71" s="304"/>
      <c r="BI71" s="304"/>
      <c r="BJ71" s="304"/>
      <c r="BK71" s="304"/>
      <c r="BL71" s="304"/>
      <c r="BM71" s="304"/>
      <c r="BN71" s="304"/>
      <c r="BO71" s="304"/>
      <c r="BP71" s="304"/>
      <c r="BQ71" s="304"/>
      <c r="BR71" s="304"/>
      <c r="BS71" s="304"/>
      <c r="BT71" s="304"/>
      <c r="BU71" s="304"/>
      <c r="BV71" s="304"/>
      <c r="BW71" s="304"/>
      <c r="BX71" s="304"/>
      <c r="BY71" s="304"/>
      <c r="BZ71" s="304"/>
      <c r="CA71" s="304"/>
      <c r="CB71" s="304"/>
      <c r="CC71" s="304"/>
      <c r="CD71" s="304"/>
      <c r="CE71" s="304"/>
      <c r="CF71" s="304"/>
      <c r="CG71" s="304"/>
      <c r="CH71" s="304"/>
      <c r="CI71" s="304"/>
      <c r="CJ71" s="304"/>
      <c r="CK71" s="304"/>
      <c r="CL71" s="304"/>
      <c r="CM71" s="304"/>
      <c r="CN71" s="304"/>
      <c r="CO71" s="304"/>
      <c r="CP71" s="304"/>
    </row>
    <row r="72" spans="1:94" s="87" customFormat="1">
      <c r="A72" s="81"/>
      <c r="B72" s="83"/>
      <c r="C72" s="82"/>
      <c r="D72" s="102"/>
      <c r="E72" s="102"/>
      <c r="F72" s="102"/>
      <c r="G72" s="225"/>
      <c r="H72" s="218">
        <f t="shared" si="9"/>
        <v>0</v>
      </c>
      <c r="I72" s="218">
        <f t="shared" si="10"/>
        <v>0</v>
      </c>
      <c r="J72" s="218">
        <f t="shared" si="11"/>
        <v>0</v>
      </c>
      <c r="K72" s="102" t="str">
        <f t="shared" si="8"/>
        <v/>
      </c>
      <c r="L72" s="221"/>
      <c r="M72" s="325"/>
      <c r="N72" s="94"/>
      <c r="O72" s="326"/>
      <c r="P72" s="84"/>
      <c r="Q72" s="88"/>
      <c r="R72" s="102">
        <f t="shared" si="12"/>
        <v>0</v>
      </c>
      <c r="S72" s="89"/>
      <c r="T72" s="100"/>
      <c r="U72" s="100"/>
      <c r="V72" s="100"/>
      <c r="W72" s="100"/>
      <c r="X72" s="100"/>
      <c r="Y72" s="83"/>
      <c r="Z72" s="304"/>
      <c r="AA72" s="304"/>
      <c r="AB72" s="304"/>
      <c r="AC72" s="304"/>
      <c r="AD72" s="304"/>
      <c r="AE72" s="304"/>
      <c r="AF72" s="304"/>
      <c r="AG72" s="304"/>
      <c r="AH72" s="304"/>
      <c r="AI72" s="304"/>
      <c r="AJ72" s="304"/>
      <c r="AK72" s="304"/>
      <c r="AL72" s="304"/>
      <c r="AM72" s="304"/>
      <c r="AN72" s="304"/>
      <c r="AO72" s="304"/>
      <c r="AP72" s="304"/>
      <c r="AQ72" s="304"/>
      <c r="AR72" s="304"/>
      <c r="AS72" s="304"/>
      <c r="AT72" s="304"/>
      <c r="AU72" s="304"/>
      <c r="AV72" s="304"/>
      <c r="AW72" s="304"/>
      <c r="AX72" s="304"/>
      <c r="AY72" s="304"/>
      <c r="AZ72" s="304"/>
      <c r="BA72" s="304"/>
      <c r="BB72" s="304"/>
      <c r="BC72" s="304"/>
      <c r="BD72" s="304"/>
      <c r="BE72" s="304"/>
      <c r="BF72" s="304"/>
      <c r="BG72" s="304"/>
      <c r="BH72" s="304"/>
      <c r="BI72" s="304"/>
      <c r="BJ72" s="304"/>
      <c r="BK72" s="304"/>
      <c r="BL72" s="304"/>
      <c r="BM72" s="304"/>
      <c r="BN72" s="304"/>
      <c r="BO72" s="304"/>
      <c r="BP72" s="304"/>
      <c r="BQ72" s="304"/>
      <c r="BR72" s="304"/>
      <c r="BS72" s="304"/>
      <c r="BT72" s="304"/>
      <c r="BU72" s="304"/>
      <c r="BV72" s="304"/>
      <c r="BW72" s="304"/>
      <c r="BX72" s="304"/>
      <c r="BY72" s="304"/>
      <c r="BZ72" s="304"/>
      <c r="CA72" s="304"/>
      <c r="CB72" s="304"/>
      <c r="CC72" s="304"/>
      <c r="CD72" s="304"/>
      <c r="CE72" s="304"/>
      <c r="CF72" s="304"/>
      <c r="CG72" s="304"/>
      <c r="CH72" s="304"/>
      <c r="CI72" s="304"/>
      <c r="CJ72" s="304"/>
      <c r="CK72" s="304"/>
      <c r="CL72" s="304"/>
      <c r="CM72" s="304"/>
      <c r="CN72" s="304"/>
      <c r="CO72" s="304"/>
      <c r="CP72" s="304"/>
    </row>
    <row r="73" spans="1:94" s="87" customFormat="1">
      <c r="A73" s="81"/>
      <c r="B73" s="83"/>
      <c r="C73" s="82"/>
      <c r="D73" s="102"/>
      <c r="E73" s="102"/>
      <c r="F73" s="102"/>
      <c r="G73" s="225"/>
      <c r="H73" s="218">
        <f t="shared" si="9"/>
        <v>0</v>
      </c>
      <c r="I73" s="218">
        <f t="shared" si="10"/>
        <v>0</v>
      </c>
      <c r="J73" s="218">
        <f t="shared" si="11"/>
        <v>0</v>
      </c>
      <c r="K73" s="102" t="str">
        <f t="shared" si="8"/>
        <v/>
      </c>
      <c r="L73" s="221"/>
      <c r="M73" s="325"/>
      <c r="N73" s="94"/>
      <c r="O73" s="326"/>
      <c r="P73" s="84"/>
      <c r="Q73" s="88"/>
      <c r="R73" s="102">
        <f t="shared" si="12"/>
        <v>0</v>
      </c>
      <c r="S73" s="89"/>
      <c r="T73" s="100"/>
      <c r="U73" s="100"/>
      <c r="V73" s="100"/>
      <c r="W73" s="100"/>
      <c r="X73" s="100"/>
      <c r="Y73" s="83"/>
      <c r="Z73" s="304"/>
      <c r="AA73" s="304"/>
      <c r="AB73" s="304"/>
      <c r="AC73" s="304"/>
      <c r="AD73" s="304"/>
      <c r="AE73" s="304"/>
      <c r="AF73" s="304"/>
      <c r="AG73" s="304"/>
      <c r="AH73" s="304"/>
      <c r="AI73" s="304"/>
      <c r="AJ73" s="304"/>
      <c r="AK73" s="304"/>
      <c r="AL73" s="304"/>
      <c r="AM73" s="304"/>
      <c r="AN73" s="304"/>
      <c r="AO73" s="304"/>
      <c r="AP73" s="304"/>
      <c r="AQ73" s="304"/>
      <c r="AR73" s="304"/>
      <c r="AS73" s="304"/>
      <c r="AT73" s="304"/>
      <c r="AU73" s="304"/>
      <c r="AV73" s="304"/>
      <c r="AW73" s="304"/>
      <c r="AX73" s="304"/>
      <c r="AY73" s="304"/>
      <c r="AZ73" s="304"/>
      <c r="BA73" s="304"/>
      <c r="BB73" s="304"/>
      <c r="BC73" s="304"/>
      <c r="BD73" s="304"/>
      <c r="BE73" s="304"/>
      <c r="BF73" s="304"/>
      <c r="BG73" s="304"/>
      <c r="BH73" s="304"/>
      <c r="BI73" s="304"/>
      <c r="BJ73" s="304"/>
      <c r="BK73" s="304"/>
      <c r="BL73" s="304"/>
      <c r="BM73" s="304"/>
      <c r="BN73" s="304"/>
      <c r="BO73" s="304"/>
      <c r="BP73" s="304"/>
      <c r="BQ73" s="304"/>
      <c r="BR73" s="304"/>
      <c r="BS73" s="304"/>
      <c r="BT73" s="304"/>
      <c r="BU73" s="304"/>
      <c r="BV73" s="304"/>
      <c r="BW73" s="304"/>
      <c r="BX73" s="304"/>
      <c r="BY73" s="304"/>
      <c r="BZ73" s="304"/>
      <c r="CA73" s="304"/>
      <c r="CB73" s="304"/>
      <c r="CC73" s="304"/>
      <c r="CD73" s="304"/>
      <c r="CE73" s="304"/>
      <c r="CF73" s="304"/>
      <c r="CG73" s="304"/>
      <c r="CH73" s="304"/>
      <c r="CI73" s="304"/>
      <c r="CJ73" s="304"/>
      <c r="CK73" s="304"/>
      <c r="CL73" s="304"/>
      <c r="CM73" s="304"/>
      <c r="CN73" s="304"/>
      <c r="CO73" s="304"/>
      <c r="CP73" s="304"/>
    </row>
    <row r="74" spans="1:94" s="87" customFormat="1">
      <c r="A74" s="81"/>
      <c r="B74" s="83"/>
      <c r="C74" s="82"/>
      <c r="D74" s="102"/>
      <c r="E74" s="102"/>
      <c r="F74" s="102"/>
      <c r="G74" s="225"/>
      <c r="H74" s="218">
        <f t="shared" ref="H74:H137" si="13">IF($G74="Attribute","NA",D74)</f>
        <v>0</v>
      </c>
      <c r="I74" s="218">
        <f t="shared" ref="I74:I137" si="14">IF($G74="Attribute","NA",E74)</f>
        <v>0</v>
      </c>
      <c r="J74" s="218">
        <f t="shared" ref="J74:J137" si="15">IF($G74="Attribute","NA",F74)</f>
        <v>0</v>
      </c>
      <c r="K74" s="102" t="str">
        <f t="shared" ref="K74:K137" si="16">IF(RIGHT(IF(LEFT(SUBSTITUTE(SUBSTITUTE(IF(ISERROR(LEFT(SUBSTITUTE(SUBSTITUTE(C74,"(",""),")",""),1)*1),SUBSTITUTE(SUBSTITUTE(C74,"(",""),")",""),SUBSTITUTE(SUBSTITUTE(SUBSTITUTE(C74,"(",""),")",""),"_","",1)),"00",""),"_0","_"),1)="0",RIGHT(SUBSTITUTE(SUBSTITUTE(IF(ISERROR(LEFT(SUBSTITUTE(SUBSTITUTE(C74,"(",""),")",""),1)*1),SUBSTITUTE(SUBSTITUTE(C74,"(",""),")",""),SUBSTITUTE(SUBSTITUTE(SUBSTITUTE(C74,"(",""),")",""),"_","",1)),"00",""),"_0","_"),LEN(SUBSTITUTE(SUBSTITUTE(IF(ISERROR(LEFT(SUBSTITUTE(SUBSTITUTE(C74,"(",""),")",""),1)*1),SUBSTITUTE(SUBSTITUTE(C74,"(",""),")",""),SUBSTITUTE(SUBSTITUTE(SUBSTITUTE(C74,"(",""),")",""),"_","",1)),"00",""),"_0","_"))-1),SUBSTITUTE(SUBSTITUTE(IF(ISERROR(LEFT(SUBSTITUTE(SUBSTITUTE(C74,"(",""),")",""),1)*1),SUBSTITUTE(SUBSTITUTE(C74,"(",""),")",""),SUBSTITUTE(SUBSTITUTE(SUBSTITUTE(C74,"(",""),")",""),"_","",1)),"00",""),"_0","_")),1)="_",LEFT(IF(LEFT(SUBSTITUTE(SUBSTITUTE(IF(ISERROR(LEFT(SUBSTITUTE(SUBSTITUTE(C74,"(",""),")",""),1)*1),SUBSTITUTE(SUBSTITUTE(C74,"(",""),")",""),SUBSTITUTE(SUBSTITUTE(SUBSTITUTE(C74,"(",""),")",""),"_","",1)),"00",""),"_0","_"),1)="0",RIGHT(SUBSTITUTE(SUBSTITUTE(IF(ISERROR(LEFT(SUBSTITUTE(SUBSTITUTE(C74,"(",""),")",""),1)*1),SUBSTITUTE(SUBSTITUTE(C74,"(",""),")",""),SUBSTITUTE(SUBSTITUTE(SUBSTITUTE(C74,"(",""),")",""),"_","",1)),"00",""),"_0","_"),LEN(SUBSTITUTE(SUBSTITUTE(IF(ISERROR(LEFT(SUBSTITUTE(SUBSTITUTE(C74,"(",""),")",""),1)*1),SUBSTITUTE(SUBSTITUTE(C74,"(",""),")",""),SUBSTITUTE(SUBSTITUTE(SUBSTITUTE(C74,"(",""),")",""),"_","",1)),"00",""),"_0","_"))-1),SUBSTITUTE(SUBSTITUTE(IF(ISERROR(LEFT(SUBSTITUTE(SUBSTITUTE(C74,"(",""),")",""),1)*1),SUBSTITUTE(SUBSTITUTE(C74,"(",""),")",""),SUBSTITUTE(SUBSTITUTE(SUBSTITUTE(C74,"(",""),")",""),"_","",1)),"00",""),"_0","_")),LEN(IF(LEFT(SUBSTITUTE(SUBSTITUTE(IF(ISERROR(LEFT(SUBSTITUTE(SUBSTITUTE(C74,"(",""),")",""),1)*1),SUBSTITUTE(SUBSTITUTE(C74,"(",""),")",""),SUBSTITUTE(SUBSTITUTE(SUBSTITUTE(C74,"(",""),")",""),"_","",1)),"00",""),"_0","_"),1)="0",RIGHT(SUBSTITUTE(SUBSTITUTE(IF(ISERROR(LEFT(SUBSTITUTE(SUBSTITUTE(C74,"(",""),")",""),1)*1),SUBSTITUTE(SUBSTITUTE(C74,"(",""),")",""),SUBSTITUTE(SUBSTITUTE(SUBSTITUTE(C74,"(",""),")",""),"_","",1)),"00",""),"_0","_"),LEN(SUBSTITUTE(SUBSTITUTE(IF(ISERROR(LEFT(SUBSTITUTE(SUBSTITUTE(C74,"(",""),")",""),1)*1),SUBSTITUTE(SUBSTITUTE(C74,"(",""),")",""),SUBSTITUTE(SUBSTITUTE(SUBSTITUTE(C74,"(",""),")",""),"_","",1)),"00",""),"_0","_"))-1),SUBSTITUTE(SUBSTITUTE(IF(ISERROR(LEFT(SUBSTITUTE(SUBSTITUTE(C74,"(",""),")",""),1)*1),SUBSTITUTE(SUBSTITUTE(C74,"(",""),")",""),SUBSTITUTE(SUBSTITUTE(SUBSTITUTE(C74,"(",""),")",""),"_","",1)),"00",""),"_0","_")))-1),IF(LEFT(SUBSTITUTE(SUBSTITUTE(IF(ISERROR(LEFT(SUBSTITUTE(SUBSTITUTE(C74,"(",""),")",""),1)*1),SUBSTITUTE(SUBSTITUTE(C74,"(",""),")",""),SUBSTITUTE(SUBSTITUTE(SUBSTITUTE(C74,"(",""),")",""),"_","",1)),"00",""),"_0","_"),1)="0",RIGHT(SUBSTITUTE(SUBSTITUTE(IF(ISERROR(LEFT(SUBSTITUTE(SUBSTITUTE(C74,"(",""),")",""),1)*1),SUBSTITUTE(SUBSTITUTE(C74,"(",""),")",""),SUBSTITUTE(SUBSTITUTE(SUBSTITUTE(C74,"(",""),")",""),"_","",1)),"00",""),"_0","_"),LEN(SUBSTITUTE(SUBSTITUTE(IF(ISERROR(LEFT(SUBSTITUTE(SUBSTITUTE(C74,"(",""),")",""),1)*1),SUBSTITUTE(SUBSTITUTE(C74,"(",""),")",""),SUBSTITUTE(SUBSTITUTE(SUBSTITUTE(C74,"(",""),")",""),"_","",1)),"00",""),"_0","_"))-1),SUBSTITUTE(SUBSTITUTE(IF(ISERROR(LEFT(SUBSTITUTE(SUBSTITUTE(C74,"(",""),")",""),1)*1),SUBSTITUTE(SUBSTITUTE(C74,"(",""),")",""),SUBSTITUTE(SUBSTITUTE(SUBSTITUTE(C74,"(",""),")",""),"_","",1)),"00",""),"_0","_")))</f>
        <v/>
      </c>
      <c r="L74" s="221"/>
      <c r="M74" s="325"/>
      <c r="N74" s="94"/>
      <c r="O74" s="326"/>
      <c r="P74" s="84"/>
      <c r="Q74" s="88"/>
      <c r="R74" s="102">
        <f t="shared" si="12"/>
        <v>0</v>
      </c>
      <c r="S74" s="89"/>
      <c r="T74" s="100"/>
      <c r="U74" s="100"/>
      <c r="V74" s="100"/>
      <c r="W74" s="100"/>
      <c r="X74" s="100"/>
      <c r="Y74" s="83"/>
      <c r="Z74" s="304"/>
      <c r="AA74" s="304"/>
      <c r="AB74" s="304"/>
      <c r="AC74" s="304"/>
      <c r="AD74" s="304"/>
      <c r="AE74" s="304"/>
      <c r="AF74" s="304"/>
      <c r="AG74" s="304"/>
      <c r="AH74" s="304"/>
      <c r="AI74" s="304"/>
      <c r="AJ74" s="304"/>
      <c r="AK74" s="304"/>
      <c r="AL74" s="304"/>
      <c r="AM74" s="304"/>
      <c r="AN74" s="304"/>
      <c r="AO74" s="304"/>
      <c r="AP74" s="304"/>
      <c r="AQ74" s="304"/>
      <c r="AR74" s="304"/>
      <c r="AS74" s="304"/>
      <c r="AT74" s="304"/>
      <c r="AU74" s="304"/>
      <c r="AV74" s="304"/>
      <c r="AW74" s="304"/>
      <c r="AX74" s="304"/>
      <c r="AY74" s="304"/>
      <c r="AZ74" s="304"/>
      <c r="BA74" s="304"/>
      <c r="BB74" s="304"/>
      <c r="BC74" s="304"/>
      <c r="BD74" s="304"/>
      <c r="BE74" s="304"/>
      <c r="BF74" s="304"/>
      <c r="BG74" s="304"/>
      <c r="BH74" s="304"/>
      <c r="BI74" s="304"/>
      <c r="BJ74" s="304"/>
      <c r="BK74" s="304"/>
      <c r="BL74" s="304"/>
      <c r="BM74" s="304"/>
      <c r="BN74" s="304"/>
      <c r="BO74" s="304"/>
      <c r="BP74" s="304"/>
      <c r="BQ74" s="304"/>
      <c r="BR74" s="304"/>
      <c r="BS74" s="304"/>
      <c r="BT74" s="304"/>
      <c r="BU74" s="304"/>
      <c r="BV74" s="304"/>
      <c r="BW74" s="304"/>
      <c r="BX74" s="304"/>
      <c r="BY74" s="304"/>
      <c r="BZ74" s="304"/>
      <c r="CA74" s="304"/>
      <c r="CB74" s="304"/>
      <c r="CC74" s="304"/>
      <c r="CD74" s="304"/>
      <c r="CE74" s="304"/>
      <c r="CF74" s="304"/>
      <c r="CG74" s="304"/>
      <c r="CH74" s="304"/>
      <c r="CI74" s="304"/>
      <c r="CJ74" s="304"/>
      <c r="CK74" s="304"/>
      <c r="CL74" s="304"/>
      <c r="CM74" s="304"/>
      <c r="CN74" s="304"/>
      <c r="CO74" s="304"/>
      <c r="CP74" s="304"/>
    </row>
    <row r="75" spans="1:94" s="87" customFormat="1">
      <c r="A75" s="81"/>
      <c r="B75" s="83"/>
      <c r="C75" s="82"/>
      <c r="D75" s="102"/>
      <c r="E75" s="102"/>
      <c r="F75" s="102"/>
      <c r="G75" s="225"/>
      <c r="H75" s="218">
        <f t="shared" si="13"/>
        <v>0</v>
      </c>
      <c r="I75" s="218">
        <f t="shared" si="14"/>
        <v>0</v>
      </c>
      <c r="J75" s="218">
        <f t="shared" si="15"/>
        <v>0</v>
      </c>
      <c r="K75" s="102" t="str">
        <f t="shared" si="16"/>
        <v/>
      </c>
      <c r="L75" s="221"/>
      <c r="M75" s="325"/>
      <c r="N75" s="94"/>
      <c r="O75" s="326"/>
      <c r="P75" s="84"/>
      <c r="Q75" s="88"/>
      <c r="R75" s="102">
        <f t="shared" si="12"/>
        <v>0</v>
      </c>
      <c r="S75" s="89"/>
      <c r="T75" s="100"/>
      <c r="U75" s="100"/>
      <c r="V75" s="100"/>
      <c r="W75" s="100"/>
      <c r="X75" s="100"/>
      <c r="Y75" s="83"/>
      <c r="Z75" s="304"/>
      <c r="AA75" s="304"/>
      <c r="AB75" s="304"/>
      <c r="AC75" s="304"/>
      <c r="AD75" s="304"/>
      <c r="AE75" s="304"/>
      <c r="AF75" s="304"/>
      <c r="AG75" s="304"/>
      <c r="AH75" s="304"/>
      <c r="AI75" s="304"/>
      <c r="AJ75" s="304"/>
      <c r="AK75" s="304"/>
      <c r="AL75" s="304"/>
      <c r="AM75" s="304"/>
      <c r="AN75" s="304"/>
      <c r="AO75" s="304"/>
      <c r="AP75" s="304"/>
      <c r="AQ75" s="304"/>
      <c r="AR75" s="304"/>
      <c r="AS75" s="304"/>
      <c r="AT75" s="304"/>
      <c r="AU75" s="304"/>
      <c r="AV75" s="304"/>
      <c r="AW75" s="304"/>
      <c r="AX75" s="304"/>
      <c r="AY75" s="304"/>
      <c r="AZ75" s="304"/>
      <c r="BA75" s="304"/>
      <c r="BB75" s="304"/>
      <c r="BC75" s="304"/>
      <c r="BD75" s="304"/>
      <c r="BE75" s="304"/>
      <c r="BF75" s="304"/>
      <c r="BG75" s="304"/>
      <c r="BH75" s="304"/>
      <c r="BI75" s="304"/>
      <c r="BJ75" s="304"/>
      <c r="BK75" s="304"/>
      <c r="BL75" s="304"/>
      <c r="BM75" s="304"/>
      <c r="BN75" s="304"/>
      <c r="BO75" s="304"/>
      <c r="BP75" s="304"/>
      <c r="BQ75" s="304"/>
      <c r="BR75" s="304"/>
      <c r="BS75" s="304"/>
      <c r="BT75" s="304"/>
      <c r="BU75" s="304"/>
      <c r="BV75" s="304"/>
      <c r="BW75" s="304"/>
      <c r="BX75" s="304"/>
      <c r="BY75" s="304"/>
      <c r="BZ75" s="304"/>
      <c r="CA75" s="304"/>
      <c r="CB75" s="304"/>
      <c r="CC75" s="304"/>
      <c r="CD75" s="304"/>
      <c r="CE75" s="304"/>
      <c r="CF75" s="304"/>
      <c r="CG75" s="304"/>
      <c r="CH75" s="304"/>
      <c r="CI75" s="304"/>
      <c r="CJ75" s="304"/>
      <c r="CK75" s="304"/>
      <c r="CL75" s="304"/>
      <c r="CM75" s="304"/>
      <c r="CN75" s="304"/>
      <c r="CO75" s="304"/>
      <c r="CP75" s="304"/>
    </row>
    <row r="76" spans="1:94" s="87" customFormat="1">
      <c r="A76" s="81"/>
      <c r="B76" s="83"/>
      <c r="C76" s="82"/>
      <c r="D76" s="102"/>
      <c r="E76" s="102"/>
      <c r="F76" s="102"/>
      <c r="G76" s="225"/>
      <c r="H76" s="218">
        <f t="shared" si="13"/>
        <v>0</v>
      </c>
      <c r="I76" s="218">
        <f t="shared" si="14"/>
        <v>0</v>
      </c>
      <c r="J76" s="218">
        <f t="shared" si="15"/>
        <v>0</v>
      </c>
      <c r="K76" s="102" t="str">
        <f t="shared" si="16"/>
        <v/>
      </c>
      <c r="L76" s="221"/>
      <c r="M76" s="325"/>
      <c r="N76" s="94"/>
      <c r="O76" s="326"/>
      <c r="P76" s="84"/>
      <c r="Q76" s="88"/>
      <c r="R76" s="102">
        <f t="shared" si="12"/>
        <v>0</v>
      </c>
      <c r="S76" s="89"/>
      <c r="T76" s="100"/>
      <c r="U76" s="100"/>
      <c r="V76" s="100"/>
      <c r="W76" s="100"/>
      <c r="X76" s="100"/>
      <c r="Y76" s="83"/>
      <c r="Z76" s="304"/>
      <c r="AA76" s="304"/>
      <c r="AB76" s="304"/>
      <c r="AC76" s="304"/>
      <c r="AD76" s="304"/>
      <c r="AE76" s="304"/>
      <c r="AF76" s="304"/>
      <c r="AG76" s="304"/>
      <c r="AH76" s="304"/>
      <c r="AI76" s="304"/>
      <c r="AJ76" s="304"/>
      <c r="AK76" s="304"/>
      <c r="AL76" s="304"/>
      <c r="AM76" s="304"/>
      <c r="AN76" s="304"/>
      <c r="AO76" s="304"/>
      <c r="AP76" s="304"/>
      <c r="AQ76" s="304"/>
      <c r="AR76" s="304"/>
      <c r="AS76" s="304"/>
      <c r="AT76" s="304"/>
      <c r="AU76" s="304"/>
      <c r="AV76" s="304"/>
      <c r="AW76" s="304"/>
      <c r="AX76" s="304"/>
      <c r="AY76" s="304"/>
      <c r="AZ76" s="304"/>
      <c r="BA76" s="304"/>
      <c r="BB76" s="304"/>
      <c r="BC76" s="304"/>
      <c r="BD76" s="304"/>
      <c r="BE76" s="304"/>
      <c r="BF76" s="304"/>
      <c r="BG76" s="304"/>
      <c r="BH76" s="304"/>
      <c r="BI76" s="304"/>
      <c r="BJ76" s="304"/>
      <c r="BK76" s="304"/>
      <c r="BL76" s="304"/>
      <c r="BM76" s="304"/>
      <c r="BN76" s="304"/>
      <c r="BO76" s="304"/>
      <c r="BP76" s="304"/>
      <c r="BQ76" s="304"/>
      <c r="BR76" s="304"/>
      <c r="BS76" s="304"/>
      <c r="BT76" s="304"/>
      <c r="BU76" s="304"/>
      <c r="BV76" s="304"/>
      <c r="BW76" s="304"/>
      <c r="BX76" s="304"/>
      <c r="BY76" s="304"/>
      <c r="BZ76" s="304"/>
      <c r="CA76" s="304"/>
      <c r="CB76" s="304"/>
      <c r="CC76" s="304"/>
      <c r="CD76" s="304"/>
      <c r="CE76" s="304"/>
      <c r="CF76" s="304"/>
      <c r="CG76" s="304"/>
      <c r="CH76" s="304"/>
      <c r="CI76" s="304"/>
      <c r="CJ76" s="304"/>
      <c r="CK76" s="304"/>
      <c r="CL76" s="304"/>
      <c r="CM76" s="304"/>
      <c r="CN76" s="304"/>
      <c r="CO76" s="304"/>
      <c r="CP76" s="304"/>
    </row>
    <row r="77" spans="1:94" s="87" customFormat="1">
      <c r="A77" s="81"/>
      <c r="B77" s="83"/>
      <c r="C77" s="82"/>
      <c r="D77" s="102"/>
      <c r="E77" s="102"/>
      <c r="F77" s="102"/>
      <c r="G77" s="225"/>
      <c r="H77" s="218">
        <f t="shared" si="13"/>
        <v>0</v>
      </c>
      <c r="I77" s="218">
        <f t="shared" si="14"/>
        <v>0</v>
      </c>
      <c r="J77" s="218">
        <f t="shared" si="15"/>
        <v>0</v>
      </c>
      <c r="K77" s="102" t="str">
        <f t="shared" si="16"/>
        <v/>
      </c>
      <c r="L77" s="221"/>
      <c r="M77" s="325"/>
      <c r="N77" s="94"/>
      <c r="O77" s="326"/>
      <c r="P77" s="84"/>
      <c r="Q77" s="88"/>
      <c r="R77" s="102">
        <f t="shared" si="12"/>
        <v>0</v>
      </c>
      <c r="S77" s="89"/>
      <c r="T77" s="100"/>
      <c r="U77" s="100"/>
      <c r="V77" s="100"/>
      <c r="W77" s="100"/>
      <c r="X77" s="100"/>
      <c r="Y77" s="83"/>
      <c r="Z77" s="304"/>
      <c r="AA77" s="304"/>
      <c r="AB77" s="304"/>
      <c r="AC77" s="304"/>
      <c r="AD77" s="304"/>
      <c r="AE77" s="304"/>
      <c r="AF77" s="304"/>
      <c r="AG77" s="304"/>
      <c r="AH77" s="304"/>
      <c r="AI77" s="304"/>
      <c r="AJ77" s="304"/>
      <c r="AK77" s="304"/>
      <c r="AL77" s="304"/>
      <c r="AM77" s="304"/>
      <c r="AN77" s="304"/>
      <c r="AO77" s="304"/>
      <c r="AP77" s="304"/>
      <c r="AQ77" s="304"/>
      <c r="AR77" s="304"/>
      <c r="AS77" s="304"/>
      <c r="AT77" s="304"/>
      <c r="AU77" s="304"/>
      <c r="AV77" s="304"/>
      <c r="AW77" s="304"/>
      <c r="AX77" s="304"/>
      <c r="AY77" s="304"/>
      <c r="AZ77" s="304"/>
      <c r="BA77" s="304"/>
      <c r="BB77" s="304"/>
      <c r="BC77" s="304"/>
      <c r="BD77" s="304"/>
      <c r="BE77" s="304"/>
      <c r="BF77" s="304"/>
      <c r="BG77" s="304"/>
      <c r="BH77" s="304"/>
      <c r="BI77" s="304"/>
      <c r="BJ77" s="304"/>
      <c r="BK77" s="304"/>
      <c r="BL77" s="304"/>
      <c r="BM77" s="304"/>
      <c r="BN77" s="304"/>
      <c r="BO77" s="304"/>
      <c r="BP77" s="304"/>
      <c r="BQ77" s="304"/>
      <c r="BR77" s="304"/>
      <c r="BS77" s="304"/>
      <c r="BT77" s="304"/>
      <c r="BU77" s="304"/>
      <c r="BV77" s="304"/>
      <c r="BW77" s="304"/>
      <c r="BX77" s="304"/>
      <c r="BY77" s="304"/>
      <c r="BZ77" s="304"/>
      <c r="CA77" s="304"/>
      <c r="CB77" s="304"/>
      <c r="CC77" s="304"/>
      <c r="CD77" s="304"/>
      <c r="CE77" s="304"/>
      <c r="CF77" s="304"/>
      <c r="CG77" s="304"/>
      <c r="CH77" s="304"/>
      <c r="CI77" s="304"/>
      <c r="CJ77" s="304"/>
      <c r="CK77" s="304"/>
      <c r="CL77" s="304"/>
      <c r="CM77" s="304"/>
      <c r="CN77" s="304"/>
      <c r="CO77" s="304"/>
      <c r="CP77" s="304"/>
    </row>
    <row r="78" spans="1:94" s="87" customFormat="1">
      <c r="A78" s="81"/>
      <c r="B78" s="83"/>
      <c r="C78" s="82"/>
      <c r="D78" s="102"/>
      <c r="E78" s="102"/>
      <c r="F78" s="102"/>
      <c r="G78" s="225"/>
      <c r="H78" s="218">
        <f t="shared" si="13"/>
        <v>0</v>
      </c>
      <c r="I78" s="218">
        <f t="shared" si="14"/>
        <v>0</v>
      </c>
      <c r="J78" s="218">
        <f t="shared" si="15"/>
        <v>0</v>
      </c>
      <c r="K78" s="102" t="str">
        <f t="shared" si="16"/>
        <v/>
      </c>
      <c r="L78" s="221"/>
      <c r="M78" s="325"/>
      <c r="N78" s="94"/>
      <c r="O78" s="326"/>
      <c r="P78" s="84"/>
      <c r="Q78" s="88"/>
      <c r="R78" s="102">
        <f t="shared" si="12"/>
        <v>0</v>
      </c>
      <c r="S78" s="89"/>
      <c r="T78" s="100"/>
      <c r="U78" s="100"/>
      <c r="V78" s="100"/>
      <c r="W78" s="100"/>
      <c r="X78" s="100"/>
      <c r="Y78" s="83"/>
      <c r="Z78" s="304"/>
      <c r="AA78" s="304"/>
      <c r="AB78" s="304"/>
      <c r="AC78" s="304"/>
      <c r="AD78" s="304"/>
      <c r="AE78" s="304"/>
      <c r="AF78" s="304"/>
      <c r="AG78" s="304"/>
      <c r="AH78" s="304"/>
      <c r="AI78" s="304"/>
      <c r="AJ78" s="304"/>
      <c r="AK78" s="304"/>
      <c r="AL78" s="304"/>
      <c r="AM78" s="304"/>
      <c r="AN78" s="304"/>
      <c r="AO78" s="304"/>
      <c r="AP78" s="304"/>
      <c r="AQ78" s="304"/>
      <c r="AR78" s="304"/>
      <c r="AS78" s="304"/>
      <c r="AT78" s="304"/>
      <c r="AU78" s="304"/>
      <c r="AV78" s="304"/>
      <c r="AW78" s="304"/>
      <c r="AX78" s="304"/>
      <c r="AY78" s="304"/>
      <c r="AZ78" s="304"/>
      <c r="BA78" s="304"/>
      <c r="BB78" s="304"/>
      <c r="BC78" s="304"/>
      <c r="BD78" s="304"/>
      <c r="BE78" s="304"/>
      <c r="BF78" s="304"/>
      <c r="BG78" s="304"/>
      <c r="BH78" s="304"/>
      <c r="BI78" s="304"/>
      <c r="BJ78" s="304"/>
      <c r="BK78" s="304"/>
      <c r="BL78" s="304"/>
      <c r="BM78" s="304"/>
      <c r="BN78" s="304"/>
      <c r="BO78" s="304"/>
      <c r="BP78" s="304"/>
      <c r="BQ78" s="304"/>
      <c r="BR78" s="304"/>
      <c r="BS78" s="304"/>
      <c r="BT78" s="304"/>
      <c r="BU78" s="304"/>
      <c r="BV78" s="304"/>
      <c r="BW78" s="304"/>
      <c r="BX78" s="304"/>
      <c r="BY78" s="304"/>
      <c r="BZ78" s="304"/>
      <c r="CA78" s="304"/>
      <c r="CB78" s="304"/>
      <c r="CC78" s="304"/>
      <c r="CD78" s="304"/>
      <c r="CE78" s="304"/>
      <c r="CF78" s="304"/>
      <c r="CG78" s="304"/>
      <c r="CH78" s="304"/>
      <c r="CI78" s="304"/>
      <c r="CJ78" s="304"/>
      <c r="CK78" s="304"/>
      <c r="CL78" s="304"/>
      <c r="CM78" s="304"/>
      <c r="CN78" s="304"/>
      <c r="CO78" s="304"/>
      <c r="CP78" s="304"/>
    </row>
    <row r="79" spans="1:94" s="87" customFormat="1">
      <c r="A79" s="81"/>
      <c r="B79" s="83"/>
      <c r="C79" s="82"/>
      <c r="D79" s="102"/>
      <c r="E79" s="102"/>
      <c r="F79" s="102"/>
      <c r="G79" s="225"/>
      <c r="H79" s="218">
        <f t="shared" si="13"/>
        <v>0</v>
      </c>
      <c r="I79" s="218">
        <f t="shared" si="14"/>
        <v>0</v>
      </c>
      <c r="J79" s="218">
        <f t="shared" si="15"/>
        <v>0</v>
      </c>
      <c r="K79" s="102" t="str">
        <f t="shared" si="16"/>
        <v/>
      </c>
      <c r="L79" s="221"/>
      <c r="M79" s="325"/>
      <c r="N79" s="94"/>
      <c r="O79" s="326"/>
      <c r="P79" s="84"/>
      <c r="Q79" s="88"/>
      <c r="R79" s="102">
        <f t="shared" si="12"/>
        <v>0</v>
      </c>
      <c r="S79" s="89"/>
      <c r="T79" s="100"/>
      <c r="U79" s="100"/>
      <c r="V79" s="100"/>
      <c r="W79" s="100"/>
      <c r="X79" s="100"/>
      <c r="Y79" s="83"/>
      <c r="Z79" s="304"/>
      <c r="AA79" s="304"/>
      <c r="AB79" s="304"/>
      <c r="AC79" s="304"/>
      <c r="AD79" s="304"/>
      <c r="AE79" s="304"/>
      <c r="AF79" s="304"/>
      <c r="AG79" s="304"/>
      <c r="AH79" s="304"/>
      <c r="AI79" s="304"/>
      <c r="AJ79" s="304"/>
      <c r="AK79" s="304"/>
      <c r="AL79" s="304"/>
      <c r="AM79" s="304"/>
      <c r="AN79" s="304"/>
      <c r="AO79" s="304"/>
      <c r="AP79" s="304"/>
      <c r="AQ79" s="304"/>
      <c r="AR79" s="304"/>
      <c r="AS79" s="304"/>
      <c r="AT79" s="304"/>
      <c r="AU79" s="304"/>
      <c r="AV79" s="304"/>
      <c r="AW79" s="304"/>
      <c r="AX79" s="304"/>
      <c r="AY79" s="304"/>
      <c r="AZ79" s="304"/>
      <c r="BA79" s="304"/>
      <c r="BB79" s="304"/>
      <c r="BC79" s="304"/>
      <c r="BD79" s="304"/>
      <c r="BE79" s="304"/>
      <c r="BF79" s="304"/>
      <c r="BG79" s="304"/>
      <c r="BH79" s="304"/>
      <c r="BI79" s="304"/>
      <c r="BJ79" s="304"/>
      <c r="BK79" s="304"/>
      <c r="BL79" s="304"/>
      <c r="BM79" s="304"/>
      <c r="BN79" s="304"/>
      <c r="BO79" s="304"/>
      <c r="BP79" s="304"/>
      <c r="BQ79" s="304"/>
      <c r="BR79" s="304"/>
      <c r="BS79" s="304"/>
      <c r="BT79" s="304"/>
      <c r="BU79" s="304"/>
      <c r="BV79" s="304"/>
      <c r="BW79" s="304"/>
      <c r="BX79" s="304"/>
      <c r="BY79" s="304"/>
      <c r="BZ79" s="304"/>
      <c r="CA79" s="304"/>
      <c r="CB79" s="304"/>
      <c r="CC79" s="304"/>
      <c r="CD79" s="304"/>
      <c r="CE79" s="304"/>
      <c r="CF79" s="304"/>
      <c r="CG79" s="304"/>
      <c r="CH79" s="304"/>
      <c r="CI79" s="304"/>
      <c r="CJ79" s="304"/>
      <c r="CK79" s="304"/>
      <c r="CL79" s="304"/>
      <c r="CM79" s="304"/>
      <c r="CN79" s="304"/>
      <c r="CO79" s="304"/>
      <c r="CP79" s="304"/>
    </row>
    <row r="80" spans="1:94" s="87" customFormat="1">
      <c r="A80" s="81"/>
      <c r="B80" s="83"/>
      <c r="C80" s="82"/>
      <c r="D80" s="102"/>
      <c r="E80" s="102"/>
      <c r="F80" s="102"/>
      <c r="G80" s="225"/>
      <c r="H80" s="218">
        <f t="shared" si="13"/>
        <v>0</v>
      </c>
      <c r="I80" s="218">
        <f t="shared" si="14"/>
        <v>0</v>
      </c>
      <c r="J80" s="218">
        <f t="shared" si="15"/>
        <v>0</v>
      </c>
      <c r="K80" s="102" t="str">
        <f t="shared" si="16"/>
        <v/>
      </c>
      <c r="L80" s="221"/>
      <c r="M80" s="325"/>
      <c r="N80" s="94"/>
      <c r="O80" s="326"/>
      <c r="P80" s="84"/>
      <c r="Q80" s="88"/>
      <c r="R80" s="102">
        <f t="shared" si="12"/>
        <v>0</v>
      </c>
      <c r="S80" s="89"/>
      <c r="T80" s="100"/>
      <c r="U80" s="100"/>
      <c r="V80" s="100"/>
      <c r="W80" s="100"/>
      <c r="X80" s="100"/>
      <c r="Y80" s="83"/>
      <c r="Z80" s="304"/>
      <c r="AA80" s="304"/>
      <c r="AB80" s="304"/>
      <c r="AC80" s="304"/>
      <c r="AD80" s="304"/>
      <c r="AE80" s="304"/>
      <c r="AF80" s="304"/>
      <c r="AG80" s="304"/>
      <c r="AH80" s="304"/>
      <c r="AI80" s="304"/>
      <c r="AJ80" s="304"/>
      <c r="AK80" s="304"/>
      <c r="AL80" s="304"/>
      <c r="AM80" s="304"/>
      <c r="AN80" s="304"/>
      <c r="AO80" s="304"/>
      <c r="AP80" s="304"/>
      <c r="AQ80" s="304"/>
      <c r="AR80" s="304"/>
      <c r="AS80" s="304"/>
      <c r="AT80" s="304"/>
      <c r="AU80" s="304"/>
      <c r="AV80" s="304"/>
      <c r="AW80" s="304"/>
      <c r="AX80" s="304"/>
      <c r="AY80" s="304"/>
      <c r="AZ80" s="304"/>
      <c r="BA80" s="304"/>
      <c r="BB80" s="304"/>
      <c r="BC80" s="304"/>
      <c r="BD80" s="304"/>
      <c r="BE80" s="304"/>
      <c r="BF80" s="304"/>
      <c r="BG80" s="304"/>
      <c r="BH80" s="304"/>
      <c r="BI80" s="304"/>
      <c r="BJ80" s="304"/>
      <c r="BK80" s="304"/>
      <c r="BL80" s="304"/>
      <c r="BM80" s="304"/>
      <c r="BN80" s="304"/>
      <c r="BO80" s="304"/>
      <c r="BP80" s="304"/>
      <c r="BQ80" s="304"/>
      <c r="BR80" s="304"/>
      <c r="BS80" s="304"/>
      <c r="BT80" s="304"/>
      <c r="BU80" s="304"/>
      <c r="BV80" s="304"/>
      <c r="BW80" s="304"/>
      <c r="BX80" s="304"/>
      <c r="BY80" s="304"/>
      <c r="BZ80" s="304"/>
      <c r="CA80" s="304"/>
      <c r="CB80" s="304"/>
      <c r="CC80" s="304"/>
      <c r="CD80" s="304"/>
      <c r="CE80" s="304"/>
      <c r="CF80" s="304"/>
      <c r="CG80" s="304"/>
      <c r="CH80" s="304"/>
      <c r="CI80" s="304"/>
      <c r="CJ80" s="304"/>
      <c r="CK80" s="304"/>
      <c r="CL80" s="304"/>
      <c r="CM80" s="304"/>
      <c r="CN80" s="304"/>
      <c r="CO80" s="304"/>
      <c r="CP80" s="304"/>
    </row>
    <row r="81" spans="1:94" s="87" customFormat="1">
      <c r="A81" s="81"/>
      <c r="B81" s="83"/>
      <c r="C81" s="82"/>
      <c r="D81" s="102"/>
      <c r="E81" s="102"/>
      <c r="F81" s="102"/>
      <c r="G81" s="225"/>
      <c r="H81" s="218">
        <f t="shared" si="13"/>
        <v>0</v>
      </c>
      <c r="I81" s="218">
        <f t="shared" si="14"/>
        <v>0</v>
      </c>
      <c r="J81" s="218">
        <f t="shared" si="15"/>
        <v>0</v>
      </c>
      <c r="K81" s="102" t="str">
        <f t="shared" si="16"/>
        <v/>
      </c>
      <c r="L81" s="221"/>
      <c r="M81" s="325"/>
      <c r="N81" s="94"/>
      <c r="O81" s="326"/>
      <c r="P81" s="84"/>
      <c r="Q81" s="88"/>
      <c r="R81" s="102">
        <f t="shared" si="12"/>
        <v>0</v>
      </c>
      <c r="S81" s="89"/>
      <c r="T81" s="100"/>
      <c r="U81" s="100"/>
      <c r="V81" s="100"/>
      <c r="W81" s="100"/>
      <c r="X81" s="100"/>
      <c r="Y81" s="83"/>
      <c r="Z81" s="304"/>
      <c r="AA81" s="304"/>
      <c r="AB81" s="304"/>
      <c r="AC81" s="304"/>
      <c r="AD81" s="304"/>
      <c r="AE81" s="304"/>
      <c r="AF81" s="304"/>
      <c r="AG81" s="304"/>
      <c r="AH81" s="304"/>
      <c r="AI81" s="304"/>
      <c r="AJ81" s="304"/>
      <c r="AK81" s="304"/>
      <c r="AL81" s="304"/>
      <c r="AM81" s="304"/>
      <c r="AN81" s="304"/>
      <c r="AO81" s="304"/>
      <c r="AP81" s="304"/>
      <c r="AQ81" s="304"/>
      <c r="AR81" s="304"/>
      <c r="AS81" s="304"/>
      <c r="AT81" s="304"/>
      <c r="AU81" s="304"/>
      <c r="AV81" s="304"/>
      <c r="AW81" s="304"/>
      <c r="AX81" s="304"/>
      <c r="AY81" s="304"/>
      <c r="AZ81" s="304"/>
      <c r="BA81" s="304"/>
      <c r="BB81" s="304"/>
      <c r="BC81" s="304"/>
      <c r="BD81" s="304"/>
      <c r="BE81" s="304"/>
      <c r="BF81" s="304"/>
      <c r="BG81" s="304"/>
      <c r="BH81" s="304"/>
      <c r="BI81" s="304"/>
      <c r="BJ81" s="304"/>
      <c r="BK81" s="304"/>
      <c r="BL81" s="304"/>
      <c r="BM81" s="304"/>
      <c r="BN81" s="304"/>
      <c r="BO81" s="304"/>
      <c r="BP81" s="304"/>
      <c r="BQ81" s="304"/>
      <c r="BR81" s="304"/>
      <c r="BS81" s="304"/>
      <c r="BT81" s="304"/>
      <c r="BU81" s="304"/>
      <c r="BV81" s="304"/>
      <c r="BW81" s="304"/>
      <c r="BX81" s="304"/>
      <c r="BY81" s="304"/>
      <c r="BZ81" s="304"/>
      <c r="CA81" s="304"/>
      <c r="CB81" s="304"/>
      <c r="CC81" s="304"/>
      <c r="CD81" s="304"/>
      <c r="CE81" s="304"/>
      <c r="CF81" s="304"/>
      <c r="CG81" s="304"/>
      <c r="CH81" s="304"/>
      <c r="CI81" s="304"/>
      <c r="CJ81" s="304"/>
      <c r="CK81" s="304"/>
      <c r="CL81" s="304"/>
      <c r="CM81" s="304"/>
      <c r="CN81" s="304"/>
      <c r="CO81" s="304"/>
      <c r="CP81" s="304"/>
    </row>
    <row r="82" spans="1:94" s="87" customFormat="1">
      <c r="A82" s="81"/>
      <c r="B82" s="83"/>
      <c r="C82" s="82"/>
      <c r="D82" s="102"/>
      <c r="E82" s="102"/>
      <c r="F82" s="102"/>
      <c r="G82" s="225"/>
      <c r="H82" s="218">
        <f t="shared" si="13"/>
        <v>0</v>
      </c>
      <c r="I82" s="218">
        <f t="shared" si="14"/>
        <v>0</v>
      </c>
      <c r="J82" s="218">
        <f t="shared" si="15"/>
        <v>0</v>
      </c>
      <c r="K82" s="102" t="str">
        <f t="shared" si="16"/>
        <v/>
      </c>
      <c r="L82" s="221"/>
      <c r="M82" s="325"/>
      <c r="N82" s="94"/>
      <c r="O82" s="326"/>
      <c r="P82" s="84"/>
      <c r="Q82" s="88"/>
      <c r="R82" s="102">
        <f t="shared" si="12"/>
        <v>0</v>
      </c>
      <c r="S82" s="89"/>
      <c r="T82" s="100"/>
      <c r="U82" s="100"/>
      <c r="V82" s="100"/>
      <c r="W82" s="100"/>
      <c r="X82" s="100"/>
      <c r="Y82" s="83"/>
      <c r="Z82" s="304"/>
      <c r="AA82" s="304"/>
      <c r="AB82" s="304"/>
      <c r="AC82" s="304"/>
      <c r="AD82" s="304"/>
      <c r="AE82" s="304"/>
      <c r="AF82" s="304"/>
      <c r="AG82" s="304"/>
      <c r="AH82" s="304"/>
      <c r="AI82" s="304"/>
      <c r="AJ82" s="304"/>
      <c r="AK82" s="304"/>
      <c r="AL82" s="304"/>
      <c r="AM82" s="304"/>
      <c r="AN82" s="304"/>
      <c r="AO82" s="304"/>
      <c r="AP82" s="304"/>
      <c r="AQ82" s="304"/>
      <c r="AR82" s="304"/>
      <c r="AS82" s="304"/>
      <c r="AT82" s="304"/>
      <c r="AU82" s="304"/>
      <c r="AV82" s="304"/>
      <c r="AW82" s="304"/>
      <c r="AX82" s="304"/>
      <c r="AY82" s="304"/>
      <c r="AZ82" s="304"/>
      <c r="BA82" s="304"/>
      <c r="BB82" s="304"/>
      <c r="BC82" s="304"/>
      <c r="BD82" s="304"/>
      <c r="BE82" s="304"/>
      <c r="BF82" s="304"/>
      <c r="BG82" s="304"/>
      <c r="BH82" s="304"/>
      <c r="BI82" s="304"/>
      <c r="BJ82" s="304"/>
      <c r="BK82" s="304"/>
      <c r="BL82" s="304"/>
      <c r="BM82" s="304"/>
      <c r="BN82" s="304"/>
      <c r="BO82" s="304"/>
      <c r="BP82" s="304"/>
      <c r="BQ82" s="304"/>
      <c r="BR82" s="304"/>
      <c r="BS82" s="304"/>
      <c r="BT82" s="304"/>
      <c r="BU82" s="304"/>
      <c r="BV82" s="304"/>
      <c r="BW82" s="304"/>
      <c r="BX82" s="304"/>
      <c r="BY82" s="304"/>
      <c r="BZ82" s="304"/>
      <c r="CA82" s="304"/>
      <c r="CB82" s="304"/>
      <c r="CC82" s="304"/>
      <c r="CD82" s="304"/>
      <c r="CE82" s="304"/>
      <c r="CF82" s="304"/>
      <c r="CG82" s="304"/>
      <c r="CH82" s="304"/>
      <c r="CI82" s="304"/>
      <c r="CJ82" s="304"/>
      <c r="CK82" s="304"/>
      <c r="CL82" s="304"/>
      <c r="CM82" s="304"/>
      <c r="CN82" s="304"/>
      <c r="CO82" s="304"/>
      <c r="CP82" s="304"/>
    </row>
    <row r="83" spans="1:94" s="87" customFormat="1">
      <c r="A83" s="81"/>
      <c r="B83" s="83"/>
      <c r="C83" s="82"/>
      <c r="D83" s="102"/>
      <c r="E83" s="102"/>
      <c r="F83" s="102"/>
      <c r="G83" s="225"/>
      <c r="H83" s="218">
        <f t="shared" si="13"/>
        <v>0</v>
      </c>
      <c r="I83" s="218">
        <f t="shared" si="14"/>
        <v>0</v>
      </c>
      <c r="J83" s="218">
        <f t="shared" si="15"/>
        <v>0</v>
      </c>
      <c r="K83" s="102" t="str">
        <f t="shared" si="16"/>
        <v/>
      </c>
      <c r="L83" s="221"/>
      <c r="M83" s="325"/>
      <c r="N83" s="94"/>
      <c r="O83" s="326"/>
      <c r="P83" s="84"/>
      <c r="Q83" s="88"/>
      <c r="R83" s="102">
        <f t="shared" si="12"/>
        <v>0</v>
      </c>
      <c r="S83" s="89"/>
      <c r="T83" s="100"/>
      <c r="U83" s="100"/>
      <c r="V83" s="100"/>
      <c r="W83" s="100"/>
      <c r="X83" s="100"/>
      <c r="Y83" s="83"/>
      <c r="Z83" s="304"/>
      <c r="AA83" s="304"/>
      <c r="AB83" s="304"/>
      <c r="AC83" s="304"/>
      <c r="AD83" s="304"/>
      <c r="AE83" s="304"/>
      <c r="AF83" s="304"/>
      <c r="AG83" s="304"/>
      <c r="AH83" s="304"/>
      <c r="AI83" s="304"/>
      <c r="AJ83" s="304"/>
      <c r="AK83" s="304"/>
      <c r="AL83" s="304"/>
      <c r="AM83" s="304"/>
      <c r="AN83" s="304"/>
      <c r="AO83" s="304"/>
      <c r="AP83" s="304"/>
      <c r="AQ83" s="304"/>
      <c r="AR83" s="304"/>
      <c r="AS83" s="304"/>
      <c r="AT83" s="304"/>
      <c r="AU83" s="304"/>
      <c r="AV83" s="304"/>
      <c r="AW83" s="304"/>
      <c r="AX83" s="304"/>
      <c r="AY83" s="304"/>
      <c r="AZ83" s="304"/>
      <c r="BA83" s="304"/>
      <c r="BB83" s="304"/>
      <c r="BC83" s="304"/>
      <c r="BD83" s="304"/>
      <c r="BE83" s="304"/>
      <c r="BF83" s="304"/>
      <c r="BG83" s="304"/>
      <c r="BH83" s="304"/>
      <c r="BI83" s="304"/>
      <c r="BJ83" s="304"/>
      <c r="BK83" s="304"/>
      <c r="BL83" s="304"/>
      <c r="BM83" s="304"/>
      <c r="BN83" s="304"/>
      <c r="BO83" s="304"/>
      <c r="BP83" s="304"/>
      <c r="BQ83" s="304"/>
      <c r="BR83" s="304"/>
      <c r="BS83" s="304"/>
      <c r="BT83" s="304"/>
      <c r="BU83" s="304"/>
      <c r="BV83" s="304"/>
      <c r="BW83" s="304"/>
      <c r="BX83" s="304"/>
      <c r="BY83" s="304"/>
      <c r="BZ83" s="304"/>
      <c r="CA83" s="304"/>
      <c r="CB83" s="304"/>
      <c r="CC83" s="304"/>
      <c r="CD83" s="304"/>
      <c r="CE83" s="304"/>
      <c r="CF83" s="304"/>
      <c r="CG83" s="304"/>
      <c r="CH83" s="304"/>
      <c r="CI83" s="304"/>
      <c r="CJ83" s="304"/>
      <c r="CK83" s="304"/>
      <c r="CL83" s="304"/>
      <c r="CM83" s="304"/>
      <c r="CN83" s="304"/>
      <c r="CO83" s="304"/>
      <c r="CP83" s="304"/>
    </row>
    <row r="84" spans="1:94" s="87" customFormat="1">
      <c r="A84" s="81"/>
      <c r="B84" s="83"/>
      <c r="C84" s="82"/>
      <c r="D84" s="102"/>
      <c r="E84" s="102"/>
      <c r="F84" s="102"/>
      <c r="G84" s="225"/>
      <c r="H84" s="218">
        <f t="shared" si="13"/>
        <v>0</v>
      </c>
      <c r="I84" s="218">
        <f t="shared" si="14"/>
        <v>0</v>
      </c>
      <c r="J84" s="218">
        <f t="shared" si="15"/>
        <v>0</v>
      </c>
      <c r="K84" s="102" t="str">
        <f t="shared" si="16"/>
        <v/>
      </c>
      <c r="L84" s="221"/>
      <c r="M84" s="325"/>
      <c r="N84" s="94"/>
      <c r="O84" s="326"/>
      <c r="P84" s="84"/>
      <c r="Q84" s="88"/>
      <c r="R84" s="102">
        <f t="shared" si="12"/>
        <v>0</v>
      </c>
      <c r="S84" s="89"/>
      <c r="T84" s="100"/>
      <c r="U84" s="100"/>
      <c r="V84" s="100"/>
      <c r="W84" s="100"/>
      <c r="X84" s="100"/>
      <c r="Y84" s="83"/>
      <c r="Z84" s="304"/>
      <c r="AA84" s="304"/>
      <c r="AB84" s="304"/>
      <c r="AC84" s="304"/>
      <c r="AD84" s="304"/>
      <c r="AE84" s="304"/>
      <c r="AF84" s="304"/>
      <c r="AG84" s="304"/>
      <c r="AH84" s="304"/>
      <c r="AI84" s="304"/>
      <c r="AJ84" s="304"/>
      <c r="AK84" s="304"/>
      <c r="AL84" s="304"/>
      <c r="AM84" s="304"/>
      <c r="AN84" s="304"/>
      <c r="AO84" s="304"/>
      <c r="AP84" s="304"/>
      <c r="AQ84" s="304"/>
      <c r="AR84" s="304"/>
      <c r="AS84" s="304"/>
      <c r="AT84" s="304"/>
      <c r="AU84" s="304"/>
      <c r="AV84" s="304"/>
      <c r="AW84" s="304"/>
      <c r="AX84" s="304"/>
      <c r="AY84" s="304"/>
      <c r="AZ84" s="304"/>
      <c r="BA84" s="304"/>
      <c r="BB84" s="304"/>
      <c r="BC84" s="304"/>
      <c r="BD84" s="304"/>
      <c r="BE84" s="304"/>
      <c r="BF84" s="304"/>
      <c r="BG84" s="304"/>
      <c r="BH84" s="304"/>
      <c r="BI84" s="304"/>
      <c r="BJ84" s="304"/>
      <c r="BK84" s="304"/>
      <c r="BL84" s="304"/>
      <c r="BM84" s="304"/>
      <c r="BN84" s="304"/>
      <c r="BO84" s="304"/>
      <c r="BP84" s="304"/>
      <c r="BQ84" s="304"/>
      <c r="BR84" s="304"/>
      <c r="BS84" s="304"/>
      <c r="BT84" s="304"/>
      <c r="BU84" s="304"/>
      <c r="BV84" s="304"/>
      <c r="BW84" s="304"/>
      <c r="BX84" s="304"/>
      <c r="BY84" s="304"/>
      <c r="BZ84" s="304"/>
      <c r="CA84" s="304"/>
      <c r="CB84" s="304"/>
      <c r="CC84" s="304"/>
      <c r="CD84" s="304"/>
      <c r="CE84" s="304"/>
      <c r="CF84" s="304"/>
      <c r="CG84" s="304"/>
      <c r="CH84" s="304"/>
      <c r="CI84" s="304"/>
      <c r="CJ84" s="304"/>
      <c r="CK84" s="304"/>
      <c r="CL84" s="304"/>
      <c r="CM84" s="304"/>
      <c r="CN84" s="304"/>
      <c r="CO84" s="304"/>
      <c r="CP84" s="304"/>
    </row>
    <row r="85" spans="1:94" s="87" customFormat="1">
      <c r="A85" s="81"/>
      <c r="B85" s="83"/>
      <c r="C85" s="82"/>
      <c r="D85" s="102"/>
      <c r="E85" s="102"/>
      <c r="F85" s="102"/>
      <c r="G85" s="225"/>
      <c r="H85" s="218">
        <f t="shared" si="13"/>
        <v>0</v>
      </c>
      <c r="I85" s="218">
        <f t="shared" si="14"/>
        <v>0</v>
      </c>
      <c r="J85" s="218">
        <f t="shared" si="15"/>
        <v>0</v>
      </c>
      <c r="K85" s="102" t="str">
        <f t="shared" si="16"/>
        <v/>
      </c>
      <c r="L85" s="221"/>
      <c r="M85" s="325"/>
      <c r="N85" s="94"/>
      <c r="O85" s="326"/>
      <c r="P85" s="84"/>
      <c r="Q85" s="88"/>
      <c r="R85" s="102">
        <f t="shared" si="12"/>
        <v>0</v>
      </c>
      <c r="S85" s="89"/>
      <c r="T85" s="100"/>
      <c r="U85" s="100"/>
      <c r="V85" s="100"/>
      <c r="W85" s="100"/>
      <c r="X85" s="100"/>
      <c r="Y85" s="83"/>
      <c r="Z85" s="304"/>
      <c r="AA85" s="304"/>
      <c r="AB85" s="304"/>
      <c r="AC85" s="304"/>
      <c r="AD85" s="304"/>
      <c r="AE85" s="304"/>
      <c r="AF85" s="304"/>
      <c r="AG85" s="304"/>
      <c r="AH85" s="304"/>
      <c r="AI85" s="304"/>
      <c r="AJ85" s="304"/>
      <c r="AK85" s="304"/>
      <c r="AL85" s="304"/>
      <c r="AM85" s="304"/>
      <c r="AN85" s="304"/>
      <c r="AO85" s="304"/>
      <c r="AP85" s="304"/>
      <c r="AQ85" s="304"/>
      <c r="AR85" s="304"/>
      <c r="AS85" s="304"/>
      <c r="AT85" s="304"/>
      <c r="AU85" s="304"/>
      <c r="AV85" s="304"/>
      <c r="AW85" s="304"/>
      <c r="AX85" s="304"/>
      <c r="AY85" s="304"/>
      <c r="AZ85" s="304"/>
      <c r="BA85" s="304"/>
      <c r="BB85" s="304"/>
      <c r="BC85" s="304"/>
      <c r="BD85" s="304"/>
      <c r="BE85" s="304"/>
      <c r="BF85" s="304"/>
      <c r="BG85" s="304"/>
      <c r="BH85" s="304"/>
      <c r="BI85" s="304"/>
      <c r="BJ85" s="304"/>
      <c r="BK85" s="304"/>
      <c r="BL85" s="304"/>
      <c r="BM85" s="304"/>
      <c r="BN85" s="304"/>
      <c r="BO85" s="304"/>
      <c r="BP85" s="304"/>
      <c r="BQ85" s="304"/>
      <c r="BR85" s="304"/>
      <c r="BS85" s="304"/>
      <c r="BT85" s="304"/>
      <c r="BU85" s="304"/>
      <c r="BV85" s="304"/>
      <c r="BW85" s="304"/>
      <c r="BX85" s="304"/>
      <c r="BY85" s="304"/>
      <c r="BZ85" s="304"/>
      <c r="CA85" s="304"/>
      <c r="CB85" s="304"/>
      <c r="CC85" s="304"/>
      <c r="CD85" s="304"/>
      <c r="CE85" s="304"/>
      <c r="CF85" s="304"/>
      <c r="CG85" s="304"/>
      <c r="CH85" s="304"/>
      <c r="CI85" s="304"/>
      <c r="CJ85" s="304"/>
      <c r="CK85" s="304"/>
      <c r="CL85" s="304"/>
      <c r="CM85" s="304"/>
      <c r="CN85" s="304"/>
      <c r="CO85" s="304"/>
      <c r="CP85" s="304"/>
    </row>
    <row r="86" spans="1:94" s="87" customFormat="1">
      <c r="A86" s="81"/>
      <c r="B86" s="83"/>
      <c r="C86" s="82"/>
      <c r="D86" s="102"/>
      <c r="E86" s="102"/>
      <c r="F86" s="102"/>
      <c r="G86" s="225"/>
      <c r="H86" s="218">
        <f t="shared" si="13"/>
        <v>0</v>
      </c>
      <c r="I86" s="218">
        <f t="shared" si="14"/>
        <v>0</v>
      </c>
      <c r="J86" s="218">
        <f t="shared" si="15"/>
        <v>0</v>
      </c>
      <c r="K86" s="102" t="str">
        <f t="shared" si="16"/>
        <v/>
      </c>
      <c r="L86" s="221"/>
      <c r="M86" s="325"/>
      <c r="N86" s="94"/>
      <c r="O86" s="326"/>
      <c r="P86" s="84"/>
      <c r="Q86" s="88"/>
      <c r="R86" s="102">
        <f t="shared" si="12"/>
        <v>0</v>
      </c>
      <c r="S86" s="89"/>
      <c r="T86" s="100"/>
      <c r="U86" s="100"/>
      <c r="V86" s="100"/>
      <c r="W86" s="100"/>
      <c r="X86" s="100"/>
      <c r="Y86" s="83"/>
      <c r="Z86" s="304"/>
      <c r="AA86" s="304"/>
      <c r="AB86" s="304"/>
      <c r="AC86" s="304"/>
      <c r="AD86" s="304"/>
      <c r="AE86" s="304"/>
      <c r="AF86" s="304"/>
      <c r="AG86" s="304"/>
      <c r="AH86" s="304"/>
      <c r="AI86" s="304"/>
      <c r="AJ86" s="304"/>
      <c r="AK86" s="304"/>
      <c r="AL86" s="304"/>
      <c r="AM86" s="304"/>
      <c r="AN86" s="304"/>
      <c r="AO86" s="304"/>
      <c r="AP86" s="304"/>
      <c r="AQ86" s="304"/>
      <c r="AR86" s="304"/>
      <c r="AS86" s="304"/>
      <c r="AT86" s="304"/>
      <c r="AU86" s="304"/>
      <c r="AV86" s="304"/>
      <c r="AW86" s="304"/>
      <c r="AX86" s="304"/>
      <c r="AY86" s="304"/>
      <c r="AZ86" s="304"/>
      <c r="BA86" s="304"/>
      <c r="BB86" s="304"/>
      <c r="BC86" s="304"/>
      <c r="BD86" s="304"/>
      <c r="BE86" s="304"/>
      <c r="BF86" s="304"/>
      <c r="BG86" s="304"/>
      <c r="BH86" s="304"/>
      <c r="BI86" s="304"/>
      <c r="BJ86" s="304"/>
      <c r="BK86" s="304"/>
      <c r="BL86" s="304"/>
      <c r="BM86" s="304"/>
      <c r="BN86" s="304"/>
      <c r="BO86" s="304"/>
      <c r="BP86" s="304"/>
      <c r="BQ86" s="304"/>
      <c r="BR86" s="304"/>
      <c r="BS86" s="304"/>
      <c r="BT86" s="304"/>
      <c r="BU86" s="304"/>
      <c r="BV86" s="304"/>
      <c r="BW86" s="304"/>
      <c r="BX86" s="304"/>
      <c r="BY86" s="304"/>
      <c r="BZ86" s="304"/>
      <c r="CA86" s="304"/>
      <c r="CB86" s="304"/>
      <c r="CC86" s="304"/>
      <c r="CD86" s="304"/>
      <c r="CE86" s="304"/>
      <c r="CF86" s="304"/>
      <c r="CG86" s="304"/>
      <c r="CH86" s="304"/>
      <c r="CI86" s="304"/>
      <c r="CJ86" s="304"/>
      <c r="CK86" s="304"/>
      <c r="CL86" s="304"/>
      <c r="CM86" s="304"/>
      <c r="CN86" s="304"/>
      <c r="CO86" s="304"/>
      <c r="CP86" s="304"/>
    </row>
    <row r="87" spans="1:94" s="87" customFormat="1">
      <c r="A87" s="81"/>
      <c r="B87" s="83"/>
      <c r="C87" s="82"/>
      <c r="D87" s="102"/>
      <c r="E87" s="102"/>
      <c r="F87" s="102"/>
      <c r="G87" s="225"/>
      <c r="H87" s="218">
        <f t="shared" si="13"/>
        <v>0</v>
      </c>
      <c r="I87" s="218">
        <f t="shared" si="14"/>
        <v>0</v>
      </c>
      <c r="J87" s="218">
        <f t="shared" si="15"/>
        <v>0</v>
      </c>
      <c r="K87" s="102" t="str">
        <f t="shared" si="16"/>
        <v/>
      </c>
      <c r="L87" s="221"/>
      <c r="M87" s="325"/>
      <c r="N87" s="94"/>
      <c r="O87" s="326"/>
      <c r="P87" s="84"/>
      <c r="Q87" s="88"/>
      <c r="R87" s="102">
        <f t="shared" si="12"/>
        <v>0</v>
      </c>
      <c r="S87" s="89"/>
      <c r="T87" s="100"/>
      <c r="U87" s="100"/>
      <c r="V87" s="100"/>
      <c r="W87" s="100"/>
      <c r="X87" s="100"/>
      <c r="Y87" s="83"/>
      <c r="Z87" s="304"/>
      <c r="AA87" s="304"/>
      <c r="AB87" s="304"/>
      <c r="AC87" s="304"/>
      <c r="AD87" s="304"/>
      <c r="AE87" s="304"/>
      <c r="AF87" s="304"/>
      <c r="AG87" s="304"/>
      <c r="AH87" s="304"/>
      <c r="AI87" s="304"/>
      <c r="AJ87" s="304"/>
      <c r="AK87" s="304"/>
      <c r="AL87" s="304"/>
      <c r="AM87" s="304"/>
      <c r="AN87" s="304"/>
      <c r="AO87" s="304"/>
      <c r="AP87" s="304"/>
      <c r="AQ87" s="304"/>
      <c r="AR87" s="304"/>
      <c r="AS87" s="304"/>
      <c r="AT87" s="304"/>
      <c r="AU87" s="304"/>
      <c r="AV87" s="304"/>
      <c r="AW87" s="304"/>
      <c r="AX87" s="304"/>
      <c r="AY87" s="304"/>
      <c r="AZ87" s="304"/>
      <c r="BA87" s="304"/>
      <c r="BB87" s="304"/>
      <c r="BC87" s="304"/>
      <c r="BD87" s="304"/>
      <c r="BE87" s="304"/>
      <c r="BF87" s="304"/>
      <c r="BG87" s="304"/>
      <c r="BH87" s="304"/>
      <c r="BI87" s="304"/>
      <c r="BJ87" s="304"/>
      <c r="BK87" s="304"/>
      <c r="BL87" s="304"/>
      <c r="BM87" s="304"/>
      <c r="BN87" s="304"/>
      <c r="BO87" s="304"/>
      <c r="BP87" s="304"/>
      <c r="BQ87" s="304"/>
      <c r="BR87" s="304"/>
      <c r="BS87" s="304"/>
      <c r="BT87" s="304"/>
      <c r="BU87" s="304"/>
      <c r="BV87" s="304"/>
      <c r="BW87" s="304"/>
      <c r="BX87" s="304"/>
      <c r="BY87" s="304"/>
      <c r="BZ87" s="304"/>
      <c r="CA87" s="304"/>
      <c r="CB87" s="304"/>
      <c r="CC87" s="304"/>
      <c r="CD87" s="304"/>
      <c r="CE87" s="304"/>
      <c r="CF87" s="304"/>
      <c r="CG87" s="304"/>
      <c r="CH87" s="304"/>
      <c r="CI87" s="304"/>
      <c r="CJ87" s="304"/>
      <c r="CK87" s="304"/>
      <c r="CL87" s="304"/>
      <c r="CM87" s="304"/>
      <c r="CN87" s="304"/>
      <c r="CO87" s="304"/>
      <c r="CP87" s="304"/>
    </row>
    <row r="88" spans="1:94" s="87" customFormat="1">
      <c r="A88" s="81"/>
      <c r="B88" s="83"/>
      <c r="C88" s="82"/>
      <c r="D88" s="102"/>
      <c r="E88" s="102"/>
      <c r="F88" s="102"/>
      <c r="G88" s="225"/>
      <c r="H88" s="218">
        <f t="shared" si="13"/>
        <v>0</v>
      </c>
      <c r="I88" s="218">
        <f t="shared" si="14"/>
        <v>0</v>
      </c>
      <c r="J88" s="218">
        <f t="shared" si="15"/>
        <v>0</v>
      </c>
      <c r="K88" s="102" t="str">
        <f t="shared" si="16"/>
        <v/>
      </c>
      <c r="L88" s="221"/>
      <c r="M88" s="325"/>
      <c r="N88" s="94"/>
      <c r="O88" s="326"/>
      <c r="P88" s="84"/>
      <c r="Q88" s="88"/>
      <c r="R88" s="102">
        <f t="shared" si="12"/>
        <v>0</v>
      </c>
      <c r="S88" s="89"/>
      <c r="T88" s="100"/>
      <c r="U88" s="100"/>
      <c r="V88" s="100"/>
      <c r="W88" s="100"/>
      <c r="X88" s="100"/>
      <c r="Y88" s="83"/>
      <c r="Z88" s="304"/>
      <c r="AA88" s="304"/>
      <c r="AB88" s="304"/>
      <c r="AC88" s="304"/>
      <c r="AD88" s="304"/>
      <c r="AE88" s="304"/>
      <c r="AF88" s="304"/>
      <c r="AG88" s="304"/>
      <c r="AH88" s="304"/>
      <c r="AI88" s="304"/>
      <c r="AJ88" s="304"/>
      <c r="AK88" s="304"/>
      <c r="AL88" s="304"/>
      <c r="AM88" s="304"/>
      <c r="AN88" s="304"/>
      <c r="AO88" s="304"/>
      <c r="AP88" s="304"/>
      <c r="AQ88" s="304"/>
      <c r="AR88" s="304"/>
      <c r="AS88" s="304"/>
      <c r="AT88" s="304"/>
      <c r="AU88" s="304"/>
      <c r="AV88" s="304"/>
      <c r="AW88" s="304"/>
      <c r="AX88" s="304"/>
      <c r="AY88" s="304"/>
      <c r="AZ88" s="304"/>
      <c r="BA88" s="304"/>
      <c r="BB88" s="304"/>
      <c r="BC88" s="304"/>
      <c r="BD88" s="304"/>
      <c r="BE88" s="304"/>
      <c r="BF88" s="304"/>
      <c r="BG88" s="304"/>
      <c r="BH88" s="304"/>
      <c r="BI88" s="304"/>
      <c r="BJ88" s="304"/>
      <c r="BK88" s="304"/>
      <c r="BL88" s="304"/>
      <c r="BM88" s="304"/>
      <c r="BN88" s="304"/>
      <c r="BO88" s="304"/>
      <c r="BP88" s="304"/>
      <c r="BQ88" s="304"/>
      <c r="BR88" s="304"/>
      <c r="BS88" s="304"/>
      <c r="BT88" s="304"/>
      <c r="BU88" s="304"/>
      <c r="BV88" s="304"/>
      <c r="BW88" s="304"/>
      <c r="BX88" s="304"/>
      <c r="BY88" s="304"/>
      <c r="BZ88" s="304"/>
      <c r="CA88" s="304"/>
      <c r="CB88" s="304"/>
      <c r="CC88" s="304"/>
      <c r="CD88" s="304"/>
      <c r="CE88" s="304"/>
      <c r="CF88" s="304"/>
      <c r="CG88" s="304"/>
      <c r="CH88" s="304"/>
      <c r="CI88" s="304"/>
      <c r="CJ88" s="304"/>
      <c r="CK88" s="304"/>
      <c r="CL88" s="304"/>
      <c r="CM88" s="304"/>
      <c r="CN88" s="304"/>
      <c r="CO88" s="304"/>
      <c r="CP88" s="304"/>
    </row>
    <row r="89" spans="1:94" s="87" customFormat="1">
      <c r="A89" s="81"/>
      <c r="B89" s="83"/>
      <c r="C89" s="82"/>
      <c r="D89" s="102"/>
      <c r="E89" s="102"/>
      <c r="F89" s="102"/>
      <c r="G89" s="225"/>
      <c r="H89" s="218">
        <f t="shared" si="13"/>
        <v>0</v>
      </c>
      <c r="I89" s="218">
        <f t="shared" si="14"/>
        <v>0</v>
      </c>
      <c r="J89" s="218">
        <f t="shared" si="15"/>
        <v>0</v>
      </c>
      <c r="K89" s="102" t="str">
        <f t="shared" si="16"/>
        <v/>
      </c>
      <c r="L89" s="221"/>
      <c r="M89" s="325"/>
      <c r="N89" s="94"/>
      <c r="O89" s="326"/>
      <c r="P89" s="84"/>
      <c r="Q89" s="88"/>
      <c r="R89" s="102">
        <f t="shared" si="12"/>
        <v>0</v>
      </c>
      <c r="S89" s="89"/>
      <c r="T89" s="100"/>
      <c r="U89" s="100"/>
      <c r="V89" s="100"/>
      <c r="W89" s="100"/>
      <c r="X89" s="100"/>
      <c r="Y89" s="83"/>
      <c r="Z89" s="304"/>
      <c r="AA89" s="304"/>
      <c r="AB89" s="304"/>
      <c r="AC89" s="304"/>
      <c r="AD89" s="304"/>
      <c r="AE89" s="304"/>
      <c r="AF89" s="304"/>
      <c r="AG89" s="304"/>
      <c r="AH89" s="304"/>
      <c r="AI89" s="304"/>
      <c r="AJ89" s="304"/>
      <c r="AK89" s="304"/>
      <c r="AL89" s="304"/>
      <c r="AM89" s="304"/>
      <c r="AN89" s="304"/>
      <c r="AO89" s="304"/>
      <c r="AP89" s="304"/>
      <c r="AQ89" s="304"/>
      <c r="AR89" s="304"/>
      <c r="AS89" s="304"/>
      <c r="AT89" s="304"/>
      <c r="AU89" s="304"/>
      <c r="AV89" s="304"/>
      <c r="AW89" s="304"/>
      <c r="AX89" s="304"/>
      <c r="AY89" s="304"/>
      <c r="AZ89" s="304"/>
      <c r="BA89" s="304"/>
      <c r="BB89" s="304"/>
      <c r="BC89" s="304"/>
      <c r="BD89" s="304"/>
      <c r="BE89" s="304"/>
      <c r="BF89" s="304"/>
      <c r="BG89" s="304"/>
      <c r="BH89" s="304"/>
      <c r="BI89" s="304"/>
      <c r="BJ89" s="304"/>
      <c r="BK89" s="304"/>
      <c r="BL89" s="304"/>
      <c r="BM89" s="304"/>
      <c r="BN89" s="304"/>
      <c r="BO89" s="304"/>
      <c r="BP89" s="304"/>
      <c r="BQ89" s="304"/>
      <c r="BR89" s="304"/>
      <c r="BS89" s="304"/>
      <c r="BT89" s="304"/>
      <c r="BU89" s="304"/>
      <c r="BV89" s="304"/>
      <c r="BW89" s="304"/>
      <c r="BX89" s="304"/>
      <c r="BY89" s="304"/>
      <c r="BZ89" s="304"/>
      <c r="CA89" s="304"/>
      <c r="CB89" s="304"/>
      <c r="CC89" s="304"/>
      <c r="CD89" s="304"/>
      <c r="CE89" s="304"/>
      <c r="CF89" s="304"/>
      <c r="CG89" s="304"/>
      <c r="CH89" s="304"/>
      <c r="CI89" s="304"/>
      <c r="CJ89" s="304"/>
      <c r="CK89" s="304"/>
      <c r="CL89" s="304"/>
      <c r="CM89" s="304"/>
      <c r="CN89" s="304"/>
      <c r="CO89" s="304"/>
      <c r="CP89" s="304"/>
    </row>
    <row r="90" spans="1:94" s="87" customFormat="1">
      <c r="A90" s="81"/>
      <c r="B90" s="83"/>
      <c r="C90" s="82"/>
      <c r="D90" s="102"/>
      <c r="E90" s="102"/>
      <c r="F90" s="102"/>
      <c r="G90" s="225"/>
      <c r="H90" s="218">
        <f t="shared" si="13"/>
        <v>0</v>
      </c>
      <c r="I90" s="218">
        <f t="shared" si="14"/>
        <v>0</v>
      </c>
      <c r="J90" s="218">
        <f t="shared" si="15"/>
        <v>0</v>
      </c>
      <c r="K90" s="102" t="str">
        <f t="shared" si="16"/>
        <v/>
      </c>
      <c r="L90" s="221"/>
      <c r="M90" s="325"/>
      <c r="N90" s="94"/>
      <c r="O90" s="326"/>
      <c r="P90" s="84"/>
      <c r="Q90" s="88"/>
      <c r="R90" s="102">
        <f t="shared" si="12"/>
        <v>0</v>
      </c>
      <c r="S90" s="89"/>
      <c r="T90" s="100"/>
      <c r="U90" s="100"/>
      <c r="V90" s="100"/>
      <c r="W90" s="100"/>
      <c r="X90" s="100"/>
      <c r="Y90" s="83"/>
      <c r="Z90" s="304"/>
      <c r="AA90" s="304"/>
      <c r="AB90" s="304"/>
      <c r="AC90" s="304"/>
      <c r="AD90" s="304"/>
      <c r="AE90" s="304"/>
      <c r="AF90" s="304"/>
      <c r="AG90" s="304"/>
      <c r="AH90" s="304"/>
      <c r="AI90" s="304"/>
      <c r="AJ90" s="304"/>
      <c r="AK90" s="304"/>
      <c r="AL90" s="304"/>
      <c r="AM90" s="304"/>
      <c r="AN90" s="304"/>
      <c r="AO90" s="304"/>
      <c r="AP90" s="304"/>
      <c r="AQ90" s="304"/>
      <c r="AR90" s="304"/>
      <c r="AS90" s="304"/>
      <c r="AT90" s="304"/>
      <c r="AU90" s="304"/>
      <c r="AV90" s="304"/>
      <c r="AW90" s="304"/>
      <c r="AX90" s="304"/>
      <c r="AY90" s="304"/>
      <c r="AZ90" s="304"/>
      <c r="BA90" s="304"/>
      <c r="BB90" s="304"/>
      <c r="BC90" s="304"/>
      <c r="BD90" s="304"/>
      <c r="BE90" s="304"/>
      <c r="BF90" s="304"/>
      <c r="BG90" s="304"/>
      <c r="BH90" s="304"/>
      <c r="BI90" s="304"/>
      <c r="BJ90" s="304"/>
      <c r="BK90" s="304"/>
      <c r="BL90" s="304"/>
      <c r="BM90" s="304"/>
      <c r="BN90" s="304"/>
      <c r="BO90" s="304"/>
      <c r="BP90" s="304"/>
      <c r="BQ90" s="304"/>
      <c r="BR90" s="304"/>
      <c r="BS90" s="304"/>
      <c r="BT90" s="304"/>
      <c r="BU90" s="304"/>
      <c r="BV90" s="304"/>
      <c r="BW90" s="304"/>
      <c r="BX90" s="304"/>
      <c r="BY90" s="304"/>
      <c r="BZ90" s="304"/>
      <c r="CA90" s="304"/>
      <c r="CB90" s="304"/>
      <c r="CC90" s="304"/>
      <c r="CD90" s="304"/>
      <c r="CE90" s="304"/>
      <c r="CF90" s="304"/>
      <c r="CG90" s="304"/>
      <c r="CH90" s="304"/>
      <c r="CI90" s="304"/>
      <c r="CJ90" s="304"/>
      <c r="CK90" s="304"/>
      <c r="CL90" s="304"/>
      <c r="CM90" s="304"/>
      <c r="CN90" s="304"/>
      <c r="CO90" s="304"/>
      <c r="CP90" s="304"/>
    </row>
    <row r="91" spans="1:94" s="87" customFormat="1">
      <c r="A91" s="81"/>
      <c r="B91" s="83"/>
      <c r="C91" s="82"/>
      <c r="D91" s="102"/>
      <c r="E91" s="102"/>
      <c r="F91" s="102"/>
      <c r="G91" s="225"/>
      <c r="H91" s="218">
        <f t="shared" si="13"/>
        <v>0</v>
      </c>
      <c r="I91" s="218">
        <f t="shared" si="14"/>
        <v>0</v>
      </c>
      <c r="J91" s="218">
        <f t="shared" si="15"/>
        <v>0</v>
      </c>
      <c r="K91" s="102" t="str">
        <f t="shared" si="16"/>
        <v/>
      </c>
      <c r="L91" s="221"/>
      <c r="M91" s="325"/>
      <c r="N91" s="94"/>
      <c r="O91" s="326"/>
      <c r="P91" s="84"/>
      <c r="Q91" s="88"/>
      <c r="R91" s="102">
        <f t="shared" si="12"/>
        <v>0</v>
      </c>
      <c r="S91" s="89"/>
      <c r="T91" s="100"/>
      <c r="U91" s="100"/>
      <c r="V91" s="100"/>
      <c r="W91" s="100"/>
      <c r="X91" s="100"/>
      <c r="Y91" s="83"/>
      <c r="Z91" s="304"/>
      <c r="AA91" s="304"/>
      <c r="AB91" s="304"/>
      <c r="AC91" s="304"/>
      <c r="AD91" s="304"/>
      <c r="AE91" s="304"/>
      <c r="AF91" s="304"/>
      <c r="AG91" s="304"/>
      <c r="AH91" s="304"/>
      <c r="AI91" s="304"/>
      <c r="AJ91" s="304"/>
      <c r="AK91" s="304"/>
      <c r="AL91" s="304"/>
      <c r="AM91" s="304"/>
      <c r="AN91" s="304"/>
      <c r="AO91" s="304"/>
      <c r="AP91" s="304"/>
      <c r="AQ91" s="304"/>
      <c r="AR91" s="304"/>
      <c r="AS91" s="304"/>
      <c r="AT91" s="304"/>
      <c r="AU91" s="304"/>
      <c r="AV91" s="304"/>
      <c r="AW91" s="304"/>
      <c r="AX91" s="304"/>
      <c r="AY91" s="304"/>
      <c r="AZ91" s="304"/>
      <c r="BA91" s="304"/>
      <c r="BB91" s="304"/>
      <c r="BC91" s="304"/>
      <c r="BD91" s="304"/>
      <c r="BE91" s="304"/>
      <c r="BF91" s="304"/>
      <c r="BG91" s="304"/>
      <c r="BH91" s="304"/>
      <c r="BI91" s="304"/>
      <c r="BJ91" s="304"/>
      <c r="BK91" s="304"/>
      <c r="BL91" s="304"/>
      <c r="BM91" s="304"/>
      <c r="BN91" s="304"/>
      <c r="BO91" s="304"/>
      <c r="BP91" s="304"/>
      <c r="BQ91" s="304"/>
      <c r="BR91" s="304"/>
      <c r="BS91" s="304"/>
      <c r="BT91" s="304"/>
      <c r="BU91" s="304"/>
      <c r="BV91" s="304"/>
      <c r="BW91" s="304"/>
      <c r="BX91" s="304"/>
      <c r="BY91" s="304"/>
      <c r="BZ91" s="304"/>
      <c r="CA91" s="304"/>
      <c r="CB91" s="304"/>
      <c r="CC91" s="304"/>
      <c r="CD91" s="304"/>
      <c r="CE91" s="304"/>
      <c r="CF91" s="304"/>
      <c r="CG91" s="304"/>
      <c r="CH91" s="304"/>
      <c r="CI91" s="304"/>
      <c r="CJ91" s="304"/>
      <c r="CK91" s="304"/>
      <c r="CL91" s="304"/>
      <c r="CM91" s="304"/>
      <c r="CN91" s="304"/>
      <c r="CO91" s="304"/>
      <c r="CP91" s="304"/>
    </row>
    <row r="92" spans="1:94" s="87" customFormat="1">
      <c r="A92" s="81"/>
      <c r="B92" s="83"/>
      <c r="C92" s="82"/>
      <c r="D92" s="102"/>
      <c r="E92" s="102"/>
      <c r="F92" s="102"/>
      <c r="G92" s="225"/>
      <c r="H92" s="218">
        <f t="shared" si="13"/>
        <v>0</v>
      </c>
      <c r="I92" s="218">
        <f t="shared" si="14"/>
        <v>0</v>
      </c>
      <c r="J92" s="218">
        <f t="shared" si="15"/>
        <v>0</v>
      </c>
      <c r="K92" s="102" t="str">
        <f t="shared" si="16"/>
        <v/>
      </c>
      <c r="L92" s="221"/>
      <c r="M92" s="325"/>
      <c r="N92" s="94"/>
      <c r="O92" s="326"/>
      <c r="P92" s="84"/>
      <c r="Q92" s="88"/>
      <c r="R92" s="102">
        <f t="shared" si="12"/>
        <v>0</v>
      </c>
      <c r="S92" s="89"/>
      <c r="T92" s="100"/>
      <c r="U92" s="100"/>
      <c r="V92" s="100"/>
      <c r="W92" s="100"/>
      <c r="X92" s="100"/>
      <c r="Y92" s="83"/>
      <c r="Z92" s="304"/>
      <c r="AA92" s="304"/>
      <c r="AB92" s="304"/>
      <c r="AC92" s="304"/>
      <c r="AD92" s="304"/>
      <c r="AE92" s="304"/>
      <c r="AF92" s="304"/>
      <c r="AG92" s="304"/>
      <c r="AH92" s="304"/>
      <c r="AI92" s="304"/>
      <c r="AJ92" s="304"/>
      <c r="AK92" s="304"/>
      <c r="AL92" s="304"/>
      <c r="AM92" s="304"/>
      <c r="AN92" s="304"/>
      <c r="AO92" s="304"/>
      <c r="AP92" s="304"/>
      <c r="AQ92" s="304"/>
      <c r="AR92" s="304"/>
      <c r="AS92" s="304"/>
      <c r="AT92" s="304"/>
      <c r="AU92" s="304"/>
      <c r="AV92" s="304"/>
      <c r="AW92" s="304"/>
      <c r="AX92" s="304"/>
      <c r="AY92" s="304"/>
      <c r="AZ92" s="304"/>
      <c r="BA92" s="304"/>
      <c r="BB92" s="304"/>
      <c r="BC92" s="304"/>
      <c r="BD92" s="304"/>
      <c r="BE92" s="304"/>
      <c r="BF92" s="304"/>
      <c r="BG92" s="304"/>
      <c r="BH92" s="304"/>
      <c r="BI92" s="304"/>
      <c r="BJ92" s="304"/>
      <c r="BK92" s="304"/>
      <c r="BL92" s="304"/>
      <c r="BM92" s="304"/>
      <c r="BN92" s="304"/>
      <c r="BO92" s="304"/>
      <c r="BP92" s="304"/>
      <c r="BQ92" s="304"/>
      <c r="BR92" s="304"/>
      <c r="BS92" s="304"/>
      <c r="BT92" s="304"/>
      <c r="BU92" s="304"/>
      <c r="BV92" s="304"/>
      <c r="BW92" s="304"/>
      <c r="BX92" s="304"/>
      <c r="BY92" s="304"/>
      <c r="BZ92" s="304"/>
      <c r="CA92" s="304"/>
      <c r="CB92" s="304"/>
      <c r="CC92" s="304"/>
      <c r="CD92" s="304"/>
      <c r="CE92" s="304"/>
      <c r="CF92" s="304"/>
      <c r="CG92" s="304"/>
      <c r="CH92" s="304"/>
      <c r="CI92" s="304"/>
      <c r="CJ92" s="304"/>
      <c r="CK92" s="304"/>
      <c r="CL92" s="304"/>
      <c r="CM92" s="304"/>
      <c r="CN92" s="304"/>
      <c r="CO92" s="304"/>
      <c r="CP92" s="304"/>
    </row>
    <row r="93" spans="1:94" s="87" customFormat="1">
      <c r="A93" s="81"/>
      <c r="B93" s="83"/>
      <c r="C93" s="82"/>
      <c r="D93" s="102"/>
      <c r="E93" s="102"/>
      <c r="F93" s="102"/>
      <c r="G93" s="225"/>
      <c r="H93" s="218">
        <f t="shared" si="13"/>
        <v>0</v>
      </c>
      <c r="I93" s="218">
        <f t="shared" si="14"/>
        <v>0</v>
      </c>
      <c r="J93" s="218">
        <f t="shared" si="15"/>
        <v>0</v>
      </c>
      <c r="K93" s="102" t="str">
        <f t="shared" si="16"/>
        <v/>
      </c>
      <c r="L93" s="221"/>
      <c r="M93" s="325"/>
      <c r="N93" s="94"/>
      <c r="O93" s="326"/>
      <c r="P93" s="84"/>
      <c r="Q93" s="88"/>
      <c r="R93" s="102">
        <f t="shared" si="12"/>
        <v>0</v>
      </c>
      <c r="S93" s="89"/>
      <c r="T93" s="100"/>
      <c r="U93" s="100"/>
      <c r="V93" s="100"/>
      <c r="W93" s="100"/>
      <c r="X93" s="100"/>
      <c r="Y93" s="83"/>
      <c r="Z93" s="304"/>
      <c r="AA93" s="304"/>
      <c r="AB93" s="304"/>
      <c r="AC93" s="304"/>
      <c r="AD93" s="304"/>
      <c r="AE93" s="304"/>
      <c r="AF93" s="304"/>
      <c r="AG93" s="304"/>
      <c r="AH93" s="304"/>
      <c r="AI93" s="304"/>
      <c r="AJ93" s="304"/>
      <c r="AK93" s="304"/>
      <c r="AL93" s="304"/>
      <c r="AM93" s="304"/>
      <c r="AN93" s="304"/>
      <c r="AO93" s="304"/>
      <c r="AP93" s="304"/>
      <c r="AQ93" s="304"/>
      <c r="AR93" s="304"/>
      <c r="AS93" s="304"/>
      <c r="AT93" s="304"/>
      <c r="AU93" s="304"/>
      <c r="AV93" s="304"/>
      <c r="AW93" s="304"/>
      <c r="AX93" s="304"/>
      <c r="AY93" s="304"/>
      <c r="AZ93" s="304"/>
      <c r="BA93" s="304"/>
      <c r="BB93" s="304"/>
      <c r="BC93" s="304"/>
      <c r="BD93" s="304"/>
      <c r="BE93" s="304"/>
      <c r="BF93" s="304"/>
      <c r="BG93" s="304"/>
      <c r="BH93" s="304"/>
      <c r="BI93" s="304"/>
      <c r="BJ93" s="304"/>
      <c r="BK93" s="304"/>
      <c r="BL93" s="304"/>
      <c r="BM93" s="304"/>
      <c r="BN93" s="304"/>
      <c r="BO93" s="304"/>
      <c r="BP93" s="304"/>
      <c r="BQ93" s="304"/>
      <c r="BR93" s="304"/>
      <c r="BS93" s="304"/>
      <c r="BT93" s="304"/>
      <c r="BU93" s="304"/>
      <c r="BV93" s="304"/>
      <c r="BW93" s="304"/>
      <c r="BX93" s="304"/>
      <c r="BY93" s="304"/>
      <c r="BZ93" s="304"/>
      <c r="CA93" s="304"/>
      <c r="CB93" s="304"/>
      <c r="CC93" s="304"/>
      <c r="CD93" s="304"/>
      <c r="CE93" s="304"/>
      <c r="CF93" s="304"/>
      <c r="CG93" s="304"/>
      <c r="CH93" s="304"/>
      <c r="CI93" s="304"/>
      <c r="CJ93" s="304"/>
      <c r="CK93" s="304"/>
      <c r="CL93" s="304"/>
      <c r="CM93" s="304"/>
      <c r="CN93" s="304"/>
      <c r="CO93" s="304"/>
      <c r="CP93" s="304"/>
    </row>
    <row r="94" spans="1:94" s="87" customFormat="1">
      <c r="A94" s="81"/>
      <c r="B94" s="83"/>
      <c r="C94" s="82"/>
      <c r="D94" s="102"/>
      <c r="E94" s="102"/>
      <c r="F94" s="102"/>
      <c r="G94" s="225"/>
      <c r="H94" s="218">
        <f t="shared" si="13"/>
        <v>0</v>
      </c>
      <c r="I94" s="218">
        <f t="shared" si="14"/>
        <v>0</v>
      </c>
      <c r="J94" s="218">
        <f t="shared" si="15"/>
        <v>0</v>
      </c>
      <c r="K94" s="102" t="str">
        <f t="shared" si="16"/>
        <v/>
      </c>
      <c r="L94" s="221"/>
      <c r="M94" s="325"/>
      <c r="N94" s="94"/>
      <c r="O94" s="326"/>
      <c r="P94" s="84"/>
      <c r="Q94" s="88"/>
      <c r="R94" s="102">
        <f t="shared" si="12"/>
        <v>0</v>
      </c>
      <c r="S94" s="89"/>
      <c r="T94" s="100"/>
      <c r="U94" s="100"/>
      <c r="V94" s="100"/>
      <c r="W94" s="100"/>
      <c r="X94" s="100"/>
      <c r="Y94" s="83"/>
      <c r="Z94" s="304"/>
      <c r="AA94" s="304"/>
      <c r="AB94" s="304"/>
      <c r="AC94" s="304"/>
      <c r="AD94" s="304"/>
      <c r="AE94" s="304"/>
      <c r="AF94" s="304"/>
      <c r="AG94" s="304"/>
      <c r="AH94" s="304"/>
      <c r="AI94" s="304"/>
      <c r="AJ94" s="304"/>
      <c r="AK94" s="304"/>
      <c r="AL94" s="304"/>
      <c r="AM94" s="304"/>
      <c r="AN94" s="304"/>
      <c r="AO94" s="304"/>
      <c r="AP94" s="304"/>
      <c r="AQ94" s="304"/>
      <c r="AR94" s="304"/>
      <c r="AS94" s="304"/>
      <c r="AT94" s="304"/>
      <c r="AU94" s="304"/>
      <c r="AV94" s="304"/>
      <c r="AW94" s="304"/>
      <c r="AX94" s="304"/>
      <c r="AY94" s="304"/>
      <c r="AZ94" s="304"/>
      <c r="BA94" s="304"/>
      <c r="BB94" s="304"/>
      <c r="BC94" s="304"/>
      <c r="BD94" s="304"/>
      <c r="BE94" s="304"/>
      <c r="BF94" s="304"/>
      <c r="BG94" s="304"/>
      <c r="BH94" s="304"/>
      <c r="BI94" s="304"/>
      <c r="BJ94" s="304"/>
      <c r="BK94" s="304"/>
      <c r="BL94" s="304"/>
      <c r="BM94" s="304"/>
      <c r="BN94" s="304"/>
      <c r="BO94" s="304"/>
      <c r="BP94" s="304"/>
      <c r="BQ94" s="304"/>
      <c r="BR94" s="304"/>
      <c r="BS94" s="304"/>
      <c r="BT94" s="304"/>
      <c r="BU94" s="304"/>
      <c r="BV94" s="304"/>
      <c r="BW94" s="304"/>
      <c r="BX94" s="304"/>
      <c r="BY94" s="304"/>
      <c r="BZ94" s="304"/>
      <c r="CA94" s="304"/>
      <c r="CB94" s="304"/>
      <c r="CC94" s="304"/>
      <c r="CD94" s="304"/>
      <c r="CE94" s="304"/>
      <c r="CF94" s="304"/>
      <c r="CG94" s="304"/>
      <c r="CH94" s="304"/>
      <c r="CI94" s="304"/>
      <c r="CJ94" s="304"/>
      <c r="CK94" s="304"/>
      <c r="CL94" s="304"/>
      <c r="CM94" s="304"/>
      <c r="CN94" s="304"/>
      <c r="CO94" s="304"/>
      <c r="CP94" s="304"/>
    </row>
    <row r="95" spans="1:94" s="87" customFormat="1">
      <c r="A95" s="81"/>
      <c r="B95" s="83"/>
      <c r="C95" s="82"/>
      <c r="D95" s="102"/>
      <c r="E95" s="102"/>
      <c r="F95" s="102"/>
      <c r="G95" s="225"/>
      <c r="H95" s="218">
        <f t="shared" si="13"/>
        <v>0</v>
      </c>
      <c r="I95" s="218">
        <f t="shared" si="14"/>
        <v>0</v>
      </c>
      <c r="J95" s="218">
        <f t="shared" si="15"/>
        <v>0</v>
      </c>
      <c r="K95" s="102" t="str">
        <f t="shared" si="16"/>
        <v/>
      </c>
      <c r="L95" s="221"/>
      <c r="M95" s="325"/>
      <c r="N95" s="94"/>
      <c r="O95" s="326"/>
      <c r="P95" s="84"/>
      <c r="Q95" s="88"/>
      <c r="R95" s="102">
        <f t="shared" si="12"/>
        <v>0</v>
      </c>
      <c r="S95" s="89"/>
      <c r="T95" s="100"/>
      <c r="U95" s="100"/>
      <c r="V95" s="100"/>
      <c r="W95" s="100"/>
      <c r="X95" s="100"/>
      <c r="Y95" s="83"/>
      <c r="Z95" s="304"/>
      <c r="AA95" s="304"/>
      <c r="AB95" s="304"/>
      <c r="AC95" s="304"/>
      <c r="AD95" s="304"/>
      <c r="AE95" s="304"/>
      <c r="AF95" s="304"/>
      <c r="AG95" s="304"/>
      <c r="AH95" s="304"/>
      <c r="AI95" s="304"/>
      <c r="AJ95" s="304"/>
      <c r="AK95" s="304"/>
      <c r="AL95" s="304"/>
      <c r="AM95" s="304"/>
      <c r="AN95" s="304"/>
      <c r="AO95" s="304"/>
      <c r="AP95" s="304"/>
      <c r="AQ95" s="304"/>
      <c r="AR95" s="304"/>
      <c r="AS95" s="304"/>
      <c r="AT95" s="304"/>
      <c r="AU95" s="304"/>
      <c r="AV95" s="304"/>
      <c r="AW95" s="304"/>
      <c r="AX95" s="304"/>
      <c r="AY95" s="304"/>
      <c r="AZ95" s="304"/>
      <c r="BA95" s="304"/>
      <c r="BB95" s="304"/>
      <c r="BC95" s="304"/>
      <c r="BD95" s="304"/>
      <c r="BE95" s="304"/>
      <c r="BF95" s="304"/>
      <c r="BG95" s="304"/>
      <c r="BH95" s="304"/>
      <c r="BI95" s="304"/>
      <c r="BJ95" s="304"/>
      <c r="BK95" s="304"/>
      <c r="BL95" s="304"/>
      <c r="BM95" s="304"/>
      <c r="BN95" s="304"/>
      <c r="BO95" s="304"/>
      <c r="BP95" s="304"/>
      <c r="BQ95" s="304"/>
      <c r="BR95" s="304"/>
      <c r="BS95" s="304"/>
      <c r="BT95" s="304"/>
      <c r="BU95" s="304"/>
      <c r="BV95" s="304"/>
      <c r="BW95" s="304"/>
      <c r="BX95" s="304"/>
      <c r="BY95" s="304"/>
      <c r="BZ95" s="304"/>
      <c r="CA95" s="304"/>
      <c r="CB95" s="304"/>
      <c r="CC95" s="304"/>
      <c r="CD95" s="304"/>
      <c r="CE95" s="304"/>
      <c r="CF95" s="304"/>
      <c r="CG95" s="304"/>
      <c r="CH95" s="304"/>
      <c r="CI95" s="304"/>
      <c r="CJ95" s="304"/>
      <c r="CK95" s="304"/>
      <c r="CL95" s="304"/>
      <c r="CM95" s="304"/>
      <c r="CN95" s="304"/>
      <c r="CO95" s="304"/>
      <c r="CP95" s="304"/>
    </row>
    <row r="96" spans="1:94" s="87" customFormat="1">
      <c r="A96" s="81"/>
      <c r="B96" s="83"/>
      <c r="C96" s="82"/>
      <c r="D96" s="102"/>
      <c r="E96" s="102"/>
      <c r="F96" s="102"/>
      <c r="G96" s="225"/>
      <c r="H96" s="218">
        <f t="shared" si="13"/>
        <v>0</v>
      </c>
      <c r="I96" s="218">
        <f t="shared" si="14"/>
        <v>0</v>
      </c>
      <c r="J96" s="218">
        <f t="shared" si="15"/>
        <v>0</v>
      </c>
      <c r="K96" s="102" t="str">
        <f t="shared" si="16"/>
        <v/>
      </c>
      <c r="L96" s="221"/>
      <c r="M96" s="325"/>
      <c r="N96" s="94"/>
      <c r="O96" s="326"/>
      <c r="P96" s="84"/>
      <c r="Q96" s="88"/>
      <c r="R96" s="102">
        <f t="shared" si="12"/>
        <v>0</v>
      </c>
      <c r="S96" s="89"/>
      <c r="T96" s="100"/>
      <c r="U96" s="100"/>
      <c r="V96" s="100"/>
      <c r="W96" s="100"/>
      <c r="X96" s="100"/>
      <c r="Y96" s="83"/>
      <c r="Z96" s="304"/>
      <c r="AA96" s="304"/>
      <c r="AB96" s="304"/>
      <c r="AC96" s="304"/>
      <c r="AD96" s="304"/>
      <c r="AE96" s="304"/>
      <c r="AF96" s="304"/>
      <c r="AG96" s="304"/>
      <c r="AH96" s="304"/>
      <c r="AI96" s="304"/>
      <c r="AJ96" s="304"/>
      <c r="AK96" s="304"/>
      <c r="AL96" s="304"/>
      <c r="AM96" s="304"/>
      <c r="AN96" s="304"/>
      <c r="AO96" s="304"/>
      <c r="AP96" s="304"/>
      <c r="AQ96" s="304"/>
      <c r="AR96" s="304"/>
      <c r="AS96" s="304"/>
      <c r="AT96" s="304"/>
      <c r="AU96" s="304"/>
      <c r="AV96" s="304"/>
      <c r="AW96" s="304"/>
      <c r="AX96" s="304"/>
      <c r="AY96" s="304"/>
      <c r="AZ96" s="304"/>
      <c r="BA96" s="304"/>
      <c r="BB96" s="304"/>
      <c r="BC96" s="304"/>
      <c r="BD96" s="304"/>
      <c r="BE96" s="304"/>
      <c r="BF96" s="304"/>
      <c r="BG96" s="304"/>
      <c r="BH96" s="304"/>
      <c r="BI96" s="304"/>
      <c r="BJ96" s="304"/>
      <c r="BK96" s="304"/>
      <c r="BL96" s="304"/>
      <c r="BM96" s="304"/>
      <c r="BN96" s="304"/>
      <c r="BO96" s="304"/>
      <c r="BP96" s="304"/>
      <c r="BQ96" s="304"/>
      <c r="BR96" s="304"/>
      <c r="BS96" s="304"/>
      <c r="BT96" s="304"/>
      <c r="BU96" s="304"/>
      <c r="BV96" s="304"/>
      <c r="BW96" s="304"/>
      <c r="BX96" s="304"/>
      <c r="BY96" s="304"/>
      <c r="BZ96" s="304"/>
      <c r="CA96" s="304"/>
      <c r="CB96" s="304"/>
      <c r="CC96" s="304"/>
      <c r="CD96" s="304"/>
      <c r="CE96" s="304"/>
      <c r="CF96" s="304"/>
      <c r="CG96" s="304"/>
      <c r="CH96" s="304"/>
      <c r="CI96" s="304"/>
      <c r="CJ96" s="304"/>
      <c r="CK96" s="304"/>
      <c r="CL96" s="304"/>
      <c r="CM96" s="304"/>
      <c r="CN96" s="304"/>
      <c r="CO96" s="304"/>
      <c r="CP96" s="304"/>
    </row>
    <row r="97" spans="1:94" s="87" customFormat="1">
      <c r="A97" s="81"/>
      <c r="B97" s="83"/>
      <c r="C97" s="82"/>
      <c r="D97" s="102"/>
      <c r="E97" s="102"/>
      <c r="F97" s="102"/>
      <c r="G97" s="225"/>
      <c r="H97" s="218">
        <f t="shared" si="13"/>
        <v>0</v>
      </c>
      <c r="I97" s="218">
        <f t="shared" si="14"/>
        <v>0</v>
      </c>
      <c r="J97" s="218">
        <f t="shared" si="15"/>
        <v>0</v>
      </c>
      <c r="K97" s="102" t="str">
        <f t="shared" si="16"/>
        <v/>
      </c>
      <c r="L97" s="221"/>
      <c r="M97" s="325"/>
      <c r="N97" s="94"/>
      <c r="O97" s="326"/>
      <c r="P97" s="84"/>
      <c r="Q97" s="88"/>
      <c r="R97" s="102">
        <f t="shared" si="12"/>
        <v>0</v>
      </c>
      <c r="S97" s="89"/>
      <c r="T97" s="100"/>
      <c r="U97" s="100"/>
      <c r="V97" s="100"/>
      <c r="W97" s="100"/>
      <c r="X97" s="100"/>
      <c r="Y97" s="83"/>
      <c r="Z97" s="304"/>
      <c r="AA97" s="304"/>
      <c r="AB97" s="304"/>
      <c r="AC97" s="304"/>
      <c r="AD97" s="304"/>
      <c r="AE97" s="304"/>
      <c r="AF97" s="304"/>
      <c r="AG97" s="304"/>
      <c r="AH97" s="304"/>
      <c r="AI97" s="304"/>
      <c r="AJ97" s="304"/>
      <c r="AK97" s="304"/>
      <c r="AL97" s="304"/>
      <c r="AM97" s="304"/>
      <c r="AN97" s="304"/>
      <c r="AO97" s="304"/>
      <c r="AP97" s="304"/>
      <c r="AQ97" s="304"/>
      <c r="AR97" s="304"/>
      <c r="AS97" s="304"/>
      <c r="AT97" s="304"/>
      <c r="AU97" s="304"/>
      <c r="AV97" s="304"/>
      <c r="AW97" s="304"/>
      <c r="AX97" s="304"/>
      <c r="AY97" s="304"/>
      <c r="AZ97" s="304"/>
      <c r="BA97" s="304"/>
      <c r="BB97" s="304"/>
      <c r="BC97" s="304"/>
      <c r="BD97" s="304"/>
      <c r="BE97" s="304"/>
      <c r="BF97" s="304"/>
      <c r="BG97" s="304"/>
      <c r="BH97" s="304"/>
      <c r="BI97" s="304"/>
      <c r="BJ97" s="304"/>
      <c r="BK97" s="304"/>
      <c r="BL97" s="304"/>
      <c r="BM97" s="304"/>
      <c r="BN97" s="304"/>
      <c r="BO97" s="304"/>
      <c r="BP97" s="304"/>
      <c r="BQ97" s="304"/>
      <c r="BR97" s="304"/>
      <c r="BS97" s="304"/>
      <c r="BT97" s="304"/>
      <c r="BU97" s="304"/>
      <c r="BV97" s="304"/>
      <c r="BW97" s="304"/>
      <c r="BX97" s="304"/>
      <c r="BY97" s="304"/>
      <c r="BZ97" s="304"/>
      <c r="CA97" s="304"/>
      <c r="CB97" s="304"/>
      <c r="CC97" s="304"/>
      <c r="CD97" s="304"/>
      <c r="CE97" s="304"/>
      <c r="CF97" s="304"/>
      <c r="CG97" s="304"/>
      <c r="CH97" s="304"/>
      <c r="CI97" s="304"/>
      <c r="CJ97" s="304"/>
      <c r="CK97" s="304"/>
      <c r="CL97" s="304"/>
      <c r="CM97" s="304"/>
      <c r="CN97" s="304"/>
      <c r="CO97" s="304"/>
      <c r="CP97" s="304"/>
    </row>
    <row r="98" spans="1:94" s="87" customFormat="1">
      <c r="A98" s="81"/>
      <c r="B98" s="83"/>
      <c r="C98" s="82"/>
      <c r="D98" s="102"/>
      <c r="E98" s="102"/>
      <c r="F98" s="102"/>
      <c r="G98" s="225"/>
      <c r="H98" s="218">
        <f t="shared" si="13"/>
        <v>0</v>
      </c>
      <c r="I98" s="218">
        <f t="shared" si="14"/>
        <v>0</v>
      </c>
      <c r="J98" s="218">
        <f t="shared" si="15"/>
        <v>0</v>
      </c>
      <c r="K98" s="102" t="str">
        <f t="shared" si="16"/>
        <v/>
      </c>
      <c r="L98" s="221"/>
      <c r="M98" s="325"/>
      <c r="N98" s="94"/>
      <c r="O98" s="326"/>
      <c r="P98" s="84"/>
      <c r="Q98" s="88"/>
      <c r="R98" s="102">
        <f t="shared" si="12"/>
        <v>0</v>
      </c>
      <c r="S98" s="89"/>
      <c r="T98" s="100"/>
      <c r="U98" s="100"/>
      <c r="V98" s="100"/>
      <c r="W98" s="100"/>
      <c r="X98" s="100"/>
      <c r="Y98" s="83"/>
      <c r="Z98" s="304"/>
      <c r="AA98" s="304"/>
      <c r="AB98" s="304"/>
      <c r="AC98" s="304"/>
      <c r="AD98" s="304"/>
      <c r="AE98" s="304"/>
      <c r="AF98" s="304"/>
      <c r="AG98" s="304"/>
      <c r="AH98" s="304"/>
      <c r="AI98" s="304"/>
      <c r="AJ98" s="304"/>
      <c r="AK98" s="304"/>
      <c r="AL98" s="304"/>
      <c r="AM98" s="304"/>
      <c r="AN98" s="304"/>
      <c r="AO98" s="304"/>
      <c r="AP98" s="304"/>
      <c r="AQ98" s="304"/>
      <c r="AR98" s="304"/>
      <c r="AS98" s="304"/>
      <c r="AT98" s="304"/>
      <c r="AU98" s="304"/>
      <c r="AV98" s="304"/>
      <c r="AW98" s="304"/>
      <c r="AX98" s="304"/>
      <c r="AY98" s="304"/>
      <c r="AZ98" s="304"/>
      <c r="BA98" s="304"/>
      <c r="BB98" s="304"/>
      <c r="BC98" s="304"/>
      <c r="BD98" s="304"/>
      <c r="BE98" s="304"/>
      <c r="BF98" s="304"/>
      <c r="BG98" s="304"/>
      <c r="BH98" s="304"/>
      <c r="BI98" s="304"/>
      <c r="BJ98" s="304"/>
      <c r="BK98" s="304"/>
      <c r="BL98" s="304"/>
      <c r="BM98" s="304"/>
      <c r="BN98" s="304"/>
      <c r="BO98" s="304"/>
      <c r="BP98" s="304"/>
      <c r="BQ98" s="304"/>
      <c r="BR98" s="304"/>
      <c r="BS98" s="304"/>
      <c r="BT98" s="304"/>
      <c r="BU98" s="304"/>
      <c r="BV98" s="304"/>
      <c r="BW98" s="304"/>
      <c r="BX98" s="304"/>
      <c r="BY98" s="304"/>
      <c r="BZ98" s="304"/>
      <c r="CA98" s="304"/>
      <c r="CB98" s="304"/>
      <c r="CC98" s="304"/>
      <c r="CD98" s="304"/>
      <c r="CE98" s="304"/>
      <c r="CF98" s="304"/>
      <c r="CG98" s="304"/>
      <c r="CH98" s="304"/>
      <c r="CI98" s="304"/>
      <c r="CJ98" s="304"/>
      <c r="CK98" s="304"/>
      <c r="CL98" s="304"/>
      <c r="CM98" s="304"/>
      <c r="CN98" s="304"/>
      <c r="CO98" s="304"/>
      <c r="CP98" s="304"/>
    </row>
    <row r="99" spans="1:94" s="87" customFormat="1">
      <c r="A99" s="81"/>
      <c r="B99" s="83"/>
      <c r="C99" s="82"/>
      <c r="D99" s="102"/>
      <c r="E99" s="102"/>
      <c r="F99" s="102"/>
      <c r="G99" s="225"/>
      <c r="H99" s="218">
        <f t="shared" si="13"/>
        <v>0</v>
      </c>
      <c r="I99" s="218">
        <f t="shared" si="14"/>
        <v>0</v>
      </c>
      <c r="J99" s="218">
        <f t="shared" si="15"/>
        <v>0</v>
      </c>
      <c r="K99" s="102" t="str">
        <f t="shared" si="16"/>
        <v/>
      </c>
      <c r="L99" s="221"/>
      <c r="M99" s="325"/>
      <c r="N99" s="94"/>
      <c r="O99" s="326"/>
      <c r="P99" s="84"/>
      <c r="Q99" s="88"/>
      <c r="R99" s="102">
        <f t="shared" si="12"/>
        <v>0</v>
      </c>
      <c r="S99" s="89"/>
      <c r="T99" s="100"/>
      <c r="U99" s="100"/>
      <c r="V99" s="100"/>
      <c r="W99" s="100"/>
      <c r="X99" s="100"/>
      <c r="Y99" s="83"/>
      <c r="Z99" s="304"/>
      <c r="AA99" s="304"/>
      <c r="AB99" s="304"/>
      <c r="AC99" s="304"/>
      <c r="AD99" s="304"/>
      <c r="AE99" s="304"/>
      <c r="AF99" s="304"/>
      <c r="AG99" s="304"/>
      <c r="AH99" s="304"/>
      <c r="AI99" s="304"/>
      <c r="AJ99" s="304"/>
      <c r="AK99" s="304"/>
      <c r="AL99" s="304"/>
      <c r="AM99" s="304"/>
      <c r="AN99" s="304"/>
      <c r="AO99" s="304"/>
      <c r="AP99" s="304"/>
      <c r="AQ99" s="304"/>
      <c r="AR99" s="304"/>
      <c r="AS99" s="304"/>
      <c r="AT99" s="304"/>
      <c r="AU99" s="304"/>
      <c r="AV99" s="304"/>
      <c r="AW99" s="304"/>
      <c r="AX99" s="304"/>
      <c r="AY99" s="304"/>
      <c r="AZ99" s="304"/>
      <c r="BA99" s="304"/>
      <c r="BB99" s="304"/>
      <c r="BC99" s="304"/>
      <c r="BD99" s="304"/>
      <c r="BE99" s="304"/>
      <c r="BF99" s="304"/>
      <c r="BG99" s="304"/>
      <c r="BH99" s="304"/>
      <c r="BI99" s="304"/>
      <c r="BJ99" s="304"/>
      <c r="BK99" s="304"/>
      <c r="BL99" s="304"/>
      <c r="BM99" s="304"/>
      <c r="BN99" s="304"/>
      <c r="BO99" s="304"/>
      <c r="BP99" s="304"/>
      <c r="BQ99" s="304"/>
      <c r="BR99" s="304"/>
      <c r="BS99" s="304"/>
      <c r="BT99" s="304"/>
      <c r="BU99" s="304"/>
      <c r="BV99" s="304"/>
      <c r="BW99" s="304"/>
      <c r="BX99" s="304"/>
      <c r="BY99" s="304"/>
      <c r="BZ99" s="304"/>
      <c r="CA99" s="304"/>
      <c r="CB99" s="304"/>
      <c r="CC99" s="304"/>
      <c r="CD99" s="304"/>
      <c r="CE99" s="304"/>
      <c r="CF99" s="304"/>
      <c r="CG99" s="304"/>
      <c r="CH99" s="304"/>
      <c r="CI99" s="304"/>
      <c r="CJ99" s="304"/>
      <c r="CK99" s="304"/>
      <c r="CL99" s="304"/>
      <c r="CM99" s="304"/>
      <c r="CN99" s="304"/>
      <c r="CO99" s="304"/>
      <c r="CP99" s="304"/>
    </row>
    <row r="100" spans="1:94" s="87" customFormat="1">
      <c r="A100" s="81"/>
      <c r="B100" s="83"/>
      <c r="C100" s="82"/>
      <c r="D100" s="102"/>
      <c r="E100" s="102"/>
      <c r="F100" s="102"/>
      <c r="G100" s="225"/>
      <c r="H100" s="218">
        <f t="shared" si="13"/>
        <v>0</v>
      </c>
      <c r="I100" s="218">
        <f t="shared" si="14"/>
        <v>0</v>
      </c>
      <c r="J100" s="218">
        <f t="shared" si="15"/>
        <v>0</v>
      </c>
      <c r="K100" s="102" t="str">
        <f t="shared" si="16"/>
        <v/>
      </c>
      <c r="L100" s="221"/>
      <c r="M100" s="325"/>
      <c r="N100" s="94"/>
      <c r="O100" s="326"/>
      <c r="P100" s="84"/>
      <c r="Q100" s="88"/>
      <c r="R100" s="102">
        <f t="shared" si="12"/>
        <v>0</v>
      </c>
      <c r="S100" s="89"/>
      <c r="T100" s="100"/>
      <c r="U100" s="100"/>
      <c r="V100" s="100"/>
      <c r="W100" s="100"/>
      <c r="X100" s="100"/>
      <c r="Y100" s="83"/>
      <c r="Z100" s="304"/>
      <c r="AA100" s="304"/>
      <c r="AB100" s="304"/>
      <c r="AC100" s="304"/>
      <c r="AD100" s="304"/>
      <c r="AE100" s="304"/>
      <c r="AF100" s="304"/>
      <c r="AG100" s="304"/>
      <c r="AH100" s="304"/>
      <c r="AI100" s="304"/>
      <c r="AJ100" s="304"/>
      <c r="AK100" s="304"/>
      <c r="AL100" s="304"/>
      <c r="AM100" s="304"/>
      <c r="AN100" s="304"/>
      <c r="AO100" s="304"/>
      <c r="AP100" s="304"/>
      <c r="AQ100" s="304"/>
      <c r="AR100" s="304"/>
      <c r="AS100" s="304"/>
      <c r="AT100" s="304"/>
      <c r="AU100" s="304"/>
      <c r="AV100" s="304"/>
      <c r="AW100" s="304"/>
      <c r="AX100" s="304"/>
      <c r="AY100" s="304"/>
      <c r="AZ100" s="304"/>
      <c r="BA100" s="304"/>
      <c r="BB100" s="304"/>
      <c r="BC100" s="304"/>
      <c r="BD100" s="304"/>
      <c r="BE100" s="304"/>
      <c r="BF100" s="304"/>
      <c r="BG100" s="304"/>
      <c r="BH100" s="304"/>
      <c r="BI100" s="304"/>
      <c r="BJ100" s="304"/>
      <c r="BK100" s="304"/>
      <c r="BL100" s="304"/>
      <c r="BM100" s="304"/>
      <c r="BN100" s="304"/>
      <c r="BO100" s="304"/>
      <c r="BP100" s="304"/>
      <c r="BQ100" s="304"/>
      <c r="BR100" s="304"/>
      <c r="BS100" s="304"/>
      <c r="BT100" s="304"/>
      <c r="BU100" s="304"/>
      <c r="BV100" s="304"/>
      <c r="BW100" s="304"/>
      <c r="BX100" s="304"/>
      <c r="BY100" s="304"/>
      <c r="BZ100" s="304"/>
      <c r="CA100" s="304"/>
      <c r="CB100" s="304"/>
      <c r="CC100" s="304"/>
      <c r="CD100" s="304"/>
      <c r="CE100" s="304"/>
      <c r="CF100" s="304"/>
      <c r="CG100" s="304"/>
      <c r="CH100" s="304"/>
      <c r="CI100" s="304"/>
      <c r="CJ100" s="304"/>
      <c r="CK100" s="304"/>
      <c r="CL100" s="304"/>
      <c r="CM100" s="304"/>
      <c r="CN100" s="304"/>
      <c r="CO100" s="304"/>
      <c r="CP100" s="304"/>
    </row>
    <row r="101" spans="1:94" s="87" customFormat="1">
      <c r="A101" s="81"/>
      <c r="B101" s="83"/>
      <c r="C101" s="82"/>
      <c r="D101" s="102"/>
      <c r="E101" s="102"/>
      <c r="F101" s="102"/>
      <c r="G101" s="225"/>
      <c r="H101" s="218">
        <f t="shared" si="13"/>
        <v>0</v>
      </c>
      <c r="I101" s="218">
        <f t="shared" si="14"/>
        <v>0</v>
      </c>
      <c r="J101" s="218">
        <f t="shared" si="15"/>
        <v>0</v>
      </c>
      <c r="K101" s="102" t="str">
        <f t="shared" si="16"/>
        <v/>
      </c>
      <c r="L101" s="221"/>
      <c r="M101" s="325"/>
      <c r="N101" s="94"/>
      <c r="O101" s="326"/>
      <c r="P101" s="84"/>
      <c r="Q101" s="88"/>
      <c r="R101" s="102">
        <f t="shared" si="12"/>
        <v>0</v>
      </c>
      <c r="S101" s="89"/>
      <c r="T101" s="100"/>
      <c r="U101" s="100"/>
      <c r="V101" s="100"/>
      <c r="W101" s="100"/>
      <c r="X101" s="100"/>
      <c r="Y101" s="83"/>
      <c r="Z101" s="304"/>
      <c r="AA101" s="304"/>
      <c r="AB101" s="304"/>
      <c r="AC101" s="304"/>
      <c r="AD101" s="304"/>
      <c r="AE101" s="304"/>
      <c r="AF101" s="304"/>
      <c r="AG101" s="304"/>
      <c r="AH101" s="304"/>
      <c r="AI101" s="304"/>
      <c r="AJ101" s="304"/>
      <c r="AK101" s="304"/>
      <c r="AL101" s="304"/>
      <c r="AM101" s="304"/>
      <c r="AN101" s="304"/>
      <c r="AO101" s="304"/>
      <c r="AP101" s="304"/>
      <c r="AQ101" s="304"/>
      <c r="AR101" s="304"/>
      <c r="AS101" s="304"/>
      <c r="AT101" s="304"/>
      <c r="AU101" s="304"/>
      <c r="AV101" s="304"/>
      <c r="AW101" s="304"/>
      <c r="AX101" s="304"/>
      <c r="AY101" s="304"/>
      <c r="AZ101" s="304"/>
      <c r="BA101" s="304"/>
      <c r="BB101" s="304"/>
      <c r="BC101" s="304"/>
      <c r="BD101" s="304"/>
      <c r="BE101" s="304"/>
      <c r="BF101" s="304"/>
      <c r="BG101" s="304"/>
      <c r="BH101" s="304"/>
      <c r="BI101" s="304"/>
      <c r="BJ101" s="304"/>
      <c r="BK101" s="304"/>
      <c r="BL101" s="304"/>
      <c r="BM101" s="304"/>
      <c r="BN101" s="304"/>
      <c r="BO101" s="304"/>
      <c r="BP101" s="304"/>
      <c r="BQ101" s="304"/>
      <c r="BR101" s="304"/>
      <c r="BS101" s="304"/>
      <c r="BT101" s="304"/>
      <c r="BU101" s="304"/>
      <c r="BV101" s="304"/>
      <c r="BW101" s="304"/>
      <c r="BX101" s="304"/>
      <c r="BY101" s="304"/>
      <c r="BZ101" s="304"/>
      <c r="CA101" s="304"/>
      <c r="CB101" s="304"/>
      <c r="CC101" s="304"/>
      <c r="CD101" s="304"/>
      <c r="CE101" s="304"/>
      <c r="CF101" s="304"/>
      <c r="CG101" s="304"/>
      <c r="CH101" s="304"/>
      <c r="CI101" s="304"/>
      <c r="CJ101" s="304"/>
      <c r="CK101" s="304"/>
      <c r="CL101" s="304"/>
      <c r="CM101" s="304"/>
      <c r="CN101" s="304"/>
      <c r="CO101" s="304"/>
      <c r="CP101" s="304"/>
    </row>
    <row r="102" spans="1:94" s="87" customFormat="1">
      <c r="A102" s="81"/>
      <c r="B102" s="83"/>
      <c r="C102" s="82"/>
      <c r="D102" s="102"/>
      <c r="E102" s="102"/>
      <c r="F102" s="102"/>
      <c r="G102" s="225"/>
      <c r="H102" s="218">
        <f t="shared" si="13"/>
        <v>0</v>
      </c>
      <c r="I102" s="218">
        <f t="shared" si="14"/>
        <v>0</v>
      </c>
      <c r="J102" s="218">
        <f t="shared" si="15"/>
        <v>0</v>
      </c>
      <c r="K102" s="102" t="str">
        <f t="shared" si="16"/>
        <v/>
      </c>
      <c r="L102" s="221"/>
      <c r="M102" s="325"/>
      <c r="N102" s="94"/>
      <c r="O102" s="326"/>
      <c r="P102" s="84"/>
      <c r="Q102" s="88"/>
      <c r="R102" s="102">
        <f t="shared" si="12"/>
        <v>0</v>
      </c>
      <c r="S102" s="89"/>
      <c r="T102" s="100"/>
      <c r="U102" s="100"/>
      <c r="V102" s="100"/>
      <c r="W102" s="100"/>
      <c r="X102" s="100"/>
      <c r="Y102" s="83"/>
      <c r="Z102" s="304"/>
      <c r="AA102" s="304"/>
      <c r="AB102" s="304"/>
      <c r="AC102" s="304"/>
      <c r="AD102" s="304"/>
      <c r="AE102" s="304"/>
      <c r="AF102" s="304"/>
      <c r="AG102" s="304"/>
      <c r="AH102" s="304"/>
      <c r="AI102" s="304"/>
      <c r="AJ102" s="304"/>
      <c r="AK102" s="304"/>
      <c r="AL102" s="304"/>
      <c r="AM102" s="304"/>
      <c r="AN102" s="304"/>
      <c r="AO102" s="304"/>
      <c r="AP102" s="304"/>
      <c r="AQ102" s="304"/>
      <c r="AR102" s="304"/>
      <c r="AS102" s="304"/>
      <c r="AT102" s="304"/>
      <c r="AU102" s="304"/>
      <c r="AV102" s="304"/>
      <c r="AW102" s="304"/>
      <c r="AX102" s="304"/>
      <c r="AY102" s="304"/>
      <c r="AZ102" s="304"/>
      <c r="BA102" s="304"/>
      <c r="BB102" s="304"/>
      <c r="BC102" s="304"/>
      <c r="BD102" s="304"/>
      <c r="BE102" s="304"/>
      <c r="BF102" s="304"/>
      <c r="BG102" s="304"/>
      <c r="BH102" s="304"/>
      <c r="BI102" s="304"/>
      <c r="BJ102" s="304"/>
      <c r="BK102" s="304"/>
      <c r="BL102" s="304"/>
      <c r="BM102" s="304"/>
      <c r="BN102" s="304"/>
      <c r="BO102" s="304"/>
      <c r="BP102" s="304"/>
      <c r="BQ102" s="304"/>
      <c r="BR102" s="304"/>
      <c r="BS102" s="304"/>
      <c r="BT102" s="304"/>
      <c r="BU102" s="304"/>
      <c r="BV102" s="304"/>
      <c r="BW102" s="304"/>
      <c r="BX102" s="304"/>
      <c r="BY102" s="304"/>
      <c r="BZ102" s="304"/>
      <c r="CA102" s="304"/>
      <c r="CB102" s="304"/>
      <c r="CC102" s="304"/>
      <c r="CD102" s="304"/>
      <c r="CE102" s="304"/>
      <c r="CF102" s="304"/>
      <c r="CG102" s="304"/>
      <c r="CH102" s="304"/>
      <c r="CI102" s="304"/>
      <c r="CJ102" s="304"/>
      <c r="CK102" s="304"/>
      <c r="CL102" s="304"/>
      <c r="CM102" s="304"/>
      <c r="CN102" s="304"/>
      <c r="CO102" s="304"/>
      <c r="CP102" s="304"/>
    </row>
    <row r="103" spans="1:94" s="87" customFormat="1">
      <c r="A103" s="81"/>
      <c r="B103" s="83"/>
      <c r="C103" s="82"/>
      <c r="D103" s="102"/>
      <c r="E103" s="102"/>
      <c r="F103" s="102"/>
      <c r="G103" s="225"/>
      <c r="H103" s="218">
        <f t="shared" si="13"/>
        <v>0</v>
      </c>
      <c r="I103" s="218">
        <f t="shared" si="14"/>
        <v>0</v>
      </c>
      <c r="J103" s="218">
        <f t="shared" si="15"/>
        <v>0</v>
      </c>
      <c r="K103" s="102" t="str">
        <f t="shared" si="16"/>
        <v/>
      </c>
      <c r="L103" s="221"/>
      <c r="M103" s="325"/>
      <c r="N103" s="94"/>
      <c r="O103" s="326"/>
      <c r="P103" s="84"/>
      <c r="Q103" s="88"/>
      <c r="R103" s="102">
        <f t="shared" si="12"/>
        <v>0</v>
      </c>
      <c r="S103" s="89"/>
      <c r="T103" s="100"/>
      <c r="U103" s="100"/>
      <c r="V103" s="100"/>
      <c r="W103" s="100"/>
      <c r="X103" s="100"/>
      <c r="Y103" s="83"/>
      <c r="Z103" s="304"/>
      <c r="AA103" s="304"/>
      <c r="AB103" s="304"/>
      <c r="AC103" s="304"/>
      <c r="AD103" s="304"/>
      <c r="AE103" s="304"/>
      <c r="AF103" s="304"/>
      <c r="AG103" s="304"/>
      <c r="AH103" s="304"/>
      <c r="AI103" s="304"/>
      <c r="AJ103" s="304"/>
      <c r="AK103" s="304"/>
      <c r="AL103" s="304"/>
      <c r="AM103" s="304"/>
      <c r="AN103" s="304"/>
      <c r="AO103" s="304"/>
      <c r="AP103" s="304"/>
      <c r="AQ103" s="304"/>
      <c r="AR103" s="304"/>
      <c r="AS103" s="304"/>
      <c r="AT103" s="304"/>
      <c r="AU103" s="304"/>
      <c r="AV103" s="304"/>
      <c r="AW103" s="304"/>
      <c r="AX103" s="304"/>
      <c r="AY103" s="304"/>
      <c r="AZ103" s="304"/>
      <c r="BA103" s="304"/>
      <c r="BB103" s="304"/>
      <c r="BC103" s="304"/>
      <c r="BD103" s="304"/>
      <c r="BE103" s="304"/>
      <c r="BF103" s="304"/>
      <c r="BG103" s="304"/>
      <c r="BH103" s="304"/>
      <c r="BI103" s="304"/>
      <c r="BJ103" s="304"/>
      <c r="BK103" s="304"/>
      <c r="BL103" s="304"/>
      <c r="BM103" s="304"/>
      <c r="BN103" s="304"/>
      <c r="BO103" s="304"/>
      <c r="BP103" s="304"/>
      <c r="BQ103" s="304"/>
      <c r="BR103" s="304"/>
      <c r="BS103" s="304"/>
      <c r="BT103" s="304"/>
      <c r="BU103" s="304"/>
      <c r="BV103" s="304"/>
      <c r="BW103" s="304"/>
      <c r="BX103" s="304"/>
      <c r="BY103" s="304"/>
      <c r="BZ103" s="304"/>
      <c r="CA103" s="304"/>
      <c r="CB103" s="304"/>
      <c r="CC103" s="304"/>
      <c r="CD103" s="304"/>
      <c r="CE103" s="304"/>
      <c r="CF103" s="304"/>
      <c r="CG103" s="304"/>
      <c r="CH103" s="304"/>
      <c r="CI103" s="304"/>
      <c r="CJ103" s="304"/>
      <c r="CK103" s="304"/>
      <c r="CL103" s="304"/>
      <c r="CM103" s="304"/>
      <c r="CN103" s="304"/>
      <c r="CO103" s="304"/>
      <c r="CP103" s="304"/>
    </row>
    <row r="104" spans="1:94" s="87" customFormat="1">
      <c r="A104" s="81"/>
      <c r="B104" s="83"/>
      <c r="C104" s="82"/>
      <c r="D104" s="102"/>
      <c r="E104" s="102"/>
      <c r="F104" s="102"/>
      <c r="G104" s="225"/>
      <c r="H104" s="218">
        <f t="shared" si="13"/>
        <v>0</v>
      </c>
      <c r="I104" s="218">
        <f t="shared" si="14"/>
        <v>0</v>
      </c>
      <c r="J104" s="218">
        <f t="shared" si="15"/>
        <v>0</v>
      </c>
      <c r="K104" s="102" t="str">
        <f t="shared" si="16"/>
        <v/>
      </c>
      <c r="L104" s="221"/>
      <c r="M104" s="325"/>
      <c r="N104" s="94"/>
      <c r="O104" s="326"/>
      <c r="P104" s="84"/>
      <c r="Q104" s="88"/>
      <c r="R104" s="102">
        <f t="shared" si="12"/>
        <v>0</v>
      </c>
      <c r="S104" s="89"/>
      <c r="T104" s="100"/>
      <c r="U104" s="100"/>
      <c r="V104" s="100"/>
      <c r="W104" s="100"/>
      <c r="X104" s="100"/>
      <c r="Y104" s="83"/>
      <c r="Z104" s="304"/>
      <c r="AA104" s="304"/>
      <c r="AB104" s="304"/>
      <c r="AC104" s="304"/>
      <c r="AD104" s="304"/>
      <c r="AE104" s="304"/>
      <c r="AF104" s="304"/>
      <c r="AG104" s="304"/>
      <c r="AH104" s="304"/>
      <c r="AI104" s="304"/>
      <c r="AJ104" s="304"/>
      <c r="AK104" s="304"/>
      <c r="AL104" s="304"/>
      <c r="AM104" s="304"/>
      <c r="AN104" s="304"/>
      <c r="AO104" s="304"/>
      <c r="AP104" s="304"/>
      <c r="AQ104" s="304"/>
      <c r="AR104" s="304"/>
      <c r="AS104" s="304"/>
      <c r="AT104" s="304"/>
      <c r="AU104" s="304"/>
      <c r="AV104" s="304"/>
      <c r="AW104" s="304"/>
      <c r="AX104" s="304"/>
      <c r="AY104" s="304"/>
      <c r="AZ104" s="304"/>
      <c r="BA104" s="304"/>
      <c r="BB104" s="304"/>
      <c r="BC104" s="304"/>
      <c r="BD104" s="304"/>
      <c r="BE104" s="304"/>
      <c r="BF104" s="304"/>
      <c r="BG104" s="304"/>
      <c r="BH104" s="304"/>
      <c r="BI104" s="304"/>
      <c r="BJ104" s="304"/>
      <c r="BK104" s="304"/>
      <c r="BL104" s="304"/>
      <c r="BM104" s="304"/>
      <c r="BN104" s="304"/>
      <c r="BO104" s="304"/>
      <c r="BP104" s="304"/>
      <c r="BQ104" s="304"/>
      <c r="BR104" s="304"/>
      <c r="BS104" s="304"/>
      <c r="BT104" s="304"/>
      <c r="BU104" s="304"/>
      <c r="BV104" s="304"/>
      <c r="BW104" s="304"/>
      <c r="BX104" s="304"/>
      <c r="BY104" s="304"/>
      <c r="BZ104" s="304"/>
      <c r="CA104" s="304"/>
      <c r="CB104" s="304"/>
      <c r="CC104" s="304"/>
      <c r="CD104" s="304"/>
      <c r="CE104" s="304"/>
      <c r="CF104" s="304"/>
      <c r="CG104" s="304"/>
      <c r="CH104" s="304"/>
      <c r="CI104" s="304"/>
      <c r="CJ104" s="304"/>
      <c r="CK104" s="304"/>
      <c r="CL104" s="304"/>
      <c r="CM104" s="304"/>
      <c r="CN104" s="304"/>
      <c r="CO104" s="304"/>
      <c r="CP104" s="304"/>
    </row>
    <row r="105" spans="1:94" s="87" customFormat="1">
      <c r="A105" s="81"/>
      <c r="B105" s="83"/>
      <c r="C105" s="82"/>
      <c r="D105" s="102"/>
      <c r="E105" s="102"/>
      <c r="F105" s="102"/>
      <c r="G105" s="225"/>
      <c r="H105" s="218">
        <f t="shared" si="13"/>
        <v>0</v>
      </c>
      <c r="I105" s="218">
        <f t="shared" si="14"/>
        <v>0</v>
      </c>
      <c r="J105" s="218">
        <f t="shared" si="15"/>
        <v>0</v>
      </c>
      <c r="K105" s="102" t="str">
        <f t="shared" si="16"/>
        <v/>
      </c>
      <c r="L105" s="221"/>
      <c r="M105" s="325"/>
      <c r="N105" s="94"/>
      <c r="O105" s="326"/>
      <c r="P105" s="84"/>
      <c r="Q105" s="88"/>
      <c r="R105" s="102">
        <f t="shared" si="12"/>
        <v>0</v>
      </c>
      <c r="S105" s="89"/>
      <c r="T105" s="100"/>
      <c r="U105" s="100"/>
      <c r="V105" s="100"/>
      <c r="W105" s="100"/>
      <c r="X105" s="100"/>
      <c r="Y105" s="83"/>
      <c r="Z105" s="304"/>
      <c r="AA105" s="304"/>
      <c r="AB105" s="304"/>
      <c r="AC105" s="304"/>
      <c r="AD105" s="304"/>
      <c r="AE105" s="304"/>
      <c r="AF105" s="304"/>
      <c r="AG105" s="304"/>
      <c r="AH105" s="304"/>
      <c r="AI105" s="304"/>
      <c r="AJ105" s="304"/>
      <c r="AK105" s="304"/>
      <c r="AL105" s="304"/>
      <c r="AM105" s="304"/>
      <c r="AN105" s="304"/>
      <c r="AO105" s="304"/>
      <c r="AP105" s="304"/>
      <c r="AQ105" s="304"/>
      <c r="AR105" s="304"/>
      <c r="AS105" s="304"/>
      <c r="AT105" s="304"/>
      <c r="AU105" s="304"/>
      <c r="AV105" s="304"/>
      <c r="AW105" s="304"/>
      <c r="AX105" s="304"/>
      <c r="AY105" s="304"/>
      <c r="AZ105" s="304"/>
      <c r="BA105" s="304"/>
      <c r="BB105" s="304"/>
      <c r="BC105" s="304"/>
      <c r="BD105" s="304"/>
      <c r="BE105" s="304"/>
      <c r="BF105" s="304"/>
      <c r="BG105" s="304"/>
      <c r="BH105" s="304"/>
      <c r="BI105" s="304"/>
      <c r="BJ105" s="304"/>
      <c r="BK105" s="304"/>
      <c r="BL105" s="304"/>
      <c r="BM105" s="304"/>
      <c r="BN105" s="304"/>
      <c r="BO105" s="304"/>
      <c r="BP105" s="304"/>
      <c r="BQ105" s="304"/>
      <c r="BR105" s="304"/>
      <c r="BS105" s="304"/>
      <c r="BT105" s="304"/>
      <c r="BU105" s="304"/>
      <c r="BV105" s="304"/>
      <c r="BW105" s="304"/>
      <c r="BX105" s="304"/>
      <c r="BY105" s="304"/>
      <c r="BZ105" s="304"/>
      <c r="CA105" s="304"/>
      <c r="CB105" s="304"/>
      <c r="CC105" s="304"/>
      <c r="CD105" s="304"/>
      <c r="CE105" s="304"/>
      <c r="CF105" s="304"/>
      <c r="CG105" s="304"/>
      <c r="CH105" s="304"/>
      <c r="CI105" s="304"/>
      <c r="CJ105" s="304"/>
      <c r="CK105" s="304"/>
      <c r="CL105" s="304"/>
      <c r="CM105" s="304"/>
      <c r="CN105" s="304"/>
      <c r="CO105" s="304"/>
      <c r="CP105" s="304"/>
    </row>
    <row r="106" spans="1:94" s="87" customFormat="1">
      <c r="A106" s="81"/>
      <c r="B106" s="83"/>
      <c r="C106" s="82"/>
      <c r="D106" s="102"/>
      <c r="E106" s="102"/>
      <c r="F106" s="102"/>
      <c r="G106" s="225"/>
      <c r="H106" s="218">
        <f t="shared" si="13"/>
        <v>0</v>
      </c>
      <c r="I106" s="218">
        <f t="shared" si="14"/>
        <v>0</v>
      </c>
      <c r="J106" s="218">
        <f t="shared" si="15"/>
        <v>0</v>
      </c>
      <c r="K106" s="102" t="str">
        <f t="shared" si="16"/>
        <v/>
      </c>
      <c r="L106" s="221"/>
      <c r="M106" s="325"/>
      <c r="N106" s="94"/>
      <c r="O106" s="326"/>
      <c r="P106" s="84"/>
      <c r="Q106" s="88"/>
      <c r="R106" s="102">
        <f t="shared" si="12"/>
        <v>0</v>
      </c>
      <c r="S106" s="89"/>
      <c r="T106" s="100"/>
      <c r="U106" s="100"/>
      <c r="V106" s="100"/>
      <c r="W106" s="100"/>
      <c r="X106" s="100"/>
      <c r="Y106" s="83"/>
      <c r="Z106" s="304"/>
      <c r="AA106" s="304"/>
      <c r="AB106" s="304"/>
      <c r="AC106" s="304"/>
      <c r="AD106" s="304"/>
      <c r="AE106" s="304"/>
      <c r="AF106" s="304"/>
      <c r="AG106" s="304"/>
      <c r="AH106" s="304"/>
      <c r="AI106" s="304"/>
      <c r="AJ106" s="304"/>
      <c r="AK106" s="304"/>
      <c r="AL106" s="304"/>
      <c r="AM106" s="304"/>
      <c r="AN106" s="304"/>
      <c r="AO106" s="304"/>
      <c r="AP106" s="304"/>
      <c r="AQ106" s="304"/>
      <c r="AR106" s="304"/>
      <c r="AS106" s="304"/>
      <c r="AT106" s="304"/>
      <c r="AU106" s="304"/>
      <c r="AV106" s="304"/>
      <c r="AW106" s="304"/>
      <c r="AX106" s="304"/>
      <c r="AY106" s="304"/>
      <c r="AZ106" s="304"/>
      <c r="BA106" s="304"/>
      <c r="BB106" s="304"/>
      <c r="BC106" s="304"/>
      <c r="BD106" s="304"/>
      <c r="BE106" s="304"/>
      <c r="BF106" s="304"/>
      <c r="BG106" s="304"/>
      <c r="BH106" s="304"/>
      <c r="BI106" s="304"/>
      <c r="BJ106" s="304"/>
      <c r="BK106" s="304"/>
      <c r="BL106" s="304"/>
      <c r="BM106" s="304"/>
      <c r="BN106" s="304"/>
      <c r="BO106" s="304"/>
      <c r="BP106" s="304"/>
      <c r="BQ106" s="304"/>
      <c r="BR106" s="304"/>
      <c r="BS106" s="304"/>
      <c r="BT106" s="304"/>
      <c r="BU106" s="304"/>
      <c r="BV106" s="304"/>
      <c r="BW106" s="304"/>
      <c r="BX106" s="304"/>
      <c r="BY106" s="304"/>
      <c r="BZ106" s="304"/>
      <c r="CA106" s="304"/>
      <c r="CB106" s="304"/>
      <c r="CC106" s="304"/>
      <c r="CD106" s="304"/>
      <c r="CE106" s="304"/>
      <c r="CF106" s="304"/>
      <c r="CG106" s="304"/>
      <c r="CH106" s="304"/>
      <c r="CI106" s="304"/>
      <c r="CJ106" s="304"/>
      <c r="CK106" s="304"/>
      <c r="CL106" s="304"/>
      <c r="CM106" s="304"/>
      <c r="CN106" s="304"/>
      <c r="CO106" s="304"/>
      <c r="CP106" s="304"/>
    </row>
    <row r="107" spans="1:94" s="87" customFormat="1">
      <c r="A107" s="81"/>
      <c r="B107" s="83"/>
      <c r="C107" s="82"/>
      <c r="D107" s="102"/>
      <c r="E107" s="102"/>
      <c r="F107" s="102"/>
      <c r="G107" s="225"/>
      <c r="H107" s="218">
        <f t="shared" si="13"/>
        <v>0</v>
      </c>
      <c r="I107" s="218">
        <f t="shared" si="14"/>
        <v>0</v>
      </c>
      <c r="J107" s="218">
        <f t="shared" si="15"/>
        <v>0</v>
      </c>
      <c r="K107" s="102" t="str">
        <f t="shared" si="16"/>
        <v/>
      </c>
      <c r="L107" s="221"/>
      <c r="M107" s="325"/>
      <c r="N107" s="94"/>
      <c r="O107" s="326"/>
      <c r="P107" s="84"/>
      <c r="Q107" s="88"/>
      <c r="R107" s="102">
        <f t="shared" si="12"/>
        <v>0</v>
      </c>
      <c r="S107" s="89"/>
      <c r="T107" s="100"/>
      <c r="U107" s="100"/>
      <c r="V107" s="100"/>
      <c r="W107" s="100"/>
      <c r="X107" s="100"/>
      <c r="Y107" s="83"/>
      <c r="Z107" s="304"/>
      <c r="AA107" s="304"/>
      <c r="AB107" s="304"/>
      <c r="AC107" s="304"/>
      <c r="AD107" s="304"/>
      <c r="AE107" s="304"/>
      <c r="AF107" s="304"/>
      <c r="AG107" s="304"/>
      <c r="AH107" s="304"/>
      <c r="AI107" s="304"/>
      <c r="AJ107" s="304"/>
      <c r="AK107" s="304"/>
      <c r="AL107" s="304"/>
      <c r="AM107" s="304"/>
      <c r="AN107" s="304"/>
      <c r="AO107" s="304"/>
      <c r="AP107" s="304"/>
      <c r="AQ107" s="304"/>
      <c r="AR107" s="304"/>
      <c r="AS107" s="304"/>
      <c r="AT107" s="304"/>
      <c r="AU107" s="304"/>
      <c r="AV107" s="304"/>
      <c r="AW107" s="304"/>
      <c r="AX107" s="304"/>
      <c r="AY107" s="304"/>
      <c r="AZ107" s="304"/>
      <c r="BA107" s="304"/>
      <c r="BB107" s="304"/>
      <c r="BC107" s="304"/>
      <c r="BD107" s="304"/>
      <c r="BE107" s="304"/>
      <c r="BF107" s="304"/>
      <c r="BG107" s="304"/>
      <c r="BH107" s="304"/>
      <c r="BI107" s="304"/>
      <c r="BJ107" s="304"/>
      <c r="BK107" s="304"/>
      <c r="BL107" s="304"/>
      <c r="BM107" s="304"/>
      <c r="BN107" s="304"/>
      <c r="BO107" s="304"/>
      <c r="BP107" s="304"/>
      <c r="BQ107" s="304"/>
      <c r="BR107" s="304"/>
      <c r="BS107" s="304"/>
      <c r="BT107" s="304"/>
      <c r="BU107" s="304"/>
      <c r="BV107" s="304"/>
      <c r="BW107" s="304"/>
      <c r="BX107" s="304"/>
      <c r="BY107" s="304"/>
      <c r="BZ107" s="304"/>
      <c r="CA107" s="304"/>
      <c r="CB107" s="304"/>
      <c r="CC107" s="304"/>
      <c r="CD107" s="304"/>
      <c r="CE107" s="304"/>
      <c r="CF107" s="304"/>
      <c r="CG107" s="304"/>
      <c r="CH107" s="304"/>
      <c r="CI107" s="304"/>
      <c r="CJ107" s="304"/>
      <c r="CK107" s="304"/>
      <c r="CL107" s="304"/>
      <c r="CM107" s="304"/>
      <c r="CN107" s="304"/>
      <c r="CO107" s="304"/>
      <c r="CP107" s="304"/>
    </row>
    <row r="108" spans="1:94" s="87" customFormat="1">
      <c r="A108" s="81"/>
      <c r="B108" s="83"/>
      <c r="C108" s="82"/>
      <c r="D108" s="102"/>
      <c r="E108" s="102"/>
      <c r="F108" s="102"/>
      <c r="G108" s="225"/>
      <c r="H108" s="218">
        <f t="shared" si="13"/>
        <v>0</v>
      </c>
      <c r="I108" s="218">
        <f t="shared" si="14"/>
        <v>0</v>
      </c>
      <c r="J108" s="218">
        <f t="shared" si="15"/>
        <v>0</v>
      </c>
      <c r="K108" s="102" t="str">
        <f t="shared" si="16"/>
        <v/>
      </c>
      <c r="L108" s="221"/>
      <c r="M108" s="325"/>
      <c r="N108" s="94"/>
      <c r="O108" s="326"/>
      <c r="P108" s="84"/>
      <c r="Q108" s="88"/>
      <c r="R108" s="102">
        <f t="shared" si="12"/>
        <v>0</v>
      </c>
      <c r="S108" s="89"/>
      <c r="T108" s="100"/>
      <c r="U108" s="100"/>
      <c r="V108" s="100"/>
      <c r="W108" s="100"/>
      <c r="X108" s="100"/>
      <c r="Y108" s="83"/>
      <c r="Z108" s="304"/>
      <c r="AA108" s="304"/>
      <c r="AB108" s="304"/>
      <c r="AC108" s="304"/>
      <c r="AD108" s="304"/>
      <c r="AE108" s="304"/>
      <c r="AF108" s="304"/>
      <c r="AG108" s="304"/>
      <c r="AH108" s="304"/>
      <c r="AI108" s="304"/>
      <c r="AJ108" s="304"/>
      <c r="AK108" s="304"/>
      <c r="AL108" s="304"/>
      <c r="AM108" s="304"/>
      <c r="AN108" s="304"/>
      <c r="AO108" s="304"/>
      <c r="AP108" s="304"/>
      <c r="AQ108" s="304"/>
      <c r="AR108" s="304"/>
      <c r="AS108" s="304"/>
      <c r="AT108" s="304"/>
      <c r="AU108" s="304"/>
      <c r="AV108" s="304"/>
      <c r="AW108" s="304"/>
      <c r="AX108" s="304"/>
      <c r="AY108" s="304"/>
      <c r="AZ108" s="304"/>
      <c r="BA108" s="304"/>
      <c r="BB108" s="304"/>
      <c r="BC108" s="304"/>
      <c r="BD108" s="304"/>
      <c r="BE108" s="304"/>
      <c r="BF108" s="304"/>
      <c r="BG108" s="304"/>
      <c r="BH108" s="304"/>
      <c r="BI108" s="304"/>
      <c r="BJ108" s="304"/>
      <c r="BK108" s="304"/>
      <c r="BL108" s="304"/>
      <c r="BM108" s="304"/>
      <c r="BN108" s="304"/>
      <c r="BO108" s="304"/>
      <c r="BP108" s="304"/>
      <c r="BQ108" s="304"/>
      <c r="BR108" s="304"/>
      <c r="BS108" s="304"/>
      <c r="BT108" s="304"/>
      <c r="BU108" s="304"/>
      <c r="BV108" s="304"/>
      <c r="BW108" s="304"/>
      <c r="BX108" s="304"/>
      <c r="BY108" s="304"/>
      <c r="BZ108" s="304"/>
      <c r="CA108" s="304"/>
      <c r="CB108" s="304"/>
      <c r="CC108" s="304"/>
      <c r="CD108" s="304"/>
      <c r="CE108" s="304"/>
      <c r="CF108" s="304"/>
      <c r="CG108" s="304"/>
      <c r="CH108" s="304"/>
      <c r="CI108" s="304"/>
      <c r="CJ108" s="304"/>
      <c r="CK108" s="304"/>
      <c r="CL108" s="304"/>
      <c r="CM108" s="304"/>
      <c r="CN108" s="304"/>
      <c r="CO108" s="304"/>
      <c r="CP108" s="304"/>
    </row>
    <row r="109" spans="1:94" s="87" customFormat="1">
      <c r="A109" s="81"/>
      <c r="B109" s="83"/>
      <c r="C109" s="82"/>
      <c r="D109" s="102"/>
      <c r="E109" s="102"/>
      <c r="F109" s="102"/>
      <c r="G109" s="225"/>
      <c r="H109" s="218">
        <f t="shared" si="13"/>
        <v>0</v>
      </c>
      <c r="I109" s="218">
        <f t="shared" si="14"/>
        <v>0</v>
      </c>
      <c r="J109" s="218">
        <f t="shared" si="15"/>
        <v>0</v>
      </c>
      <c r="K109" s="102" t="str">
        <f t="shared" si="16"/>
        <v/>
      </c>
      <c r="L109" s="221"/>
      <c r="M109" s="325"/>
      <c r="N109" s="94"/>
      <c r="O109" s="326"/>
      <c r="P109" s="84"/>
      <c r="Q109" s="88"/>
      <c r="R109" s="102">
        <f t="shared" si="12"/>
        <v>0</v>
      </c>
      <c r="S109" s="89"/>
      <c r="T109" s="100"/>
      <c r="U109" s="100"/>
      <c r="V109" s="100"/>
      <c r="W109" s="100"/>
      <c r="X109" s="100"/>
      <c r="Y109" s="83"/>
      <c r="Z109" s="304"/>
      <c r="AA109" s="304"/>
      <c r="AB109" s="304"/>
      <c r="AC109" s="304"/>
      <c r="AD109" s="304"/>
      <c r="AE109" s="304"/>
      <c r="AF109" s="304"/>
      <c r="AG109" s="304"/>
      <c r="AH109" s="304"/>
      <c r="AI109" s="304"/>
      <c r="AJ109" s="304"/>
      <c r="AK109" s="304"/>
      <c r="AL109" s="304"/>
      <c r="AM109" s="304"/>
      <c r="AN109" s="304"/>
      <c r="AO109" s="304"/>
      <c r="AP109" s="304"/>
      <c r="AQ109" s="304"/>
      <c r="AR109" s="304"/>
      <c r="AS109" s="304"/>
      <c r="AT109" s="304"/>
      <c r="AU109" s="304"/>
      <c r="AV109" s="304"/>
      <c r="AW109" s="304"/>
      <c r="AX109" s="304"/>
      <c r="AY109" s="304"/>
      <c r="AZ109" s="304"/>
      <c r="BA109" s="304"/>
      <c r="BB109" s="304"/>
      <c r="BC109" s="304"/>
      <c r="BD109" s="304"/>
      <c r="BE109" s="304"/>
      <c r="BF109" s="304"/>
      <c r="BG109" s="304"/>
      <c r="BH109" s="304"/>
      <c r="BI109" s="304"/>
      <c r="BJ109" s="304"/>
      <c r="BK109" s="304"/>
      <c r="BL109" s="304"/>
      <c r="BM109" s="304"/>
      <c r="BN109" s="304"/>
      <c r="BO109" s="304"/>
      <c r="BP109" s="304"/>
      <c r="BQ109" s="304"/>
      <c r="BR109" s="304"/>
      <c r="BS109" s="304"/>
      <c r="BT109" s="304"/>
      <c r="BU109" s="304"/>
      <c r="BV109" s="304"/>
      <c r="BW109" s="304"/>
      <c r="BX109" s="304"/>
      <c r="BY109" s="304"/>
      <c r="BZ109" s="304"/>
      <c r="CA109" s="304"/>
      <c r="CB109" s="304"/>
      <c r="CC109" s="304"/>
      <c r="CD109" s="304"/>
      <c r="CE109" s="304"/>
      <c r="CF109" s="304"/>
      <c r="CG109" s="304"/>
      <c r="CH109" s="304"/>
      <c r="CI109" s="304"/>
      <c r="CJ109" s="304"/>
      <c r="CK109" s="304"/>
      <c r="CL109" s="304"/>
      <c r="CM109" s="304"/>
      <c r="CN109" s="304"/>
      <c r="CO109" s="304"/>
      <c r="CP109" s="304"/>
    </row>
    <row r="110" spans="1:94" s="87" customFormat="1">
      <c r="A110" s="81"/>
      <c r="B110" s="83"/>
      <c r="C110" s="82"/>
      <c r="D110" s="102"/>
      <c r="E110" s="102"/>
      <c r="F110" s="102"/>
      <c r="G110" s="225"/>
      <c r="H110" s="218">
        <f t="shared" si="13"/>
        <v>0</v>
      </c>
      <c r="I110" s="218">
        <f t="shared" si="14"/>
        <v>0</v>
      </c>
      <c r="J110" s="218">
        <f t="shared" si="15"/>
        <v>0</v>
      </c>
      <c r="K110" s="102" t="str">
        <f t="shared" si="16"/>
        <v/>
      </c>
      <c r="L110" s="221"/>
      <c r="M110" s="325"/>
      <c r="N110" s="94"/>
      <c r="O110" s="326"/>
      <c r="P110" s="84"/>
      <c r="Q110" s="88"/>
      <c r="R110" s="102">
        <f t="shared" si="12"/>
        <v>0</v>
      </c>
      <c r="S110" s="89"/>
      <c r="T110" s="100"/>
      <c r="U110" s="100"/>
      <c r="V110" s="100"/>
      <c r="W110" s="100"/>
      <c r="X110" s="100"/>
      <c r="Y110" s="83"/>
      <c r="Z110" s="304"/>
      <c r="AA110" s="304"/>
      <c r="AB110" s="304"/>
      <c r="AC110" s="304"/>
      <c r="AD110" s="304"/>
      <c r="AE110" s="304"/>
      <c r="AF110" s="304"/>
      <c r="AG110" s="304"/>
      <c r="AH110" s="304"/>
      <c r="AI110" s="304"/>
      <c r="AJ110" s="304"/>
      <c r="AK110" s="304"/>
      <c r="AL110" s="304"/>
      <c r="AM110" s="304"/>
      <c r="AN110" s="304"/>
      <c r="AO110" s="304"/>
      <c r="AP110" s="304"/>
      <c r="AQ110" s="304"/>
      <c r="AR110" s="304"/>
      <c r="AS110" s="304"/>
      <c r="AT110" s="304"/>
      <c r="AU110" s="304"/>
      <c r="AV110" s="304"/>
      <c r="AW110" s="304"/>
      <c r="AX110" s="304"/>
      <c r="AY110" s="304"/>
      <c r="AZ110" s="304"/>
      <c r="BA110" s="304"/>
      <c r="BB110" s="304"/>
      <c r="BC110" s="304"/>
      <c r="BD110" s="304"/>
      <c r="BE110" s="304"/>
      <c r="BF110" s="304"/>
      <c r="BG110" s="304"/>
      <c r="BH110" s="304"/>
      <c r="BI110" s="304"/>
      <c r="BJ110" s="304"/>
      <c r="BK110" s="304"/>
      <c r="BL110" s="304"/>
      <c r="BM110" s="304"/>
      <c r="BN110" s="304"/>
      <c r="BO110" s="304"/>
      <c r="BP110" s="304"/>
      <c r="BQ110" s="304"/>
      <c r="BR110" s="304"/>
      <c r="BS110" s="304"/>
      <c r="BT110" s="304"/>
      <c r="BU110" s="304"/>
      <c r="BV110" s="304"/>
      <c r="BW110" s="304"/>
      <c r="BX110" s="304"/>
      <c r="BY110" s="304"/>
      <c r="BZ110" s="304"/>
      <c r="CA110" s="304"/>
      <c r="CB110" s="304"/>
      <c r="CC110" s="304"/>
      <c r="CD110" s="304"/>
      <c r="CE110" s="304"/>
      <c r="CF110" s="304"/>
      <c r="CG110" s="304"/>
      <c r="CH110" s="304"/>
      <c r="CI110" s="304"/>
      <c r="CJ110" s="304"/>
      <c r="CK110" s="304"/>
      <c r="CL110" s="304"/>
      <c r="CM110" s="304"/>
      <c r="CN110" s="304"/>
      <c r="CO110" s="304"/>
      <c r="CP110" s="304"/>
    </row>
    <row r="111" spans="1:94" s="87" customFormat="1">
      <c r="A111" s="81"/>
      <c r="B111" s="83"/>
      <c r="C111" s="82"/>
      <c r="D111" s="102"/>
      <c r="E111" s="102"/>
      <c r="F111" s="102"/>
      <c r="G111" s="225"/>
      <c r="H111" s="218">
        <f t="shared" si="13"/>
        <v>0</v>
      </c>
      <c r="I111" s="218">
        <f t="shared" si="14"/>
        <v>0</v>
      </c>
      <c r="J111" s="218">
        <f t="shared" si="15"/>
        <v>0</v>
      </c>
      <c r="K111" s="102" t="str">
        <f t="shared" si="16"/>
        <v/>
      </c>
      <c r="L111" s="221"/>
      <c r="M111" s="325"/>
      <c r="N111" s="94"/>
      <c r="O111" s="326"/>
      <c r="P111" s="84"/>
      <c r="Q111" s="88"/>
      <c r="R111" s="102">
        <f t="shared" si="12"/>
        <v>0</v>
      </c>
      <c r="S111" s="89"/>
      <c r="T111" s="100"/>
      <c r="U111" s="100"/>
      <c r="V111" s="100"/>
      <c r="W111" s="100"/>
      <c r="X111" s="100"/>
      <c r="Y111" s="83"/>
      <c r="Z111" s="304"/>
      <c r="AA111" s="304"/>
      <c r="AB111" s="304"/>
      <c r="AC111" s="304"/>
      <c r="AD111" s="304"/>
      <c r="AE111" s="304"/>
      <c r="AF111" s="304"/>
      <c r="AG111" s="304"/>
      <c r="AH111" s="304"/>
      <c r="AI111" s="304"/>
      <c r="AJ111" s="304"/>
      <c r="AK111" s="304"/>
      <c r="AL111" s="304"/>
      <c r="AM111" s="304"/>
      <c r="AN111" s="304"/>
      <c r="AO111" s="304"/>
      <c r="AP111" s="304"/>
      <c r="AQ111" s="304"/>
      <c r="AR111" s="304"/>
      <c r="AS111" s="304"/>
      <c r="AT111" s="304"/>
      <c r="AU111" s="304"/>
      <c r="AV111" s="304"/>
      <c r="AW111" s="304"/>
      <c r="AX111" s="304"/>
      <c r="AY111" s="304"/>
      <c r="AZ111" s="304"/>
      <c r="BA111" s="304"/>
      <c r="BB111" s="304"/>
      <c r="BC111" s="304"/>
      <c r="BD111" s="304"/>
      <c r="BE111" s="304"/>
      <c r="BF111" s="304"/>
      <c r="BG111" s="304"/>
      <c r="BH111" s="304"/>
      <c r="BI111" s="304"/>
      <c r="BJ111" s="304"/>
      <c r="BK111" s="304"/>
      <c r="BL111" s="304"/>
      <c r="BM111" s="304"/>
      <c r="BN111" s="304"/>
      <c r="BO111" s="304"/>
      <c r="BP111" s="304"/>
      <c r="BQ111" s="304"/>
      <c r="BR111" s="304"/>
      <c r="BS111" s="304"/>
      <c r="BT111" s="304"/>
      <c r="BU111" s="304"/>
      <c r="BV111" s="304"/>
      <c r="BW111" s="304"/>
      <c r="BX111" s="304"/>
      <c r="BY111" s="304"/>
      <c r="BZ111" s="304"/>
      <c r="CA111" s="304"/>
      <c r="CB111" s="304"/>
      <c r="CC111" s="304"/>
      <c r="CD111" s="304"/>
      <c r="CE111" s="304"/>
      <c r="CF111" s="304"/>
      <c r="CG111" s="304"/>
      <c r="CH111" s="304"/>
      <c r="CI111" s="304"/>
      <c r="CJ111" s="304"/>
      <c r="CK111" s="304"/>
      <c r="CL111" s="304"/>
      <c r="CM111" s="304"/>
      <c r="CN111" s="304"/>
      <c r="CO111" s="304"/>
      <c r="CP111" s="304"/>
    </row>
    <row r="112" spans="1:94" s="87" customFormat="1">
      <c r="A112" s="81"/>
      <c r="B112" s="83"/>
      <c r="C112" s="82"/>
      <c r="D112" s="102"/>
      <c r="E112" s="102"/>
      <c r="F112" s="102"/>
      <c r="G112" s="225"/>
      <c r="H112" s="218">
        <f t="shared" si="13"/>
        <v>0</v>
      </c>
      <c r="I112" s="218">
        <f t="shared" si="14"/>
        <v>0</v>
      </c>
      <c r="J112" s="218">
        <f t="shared" si="15"/>
        <v>0</v>
      </c>
      <c r="K112" s="102" t="str">
        <f t="shared" si="16"/>
        <v/>
      </c>
      <c r="L112" s="221"/>
      <c r="M112" s="325"/>
      <c r="N112" s="94"/>
      <c r="O112" s="326"/>
      <c r="P112" s="84"/>
      <c r="Q112" s="88"/>
      <c r="R112" s="102">
        <f t="shared" si="12"/>
        <v>0</v>
      </c>
      <c r="S112" s="89"/>
      <c r="T112" s="100"/>
      <c r="U112" s="100"/>
      <c r="V112" s="100"/>
      <c r="W112" s="100"/>
      <c r="X112" s="100"/>
      <c r="Y112" s="83"/>
      <c r="Z112" s="304"/>
      <c r="AA112" s="304"/>
      <c r="AB112" s="304"/>
      <c r="AC112" s="304"/>
      <c r="AD112" s="304"/>
      <c r="AE112" s="304"/>
      <c r="AF112" s="304"/>
      <c r="AG112" s="304"/>
      <c r="AH112" s="304"/>
      <c r="AI112" s="304"/>
      <c r="AJ112" s="304"/>
      <c r="AK112" s="304"/>
      <c r="AL112" s="304"/>
      <c r="AM112" s="304"/>
      <c r="AN112" s="304"/>
      <c r="AO112" s="304"/>
      <c r="AP112" s="304"/>
      <c r="AQ112" s="304"/>
      <c r="AR112" s="304"/>
      <c r="AS112" s="304"/>
      <c r="AT112" s="304"/>
      <c r="AU112" s="304"/>
      <c r="AV112" s="304"/>
      <c r="AW112" s="304"/>
      <c r="AX112" s="304"/>
      <c r="AY112" s="304"/>
      <c r="AZ112" s="304"/>
      <c r="BA112" s="304"/>
      <c r="BB112" s="304"/>
      <c r="BC112" s="304"/>
      <c r="BD112" s="304"/>
      <c r="BE112" s="304"/>
      <c r="BF112" s="304"/>
      <c r="BG112" s="304"/>
      <c r="BH112" s="304"/>
      <c r="BI112" s="304"/>
      <c r="BJ112" s="304"/>
      <c r="BK112" s="304"/>
      <c r="BL112" s="304"/>
      <c r="BM112" s="304"/>
      <c r="BN112" s="304"/>
      <c r="BO112" s="304"/>
      <c r="BP112" s="304"/>
      <c r="BQ112" s="304"/>
      <c r="BR112" s="304"/>
      <c r="BS112" s="304"/>
      <c r="BT112" s="304"/>
      <c r="BU112" s="304"/>
      <c r="BV112" s="304"/>
      <c r="BW112" s="304"/>
      <c r="BX112" s="304"/>
      <c r="BY112" s="304"/>
      <c r="BZ112" s="304"/>
      <c r="CA112" s="304"/>
      <c r="CB112" s="304"/>
      <c r="CC112" s="304"/>
      <c r="CD112" s="304"/>
      <c r="CE112" s="304"/>
      <c r="CF112" s="304"/>
      <c r="CG112" s="304"/>
      <c r="CH112" s="304"/>
      <c r="CI112" s="304"/>
      <c r="CJ112" s="304"/>
      <c r="CK112" s="304"/>
      <c r="CL112" s="304"/>
      <c r="CM112" s="304"/>
      <c r="CN112" s="304"/>
      <c r="CO112" s="304"/>
      <c r="CP112" s="304"/>
    </row>
    <row r="113" spans="1:94" s="87" customFormat="1">
      <c r="A113" s="81"/>
      <c r="B113" s="83"/>
      <c r="C113" s="82"/>
      <c r="D113" s="102"/>
      <c r="E113" s="102"/>
      <c r="F113" s="102"/>
      <c r="G113" s="225"/>
      <c r="H113" s="218">
        <f t="shared" si="13"/>
        <v>0</v>
      </c>
      <c r="I113" s="218">
        <f t="shared" si="14"/>
        <v>0</v>
      </c>
      <c r="J113" s="218">
        <f t="shared" si="15"/>
        <v>0</v>
      </c>
      <c r="K113" s="102" t="str">
        <f t="shared" si="16"/>
        <v/>
      </c>
      <c r="L113" s="221"/>
      <c r="M113" s="325"/>
      <c r="N113" s="94"/>
      <c r="O113" s="326"/>
      <c r="P113" s="84"/>
      <c r="Q113" s="88"/>
      <c r="R113" s="102">
        <f t="shared" si="12"/>
        <v>0</v>
      </c>
      <c r="S113" s="89"/>
      <c r="T113" s="100"/>
      <c r="U113" s="100"/>
      <c r="V113" s="100"/>
      <c r="W113" s="100"/>
      <c r="X113" s="100"/>
      <c r="Y113" s="83"/>
      <c r="Z113" s="304"/>
      <c r="AA113" s="304"/>
      <c r="AB113" s="304"/>
      <c r="AC113" s="304"/>
      <c r="AD113" s="304"/>
      <c r="AE113" s="304"/>
      <c r="AF113" s="304"/>
      <c r="AG113" s="304"/>
      <c r="AH113" s="304"/>
      <c r="AI113" s="304"/>
      <c r="AJ113" s="304"/>
      <c r="AK113" s="304"/>
      <c r="AL113" s="304"/>
      <c r="AM113" s="304"/>
      <c r="AN113" s="304"/>
      <c r="AO113" s="304"/>
      <c r="AP113" s="304"/>
      <c r="AQ113" s="304"/>
      <c r="AR113" s="304"/>
      <c r="AS113" s="304"/>
      <c r="AT113" s="304"/>
      <c r="AU113" s="304"/>
      <c r="AV113" s="304"/>
      <c r="AW113" s="304"/>
      <c r="AX113" s="304"/>
      <c r="AY113" s="304"/>
      <c r="AZ113" s="304"/>
      <c r="BA113" s="304"/>
      <c r="BB113" s="304"/>
      <c r="BC113" s="304"/>
      <c r="BD113" s="304"/>
      <c r="BE113" s="304"/>
      <c r="BF113" s="304"/>
      <c r="BG113" s="304"/>
      <c r="BH113" s="304"/>
      <c r="BI113" s="304"/>
      <c r="BJ113" s="304"/>
      <c r="BK113" s="304"/>
      <c r="BL113" s="304"/>
      <c r="BM113" s="304"/>
      <c r="BN113" s="304"/>
      <c r="BO113" s="304"/>
      <c r="BP113" s="304"/>
      <c r="BQ113" s="304"/>
      <c r="BR113" s="304"/>
      <c r="BS113" s="304"/>
      <c r="BT113" s="304"/>
      <c r="BU113" s="304"/>
      <c r="BV113" s="304"/>
      <c r="BW113" s="304"/>
      <c r="BX113" s="304"/>
      <c r="BY113" s="304"/>
      <c r="BZ113" s="304"/>
      <c r="CA113" s="304"/>
      <c r="CB113" s="304"/>
      <c r="CC113" s="304"/>
      <c r="CD113" s="304"/>
      <c r="CE113" s="304"/>
      <c r="CF113" s="304"/>
      <c r="CG113" s="304"/>
      <c r="CH113" s="304"/>
      <c r="CI113" s="304"/>
      <c r="CJ113" s="304"/>
      <c r="CK113" s="304"/>
      <c r="CL113" s="304"/>
      <c r="CM113" s="304"/>
      <c r="CN113" s="304"/>
      <c r="CO113" s="304"/>
      <c r="CP113" s="304"/>
    </row>
    <row r="114" spans="1:94" s="87" customFormat="1">
      <c r="A114" s="81"/>
      <c r="B114" s="83"/>
      <c r="C114" s="82"/>
      <c r="D114" s="102"/>
      <c r="E114" s="102"/>
      <c r="F114" s="102"/>
      <c r="G114" s="225"/>
      <c r="H114" s="218">
        <f t="shared" si="13"/>
        <v>0</v>
      </c>
      <c r="I114" s="218">
        <f t="shared" si="14"/>
        <v>0</v>
      </c>
      <c r="J114" s="218">
        <f t="shared" si="15"/>
        <v>0</v>
      </c>
      <c r="K114" s="102" t="str">
        <f t="shared" si="16"/>
        <v/>
      </c>
      <c r="L114" s="221"/>
      <c r="M114" s="325"/>
      <c r="N114" s="94"/>
      <c r="O114" s="326"/>
      <c r="P114" s="84"/>
      <c r="Q114" s="88"/>
      <c r="R114" s="102">
        <f t="shared" si="12"/>
        <v>0</v>
      </c>
      <c r="S114" s="89"/>
      <c r="T114" s="100"/>
      <c r="U114" s="100"/>
      <c r="V114" s="100"/>
      <c r="W114" s="100"/>
      <c r="X114" s="100"/>
      <c r="Y114" s="83"/>
      <c r="Z114" s="304"/>
      <c r="AA114" s="304"/>
      <c r="AB114" s="304"/>
      <c r="AC114" s="304"/>
      <c r="AD114" s="304"/>
      <c r="AE114" s="304"/>
      <c r="AF114" s="304"/>
      <c r="AG114" s="304"/>
      <c r="AH114" s="304"/>
      <c r="AI114" s="304"/>
      <c r="AJ114" s="304"/>
      <c r="AK114" s="304"/>
      <c r="AL114" s="304"/>
      <c r="AM114" s="304"/>
      <c r="AN114" s="304"/>
      <c r="AO114" s="304"/>
      <c r="AP114" s="304"/>
      <c r="AQ114" s="304"/>
      <c r="AR114" s="304"/>
      <c r="AS114" s="304"/>
      <c r="AT114" s="304"/>
      <c r="AU114" s="304"/>
      <c r="AV114" s="304"/>
      <c r="AW114" s="304"/>
      <c r="AX114" s="304"/>
      <c r="AY114" s="304"/>
      <c r="AZ114" s="304"/>
      <c r="BA114" s="304"/>
      <c r="BB114" s="304"/>
      <c r="BC114" s="304"/>
      <c r="BD114" s="304"/>
      <c r="BE114" s="304"/>
      <c r="BF114" s="304"/>
      <c r="BG114" s="304"/>
      <c r="BH114" s="304"/>
      <c r="BI114" s="304"/>
      <c r="BJ114" s="304"/>
      <c r="BK114" s="304"/>
      <c r="BL114" s="304"/>
      <c r="BM114" s="304"/>
      <c r="BN114" s="304"/>
      <c r="BO114" s="304"/>
      <c r="BP114" s="304"/>
      <c r="BQ114" s="304"/>
      <c r="BR114" s="304"/>
      <c r="BS114" s="304"/>
      <c r="BT114" s="304"/>
      <c r="BU114" s="304"/>
      <c r="BV114" s="304"/>
      <c r="BW114" s="304"/>
      <c r="BX114" s="304"/>
      <c r="BY114" s="304"/>
      <c r="BZ114" s="304"/>
      <c r="CA114" s="304"/>
      <c r="CB114" s="304"/>
      <c r="CC114" s="304"/>
      <c r="CD114" s="304"/>
      <c r="CE114" s="304"/>
      <c r="CF114" s="304"/>
      <c r="CG114" s="304"/>
      <c r="CH114" s="304"/>
      <c r="CI114" s="304"/>
      <c r="CJ114" s="304"/>
      <c r="CK114" s="304"/>
      <c r="CL114" s="304"/>
      <c r="CM114" s="304"/>
      <c r="CN114" s="304"/>
      <c r="CO114" s="304"/>
      <c r="CP114" s="304"/>
    </row>
    <row r="115" spans="1:94" s="87" customFormat="1">
      <c r="A115" s="81"/>
      <c r="B115" s="83"/>
      <c r="C115" s="82"/>
      <c r="D115" s="102"/>
      <c r="E115" s="102"/>
      <c r="F115" s="102"/>
      <c r="G115" s="225"/>
      <c r="H115" s="218">
        <f t="shared" si="13"/>
        <v>0</v>
      </c>
      <c r="I115" s="218">
        <f t="shared" si="14"/>
        <v>0</v>
      </c>
      <c r="J115" s="218">
        <f t="shared" si="15"/>
        <v>0</v>
      </c>
      <c r="K115" s="102" t="str">
        <f t="shared" si="16"/>
        <v/>
      </c>
      <c r="L115" s="221"/>
      <c r="M115" s="325"/>
      <c r="N115" s="94"/>
      <c r="O115" s="326"/>
      <c r="P115" s="84"/>
      <c r="Q115" s="88"/>
      <c r="R115" s="102">
        <f t="shared" si="12"/>
        <v>0</v>
      </c>
      <c r="S115" s="89"/>
      <c r="T115" s="100"/>
      <c r="U115" s="100"/>
      <c r="V115" s="100"/>
      <c r="W115" s="100"/>
      <c r="X115" s="100"/>
      <c r="Y115" s="83"/>
      <c r="Z115" s="304"/>
      <c r="AA115" s="304"/>
      <c r="AB115" s="304"/>
      <c r="AC115" s="304"/>
      <c r="AD115" s="304"/>
      <c r="AE115" s="304"/>
      <c r="AF115" s="304"/>
      <c r="AG115" s="304"/>
      <c r="AH115" s="304"/>
      <c r="AI115" s="304"/>
      <c r="AJ115" s="304"/>
      <c r="AK115" s="304"/>
      <c r="AL115" s="304"/>
      <c r="AM115" s="304"/>
      <c r="AN115" s="304"/>
      <c r="AO115" s="304"/>
      <c r="AP115" s="304"/>
      <c r="AQ115" s="304"/>
      <c r="AR115" s="304"/>
      <c r="AS115" s="304"/>
      <c r="AT115" s="304"/>
      <c r="AU115" s="304"/>
      <c r="AV115" s="304"/>
      <c r="AW115" s="304"/>
      <c r="AX115" s="304"/>
      <c r="AY115" s="304"/>
      <c r="AZ115" s="304"/>
      <c r="BA115" s="304"/>
      <c r="BB115" s="304"/>
      <c r="BC115" s="304"/>
      <c r="BD115" s="304"/>
      <c r="BE115" s="304"/>
      <c r="BF115" s="304"/>
      <c r="BG115" s="304"/>
      <c r="BH115" s="304"/>
      <c r="BI115" s="304"/>
      <c r="BJ115" s="304"/>
      <c r="BK115" s="304"/>
      <c r="BL115" s="304"/>
      <c r="BM115" s="304"/>
      <c r="BN115" s="304"/>
      <c r="BO115" s="304"/>
      <c r="BP115" s="304"/>
      <c r="BQ115" s="304"/>
      <c r="BR115" s="304"/>
      <c r="BS115" s="304"/>
      <c r="BT115" s="304"/>
      <c r="BU115" s="304"/>
      <c r="BV115" s="304"/>
      <c r="BW115" s="304"/>
      <c r="BX115" s="304"/>
      <c r="BY115" s="304"/>
      <c r="BZ115" s="304"/>
      <c r="CA115" s="304"/>
      <c r="CB115" s="304"/>
      <c r="CC115" s="304"/>
      <c r="CD115" s="304"/>
      <c r="CE115" s="304"/>
      <c r="CF115" s="304"/>
      <c r="CG115" s="304"/>
      <c r="CH115" s="304"/>
      <c r="CI115" s="304"/>
      <c r="CJ115" s="304"/>
      <c r="CK115" s="304"/>
      <c r="CL115" s="304"/>
      <c r="CM115" s="304"/>
      <c r="CN115" s="304"/>
      <c r="CO115" s="304"/>
      <c r="CP115" s="304"/>
    </row>
    <row r="116" spans="1:94" s="87" customFormat="1">
      <c r="A116" s="81"/>
      <c r="B116" s="83"/>
      <c r="C116" s="82"/>
      <c r="D116" s="102"/>
      <c r="E116" s="102"/>
      <c r="F116" s="102"/>
      <c r="G116" s="225"/>
      <c r="H116" s="218">
        <f t="shared" si="13"/>
        <v>0</v>
      </c>
      <c r="I116" s="218">
        <f t="shared" si="14"/>
        <v>0</v>
      </c>
      <c r="J116" s="218">
        <f t="shared" si="15"/>
        <v>0</v>
      </c>
      <c r="K116" s="102" t="str">
        <f t="shared" si="16"/>
        <v/>
      </c>
      <c r="L116" s="221"/>
      <c r="M116" s="325"/>
      <c r="N116" s="94"/>
      <c r="O116" s="326"/>
      <c r="P116" s="84"/>
      <c r="Q116" s="88"/>
      <c r="R116" s="102">
        <f t="shared" si="12"/>
        <v>0</v>
      </c>
      <c r="S116" s="89"/>
      <c r="T116" s="100"/>
      <c r="U116" s="100"/>
      <c r="V116" s="100"/>
      <c r="W116" s="100"/>
      <c r="X116" s="100"/>
      <c r="Y116" s="83"/>
      <c r="Z116" s="304"/>
      <c r="AA116" s="304"/>
      <c r="AB116" s="304"/>
      <c r="AC116" s="304"/>
      <c r="AD116" s="304"/>
      <c r="AE116" s="304"/>
      <c r="AF116" s="304"/>
      <c r="AG116" s="304"/>
      <c r="AH116" s="304"/>
      <c r="AI116" s="304"/>
      <c r="AJ116" s="304"/>
      <c r="AK116" s="304"/>
      <c r="AL116" s="304"/>
      <c r="AM116" s="304"/>
      <c r="AN116" s="304"/>
      <c r="AO116" s="304"/>
      <c r="AP116" s="304"/>
      <c r="AQ116" s="304"/>
      <c r="AR116" s="304"/>
      <c r="AS116" s="304"/>
      <c r="AT116" s="304"/>
      <c r="AU116" s="304"/>
      <c r="AV116" s="304"/>
      <c r="AW116" s="304"/>
      <c r="AX116" s="304"/>
      <c r="AY116" s="304"/>
      <c r="AZ116" s="304"/>
      <c r="BA116" s="304"/>
      <c r="BB116" s="304"/>
      <c r="BC116" s="304"/>
      <c r="BD116" s="304"/>
      <c r="BE116" s="304"/>
      <c r="BF116" s="304"/>
      <c r="BG116" s="304"/>
      <c r="BH116" s="304"/>
      <c r="BI116" s="304"/>
      <c r="BJ116" s="304"/>
      <c r="BK116" s="304"/>
      <c r="BL116" s="304"/>
      <c r="BM116" s="304"/>
      <c r="BN116" s="304"/>
      <c r="BO116" s="304"/>
      <c r="BP116" s="304"/>
      <c r="BQ116" s="304"/>
      <c r="BR116" s="304"/>
      <c r="BS116" s="304"/>
      <c r="BT116" s="304"/>
      <c r="BU116" s="304"/>
      <c r="BV116" s="304"/>
      <c r="BW116" s="304"/>
      <c r="BX116" s="304"/>
      <c r="BY116" s="304"/>
      <c r="BZ116" s="304"/>
      <c r="CA116" s="304"/>
      <c r="CB116" s="304"/>
      <c r="CC116" s="304"/>
      <c r="CD116" s="304"/>
      <c r="CE116" s="304"/>
      <c r="CF116" s="304"/>
      <c r="CG116" s="304"/>
      <c r="CH116" s="304"/>
      <c r="CI116" s="304"/>
      <c r="CJ116" s="304"/>
      <c r="CK116" s="304"/>
      <c r="CL116" s="304"/>
      <c r="CM116" s="304"/>
      <c r="CN116" s="304"/>
      <c r="CO116" s="304"/>
      <c r="CP116" s="304"/>
    </row>
    <row r="117" spans="1:94" s="87" customFormat="1">
      <c r="A117" s="81"/>
      <c r="B117" s="83"/>
      <c r="C117" s="82"/>
      <c r="D117" s="102"/>
      <c r="E117" s="102"/>
      <c r="F117" s="102"/>
      <c r="G117" s="225"/>
      <c r="H117" s="218">
        <f t="shared" si="13"/>
        <v>0</v>
      </c>
      <c r="I117" s="218">
        <f t="shared" si="14"/>
        <v>0</v>
      </c>
      <c r="J117" s="218">
        <f t="shared" si="15"/>
        <v>0</v>
      </c>
      <c r="K117" s="102" t="str">
        <f t="shared" si="16"/>
        <v/>
      </c>
      <c r="L117" s="221"/>
      <c r="M117" s="325"/>
      <c r="N117" s="94"/>
      <c r="O117" s="326"/>
      <c r="P117" s="84"/>
      <c r="Q117" s="88"/>
      <c r="R117" s="102">
        <f t="shared" si="12"/>
        <v>0</v>
      </c>
      <c r="S117" s="89"/>
      <c r="T117" s="100"/>
      <c r="U117" s="100"/>
      <c r="V117" s="100"/>
      <c r="W117" s="100"/>
      <c r="X117" s="100"/>
      <c r="Y117" s="83"/>
      <c r="Z117" s="304"/>
      <c r="AA117" s="304"/>
      <c r="AB117" s="304"/>
      <c r="AC117" s="304"/>
      <c r="AD117" s="304"/>
      <c r="AE117" s="304"/>
      <c r="AF117" s="304"/>
      <c r="AG117" s="304"/>
      <c r="AH117" s="304"/>
      <c r="AI117" s="304"/>
      <c r="AJ117" s="304"/>
      <c r="AK117" s="304"/>
      <c r="AL117" s="304"/>
      <c r="AM117" s="304"/>
      <c r="AN117" s="304"/>
      <c r="AO117" s="304"/>
      <c r="AP117" s="304"/>
      <c r="AQ117" s="304"/>
      <c r="AR117" s="304"/>
      <c r="AS117" s="304"/>
      <c r="AT117" s="304"/>
      <c r="AU117" s="304"/>
      <c r="AV117" s="304"/>
      <c r="AW117" s="304"/>
      <c r="AX117" s="304"/>
      <c r="AY117" s="304"/>
      <c r="AZ117" s="304"/>
      <c r="BA117" s="304"/>
      <c r="BB117" s="304"/>
      <c r="BC117" s="304"/>
      <c r="BD117" s="304"/>
      <c r="BE117" s="304"/>
      <c r="BF117" s="304"/>
      <c r="BG117" s="304"/>
      <c r="BH117" s="304"/>
      <c r="BI117" s="304"/>
      <c r="BJ117" s="304"/>
      <c r="BK117" s="304"/>
      <c r="BL117" s="304"/>
      <c r="BM117" s="304"/>
      <c r="BN117" s="304"/>
      <c r="BO117" s="304"/>
      <c r="BP117" s="304"/>
      <c r="BQ117" s="304"/>
      <c r="BR117" s="304"/>
      <c r="BS117" s="304"/>
      <c r="BT117" s="304"/>
      <c r="BU117" s="304"/>
      <c r="BV117" s="304"/>
      <c r="BW117" s="304"/>
      <c r="BX117" s="304"/>
      <c r="BY117" s="304"/>
      <c r="BZ117" s="304"/>
      <c r="CA117" s="304"/>
      <c r="CB117" s="304"/>
      <c r="CC117" s="304"/>
      <c r="CD117" s="304"/>
      <c r="CE117" s="304"/>
      <c r="CF117" s="304"/>
      <c r="CG117" s="304"/>
      <c r="CH117" s="304"/>
      <c r="CI117" s="304"/>
      <c r="CJ117" s="304"/>
      <c r="CK117" s="304"/>
      <c r="CL117" s="304"/>
      <c r="CM117" s="304"/>
      <c r="CN117" s="304"/>
      <c r="CO117" s="304"/>
      <c r="CP117" s="304"/>
    </row>
    <row r="118" spans="1:94" s="87" customFormat="1">
      <c r="A118" s="81"/>
      <c r="B118" s="83"/>
      <c r="C118" s="82"/>
      <c r="D118" s="102"/>
      <c r="E118" s="102"/>
      <c r="F118" s="102"/>
      <c r="G118" s="225"/>
      <c r="H118" s="218">
        <f t="shared" si="13"/>
        <v>0</v>
      </c>
      <c r="I118" s="218">
        <f t="shared" si="14"/>
        <v>0</v>
      </c>
      <c r="J118" s="218">
        <f t="shared" si="15"/>
        <v>0</v>
      </c>
      <c r="K118" s="102" t="str">
        <f t="shared" si="16"/>
        <v/>
      </c>
      <c r="L118" s="221"/>
      <c r="M118" s="325"/>
      <c r="N118" s="94"/>
      <c r="O118" s="326"/>
      <c r="P118" s="84"/>
      <c r="Q118" s="88"/>
      <c r="R118" s="102">
        <f t="shared" si="12"/>
        <v>0</v>
      </c>
      <c r="S118" s="89"/>
      <c r="T118" s="100"/>
      <c r="U118" s="100"/>
      <c r="V118" s="100"/>
      <c r="W118" s="100"/>
      <c r="X118" s="100"/>
      <c r="Y118" s="83"/>
      <c r="Z118" s="304"/>
      <c r="AA118" s="304"/>
      <c r="AB118" s="304"/>
      <c r="AC118" s="304"/>
      <c r="AD118" s="304"/>
      <c r="AE118" s="304"/>
      <c r="AF118" s="304"/>
      <c r="AG118" s="304"/>
      <c r="AH118" s="304"/>
      <c r="AI118" s="304"/>
      <c r="AJ118" s="304"/>
      <c r="AK118" s="304"/>
      <c r="AL118" s="304"/>
      <c r="AM118" s="304"/>
      <c r="AN118" s="304"/>
      <c r="AO118" s="304"/>
      <c r="AP118" s="304"/>
      <c r="AQ118" s="304"/>
      <c r="AR118" s="304"/>
      <c r="AS118" s="304"/>
      <c r="AT118" s="304"/>
      <c r="AU118" s="304"/>
      <c r="AV118" s="304"/>
      <c r="AW118" s="304"/>
      <c r="AX118" s="304"/>
      <c r="AY118" s="304"/>
      <c r="AZ118" s="304"/>
      <c r="BA118" s="304"/>
      <c r="BB118" s="304"/>
      <c r="BC118" s="304"/>
      <c r="BD118" s="304"/>
      <c r="BE118" s="304"/>
      <c r="BF118" s="304"/>
      <c r="BG118" s="304"/>
      <c r="BH118" s="304"/>
      <c r="BI118" s="304"/>
      <c r="BJ118" s="304"/>
      <c r="BK118" s="304"/>
      <c r="BL118" s="304"/>
      <c r="BM118" s="304"/>
      <c r="BN118" s="304"/>
      <c r="BO118" s="304"/>
      <c r="BP118" s="304"/>
      <c r="BQ118" s="304"/>
      <c r="BR118" s="304"/>
      <c r="BS118" s="304"/>
      <c r="BT118" s="304"/>
      <c r="BU118" s="304"/>
      <c r="BV118" s="304"/>
      <c r="BW118" s="304"/>
      <c r="BX118" s="304"/>
      <c r="BY118" s="304"/>
      <c r="BZ118" s="304"/>
      <c r="CA118" s="304"/>
      <c r="CB118" s="304"/>
      <c r="CC118" s="304"/>
      <c r="CD118" s="304"/>
      <c r="CE118" s="304"/>
      <c r="CF118" s="304"/>
      <c r="CG118" s="304"/>
      <c r="CH118" s="304"/>
      <c r="CI118" s="304"/>
      <c r="CJ118" s="304"/>
      <c r="CK118" s="304"/>
      <c r="CL118" s="304"/>
      <c r="CM118" s="304"/>
      <c r="CN118" s="304"/>
      <c r="CO118" s="304"/>
      <c r="CP118" s="304"/>
    </row>
    <row r="119" spans="1:94" s="87" customFormat="1">
      <c r="A119" s="81"/>
      <c r="B119" s="83"/>
      <c r="C119" s="82"/>
      <c r="D119" s="102"/>
      <c r="E119" s="102"/>
      <c r="F119" s="102"/>
      <c r="G119" s="225"/>
      <c r="H119" s="218">
        <f t="shared" si="13"/>
        <v>0</v>
      </c>
      <c r="I119" s="218">
        <f t="shared" si="14"/>
        <v>0</v>
      </c>
      <c r="J119" s="218">
        <f t="shared" si="15"/>
        <v>0</v>
      </c>
      <c r="K119" s="102" t="str">
        <f t="shared" si="16"/>
        <v/>
      </c>
      <c r="L119" s="221"/>
      <c r="M119" s="325"/>
      <c r="N119" s="94"/>
      <c r="O119" s="326"/>
      <c r="P119" s="84"/>
      <c r="Q119" s="88"/>
      <c r="R119" s="102">
        <f t="shared" si="12"/>
        <v>0</v>
      </c>
      <c r="S119" s="89"/>
      <c r="T119" s="100"/>
      <c r="U119" s="100"/>
      <c r="V119" s="100"/>
      <c r="W119" s="100"/>
      <c r="X119" s="100"/>
      <c r="Y119" s="83"/>
      <c r="Z119" s="304"/>
      <c r="AA119" s="304"/>
      <c r="AB119" s="304"/>
      <c r="AC119" s="304"/>
      <c r="AD119" s="304"/>
      <c r="AE119" s="304"/>
      <c r="AF119" s="304"/>
      <c r="AG119" s="304"/>
      <c r="AH119" s="304"/>
      <c r="AI119" s="304"/>
      <c r="AJ119" s="304"/>
      <c r="AK119" s="304"/>
      <c r="AL119" s="304"/>
      <c r="AM119" s="304"/>
      <c r="AN119" s="304"/>
      <c r="AO119" s="304"/>
      <c r="AP119" s="304"/>
      <c r="AQ119" s="304"/>
      <c r="AR119" s="304"/>
      <c r="AS119" s="304"/>
      <c r="AT119" s="304"/>
      <c r="AU119" s="304"/>
      <c r="AV119" s="304"/>
      <c r="AW119" s="304"/>
      <c r="AX119" s="304"/>
      <c r="AY119" s="304"/>
      <c r="AZ119" s="304"/>
      <c r="BA119" s="304"/>
      <c r="BB119" s="304"/>
      <c r="BC119" s="304"/>
      <c r="BD119" s="304"/>
      <c r="BE119" s="304"/>
      <c r="BF119" s="304"/>
      <c r="BG119" s="304"/>
      <c r="BH119" s="304"/>
      <c r="BI119" s="304"/>
      <c r="BJ119" s="304"/>
      <c r="BK119" s="304"/>
      <c r="BL119" s="304"/>
      <c r="BM119" s="304"/>
      <c r="BN119" s="304"/>
      <c r="BO119" s="304"/>
      <c r="BP119" s="304"/>
      <c r="BQ119" s="304"/>
      <c r="BR119" s="304"/>
      <c r="BS119" s="304"/>
      <c r="BT119" s="304"/>
      <c r="BU119" s="304"/>
      <c r="BV119" s="304"/>
      <c r="BW119" s="304"/>
      <c r="BX119" s="304"/>
      <c r="BY119" s="304"/>
      <c r="BZ119" s="304"/>
      <c r="CA119" s="304"/>
      <c r="CB119" s="304"/>
      <c r="CC119" s="304"/>
      <c r="CD119" s="304"/>
      <c r="CE119" s="304"/>
      <c r="CF119" s="304"/>
      <c r="CG119" s="304"/>
      <c r="CH119" s="304"/>
      <c r="CI119" s="304"/>
      <c r="CJ119" s="304"/>
      <c r="CK119" s="304"/>
      <c r="CL119" s="304"/>
      <c r="CM119" s="304"/>
      <c r="CN119" s="304"/>
      <c r="CO119" s="304"/>
      <c r="CP119" s="304"/>
    </row>
    <row r="120" spans="1:94" s="87" customFormat="1">
      <c r="A120" s="81"/>
      <c r="B120" s="83"/>
      <c r="C120" s="82"/>
      <c r="D120" s="102"/>
      <c r="E120" s="102"/>
      <c r="F120" s="102"/>
      <c r="G120" s="225"/>
      <c r="H120" s="218">
        <f t="shared" si="13"/>
        <v>0</v>
      </c>
      <c r="I120" s="218">
        <f t="shared" si="14"/>
        <v>0</v>
      </c>
      <c r="J120" s="218">
        <f t="shared" si="15"/>
        <v>0</v>
      </c>
      <c r="K120" s="102" t="str">
        <f t="shared" si="16"/>
        <v/>
      </c>
      <c r="L120" s="221"/>
      <c r="M120" s="325"/>
      <c r="N120" s="94"/>
      <c r="O120" s="326"/>
      <c r="P120" s="84"/>
      <c r="Q120" s="88"/>
      <c r="R120" s="102">
        <f t="shared" si="12"/>
        <v>0</v>
      </c>
      <c r="S120" s="89"/>
      <c r="T120" s="100"/>
      <c r="U120" s="100"/>
      <c r="V120" s="100"/>
      <c r="W120" s="100"/>
      <c r="X120" s="100"/>
      <c r="Y120" s="83"/>
      <c r="Z120" s="304"/>
      <c r="AA120" s="304"/>
      <c r="AB120" s="304"/>
      <c r="AC120" s="304"/>
      <c r="AD120" s="304"/>
      <c r="AE120" s="304"/>
      <c r="AF120" s="304"/>
      <c r="AG120" s="304"/>
      <c r="AH120" s="304"/>
      <c r="AI120" s="304"/>
      <c r="AJ120" s="304"/>
      <c r="AK120" s="304"/>
      <c r="AL120" s="304"/>
      <c r="AM120" s="304"/>
      <c r="AN120" s="304"/>
      <c r="AO120" s="304"/>
      <c r="AP120" s="304"/>
      <c r="AQ120" s="304"/>
      <c r="AR120" s="304"/>
      <c r="AS120" s="304"/>
      <c r="AT120" s="304"/>
      <c r="AU120" s="304"/>
      <c r="AV120" s="304"/>
      <c r="AW120" s="304"/>
      <c r="AX120" s="304"/>
      <c r="AY120" s="304"/>
      <c r="AZ120" s="304"/>
      <c r="BA120" s="304"/>
      <c r="BB120" s="304"/>
      <c r="BC120" s="304"/>
      <c r="BD120" s="304"/>
      <c r="BE120" s="304"/>
      <c r="BF120" s="304"/>
      <c r="BG120" s="304"/>
      <c r="BH120" s="304"/>
      <c r="BI120" s="304"/>
      <c r="BJ120" s="304"/>
      <c r="BK120" s="304"/>
      <c r="BL120" s="304"/>
      <c r="BM120" s="304"/>
      <c r="BN120" s="304"/>
      <c r="BO120" s="304"/>
      <c r="BP120" s="304"/>
      <c r="BQ120" s="304"/>
      <c r="BR120" s="304"/>
      <c r="BS120" s="304"/>
      <c r="BT120" s="304"/>
      <c r="BU120" s="304"/>
      <c r="BV120" s="304"/>
      <c r="BW120" s="304"/>
      <c r="BX120" s="304"/>
      <c r="BY120" s="304"/>
      <c r="BZ120" s="304"/>
      <c r="CA120" s="304"/>
      <c r="CB120" s="304"/>
      <c r="CC120" s="304"/>
      <c r="CD120" s="304"/>
      <c r="CE120" s="304"/>
      <c r="CF120" s="304"/>
      <c r="CG120" s="304"/>
      <c r="CH120" s="304"/>
      <c r="CI120" s="304"/>
      <c r="CJ120" s="304"/>
      <c r="CK120" s="304"/>
      <c r="CL120" s="304"/>
      <c r="CM120" s="304"/>
      <c r="CN120" s="304"/>
      <c r="CO120" s="304"/>
      <c r="CP120" s="304"/>
    </row>
    <row r="121" spans="1:94" s="87" customFormat="1">
      <c r="A121" s="81"/>
      <c r="B121" s="83"/>
      <c r="C121" s="82"/>
      <c r="D121" s="102"/>
      <c r="E121" s="102"/>
      <c r="F121" s="102"/>
      <c r="G121" s="225"/>
      <c r="H121" s="218">
        <f t="shared" si="13"/>
        <v>0</v>
      </c>
      <c r="I121" s="218">
        <f t="shared" si="14"/>
        <v>0</v>
      </c>
      <c r="J121" s="218">
        <f t="shared" si="15"/>
        <v>0</v>
      </c>
      <c r="K121" s="102" t="str">
        <f t="shared" si="16"/>
        <v/>
      </c>
      <c r="L121" s="221"/>
      <c r="M121" s="325"/>
      <c r="N121" s="94"/>
      <c r="O121" s="326"/>
      <c r="P121" s="84"/>
      <c r="Q121" s="88"/>
      <c r="R121" s="102">
        <f t="shared" si="12"/>
        <v>0</v>
      </c>
      <c r="S121" s="89"/>
      <c r="T121" s="100"/>
      <c r="U121" s="100"/>
      <c r="V121" s="100"/>
      <c r="W121" s="100"/>
      <c r="X121" s="100"/>
      <c r="Y121" s="83"/>
      <c r="Z121" s="304"/>
      <c r="AA121" s="304"/>
      <c r="AB121" s="304"/>
      <c r="AC121" s="304"/>
      <c r="AD121" s="304"/>
      <c r="AE121" s="304"/>
      <c r="AF121" s="304"/>
      <c r="AG121" s="304"/>
      <c r="AH121" s="304"/>
      <c r="AI121" s="304"/>
      <c r="AJ121" s="304"/>
      <c r="AK121" s="304"/>
      <c r="AL121" s="304"/>
      <c r="AM121" s="304"/>
      <c r="AN121" s="304"/>
      <c r="AO121" s="304"/>
      <c r="AP121" s="304"/>
      <c r="AQ121" s="304"/>
      <c r="AR121" s="304"/>
      <c r="AS121" s="304"/>
      <c r="AT121" s="304"/>
      <c r="AU121" s="304"/>
      <c r="AV121" s="304"/>
      <c r="AW121" s="304"/>
      <c r="AX121" s="304"/>
      <c r="AY121" s="304"/>
      <c r="AZ121" s="304"/>
      <c r="BA121" s="304"/>
      <c r="BB121" s="304"/>
      <c r="BC121" s="304"/>
      <c r="BD121" s="304"/>
      <c r="BE121" s="304"/>
      <c r="BF121" s="304"/>
      <c r="BG121" s="304"/>
      <c r="BH121" s="304"/>
      <c r="BI121" s="304"/>
      <c r="BJ121" s="304"/>
      <c r="BK121" s="304"/>
      <c r="BL121" s="304"/>
      <c r="BM121" s="304"/>
      <c r="BN121" s="304"/>
      <c r="BO121" s="304"/>
      <c r="BP121" s="304"/>
      <c r="BQ121" s="304"/>
      <c r="BR121" s="304"/>
      <c r="BS121" s="304"/>
      <c r="BT121" s="304"/>
      <c r="BU121" s="304"/>
      <c r="BV121" s="304"/>
      <c r="BW121" s="304"/>
      <c r="BX121" s="304"/>
      <c r="BY121" s="304"/>
      <c r="BZ121" s="304"/>
      <c r="CA121" s="304"/>
      <c r="CB121" s="304"/>
      <c r="CC121" s="304"/>
      <c r="CD121" s="304"/>
      <c r="CE121" s="304"/>
      <c r="CF121" s="304"/>
      <c r="CG121" s="304"/>
      <c r="CH121" s="304"/>
      <c r="CI121" s="304"/>
      <c r="CJ121" s="304"/>
      <c r="CK121" s="304"/>
      <c r="CL121" s="304"/>
      <c r="CM121" s="304"/>
      <c r="CN121" s="304"/>
      <c r="CO121" s="304"/>
      <c r="CP121" s="304"/>
    </row>
    <row r="122" spans="1:94" s="87" customFormat="1">
      <c r="A122" s="81"/>
      <c r="B122" s="83"/>
      <c r="C122" s="82"/>
      <c r="D122" s="102"/>
      <c r="E122" s="102"/>
      <c r="F122" s="102"/>
      <c r="G122" s="225"/>
      <c r="H122" s="218">
        <f t="shared" si="13"/>
        <v>0</v>
      </c>
      <c r="I122" s="218">
        <f t="shared" si="14"/>
        <v>0</v>
      </c>
      <c r="J122" s="218">
        <f t="shared" si="15"/>
        <v>0</v>
      </c>
      <c r="K122" s="102" t="str">
        <f t="shared" si="16"/>
        <v/>
      </c>
      <c r="L122" s="221"/>
      <c r="M122" s="325"/>
      <c r="N122" s="94"/>
      <c r="O122" s="326"/>
      <c r="P122" s="84"/>
      <c r="Q122" s="88"/>
      <c r="R122" s="102">
        <f t="shared" si="12"/>
        <v>0</v>
      </c>
      <c r="S122" s="89"/>
      <c r="T122" s="100"/>
      <c r="U122" s="100"/>
      <c r="V122" s="100"/>
      <c r="W122" s="100"/>
      <c r="X122" s="100"/>
      <c r="Y122" s="83"/>
      <c r="Z122" s="304"/>
      <c r="AA122" s="304"/>
      <c r="AB122" s="304"/>
      <c r="AC122" s="304"/>
      <c r="AD122" s="304"/>
      <c r="AE122" s="304"/>
      <c r="AF122" s="304"/>
      <c r="AG122" s="304"/>
      <c r="AH122" s="304"/>
      <c r="AI122" s="304"/>
      <c r="AJ122" s="304"/>
      <c r="AK122" s="304"/>
      <c r="AL122" s="304"/>
      <c r="AM122" s="304"/>
      <c r="AN122" s="304"/>
      <c r="AO122" s="304"/>
      <c r="AP122" s="304"/>
      <c r="AQ122" s="304"/>
      <c r="AR122" s="304"/>
      <c r="AS122" s="304"/>
      <c r="AT122" s="304"/>
      <c r="AU122" s="304"/>
      <c r="AV122" s="304"/>
      <c r="AW122" s="304"/>
      <c r="AX122" s="304"/>
      <c r="AY122" s="304"/>
      <c r="AZ122" s="304"/>
      <c r="BA122" s="304"/>
      <c r="BB122" s="304"/>
      <c r="BC122" s="304"/>
      <c r="BD122" s="304"/>
      <c r="BE122" s="304"/>
      <c r="BF122" s="304"/>
      <c r="BG122" s="304"/>
      <c r="BH122" s="304"/>
      <c r="BI122" s="304"/>
      <c r="BJ122" s="304"/>
      <c r="BK122" s="304"/>
      <c r="BL122" s="304"/>
      <c r="BM122" s="304"/>
      <c r="BN122" s="304"/>
      <c r="BO122" s="304"/>
      <c r="BP122" s="304"/>
      <c r="BQ122" s="304"/>
      <c r="BR122" s="304"/>
      <c r="BS122" s="304"/>
      <c r="BT122" s="304"/>
      <c r="BU122" s="304"/>
      <c r="BV122" s="304"/>
      <c r="BW122" s="304"/>
      <c r="BX122" s="304"/>
      <c r="BY122" s="304"/>
      <c r="BZ122" s="304"/>
      <c r="CA122" s="304"/>
      <c r="CB122" s="304"/>
      <c r="CC122" s="304"/>
      <c r="CD122" s="304"/>
      <c r="CE122" s="304"/>
      <c r="CF122" s="304"/>
      <c r="CG122" s="304"/>
      <c r="CH122" s="304"/>
      <c r="CI122" s="304"/>
      <c r="CJ122" s="304"/>
      <c r="CK122" s="304"/>
      <c r="CL122" s="304"/>
      <c r="CM122" s="304"/>
      <c r="CN122" s="304"/>
      <c r="CO122" s="304"/>
      <c r="CP122" s="304"/>
    </row>
    <row r="123" spans="1:94" s="87" customFormat="1">
      <c r="A123" s="81"/>
      <c r="B123" s="83"/>
      <c r="C123" s="82"/>
      <c r="D123" s="102"/>
      <c r="E123" s="102"/>
      <c r="F123" s="102"/>
      <c r="G123" s="225"/>
      <c r="H123" s="218">
        <f t="shared" si="13"/>
        <v>0</v>
      </c>
      <c r="I123" s="218">
        <f t="shared" si="14"/>
        <v>0</v>
      </c>
      <c r="J123" s="218">
        <f t="shared" si="15"/>
        <v>0</v>
      </c>
      <c r="K123" s="102" t="str">
        <f t="shared" si="16"/>
        <v/>
      </c>
      <c r="L123" s="221"/>
      <c r="M123" s="325"/>
      <c r="N123" s="94"/>
      <c r="O123" s="326"/>
      <c r="P123" s="84"/>
      <c r="Q123" s="88"/>
      <c r="R123" s="102">
        <f t="shared" si="12"/>
        <v>0</v>
      </c>
      <c r="S123" s="89"/>
      <c r="T123" s="100"/>
      <c r="U123" s="100"/>
      <c r="V123" s="100"/>
      <c r="W123" s="100"/>
      <c r="X123" s="100"/>
      <c r="Y123" s="83"/>
      <c r="Z123" s="304"/>
      <c r="AA123" s="304"/>
      <c r="AB123" s="304"/>
      <c r="AC123" s="304"/>
      <c r="AD123" s="304"/>
      <c r="AE123" s="304"/>
      <c r="AF123" s="304"/>
      <c r="AG123" s="304"/>
      <c r="AH123" s="304"/>
      <c r="AI123" s="304"/>
      <c r="AJ123" s="304"/>
      <c r="AK123" s="304"/>
      <c r="AL123" s="304"/>
      <c r="AM123" s="304"/>
      <c r="AN123" s="304"/>
      <c r="AO123" s="304"/>
      <c r="AP123" s="304"/>
      <c r="AQ123" s="304"/>
      <c r="AR123" s="304"/>
      <c r="AS123" s="304"/>
      <c r="AT123" s="304"/>
      <c r="AU123" s="304"/>
      <c r="AV123" s="304"/>
      <c r="AW123" s="304"/>
      <c r="AX123" s="304"/>
      <c r="AY123" s="304"/>
      <c r="AZ123" s="304"/>
      <c r="BA123" s="304"/>
      <c r="BB123" s="304"/>
      <c r="BC123" s="304"/>
      <c r="BD123" s="304"/>
      <c r="BE123" s="304"/>
      <c r="BF123" s="304"/>
      <c r="BG123" s="304"/>
      <c r="BH123" s="304"/>
      <c r="BI123" s="304"/>
      <c r="BJ123" s="304"/>
      <c r="BK123" s="304"/>
      <c r="BL123" s="304"/>
      <c r="BM123" s="304"/>
      <c r="BN123" s="304"/>
      <c r="BO123" s="304"/>
      <c r="BP123" s="304"/>
      <c r="BQ123" s="304"/>
      <c r="BR123" s="304"/>
      <c r="BS123" s="304"/>
      <c r="BT123" s="304"/>
      <c r="BU123" s="304"/>
      <c r="BV123" s="304"/>
      <c r="BW123" s="304"/>
      <c r="BX123" s="304"/>
      <c r="BY123" s="304"/>
      <c r="BZ123" s="304"/>
      <c r="CA123" s="304"/>
      <c r="CB123" s="304"/>
      <c r="CC123" s="304"/>
      <c r="CD123" s="304"/>
      <c r="CE123" s="304"/>
      <c r="CF123" s="304"/>
      <c r="CG123" s="304"/>
      <c r="CH123" s="304"/>
      <c r="CI123" s="304"/>
      <c r="CJ123" s="304"/>
      <c r="CK123" s="304"/>
      <c r="CL123" s="304"/>
      <c r="CM123" s="304"/>
      <c r="CN123" s="304"/>
      <c r="CO123" s="304"/>
      <c r="CP123" s="304"/>
    </row>
    <row r="124" spans="1:94" s="87" customFormat="1">
      <c r="A124" s="81"/>
      <c r="B124" s="83"/>
      <c r="C124" s="82"/>
      <c r="D124" s="102"/>
      <c r="E124" s="102"/>
      <c r="F124" s="102"/>
      <c r="G124" s="225"/>
      <c r="H124" s="218">
        <f t="shared" si="13"/>
        <v>0</v>
      </c>
      <c r="I124" s="218">
        <f t="shared" si="14"/>
        <v>0</v>
      </c>
      <c r="J124" s="218">
        <f t="shared" si="15"/>
        <v>0</v>
      </c>
      <c r="K124" s="102" t="str">
        <f t="shared" si="16"/>
        <v/>
      </c>
      <c r="L124" s="221"/>
      <c r="M124" s="325"/>
      <c r="N124" s="94"/>
      <c r="O124" s="326"/>
      <c r="P124" s="84"/>
      <c r="Q124" s="88"/>
      <c r="R124" s="102">
        <f t="shared" si="12"/>
        <v>0</v>
      </c>
      <c r="S124" s="89"/>
      <c r="T124" s="100"/>
      <c r="U124" s="100"/>
      <c r="V124" s="100"/>
      <c r="W124" s="100"/>
      <c r="X124" s="100"/>
      <c r="Y124" s="83"/>
      <c r="Z124" s="304"/>
      <c r="AA124" s="304"/>
      <c r="AB124" s="304"/>
      <c r="AC124" s="304"/>
      <c r="AD124" s="304"/>
      <c r="AE124" s="304"/>
      <c r="AF124" s="304"/>
      <c r="AG124" s="304"/>
      <c r="AH124" s="304"/>
      <c r="AI124" s="304"/>
      <c r="AJ124" s="304"/>
      <c r="AK124" s="304"/>
      <c r="AL124" s="304"/>
      <c r="AM124" s="304"/>
      <c r="AN124" s="304"/>
      <c r="AO124" s="304"/>
      <c r="AP124" s="304"/>
      <c r="AQ124" s="304"/>
      <c r="AR124" s="304"/>
      <c r="AS124" s="304"/>
      <c r="AT124" s="304"/>
      <c r="AU124" s="304"/>
      <c r="AV124" s="304"/>
      <c r="AW124" s="304"/>
      <c r="AX124" s="304"/>
      <c r="AY124" s="304"/>
      <c r="AZ124" s="304"/>
      <c r="BA124" s="304"/>
      <c r="BB124" s="304"/>
      <c r="BC124" s="304"/>
      <c r="BD124" s="304"/>
      <c r="BE124" s="304"/>
      <c r="BF124" s="304"/>
      <c r="BG124" s="304"/>
      <c r="BH124" s="304"/>
      <c r="BI124" s="304"/>
      <c r="BJ124" s="304"/>
      <c r="BK124" s="304"/>
      <c r="BL124" s="304"/>
      <c r="BM124" s="304"/>
      <c r="BN124" s="304"/>
      <c r="BO124" s="304"/>
      <c r="BP124" s="304"/>
      <c r="BQ124" s="304"/>
      <c r="BR124" s="304"/>
      <c r="BS124" s="304"/>
      <c r="BT124" s="304"/>
      <c r="BU124" s="304"/>
      <c r="BV124" s="304"/>
      <c r="BW124" s="304"/>
      <c r="BX124" s="304"/>
      <c r="BY124" s="304"/>
      <c r="BZ124" s="304"/>
      <c r="CA124" s="304"/>
      <c r="CB124" s="304"/>
      <c r="CC124" s="304"/>
      <c r="CD124" s="304"/>
      <c r="CE124" s="304"/>
      <c r="CF124" s="304"/>
      <c r="CG124" s="304"/>
      <c r="CH124" s="304"/>
      <c r="CI124" s="304"/>
      <c r="CJ124" s="304"/>
      <c r="CK124" s="304"/>
      <c r="CL124" s="304"/>
      <c r="CM124" s="304"/>
      <c r="CN124" s="304"/>
      <c r="CO124" s="304"/>
      <c r="CP124" s="304"/>
    </row>
    <row r="125" spans="1:94" s="87" customFormat="1">
      <c r="A125" s="81"/>
      <c r="B125" s="83"/>
      <c r="C125" s="82"/>
      <c r="D125" s="102"/>
      <c r="E125" s="102"/>
      <c r="F125" s="102"/>
      <c r="G125" s="225"/>
      <c r="H125" s="218">
        <f t="shared" si="13"/>
        <v>0</v>
      </c>
      <c r="I125" s="218">
        <f t="shared" si="14"/>
        <v>0</v>
      </c>
      <c r="J125" s="218">
        <f t="shared" si="15"/>
        <v>0</v>
      </c>
      <c r="K125" s="102" t="str">
        <f t="shared" si="16"/>
        <v/>
      </c>
      <c r="L125" s="221"/>
      <c r="M125" s="325"/>
      <c r="N125" s="94"/>
      <c r="O125" s="326"/>
      <c r="P125" s="84"/>
      <c r="Q125" s="88"/>
      <c r="R125" s="102">
        <f t="shared" si="12"/>
        <v>0</v>
      </c>
      <c r="S125" s="89"/>
      <c r="T125" s="100"/>
      <c r="U125" s="100"/>
      <c r="V125" s="100"/>
      <c r="W125" s="100"/>
      <c r="X125" s="100"/>
      <c r="Y125" s="83"/>
      <c r="Z125" s="304"/>
      <c r="AA125" s="304"/>
      <c r="AB125" s="304"/>
      <c r="AC125" s="304"/>
      <c r="AD125" s="304"/>
      <c r="AE125" s="304"/>
      <c r="AF125" s="304"/>
      <c r="AG125" s="304"/>
      <c r="AH125" s="304"/>
      <c r="AI125" s="304"/>
      <c r="AJ125" s="304"/>
      <c r="AK125" s="304"/>
      <c r="AL125" s="304"/>
      <c r="AM125" s="304"/>
      <c r="AN125" s="304"/>
      <c r="AO125" s="304"/>
      <c r="AP125" s="304"/>
      <c r="AQ125" s="304"/>
      <c r="AR125" s="304"/>
      <c r="AS125" s="304"/>
      <c r="AT125" s="304"/>
      <c r="AU125" s="304"/>
      <c r="AV125" s="304"/>
      <c r="AW125" s="304"/>
      <c r="AX125" s="304"/>
      <c r="AY125" s="304"/>
      <c r="AZ125" s="304"/>
      <c r="BA125" s="304"/>
      <c r="BB125" s="304"/>
      <c r="BC125" s="304"/>
      <c r="BD125" s="304"/>
      <c r="BE125" s="304"/>
      <c r="BF125" s="304"/>
      <c r="BG125" s="304"/>
      <c r="BH125" s="304"/>
      <c r="BI125" s="304"/>
      <c r="BJ125" s="304"/>
      <c r="BK125" s="304"/>
      <c r="BL125" s="304"/>
      <c r="BM125" s="304"/>
      <c r="BN125" s="304"/>
      <c r="BO125" s="304"/>
      <c r="BP125" s="304"/>
      <c r="BQ125" s="304"/>
      <c r="BR125" s="304"/>
      <c r="BS125" s="304"/>
      <c r="BT125" s="304"/>
      <c r="BU125" s="304"/>
      <c r="BV125" s="304"/>
      <c r="BW125" s="304"/>
      <c r="BX125" s="304"/>
      <c r="BY125" s="304"/>
      <c r="BZ125" s="304"/>
      <c r="CA125" s="304"/>
      <c r="CB125" s="304"/>
      <c r="CC125" s="304"/>
      <c r="CD125" s="304"/>
      <c r="CE125" s="304"/>
      <c r="CF125" s="304"/>
      <c r="CG125" s="304"/>
      <c r="CH125" s="304"/>
      <c r="CI125" s="304"/>
      <c r="CJ125" s="304"/>
      <c r="CK125" s="304"/>
      <c r="CL125" s="304"/>
      <c r="CM125" s="304"/>
      <c r="CN125" s="304"/>
      <c r="CO125" s="304"/>
      <c r="CP125" s="304"/>
    </row>
    <row r="126" spans="1:94" s="87" customFormat="1">
      <c r="A126" s="81"/>
      <c r="B126" s="83"/>
      <c r="C126" s="82"/>
      <c r="D126" s="102"/>
      <c r="E126" s="102"/>
      <c r="F126" s="102"/>
      <c r="G126" s="225"/>
      <c r="H126" s="218">
        <f t="shared" si="13"/>
        <v>0</v>
      </c>
      <c r="I126" s="218">
        <f t="shared" si="14"/>
        <v>0</v>
      </c>
      <c r="J126" s="218">
        <f t="shared" si="15"/>
        <v>0</v>
      </c>
      <c r="K126" s="102" t="str">
        <f t="shared" si="16"/>
        <v/>
      </c>
      <c r="L126" s="221"/>
      <c r="M126" s="325"/>
      <c r="N126" s="94"/>
      <c r="O126" s="326"/>
      <c r="P126" s="84"/>
      <c r="Q126" s="88"/>
      <c r="R126" s="102">
        <f t="shared" si="12"/>
        <v>0</v>
      </c>
      <c r="S126" s="89"/>
      <c r="T126" s="100"/>
      <c r="U126" s="100"/>
      <c r="V126" s="100"/>
      <c r="W126" s="100"/>
      <c r="X126" s="100"/>
      <c r="Y126" s="83"/>
      <c r="Z126" s="304"/>
      <c r="AA126" s="304"/>
      <c r="AB126" s="304"/>
      <c r="AC126" s="304"/>
      <c r="AD126" s="304"/>
      <c r="AE126" s="304"/>
      <c r="AF126" s="304"/>
      <c r="AG126" s="304"/>
      <c r="AH126" s="304"/>
      <c r="AI126" s="304"/>
      <c r="AJ126" s="304"/>
      <c r="AK126" s="304"/>
      <c r="AL126" s="304"/>
      <c r="AM126" s="304"/>
      <c r="AN126" s="304"/>
      <c r="AO126" s="304"/>
      <c r="AP126" s="304"/>
      <c r="AQ126" s="304"/>
      <c r="AR126" s="304"/>
      <c r="AS126" s="304"/>
      <c r="AT126" s="304"/>
      <c r="AU126" s="304"/>
      <c r="AV126" s="304"/>
      <c r="AW126" s="304"/>
      <c r="AX126" s="304"/>
      <c r="AY126" s="304"/>
      <c r="AZ126" s="304"/>
      <c r="BA126" s="304"/>
      <c r="BB126" s="304"/>
      <c r="BC126" s="304"/>
      <c r="BD126" s="304"/>
      <c r="BE126" s="304"/>
      <c r="BF126" s="304"/>
      <c r="BG126" s="304"/>
      <c r="BH126" s="304"/>
      <c r="BI126" s="304"/>
      <c r="BJ126" s="304"/>
      <c r="BK126" s="304"/>
      <c r="BL126" s="304"/>
      <c r="BM126" s="304"/>
      <c r="BN126" s="304"/>
      <c r="BO126" s="304"/>
      <c r="BP126" s="304"/>
      <c r="BQ126" s="304"/>
      <c r="BR126" s="304"/>
      <c r="BS126" s="304"/>
      <c r="BT126" s="304"/>
      <c r="BU126" s="304"/>
      <c r="BV126" s="304"/>
      <c r="BW126" s="304"/>
      <c r="BX126" s="304"/>
      <c r="BY126" s="304"/>
      <c r="BZ126" s="304"/>
      <c r="CA126" s="304"/>
      <c r="CB126" s="304"/>
      <c r="CC126" s="304"/>
      <c r="CD126" s="304"/>
      <c r="CE126" s="304"/>
      <c r="CF126" s="304"/>
      <c r="CG126" s="304"/>
      <c r="CH126" s="304"/>
      <c r="CI126" s="304"/>
      <c r="CJ126" s="304"/>
      <c r="CK126" s="304"/>
      <c r="CL126" s="304"/>
      <c r="CM126" s="304"/>
      <c r="CN126" s="304"/>
      <c r="CO126" s="304"/>
      <c r="CP126" s="304"/>
    </row>
    <row r="127" spans="1:94" s="87" customFormat="1">
      <c r="A127" s="81"/>
      <c r="B127" s="83"/>
      <c r="C127" s="82"/>
      <c r="D127" s="102"/>
      <c r="E127" s="102"/>
      <c r="F127" s="102"/>
      <c r="G127" s="225"/>
      <c r="H127" s="218">
        <f t="shared" si="13"/>
        <v>0</v>
      </c>
      <c r="I127" s="218">
        <f t="shared" si="14"/>
        <v>0</v>
      </c>
      <c r="J127" s="218">
        <f t="shared" si="15"/>
        <v>0</v>
      </c>
      <c r="K127" s="102" t="str">
        <f t="shared" si="16"/>
        <v/>
      </c>
      <c r="L127" s="221"/>
      <c r="M127" s="325"/>
      <c r="N127" s="94"/>
      <c r="O127" s="326"/>
      <c r="P127" s="84"/>
      <c r="Q127" s="88"/>
      <c r="R127" s="102">
        <f t="shared" si="12"/>
        <v>0</v>
      </c>
      <c r="S127" s="89"/>
      <c r="T127" s="100"/>
      <c r="U127" s="100"/>
      <c r="V127" s="100"/>
      <c r="W127" s="100"/>
      <c r="X127" s="100"/>
      <c r="Y127" s="83"/>
      <c r="Z127" s="304"/>
      <c r="AA127" s="304"/>
      <c r="AB127" s="304"/>
      <c r="AC127" s="304"/>
      <c r="AD127" s="304"/>
      <c r="AE127" s="304"/>
      <c r="AF127" s="304"/>
      <c r="AG127" s="304"/>
      <c r="AH127" s="304"/>
      <c r="AI127" s="304"/>
      <c r="AJ127" s="304"/>
      <c r="AK127" s="304"/>
      <c r="AL127" s="304"/>
      <c r="AM127" s="304"/>
      <c r="AN127" s="304"/>
      <c r="AO127" s="304"/>
      <c r="AP127" s="304"/>
      <c r="AQ127" s="304"/>
      <c r="AR127" s="304"/>
      <c r="AS127" s="304"/>
      <c r="AT127" s="304"/>
      <c r="AU127" s="304"/>
      <c r="AV127" s="304"/>
      <c r="AW127" s="304"/>
      <c r="AX127" s="304"/>
      <c r="AY127" s="304"/>
      <c r="AZ127" s="304"/>
      <c r="BA127" s="304"/>
      <c r="BB127" s="304"/>
      <c r="BC127" s="304"/>
      <c r="BD127" s="304"/>
      <c r="BE127" s="304"/>
      <c r="BF127" s="304"/>
      <c r="BG127" s="304"/>
      <c r="BH127" s="304"/>
      <c r="BI127" s="304"/>
      <c r="BJ127" s="304"/>
      <c r="BK127" s="304"/>
      <c r="BL127" s="304"/>
      <c r="BM127" s="304"/>
      <c r="BN127" s="304"/>
      <c r="BO127" s="304"/>
      <c r="BP127" s="304"/>
      <c r="BQ127" s="304"/>
      <c r="BR127" s="304"/>
      <c r="BS127" s="304"/>
      <c r="BT127" s="304"/>
      <c r="BU127" s="304"/>
      <c r="BV127" s="304"/>
      <c r="BW127" s="304"/>
      <c r="BX127" s="304"/>
      <c r="BY127" s="304"/>
      <c r="BZ127" s="304"/>
      <c r="CA127" s="304"/>
      <c r="CB127" s="304"/>
      <c r="CC127" s="304"/>
      <c r="CD127" s="304"/>
      <c r="CE127" s="304"/>
      <c r="CF127" s="304"/>
      <c r="CG127" s="304"/>
      <c r="CH127" s="304"/>
      <c r="CI127" s="304"/>
      <c r="CJ127" s="304"/>
      <c r="CK127" s="304"/>
      <c r="CL127" s="304"/>
      <c r="CM127" s="304"/>
      <c r="CN127" s="304"/>
      <c r="CO127" s="304"/>
      <c r="CP127" s="304"/>
    </row>
    <row r="128" spans="1:94" s="87" customFormat="1">
      <c r="A128" s="81"/>
      <c r="B128" s="83"/>
      <c r="C128" s="82"/>
      <c r="D128" s="102"/>
      <c r="E128" s="102"/>
      <c r="F128" s="102"/>
      <c r="G128" s="225"/>
      <c r="H128" s="218">
        <f t="shared" si="13"/>
        <v>0</v>
      </c>
      <c r="I128" s="218">
        <f t="shared" si="14"/>
        <v>0</v>
      </c>
      <c r="J128" s="218">
        <f t="shared" si="15"/>
        <v>0</v>
      </c>
      <c r="K128" s="102" t="str">
        <f t="shared" si="16"/>
        <v/>
      </c>
      <c r="L128" s="221"/>
      <c r="M128" s="325"/>
      <c r="N128" s="94"/>
      <c r="O128" s="326"/>
      <c r="P128" s="84"/>
      <c r="Q128" s="88"/>
      <c r="R128" s="102">
        <f t="shared" si="12"/>
        <v>0</v>
      </c>
      <c r="S128" s="89"/>
      <c r="T128" s="100"/>
      <c r="U128" s="100"/>
      <c r="V128" s="100"/>
      <c r="W128" s="100"/>
      <c r="X128" s="100"/>
      <c r="Y128" s="83"/>
      <c r="Z128" s="304"/>
      <c r="AA128" s="304"/>
      <c r="AB128" s="304"/>
      <c r="AC128" s="304"/>
      <c r="AD128" s="304"/>
      <c r="AE128" s="304"/>
      <c r="AF128" s="304"/>
      <c r="AG128" s="304"/>
      <c r="AH128" s="304"/>
      <c r="AI128" s="304"/>
      <c r="AJ128" s="304"/>
      <c r="AK128" s="304"/>
      <c r="AL128" s="304"/>
      <c r="AM128" s="304"/>
      <c r="AN128" s="304"/>
      <c r="AO128" s="304"/>
      <c r="AP128" s="304"/>
      <c r="AQ128" s="304"/>
      <c r="AR128" s="304"/>
      <c r="AS128" s="304"/>
      <c r="AT128" s="304"/>
      <c r="AU128" s="304"/>
      <c r="AV128" s="304"/>
      <c r="AW128" s="304"/>
      <c r="AX128" s="304"/>
      <c r="AY128" s="304"/>
      <c r="AZ128" s="304"/>
      <c r="BA128" s="304"/>
      <c r="BB128" s="304"/>
      <c r="BC128" s="304"/>
      <c r="BD128" s="304"/>
      <c r="BE128" s="304"/>
      <c r="BF128" s="304"/>
      <c r="BG128" s="304"/>
      <c r="BH128" s="304"/>
      <c r="BI128" s="304"/>
      <c r="BJ128" s="304"/>
      <c r="BK128" s="304"/>
      <c r="BL128" s="304"/>
      <c r="BM128" s="304"/>
      <c r="BN128" s="304"/>
      <c r="BO128" s="304"/>
      <c r="BP128" s="304"/>
      <c r="BQ128" s="304"/>
      <c r="BR128" s="304"/>
      <c r="BS128" s="304"/>
      <c r="BT128" s="304"/>
      <c r="BU128" s="304"/>
      <c r="BV128" s="304"/>
      <c r="BW128" s="304"/>
      <c r="BX128" s="304"/>
      <c r="BY128" s="304"/>
      <c r="BZ128" s="304"/>
      <c r="CA128" s="304"/>
      <c r="CB128" s="304"/>
      <c r="CC128" s="304"/>
      <c r="CD128" s="304"/>
      <c r="CE128" s="304"/>
      <c r="CF128" s="304"/>
      <c r="CG128" s="304"/>
      <c r="CH128" s="304"/>
      <c r="CI128" s="304"/>
      <c r="CJ128" s="304"/>
      <c r="CK128" s="304"/>
      <c r="CL128" s="304"/>
      <c r="CM128" s="304"/>
      <c r="CN128" s="304"/>
      <c r="CO128" s="304"/>
      <c r="CP128" s="304"/>
    </row>
    <row r="129" spans="1:94" s="87" customFormat="1">
      <c r="A129" s="81"/>
      <c r="B129" s="83"/>
      <c r="C129" s="82"/>
      <c r="D129" s="102"/>
      <c r="E129" s="102"/>
      <c r="F129" s="102"/>
      <c r="G129" s="225"/>
      <c r="H129" s="218">
        <f t="shared" si="13"/>
        <v>0</v>
      </c>
      <c r="I129" s="218">
        <f t="shared" si="14"/>
        <v>0</v>
      </c>
      <c r="J129" s="218">
        <f t="shared" si="15"/>
        <v>0</v>
      </c>
      <c r="K129" s="102" t="str">
        <f t="shared" si="16"/>
        <v/>
      </c>
      <c r="L129" s="221"/>
      <c r="M129" s="325"/>
      <c r="N129" s="94"/>
      <c r="O129" s="326"/>
      <c r="P129" s="84"/>
      <c r="Q129" s="88"/>
      <c r="R129" s="102">
        <f t="shared" si="12"/>
        <v>0</v>
      </c>
      <c r="S129" s="89"/>
      <c r="T129" s="100"/>
      <c r="U129" s="100"/>
      <c r="V129" s="100"/>
      <c r="W129" s="100"/>
      <c r="X129" s="100"/>
      <c r="Y129" s="83"/>
      <c r="Z129" s="304"/>
      <c r="AA129" s="304"/>
      <c r="AB129" s="304"/>
      <c r="AC129" s="304"/>
      <c r="AD129" s="304"/>
      <c r="AE129" s="304"/>
      <c r="AF129" s="304"/>
      <c r="AG129" s="304"/>
      <c r="AH129" s="304"/>
      <c r="AI129" s="304"/>
      <c r="AJ129" s="304"/>
      <c r="AK129" s="304"/>
      <c r="AL129" s="304"/>
      <c r="AM129" s="304"/>
      <c r="AN129" s="304"/>
      <c r="AO129" s="304"/>
      <c r="AP129" s="304"/>
      <c r="AQ129" s="304"/>
      <c r="AR129" s="304"/>
      <c r="AS129" s="304"/>
      <c r="AT129" s="304"/>
      <c r="AU129" s="304"/>
      <c r="AV129" s="304"/>
      <c r="AW129" s="304"/>
      <c r="AX129" s="304"/>
      <c r="AY129" s="304"/>
      <c r="AZ129" s="304"/>
      <c r="BA129" s="304"/>
      <c r="BB129" s="304"/>
      <c r="BC129" s="304"/>
      <c r="BD129" s="304"/>
      <c r="BE129" s="304"/>
      <c r="BF129" s="304"/>
      <c r="BG129" s="304"/>
      <c r="BH129" s="304"/>
      <c r="BI129" s="304"/>
      <c r="BJ129" s="304"/>
      <c r="BK129" s="304"/>
      <c r="BL129" s="304"/>
      <c r="BM129" s="304"/>
      <c r="BN129" s="304"/>
      <c r="BO129" s="304"/>
      <c r="BP129" s="304"/>
      <c r="BQ129" s="304"/>
      <c r="BR129" s="304"/>
      <c r="BS129" s="304"/>
      <c r="BT129" s="304"/>
      <c r="BU129" s="304"/>
      <c r="BV129" s="304"/>
      <c r="BW129" s="304"/>
      <c r="BX129" s="304"/>
      <c r="BY129" s="304"/>
      <c r="BZ129" s="304"/>
      <c r="CA129" s="304"/>
      <c r="CB129" s="304"/>
      <c r="CC129" s="304"/>
      <c r="CD129" s="304"/>
      <c r="CE129" s="304"/>
      <c r="CF129" s="304"/>
      <c r="CG129" s="304"/>
      <c r="CH129" s="304"/>
      <c r="CI129" s="304"/>
      <c r="CJ129" s="304"/>
      <c r="CK129" s="304"/>
      <c r="CL129" s="304"/>
      <c r="CM129" s="304"/>
      <c r="CN129" s="304"/>
      <c r="CO129" s="304"/>
      <c r="CP129" s="304"/>
    </row>
    <row r="130" spans="1:94" s="87" customFormat="1">
      <c r="A130" s="81"/>
      <c r="B130" s="83"/>
      <c r="C130" s="82"/>
      <c r="D130" s="102"/>
      <c r="E130" s="102"/>
      <c r="F130" s="102"/>
      <c r="G130" s="225"/>
      <c r="H130" s="218">
        <f t="shared" si="13"/>
        <v>0</v>
      </c>
      <c r="I130" s="218">
        <f t="shared" si="14"/>
        <v>0</v>
      </c>
      <c r="J130" s="218">
        <f t="shared" si="15"/>
        <v>0</v>
      </c>
      <c r="K130" s="102" t="str">
        <f t="shared" si="16"/>
        <v/>
      </c>
      <c r="L130" s="221"/>
      <c r="M130" s="325"/>
      <c r="N130" s="94"/>
      <c r="O130" s="326"/>
      <c r="P130" s="84"/>
      <c r="Q130" s="88"/>
      <c r="R130" s="102">
        <f t="shared" si="12"/>
        <v>0</v>
      </c>
      <c r="S130" s="89"/>
      <c r="T130" s="100"/>
      <c r="U130" s="100"/>
      <c r="V130" s="100"/>
      <c r="W130" s="100"/>
      <c r="X130" s="100"/>
      <c r="Y130" s="83"/>
      <c r="Z130" s="304"/>
      <c r="AA130" s="304"/>
      <c r="AB130" s="304"/>
      <c r="AC130" s="304"/>
      <c r="AD130" s="304"/>
      <c r="AE130" s="304"/>
      <c r="AF130" s="304"/>
      <c r="AG130" s="304"/>
      <c r="AH130" s="304"/>
      <c r="AI130" s="304"/>
      <c r="AJ130" s="304"/>
      <c r="AK130" s="304"/>
      <c r="AL130" s="304"/>
      <c r="AM130" s="304"/>
      <c r="AN130" s="304"/>
      <c r="AO130" s="304"/>
      <c r="AP130" s="304"/>
      <c r="AQ130" s="304"/>
      <c r="AR130" s="304"/>
      <c r="AS130" s="304"/>
      <c r="AT130" s="304"/>
      <c r="AU130" s="304"/>
      <c r="AV130" s="304"/>
      <c r="AW130" s="304"/>
      <c r="AX130" s="304"/>
      <c r="AY130" s="304"/>
      <c r="AZ130" s="304"/>
      <c r="BA130" s="304"/>
      <c r="BB130" s="304"/>
      <c r="BC130" s="304"/>
      <c r="BD130" s="304"/>
      <c r="BE130" s="304"/>
      <c r="BF130" s="304"/>
      <c r="BG130" s="304"/>
      <c r="BH130" s="304"/>
      <c r="BI130" s="304"/>
      <c r="BJ130" s="304"/>
      <c r="BK130" s="304"/>
      <c r="BL130" s="304"/>
      <c r="BM130" s="304"/>
      <c r="BN130" s="304"/>
      <c r="BO130" s="304"/>
      <c r="BP130" s="304"/>
      <c r="BQ130" s="304"/>
      <c r="BR130" s="304"/>
      <c r="BS130" s="304"/>
      <c r="BT130" s="304"/>
      <c r="BU130" s="304"/>
      <c r="BV130" s="304"/>
      <c r="BW130" s="304"/>
      <c r="BX130" s="304"/>
      <c r="BY130" s="304"/>
      <c r="BZ130" s="304"/>
      <c r="CA130" s="304"/>
      <c r="CB130" s="304"/>
      <c r="CC130" s="304"/>
      <c r="CD130" s="304"/>
      <c r="CE130" s="304"/>
      <c r="CF130" s="304"/>
      <c r="CG130" s="304"/>
      <c r="CH130" s="304"/>
      <c r="CI130" s="304"/>
      <c r="CJ130" s="304"/>
      <c r="CK130" s="304"/>
      <c r="CL130" s="304"/>
      <c r="CM130" s="304"/>
      <c r="CN130" s="304"/>
      <c r="CO130" s="304"/>
      <c r="CP130" s="304"/>
    </row>
    <row r="131" spans="1:94" s="87" customFormat="1">
      <c r="A131" s="81"/>
      <c r="B131" s="83"/>
      <c r="C131" s="82"/>
      <c r="D131" s="102"/>
      <c r="E131" s="102"/>
      <c r="F131" s="102"/>
      <c r="G131" s="225"/>
      <c r="H131" s="218">
        <f t="shared" si="13"/>
        <v>0</v>
      </c>
      <c r="I131" s="218">
        <f t="shared" si="14"/>
        <v>0</v>
      </c>
      <c r="J131" s="218">
        <f t="shared" si="15"/>
        <v>0</v>
      </c>
      <c r="K131" s="102" t="str">
        <f t="shared" si="16"/>
        <v/>
      </c>
      <c r="L131" s="221"/>
      <c r="M131" s="325"/>
      <c r="N131" s="94"/>
      <c r="O131" s="326"/>
      <c r="P131" s="84"/>
      <c r="Q131" s="88"/>
      <c r="R131" s="102">
        <f t="shared" si="12"/>
        <v>0</v>
      </c>
      <c r="S131" s="89"/>
      <c r="T131" s="100"/>
      <c r="U131" s="100"/>
      <c r="V131" s="100"/>
      <c r="W131" s="100"/>
      <c r="X131" s="100"/>
      <c r="Y131" s="83"/>
      <c r="Z131" s="304"/>
      <c r="AA131" s="304"/>
      <c r="AB131" s="304"/>
      <c r="AC131" s="304"/>
      <c r="AD131" s="304"/>
      <c r="AE131" s="304"/>
      <c r="AF131" s="304"/>
      <c r="AG131" s="304"/>
      <c r="AH131" s="304"/>
      <c r="AI131" s="304"/>
      <c r="AJ131" s="304"/>
      <c r="AK131" s="304"/>
      <c r="AL131" s="304"/>
      <c r="AM131" s="304"/>
      <c r="AN131" s="304"/>
      <c r="AO131" s="304"/>
      <c r="AP131" s="304"/>
      <c r="AQ131" s="304"/>
      <c r="AR131" s="304"/>
      <c r="AS131" s="304"/>
      <c r="AT131" s="304"/>
      <c r="AU131" s="304"/>
      <c r="AV131" s="304"/>
      <c r="AW131" s="304"/>
      <c r="AX131" s="304"/>
      <c r="AY131" s="304"/>
      <c r="AZ131" s="304"/>
      <c r="BA131" s="304"/>
      <c r="BB131" s="304"/>
      <c r="BC131" s="304"/>
      <c r="BD131" s="304"/>
      <c r="BE131" s="304"/>
      <c r="BF131" s="304"/>
      <c r="BG131" s="304"/>
      <c r="BH131" s="304"/>
      <c r="BI131" s="304"/>
      <c r="BJ131" s="304"/>
      <c r="BK131" s="304"/>
      <c r="BL131" s="304"/>
      <c r="BM131" s="304"/>
      <c r="BN131" s="304"/>
      <c r="BO131" s="304"/>
      <c r="BP131" s="304"/>
      <c r="BQ131" s="304"/>
      <c r="BR131" s="304"/>
      <c r="BS131" s="304"/>
      <c r="BT131" s="304"/>
      <c r="BU131" s="304"/>
      <c r="BV131" s="304"/>
      <c r="BW131" s="304"/>
      <c r="BX131" s="304"/>
      <c r="BY131" s="304"/>
      <c r="BZ131" s="304"/>
      <c r="CA131" s="304"/>
      <c r="CB131" s="304"/>
      <c r="CC131" s="304"/>
      <c r="CD131" s="304"/>
      <c r="CE131" s="304"/>
      <c r="CF131" s="304"/>
      <c r="CG131" s="304"/>
      <c r="CH131" s="304"/>
      <c r="CI131" s="304"/>
      <c r="CJ131" s="304"/>
      <c r="CK131" s="304"/>
      <c r="CL131" s="304"/>
      <c r="CM131" s="304"/>
      <c r="CN131" s="304"/>
      <c r="CO131" s="304"/>
      <c r="CP131" s="304"/>
    </row>
    <row r="132" spans="1:94" s="87" customFormat="1">
      <c r="A132" s="81"/>
      <c r="B132" s="83"/>
      <c r="C132" s="82"/>
      <c r="D132" s="102"/>
      <c r="E132" s="102"/>
      <c r="F132" s="102"/>
      <c r="G132" s="225"/>
      <c r="H132" s="218">
        <f t="shared" si="13"/>
        <v>0</v>
      </c>
      <c r="I132" s="218">
        <f t="shared" si="14"/>
        <v>0</v>
      </c>
      <c r="J132" s="218">
        <f t="shared" si="15"/>
        <v>0</v>
      </c>
      <c r="K132" s="102" t="str">
        <f t="shared" si="16"/>
        <v/>
      </c>
      <c r="L132" s="221"/>
      <c r="M132" s="325"/>
      <c r="N132" s="94"/>
      <c r="O132" s="326"/>
      <c r="P132" s="84"/>
      <c r="Q132" s="88"/>
      <c r="R132" s="102">
        <f t="shared" si="12"/>
        <v>0</v>
      </c>
      <c r="S132" s="89"/>
      <c r="T132" s="100"/>
      <c r="U132" s="100"/>
      <c r="V132" s="100"/>
      <c r="W132" s="100"/>
      <c r="X132" s="100"/>
      <c r="Y132" s="83"/>
      <c r="Z132" s="304"/>
      <c r="AA132" s="304"/>
      <c r="AB132" s="304"/>
      <c r="AC132" s="304"/>
      <c r="AD132" s="304"/>
      <c r="AE132" s="304"/>
      <c r="AF132" s="304"/>
      <c r="AG132" s="304"/>
      <c r="AH132" s="304"/>
      <c r="AI132" s="304"/>
      <c r="AJ132" s="304"/>
      <c r="AK132" s="304"/>
      <c r="AL132" s="304"/>
      <c r="AM132" s="304"/>
      <c r="AN132" s="304"/>
      <c r="AO132" s="304"/>
      <c r="AP132" s="304"/>
      <c r="AQ132" s="304"/>
      <c r="AR132" s="304"/>
      <c r="AS132" s="304"/>
      <c r="AT132" s="304"/>
      <c r="AU132" s="304"/>
      <c r="AV132" s="304"/>
      <c r="AW132" s="304"/>
      <c r="AX132" s="304"/>
      <c r="AY132" s="304"/>
      <c r="AZ132" s="304"/>
      <c r="BA132" s="304"/>
      <c r="BB132" s="304"/>
      <c r="BC132" s="304"/>
      <c r="BD132" s="304"/>
      <c r="BE132" s="304"/>
      <c r="BF132" s="304"/>
      <c r="BG132" s="304"/>
      <c r="BH132" s="304"/>
      <c r="BI132" s="304"/>
      <c r="BJ132" s="304"/>
      <c r="BK132" s="304"/>
      <c r="BL132" s="304"/>
      <c r="BM132" s="304"/>
      <c r="BN132" s="304"/>
      <c r="BO132" s="304"/>
      <c r="BP132" s="304"/>
      <c r="BQ132" s="304"/>
      <c r="BR132" s="304"/>
      <c r="BS132" s="304"/>
      <c r="BT132" s="304"/>
      <c r="BU132" s="304"/>
      <c r="BV132" s="304"/>
      <c r="BW132" s="304"/>
      <c r="BX132" s="304"/>
      <c r="BY132" s="304"/>
      <c r="BZ132" s="304"/>
      <c r="CA132" s="304"/>
      <c r="CB132" s="304"/>
      <c r="CC132" s="304"/>
      <c r="CD132" s="304"/>
      <c r="CE132" s="304"/>
      <c r="CF132" s="304"/>
      <c r="CG132" s="304"/>
      <c r="CH132" s="304"/>
      <c r="CI132" s="304"/>
      <c r="CJ132" s="304"/>
      <c r="CK132" s="304"/>
      <c r="CL132" s="304"/>
      <c r="CM132" s="304"/>
      <c r="CN132" s="304"/>
      <c r="CO132" s="304"/>
      <c r="CP132" s="304"/>
    </row>
    <row r="133" spans="1:94" s="87" customFormat="1">
      <c r="A133" s="81"/>
      <c r="B133" s="83"/>
      <c r="C133" s="82"/>
      <c r="D133" s="102"/>
      <c r="E133" s="102"/>
      <c r="F133" s="102"/>
      <c r="G133" s="225"/>
      <c r="H133" s="218">
        <f t="shared" si="13"/>
        <v>0</v>
      </c>
      <c r="I133" s="218">
        <f t="shared" si="14"/>
        <v>0</v>
      </c>
      <c r="J133" s="218">
        <f t="shared" si="15"/>
        <v>0</v>
      </c>
      <c r="K133" s="102" t="str">
        <f t="shared" si="16"/>
        <v/>
      </c>
      <c r="L133" s="221"/>
      <c r="M133" s="325"/>
      <c r="N133" s="94"/>
      <c r="O133" s="326"/>
      <c r="P133" s="84"/>
      <c r="Q133" s="88"/>
      <c r="R133" s="102">
        <f t="shared" ref="R133:R196" si="17">IFERROR(SUM(F133-D133),"NA")</f>
        <v>0</v>
      </c>
      <c r="S133" s="89"/>
      <c r="T133" s="100"/>
      <c r="U133" s="100"/>
      <c r="V133" s="100"/>
      <c r="W133" s="100"/>
      <c r="X133" s="100"/>
      <c r="Y133" s="83"/>
      <c r="Z133" s="304"/>
      <c r="AA133" s="304"/>
      <c r="AB133" s="304"/>
      <c r="AC133" s="304"/>
      <c r="AD133" s="304"/>
      <c r="AE133" s="304"/>
      <c r="AF133" s="304"/>
      <c r="AG133" s="304"/>
      <c r="AH133" s="304"/>
      <c r="AI133" s="304"/>
      <c r="AJ133" s="304"/>
      <c r="AK133" s="304"/>
      <c r="AL133" s="304"/>
      <c r="AM133" s="304"/>
      <c r="AN133" s="304"/>
      <c r="AO133" s="304"/>
      <c r="AP133" s="304"/>
      <c r="AQ133" s="304"/>
      <c r="AR133" s="304"/>
      <c r="AS133" s="304"/>
      <c r="AT133" s="304"/>
      <c r="AU133" s="304"/>
      <c r="AV133" s="304"/>
      <c r="AW133" s="304"/>
      <c r="AX133" s="304"/>
      <c r="AY133" s="304"/>
      <c r="AZ133" s="304"/>
      <c r="BA133" s="304"/>
      <c r="BB133" s="304"/>
      <c r="BC133" s="304"/>
      <c r="BD133" s="304"/>
      <c r="BE133" s="304"/>
      <c r="BF133" s="304"/>
      <c r="BG133" s="304"/>
      <c r="BH133" s="304"/>
      <c r="BI133" s="304"/>
      <c r="BJ133" s="304"/>
      <c r="BK133" s="304"/>
      <c r="BL133" s="304"/>
      <c r="BM133" s="304"/>
      <c r="BN133" s="304"/>
      <c r="BO133" s="304"/>
      <c r="BP133" s="304"/>
      <c r="BQ133" s="304"/>
      <c r="BR133" s="304"/>
      <c r="BS133" s="304"/>
      <c r="BT133" s="304"/>
      <c r="BU133" s="304"/>
      <c r="BV133" s="304"/>
      <c r="BW133" s="304"/>
      <c r="BX133" s="304"/>
      <c r="BY133" s="304"/>
      <c r="BZ133" s="304"/>
      <c r="CA133" s="304"/>
      <c r="CB133" s="304"/>
      <c r="CC133" s="304"/>
      <c r="CD133" s="304"/>
      <c r="CE133" s="304"/>
      <c r="CF133" s="304"/>
      <c r="CG133" s="304"/>
      <c r="CH133" s="304"/>
      <c r="CI133" s="304"/>
      <c r="CJ133" s="304"/>
      <c r="CK133" s="304"/>
      <c r="CL133" s="304"/>
      <c r="CM133" s="304"/>
      <c r="CN133" s="304"/>
      <c r="CO133" s="304"/>
      <c r="CP133" s="304"/>
    </row>
    <row r="134" spans="1:94" s="87" customFormat="1">
      <c r="A134" s="81"/>
      <c r="B134" s="83"/>
      <c r="C134" s="82"/>
      <c r="D134" s="102"/>
      <c r="E134" s="102"/>
      <c r="F134" s="102"/>
      <c r="G134" s="225"/>
      <c r="H134" s="218">
        <f t="shared" si="13"/>
        <v>0</v>
      </c>
      <c r="I134" s="218">
        <f t="shared" si="14"/>
        <v>0</v>
      </c>
      <c r="J134" s="218">
        <f t="shared" si="15"/>
        <v>0</v>
      </c>
      <c r="K134" s="102" t="str">
        <f t="shared" si="16"/>
        <v/>
      </c>
      <c r="L134" s="221"/>
      <c r="M134" s="325"/>
      <c r="N134" s="94"/>
      <c r="O134" s="326"/>
      <c r="P134" s="84"/>
      <c r="Q134" s="88"/>
      <c r="R134" s="102">
        <f t="shared" si="17"/>
        <v>0</v>
      </c>
      <c r="S134" s="89"/>
      <c r="T134" s="100"/>
      <c r="U134" s="100"/>
      <c r="V134" s="100"/>
      <c r="W134" s="100"/>
      <c r="X134" s="100"/>
      <c r="Y134" s="83"/>
      <c r="Z134" s="304"/>
      <c r="AA134" s="304"/>
      <c r="AB134" s="304"/>
      <c r="AC134" s="304"/>
      <c r="AD134" s="304"/>
      <c r="AE134" s="304"/>
      <c r="AF134" s="304"/>
      <c r="AG134" s="304"/>
      <c r="AH134" s="304"/>
      <c r="AI134" s="304"/>
      <c r="AJ134" s="304"/>
      <c r="AK134" s="304"/>
      <c r="AL134" s="304"/>
      <c r="AM134" s="304"/>
      <c r="AN134" s="304"/>
      <c r="AO134" s="304"/>
      <c r="AP134" s="304"/>
      <c r="AQ134" s="304"/>
      <c r="AR134" s="304"/>
      <c r="AS134" s="304"/>
      <c r="AT134" s="304"/>
      <c r="AU134" s="304"/>
      <c r="AV134" s="304"/>
      <c r="AW134" s="304"/>
      <c r="AX134" s="304"/>
      <c r="AY134" s="304"/>
      <c r="AZ134" s="304"/>
      <c r="BA134" s="304"/>
      <c r="BB134" s="304"/>
      <c r="BC134" s="304"/>
      <c r="BD134" s="304"/>
      <c r="BE134" s="304"/>
      <c r="BF134" s="304"/>
      <c r="BG134" s="304"/>
      <c r="BH134" s="304"/>
      <c r="BI134" s="304"/>
      <c r="BJ134" s="304"/>
      <c r="BK134" s="304"/>
      <c r="BL134" s="304"/>
      <c r="BM134" s="304"/>
      <c r="BN134" s="304"/>
      <c r="BO134" s="304"/>
      <c r="BP134" s="304"/>
      <c r="BQ134" s="304"/>
      <c r="BR134" s="304"/>
      <c r="BS134" s="304"/>
      <c r="BT134" s="304"/>
      <c r="BU134" s="304"/>
      <c r="BV134" s="304"/>
      <c r="BW134" s="304"/>
      <c r="BX134" s="304"/>
      <c r="BY134" s="304"/>
      <c r="BZ134" s="304"/>
      <c r="CA134" s="304"/>
      <c r="CB134" s="304"/>
      <c r="CC134" s="304"/>
      <c r="CD134" s="304"/>
      <c r="CE134" s="304"/>
      <c r="CF134" s="304"/>
      <c r="CG134" s="304"/>
      <c r="CH134" s="304"/>
      <c r="CI134" s="304"/>
      <c r="CJ134" s="304"/>
      <c r="CK134" s="304"/>
      <c r="CL134" s="304"/>
      <c r="CM134" s="304"/>
      <c r="CN134" s="304"/>
      <c r="CO134" s="304"/>
      <c r="CP134" s="304"/>
    </row>
    <row r="135" spans="1:94" s="87" customFormat="1">
      <c r="A135" s="81"/>
      <c r="B135" s="83"/>
      <c r="C135" s="82"/>
      <c r="D135" s="102"/>
      <c r="E135" s="102"/>
      <c r="F135" s="102"/>
      <c r="G135" s="225"/>
      <c r="H135" s="218">
        <f t="shared" si="13"/>
        <v>0</v>
      </c>
      <c r="I135" s="218">
        <f t="shared" si="14"/>
        <v>0</v>
      </c>
      <c r="J135" s="218">
        <f t="shared" si="15"/>
        <v>0</v>
      </c>
      <c r="K135" s="102" t="str">
        <f t="shared" si="16"/>
        <v/>
      </c>
      <c r="L135" s="221"/>
      <c r="M135" s="325"/>
      <c r="N135" s="94"/>
      <c r="O135" s="326"/>
      <c r="P135" s="84"/>
      <c r="Q135" s="88"/>
      <c r="R135" s="102">
        <f t="shared" si="17"/>
        <v>0</v>
      </c>
      <c r="S135" s="89"/>
      <c r="T135" s="100"/>
      <c r="U135" s="100"/>
      <c r="V135" s="100"/>
      <c r="W135" s="100"/>
      <c r="X135" s="100"/>
      <c r="Y135" s="83"/>
      <c r="Z135" s="304"/>
      <c r="AA135" s="304"/>
      <c r="AB135" s="304"/>
      <c r="AC135" s="304"/>
      <c r="AD135" s="304"/>
      <c r="AE135" s="304"/>
      <c r="AF135" s="304"/>
      <c r="AG135" s="304"/>
      <c r="AH135" s="304"/>
      <c r="AI135" s="304"/>
      <c r="AJ135" s="304"/>
      <c r="AK135" s="304"/>
      <c r="AL135" s="304"/>
      <c r="AM135" s="304"/>
      <c r="AN135" s="304"/>
      <c r="AO135" s="304"/>
      <c r="AP135" s="304"/>
      <c r="AQ135" s="304"/>
      <c r="AR135" s="304"/>
      <c r="AS135" s="304"/>
      <c r="AT135" s="304"/>
      <c r="AU135" s="304"/>
      <c r="AV135" s="304"/>
      <c r="AW135" s="304"/>
      <c r="AX135" s="304"/>
      <c r="AY135" s="304"/>
      <c r="AZ135" s="304"/>
      <c r="BA135" s="304"/>
      <c r="BB135" s="304"/>
      <c r="BC135" s="304"/>
      <c r="BD135" s="304"/>
      <c r="BE135" s="304"/>
      <c r="BF135" s="304"/>
      <c r="BG135" s="304"/>
      <c r="BH135" s="304"/>
      <c r="BI135" s="304"/>
      <c r="BJ135" s="304"/>
      <c r="BK135" s="304"/>
      <c r="BL135" s="304"/>
      <c r="BM135" s="304"/>
      <c r="BN135" s="304"/>
      <c r="BO135" s="304"/>
      <c r="BP135" s="304"/>
      <c r="BQ135" s="304"/>
      <c r="BR135" s="304"/>
      <c r="BS135" s="304"/>
      <c r="BT135" s="304"/>
      <c r="BU135" s="304"/>
      <c r="BV135" s="304"/>
      <c r="BW135" s="304"/>
      <c r="BX135" s="304"/>
      <c r="BY135" s="304"/>
      <c r="BZ135" s="304"/>
      <c r="CA135" s="304"/>
      <c r="CB135" s="304"/>
      <c r="CC135" s="304"/>
      <c r="CD135" s="304"/>
      <c r="CE135" s="304"/>
      <c r="CF135" s="304"/>
      <c r="CG135" s="304"/>
      <c r="CH135" s="304"/>
      <c r="CI135" s="304"/>
      <c r="CJ135" s="304"/>
      <c r="CK135" s="304"/>
      <c r="CL135" s="304"/>
      <c r="CM135" s="304"/>
      <c r="CN135" s="304"/>
      <c r="CO135" s="304"/>
      <c r="CP135" s="304"/>
    </row>
    <row r="136" spans="1:94" s="87" customFormat="1">
      <c r="A136" s="81"/>
      <c r="B136" s="83"/>
      <c r="C136" s="82"/>
      <c r="D136" s="102"/>
      <c r="E136" s="102"/>
      <c r="F136" s="102"/>
      <c r="G136" s="225"/>
      <c r="H136" s="218">
        <f t="shared" si="13"/>
        <v>0</v>
      </c>
      <c r="I136" s="218">
        <f t="shared" si="14"/>
        <v>0</v>
      </c>
      <c r="J136" s="218">
        <f t="shared" si="15"/>
        <v>0</v>
      </c>
      <c r="K136" s="102" t="str">
        <f t="shared" si="16"/>
        <v/>
      </c>
      <c r="L136" s="221"/>
      <c r="M136" s="325"/>
      <c r="N136" s="94"/>
      <c r="O136" s="326"/>
      <c r="P136" s="84"/>
      <c r="Q136" s="88"/>
      <c r="R136" s="102">
        <f t="shared" si="17"/>
        <v>0</v>
      </c>
      <c r="S136" s="89"/>
      <c r="T136" s="100"/>
      <c r="U136" s="100"/>
      <c r="V136" s="100"/>
      <c r="W136" s="100"/>
      <c r="X136" s="100"/>
      <c r="Y136" s="83"/>
      <c r="Z136" s="304"/>
      <c r="AA136" s="304"/>
      <c r="AB136" s="304"/>
      <c r="AC136" s="304"/>
      <c r="AD136" s="304"/>
      <c r="AE136" s="304"/>
      <c r="AF136" s="304"/>
      <c r="AG136" s="304"/>
      <c r="AH136" s="304"/>
      <c r="AI136" s="304"/>
      <c r="AJ136" s="304"/>
      <c r="AK136" s="304"/>
      <c r="AL136" s="304"/>
      <c r="AM136" s="304"/>
      <c r="AN136" s="304"/>
      <c r="AO136" s="304"/>
      <c r="AP136" s="304"/>
      <c r="AQ136" s="304"/>
      <c r="AR136" s="304"/>
      <c r="AS136" s="304"/>
      <c r="AT136" s="304"/>
      <c r="AU136" s="304"/>
      <c r="AV136" s="304"/>
      <c r="AW136" s="304"/>
      <c r="AX136" s="304"/>
      <c r="AY136" s="304"/>
      <c r="AZ136" s="304"/>
      <c r="BA136" s="304"/>
      <c r="BB136" s="304"/>
      <c r="BC136" s="304"/>
      <c r="BD136" s="304"/>
      <c r="BE136" s="304"/>
      <c r="BF136" s="304"/>
      <c r="BG136" s="304"/>
      <c r="BH136" s="304"/>
      <c r="BI136" s="304"/>
      <c r="BJ136" s="304"/>
      <c r="BK136" s="304"/>
      <c r="BL136" s="304"/>
      <c r="BM136" s="304"/>
      <c r="BN136" s="304"/>
      <c r="BO136" s="304"/>
      <c r="BP136" s="304"/>
      <c r="BQ136" s="304"/>
      <c r="BR136" s="304"/>
      <c r="BS136" s="304"/>
      <c r="BT136" s="304"/>
      <c r="BU136" s="304"/>
      <c r="BV136" s="304"/>
      <c r="BW136" s="304"/>
      <c r="BX136" s="304"/>
      <c r="BY136" s="304"/>
      <c r="BZ136" s="304"/>
      <c r="CA136" s="304"/>
      <c r="CB136" s="304"/>
      <c r="CC136" s="304"/>
      <c r="CD136" s="304"/>
      <c r="CE136" s="304"/>
      <c r="CF136" s="304"/>
      <c r="CG136" s="304"/>
      <c r="CH136" s="304"/>
      <c r="CI136" s="304"/>
      <c r="CJ136" s="304"/>
      <c r="CK136" s="304"/>
      <c r="CL136" s="304"/>
      <c r="CM136" s="304"/>
      <c r="CN136" s="304"/>
      <c r="CO136" s="304"/>
      <c r="CP136" s="304"/>
    </row>
    <row r="137" spans="1:94" s="87" customFormat="1">
      <c r="A137" s="81"/>
      <c r="B137" s="83"/>
      <c r="C137" s="82"/>
      <c r="D137" s="102"/>
      <c r="E137" s="102"/>
      <c r="F137" s="102"/>
      <c r="G137" s="225"/>
      <c r="H137" s="218">
        <f t="shared" si="13"/>
        <v>0</v>
      </c>
      <c r="I137" s="218">
        <f t="shared" si="14"/>
        <v>0</v>
      </c>
      <c r="J137" s="218">
        <f t="shared" si="15"/>
        <v>0</v>
      </c>
      <c r="K137" s="102" t="str">
        <f t="shared" si="16"/>
        <v/>
      </c>
      <c r="L137" s="221"/>
      <c r="M137" s="325"/>
      <c r="N137" s="94"/>
      <c r="O137" s="326"/>
      <c r="P137" s="84"/>
      <c r="Q137" s="88"/>
      <c r="R137" s="102">
        <f t="shared" si="17"/>
        <v>0</v>
      </c>
      <c r="S137" s="89"/>
      <c r="T137" s="100"/>
      <c r="U137" s="100"/>
      <c r="V137" s="100"/>
      <c r="W137" s="100"/>
      <c r="X137" s="100"/>
      <c r="Y137" s="83"/>
      <c r="Z137" s="304"/>
      <c r="AA137" s="304"/>
      <c r="AB137" s="304"/>
      <c r="AC137" s="304"/>
      <c r="AD137" s="304"/>
      <c r="AE137" s="304"/>
      <c r="AF137" s="304"/>
      <c r="AG137" s="304"/>
      <c r="AH137" s="304"/>
      <c r="AI137" s="304"/>
      <c r="AJ137" s="304"/>
      <c r="AK137" s="304"/>
      <c r="AL137" s="304"/>
      <c r="AM137" s="304"/>
      <c r="AN137" s="304"/>
      <c r="AO137" s="304"/>
      <c r="AP137" s="304"/>
      <c r="AQ137" s="304"/>
      <c r="AR137" s="304"/>
      <c r="AS137" s="304"/>
      <c r="AT137" s="304"/>
      <c r="AU137" s="304"/>
      <c r="AV137" s="304"/>
      <c r="AW137" s="304"/>
      <c r="AX137" s="304"/>
      <c r="AY137" s="304"/>
      <c r="AZ137" s="304"/>
      <c r="BA137" s="304"/>
      <c r="BB137" s="304"/>
      <c r="BC137" s="304"/>
      <c r="BD137" s="304"/>
      <c r="BE137" s="304"/>
      <c r="BF137" s="304"/>
      <c r="BG137" s="304"/>
      <c r="BH137" s="304"/>
      <c r="BI137" s="304"/>
      <c r="BJ137" s="304"/>
      <c r="BK137" s="304"/>
      <c r="BL137" s="304"/>
      <c r="BM137" s="304"/>
      <c r="BN137" s="304"/>
      <c r="BO137" s="304"/>
      <c r="BP137" s="304"/>
      <c r="BQ137" s="304"/>
      <c r="BR137" s="304"/>
      <c r="BS137" s="304"/>
      <c r="BT137" s="304"/>
      <c r="BU137" s="304"/>
      <c r="BV137" s="304"/>
      <c r="BW137" s="304"/>
      <c r="BX137" s="304"/>
      <c r="BY137" s="304"/>
      <c r="BZ137" s="304"/>
      <c r="CA137" s="304"/>
      <c r="CB137" s="304"/>
      <c r="CC137" s="304"/>
      <c r="CD137" s="304"/>
      <c r="CE137" s="304"/>
      <c r="CF137" s="304"/>
      <c r="CG137" s="304"/>
      <c r="CH137" s="304"/>
      <c r="CI137" s="304"/>
      <c r="CJ137" s="304"/>
      <c r="CK137" s="304"/>
      <c r="CL137" s="304"/>
      <c r="CM137" s="304"/>
      <c r="CN137" s="304"/>
      <c r="CO137" s="304"/>
      <c r="CP137" s="304"/>
    </row>
    <row r="138" spans="1:94" s="87" customFormat="1">
      <c r="A138" s="81"/>
      <c r="B138" s="83"/>
      <c r="C138" s="82"/>
      <c r="D138" s="102"/>
      <c r="E138" s="102"/>
      <c r="F138" s="102"/>
      <c r="G138" s="225"/>
      <c r="H138" s="218">
        <f t="shared" ref="H138:H201" si="18">IF($G138="Attribute","NA",D138)</f>
        <v>0</v>
      </c>
      <c r="I138" s="218">
        <f t="shared" ref="I138:I201" si="19">IF($G138="Attribute","NA",E138)</f>
        <v>0</v>
      </c>
      <c r="J138" s="218">
        <f t="shared" ref="J138:J201" si="20">IF($G138="Attribute","NA",F138)</f>
        <v>0</v>
      </c>
      <c r="K138" s="102" t="str">
        <f t="shared" ref="K138:K201" si="21">IF(RIGHT(IF(LEFT(SUBSTITUTE(SUBSTITUTE(IF(ISERROR(LEFT(SUBSTITUTE(SUBSTITUTE(C138,"(",""),")",""),1)*1),SUBSTITUTE(SUBSTITUTE(C138,"(",""),")",""),SUBSTITUTE(SUBSTITUTE(SUBSTITUTE(C138,"(",""),")",""),"_","",1)),"00",""),"_0","_"),1)="0",RIGHT(SUBSTITUTE(SUBSTITUTE(IF(ISERROR(LEFT(SUBSTITUTE(SUBSTITUTE(C138,"(",""),")",""),1)*1),SUBSTITUTE(SUBSTITUTE(C138,"(",""),")",""),SUBSTITUTE(SUBSTITUTE(SUBSTITUTE(C138,"(",""),")",""),"_","",1)),"00",""),"_0","_"),LEN(SUBSTITUTE(SUBSTITUTE(IF(ISERROR(LEFT(SUBSTITUTE(SUBSTITUTE(C138,"(",""),")",""),1)*1),SUBSTITUTE(SUBSTITUTE(C138,"(",""),")",""),SUBSTITUTE(SUBSTITUTE(SUBSTITUTE(C138,"(",""),")",""),"_","",1)),"00",""),"_0","_"))-1),SUBSTITUTE(SUBSTITUTE(IF(ISERROR(LEFT(SUBSTITUTE(SUBSTITUTE(C138,"(",""),")",""),1)*1),SUBSTITUTE(SUBSTITUTE(C138,"(",""),")",""),SUBSTITUTE(SUBSTITUTE(SUBSTITUTE(C138,"(",""),")",""),"_","",1)),"00",""),"_0","_")),1)="_",LEFT(IF(LEFT(SUBSTITUTE(SUBSTITUTE(IF(ISERROR(LEFT(SUBSTITUTE(SUBSTITUTE(C138,"(",""),")",""),1)*1),SUBSTITUTE(SUBSTITUTE(C138,"(",""),")",""),SUBSTITUTE(SUBSTITUTE(SUBSTITUTE(C138,"(",""),")",""),"_","",1)),"00",""),"_0","_"),1)="0",RIGHT(SUBSTITUTE(SUBSTITUTE(IF(ISERROR(LEFT(SUBSTITUTE(SUBSTITUTE(C138,"(",""),")",""),1)*1),SUBSTITUTE(SUBSTITUTE(C138,"(",""),")",""),SUBSTITUTE(SUBSTITUTE(SUBSTITUTE(C138,"(",""),")",""),"_","",1)),"00",""),"_0","_"),LEN(SUBSTITUTE(SUBSTITUTE(IF(ISERROR(LEFT(SUBSTITUTE(SUBSTITUTE(C138,"(",""),")",""),1)*1),SUBSTITUTE(SUBSTITUTE(C138,"(",""),")",""),SUBSTITUTE(SUBSTITUTE(SUBSTITUTE(C138,"(",""),")",""),"_","",1)),"00",""),"_0","_"))-1),SUBSTITUTE(SUBSTITUTE(IF(ISERROR(LEFT(SUBSTITUTE(SUBSTITUTE(C138,"(",""),")",""),1)*1),SUBSTITUTE(SUBSTITUTE(C138,"(",""),")",""),SUBSTITUTE(SUBSTITUTE(SUBSTITUTE(C138,"(",""),")",""),"_","",1)),"00",""),"_0","_")),LEN(IF(LEFT(SUBSTITUTE(SUBSTITUTE(IF(ISERROR(LEFT(SUBSTITUTE(SUBSTITUTE(C138,"(",""),")",""),1)*1),SUBSTITUTE(SUBSTITUTE(C138,"(",""),")",""),SUBSTITUTE(SUBSTITUTE(SUBSTITUTE(C138,"(",""),")",""),"_","",1)),"00",""),"_0","_"),1)="0",RIGHT(SUBSTITUTE(SUBSTITUTE(IF(ISERROR(LEFT(SUBSTITUTE(SUBSTITUTE(C138,"(",""),")",""),1)*1),SUBSTITUTE(SUBSTITUTE(C138,"(",""),")",""),SUBSTITUTE(SUBSTITUTE(SUBSTITUTE(C138,"(",""),")",""),"_","",1)),"00",""),"_0","_"),LEN(SUBSTITUTE(SUBSTITUTE(IF(ISERROR(LEFT(SUBSTITUTE(SUBSTITUTE(C138,"(",""),")",""),1)*1),SUBSTITUTE(SUBSTITUTE(C138,"(",""),")",""),SUBSTITUTE(SUBSTITUTE(SUBSTITUTE(C138,"(",""),")",""),"_","",1)),"00",""),"_0","_"))-1),SUBSTITUTE(SUBSTITUTE(IF(ISERROR(LEFT(SUBSTITUTE(SUBSTITUTE(C138,"(",""),")",""),1)*1),SUBSTITUTE(SUBSTITUTE(C138,"(",""),")",""),SUBSTITUTE(SUBSTITUTE(SUBSTITUTE(C138,"(",""),")",""),"_","",1)),"00",""),"_0","_")))-1),IF(LEFT(SUBSTITUTE(SUBSTITUTE(IF(ISERROR(LEFT(SUBSTITUTE(SUBSTITUTE(C138,"(",""),")",""),1)*1),SUBSTITUTE(SUBSTITUTE(C138,"(",""),")",""),SUBSTITUTE(SUBSTITUTE(SUBSTITUTE(C138,"(",""),")",""),"_","",1)),"00",""),"_0","_"),1)="0",RIGHT(SUBSTITUTE(SUBSTITUTE(IF(ISERROR(LEFT(SUBSTITUTE(SUBSTITUTE(C138,"(",""),")",""),1)*1),SUBSTITUTE(SUBSTITUTE(C138,"(",""),")",""),SUBSTITUTE(SUBSTITUTE(SUBSTITUTE(C138,"(",""),")",""),"_","",1)),"00",""),"_0","_"),LEN(SUBSTITUTE(SUBSTITUTE(IF(ISERROR(LEFT(SUBSTITUTE(SUBSTITUTE(C138,"(",""),")",""),1)*1),SUBSTITUTE(SUBSTITUTE(C138,"(",""),")",""),SUBSTITUTE(SUBSTITUTE(SUBSTITUTE(C138,"(",""),")",""),"_","",1)),"00",""),"_0","_"))-1),SUBSTITUTE(SUBSTITUTE(IF(ISERROR(LEFT(SUBSTITUTE(SUBSTITUTE(C138,"(",""),")",""),1)*1),SUBSTITUTE(SUBSTITUTE(C138,"(",""),")",""),SUBSTITUTE(SUBSTITUTE(SUBSTITUTE(C138,"(",""),")",""),"_","",1)),"00",""),"_0","_")))</f>
        <v/>
      </c>
      <c r="L138" s="221"/>
      <c r="M138" s="325"/>
      <c r="N138" s="94"/>
      <c r="O138" s="326"/>
      <c r="P138" s="84"/>
      <c r="Q138" s="88"/>
      <c r="R138" s="102">
        <f t="shared" si="17"/>
        <v>0</v>
      </c>
      <c r="S138" s="89"/>
      <c r="T138" s="100"/>
      <c r="U138" s="100"/>
      <c r="V138" s="100"/>
      <c r="W138" s="100"/>
      <c r="X138" s="100"/>
      <c r="Y138" s="83"/>
      <c r="Z138" s="304"/>
      <c r="AA138" s="304"/>
      <c r="AB138" s="304"/>
      <c r="AC138" s="304"/>
      <c r="AD138" s="304"/>
      <c r="AE138" s="304"/>
      <c r="AF138" s="304"/>
      <c r="AG138" s="304"/>
      <c r="AH138" s="304"/>
      <c r="AI138" s="304"/>
      <c r="AJ138" s="304"/>
      <c r="AK138" s="304"/>
      <c r="AL138" s="304"/>
      <c r="AM138" s="304"/>
      <c r="AN138" s="304"/>
      <c r="AO138" s="304"/>
      <c r="AP138" s="304"/>
      <c r="AQ138" s="304"/>
      <c r="AR138" s="304"/>
      <c r="AS138" s="304"/>
      <c r="AT138" s="304"/>
      <c r="AU138" s="304"/>
      <c r="AV138" s="304"/>
      <c r="AW138" s="304"/>
      <c r="AX138" s="304"/>
      <c r="AY138" s="304"/>
      <c r="AZ138" s="304"/>
      <c r="BA138" s="304"/>
      <c r="BB138" s="304"/>
      <c r="BC138" s="304"/>
      <c r="BD138" s="304"/>
      <c r="BE138" s="304"/>
      <c r="BF138" s="304"/>
      <c r="BG138" s="304"/>
      <c r="BH138" s="304"/>
      <c r="BI138" s="304"/>
      <c r="BJ138" s="304"/>
      <c r="BK138" s="304"/>
      <c r="BL138" s="304"/>
      <c r="BM138" s="304"/>
      <c r="BN138" s="304"/>
      <c r="BO138" s="304"/>
      <c r="BP138" s="304"/>
      <c r="BQ138" s="304"/>
      <c r="BR138" s="304"/>
      <c r="BS138" s="304"/>
      <c r="BT138" s="304"/>
      <c r="BU138" s="304"/>
      <c r="BV138" s="304"/>
      <c r="BW138" s="304"/>
      <c r="BX138" s="304"/>
      <c r="BY138" s="304"/>
      <c r="BZ138" s="304"/>
      <c r="CA138" s="304"/>
      <c r="CB138" s="304"/>
      <c r="CC138" s="304"/>
      <c r="CD138" s="304"/>
      <c r="CE138" s="304"/>
      <c r="CF138" s="304"/>
      <c r="CG138" s="304"/>
      <c r="CH138" s="304"/>
      <c r="CI138" s="304"/>
      <c r="CJ138" s="304"/>
      <c r="CK138" s="304"/>
      <c r="CL138" s="304"/>
      <c r="CM138" s="304"/>
      <c r="CN138" s="304"/>
      <c r="CO138" s="304"/>
      <c r="CP138" s="304"/>
    </row>
    <row r="139" spans="1:94" s="87" customFormat="1">
      <c r="A139" s="81"/>
      <c r="B139" s="83"/>
      <c r="C139" s="82"/>
      <c r="D139" s="102"/>
      <c r="E139" s="102"/>
      <c r="F139" s="102"/>
      <c r="G139" s="225"/>
      <c r="H139" s="218">
        <f t="shared" si="18"/>
        <v>0</v>
      </c>
      <c r="I139" s="218">
        <f t="shared" si="19"/>
        <v>0</v>
      </c>
      <c r="J139" s="218">
        <f t="shared" si="20"/>
        <v>0</v>
      </c>
      <c r="K139" s="102" t="str">
        <f t="shared" si="21"/>
        <v/>
      </c>
      <c r="L139" s="221"/>
      <c r="M139" s="325"/>
      <c r="N139" s="94"/>
      <c r="O139" s="326"/>
      <c r="P139" s="84"/>
      <c r="Q139" s="88"/>
      <c r="R139" s="102">
        <f t="shared" si="17"/>
        <v>0</v>
      </c>
      <c r="S139" s="89"/>
      <c r="T139" s="100"/>
      <c r="U139" s="100"/>
      <c r="V139" s="100"/>
      <c r="W139" s="100"/>
      <c r="X139" s="100"/>
      <c r="Y139" s="83"/>
      <c r="Z139" s="304"/>
      <c r="AA139" s="304"/>
      <c r="AB139" s="304"/>
      <c r="AC139" s="304"/>
      <c r="AD139" s="304"/>
      <c r="AE139" s="304"/>
      <c r="AF139" s="304"/>
      <c r="AG139" s="304"/>
      <c r="AH139" s="304"/>
      <c r="AI139" s="304"/>
      <c r="AJ139" s="304"/>
      <c r="AK139" s="304"/>
      <c r="AL139" s="304"/>
      <c r="AM139" s="304"/>
      <c r="AN139" s="304"/>
      <c r="AO139" s="304"/>
      <c r="AP139" s="304"/>
      <c r="AQ139" s="304"/>
      <c r="AR139" s="304"/>
      <c r="AS139" s="304"/>
      <c r="AT139" s="304"/>
      <c r="AU139" s="304"/>
      <c r="AV139" s="304"/>
      <c r="AW139" s="304"/>
      <c r="AX139" s="304"/>
      <c r="AY139" s="304"/>
      <c r="AZ139" s="304"/>
      <c r="BA139" s="304"/>
      <c r="BB139" s="304"/>
      <c r="BC139" s="304"/>
      <c r="BD139" s="304"/>
      <c r="BE139" s="304"/>
      <c r="BF139" s="304"/>
      <c r="BG139" s="304"/>
      <c r="BH139" s="304"/>
      <c r="BI139" s="304"/>
      <c r="BJ139" s="304"/>
      <c r="BK139" s="304"/>
      <c r="BL139" s="304"/>
      <c r="BM139" s="304"/>
      <c r="BN139" s="304"/>
      <c r="BO139" s="304"/>
      <c r="BP139" s="304"/>
      <c r="BQ139" s="304"/>
      <c r="BR139" s="304"/>
      <c r="BS139" s="304"/>
      <c r="BT139" s="304"/>
      <c r="BU139" s="304"/>
      <c r="BV139" s="304"/>
      <c r="BW139" s="304"/>
      <c r="BX139" s="304"/>
      <c r="BY139" s="304"/>
      <c r="BZ139" s="304"/>
      <c r="CA139" s="304"/>
      <c r="CB139" s="304"/>
      <c r="CC139" s="304"/>
      <c r="CD139" s="304"/>
      <c r="CE139" s="304"/>
      <c r="CF139" s="304"/>
      <c r="CG139" s="304"/>
      <c r="CH139" s="304"/>
      <c r="CI139" s="304"/>
      <c r="CJ139" s="304"/>
      <c r="CK139" s="304"/>
      <c r="CL139" s="304"/>
      <c r="CM139" s="304"/>
      <c r="CN139" s="304"/>
      <c r="CO139" s="304"/>
      <c r="CP139" s="304"/>
    </row>
    <row r="140" spans="1:94" s="87" customFormat="1">
      <c r="A140" s="81"/>
      <c r="B140" s="83"/>
      <c r="C140" s="82"/>
      <c r="D140" s="102"/>
      <c r="E140" s="102"/>
      <c r="F140" s="102"/>
      <c r="G140" s="225"/>
      <c r="H140" s="218">
        <f t="shared" si="18"/>
        <v>0</v>
      </c>
      <c r="I140" s="218">
        <f t="shared" si="19"/>
        <v>0</v>
      </c>
      <c r="J140" s="218">
        <f t="shared" si="20"/>
        <v>0</v>
      </c>
      <c r="K140" s="102" t="str">
        <f t="shared" si="21"/>
        <v/>
      </c>
      <c r="L140" s="221"/>
      <c r="M140" s="325"/>
      <c r="N140" s="94"/>
      <c r="O140" s="326"/>
      <c r="P140" s="84"/>
      <c r="Q140" s="88"/>
      <c r="R140" s="102">
        <f t="shared" si="17"/>
        <v>0</v>
      </c>
      <c r="S140" s="89"/>
      <c r="T140" s="100"/>
      <c r="U140" s="100"/>
      <c r="V140" s="100"/>
      <c r="W140" s="100"/>
      <c r="X140" s="100"/>
      <c r="Y140" s="83"/>
      <c r="Z140" s="304"/>
      <c r="AA140" s="304"/>
      <c r="AB140" s="304"/>
      <c r="AC140" s="304"/>
      <c r="AD140" s="304"/>
      <c r="AE140" s="304"/>
      <c r="AF140" s="304"/>
      <c r="AG140" s="304"/>
      <c r="AH140" s="304"/>
      <c r="AI140" s="304"/>
      <c r="AJ140" s="304"/>
      <c r="AK140" s="304"/>
      <c r="AL140" s="304"/>
      <c r="AM140" s="304"/>
      <c r="AN140" s="304"/>
      <c r="AO140" s="304"/>
      <c r="AP140" s="304"/>
      <c r="AQ140" s="304"/>
      <c r="AR140" s="304"/>
      <c r="AS140" s="304"/>
      <c r="AT140" s="304"/>
      <c r="AU140" s="304"/>
      <c r="AV140" s="304"/>
      <c r="AW140" s="304"/>
      <c r="AX140" s="304"/>
      <c r="AY140" s="304"/>
      <c r="AZ140" s="304"/>
      <c r="BA140" s="304"/>
      <c r="BB140" s="304"/>
      <c r="BC140" s="304"/>
      <c r="BD140" s="304"/>
      <c r="BE140" s="304"/>
      <c r="BF140" s="304"/>
      <c r="BG140" s="304"/>
      <c r="BH140" s="304"/>
      <c r="BI140" s="304"/>
      <c r="BJ140" s="304"/>
      <c r="BK140" s="304"/>
      <c r="BL140" s="304"/>
      <c r="BM140" s="304"/>
      <c r="BN140" s="304"/>
      <c r="BO140" s="304"/>
      <c r="BP140" s="304"/>
      <c r="BQ140" s="304"/>
      <c r="BR140" s="304"/>
      <c r="BS140" s="304"/>
      <c r="BT140" s="304"/>
      <c r="BU140" s="304"/>
      <c r="BV140" s="304"/>
      <c r="BW140" s="304"/>
      <c r="BX140" s="304"/>
      <c r="BY140" s="304"/>
      <c r="BZ140" s="304"/>
      <c r="CA140" s="304"/>
      <c r="CB140" s="304"/>
      <c r="CC140" s="304"/>
      <c r="CD140" s="304"/>
      <c r="CE140" s="304"/>
      <c r="CF140" s="304"/>
      <c r="CG140" s="304"/>
      <c r="CH140" s="304"/>
      <c r="CI140" s="304"/>
      <c r="CJ140" s="304"/>
      <c r="CK140" s="304"/>
      <c r="CL140" s="304"/>
      <c r="CM140" s="304"/>
      <c r="CN140" s="304"/>
      <c r="CO140" s="304"/>
      <c r="CP140" s="304"/>
    </row>
    <row r="141" spans="1:94" s="87" customFormat="1">
      <c r="A141" s="81"/>
      <c r="B141" s="83"/>
      <c r="C141" s="82"/>
      <c r="D141" s="102"/>
      <c r="E141" s="102"/>
      <c r="F141" s="102"/>
      <c r="G141" s="225"/>
      <c r="H141" s="218">
        <f t="shared" si="18"/>
        <v>0</v>
      </c>
      <c r="I141" s="218">
        <f t="shared" si="19"/>
        <v>0</v>
      </c>
      <c r="J141" s="218">
        <f t="shared" si="20"/>
        <v>0</v>
      </c>
      <c r="K141" s="102" t="str">
        <f t="shared" si="21"/>
        <v/>
      </c>
      <c r="L141" s="221"/>
      <c r="M141" s="325"/>
      <c r="N141" s="94"/>
      <c r="O141" s="326"/>
      <c r="P141" s="84"/>
      <c r="Q141" s="88"/>
      <c r="R141" s="102">
        <f t="shared" si="17"/>
        <v>0</v>
      </c>
      <c r="S141" s="89"/>
      <c r="T141" s="100"/>
      <c r="U141" s="100"/>
      <c r="V141" s="100"/>
      <c r="W141" s="100"/>
      <c r="X141" s="100"/>
      <c r="Y141" s="83"/>
      <c r="Z141" s="304"/>
      <c r="AA141" s="304"/>
      <c r="AB141" s="304"/>
      <c r="AC141" s="304"/>
      <c r="AD141" s="304"/>
      <c r="AE141" s="304"/>
      <c r="AF141" s="304"/>
      <c r="AG141" s="304"/>
      <c r="AH141" s="304"/>
      <c r="AI141" s="304"/>
      <c r="AJ141" s="304"/>
      <c r="AK141" s="304"/>
      <c r="AL141" s="304"/>
      <c r="AM141" s="304"/>
      <c r="AN141" s="304"/>
      <c r="AO141" s="304"/>
      <c r="AP141" s="304"/>
      <c r="AQ141" s="304"/>
      <c r="AR141" s="304"/>
      <c r="AS141" s="304"/>
      <c r="AT141" s="304"/>
      <c r="AU141" s="304"/>
      <c r="AV141" s="304"/>
      <c r="AW141" s="304"/>
      <c r="AX141" s="304"/>
      <c r="AY141" s="304"/>
      <c r="AZ141" s="304"/>
      <c r="BA141" s="304"/>
      <c r="BB141" s="304"/>
      <c r="BC141" s="304"/>
      <c r="BD141" s="304"/>
      <c r="BE141" s="304"/>
      <c r="BF141" s="304"/>
      <c r="BG141" s="304"/>
      <c r="BH141" s="304"/>
      <c r="BI141" s="304"/>
      <c r="BJ141" s="304"/>
      <c r="BK141" s="304"/>
      <c r="BL141" s="304"/>
      <c r="BM141" s="304"/>
      <c r="BN141" s="304"/>
      <c r="BO141" s="304"/>
      <c r="BP141" s="304"/>
      <c r="BQ141" s="304"/>
      <c r="BR141" s="304"/>
      <c r="BS141" s="304"/>
      <c r="BT141" s="304"/>
      <c r="BU141" s="304"/>
      <c r="BV141" s="304"/>
      <c r="BW141" s="304"/>
      <c r="BX141" s="304"/>
      <c r="BY141" s="304"/>
      <c r="BZ141" s="304"/>
      <c r="CA141" s="304"/>
      <c r="CB141" s="304"/>
      <c r="CC141" s="304"/>
      <c r="CD141" s="304"/>
      <c r="CE141" s="304"/>
      <c r="CF141" s="304"/>
      <c r="CG141" s="304"/>
      <c r="CH141" s="304"/>
      <c r="CI141" s="304"/>
      <c r="CJ141" s="304"/>
      <c r="CK141" s="304"/>
      <c r="CL141" s="304"/>
      <c r="CM141" s="304"/>
      <c r="CN141" s="304"/>
      <c r="CO141" s="304"/>
      <c r="CP141" s="304"/>
    </row>
    <row r="142" spans="1:94" s="87" customFormat="1">
      <c r="A142" s="81"/>
      <c r="B142" s="83"/>
      <c r="C142" s="82"/>
      <c r="D142" s="102"/>
      <c r="E142" s="102"/>
      <c r="F142" s="102"/>
      <c r="G142" s="225"/>
      <c r="H142" s="218">
        <f t="shared" si="18"/>
        <v>0</v>
      </c>
      <c r="I142" s="218">
        <f t="shared" si="19"/>
        <v>0</v>
      </c>
      <c r="J142" s="218">
        <f t="shared" si="20"/>
        <v>0</v>
      </c>
      <c r="K142" s="102" t="str">
        <f t="shared" si="21"/>
        <v/>
      </c>
      <c r="L142" s="221"/>
      <c r="M142" s="325"/>
      <c r="N142" s="94"/>
      <c r="O142" s="326"/>
      <c r="P142" s="84"/>
      <c r="Q142" s="88"/>
      <c r="R142" s="102">
        <f t="shared" si="17"/>
        <v>0</v>
      </c>
      <c r="S142" s="89"/>
      <c r="T142" s="100"/>
      <c r="U142" s="100"/>
      <c r="V142" s="100"/>
      <c r="W142" s="100"/>
      <c r="X142" s="100"/>
      <c r="Y142" s="83"/>
      <c r="Z142" s="304"/>
      <c r="AA142" s="304"/>
      <c r="AB142" s="304"/>
      <c r="AC142" s="304"/>
      <c r="AD142" s="304"/>
      <c r="AE142" s="304"/>
      <c r="AF142" s="304"/>
      <c r="AG142" s="304"/>
      <c r="AH142" s="304"/>
      <c r="AI142" s="304"/>
      <c r="AJ142" s="304"/>
      <c r="AK142" s="304"/>
      <c r="AL142" s="304"/>
      <c r="AM142" s="304"/>
      <c r="AN142" s="304"/>
      <c r="AO142" s="304"/>
      <c r="AP142" s="304"/>
      <c r="AQ142" s="304"/>
      <c r="AR142" s="304"/>
      <c r="AS142" s="304"/>
      <c r="AT142" s="304"/>
      <c r="AU142" s="304"/>
      <c r="AV142" s="304"/>
      <c r="AW142" s="304"/>
      <c r="AX142" s="304"/>
      <c r="AY142" s="304"/>
      <c r="AZ142" s="304"/>
      <c r="BA142" s="304"/>
      <c r="BB142" s="304"/>
      <c r="BC142" s="304"/>
      <c r="BD142" s="304"/>
      <c r="BE142" s="304"/>
      <c r="BF142" s="304"/>
      <c r="BG142" s="304"/>
      <c r="BH142" s="304"/>
      <c r="BI142" s="304"/>
      <c r="BJ142" s="304"/>
      <c r="BK142" s="304"/>
      <c r="BL142" s="304"/>
      <c r="BM142" s="304"/>
      <c r="BN142" s="304"/>
      <c r="BO142" s="304"/>
      <c r="BP142" s="304"/>
      <c r="BQ142" s="304"/>
      <c r="BR142" s="304"/>
      <c r="BS142" s="304"/>
      <c r="BT142" s="304"/>
      <c r="BU142" s="304"/>
      <c r="BV142" s="304"/>
      <c r="BW142" s="304"/>
      <c r="BX142" s="304"/>
      <c r="BY142" s="304"/>
      <c r="BZ142" s="304"/>
      <c r="CA142" s="304"/>
      <c r="CB142" s="304"/>
      <c r="CC142" s="304"/>
      <c r="CD142" s="304"/>
      <c r="CE142" s="304"/>
      <c r="CF142" s="304"/>
      <c r="CG142" s="304"/>
      <c r="CH142" s="304"/>
      <c r="CI142" s="304"/>
      <c r="CJ142" s="304"/>
      <c r="CK142" s="304"/>
      <c r="CL142" s="304"/>
      <c r="CM142" s="304"/>
      <c r="CN142" s="304"/>
      <c r="CO142" s="304"/>
      <c r="CP142" s="304"/>
    </row>
    <row r="143" spans="1:94" s="87" customFormat="1">
      <c r="A143" s="81"/>
      <c r="B143" s="83"/>
      <c r="C143" s="82"/>
      <c r="D143" s="102"/>
      <c r="E143" s="102"/>
      <c r="F143" s="102"/>
      <c r="G143" s="225"/>
      <c r="H143" s="218">
        <f t="shared" si="18"/>
        <v>0</v>
      </c>
      <c r="I143" s="218">
        <f t="shared" si="19"/>
        <v>0</v>
      </c>
      <c r="J143" s="218">
        <f t="shared" si="20"/>
        <v>0</v>
      </c>
      <c r="K143" s="102" t="str">
        <f t="shared" si="21"/>
        <v/>
      </c>
      <c r="L143" s="221"/>
      <c r="M143" s="325"/>
      <c r="N143" s="94"/>
      <c r="O143" s="326"/>
      <c r="P143" s="84"/>
      <c r="Q143" s="88"/>
      <c r="R143" s="102">
        <f t="shared" si="17"/>
        <v>0</v>
      </c>
      <c r="S143" s="89"/>
      <c r="T143" s="100"/>
      <c r="U143" s="100"/>
      <c r="V143" s="100"/>
      <c r="W143" s="100"/>
      <c r="X143" s="100"/>
      <c r="Y143" s="83"/>
      <c r="Z143" s="304"/>
      <c r="AA143" s="304"/>
      <c r="AB143" s="304"/>
      <c r="AC143" s="304"/>
      <c r="AD143" s="304"/>
      <c r="AE143" s="304"/>
      <c r="AF143" s="304"/>
      <c r="AG143" s="304"/>
      <c r="AH143" s="304"/>
      <c r="AI143" s="304"/>
      <c r="AJ143" s="304"/>
      <c r="AK143" s="304"/>
      <c r="AL143" s="304"/>
      <c r="AM143" s="304"/>
      <c r="AN143" s="304"/>
      <c r="AO143" s="304"/>
      <c r="AP143" s="304"/>
      <c r="AQ143" s="304"/>
      <c r="AR143" s="304"/>
      <c r="AS143" s="304"/>
      <c r="AT143" s="304"/>
      <c r="AU143" s="304"/>
      <c r="AV143" s="304"/>
      <c r="AW143" s="304"/>
      <c r="AX143" s="304"/>
      <c r="AY143" s="304"/>
      <c r="AZ143" s="304"/>
      <c r="BA143" s="304"/>
      <c r="BB143" s="304"/>
      <c r="BC143" s="304"/>
      <c r="BD143" s="304"/>
      <c r="BE143" s="304"/>
      <c r="BF143" s="304"/>
      <c r="BG143" s="304"/>
      <c r="BH143" s="304"/>
      <c r="BI143" s="304"/>
      <c r="BJ143" s="304"/>
      <c r="BK143" s="304"/>
      <c r="BL143" s="304"/>
      <c r="BM143" s="304"/>
      <c r="BN143" s="304"/>
      <c r="BO143" s="304"/>
      <c r="BP143" s="304"/>
      <c r="BQ143" s="304"/>
      <c r="BR143" s="304"/>
      <c r="BS143" s="304"/>
      <c r="BT143" s="304"/>
      <c r="BU143" s="304"/>
      <c r="BV143" s="304"/>
      <c r="BW143" s="304"/>
      <c r="BX143" s="304"/>
      <c r="BY143" s="304"/>
      <c r="BZ143" s="304"/>
      <c r="CA143" s="304"/>
      <c r="CB143" s="304"/>
      <c r="CC143" s="304"/>
      <c r="CD143" s="304"/>
      <c r="CE143" s="304"/>
      <c r="CF143" s="304"/>
      <c r="CG143" s="304"/>
      <c r="CH143" s="304"/>
      <c r="CI143" s="304"/>
      <c r="CJ143" s="304"/>
      <c r="CK143" s="304"/>
      <c r="CL143" s="304"/>
      <c r="CM143" s="304"/>
      <c r="CN143" s="304"/>
      <c r="CO143" s="304"/>
      <c r="CP143" s="304"/>
    </row>
    <row r="144" spans="1:94" s="87" customFormat="1">
      <c r="A144" s="81"/>
      <c r="B144" s="83"/>
      <c r="C144" s="82"/>
      <c r="D144" s="102"/>
      <c r="E144" s="102"/>
      <c r="F144" s="102"/>
      <c r="G144" s="225"/>
      <c r="H144" s="218">
        <f t="shared" si="18"/>
        <v>0</v>
      </c>
      <c r="I144" s="218">
        <f t="shared" si="19"/>
        <v>0</v>
      </c>
      <c r="J144" s="218">
        <f t="shared" si="20"/>
        <v>0</v>
      </c>
      <c r="K144" s="102" t="str">
        <f t="shared" si="21"/>
        <v/>
      </c>
      <c r="L144" s="221"/>
      <c r="M144" s="325"/>
      <c r="N144" s="94"/>
      <c r="O144" s="326"/>
      <c r="P144" s="84"/>
      <c r="Q144" s="88"/>
      <c r="R144" s="102">
        <f t="shared" si="17"/>
        <v>0</v>
      </c>
      <c r="S144" s="89"/>
      <c r="T144" s="100"/>
      <c r="U144" s="100"/>
      <c r="V144" s="100"/>
      <c r="W144" s="100"/>
      <c r="X144" s="100"/>
      <c r="Y144" s="83"/>
      <c r="Z144" s="304"/>
      <c r="AA144" s="304"/>
      <c r="AB144" s="304"/>
      <c r="AC144" s="304"/>
      <c r="AD144" s="304"/>
      <c r="AE144" s="304"/>
      <c r="AF144" s="304"/>
      <c r="AG144" s="304"/>
      <c r="AH144" s="304"/>
      <c r="AI144" s="304"/>
      <c r="AJ144" s="304"/>
      <c r="AK144" s="304"/>
      <c r="AL144" s="304"/>
      <c r="AM144" s="304"/>
      <c r="AN144" s="304"/>
      <c r="AO144" s="304"/>
      <c r="AP144" s="304"/>
      <c r="AQ144" s="304"/>
      <c r="AR144" s="304"/>
      <c r="AS144" s="304"/>
      <c r="AT144" s="304"/>
      <c r="AU144" s="304"/>
      <c r="AV144" s="304"/>
      <c r="AW144" s="304"/>
      <c r="AX144" s="304"/>
      <c r="AY144" s="304"/>
      <c r="AZ144" s="304"/>
      <c r="BA144" s="304"/>
      <c r="BB144" s="304"/>
      <c r="BC144" s="304"/>
      <c r="BD144" s="304"/>
      <c r="BE144" s="304"/>
      <c r="BF144" s="304"/>
      <c r="BG144" s="304"/>
      <c r="BH144" s="304"/>
      <c r="BI144" s="304"/>
      <c r="BJ144" s="304"/>
      <c r="BK144" s="304"/>
      <c r="BL144" s="304"/>
      <c r="BM144" s="304"/>
      <c r="BN144" s="304"/>
      <c r="BO144" s="304"/>
      <c r="BP144" s="304"/>
      <c r="BQ144" s="304"/>
      <c r="BR144" s="304"/>
      <c r="BS144" s="304"/>
      <c r="BT144" s="304"/>
      <c r="BU144" s="304"/>
      <c r="BV144" s="304"/>
      <c r="BW144" s="304"/>
      <c r="BX144" s="304"/>
      <c r="BY144" s="304"/>
      <c r="BZ144" s="304"/>
      <c r="CA144" s="304"/>
      <c r="CB144" s="304"/>
      <c r="CC144" s="304"/>
      <c r="CD144" s="304"/>
      <c r="CE144" s="304"/>
      <c r="CF144" s="304"/>
      <c r="CG144" s="304"/>
      <c r="CH144" s="304"/>
      <c r="CI144" s="304"/>
      <c r="CJ144" s="304"/>
      <c r="CK144" s="304"/>
      <c r="CL144" s="304"/>
      <c r="CM144" s="304"/>
      <c r="CN144" s="304"/>
      <c r="CO144" s="304"/>
      <c r="CP144" s="304"/>
    </row>
    <row r="145" spans="1:94" s="87" customFormat="1">
      <c r="A145" s="81"/>
      <c r="B145" s="83"/>
      <c r="C145" s="82"/>
      <c r="D145" s="102"/>
      <c r="E145" s="102"/>
      <c r="F145" s="102"/>
      <c r="G145" s="225"/>
      <c r="H145" s="218">
        <f t="shared" si="18"/>
        <v>0</v>
      </c>
      <c r="I145" s="218">
        <f t="shared" si="19"/>
        <v>0</v>
      </c>
      <c r="J145" s="218">
        <f t="shared" si="20"/>
        <v>0</v>
      </c>
      <c r="K145" s="102" t="str">
        <f t="shared" si="21"/>
        <v/>
      </c>
      <c r="L145" s="221"/>
      <c r="M145" s="325"/>
      <c r="N145" s="94"/>
      <c r="O145" s="326"/>
      <c r="P145" s="84"/>
      <c r="Q145" s="88"/>
      <c r="R145" s="102">
        <f t="shared" si="17"/>
        <v>0</v>
      </c>
      <c r="S145" s="89"/>
      <c r="T145" s="100"/>
      <c r="U145" s="100"/>
      <c r="V145" s="100"/>
      <c r="W145" s="100"/>
      <c r="X145" s="100"/>
      <c r="Y145" s="83"/>
      <c r="Z145" s="304"/>
      <c r="AA145" s="304"/>
      <c r="AB145" s="304"/>
      <c r="AC145" s="304"/>
      <c r="AD145" s="304"/>
      <c r="AE145" s="304"/>
      <c r="AF145" s="304"/>
      <c r="AG145" s="304"/>
      <c r="AH145" s="304"/>
      <c r="AI145" s="304"/>
      <c r="AJ145" s="304"/>
      <c r="AK145" s="304"/>
      <c r="AL145" s="304"/>
      <c r="AM145" s="304"/>
      <c r="AN145" s="304"/>
      <c r="AO145" s="304"/>
      <c r="AP145" s="304"/>
      <c r="AQ145" s="304"/>
      <c r="AR145" s="304"/>
      <c r="AS145" s="304"/>
      <c r="AT145" s="304"/>
      <c r="AU145" s="304"/>
      <c r="AV145" s="304"/>
      <c r="AW145" s="304"/>
      <c r="AX145" s="304"/>
      <c r="AY145" s="304"/>
      <c r="AZ145" s="304"/>
      <c r="BA145" s="304"/>
      <c r="BB145" s="304"/>
      <c r="BC145" s="304"/>
      <c r="BD145" s="304"/>
      <c r="BE145" s="304"/>
      <c r="BF145" s="304"/>
      <c r="BG145" s="304"/>
      <c r="BH145" s="304"/>
      <c r="BI145" s="304"/>
      <c r="BJ145" s="304"/>
      <c r="BK145" s="304"/>
      <c r="BL145" s="304"/>
      <c r="BM145" s="304"/>
      <c r="BN145" s="304"/>
      <c r="BO145" s="304"/>
      <c r="BP145" s="304"/>
      <c r="BQ145" s="304"/>
      <c r="BR145" s="304"/>
      <c r="BS145" s="304"/>
      <c r="BT145" s="304"/>
      <c r="BU145" s="304"/>
      <c r="BV145" s="304"/>
      <c r="BW145" s="304"/>
      <c r="BX145" s="304"/>
      <c r="BY145" s="304"/>
      <c r="BZ145" s="304"/>
      <c r="CA145" s="304"/>
      <c r="CB145" s="304"/>
      <c r="CC145" s="304"/>
      <c r="CD145" s="304"/>
      <c r="CE145" s="304"/>
      <c r="CF145" s="304"/>
      <c r="CG145" s="304"/>
      <c r="CH145" s="304"/>
      <c r="CI145" s="304"/>
      <c r="CJ145" s="304"/>
      <c r="CK145" s="304"/>
      <c r="CL145" s="304"/>
      <c r="CM145" s="304"/>
      <c r="CN145" s="304"/>
      <c r="CO145" s="304"/>
      <c r="CP145" s="304"/>
    </row>
    <row r="146" spans="1:94" s="87" customFormat="1">
      <c r="A146" s="81"/>
      <c r="B146" s="83"/>
      <c r="C146" s="82"/>
      <c r="D146" s="102"/>
      <c r="E146" s="102"/>
      <c r="F146" s="102"/>
      <c r="G146" s="225"/>
      <c r="H146" s="218">
        <f t="shared" si="18"/>
        <v>0</v>
      </c>
      <c r="I146" s="218">
        <f t="shared" si="19"/>
        <v>0</v>
      </c>
      <c r="J146" s="218">
        <f t="shared" si="20"/>
        <v>0</v>
      </c>
      <c r="K146" s="102" t="str">
        <f t="shared" si="21"/>
        <v/>
      </c>
      <c r="L146" s="221"/>
      <c r="M146" s="325"/>
      <c r="N146" s="94"/>
      <c r="O146" s="326"/>
      <c r="P146" s="84"/>
      <c r="Q146" s="88"/>
      <c r="R146" s="102">
        <f t="shared" si="17"/>
        <v>0</v>
      </c>
      <c r="S146" s="89"/>
      <c r="T146" s="100"/>
      <c r="U146" s="100"/>
      <c r="V146" s="100"/>
      <c r="W146" s="100"/>
      <c r="X146" s="100"/>
      <c r="Y146" s="83"/>
      <c r="Z146" s="304"/>
      <c r="AA146" s="304"/>
      <c r="AB146" s="304"/>
      <c r="AC146" s="304"/>
      <c r="AD146" s="304"/>
      <c r="AE146" s="304"/>
      <c r="AF146" s="304"/>
      <c r="AG146" s="304"/>
      <c r="AH146" s="304"/>
      <c r="AI146" s="304"/>
      <c r="AJ146" s="304"/>
      <c r="AK146" s="304"/>
      <c r="AL146" s="304"/>
      <c r="AM146" s="304"/>
      <c r="AN146" s="304"/>
      <c r="AO146" s="304"/>
      <c r="AP146" s="304"/>
      <c r="AQ146" s="304"/>
      <c r="AR146" s="304"/>
      <c r="AS146" s="304"/>
      <c r="AT146" s="304"/>
      <c r="AU146" s="304"/>
      <c r="AV146" s="304"/>
      <c r="AW146" s="304"/>
      <c r="AX146" s="304"/>
      <c r="AY146" s="304"/>
      <c r="AZ146" s="304"/>
      <c r="BA146" s="304"/>
      <c r="BB146" s="304"/>
      <c r="BC146" s="304"/>
      <c r="BD146" s="304"/>
      <c r="BE146" s="304"/>
      <c r="BF146" s="304"/>
      <c r="BG146" s="304"/>
      <c r="BH146" s="304"/>
      <c r="BI146" s="304"/>
      <c r="BJ146" s="304"/>
      <c r="BK146" s="304"/>
      <c r="BL146" s="304"/>
      <c r="BM146" s="304"/>
      <c r="BN146" s="304"/>
      <c r="BO146" s="304"/>
      <c r="BP146" s="304"/>
      <c r="BQ146" s="304"/>
      <c r="BR146" s="304"/>
      <c r="BS146" s="304"/>
      <c r="BT146" s="304"/>
      <c r="BU146" s="304"/>
      <c r="BV146" s="304"/>
      <c r="BW146" s="304"/>
      <c r="BX146" s="304"/>
      <c r="BY146" s="304"/>
      <c r="BZ146" s="304"/>
      <c r="CA146" s="304"/>
      <c r="CB146" s="304"/>
      <c r="CC146" s="304"/>
      <c r="CD146" s="304"/>
      <c r="CE146" s="304"/>
      <c r="CF146" s="304"/>
      <c r="CG146" s="304"/>
      <c r="CH146" s="304"/>
      <c r="CI146" s="304"/>
      <c r="CJ146" s="304"/>
      <c r="CK146" s="304"/>
      <c r="CL146" s="304"/>
      <c r="CM146" s="304"/>
      <c r="CN146" s="304"/>
      <c r="CO146" s="304"/>
      <c r="CP146" s="304"/>
    </row>
    <row r="147" spans="1:94" s="87" customFormat="1">
      <c r="A147" s="81"/>
      <c r="B147" s="83"/>
      <c r="C147" s="82"/>
      <c r="D147" s="102"/>
      <c r="E147" s="102"/>
      <c r="F147" s="102"/>
      <c r="G147" s="225"/>
      <c r="H147" s="218">
        <f t="shared" si="18"/>
        <v>0</v>
      </c>
      <c r="I147" s="218">
        <f t="shared" si="19"/>
        <v>0</v>
      </c>
      <c r="J147" s="218">
        <f t="shared" si="20"/>
        <v>0</v>
      </c>
      <c r="K147" s="102" t="str">
        <f t="shared" si="21"/>
        <v/>
      </c>
      <c r="L147" s="221"/>
      <c r="M147" s="325"/>
      <c r="N147" s="94"/>
      <c r="O147" s="326"/>
      <c r="P147" s="84"/>
      <c r="Q147" s="88"/>
      <c r="R147" s="102">
        <f t="shared" si="17"/>
        <v>0</v>
      </c>
      <c r="S147" s="89"/>
      <c r="T147" s="100"/>
      <c r="U147" s="100"/>
      <c r="V147" s="100"/>
      <c r="W147" s="100"/>
      <c r="X147" s="100"/>
      <c r="Y147" s="83"/>
      <c r="Z147" s="304"/>
      <c r="AA147" s="304"/>
      <c r="AB147" s="304"/>
      <c r="AC147" s="304"/>
      <c r="AD147" s="304"/>
      <c r="AE147" s="304"/>
      <c r="AF147" s="304"/>
      <c r="AG147" s="304"/>
      <c r="AH147" s="304"/>
      <c r="AI147" s="304"/>
      <c r="AJ147" s="304"/>
      <c r="AK147" s="304"/>
      <c r="AL147" s="304"/>
      <c r="AM147" s="304"/>
      <c r="AN147" s="304"/>
      <c r="AO147" s="304"/>
      <c r="AP147" s="304"/>
      <c r="AQ147" s="304"/>
      <c r="AR147" s="304"/>
      <c r="AS147" s="304"/>
      <c r="AT147" s="304"/>
      <c r="AU147" s="304"/>
      <c r="AV147" s="304"/>
      <c r="AW147" s="304"/>
      <c r="AX147" s="304"/>
      <c r="AY147" s="304"/>
      <c r="AZ147" s="304"/>
      <c r="BA147" s="304"/>
      <c r="BB147" s="304"/>
      <c r="BC147" s="304"/>
      <c r="BD147" s="304"/>
      <c r="BE147" s="304"/>
      <c r="BF147" s="304"/>
      <c r="BG147" s="304"/>
      <c r="BH147" s="304"/>
      <c r="BI147" s="304"/>
      <c r="BJ147" s="304"/>
      <c r="BK147" s="304"/>
      <c r="BL147" s="304"/>
      <c r="BM147" s="304"/>
      <c r="BN147" s="304"/>
      <c r="BO147" s="304"/>
      <c r="BP147" s="304"/>
      <c r="BQ147" s="304"/>
      <c r="BR147" s="304"/>
      <c r="BS147" s="304"/>
      <c r="BT147" s="304"/>
      <c r="BU147" s="304"/>
      <c r="BV147" s="304"/>
      <c r="BW147" s="304"/>
      <c r="BX147" s="304"/>
      <c r="BY147" s="304"/>
      <c r="BZ147" s="304"/>
      <c r="CA147" s="304"/>
      <c r="CB147" s="304"/>
      <c r="CC147" s="304"/>
      <c r="CD147" s="304"/>
      <c r="CE147" s="304"/>
      <c r="CF147" s="304"/>
      <c r="CG147" s="304"/>
      <c r="CH147" s="304"/>
      <c r="CI147" s="304"/>
      <c r="CJ147" s="304"/>
      <c r="CK147" s="304"/>
      <c r="CL147" s="304"/>
      <c r="CM147" s="304"/>
      <c r="CN147" s="304"/>
      <c r="CO147" s="304"/>
      <c r="CP147" s="304"/>
    </row>
    <row r="148" spans="1:94" s="87" customFormat="1">
      <c r="A148" s="81"/>
      <c r="B148" s="83"/>
      <c r="C148" s="82"/>
      <c r="D148" s="102"/>
      <c r="E148" s="102"/>
      <c r="F148" s="102"/>
      <c r="G148" s="225"/>
      <c r="H148" s="218">
        <f t="shared" si="18"/>
        <v>0</v>
      </c>
      <c r="I148" s="218">
        <f t="shared" si="19"/>
        <v>0</v>
      </c>
      <c r="J148" s="218">
        <f t="shared" si="20"/>
        <v>0</v>
      </c>
      <c r="K148" s="102" t="str">
        <f t="shared" si="21"/>
        <v/>
      </c>
      <c r="L148" s="221"/>
      <c r="M148" s="325"/>
      <c r="N148" s="94"/>
      <c r="O148" s="326"/>
      <c r="P148" s="84"/>
      <c r="Q148" s="88"/>
      <c r="R148" s="102">
        <f t="shared" si="17"/>
        <v>0</v>
      </c>
      <c r="S148" s="89"/>
      <c r="T148" s="100"/>
      <c r="U148" s="100"/>
      <c r="V148" s="100"/>
      <c r="W148" s="100"/>
      <c r="X148" s="100"/>
      <c r="Y148" s="83"/>
      <c r="Z148" s="304"/>
      <c r="AA148" s="304"/>
      <c r="AB148" s="304"/>
      <c r="AC148" s="304"/>
      <c r="AD148" s="304"/>
      <c r="AE148" s="304"/>
      <c r="AF148" s="304"/>
      <c r="AG148" s="304"/>
      <c r="AH148" s="304"/>
      <c r="AI148" s="304"/>
      <c r="AJ148" s="304"/>
      <c r="AK148" s="304"/>
      <c r="AL148" s="304"/>
      <c r="AM148" s="304"/>
      <c r="AN148" s="304"/>
      <c r="AO148" s="304"/>
      <c r="AP148" s="304"/>
      <c r="AQ148" s="304"/>
      <c r="AR148" s="304"/>
      <c r="AS148" s="304"/>
      <c r="AT148" s="304"/>
      <c r="AU148" s="304"/>
      <c r="AV148" s="304"/>
      <c r="AW148" s="304"/>
      <c r="AX148" s="304"/>
      <c r="AY148" s="304"/>
      <c r="AZ148" s="304"/>
      <c r="BA148" s="304"/>
      <c r="BB148" s="304"/>
      <c r="BC148" s="304"/>
      <c r="BD148" s="304"/>
      <c r="BE148" s="304"/>
      <c r="BF148" s="304"/>
      <c r="BG148" s="304"/>
      <c r="BH148" s="304"/>
      <c r="BI148" s="304"/>
      <c r="BJ148" s="304"/>
      <c r="BK148" s="304"/>
      <c r="BL148" s="304"/>
      <c r="BM148" s="304"/>
      <c r="BN148" s="304"/>
      <c r="BO148" s="304"/>
      <c r="BP148" s="304"/>
      <c r="BQ148" s="304"/>
      <c r="BR148" s="304"/>
      <c r="BS148" s="304"/>
      <c r="BT148" s="304"/>
      <c r="BU148" s="304"/>
      <c r="BV148" s="304"/>
      <c r="BW148" s="304"/>
      <c r="BX148" s="304"/>
      <c r="BY148" s="304"/>
      <c r="BZ148" s="304"/>
      <c r="CA148" s="304"/>
      <c r="CB148" s="304"/>
      <c r="CC148" s="304"/>
      <c r="CD148" s="304"/>
      <c r="CE148" s="304"/>
      <c r="CF148" s="304"/>
      <c r="CG148" s="304"/>
      <c r="CH148" s="304"/>
      <c r="CI148" s="304"/>
      <c r="CJ148" s="304"/>
      <c r="CK148" s="304"/>
      <c r="CL148" s="304"/>
      <c r="CM148" s="304"/>
      <c r="CN148" s="304"/>
      <c r="CO148" s="304"/>
      <c r="CP148" s="304"/>
    </row>
    <row r="149" spans="1:94" s="87" customFormat="1">
      <c r="A149" s="81"/>
      <c r="B149" s="83"/>
      <c r="C149" s="82"/>
      <c r="D149" s="102"/>
      <c r="E149" s="102"/>
      <c r="F149" s="102"/>
      <c r="G149" s="225"/>
      <c r="H149" s="218">
        <f t="shared" si="18"/>
        <v>0</v>
      </c>
      <c r="I149" s="218">
        <f t="shared" si="19"/>
        <v>0</v>
      </c>
      <c r="J149" s="218">
        <f t="shared" si="20"/>
        <v>0</v>
      </c>
      <c r="K149" s="102" t="str">
        <f t="shared" si="21"/>
        <v/>
      </c>
      <c r="L149" s="221"/>
      <c r="M149" s="325"/>
      <c r="N149" s="94"/>
      <c r="O149" s="326"/>
      <c r="P149" s="84"/>
      <c r="Q149" s="88"/>
      <c r="R149" s="102">
        <f t="shared" si="17"/>
        <v>0</v>
      </c>
      <c r="S149" s="89"/>
      <c r="T149" s="100"/>
      <c r="U149" s="100"/>
      <c r="V149" s="100"/>
      <c r="W149" s="100"/>
      <c r="X149" s="100"/>
      <c r="Y149" s="83"/>
      <c r="Z149" s="304"/>
      <c r="AA149" s="304"/>
      <c r="AB149" s="304"/>
      <c r="AC149" s="304"/>
      <c r="AD149" s="304"/>
      <c r="AE149" s="304"/>
      <c r="AF149" s="304"/>
      <c r="AG149" s="304"/>
      <c r="AH149" s="304"/>
      <c r="AI149" s="304"/>
      <c r="AJ149" s="304"/>
      <c r="AK149" s="304"/>
      <c r="AL149" s="304"/>
      <c r="AM149" s="304"/>
      <c r="AN149" s="304"/>
      <c r="AO149" s="304"/>
      <c r="AP149" s="304"/>
      <c r="AQ149" s="304"/>
      <c r="AR149" s="304"/>
      <c r="AS149" s="304"/>
      <c r="AT149" s="304"/>
      <c r="AU149" s="304"/>
      <c r="AV149" s="304"/>
      <c r="AW149" s="304"/>
      <c r="AX149" s="304"/>
      <c r="AY149" s="304"/>
      <c r="AZ149" s="304"/>
      <c r="BA149" s="304"/>
      <c r="BB149" s="304"/>
      <c r="BC149" s="304"/>
      <c r="BD149" s="304"/>
      <c r="BE149" s="304"/>
      <c r="BF149" s="304"/>
      <c r="BG149" s="304"/>
      <c r="BH149" s="304"/>
      <c r="BI149" s="304"/>
      <c r="BJ149" s="304"/>
      <c r="BK149" s="304"/>
      <c r="BL149" s="304"/>
      <c r="BM149" s="304"/>
      <c r="BN149" s="304"/>
      <c r="BO149" s="304"/>
      <c r="BP149" s="304"/>
      <c r="BQ149" s="304"/>
      <c r="BR149" s="304"/>
      <c r="BS149" s="304"/>
      <c r="BT149" s="304"/>
      <c r="BU149" s="304"/>
      <c r="BV149" s="304"/>
      <c r="BW149" s="304"/>
      <c r="BX149" s="304"/>
      <c r="BY149" s="304"/>
      <c r="BZ149" s="304"/>
      <c r="CA149" s="304"/>
      <c r="CB149" s="304"/>
      <c r="CC149" s="304"/>
      <c r="CD149" s="304"/>
      <c r="CE149" s="304"/>
      <c r="CF149" s="304"/>
      <c r="CG149" s="304"/>
      <c r="CH149" s="304"/>
      <c r="CI149" s="304"/>
      <c r="CJ149" s="304"/>
      <c r="CK149" s="304"/>
      <c r="CL149" s="304"/>
      <c r="CM149" s="304"/>
      <c r="CN149" s="304"/>
      <c r="CO149" s="304"/>
      <c r="CP149" s="304"/>
    </row>
    <row r="150" spans="1:94" s="87" customFormat="1">
      <c r="A150" s="81"/>
      <c r="B150" s="83"/>
      <c r="C150" s="82"/>
      <c r="D150" s="102"/>
      <c r="E150" s="102"/>
      <c r="F150" s="102"/>
      <c r="G150" s="225"/>
      <c r="H150" s="218">
        <f t="shared" si="18"/>
        <v>0</v>
      </c>
      <c r="I150" s="218">
        <f t="shared" si="19"/>
        <v>0</v>
      </c>
      <c r="J150" s="218">
        <f t="shared" si="20"/>
        <v>0</v>
      </c>
      <c r="K150" s="102" t="str">
        <f t="shared" si="21"/>
        <v/>
      </c>
      <c r="L150" s="221"/>
      <c r="M150" s="325"/>
      <c r="N150" s="94"/>
      <c r="O150" s="326"/>
      <c r="P150" s="84"/>
      <c r="Q150" s="88"/>
      <c r="R150" s="102">
        <f t="shared" si="17"/>
        <v>0</v>
      </c>
      <c r="S150" s="89"/>
      <c r="T150" s="100"/>
      <c r="U150" s="100"/>
      <c r="V150" s="100"/>
      <c r="W150" s="100"/>
      <c r="X150" s="100"/>
      <c r="Y150" s="83"/>
      <c r="Z150" s="304"/>
      <c r="AA150" s="304"/>
      <c r="AB150" s="304"/>
      <c r="AC150" s="304"/>
      <c r="AD150" s="304"/>
      <c r="AE150" s="304"/>
      <c r="AF150" s="304"/>
      <c r="AG150" s="304"/>
      <c r="AH150" s="304"/>
      <c r="AI150" s="304"/>
      <c r="AJ150" s="304"/>
      <c r="AK150" s="304"/>
      <c r="AL150" s="304"/>
      <c r="AM150" s="304"/>
      <c r="AN150" s="304"/>
      <c r="AO150" s="304"/>
      <c r="AP150" s="304"/>
      <c r="AQ150" s="304"/>
      <c r="AR150" s="304"/>
      <c r="AS150" s="304"/>
      <c r="AT150" s="304"/>
      <c r="AU150" s="304"/>
      <c r="AV150" s="304"/>
      <c r="AW150" s="304"/>
      <c r="AX150" s="304"/>
      <c r="AY150" s="304"/>
      <c r="AZ150" s="304"/>
      <c r="BA150" s="304"/>
      <c r="BB150" s="304"/>
      <c r="BC150" s="304"/>
      <c r="BD150" s="304"/>
      <c r="BE150" s="304"/>
      <c r="BF150" s="304"/>
      <c r="BG150" s="304"/>
      <c r="BH150" s="304"/>
      <c r="BI150" s="304"/>
      <c r="BJ150" s="304"/>
      <c r="BK150" s="304"/>
      <c r="BL150" s="304"/>
      <c r="BM150" s="304"/>
      <c r="BN150" s="304"/>
      <c r="BO150" s="304"/>
      <c r="BP150" s="304"/>
      <c r="BQ150" s="304"/>
      <c r="BR150" s="304"/>
      <c r="BS150" s="304"/>
      <c r="BT150" s="304"/>
      <c r="BU150" s="304"/>
      <c r="BV150" s="304"/>
      <c r="BW150" s="304"/>
      <c r="BX150" s="304"/>
      <c r="BY150" s="304"/>
      <c r="BZ150" s="304"/>
      <c r="CA150" s="304"/>
      <c r="CB150" s="304"/>
      <c r="CC150" s="304"/>
      <c r="CD150" s="304"/>
      <c r="CE150" s="304"/>
      <c r="CF150" s="304"/>
      <c r="CG150" s="304"/>
      <c r="CH150" s="304"/>
      <c r="CI150" s="304"/>
      <c r="CJ150" s="304"/>
      <c r="CK150" s="304"/>
      <c r="CL150" s="304"/>
      <c r="CM150" s="304"/>
      <c r="CN150" s="304"/>
      <c r="CO150" s="304"/>
      <c r="CP150" s="304"/>
    </row>
    <row r="151" spans="1:94" s="87" customFormat="1">
      <c r="A151" s="81"/>
      <c r="B151" s="83"/>
      <c r="C151" s="82"/>
      <c r="D151" s="102"/>
      <c r="E151" s="102"/>
      <c r="F151" s="102"/>
      <c r="G151" s="225"/>
      <c r="H151" s="218">
        <f t="shared" si="18"/>
        <v>0</v>
      </c>
      <c r="I151" s="218">
        <f t="shared" si="19"/>
        <v>0</v>
      </c>
      <c r="J151" s="218">
        <f t="shared" si="20"/>
        <v>0</v>
      </c>
      <c r="K151" s="102" t="str">
        <f t="shared" si="21"/>
        <v/>
      </c>
      <c r="L151" s="221"/>
      <c r="M151" s="325"/>
      <c r="N151" s="94"/>
      <c r="O151" s="326"/>
      <c r="P151" s="84"/>
      <c r="Q151" s="88"/>
      <c r="R151" s="102">
        <f t="shared" si="17"/>
        <v>0</v>
      </c>
      <c r="S151" s="89"/>
      <c r="T151" s="100"/>
      <c r="U151" s="100"/>
      <c r="V151" s="100"/>
      <c r="W151" s="100"/>
      <c r="X151" s="100"/>
      <c r="Y151" s="83"/>
      <c r="Z151" s="304"/>
      <c r="AA151" s="304"/>
      <c r="AB151" s="304"/>
      <c r="AC151" s="304"/>
      <c r="AD151" s="304"/>
      <c r="AE151" s="304"/>
      <c r="AF151" s="304"/>
      <c r="AG151" s="304"/>
      <c r="AH151" s="304"/>
      <c r="AI151" s="304"/>
      <c r="AJ151" s="304"/>
      <c r="AK151" s="304"/>
      <c r="AL151" s="304"/>
      <c r="AM151" s="304"/>
      <c r="AN151" s="304"/>
      <c r="AO151" s="304"/>
      <c r="AP151" s="304"/>
      <c r="AQ151" s="304"/>
      <c r="AR151" s="304"/>
      <c r="AS151" s="304"/>
      <c r="AT151" s="304"/>
      <c r="AU151" s="304"/>
      <c r="AV151" s="304"/>
      <c r="AW151" s="304"/>
      <c r="AX151" s="304"/>
      <c r="AY151" s="304"/>
      <c r="AZ151" s="304"/>
      <c r="BA151" s="304"/>
      <c r="BB151" s="304"/>
      <c r="BC151" s="304"/>
      <c r="BD151" s="304"/>
      <c r="BE151" s="304"/>
      <c r="BF151" s="304"/>
      <c r="BG151" s="304"/>
      <c r="BH151" s="304"/>
      <c r="BI151" s="304"/>
      <c r="BJ151" s="304"/>
      <c r="BK151" s="304"/>
      <c r="BL151" s="304"/>
      <c r="BM151" s="304"/>
      <c r="BN151" s="304"/>
      <c r="BO151" s="304"/>
      <c r="BP151" s="304"/>
      <c r="BQ151" s="304"/>
      <c r="BR151" s="304"/>
      <c r="BS151" s="304"/>
      <c r="BT151" s="304"/>
      <c r="BU151" s="304"/>
      <c r="BV151" s="304"/>
      <c r="BW151" s="304"/>
      <c r="BX151" s="304"/>
      <c r="BY151" s="304"/>
      <c r="BZ151" s="304"/>
      <c r="CA151" s="304"/>
      <c r="CB151" s="304"/>
      <c r="CC151" s="304"/>
      <c r="CD151" s="304"/>
      <c r="CE151" s="304"/>
      <c r="CF151" s="304"/>
      <c r="CG151" s="304"/>
      <c r="CH151" s="304"/>
      <c r="CI151" s="304"/>
      <c r="CJ151" s="304"/>
      <c r="CK151" s="304"/>
      <c r="CL151" s="304"/>
      <c r="CM151" s="304"/>
      <c r="CN151" s="304"/>
      <c r="CO151" s="304"/>
      <c r="CP151" s="304"/>
    </row>
    <row r="152" spans="1:94" s="87" customFormat="1">
      <c r="A152" s="81"/>
      <c r="B152" s="83"/>
      <c r="C152" s="82"/>
      <c r="D152" s="102"/>
      <c r="E152" s="102"/>
      <c r="F152" s="102"/>
      <c r="G152" s="225"/>
      <c r="H152" s="218">
        <f t="shared" si="18"/>
        <v>0</v>
      </c>
      <c r="I152" s="218">
        <f t="shared" si="19"/>
        <v>0</v>
      </c>
      <c r="J152" s="218">
        <f t="shared" si="20"/>
        <v>0</v>
      </c>
      <c r="K152" s="102" t="str">
        <f t="shared" si="21"/>
        <v/>
      </c>
      <c r="L152" s="221"/>
      <c r="M152" s="325"/>
      <c r="N152" s="94"/>
      <c r="O152" s="326"/>
      <c r="P152" s="84"/>
      <c r="Q152" s="88"/>
      <c r="R152" s="102">
        <f t="shared" si="17"/>
        <v>0</v>
      </c>
      <c r="S152" s="89"/>
      <c r="T152" s="100"/>
      <c r="U152" s="100"/>
      <c r="V152" s="100"/>
      <c r="W152" s="100"/>
      <c r="X152" s="100"/>
      <c r="Y152" s="83"/>
      <c r="Z152" s="304"/>
      <c r="AA152" s="304"/>
      <c r="AB152" s="304"/>
      <c r="AC152" s="304"/>
      <c r="AD152" s="304"/>
      <c r="AE152" s="304"/>
      <c r="AF152" s="304"/>
      <c r="AG152" s="304"/>
      <c r="AH152" s="304"/>
      <c r="AI152" s="304"/>
      <c r="AJ152" s="304"/>
      <c r="AK152" s="304"/>
      <c r="AL152" s="304"/>
      <c r="AM152" s="304"/>
      <c r="AN152" s="304"/>
      <c r="AO152" s="304"/>
      <c r="AP152" s="304"/>
      <c r="AQ152" s="304"/>
      <c r="AR152" s="304"/>
      <c r="AS152" s="304"/>
      <c r="AT152" s="304"/>
      <c r="AU152" s="304"/>
      <c r="AV152" s="304"/>
      <c r="AW152" s="304"/>
      <c r="AX152" s="304"/>
      <c r="AY152" s="304"/>
      <c r="AZ152" s="304"/>
      <c r="BA152" s="304"/>
      <c r="BB152" s="304"/>
      <c r="BC152" s="304"/>
      <c r="BD152" s="304"/>
      <c r="BE152" s="304"/>
      <c r="BF152" s="304"/>
      <c r="BG152" s="304"/>
      <c r="BH152" s="304"/>
      <c r="BI152" s="304"/>
      <c r="BJ152" s="304"/>
      <c r="BK152" s="304"/>
      <c r="BL152" s="304"/>
      <c r="BM152" s="304"/>
      <c r="BN152" s="304"/>
      <c r="BO152" s="304"/>
      <c r="BP152" s="304"/>
      <c r="BQ152" s="304"/>
      <c r="BR152" s="304"/>
      <c r="BS152" s="304"/>
      <c r="BT152" s="304"/>
      <c r="BU152" s="304"/>
      <c r="BV152" s="304"/>
      <c r="BW152" s="304"/>
      <c r="BX152" s="304"/>
      <c r="BY152" s="304"/>
      <c r="BZ152" s="304"/>
      <c r="CA152" s="304"/>
      <c r="CB152" s="304"/>
      <c r="CC152" s="304"/>
      <c r="CD152" s="304"/>
      <c r="CE152" s="304"/>
      <c r="CF152" s="304"/>
      <c r="CG152" s="304"/>
      <c r="CH152" s="304"/>
      <c r="CI152" s="304"/>
      <c r="CJ152" s="304"/>
      <c r="CK152" s="304"/>
      <c r="CL152" s="304"/>
      <c r="CM152" s="304"/>
      <c r="CN152" s="304"/>
      <c r="CO152" s="304"/>
      <c r="CP152" s="304"/>
    </row>
    <row r="153" spans="1:94" s="87" customFormat="1">
      <c r="A153" s="81"/>
      <c r="B153" s="83"/>
      <c r="C153" s="82"/>
      <c r="D153" s="102"/>
      <c r="E153" s="102"/>
      <c r="F153" s="102"/>
      <c r="G153" s="225"/>
      <c r="H153" s="218">
        <f t="shared" si="18"/>
        <v>0</v>
      </c>
      <c r="I153" s="218">
        <f t="shared" si="19"/>
        <v>0</v>
      </c>
      <c r="J153" s="218">
        <f t="shared" si="20"/>
        <v>0</v>
      </c>
      <c r="K153" s="102" t="str">
        <f t="shared" si="21"/>
        <v/>
      </c>
      <c r="L153" s="221"/>
      <c r="M153" s="325"/>
      <c r="N153" s="94"/>
      <c r="O153" s="326"/>
      <c r="P153" s="84"/>
      <c r="Q153" s="88"/>
      <c r="R153" s="102">
        <f t="shared" si="17"/>
        <v>0</v>
      </c>
      <c r="S153" s="89"/>
      <c r="T153" s="100"/>
      <c r="U153" s="100"/>
      <c r="V153" s="100"/>
      <c r="W153" s="100"/>
      <c r="X153" s="100"/>
      <c r="Y153" s="83"/>
      <c r="Z153" s="304"/>
      <c r="AA153" s="304"/>
      <c r="AB153" s="304"/>
      <c r="AC153" s="304"/>
      <c r="AD153" s="304"/>
      <c r="AE153" s="304"/>
      <c r="AF153" s="304"/>
      <c r="AG153" s="304"/>
      <c r="AH153" s="304"/>
      <c r="AI153" s="304"/>
      <c r="AJ153" s="304"/>
      <c r="AK153" s="304"/>
      <c r="AL153" s="304"/>
      <c r="AM153" s="304"/>
      <c r="AN153" s="304"/>
      <c r="AO153" s="304"/>
      <c r="AP153" s="304"/>
      <c r="AQ153" s="304"/>
      <c r="AR153" s="304"/>
      <c r="AS153" s="304"/>
      <c r="AT153" s="304"/>
      <c r="AU153" s="304"/>
      <c r="AV153" s="304"/>
      <c r="AW153" s="304"/>
      <c r="AX153" s="304"/>
      <c r="AY153" s="304"/>
      <c r="AZ153" s="304"/>
      <c r="BA153" s="304"/>
      <c r="BB153" s="304"/>
      <c r="BC153" s="304"/>
      <c r="BD153" s="304"/>
      <c r="BE153" s="304"/>
      <c r="BF153" s="304"/>
      <c r="BG153" s="304"/>
      <c r="BH153" s="304"/>
      <c r="BI153" s="304"/>
      <c r="BJ153" s="304"/>
      <c r="BK153" s="304"/>
      <c r="BL153" s="304"/>
      <c r="BM153" s="304"/>
      <c r="BN153" s="304"/>
      <c r="BO153" s="304"/>
      <c r="BP153" s="304"/>
      <c r="BQ153" s="304"/>
      <c r="BR153" s="304"/>
      <c r="BS153" s="304"/>
      <c r="BT153" s="304"/>
      <c r="BU153" s="304"/>
      <c r="BV153" s="304"/>
      <c r="BW153" s="304"/>
      <c r="BX153" s="304"/>
      <c r="BY153" s="304"/>
      <c r="BZ153" s="304"/>
      <c r="CA153" s="304"/>
      <c r="CB153" s="304"/>
      <c r="CC153" s="304"/>
      <c r="CD153" s="304"/>
      <c r="CE153" s="304"/>
      <c r="CF153" s="304"/>
      <c r="CG153" s="304"/>
      <c r="CH153" s="304"/>
      <c r="CI153" s="304"/>
      <c r="CJ153" s="304"/>
      <c r="CK153" s="304"/>
      <c r="CL153" s="304"/>
      <c r="CM153" s="304"/>
      <c r="CN153" s="304"/>
      <c r="CO153" s="304"/>
      <c r="CP153" s="304"/>
    </row>
    <row r="154" spans="1:94" s="87" customFormat="1">
      <c r="A154" s="81"/>
      <c r="B154" s="83"/>
      <c r="C154" s="82"/>
      <c r="D154" s="102"/>
      <c r="E154" s="102"/>
      <c r="F154" s="102"/>
      <c r="G154" s="225"/>
      <c r="H154" s="218">
        <f t="shared" si="18"/>
        <v>0</v>
      </c>
      <c r="I154" s="218">
        <f t="shared" si="19"/>
        <v>0</v>
      </c>
      <c r="J154" s="218">
        <f t="shared" si="20"/>
        <v>0</v>
      </c>
      <c r="K154" s="102" t="str">
        <f t="shared" si="21"/>
        <v/>
      </c>
      <c r="L154" s="221"/>
      <c r="M154" s="325"/>
      <c r="N154" s="94"/>
      <c r="O154" s="326"/>
      <c r="P154" s="84"/>
      <c r="Q154" s="88"/>
      <c r="R154" s="102">
        <f t="shared" si="17"/>
        <v>0</v>
      </c>
      <c r="S154" s="89"/>
      <c r="T154" s="100"/>
      <c r="U154" s="100"/>
      <c r="V154" s="100"/>
      <c r="W154" s="100"/>
      <c r="X154" s="100"/>
      <c r="Y154" s="83"/>
      <c r="Z154" s="304"/>
      <c r="AA154" s="304"/>
      <c r="AB154" s="304"/>
      <c r="AC154" s="304"/>
      <c r="AD154" s="304"/>
      <c r="AE154" s="304"/>
      <c r="AF154" s="304"/>
      <c r="AG154" s="304"/>
      <c r="AH154" s="304"/>
      <c r="AI154" s="304"/>
      <c r="AJ154" s="304"/>
      <c r="AK154" s="304"/>
      <c r="AL154" s="304"/>
      <c r="AM154" s="304"/>
      <c r="AN154" s="304"/>
      <c r="AO154" s="304"/>
      <c r="AP154" s="304"/>
      <c r="AQ154" s="304"/>
      <c r="AR154" s="304"/>
      <c r="AS154" s="304"/>
      <c r="AT154" s="304"/>
      <c r="AU154" s="304"/>
      <c r="AV154" s="304"/>
      <c r="AW154" s="304"/>
      <c r="AX154" s="304"/>
      <c r="AY154" s="304"/>
      <c r="AZ154" s="304"/>
      <c r="BA154" s="304"/>
      <c r="BB154" s="304"/>
      <c r="BC154" s="304"/>
      <c r="BD154" s="304"/>
      <c r="BE154" s="304"/>
      <c r="BF154" s="304"/>
      <c r="BG154" s="304"/>
      <c r="BH154" s="304"/>
      <c r="BI154" s="304"/>
      <c r="BJ154" s="304"/>
      <c r="BK154" s="304"/>
      <c r="BL154" s="304"/>
      <c r="BM154" s="304"/>
      <c r="BN154" s="304"/>
      <c r="BO154" s="304"/>
      <c r="BP154" s="304"/>
      <c r="BQ154" s="304"/>
      <c r="BR154" s="304"/>
      <c r="BS154" s="304"/>
      <c r="BT154" s="304"/>
      <c r="BU154" s="304"/>
      <c r="BV154" s="304"/>
      <c r="BW154" s="304"/>
      <c r="BX154" s="304"/>
      <c r="BY154" s="304"/>
      <c r="BZ154" s="304"/>
      <c r="CA154" s="304"/>
      <c r="CB154" s="304"/>
      <c r="CC154" s="304"/>
      <c r="CD154" s="304"/>
      <c r="CE154" s="304"/>
      <c r="CF154" s="304"/>
      <c r="CG154" s="304"/>
      <c r="CH154" s="304"/>
      <c r="CI154" s="304"/>
      <c r="CJ154" s="304"/>
      <c r="CK154" s="304"/>
      <c r="CL154" s="304"/>
      <c r="CM154" s="304"/>
      <c r="CN154" s="304"/>
      <c r="CO154" s="304"/>
      <c r="CP154" s="304"/>
    </row>
    <row r="155" spans="1:94" s="87" customFormat="1">
      <c r="A155" s="81"/>
      <c r="B155" s="83"/>
      <c r="C155" s="82"/>
      <c r="D155" s="102"/>
      <c r="E155" s="102"/>
      <c r="F155" s="102"/>
      <c r="G155" s="225"/>
      <c r="H155" s="218">
        <f t="shared" si="18"/>
        <v>0</v>
      </c>
      <c r="I155" s="218">
        <f t="shared" si="19"/>
        <v>0</v>
      </c>
      <c r="J155" s="218">
        <f t="shared" si="20"/>
        <v>0</v>
      </c>
      <c r="K155" s="102" t="str">
        <f t="shared" si="21"/>
        <v/>
      </c>
      <c r="L155" s="221"/>
      <c r="M155" s="325"/>
      <c r="N155" s="94"/>
      <c r="O155" s="326"/>
      <c r="P155" s="84"/>
      <c r="Q155" s="88"/>
      <c r="R155" s="102">
        <f t="shared" si="17"/>
        <v>0</v>
      </c>
      <c r="S155" s="89"/>
      <c r="T155" s="100"/>
      <c r="U155" s="100"/>
      <c r="V155" s="100"/>
      <c r="W155" s="100"/>
      <c r="X155" s="100"/>
      <c r="Y155" s="83"/>
      <c r="Z155" s="304"/>
      <c r="AA155" s="304"/>
      <c r="AB155" s="304"/>
      <c r="AC155" s="304"/>
      <c r="AD155" s="304"/>
      <c r="AE155" s="304"/>
      <c r="AF155" s="304"/>
      <c r="AG155" s="304"/>
      <c r="AH155" s="304"/>
      <c r="AI155" s="304"/>
      <c r="AJ155" s="304"/>
      <c r="AK155" s="304"/>
      <c r="AL155" s="304"/>
      <c r="AM155" s="304"/>
      <c r="AN155" s="304"/>
      <c r="AO155" s="304"/>
      <c r="AP155" s="304"/>
      <c r="AQ155" s="304"/>
      <c r="AR155" s="304"/>
      <c r="AS155" s="304"/>
      <c r="AT155" s="304"/>
      <c r="AU155" s="304"/>
      <c r="AV155" s="304"/>
      <c r="AW155" s="304"/>
      <c r="AX155" s="304"/>
      <c r="AY155" s="304"/>
      <c r="AZ155" s="304"/>
      <c r="BA155" s="304"/>
      <c r="BB155" s="304"/>
      <c r="BC155" s="304"/>
      <c r="BD155" s="304"/>
      <c r="BE155" s="304"/>
      <c r="BF155" s="304"/>
      <c r="BG155" s="304"/>
      <c r="BH155" s="304"/>
      <c r="BI155" s="304"/>
      <c r="BJ155" s="304"/>
      <c r="BK155" s="304"/>
      <c r="BL155" s="304"/>
      <c r="BM155" s="304"/>
      <c r="BN155" s="304"/>
      <c r="BO155" s="304"/>
      <c r="BP155" s="304"/>
      <c r="BQ155" s="304"/>
      <c r="BR155" s="304"/>
      <c r="BS155" s="304"/>
      <c r="BT155" s="304"/>
      <c r="BU155" s="304"/>
      <c r="BV155" s="304"/>
      <c r="BW155" s="304"/>
      <c r="BX155" s="304"/>
      <c r="BY155" s="304"/>
      <c r="BZ155" s="304"/>
      <c r="CA155" s="304"/>
      <c r="CB155" s="304"/>
      <c r="CC155" s="304"/>
      <c r="CD155" s="304"/>
      <c r="CE155" s="304"/>
      <c r="CF155" s="304"/>
      <c r="CG155" s="304"/>
      <c r="CH155" s="304"/>
      <c r="CI155" s="304"/>
      <c r="CJ155" s="304"/>
      <c r="CK155" s="304"/>
      <c r="CL155" s="304"/>
      <c r="CM155" s="304"/>
      <c r="CN155" s="304"/>
      <c r="CO155" s="304"/>
      <c r="CP155" s="304"/>
    </row>
    <row r="156" spans="1:94" s="87" customFormat="1">
      <c r="A156" s="81"/>
      <c r="B156" s="83"/>
      <c r="C156" s="82"/>
      <c r="D156" s="102"/>
      <c r="E156" s="102"/>
      <c r="F156" s="102"/>
      <c r="G156" s="225"/>
      <c r="H156" s="218">
        <f t="shared" si="18"/>
        <v>0</v>
      </c>
      <c r="I156" s="218">
        <f t="shared" si="19"/>
        <v>0</v>
      </c>
      <c r="J156" s="218">
        <f t="shared" si="20"/>
        <v>0</v>
      </c>
      <c r="K156" s="102" t="str">
        <f t="shared" si="21"/>
        <v/>
      </c>
      <c r="L156" s="221"/>
      <c r="M156" s="325"/>
      <c r="N156" s="94"/>
      <c r="O156" s="326"/>
      <c r="P156" s="84"/>
      <c r="Q156" s="88"/>
      <c r="R156" s="102">
        <f t="shared" si="17"/>
        <v>0</v>
      </c>
      <c r="S156" s="89"/>
      <c r="T156" s="100"/>
      <c r="U156" s="100"/>
      <c r="V156" s="100"/>
      <c r="W156" s="100"/>
      <c r="X156" s="100"/>
      <c r="Y156" s="83"/>
      <c r="Z156" s="304"/>
      <c r="AA156" s="304"/>
      <c r="AB156" s="304"/>
      <c r="AC156" s="304"/>
      <c r="AD156" s="304"/>
      <c r="AE156" s="304"/>
      <c r="AF156" s="304"/>
      <c r="AG156" s="304"/>
      <c r="AH156" s="304"/>
      <c r="AI156" s="304"/>
      <c r="AJ156" s="304"/>
      <c r="AK156" s="304"/>
      <c r="AL156" s="304"/>
      <c r="AM156" s="304"/>
      <c r="AN156" s="304"/>
      <c r="AO156" s="304"/>
      <c r="AP156" s="304"/>
      <c r="AQ156" s="304"/>
      <c r="AR156" s="304"/>
      <c r="AS156" s="304"/>
      <c r="AT156" s="304"/>
      <c r="AU156" s="304"/>
      <c r="AV156" s="304"/>
      <c r="AW156" s="304"/>
      <c r="AX156" s="304"/>
      <c r="AY156" s="304"/>
      <c r="AZ156" s="304"/>
      <c r="BA156" s="304"/>
      <c r="BB156" s="304"/>
      <c r="BC156" s="304"/>
      <c r="BD156" s="304"/>
      <c r="BE156" s="304"/>
      <c r="BF156" s="304"/>
      <c r="BG156" s="304"/>
      <c r="BH156" s="304"/>
      <c r="BI156" s="304"/>
      <c r="BJ156" s="304"/>
      <c r="BK156" s="304"/>
      <c r="BL156" s="304"/>
      <c r="BM156" s="304"/>
      <c r="BN156" s="304"/>
      <c r="BO156" s="304"/>
      <c r="BP156" s="304"/>
      <c r="BQ156" s="304"/>
      <c r="BR156" s="304"/>
      <c r="BS156" s="304"/>
      <c r="BT156" s="304"/>
      <c r="BU156" s="304"/>
      <c r="BV156" s="304"/>
      <c r="BW156" s="304"/>
      <c r="BX156" s="304"/>
      <c r="BY156" s="304"/>
      <c r="BZ156" s="304"/>
      <c r="CA156" s="304"/>
      <c r="CB156" s="304"/>
      <c r="CC156" s="304"/>
      <c r="CD156" s="304"/>
      <c r="CE156" s="304"/>
      <c r="CF156" s="304"/>
      <c r="CG156" s="304"/>
      <c r="CH156" s="304"/>
      <c r="CI156" s="304"/>
      <c r="CJ156" s="304"/>
      <c r="CK156" s="304"/>
      <c r="CL156" s="304"/>
      <c r="CM156" s="304"/>
      <c r="CN156" s="304"/>
      <c r="CO156" s="304"/>
      <c r="CP156" s="304"/>
    </row>
    <row r="157" spans="1:94" s="87" customFormat="1">
      <c r="A157" s="81"/>
      <c r="B157" s="83"/>
      <c r="C157" s="82"/>
      <c r="D157" s="102"/>
      <c r="E157" s="102"/>
      <c r="F157" s="102"/>
      <c r="G157" s="225"/>
      <c r="H157" s="218">
        <f t="shared" si="18"/>
        <v>0</v>
      </c>
      <c r="I157" s="218">
        <f t="shared" si="19"/>
        <v>0</v>
      </c>
      <c r="J157" s="218">
        <f t="shared" si="20"/>
        <v>0</v>
      </c>
      <c r="K157" s="102" t="str">
        <f t="shared" si="21"/>
        <v/>
      </c>
      <c r="L157" s="221"/>
      <c r="M157" s="325"/>
      <c r="N157" s="94"/>
      <c r="O157" s="326"/>
      <c r="P157" s="84"/>
      <c r="Q157" s="88"/>
      <c r="R157" s="102">
        <f t="shared" si="17"/>
        <v>0</v>
      </c>
      <c r="S157" s="89"/>
      <c r="T157" s="100"/>
      <c r="U157" s="100"/>
      <c r="V157" s="100"/>
      <c r="W157" s="100"/>
      <c r="X157" s="100"/>
      <c r="Y157" s="83"/>
      <c r="Z157" s="304"/>
      <c r="AA157" s="304"/>
      <c r="AB157" s="304"/>
      <c r="AC157" s="304"/>
      <c r="AD157" s="304"/>
      <c r="AE157" s="304"/>
      <c r="AF157" s="304"/>
      <c r="AG157" s="304"/>
      <c r="AH157" s="304"/>
      <c r="AI157" s="304"/>
      <c r="AJ157" s="304"/>
      <c r="AK157" s="304"/>
      <c r="AL157" s="304"/>
      <c r="AM157" s="304"/>
      <c r="AN157" s="304"/>
      <c r="AO157" s="304"/>
      <c r="AP157" s="304"/>
      <c r="AQ157" s="304"/>
      <c r="AR157" s="304"/>
      <c r="AS157" s="304"/>
      <c r="AT157" s="304"/>
      <c r="AU157" s="304"/>
      <c r="AV157" s="304"/>
      <c r="AW157" s="304"/>
      <c r="AX157" s="304"/>
      <c r="AY157" s="304"/>
      <c r="AZ157" s="304"/>
      <c r="BA157" s="304"/>
      <c r="BB157" s="304"/>
      <c r="BC157" s="304"/>
      <c r="BD157" s="304"/>
      <c r="BE157" s="304"/>
      <c r="BF157" s="304"/>
      <c r="BG157" s="304"/>
      <c r="BH157" s="304"/>
      <c r="BI157" s="304"/>
      <c r="BJ157" s="304"/>
      <c r="BK157" s="304"/>
      <c r="BL157" s="304"/>
      <c r="BM157" s="304"/>
      <c r="BN157" s="304"/>
      <c r="BO157" s="304"/>
      <c r="BP157" s="304"/>
      <c r="BQ157" s="304"/>
      <c r="BR157" s="304"/>
      <c r="BS157" s="304"/>
      <c r="BT157" s="304"/>
      <c r="BU157" s="304"/>
      <c r="BV157" s="304"/>
      <c r="BW157" s="304"/>
      <c r="BX157" s="304"/>
      <c r="BY157" s="304"/>
      <c r="BZ157" s="304"/>
      <c r="CA157" s="304"/>
      <c r="CB157" s="304"/>
      <c r="CC157" s="304"/>
      <c r="CD157" s="304"/>
      <c r="CE157" s="304"/>
      <c r="CF157" s="304"/>
      <c r="CG157" s="304"/>
      <c r="CH157" s="304"/>
      <c r="CI157" s="304"/>
      <c r="CJ157" s="304"/>
      <c r="CK157" s="304"/>
      <c r="CL157" s="304"/>
      <c r="CM157" s="304"/>
      <c r="CN157" s="304"/>
      <c r="CO157" s="304"/>
      <c r="CP157" s="304"/>
    </row>
    <row r="158" spans="1:94" s="87" customFormat="1">
      <c r="A158" s="81"/>
      <c r="B158" s="83"/>
      <c r="C158" s="82"/>
      <c r="D158" s="102"/>
      <c r="E158" s="102"/>
      <c r="F158" s="102"/>
      <c r="G158" s="225"/>
      <c r="H158" s="218">
        <f t="shared" si="18"/>
        <v>0</v>
      </c>
      <c r="I158" s="218">
        <f t="shared" si="19"/>
        <v>0</v>
      </c>
      <c r="J158" s="218">
        <f t="shared" si="20"/>
        <v>0</v>
      </c>
      <c r="K158" s="102" t="str">
        <f t="shared" si="21"/>
        <v/>
      </c>
      <c r="L158" s="221"/>
      <c r="M158" s="325"/>
      <c r="N158" s="94"/>
      <c r="O158" s="326"/>
      <c r="P158" s="84"/>
      <c r="Q158" s="88"/>
      <c r="R158" s="102">
        <f t="shared" si="17"/>
        <v>0</v>
      </c>
      <c r="S158" s="89"/>
      <c r="T158" s="100"/>
      <c r="U158" s="100"/>
      <c r="V158" s="100"/>
      <c r="W158" s="100"/>
      <c r="X158" s="100"/>
      <c r="Y158" s="83"/>
      <c r="Z158" s="304"/>
      <c r="AA158" s="304"/>
      <c r="AB158" s="304"/>
      <c r="AC158" s="304"/>
      <c r="AD158" s="304"/>
      <c r="AE158" s="304"/>
      <c r="AF158" s="304"/>
      <c r="AG158" s="304"/>
      <c r="AH158" s="304"/>
      <c r="AI158" s="304"/>
      <c r="AJ158" s="304"/>
      <c r="AK158" s="304"/>
      <c r="AL158" s="304"/>
      <c r="AM158" s="304"/>
      <c r="AN158" s="304"/>
      <c r="AO158" s="304"/>
      <c r="AP158" s="304"/>
      <c r="AQ158" s="304"/>
      <c r="AR158" s="304"/>
      <c r="AS158" s="304"/>
      <c r="AT158" s="304"/>
      <c r="AU158" s="304"/>
      <c r="AV158" s="304"/>
      <c r="AW158" s="304"/>
      <c r="AX158" s="304"/>
      <c r="AY158" s="304"/>
      <c r="AZ158" s="304"/>
      <c r="BA158" s="304"/>
      <c r="BB158" s="304"/>
      <c r="BC158" s="304"/>
      <c r="BD158" s="304"/>
      <c r="BE158" s="304"/>
      <c r="BF158" s="304"/>
      <c r="BG158" s="304"/>
      <c r="BH158" s="304"/>
      <c r="BI158" s="304"/>
      <c r="BJ158" s="304"/>
      <c r="BK158" s="304"/>
      <c r="BL158" s="304"/>
      <c r="BM158" s="304"/>
      <c r="BN158" s="304"/>
      <c r="BO158" s="304"/>
      <c r="BP158" s="304"/>
      <c r="BQ158" s="304"/>
      <c r="BR158" s="304"/>
      <c r="BS158" s="304"/>
      <c r="BT158" s="304"/>
      <c r="BU158" s="304"/>
      <c r="BV158" s="304"/>
      <c r="BW158" s="304"/>
      <c r="BX158" s="304"/>
      <c r="BY158" s="304"/>
      <c r="BZ158" s="304"/>
      <c r="CA158" s="304"/>
      <c r="CB158" s="304"/>
      <c r="CC158" s="304"/>
      <c r="CD158" s="304"/>
      <c r="CE158" s="304"/>
      <c r="CF158" s="304"/>
      <c r="CG158" s="304"/>
      <c r="CH158" s="304"/>
      <c r="CI158" s="304"/>
      <c r="CJ158" s="304"/>
      <c r="CK158" s="304"/>
      <c r="CL158" s="304"/>
      <c r="CM158" s="304"/>
      <c r="CN158" s="304"/>
      <c r="CO158" s="304"/>
      <c r="CP158" s="304"/>
    </row>
    <row r="159" spans="1:94" s="87" customFormat="1">
      <c r="A159" s="81"/>
      <c r="B159" s="83"/>
      <c r="C159" s="82"/>
      <c r="D159" s="102"/>
      <c r="E159" s="102"/>
      <c r="F159" s="102"/>
      <c r="G159" s="225"/>
      <c r="H159" s="218">
        <f t="shared" si="18"/>
        <v>0</v>
      </c>
      <c r="I159" s="218">
        <f t="shared" si="19"/>
        <v>0</v>
      </c>
      <c r="J159" s="218">
        <f t="shared" si="20"/>
        <v>0</v>
      </c>
      <c r="K159" s="102" t="str">
        <f t="shared" si="21"/>
        <v/>
      </c>
      <c r="L159" s="221"/>
      <c r="M159" s="325"/>
      <c r="N159" s="94"/>
      <c r="O159" s="326"/>
      <c r="P159" s="84"/>
      <c r="Q159" s="88"/>
      <c r="R159" s="102">
        <f t="shared" si="17"/>
        <v>0</v>
      </c>
      <c r="S159" s="89"/>
      <c r="T159" s="100"/>
      <c r="U159" s="100"/>
      <c r="V159" s="100"/>
      <c r="W159" s="100"/>
      <c r="X159" s="100"/>
      <c r="Y159" s="83"/>
      <c r="Z159" s="304"/>
      <c r="AA159" s="304"/>
      <c r="AB159" s="304"/>
      <c r="AC159" s="304"/>
      <c r="AD159" s="304"/>
      <c r="AE159" s="304"/>
      <c r="AF159" s="304"/>
      <c r="AG159" s="304"/>
      <c r="AH159" s="304"/>
      <c r="AI159" s="304"/>
      <c r="AJ159" s="304"/>
      <c r="AK159" s="304"/>
      <c r="AL159" s="304"/>
      <c r="AM159" s="304"/>
      <c r="AN159" s="304"/>
      <c r="AO159" s="304"/>
      <c r="AP159" s="304"/>
      <c r="AQ159" s="304"/>
      <c r="AR159" s="304"/>
      <c r="AS159" s="304"/>
      <c r="AT159" s="304"/>
      <c r="AU159" s="304"/>
      <c r="AV159" s="304"/>
      <c r="AW159" s="304"/>
      <c r="AX159" s="304"/>
      <c r="AY159" s="304"/>
      <c r="AZ159" s="304"/>
      <c r="BA159" s="304"/>
      <c r="BB159" s="304"/>
      <c r="BC159" s="304"/>
      <c r="BD159" s="304"/>
      <c r="BE159" s="304"/>
      <c r="BF159" s="304"/>
      <c r="BG159" s="304"/>
      <c r="BH159" s="304"/>
      <c r="BI159" s="304"/>
      <c r="BJ159" s="304"/>
      <c r="BK159" s="304"/>
      <c r="BL159" s="304"/>
      <c r="BM159" s="304"/>
      <c r="BN159" s="304"/>
      <c r="BO159" s="304"/>
      <c r="BP159" s="304"/>
      <c r="BQ159" s="304"/>
      <c r="BR159" s="304"/>
      <c r="BS159" s="304"/>
      <c r="BT159" s="304"/>
      <c r="BU159" s="304"/>
      <c r="BV159" s="304"/>
      <c r="BW159" s="304"/>
      <c r="BX159" s="304"/>
      <c r="BY159" s="304"/>
      <c r="BZ159" s="304"/>
      <c r="CA159" s="304"/>
      <c r="CB159" s="304"/>
      <c r="CC159" s="304"/>
      <c r="CD159" s="304"/>
      <c r="CE159" s="304"/>
      <c r="CF159" s="304"/>
      <c r="CG159" s="304"/>
      <c r="CH159" s="304"/>
      <c r="CI159" s="304"/>
      <c r="CJ159" s="304"/>
      <c r="CK159" s="304"/>
      <c r="CL159" s="304"/>
      <c r="CM159" s="304"/>
      <c r="CN159" s="304"/>
      <c r="CO159" s="304"/>
      <c r="CP159" s="304"/>
    </row>
    <row r="160" spans="1:94" s="87" customFormat="1">
      <c r="A160" s="81"/>
      <c r="B160" s="83"/>
      <c r="C160" s="82"/>
      <c r="D160" s="102"/>
      <c r="E160" s="102"/>
      <c r="F160" s="102"/>
      <c r="G160" s="225"/>
      <c r="H160" s="218">
        <f t="shared" si="18"/>
        <v>0</v>
      </c>
      <c r="I160" s="218">
        <f t="shared" si="19"/>
        <v>0</v>
      </c>
      <c r="J160" s="218">
        <f t="shared" si="20"/>
        <v>0</v>
      </c>
      <c r="K160" s="102" t="str">
        <f t="shared" si="21"/>
        <v/>
      </c>
      <c r="L160" s="221"/>
      <c r="M160" s="325"/>
      <c r="N160" s="94"/>
      <c r="O160" s="326"/>
      <c r="P160" s="84"/>
      <c r="Q160" s="88"/>
      <c r="R160" s="102">
        <f t="shared" si="17"/>
        <v>0</v>
      </c>
      <c r="S160" s="89"/>
      <c r="T160" s="100"/>
      <c r="U160" s="100"/>
      <c r="V160" s="100"/>
      <c r="W160" s="100"/>
      <c r="X160" s="100"/>
      <c r="Y160" s="83"/>
      <c r="Z160" s="304"/>
      <c r="AA160" s="304"/>
      <c r="AB160" s="304"/>
      <c r="AC160" s="304"/>
      <c r="AD160" s="304"/>
      <c r="AE160" s="304"/>
      <c r="AF160" s="304"/>
      <c r="AG160" s="304"/>
      <c r="AH160" s="304"/>
      <c r="AI160" s="304"/>
      <c r="AJ160" s="304"/>
      <c r="AK160" s="304"/>
      <c r="AL160" s="304"/>
      <c r="AM160" s="304"/>
      <c r="AN160" s="304"/>
      <c r="AO160" s="304"/>
      <c r="AP160" s="304"/>
      <c r="AQ160" s="304"/>
      <c r="AR160" s="304"/>
      <c r="AS160" s="304"/>
      <c r="AT160" s="304"/>
      <c r="AU160" s="304"/>
      <c r="AV160" s="304"/>
      <c r="AW160" s="304"/>
      <c r="AX160" s="304"/>
      <c r="AY160" s="304"/>
      <c r="AZ160" s="304"/>
      <c r="BA160" s="304"/>
      <c r="BB160" s="304"/>
      <c r="BC160" s="304"/>
      <c r="BD160" s="304"/>
      <c r="BE160" s="304"/>
      <c r="BF160" s="304"/>
      <c r="BG160" s="304"/>
      <c r="BH160" s="304"/>
      <c r="BI160" s="304"/>
      <c r="BJ160" s="304"/>
      <c r="BK160" s="304"/>
      <c r="BL160" s="304"/>
      <c r="BM160" s="304"/>
      <c r="BN160" s="304"/>
      <c r="BO160" s="304"/>
      <c r="BP160" s="304"/>
      <c r="BQ160" s="304"/>
      <c r="BR160" s="304"/>
      <c r="BS160" s="304"/>
      <c r="BT160" s="304"/>
      <c r="BU160" s="304"/>
      <c r="BV160" s="304"/>
      <c r="BW160" s="304"/>
      <c r="BX160" s="304"/>
      <c r="BY160" s="304"/>
      <c r="BZ160" s="304"/>
      <c r="CA160" s="304"/>
      <c r="CB160" s="304"/>
      <c r="CC160" s="304"/>
      <c r="CD160" s="304"/>
      <c r="CE160" s="304"/>
      <c r="CF160" s="304"/>
      <c r="CG160" s="304"/>
      <c r="CH160" s="304"/>
      <c r="CI160" s="304"/>
      <c r="CJ160" s="304"/>
      <c r="CK160" s="304"/>
      <c r="CL160" s="304"/>
      <c r="CM160" s="304"/>
      <c r="CN160" s="304"/>
      <c r="CO160" s="304"/>
      <c r="CP160" s="304"/>
    </row>
    <row r="161" spans="1:94" s="87" customFormat="1">
      <c r="A161" s="81"/>
      <c r="B161" s="83"/>
      <c r="C161" s="82"/>
      <c r="D161" s="102"/>
      <c r="E161" s="102"/>
      <c r="F161" s="102"/>
      <c r="G161" s="225"/>
      <c r="H161" s="218">
        <f t="shared" si="18"/>
        <v>0</v>
      </c>
      <c r="I161" s="218">
        <f t="shared" si="19"/>
        <v>0</v>
      </c>
      <c r="J161" s="218">
        <f t="shared" si="20"/>
        <v>0</v>
      </c>
      <c r="K161" s="102" t="str">
        <f t="shared" si="21"/>
        <v/>
      </c>
      <c r="L161" s="221"/>
      <c r="M161" s="325"/>
      <c r="N161" s="94"/>
      <c r="O161" s="326"/>
      <c r="P161" s="84"/>
      <c r="Q161" s="88"/>
      <c r="R161" s="102">
        <f t="shared" si="17"/>
        <v>0</v>
      </c>
      <c r="S161" s="89"/>
      <c r="T161" s="100"/>
      <c r="U161" s="100"/>
      <c r="V161" s="100"/>
      <c r="W161" s="100"/>
      <c r="X161" s="100"/>
      <c r="Y161" s="83"/>
      <c r="Z161" s="304"/>
      <c r="AA161" s="304"/>
      <c r="AB161" s="304"/>
      <c r="AC161" s="304"/>
      <c r="AD161" s="304"/>
      <c r="AE161" s="304"/>
      <c r="AF161" s="304"/>
      <c r="AG161" s="304"/>
      <c r="AH161" s="304"/>
      <c r="AI161" s="304"/>
      <c r="AJ161" s="304"/>
      <c r="AK161" s="304"/>
      <c r="AL161" s="304"/>
      <c r="AM161" s="304"/>
      <c r="AN161" s="304"/>
      <c r="AO161" s="304"/>
      <c r="AP161" s="304"/>
      <c r="AQ161" s="304"/>
      <c r="AR161" s="304"/>
      <c r="AS161" s="304"/>
      <c r="AT161" s="304"/>
      <c r="AU161" s="304"/>
      <c r="AV161" s="304"/>
      <c r="AW161" s="304"/>
      <c r="AX161" s="304"/>
      <c r="AY161" s="304"/>
      <c r="AZ161" s="304"/>
      <c r="BA161" s="304"/>
      <c r="BB161" s="304"/>
      <c r="BC161" s="304"/>
      <c r="BD161" s="304"/>
      <c r="BE161" s="304"/>
      <c r="BF161" s="304"/>
      <c r="BG161" s="304"/>
      <c r="BH161" s="304"/>
      <c r="BI161" s="304"/>
      <c r="BJ161" s="304"/>
      <c r="BK161" s="304"/>
      <c r="BL161" s="304"/>
      <c r="BM161" s="304"/>
      <c r="BN161" s="304"/>
      <c r="BO161" s="304"/>
      <c r="BP161" s="304"/>
      <c r="BQ161" s="304"/>
      <c r="BR161" s="304"/>
      <c r="BS161" s="304"/>
      <c r="BT161" s="304"/>
      <c r="BU161" s="304"/>
      <c r="BV161" s="304"/>
      <c r="BW161" s="304"/>
      <c r="BX161" s="304"/>
      <c r="BY161" s="304"/>
      <c r="BZ161" s="304"/>
      <c r="CA161" s="304"/>
      <c r="CB161" s="304"/>
      <c r="CC161" s="304"/>
      <c r="CD161" s="304"/>
      <c r="CE161" s="304"/>
      <c r="CF161" s="304"/>
      <c r="CG161" s="304"/>
      <c r="CH161" s="304"/>
      <c r="CI161" s="304"/>
      <c r="CJ161" s="304"/>
      <c r="CK161" s="304"/>
      <c r="CL161" s="304"/>
      <c r="CM161" s="304"/>
      <c r="CN161" s="304"/>
      <c r="CO161" s="304"/>
      <c r="CP161" s="304"/>
    </row>
    <row r="162" spans="1:94" s="87" customFormat="1">
      <c r="A162" s="81"/>
      <c r="B162" s="83"/>
      <c r="C162" s="82"/>
      <c r="D162" s="102"/>
      <c r="E162" s="102"/>
      <c r="F162" s="102"/>
      <c r="G162" s="225"/>
      <c r="H162" s="218">
        <f t="shared" si="18"/>
        <v>0</v>
      </c>
      <c r="I162" s="218">
        <f t="shared" si="19"/>
        <v>0</v>
      </c>
      <c r="J162" s="218">
        <f t="shared" si="20"/>
        <v>0</v>
      </c>
      <c r="K162" s="102" t="str">
        <f t="shared" si="21"/>
        <v/>
      </c>
      <c r="L162" s="221"/>
      <c r="M162" s="325"/>
      <c r="N162" s="94"/>
      <c r="O162" s="326"/>
      <c r="P162" s="84"/>
      <c r="Q162" s="88"/>
      <c r="R162" s="102">
        <f t="shared" si="17"/>
        <v>0</v>
      </c>
      <c r="S162" s="89"/>
      <c r="T162" s="100"/>
      <c r="U162" s="100"/>
      <c r="V162" s="100"/>
      <c r="W162" s="100"/>
      <c r="X162" s="100"/>
      <c r="Y162" s="83"/>
      <c r="Z162" s="304"/>
      <c r="AA162" s="304"/>
      <c r="AB162" s="304"/>
      <c r="AC162" s="304"/>
      <c r="AD162" s="304"/>
      <c r="AE162" s="304"/>
      <c r="AF162" s="304"/>
      <c r="AG162" s="304"/>
      <c r="AH162" s="304"/>
      <c r="AI162" s="304"/>
      <c r="AJ162" s="304"/>
      <c r="AK162" s="304"/>
      <c r="AL162" s="304"/>
      <c r="AM162" s="304"/>
      <c r="AN162" s="304"/>
      <c r="AO162" s="304"/>
      <c r="AP162" s="304"/>
      <c r="AQ162" s="304"/>
      <c r="AR162" s="304"/>
      <c r="AS162" s="304"/>
      <c r="AT162" s="304"/>
      <c r="AU162" s="304"/>
      <c r="AV162" s="304"/>
      <c r="AW162" s="304"/>
      <c r="AX162" s="304"/>
      <c r="AY162" s="304"/>
      <c r="AZ162" s="304"/>
      <c r="BA162" s="304"/>
      <c r="BB162" s="304"/>
      <c r="BC162" s="304"/>
      <c r="BD162" s="304"/>
      <c r="BE162" s="304"/>
      <c r="BF162" s="304"/>
      <c r="BG162" s="304"/>
      <c r="BH162" s="304"/>
      <c r="BI162" s="304"/>
      <c r="BJ162" s="304"/>
      <c r="BK162" s="304"/>
      <c r="BL162" s="304"/>
      <c r="BM162" s="304"/>
      <c r="BN162" s="304"/>
      <c r="BO162" s="304"/>
      <c r="BP162" s="304"/>
      <c r="BQ162" s="304"/>
      <c r="BR162" s="304"/>
      <c r="BS162" s="304"/>
      <c r="BT162" s="304"/>
      <c r="BU162" s="304"/>
      <c r="BV162" s="304"/>
      <c r="BW162" s="304"/>
      <c r="BX162" s="304"/>
      <c r="BY162" s="304"/>
      <c r="BZ162" s="304"/>
      <c r="CA162" s="304"/>
      <c r="CB162" s="304"/>
      <c r="CC162" s="304"/>
      <c r="CD162" s="304"/>
      <c r="CE162" s="304"/>
      <c r="CF162" s="304"/>
      <c r="CG162" s="304"/>
      <c r="CH162" s="304"/>
      <c r="CI162" s="304"/>
      <c r="CJ162" s="304"/>
      <c r="CK162" s="304"/>
      <c r="CL162" s="304"/>
      <c r="CM162" s="304"/>
      <c r="CN162" s="304"/>
      <c r="CO162" s="304"/>
      <c r="CP162" s="304"/>
    </row>
    <row r="163" spans="1:94" s="87" customFormat="1">
      <c r="A163" s="81"/>
      <c r="B163" s="83"/>
      <c r="C163" s="82"/>
      <c r="D163" s="102"/>
      <c r="E163" s="102"/>
      <c r="F163" s="102"/>
      <c r="G163" s="225"/>
      <c r="H163" s="218">
        <f t="shared" si="18"/>
        <v>0</v>
      </c>
      <c r="I163" s="218">
        <f t="shared" si="19"/>
        <v>0</v>
      </c>
      <c r="J163" s="218">
        <f t="shared" si="20"/>
        <v>0</v>
      </c>
      <c r="K163" s="102" t="str">
        <f t="shared" si="21"/>
        <v/>
      </c>
      <c r="L163" s="221"/>
      <c r="M163" s="325"/>
      <c r="N163" s="94"/>
      <c r="O163" s="326"/>
      <c r="P163" s="84"/>
      <c r="Q163" s="88"/>
      <c r="R163" s="102">
        <f t="shared" si="17"/>
        <v>0</v>
      </c>
      <c r="S163" s="89"/>
      <c r="T163" s="100"/>
      <c r="U163" s="100"/>
      <c r="V163" s="100"/>
      <c r="W163" s="100"/>
      <c r="X163" s="100"/>
      <c r="Y163" s="83"/>
      <c r="Z163" s="304"/>
      <c r="AA163" s="304"/>
      <c r="AB163" s="304"/>
      <c r="AC163" s="304"/>
      <c r="AD163" s="304"/>
      <c r="AE163" s="304"/>
      <c r="AF163" s="304"/>
      <c r="AG163" s="304"/>
      <c r="AH163" s="304"/>
      <c r="AI163" s="304"/>
      <c r="AJ163" s="304"/>
      <c r="AK163" s="304"/>
      <c r="AL163" s="304"/>
      <c r="AM163" s="304"/>
      <c r="AN163" s="304"/>
      <c r="AO163" s="304"/>
      <c r="AP163" s="304"/>
      <c r="AQ163" s="304"/>
      <c r="AR163" s="304"/>
      <c r="AS163" s="304"/>
      <c r="AT163" s="304"/>
      <c r="AU163" s="304"/>
      <c r="AV163" s="304"/>
      <c r="AW163" s="304"/>
      <c r="AX163" s="304"/>
      <c r="AY163" s="304"/>
      <c r="AZ163" s="304"/>
      <c r="BA163" s="304"/>
      <c r="BB163" s="304"/>
      <c r="BC163" s="304"/>
      <c r="BD163" s="304"/>
      <c r="BE163" s="304"/>
      <c r="BF163" s="304"/>
      <c r="BG163" s="304"/>
      <c r="BH163" s="304"/>
      <c r="BI163" s="304"/>
      <c r="BJ163" s="304"/>
      <c r="BK163" s="304"/>
      <c r="BL163" s="304"/>
      <c r="BM163" s="304"/>
      <c r="BN163" s="304"/>
      <c r="BO163" s="304"/>
      <c r="BP163" s="304"/>
      <c r="BQ163" s="304"/>
      <c r="BR163" s="304"/>
      <c r="BS163" s="304"/>
      <c r="BT163" s="304"/>
      <c r="BU163" s="304"/>
      <c r="BV163" s="304"/>
      <c r="BW163" s="304"/>
      <c r="BX163" s="304"/>
      <c r="BY163" s="304"/>
      <c r="BZ163" s="304"/>
      <c r="CA163" s="304"/>
      <c r="CB163" s="304"/>
      <c r="CC163" s="304"/>
      <c r="CD163" s="304"/>
      <c r="CE163" s="304"/>
      <c r="CF163" s="304"/>
      <c r="CG163" s="304"/>
      <c r="CH163" s="304"/>
      <c r="CI163" s="304"/>
      <c r="CJ163" s="304"/>
      <c r="CK163" s="304"/>
      <c r="CL163" s="304"/>
      <c r="CM163" s="304"/>
      <c r="CN163" s="304"/>
      <c r="CO163" s="304"/>
      <c r="CP163" s="304"/>
    </row>
    <row r="164" spans="1:94" s="87" customFormat="1">
      <c r="A164" s="81"/>
      <c r="B164" s="83"/>
      <c r="C164" s="82"/>
      <c r="D164" s="102"/>
      <c r="E164" s="102"/>
      <c r="F164" s="102"/>
      <c r="G164" s="225"/>
      <c r="H164" s="218">
        <f t="shared" si="18"/>
        <v>0</v>
      </c>
      <c r="I164" s="218">
        <f t="shared" si="19"/>
        <v>0</v>
      </c>
      <c r="J164" s="218">
        <f t="shared" si="20"/>
        <v>0</v>
      </c>
      <c r="K164" s="102" t="str">
        <f t="shared" si="21"/>
        <v/>
      </c>
      <c r="L164" s="221"/>
      <c r="M164" s="325"/>
      <c r="N164" s="94"/>
      <c r="O164" s="326"/>
      <c r="P164" s="84"/>
      <c r="Q164" s="88"/>
      <c r="R164" s="102">
        <f t="shared" si="17"/>
        <v>0</v>
      </c>
      <c r="S164" s="89"/>
      <c r="T164" s="100"/>
      <c r="U164" s="100"/>
      <c r="V164" s="100"/>
      <c r="W164" s="100"/>
      <c r="X164" s="100"/>
      <c r="Y164" s="83"/>
      <c r="Z164" s="304"/>
      <c r="AA164" s="304"/>
      <c r="AB164" s="304"/>
      <c r="AC164" s="304"/>
      <c r="AD164" s="304"/>
      <c r="AE164" s="304"/>
      <c r="AF164" s="304"/>
      <c r="AG164" s="304"/>
      <c r="AH164" s="304"/>
      <c r="AI164" s="304"/>
      <c r="AJ164" s="304"/>
      <c r="AK164" s="304"/>
      <c r="AL164" s="304"/>
      <c r="AM164" s="304"/>
      <c r="AN164" s="304"/>
      <c r="AO164" s="304"/>
      <c r="AP164" s="304"/>
      <c r="AQ164" s="304"/>
      <c r="AR164" s="304"/>
      <c r="AS164" s="304"/>
      <c r="AT164" s="304"/>
      <c r="AU164" s="304"/>
      <c r="AV164" s="304"/>
      <c r="AW164" s="304"/>
      <c r="AX164" s="304"/>
      <c r="AY164" s="304"/>
      <c r="AZ164" s="304"/>
      <c r="BA164" s="304"/>
      <c r="BB164" s="304"/>
      <c r="BC164" s="304"/>
      <c r="BD164" s="304"/>
      <c r="BE164" s="304"/>
      <c r="BF164" s="304"/>
      <c r="BG164" s="304"/>
      <c r="BH164" s="304"/>
      <c r="BI164" s="304"/>
      <c r="BJ164" s="304"/>
      <c r="BK164" s="304"/>
      <c r="BL164" s="304"/>
      <c r="BM164" s="304"/>
      <c r="BN164" s="304"/>
      <c r="BO164" s="304"/>
      <c r="BP164" s="304"/>
      <c r="BQ164" s="304"/>
      <c r="BR164" s="304"/>
      <c r="BS164" s="304"/>
      <c r="BT164" s="304"/>
      <c r="BU164" s="304"/>
      <c r="BV164" s="304"/>
      <c r="BW164" s="304"/>
      <c r="BX164" s="304"/>
      <c r="BY164" s="304"/>
      <c r="BZ164" s="304"/>
      <c r="CA164" s="304"/>
      <c r="CB164" s="304"/>
      <c r="CC164" s="304"/>
      <c r="CD164" s="304"/>
      <c r="CE164" s="304"/>
      <c r="CF164" s="304"/>
      <c r="CG164" s="304"/>
      <c r="CH164" s="304"/>
      <c r="CI164" s="304"/>
      <c r="CJ164" s="304"/>
      <c r="CK164" s="304"/>
      <c r="CL164" s="304"/>
      <c r="CM164" s="304"/>
      <c r="CN164" s="304"/>
      <c r="CO164" s="304"/>
      <c r="CP164" s="304"/>
    </row>
    <row r="165" spans="1:94" s="87" customFormat="1">
      <c r="A165" s="81"/>
      <c r="B165" s="83"/>
      <c r="C165" s="82"/>
      <c r="D165" s="102"/>
      <c r="E165" s="102"/>
      <c r="F165" s="102"/>
      <c r="G165" s="225"/>
      <c r="H165" s="218">
        <f t="shared" si="18"/>
        <v>0</v>
      </c>
      <c r="I165" s="218">
        <f t="shared" si="19"/>
        <v>0</v>
      </c>
      <c r="J165" s="218">
        <f t="shared" si="20"/>
        <v>0</v>
      </c>
      <c r="K165" s="102" t="str">
        <f t="shared" si="21"/>
        <v/>
      </c>
      <c r="L165" s="221"/>
      <c r="M165" s="325"/>
      <c r="N165" s="94"/>
      <c r="O165" s="326"/>
      <c r="P165" s="84"/>
      <c r="Q165" s="88"/>
      <c r="R165" s="102">
        <f t="shared" si="17"/>
        <v>0</v>
      </c>
      <c r="S165" s="89"/>
      <c r="T165" s="100"/>
      <c r="U165" s="100"/>
      <c r="V165" s="100"/>
      <c r="W165" s="100"/>
      <c r="X165" s="100"/>
      <c r="Y165" s="83"/>
      <c r="Z165" s="304"/>
      <c r="AA165" s="304"/>
      <c r="AB165" s="304"/>
      <c r="AC165" s="304"/>
      <c r="AD165" s="304"/>
      <c r="AE165" s="304"/>
      <c r="AF165" s="304"/>
      <c r="AG165" s="304"/>
      <c r="AH165" s="304"/>
      <c r="AI165" s="304"/>
      <c r="AJ165" s="304"/>
      <c r="AK165" s="304"/>
      <c r="AL165" s="304"/>
      <c r="AM165" s="304"/>
      <c r="AN165" s="304"/>
      <c r="AO165" s="304"/>
      <c r="AP165" s="304"/>
      <c r="AQ165" s="304"/>
      <c r="AR165" s="304"/>
      <c r="AS165" s="304"/>
      <c r="AT165" s="304"/>
      <c r="AU165" s="304"/>
      <c r="AV165" s="304"/>
      <c r="AW165" s="304"/>
      <c r="AX165" s="304"/>
      <c r="AY165" s="304"/>
      <c r="AZ165" s="304"/>
      <c r="BA165" s="304"/>
      <c r="BB165" s="304"/>
      <c r="BC165" s="304"/>
      <c r="BD165" s="304"/>
      <c r="BE165" s="304"/>
      <c r="BF165" s="304"/>
      <c r="BG165" s="304"/>
      <c r="BH165" s="304"/>
      <c r="BI165" s="304"/>
      <c r="BJ165" s="304"/>
      <c r="BK165" s="304"/>
      <c r="BL165" s="304"/>
      <c r="BM165" s="304"/>
      <c r="BN165" s="304"/>
      <c r="BO165" s="304"/>
      <c r="BP165" s="304"/>
      <c r="BQ165" s="304"/>
      <c r="BR165" s="304"/>
      <c r="BS165" s="304"/>
      <c r="BT165" s="304"/>
      <c r="BU165" s="304"/>
      <c r="BV165" s="304"/>
      <c r="BW165" s="304"/>
      <c r="BX165" s="304"/>
      <c r="BY165" s="304"/>
      <c r="BZ165" s="304"/>
      <c r="CA165" s="304"/>
      <c r="CB165" s="304"/>
      <c r="CC165" s="304"/>
      <c r="CD165" s="304"/>
      <c r="CE165" s="304"/>
      <c r="CF165" s="304"/>
      <c r="CG165" s="304"/>
      <c r="CH165" s="304"/>
      <c r="CI165" s="304"/>
      <c r="CJ165" s="304"/>
      <c r="CK165" s="304"/>
      <c r="CL165" s="304"/>
      <c r="CM165" s="304"/>
      <c r="CN165" s="304"/>
      <c r="CO165" s="304"/>
      <c r="CP165" s="304"/>
    </row>
    <row r="166" spans="1:94" s="87" customFormat="1">
      <c r="A166" s="81"/>
      <c r="B166" s="83"/>
      <c r="C166" s="82"/>
      <c r="D166" s="102"/>
      <c r="E166" s="102"/>
      <c r="F166" s="102"/>
      <c r="G166" s="225"/>
      <c r="H166" s="218">
        <f t="shared" si="18"/>
        <v>0</v>
      </c>
      <c r="I166" s="218">
        <f t="shared" si="19"/>
        <v>0</v>
      </c>
      <c r="J166" s="218">
        <f t="shared" si="20"/>
        <v>0</v>
      </c>
      <c r="K166" s="102" t="str">
        <f t="shared" si="21"/>
        <v/>
      </c>
      <c r="L166" s="221"/>
      <c r="M166" s="325"/>
      <c r="N166" s="94"/>
      <c r="O166" s="326"/>
      <c r="P166" s="84"/>
      <c r="Q166" s="88"/>
      <c r="R166" s="102">
        <f t="shared" si="17"/>
        <v>0</v>
      </c>
      <c r="S166" s="89"/>
      <c r="T166" s="100"/>
      <c r="U166" s="100"/>
      <c r="V166" s="100"/>
      <c r="W166" s="100"/>
      <c r="X166" s="100"/>
      <c r="Y166" s="83"/>
      <c r="Z166" s="304"/>
      <c r="AA166" s="304"/>
      <c r="AB166" s="304"/>
      <c r="AC166" s="304"/>
      <c r="AD166" s="304"/>
      <c r="AE166" s="304"/>
      <c r="AF166" s="304"/>
      <c r="AG166" s="304"/>
      <c r="AH166" s="304"/>
      <c r="AI166" s="304"/>
      <c r="AJ166" s="304"/>
      <c r="AK166" s="304"/>
      <c r="AL166" s="304"/>
      <c r="AM166" s="304"/>
      <c r="AN166" s="304"/>
      <c r="AO166" s="304"/>
      <c r="AP166" s="304"/>
      <c r="AQ166" s="304"/>
      <c r="AR166" s="304"/>
      <c r="AS166" s="304"/>
      <c r="AT166" s="304"/>
      <c r="AU166" s="304"/>
      <c r="AV166" s="304"/>
      <c r="AW166" s="304"/>
      <c r="AX166" s="304"/>
      <c r="AY166" s="304"/>
      <c r="AZ166" s="304"/>
      <c r="BA166" s="304"/>
      <c r="BB166" s="304"/>
      <c r="BC166" s="304"/>
      <c r="BD166" s="304"/>
      <c r="BE166" s="304"/>
      <c r="BF166" s="304"/>
      <c r="BG166" s="304"/>
      <c r="BH166" s="304"/>
      <c r="BI166" s="304"/>
      <c r="BJ166" s="304"/>
      <c r="BK166" s="304"/>
      <c r="BL166" s="304"/>
      <c r="BM166" s="304"/>
      <c r="BN166" s="304"/>
      <c r="BO166" s="304"/>
      <c r="BP166" s="304"/>
      <c r="BQ166" s="304"/>
      <c r="BR166" s="304"/>
      <c r="BS166" s="304"/>
      <c r="BT166" s="304"/>
      <c r="BU166" s="304"/>
      <c r="BV166" s="304"/>
      <c r="BW166" s="304"/>
      <c r="BX166" s="304"/>
      <c r="BY166" s="304"/>
      <c r="BZ166" s="304"/>
      <c r="CA166" s="304"/>
      <c r="CB166" s="304"/>
      <c r="CC166" s="304"/>
      <c r="CD166" s="304"/>
      <c r="CE166" s="304"/>
      <c r="CF166" s="304"/>
      <c r="CG166" s="304"/>
      <c r="CH166" s="304"/>
      <c r="CI166" s="304"/>
      <c r="CJ166" s="304"/>
      <c r="CK166" s="304"/>
      <c r="CL166" s="304"/>
      <c r="CM166" s="304"/>
      <c r="CN166" s="304"/>
      <c r="CO166" s="304"/>
      <c r="CP166" s="304"/>
    </row>
    <row r="167" spans="1:94" s="87" customFormat="1">
      <c r="A167" s="81"/>
      <c r="B167" s="83"/>
      <c r="C167" s="82"/>
      <c r="D167" s="102"/>
      <c r="E167" s="102"/>
      <c r="F167" s="102"/>
      <c r="G167" s="225"/>
      <c r="H167" s="218">
        <f t="shared" si="18"/>
        <v>0</v>
      </c>
      <c r="I167" s="218">
        <f t="shared" si="19"/>
        <v>0</v>
      </c>
      <c r="J167" s="218">
        <f t="shared" si="20"/>
        <v>0</v>
      </c>
      <c r="K167" s="102" t="str">
        <f t="shared" si="21"/>
        <v/>
      </c>
      <c r="L167" s="221"/>
      <c r="M167" s="325"/>
      <c r="N167" s="94"/>
      <c r="O167" s="326"/>
      <c r="P167" s="84"/>
      <c r="Q167" s="88"/>
      <c r="R167" s="102">
        <f t="shared" si="17"/>
        <v>0</v>
      </c>
      <c r="S167" s="89"/>
      <c r="T167" s="100"/>
      <c r="U167" s="100"/>
      <c r="V167" s="100"/>
      <c r="W167" s="100"/>
      <c r="X167" s="100"/>
      <c r="Y167" s="83"/>
      <c r="Z167" s="304"/>
      <c r="AA167" s="304"/>
      <c r="AB167" s="304"/>
      <c r="AC167" s="304"/>
      <c r="AD167" s="304"/>
      <c r="AE167" s="304"/>
      <c r="AF167" s="304"/>
      <c r="AG167" s="304"/>
      <c r="AH167" s="304"/>
      <c r="AI167" s="304"/>
      <c r="AJ167" s="304"/>
      <c r="AK167" s="304"/>
      <c r="AL167" s="304"/>
      <c r="AM167" s="304"/>
      <c r="AN167" s="304"/>
      <c r="AO167" s="304"/>
      <c r="AP167" s="304"/>
      <c r="AQ167" s="304"/>
      <c r="AR167" s="304"/>
      <c r="AS167" s="304"/>
      <c r="AT167" s="304"/>
      <c r="AU167" s="304"/>
      <c r="AV167" s="304"/>
      <c r="AW167" s="304"/>
      <c r="AX167" s="304"/>
      <c r="AY167" s="304"/>
      <c r="AZ167" s="304"/>
      <c r="BA167" s="304"/>
      <c r="BB167" s="304"/>
      <c r="BC167" s="304"/>
      <c r="BD167" s="304"/>
      <c r="BE167" s="304"/>
      <c r="BF167" s="304"/>
      <c r="BG167" s="304"/>
      <c r="BH167" s="304"/>
      <c r="BI167" s="304"/>
      <c r="BJ167" s="304"/>
      <c r="BK167" s="304"/>
      <c r="BL167" s="304"/>
      <c r="BM167" s="304"/>
      <c r="BN167" s="304"/>
      <c r="BO167" s="304"/>
      <c r="BP167" s="304"/>
      <c r="BQ167" s="304"/>
      <c r="BR167" s="304"/>
      <c r="BS167" s="304"/>
      <c r="BT167" s="304"/>
      <c r="BU167" s="304"/>
      <c r="BV167" s="304"/>
      <c r="BW167" s="304"/>
      <c r="BX167" s="304"/>
      <c r="BY167" s="304"/>
      <c r="BZ167" s="304"/>
      <c r="CA167" s="304"/>
      <c r="CB167" s="304"/>
      <c r="CC167" s="304"/>
      <c r="CD167" s="304"/>
      <c r="CE167" s="304"/>
      <c r="CF167" s="304"/>
      <c r="CG167" s="304"/>
      <c r="CH167" s="304"/>
      <c r="CI167" s="304"/>
      <c r="CJ167" s="304"/>
      <c r="CK167" s="304"/>
      <c r="CL167" s="304"/>
      <c r="CM167" s="304"/>
      <c r="CN167" s="304"/>
      <c r="CO167" s="304"/>
      <c r="CP167" s="304"/>
    </row>
    <row r="168" spans="1:94" s="87" customFormat="1">
      <c r="A168" s="81"/>
      <c r="B168" s="83"/>
      <c r="C168" s="82"/>
      <c r="D168" s="102"/>
      <c r="E168" s="102"/>
      <c r="F168" s="102"/>
      <c r="G168" s="225"/>
      <c r="H168" s="218">
        <f t="shared" si="18"/>
        <v>0</v>
      </c>
      <c r="I168" s="218">
        <f t="shared" si="19"/>
        <v>0</v>
      </c>
      <c r="J168" s="218">
        <f t="shared" si="20"/>
        <v>0</v>
      </c>
      <c r="K168" s="102" t="str">
        <f t="shared" si="21"/>
        <v/>
      </c>
      <c r="L168" s="221"/>
      <c r="M168" s="325"/>
      <c r="N168" s="94"/>
      <c r="O168" s="326"/>
      <c r="P168" s="84"/>
      <c r="Q168" s="88"/>
      <c r="R168" s="102">
        <f t="shared" si="17"/>
        <v>0</v>
      </c>
      <c r="S168" s="89"/>
      <c r="T168" s="100"/>
      <c r="U168" s="100"/>
      <c r="V168" s="100"/>
      <c r="W168" s="100"/>
      <c r="X168" s="100"/>
      <c r="Y168" s="83"/>
      <c r="Z168" s="304"/>
      <c r="AA168" s="304"/>
      <c r="AB168" s="304"/>
      <c r="AC168" s="304"/>
      <c r="AD168" s="304"/>
      <c r="AE168" s="304"/>
      <c r="AF168" s="304"/>
      <c r="AG168" s="304"/>
      <c r="AH168" s="304"/>
      <c r="AI168" s="304"/>
      <c r="AJ168" s="304"/>
      <c r="AK168" s="304"/>
      <c r="AL168" s="304"/>
      <c r="AM168" s="304"/>
      <c r="AN168" s="304"/>
      <c r="AO168" s="304"/>
      <c r="AP168" s="304"/>
      <c r="AQ168" s="304"/>
      <c r="AR168" s="304"/>
      <c r="AS168" s="304"/>
      <c r="AT168" s="304"/>
      <c r="AU168" s="304"/>
      <c r="AV168" s="304"/>
      <c r="AW168" s="304"/>
      <c r="AX168" s="304"/>
      <c r="AY168" s="304"/>
      <c r="AZ168" s="304"/>
      <c r="BA168" s="304"/>
      <c r="BB168" s="304"/>
      <c r="BC168" s="304"/>
      <c r="BD168" s="304"/>
      <c r="BE168" s="304"/>
      <c r="BF168" s="304"/>
      <c r="BG168" s="304"/>
      <c r="BH168" s="304"/>
      <c r="BI168" s="304"/>
      <c r="BJ168" s="304"/>
      <c r="BK168" s="304"/>
      <c r="BL168" s="304"/>
      <c r="BM168" s="304"/>
      <c r="BN168" s="304"/>
      <c r="BO168" s="304"/>
      <c r="BP168" s="304"/>
      <c r="BQ168" s="304"/>
      <c r="BR168" s="304"/>
      <c r="BS168" s="304"/>
      <c r="BT168" s="304"/>
      <c r="BU168" s="304"/>
      <c r="BV168" s="304"/>
      <c r="BW168" s="304"/>
      <c r="BX168" s="304"/>
      <c r="BY168" s="304"/>
      <c r="BZ168" s="304"/>
      <c r="CA168" s="304"/>
      <c r="CB168" s="304"/>
      <c r="CC168" s="304"/>
      <c r="CD168" s="304"/>
      <c r="CE168" s="304"/>
      <c r="CF168" s="304"/>
      <c r="CG168" s="304"/>
      <c r="CH168" s="304"/>
      <c r="CI168" s="304"/>
      <c r="CJ168" s="304"/>
      <c r="CK168" s="304"/>
      <c r="CL168" s="304"/>
      <c r="CM168" s="304"/>
      <c r="CN168" s="304"/>
      <c r="CO168" s="304"/>
      <c r="CP168" s="304"/>
    </row>
    <row r="169" spans="1:94" s="87" customFormat="1">
      <c r="A169" s="81"/>
      <c r="B169" s="83"/>
      <c r="C169" s="82"/>
      <c r="D169" s="102"/>
      <c r="E169" s="102"/>
      <c r="F169" s="102"/>
      <c r="G169" s="225"/>
      <c r="H169" s="218">
        <f t="shared" si="18"/>
        <v>0</v>
      </c>
      <c r="I169" s="218">
        <f t="shared" si="19"/>
        <v>0</v>
      </c>
      <c r="J169" s="218">
        <f t="shared" si="20"/>
        <v>0</v>
      </c>
      <c r="K169" s="102" t="str">
        <f t="shared" si="21"/>
        <v/>
      </c>
      <c r="L169" s="221"/>
      <c r="M169" s="325"/>
      <c r="N169" s="94"/>
      <c r="O169" s="326"/>
      <c r="P169" s="84"/>
      <c r="Q169" s="88"/>
      <c r="R169" s="102">
        <f t="shared" si="17"/>
        <v>0</v>
      </c>
      <c r="S169" s="89"/>
      <c r="T169" s="100"/>
      <c r="U169" s="100"/>
      <c r="V169" s="100"/>
      <c r="W169" s="100"/>
      <c r="X169" s="100"/>
      <c r="Y169" s="83"/>
      <c r="Z169" s="304"/>
      <c r="AA169" s="304"/>
      <c r="AB169" s="304"/>
      <c r="AC169" s="304"/>
      <c r="AD169" s="304"/>
      <c r="AE169" s="304"/>
      <c r="AF169" s="304"/>
      <c r="AG169" s="304"/>
      <c r="AH169" s="304"/>
      <c r="AI169" s="304"/>
      <c r="AJ169" s="304"/>
      <c r="AK169" s="304"/>
      <c r="AL169" s="304"/>
      <c r="AM169" s="304"/>
      <c r="AN169" s="304"/>
      <c r="AO169" s="304"/>
      <c r="AP169" s="304"/>
      <c r="AQ169" s="304"/>
      <c r="AR169" s="304"/>
      <c r="AS169" s="304"/>
      <c r="AT169" s="304"/>
      <c r="AU169" s="304"/>
      <c r="AV169" s="304"/>
      <c r="AW169" s="304"/>
      <c r="AX169" s="304"/>
      <c r="AY169" s="304"/>
      <c r="AZ169" s="304"/>
      <c r="BA169" s="304"/>
      <c r="BB169" s="304"/>
      <c r="BC169" s="304"/>
      <c r="BD169" s="304"/>
      <c r="BE169" s="304"/>
      <c r="BF169" s="304"/>
      <c r="BG169" s="304"/>
      <c r="BH169" s="304"/>
      <c r="BI169" s="304"/>
      <c r="BJ169" s="304"/>
      <c r="BK169" s="304"/>
      <c r="BL169" s="304"/>
      <c r="BM169" s="304"/>
      <c r="BN169" s="304"/>
      <c r="BO169" s="304"/>
      <c r="BP169" s="304"/>
      <c r="BQ169" s="304"/>
      <c r="BR169" s="304"/>
      <c r="BS169" s="304"/>
      <c r="BT169" s="304"/>
      <c r="BU169" s="304"/>
      <c r="BV169" s="304"/>
      <c r="BW169" s="304"/>
      <c r="BX169" s="304"/>
      <c r="BY169" s="304"/>
      <c r="BZ169" s="304"/>
      <c r="CA169" s="304"/>
      <c r="CB169" s="304"/>
      <c r="CC169" s="304"/>
      <c r="CD169" s="304"/>
      <c r="CE169" s="304"/>
      <c r="CF169" s="304"/>
      <c r="CG169" s="304"/>
      <c r="CH169" s="304"/>
      <c r="CI169" s="304"/>
      <c r="CJ169" s="304"/>
      <c r="CK169" s="304"/>
      <c r="CL169" s="304"/>
      <c r="CM169" s="304"/>
      <c r="CN169" s="304"/>
      <c r="CO169" s="304"/>
      <c r="CP169" s="304"/>
    </row>
    <row r="170" spans="1:94" s="87" customFormat="1">
      <c r="A170" s="81"/>
      <c r="B170" s="83"/>
      <c r="C170" s="82"/>
      <c r="D170" s="102"/>
      <c r="E170" s="102"/>
      <c r="F170" s="102"/>
      <c r="G170" s="225"/>
      <c r="H170" s="218">
        <f t="shared" si="18"/>
        <v>0</v>
      </c>
      <c r="I170" s="218">
        <f t="shared" si="19"/>
        <v>0</v>
      </c>
      <c r="J170" s="218">
        <f t="shared" si="20"/>
        <v>0</v>
      </c>
      <c r="K170" s="102" t="str">
        <f t="shared" si="21"/>
        <v/>
      </c>
      <c r="L170" s="221"/>
      <c r="M170" s="325"/>
      <c r="N170" s="94"/>
      <c r="O170" s="326"/>
      <c r="P170" s="84"/>
      <c r="Q170" s="88"/>
      <c r="R170" s="102">
        <f t="shared" si="17"/>
        <v>0</v>
      </c>
      <c r="S170" s="89"/>
      <c r="T170" s="100"/>
      <c r="U170" s="100"/>
      <c r="V170" s="100"/>
      <c r="W170" s="100"/>
      <c r="X170" s="100"/>
      <c r="Y170" s="83"/>
      <c r="Z170" s="304"/>
      <c r="AA170" s="304"/>
      <c r="AB170" s="304"/>
      <c r="AC170" s="304"/>
      <c r="AD170" s="304"/>
      <c r="AE170" s="304"/>
      <c r="AF170" s="304"/>
      <c r="AG170" s="304"/>
      <c r="AH170" s="304"/>
      <c r="AI170" s="304"/>
      <c r="AJ170" s="304"/>
      <c r="AK170" s="304"/>
      <c r="AL170" s="304"/>
      <c r="AM170" s="304"/>
      <c r="AN170" s="304"/>
      <c r="AO170" s="304"/>
      <c r="AP170" s="304"/>
      <c r="AQ170" s="304"/>
      <c r="AR170" s="304"/>
      <c r="AS170" s="304"/>
      <c r="AT170" s="304"/>
      <c r="AU170" s="304"/>
      <c r="AV170" s="304"/>
      <c r="AW170" s="304"/>
      <c r="AX170" s="304"/>
      <c r="AY170" s="304"/>
      <c r="AZ170" s="304"/>
      <c r="BA170" s="304"/>
      <c r="BB170" s="304"/>
      <c r="BC170" s="304"/>
      <c r="BD170" s="304"/>
      <c r="BE170" s="304"/>
      <c r="BF170" s="304"/>
      <c r="BG170" s="304"/>
      <c r="BH170" s="304"/>
      <c r="BI170" s="304"/>
      <c r="BJ170" s="304"/>
      <c r="BK170" s="304"/>
      <c r="BL170" s="304"/>
      <c r="BM170" s="304"/>
      <c r="BN170" s="304"/>
      <c r="BO170" s="304"/>
      <c r="BP170" s="304"/>
      <c r="BQ170" s="304"/>
      <c r="BR170" s="304"/>
      <c r="BS170" s="304"/>
      <c r="BT170" s="304"/>
      <c r="BU170" s="304"/>
      <c r="BV170" s="304"/>
      <c r="BW170" s="304"/>
      <c r="BX170" s="304"/>
      <c r="BY170" s="304"/>
      <c r="BZ170" s="304"/>
      <c r="CA170" s="304"/>
      <c r="CB170" s="304"/>
      <c r="CC170" s="304"/>
      <c r="CD170" s="304"/>
      <c r="CE170" s="304"/>
      <c r="CF170" s="304"/>
      <c r="CG170" s="304"/>
      <c r="CH170" s="304"/>
      <c r="CI170" s="304"/>
      <c r="CJ170" s="304"/>
      <c r="CK170" s="304"/>
      <c r="CL170" s="304"/>
      <c r="CM170" s="304"/>
      <c r="CN170" s="304"/>
      <c r="CO170" s="304"/>
      <c r="CP170" s="304"/>
    </row>
    <row r="171" spans="1:94" s="87" customFormat="1">
      <c r="A171" s="81"/>
      <c r="B171" s="83"/>
      <c r="C171" s="82"/>
      <c r="D171" s="102"/>
      <c r="E171" s="102"/>
      <c r="F171" s="102"/>
      <c r="G171" s="225"/>
      <c r="H171" s="218">
        <f t="shared" si="18"/>
        <v>0</v>
      </c>
      <c r="I171" s="218">
        <f t="shared" si="19"/>
        <v>0</v>
      </c>
      <c r="J171" s="218">
        <f t="shared" si="20"/>
        <v>0</v>
      </c>
      <c r="K171" s="102" t="str">
        <f t="shared" si="21"/>
        <v/>
      </c>
      <c r="L171" s="221"/>
      <c r="M171" s="325"/>
      <c r="N171" s="94"/>
      <c r="O171" s="326"/>
      <c r="P171" s="84"/>
      <c r="Q171" s="88"/>
      <c r="R171" s="102">
        <f t="shared" si="17"/>
        <v>0</v>
      </c>
      <c r="S171" s="89"/>
      <c r="T171" s="100"/>
      <c r="U171" s="100"/>
      <c r="V171" s="100"/>
      <c r="W171" s="100"/>
      <c r="X171" s="100"/>
      <c r="Y171" s="83"/>
      <c r="Z171" s="304"/>
      <c r="AA171" s="304"/>
      <c r="AB171" s="304"/>
      <c r="AC171" s="304"/>
      <c r="AD171" s="304"/>
      <c r="AE171" s="304"/>
      <c r="AF171" s="304"/>
      <c r="AG171" s="304"/>
      <c r="AH171" s="304"/>
      <c r="AI171" s="304"/>
      <c r="AJ171" s="304"/>
      <c r="AK171" s="304"/>
      <c r="AL171" s="304"/>
      <c r="AM171" s="304"/>
      <c r="AN171" s="304"/>
      <c r="AO171" s="304"/>
      <c r="AP171" s="304"/>
      <c r="AQ171" s="304"/>
      <c r="AR171" s="304"/>
      <c r="AS171" s="304"/>
      <c r="AT171" s="304"/>
      <c r="AU171" s="304"/>
      <c r="AV171" s="304"/>
      <c r="AW171" s="304"/>
      <c r="AX171" s="304"/>
      <c r="AY171" s="304"/>
      <c r="AZ171" s="304"/>
      <c r="BA171" s="304"/>
      <c r="BB171" s="304"/>
      <c r="BC171" s="304"/>
      <c r="BD171" s="304"/>
      <c r="BE171" s="304"/>
      <c r="BF171" s="304"/>
      <c r="BG171" s="304"/>
      <c r="BH171" s="304"/>
      <c r="BI171" s="304"/>
      <c r="BJ171" s="304"/>
      <c r="BK171" s="304"/>
      <c r="BL171" s="304"/>
      <c r="BM171" s="304"/>
      <c r="BN171" s="304"/>
      <c r="BO171" s="304"/>
      <c r="BP171" s="304"/>
      <c r="BQ171" s="304"/>
      <c r="BR171" s="304"/>
      <c r="BS171" s="304"/>
      <c r="BT171" s="304"/>
      <c r="BU171" s="304"/>
      <c r="BV171" s="304"/>
      <c r="BW171" s="304"/>
      <c r="BX171" s="304"/>
      <c r="BY171" s="304"/>
      <c r="BZ171" s="304"/>
      <c r="CA171" s="304"/>
      <c r="CB171" s="304"/>
      <c r="CC171" s="304"/>
      <c r="CD171" s="304"/>
      <c r="CE171" s="304"/>
      <c r="CF171" s="304"/>
      <c r="CG171" s="304"/>
      <c r="CH171" s="304"/>
      <c r="CI171" s="304"/>
      <c r="CJ171" s="304"/>
      <c r="CK171" s="304"/>
      <c r="CL171" s="304"/>
      <c r="CM171" s="304"/>
      <c r="CN171" s="304"/>
      <c r="CO171" s="304"/>
      <c r="CP171" s="304"/>
    </row>
    <row r="172" spans="1:94" s="87" customFormat="1">
      <c r="A172" s="81"/>
      <c r="B172" s="83"/>
      <c r="C172" s="82"/>
      <c r="D172" s="102"/>
      <c r="E172" s="102"/>
      <c r="F172" s="102"/>
      <c r="G172" s="225"/>
      <c r="H172" s="218">
        <f t="shared" si="18"/>
        <v>0</v>
      </c>
      <c r="I172" s="218">
        <f t="shared" si="19"/>
        <v>0</v>
      </c>
      <c r="J172" s="218">
        <f t="shared" si="20"/>
        <v>0</v>
      </c>
      <c r="K172" s="102" t="str">
        <f t="shared" si="21"/>
        <v/>
      </c>
      <c r="L172" s="221"/>
      <c r="M172" s="325"/>
      <c r="N172" s="94"/>
      <c r="O172" s="326"/>
      <c r="P172" s="84"/>
      <c r="Q172" s="88"/>
      <c r="R172" s="102">
        <f t="shared" si="17"/>
        <v>0</v>
      </c>
      <c r="S172" s="89"/>
      <c r="T172" s="100"/>
      <c r="U172" s="100"/>
      <c r="V172" s="100"/>
      <c r="W172" s="100"/>
      <c r="X172" s="100"/>
      <c r="Y172" s="83"/>
      <c r="Z172" s="304"/>
      <c r="AA172" s="304"/>
      <c r="AB172" s="304"/>
      <c r="AC172" s="304"/>
      <c r="AD172" s="304"/>
      <c r="AE172" s="304"/>
      <c r="AF172" s="304"/>
      <c r="AG172" s="304"/>
      <c r="AH172" s="304"/>
      <c r="AI172" s="304"/>
      <c r="AJ172" s="304"/>
      <c r="AK172" s="304"/>
      <c r="AL172" s="304"/>
      <c r="AM172" s="304"/>
      <c r="AN172" s="304"/>
      <c r="AO172" s="304"/>
      <c r="AP172" s="304"/>
      <c r="AQ172" s="304"/>
      <c r="AR172" s="304"/>
      <c r="AS172" s="304"/>
      <c r="AT172" s="304"/>
      <c r="AU172" s="304"/>
      <c r="AV172" s="304"/>
      <c r="AW172" s="304"/>
      <c r="AX172" s="304"/>
      <c r="AY172" s="304"/>
      <c r="AZ172" s="304"/>
      <c r="BA172" s="304"/>
      <c r="BB172" s="304"/>
      <c r="BC172" s="304"/>
      <c r="BD172" s="304"/>
      <c r="BE172" s="304"/>
      <c r="BF172" s="304"/>
      <c r="BG172" s="304"/>
      <c r="BH172" s="304"/>
      <c r="BI172" s="304"/>
      <c r="BJ172" s="304"/>
      <c r="BK172" s="304"/>
      <c r="BL172" s="304"/>
      <c r="BM172" s="304"/>
      <c r="BN172" s="304"/>
      <c r="BO172" s="304"/>
      <c r="BP172" s="304"/>
      <c r="BQ172" s="304"/>
      <c r="BR172" s="304"/>
      <c r="BS172" s="304"/>
      <c r="BT172" s="304"/>
      <c r="BU172" s="304"/>
      <c r="BV172" s="304"/>
      <c r="BW172" s="304"/>
      <c r="BX172" s="304"/>
      <c r="BY172" s="304"/>
      <c r="BZ172" s="304"/>
      <c r="CA172" s="304"/>
      <c r="CB172" s="304"/>
      <c r="CC172" s="304"/>
      <c r="CD172" s="304"/>
      <c r="CE172" s="304"/>
      <c r="CF172" s="304"/>
      <c r="CG172" s="304"/>
      <c r="CH172" s="304"/>
      <c r="CI172" s="304"/>
      <c r="CJ172" s="304"/>
      <c r="CK172" s="304"/>
      <c r="CL172" s="304"/>
      <c r="CM172" s="304"/>
      <c r="CN172" s="304"/>
      <c r="CO172" s="304"/>
      <c r="CP172" s="304"/>
    </row>
    <row r="173" spans="1:94" s="87" customFormat="1">
      <c r="A173" s="81"/>
      <c r="B173" s="83"/>
      <c r="C173" s="82"/>
      <c r="D173" s="102"/>
      <c r="E173" s="102"/>
      <c r="F173" s="102"/>
      <c r="G173" s="225"/>
      <c r="H173" s="218">
        <f t="shared" si="18"/>
        <v>0</v>
      </c>
      <c r="I173" s="218">
        <f t="shared" si="19"/>
        <v>0</v>
      </c>
      <c r="J173" s="218">
        <f t="shared" si="20"/>
        <v>0</v>
      </c>
      <c r="K173" s="102" t="str">
        <f t="shared" si="21"/>
        <v/>
      </c>
      <c r="L173" s="221"/>
      <c r="M173" s="325"/>
      <c r="N173" s="94"/>
      <c r="O173" s="326"/>
      <c r="P173" s="84"/>
      <c r="Q173" s="88"/>
      <c r="R173" s="102">
        <f t="shared" si="17"/>
        <v>0</v>
      </c>
      <c r="S173" s="89"/>
      <c r="T173" s="100"/>
      <c r="U173" s="100"/>
      <c r="V173" s="100"/>
      <c r="W173" s="100"/>
      <c r="X173" s="100"/>
      <c r="Y173" s="83"/>
      <c r="Z173" s="304"/>
      <c r="AA173" s="304"/>
      <c r="AB173" s="304"/>
      <c r="AC173" s="304"/>
      <c r="AD173" s="304"/>
      <c r="AE173" s="304"/>
      <c r="AF173" s="304"/>
      <c r="AG173" s="304"/>
      <c r="AH173" s="304"/>
      <c r="AI173" s="304"/>
      <c r="AJ173" s="304"/>
      <c r="AK173" s="304"/>
      <c r="AL173" s="304"/>
      <c r="AM173" s="304"/>
      <c r="AN173" s="304"/>
      <c r="AO173" s="304"/>
      <c r="AP173" s="304"/>
      <c r="AQ173" s="304"/>
      <c r="AR173" s="304"/>
      <c r="AS173" s="304"/>
      <c r="AT173" s="304"/>
      <c r="AU173" s="304"/>
      <c r="AV173" s="304"/>
      <c r="AW173" s="304"/>
      <c r="AX173" s="304"/>
      <c r="AY173" s="304"/>
      <c r="AZ173" s="304"/>
      <c r="BA173" s="304"/>
      <c r="BB173" s="304"/>
      <c r="BC173" s="304"/>
      <c r="BD173" s="304"/>
      <c r="BE173" s="304"/>
      <c r="BF173" s="304"/>
      <c r="BG173" s="304"/>
      <c r="BH173" s="304"/>
      <c r="BI173" s="304"/>
      <c r="BJ173" s="304"/>
      <c r="BK173" s="304"/>
      <c r="BL173" s="304"/>
      <c r="BM173" s="304"/>
      <c r="BN173" s="304"/>
      <c r="BO173" s="304"/>
      <c r="BP173" s="304"/>
      <c r="BQ173" s="304"/>
      <c r="BR173" s="304"/>
      <c r="BS173" s="304"/>
      <c r="BT173" s="304"/>
      <c r="BU173" s="304"/>
      <c r="BV173" s="304"/>
      <c r="BW173" s="304"/>
      <c r="BX173" s="304"/>
      <c r="BY173" s="304"/>
      <c r="BZ173" s="304"/>
      <c r="CA173" s="304"/>
      <c r="CB173" s="304"/>
      <c r="CC173" s="304"/>
      <c r="CD173" s="304"/>
      <c r="CE173" s="304"/>
      <c r="CF173" s="304"/>
      <c r="CG173" s="304"/>
      <c r="CH173" s="304"/>
      <c r="CI173" s="304"/>
      <c r="CJ173" s="304"/>
      <c r="CK173" s="304"/>
      <c r="CL173" s="304"/>
      <c r="CM173" s="304"/>
      <c r="CN173" s="304"/>
      <c r="CO173" s="304"/>
      <c r="CP173" s="304"/>
    </row>
    <row r="174" spans="1:94" s="87" customFormat="1">
      <c r="A174" s="81"/>
      <c r="B174" s="83"/>
      <c r="C174" s="82"/>
      <c r="D174" s="102"/>
      <c r="E174" s="102"/>
      <c r="F174" s="102"/>
      <c r="G174" s="225"/>
      <c r="H174" s="218">
        <f t="shared" si="18"/>
        <v>0</v>
      </c>
      <c r="I174" s="218">
        <f t="shared" si="19"/>
        <v>0</v>
      </c>
      <c r="J174" s="218">
        <f t="shared" si="20"/>
        <v>0</v>
      </c>
      <c r="K174" s="102" t="str">
        <f t="shared" si="21"/>
        <v/>
      </c>
      <c r="L174" s="221"/>
      <c r="M174" s="325"/>
      <c r="N174" s="94"/>
      <c r="O174" s="326"/>
      <c r="P174" s="84"/>
      <c r="Q174" s="88"/>
      <c r="R174" s="102">
        <f t="shared" si="17"/>
        <v>0</v>
      </c>
      <c r="S174" s="89"/>
      <c r="T174" s="100"/>
      <c r="U174" s="100"/>
      <c r="V174" s="100"/>
      <c r="W174" s="100"/>
      <c r="X174" s="100"/>
      <c r="Y174" s="83"/>
      <c r="Z174" s="304"/>
      <c r="AA174" s="304"/>
      <c r="AB174" s="304"/>
      <c r="AC174" s="304"/>
      <c r="AD174" s="304"/>
      <c r="AE174" s="304"/>
      <c r="AF174" s="304"/>
      <c r="AG174" s="304"/>
      <c r="AH174" s="304"/>
      <c r="AI174" s="304"/>
      <c r="AJ174" s="304"/>
      <c r="AK174" s="304"/>
      <c r="AL174" s="304"/>
      <c r="AM174" s="304"/>
      <c r="AN174" s="304"/>
      <c r="AO174" s="304"/>
      <c r="AP174" s="304"/>
      <c r="AQ174" s="304"/>
      <c r="AR174" s="304"/>
      <c r="AS174" s="304"/>
      <c r="AT174" s="304"/>
      <c r="AU174" s="304"/>
      <c r="AV174" s="304"/>
      <c r="AW174" s="304"/>
      <c r="AX174" s="304"/>
      <c r="AY174" s="304"/>
      <c r="AZ174" s="304"/>
      <c r="BA174" s="304"/>
      <c r="BB174" s="304"/>
      <c r="BC174" s="304"/>
      <c r="BD174" s="304"/>
      <c r="BE174" s="304"/>
      <c r="BF174" s="304"/>
      <c r="BG174" s="304"/>
      <c r="BH174" s="304"/>
      <c r="BI174" s="304"/>
      <c r="BJ174" s="304"/>
      <c r="BK174" s="304"/>
      <c r="BL174" s="304"/>
      <c r="BM174" s="304"/>
      <c r="BN174" s="304"/>
      <c r="BO174" s="304"/>
      <c r="BP174" s="304"/>
      <c r="BQ174" s="304"/>
      <c r="BR174" s="304"/>
      <c r="BS174" s="304"/>
      <c r="BT174" s="304"/>
      <c r="BU174" s="304"/>
      <c r="BV174" s="304"/>
      <c r="BW174" s="304"/>
      <c r="BX174" s="304"/>
      <c r="BY174" s="304"/>
      <c r="BZ174" s="304"/>
      <c r="CA174" s="304"/>
      <c r="CB174" s="304"/>
      <c r="CC174" s="304"/>
      <c r="CD174" s="304"/>
      <c r="CE174" s="304"/>
      <c r="CF174" s="304"/>
      <c r="CG174" s="304"/>
      <c r="CH174" s="304"/>
      <c r="CI174" s="304"/>
      <c r="CJ174" s="304"/>
      <c r="CK174" s="304"/>
      <c r="CL174" s="304"/>
      <c r="CM174" s="304"/>
      <c r="CN174" s="304"/>
      <c r="CO174" s="304"/>
      <c r="CP174" s="304"/>
    </row>
    <row r="175" spans="1:94" s="87" customFormat="1">
      <c r="A175" s="81"/>
      <c r="B175" s="83"/>
      <c r="C175" s="82"/>
      <c r="D175" s="102"/>
      <c r="E175" s="102"/>
      <c r="F175" s="102"/>
      <c r="G175" s="225"/>
      <c r="H175" s="218">
        <f t="shared" si="18"/>
        <v>0</v>
      </c>
      <c r="I175" s="218">
        <f t="shared" si="19"/>
        <v>0</v>
      </c>
      <c r="J175" s="218">
        <f t="shared" si="20"/>
        <v>0</v>
      </c>
      <c r="K175" s="102" t="str">
        <f t="shared" si="21"/>
        <v/>
      </c>
      <c r="L175" s="221"/>
      <c r="M175" s="325"/>
      <c r="N175" s="94"/>
      <c r="O175" s="326"/>
      <c r="P175" s="84"/>
      <c r="Q175" s="88"/>
      <c r="R175" s="102">
        <f t="shared" si="17"/>
        <v>0</v>
      </c>
      <c r="S175" s="89"/>
      <c r="T175" s="100"/>
      <c r="U175" s="100"/>
      <c r="V175" s="100"/>
      <c r="W175" s="100"/>
      <c r="X175" s="100"/>
      <c r="Y175" s="83"/>
      <c r="Z175" s="304"/>
      <c r="AA175" s="304"/>
      <c r="AB175" s="304"/>
      <c r="AC175" s="304"/>
      <c r="AD175" s="304"/>
      <c r="AE175" s="304"/>
      <c r="AF175" s="304"/>
      <c r="AG175" s="304"/>
      <c r="AH175" s="304"/>
      <c r="AI175" s="304"/>
      <c r="AJ175" s="304"/>
      <c r="AK175" s="304"/>
      <c r="AL175" s="304"/>
      <c r="AM175" s="304"/>
      <c r="AN175" s="304"/>
      <c r="AO175" s="304"/>
      <c r="AP175" s="304"/>
      <c r="AQ175" s="304"/>
      <c r="AR175" s="304"/>
      <c r="AS175" s="304"/>
      <c r="AT175" s="304"/>
      <c r="AU175" s="304"/>
      <c r="AV175" s="304"/>
      <c r="AW175" s="304"/>
      <c r="AX175" s="304"/>
      <c r="AY175" s="304"/>
      <c r="AZ175" s="304"/>
      <c r="BA175" s="304"/>
      <c r="BB175" s="304"/>
      <c r="BC175" s="304"/>
      <c r="BD175" s="304"/>
      <c r="BE175" s="304"/>
      <c r="BF175" s="304"/>
      <c r="BG175" s="304"/>
      <c r="BH175" s="304"/>
      <c r="BI175" s="304"/>
      <c r="BJ175" s="304"/>
      <c r="BK175" s="304"/>
      <c r="BL175" s="304"/>
      <c r="BM175" s="304"/>
      <c r="BN175" s="304"/>
      <c r="BO175" s="304"/>
      <c r="BP175" s="304"/>
      <c r="BQ175" s="304"/>
      <c r="BR175" s="304"/>
      <c r="BS175" s="304"/>
      <c r="BT175" s="304"/>
      <c r="BU175" s="304"/>
      <c r="BV175" s="304"/>
      <c r="BW175" s="304"/>
      <c r="BX175" s="304"/>
      <c r="BY175" s="304"/>
      <c r="BZ175" s="304"/>
      <c r="CA175" s="304"/>
      <c r="CB175" s="304"/>
      <c r="CC175" s="304"/>
      <c r="CD175" s="304"/>
      <c r="CE175" s="304"/>
      <c r="CF175" s="304"/>
      <c r="CG175" s="304"/>
      <c r="CH175" s="304"/>
      <c r="CI175" s="304"/>
      <c r="CJ175" s="304"/>
      <c r="CK175" s="304"/>
      <c r="CL175" s="304"/>
      <c r="CM175" s="304"/>
      <c r="CN175" s="304"/>
      <c r="CO175" s="304"/>
      <c r="CP175" s="304"/>
    </row>
    <row r="176" spans="1:94" s="87" customFormat="1">
      <c r="A176" s="81"/>
      <c r="B176" s="83"/>
      <c r="C176" s="82"/>
      <c r="D176" s="102"/>
      <c r="E176" s="102"/>
      <c r="F176" s="102"/>
      <c r="G176" s="225"/>
      <c r="H176" s="218">
        <f t="shared" si="18"/>
        <v>0</v>
      </c>
      <c r="I176" s="218">
        <f t="shared" si="19"/>
        <v>0</v>
      </c>
      <c r="J176" s="218">
        <f t="shared" si="20"/>
        <v>0</v>
      </c>
      <c r="K176" s="102" t="str">
        <f t="shared" si="21"/>
        <v/>
      </c>
      <c r="L176" s="221"/>
      <c r="M176" s="325"/>
      <c r="N176" s="94"/>
      <c r="O176" s="326"/>
      <c r="P176" s="84"/>
      <c r="Q176" s="88"/>
      <c r="R176" s="102">
        <f t="shared" si="17"/>
        <v>0</v>
      </c>
      <c r="S176" s="89"/>
      <c r="T176" s="100"/>
      <c r="U176" s="100"/>
      <c r="V176" s="100"/>
      <c r="W176" s="100"/>
      <c r="X176" s="100"/>
      <c r="Y176" s="83"/>
      <c r="Z176" s="304"/>
      <c r="AA176" s="304"/>
      <c r="AB176" s="304"/>
      <c r="AC176" s="304"/>
      <c r="AD176" s="304"/>
      <c r="AE176" s="304"/>
      <c r="AF176" s="304"/>
      <c r="AG176" s="304"/>
      <c r="AH176" s="304"/>
      <c r="AI176" s="304"/>
      <c r="AJ176" s="304"/>
      <c r="AK176" s="304"/>
      <c r="AL176" s="304"/>
      <c r="AM176" s="304"/>
      <c r="AN176" s="304"/>
      <c r="AO176" s="304"/>
      <c r="AP176" s="304"/>
      <c r="AQ176" s="304"/>
      <c r="AR176" s="304"/>
      <c r="AS176" s="304"/>
      <c r="AT176" s="304"/>
      <c r="AU176" s="304"/>
      <c r="AV176" s="304"/>
      <c r="AW176" s="304"/>
      <c r="AX176" s="304"/>
      <c r="AY176" s="304"/>
      <c r="AZ176" s="304"/>
      <c r="BA176" s="304"/>
      <c r="BB176" s="304"/>
      <c r="BC176" s="304"/>
      <c r="BD176" s="304"/>
      <c r="BE176" s="304"/>
      <c r="BF176" s="304"/>
      <c r="BG176" s="304"/>
      <c r="BH176" s="304"/>
      <c r="BI176" s="304"/>
      <c r="BJ176" s="304"/>
      <c r="BK176" s="304"/>
      <c r="BL176" s="304"/>
      <c r="BM176" s="304"/>
      <c r="BN176" s="304"/>
      <c r="BO176" s="304"/>
      <c r="BP176" s="304"/>
      <c r="BQ176" s="304"/>
      <c r="BR176" s="304"/>
      <c r="BS176" s="304"/>
      <c r="BT176" s="304"/>
      <c r="BU176" s="304"/>
      <c r="BV176" s="304"/>
      <c r="BW176" s="304"/>
      <c r="BX176" s="304"/>
      <c r="BY176" s="304"/>
      <c r="BZ176" s="304"/>
      <c r="CA176" s="304"/>
      <c r="CB176" s="304"/>
      <c r="CC176" s="304"/>
      <c r="CD176" s="304"/>
      <c r="CE176" s="304"/>
      <c r="CF176" s="304"/>
      <c r="CG176" s="304"/>
      <c r="CH176" s="304"/>
      <c r="CI176" s="304"/>
      <c r="CJ176" s="304"/>
      <c r="CK176" s="304"/>
      <c r="CL176" s="304"/>
      <c r="CM176" s="304"/>
      <c r="CN176" s="304"/>
      <c r="CO176" s="304"/>
      <c r="CP176" s="304"/>
    </row>
    <row r="177" spans="1:94" s="87" customFormat="1">
      <c r="A177" s="81"/>
      <c r="B177" s="83"/>
      <c r="C177" s="82"/>
      <c r="D177" s="102"/>
      <c r="E177" s="102"/>
      <c r="F177" s="102"/>
      <c r="G177" s="225"/>
      <c r="H177" s="218">
        <f t="shared" si="18"/>
        <v>0</v>
      </c>
      <c r="I177" s="218">
        <f t="shared" si="19"/>
        <v>0</v>
      </c>
      <c r="J177" s="218">
        <f t="shared" si="20"/>
        <v>0</v>
      </c>
      <c r="K177" s="102" t="str">
        <f t="shared" si="21"/>
        <v/>
      </c>
      <c r="L177" s="221"/>
      <c r="M177" s="325"/>
      <c r="N177" s="94"/>
      <c r="O177" s="326"/>
      <c r="P177" s="84"/>
      <c r="Q177" s="88"/>
      <c r="R177" s="102">
        <f t="shared" si="17"/>
        <v>0</v>
      </c>
      <c r="S177" s="89"/>
      <c r="T177" s="100"/>
      <c r="U177" s="100"/>
      <c r="V177" s="100"/>
      <c r="W177" s="100"/>
      <c r="X177" s="100"/>
      <c r="Y177" s="83"/>
      <c r="Z177" s="304"/>
      <c r="AA177" s="304"/>
      <c r="AB177" s="304"/>
      <c r="AC177" s="304"/>
      <c r="AD177" s="304"/>
      <c r="AE177" s="304"/>
      <c r="AF177" s="304"/>
      <c r="AG177" s="304"/>
      <c r="AH177" s="304"/>
      <c r="AI177" s="304"/>
      <c r="AJ177" s="304"/>
      <c r="AK177" s="304"/>
      <c r="AL177" s="304"/>
      <c r="AM177" s="304"/>
      <c r="AN177" s="304"/>
      <c r="AO177" s="304"/>
      <c r="AP177" s="304"/>
      <c r="AQ177" s="304"/>
      <c r="AR177" s="304"/>
      <c r="AS177" s="304"/>
      <c r="AT177" s="304"/>
      <c r="AU177" s="304"/>
      <c r="AV177" s="304"/>
      <c r="AW177" s="304"/>
      <c r="AX177" s="304"/>
      <c r="AY177" s="304"/>
      <c r="AZ177" s="304"/>
      <c r="BA177" s="304"/>
      <c r="BB177" s="304"/>
      <c r="BC177" s="304"/>
      <c r="BD177" s="304"/>
      <c r="BE177" s="304"/>
      <c r="BF177" s="304"/>
      <c r="BG177" s="304"/>
      <c r="BH177" s="304"/>
      <c r="BI177" s="304"/>
      <c r="BJ177" s="304"/>
      <c r="BK177" s="304"/>
      <c r="BL177" s="304"/>
      <c r="BM177" s="304"/>
      <c r="BN177" s="304"/>
      <c r="BO177" s="304"/>
      <c r="BP177" s="304"/>
      <c r="BQ177" s="304"/>
      <c r="BR177" s="304"/>
      <c r="BS177" s="304"/>
      <c r="BT177" s="304"/>
      <c r="BU177" s="304"/>
      <c r="BV177" s="304"/>
      <c r="BW177" s="304"/>
      <c r="BX177" s="304"/>
      <c r="BY177" s="304"/>
      <c r="BZ177" s="304"/>
      <c r="CA177" s="304"/>
      <c r="CB177" s="304"/>
      <c r="CC177" s="304"/>
      <c r="CD177" s="304"/>
      <c r="CE177" s="304"/>
      <c r="CF177" s="304"/>
      <c r="CG177" s="304"/>
      <c r="CH177" s="304"/>
      <c r="CI177" s="304"/>
      <c r="CJ177" s="304"/>
      <c r="CK177" s="304"/>
      <c r="CL177" s="304"/>
      <c r="CM177" s="304"/>
      <c r="CN177" s="304"/>
      <c r="CO177" s="304"/>
      <c r="CP177" s="304"/>
    </row>
    <row r="178" spans="1:94" s="87" customFormat="1">
      <c r="A178" s="81"/>
      <c r="B178" s="83"/>
      <c r="C178" s="82"/>
      <c r="D178" s="102"/>
      <c r="E178" s="102"/>
      <c r="F178" s="102"/>
      <c r="G178" s="225"/>
      <c r="H178" s="218">
        <f t="shared" si="18"/>
        <v>0</v>
      </c>
      <c r="I178" s="218">
        <f t="shared" si="19"/>
        <v>0</v>
      </c>
      <c r="J178" s="218">
        <f t="shared" si="20"/>
        <v>0</v>
      </c>
      <c r="K178" s="102" t="str">
        <f t="shared" si="21"/>
        <v/>
      </c>
      <c r="L178" s="221"/>
      <c r="M178" s="325"/>
      <c r="N178" s="94"/>
      <c r="O178" s="326"/>
      <c r="P178" s="84"/>
      <c r="Q178" s="88"/>
      <c r="R178" s="102">
        <f t="shared" si="17"/>
        <v>0</v>
      </c>
      <c r="S178" s="89"/>
      <c r="T178" s="100"/>
      <c r="U178" s="100"/>
      <c r="V178" s="100"/>
      <c r="W178" s="100"/>
      <c r="X178" s="100"/>
      <c r="Y178" s="83"/>
      <c r="Z178" s="304"/>
      <c r="AA178" s="304"/>
      <c r="AB178" s="304"/>
      <c r="AC178" s="304"/>
      <c r="AD178" s="304"/>
      <c r="AE178" s="304"/>
      <c r="AF178" s="304"/>
      <c r="AG178" s="304"/>
      <c r="AH178" s="304"/>
      <c r="AI178" s="304"/>
      <c r="AJ178" s="304"/>
      <c r="AK178" s="304"/>
      <c r="AL178" s="304"/>
      <c r="AM178" s="304"/>
      <c r="AN178" s="304"/>
      <c r="AO178" s="304"/>
      <c r="AP178" s="304"/>
      <c r="AQ178" s="304"/>
      <c r="AR178" s="304"/>
      <c r="AS178" s="304"/>
      <c r="AT178" s="304"/>
      <c r="AU178" s="304"/>
      <c r="AV178" s="304"/>
      <c r="AW178" s="304"/>
      <c r="AX178" s="304"/>
      <c r="AY178" s="304"/>
      <c r="AZ178" s="304"/>
      <c r="BA178" s="304"/>
      <c r="BB178" s="304"/>
      <c r="BC178" s="304"/>
      <c r="BD178" s="304"/>
      <c r="BE178" s="304"/>
      <c r="BF178" s="304"/>
      <c r="BG178" s="304"/>
      <c r="BH178" s="304"/>
      <c r="BI178" s="304"/>
      <c r="BJ178" s="304"/>
      <c r="BK178" s="304"/>
      <c r="BL178" s="304"/>
      <c r="BM178" s="304"/>
      <c r="BN178" s="304"/>
      <c r="BO178" s="304"/>
      <c r="BP178" s="304"/>
      <c r="BQ178" s="304"/>
      <c r="BR178" s="304"/>
      <c r="BS178" s="304"/>
      <c r="BT178" s="304"/>
      <c r="BU178" s="304"/>
      <c r="BV178" s="304"/>
      <c r="BW178" s="304"/>
      <c r="BX178" s="304"/>
      <c r="BY178" s="304"/>
      <c r="BZ178" s="304"/>
      <c r="CA178" s="304"/>
      <c r="CB178" s="304"/>
      <c r="CC178" s="304"/>
      <c r="CD178" s="304"/>
      <c r="CE178" s="304"/>
      <c r="CF178" s="304"/>
      <c r="CG178" s="304"/>
      <c r="CH178" s="304"/>
      <c r="CI178" s="304"/>
      <c r="CJ178" s="304"/>
      <c r="CK178" s="304"/>
      <c r="CL178" s="304"/>
      <c r="CM178" s="304"/>
      <c r="CN178" s="304"/>
      <c r="CO178" s="304"/>
      <c r="CP178" s="304"/>
    </row>
    <row r="179" spans="1:94" s="87" customFormat="1">
      <c r="A179" s="81"/>
      <c r="B179" s="83"/>
      <c r="C179" s="82"/>
      <c r="D179" s="102"/>
      <c r="E179" s="102"/>
      <c r="F179" s="102"/>
      <c r="G179" s="225"/>
      <c r="H179" s="218">
        <f t="shared" si="18"/>
        <v>0</v>
      </c>
      <c r="I179" s="218">
        <f t="shared" si="19"/>
        <v>0</v>
      </c>
      <c r="J179" s="218">
        <f t="shared" si="20"/>
        <v>0</v>
      </c>
      <c r="K179" s="102" t="str">
        <f t="shared" si="21"/>
        <v/>
      </c>
      <c r="L179" s="221"/>
      <c r="M179" s="325"/>
      <c r="N179" s="94"/>
      <c r="O179" s="326"/>
      <c r="P179" s="84"/>
      <c r="Q179" s="88"/>
      <c r="R179" s="102">
        <f t="shared" si="17"/>
        <v>0</v>
      </c>
      <c r="S179" s="89"/>
      <c r="T179" s="100"/>
      <c r="U179" s="100"/>
      <c r="V179" s="100"/>
      <c r="W179" s="100"/>
      <c r="X179" s="100"/>
      <c r="Y179" s="83"/>
      <c r="Z179" s="304"/>
      <c r="AA179" s="304"/>
      <c r="AB179" s="304"/>
      <c r="AC179" s="304"/>
      <c r="AD179" s="304"/>
      <c r="AE179" s="304"/>
      <c r="AF179" s="304"/>
      <c r="AG179" s="304"/>
      <c r="AH179" s="304"/>
      <c r="AI179" s="304"/>
      <c r="AJ179" s="304"/>
      <c r="AK179" s="304"/>
      <c r="AL179" s="304"/>
      <c r="AM179" s="304"/>
      <c r="AN179" s="304"/>
      <c r="AO179" s="304"/>
      <c r="AP179" s="304"/>
      <c r="AQ179" s="304"/>
      <c r="AR179" s="304"/>
      <c r="AS179" s="304"/>
      <c r="AT179" s="304"/>
      <c r="AU179" s="304"/>
      <c r="AV179" s="304"/>
      <c r="AW179" s="304"/>
      <c r="AX179" s="304"/>
      <c r="AY179" s="304"/>
      <c r="AZ179" s="304"/>
      <c r="BA179" s="304"/>
      <c r="BB179" s="304"/>
      <c r="BC179" s="304"/>
      <c r="BD179" s="304"/>
      <c r="BE179" s="304"/>
      <c r="BF179" s="304"/>
      <c r="BG179" s="304"/>
      <c r="BH179" s="304"/>
      <c r="BI179" s="304"/>
      <c r="BJ179" s="304"/>
      <c r="BK179" s="304"/>
      <c r="BL179" s="304"/>
      <c r="BM179" s="304"/>
      <c r="BN179" s="304"/>
      <c r="BO179" s="304"/>
      <c r="BP179" s="304"/>
      <c r="BQ179" s="304"/>
      <c r="BR179" s="304"/>
      <c r="BS179" s="304"/>
      <c r="BT179" s="304"/>
      <c r="BU179" s="304"/>
      <c r="BV179" s="304"/>
      <c r="BW179" s="304"/>
      <c r="BX179" s="304"/>
      <c r="BY179" s="304"/>
      <c r="BZ179" s="304"/>
      <c r="CA179" s="304"/>
      <c r="CB179" s="304"/>
      <c r="CC179" s="304"/>
      <c r="CD179" s="304"/>
      <c r="CE179" s="304"/>
      <c r="CF179" s="304"/>
      <c r="CG179" s="304"/>
      <c r="CH179" s="304"/>
      <c r="CI179" s="304"/>
      <c r="CJ179" s="304"/>
      <c r="CK179" s="304"/>
      <c r="CL179" s="304"/>
      <c r="CM179" s="304"/>
      <c r="CN179" s="304"/>
      <c r="CO179" s="304"/>
      <c r="CP179" s="304"/>
    </row>
    <row r="180" spans="1:94" s="87" customFormat="1">
      <c r="A180" s="81"/>
      <c r="B180" s="83"/>
      <c r="C180" s="82"/>
      <c r="D180" s="102"/>
      <c r="E180" s="102"/>
      <c r="F180" s="102"/>
      <c r="G180" s="225"/>
      <c r="H180" s="218">
        <f t="shared" si="18"/>
        <v>0</v>
      </c>
      <c r="I180" s="218">
        <f t="shared" si="19"/>
        <v>0</v>
      </c>
      <c r="J180" s="218">
        <f t="shared" si="20"/>
        <v>0</v>
      </c>
      <c r="K180" s="102" t="str">
        <f t="shared" si="21"/>
        <v/>
      </c>
      <c r="L180" s="221"/>
      <c r="M180" s="325"/>
      <c r="N180" s="94"/>
      <c r="O180" s="326"/>
      <c r="P180" s="84"/>
      <c r="Q180" s="88"/>
      <c r="R180" s="102">
        <f t="shared" si="17"/>
        <v>0</v>
      </c>
      <c r="S180" s="89"/>
      <c r="T180" s="100"/>
      <c r="U180" s="100"/>
      <c r="V180" s="100"/>
      <c r="W180" s="100"/>
      <c r="X180" s="100"/>
      <c r="Y180" s="83"/>
      <c r="Z180" s="304"/>
      <c r="AA180" s="304"/>
      <c r="AB180" s="304"/>
      <c r="AC180" s="304"/>
      <c r="AD180" s="304"/>
      <c r="AE180" s="304"/>
      <c r="AF180" s="304"/>
      <c r="AG180" s="304"/>
      <c r="AH180" s="304"/>
      <c r="AI180" s="304"/>
      <c r="AJ180" s="304"/>
      <c r="AK180" s="304"/>
      <c r="AL180" s="304"/>
      <c r="AM180" s="304"/>
      <c r="AN180" s="304"/>
      <c r="AO180" s="304"/>
      <c r="AP180" s="304"/>
      <c r="AQ180" s="304"/>
      <c r="AR180" s="304"/>
      <c r="AS180" s="304"/>
      <c r="AT180" s="304"/>
      <c r="AU180" s="304"/>
      <c r="AV180" s="304"/>
      <c r="AW180" s="304"/>
      <c r="AX180" s="304"/>
      <c r="AY180" s="304"/>
      <c r="AZ180" s="304"/>
      <c r="BA180" s="304"/>
      <c r="BB180" s="304"/>
      <c r="BC180" s="304"/>
      <c r="BD180" s="304"/>
      <c r="BE180" s="304"/>
      <c r="BF180" s="304"/>
      <c r="BG180" s="304"/>
      <c r="BH180" s="304"/>
      <c r="BI180" s="304"/>
      <c r="BJ180" s="304"/>
      <c r="BK180" s="304"/>
      <c r="BL180" s="304"/>
      <c r="BM180" s="304"/>
      <c r="BN180" s="304"/>
      <c r="BO180" s="304"/>
      <c r="BP180" s="304"/>
      <c r="BQ180" s="304"/>
      <c r="BR180" s="304"/>
      <c r="BS180" s="304"/>
      <c r="BT180" s="304"/>
      <c r="BU180" s="304"/>
      <c r="BV180" s="304"/>
      <c r="BW180" s="304"/>
      <c r="BX180" s="304"/>
      <c r="BY180" s="304"/>
      <c r="BZ180" s="304"/>
      <c r="CA180" s="304"/>
      <c r="CB180" s="304"/>
      <c r="CC180" s="304"/>
      <c r="CD180" s="304"/>
      <c r="CE180" s="304"/>
      <c r="CF180" s="304"/>
      <c r="CG180" s="304"/>
      <c r="CH180" s="304"/>
      <c r="CI180" s="304"/>
      <c r="CJ180" s="304"/>
      <c r="CK180" s="304"/>
      <c r="CL180" s="304"/>
      <c r="CM180" s="304"/>
      <c r="CN180" s="304"/>
      <c r="CO180" s="304"/>
      <c r="CP180" s="304"/>
    </row>
    <row r="181" spans="1:94" s="87" customFormat="1">
      <c r="A181" s="81"/>
      <c r="B181" s="83"/>
      <c r="C181" s="82"/>
      <c r="D181" s="102"/>
      <c r="E181" s="102"/>
      <c r="F181" s="102"/>
      <c r="G181" s="225"/>
      <c r="H181" s="218">
        <f t="shared" si="18"/>
        <v>0</v>
      </c>
      <c r="I181" s="218">
        <f t="shared" si="19"/>
        <v>0</v>
      </c>
      <c r="J181" s="218">
        <f t="shared" si="20"/>
        <v>0</v>
      </c>
      <c r="K181" s="102" t="str">
        <f t="shared" si="21"/>
        <v/>
      </c>
      <c r="L181" s="221"/>
      <c r="M181" s="325"/>
      <c r="N181" s="94"/>
      <c r="O181" s="326"/>
      <c r="P181" s="84"/>
      <c r="Q181" s="88"/>
      <c r="R181" s="102">
        <f t="shared" si="17"/>
        <v>0</v>
      </c>
      <c r="S181" s="89"/>
      <c r="T181" s="100"/>
      <c r="U181" s="100"/>
      <c r="V181" s="100"/>
      <c r="W181" s="100"/>
      <c r="X181" s="100"/>
      <c r="Y181" s="83"/>
      <c r="Z181" s="304"/>
      <c r="AA181" s="304"/>
      <c r="AB181" s="304"/>
      <c r="AC181" s="304"/>
      <c r="AD181" s="304"/>
      <c r="AE181" s="304"/>
      <c r="AF181" s="304"/>
      <c r="AG181" s="304"/>
      <c r="AH181" s="304"/>
      <c r="AI181" s="304"/>
      <c r="AJ181" s="304"/>
      <c r="AK181" s="304"/>
      <c r="AL181" s="304"/>
      <c r="AM181" s="304"/>
      <c r="AN181" s="304"/>
      <c r="AO181" s="304"/>
      <c r="AP181" s="304"/>
      <c r="AQ181" s="304"/>
      <c r="AR181" s="304"/>
      <c r="AS181" s="304"/>
      <c r="AT181" s="304"/>
      <c r="AU181" s="304"/>
      <c r="AV181" s="304"/>
      <c r="AW181" s="304"/>
      <c r="AX181" s="304"/>
      <c r="AY181" s="304"/>
      <c r="AZ181" s="304"/>
      <c r="BA181" s="304"/>
      <c r="BB181" s="304"/>
      <c r="BC181" s="304"/>
      <c r="BD181" s="304"/>
      <c r="BE181" s="304"/>
      <c r="BF181" s="304"/>
      <c r="BG181" s="304"/>
      <c r="BH181" s="304"/>
      <c r="BI181" s="304"/>
      <c r="BJ181" s="304"/>
      <c r="BK181" s="304"/>
      <c r="BL181" s="304"/>
      <c r="BM181" s="304"/>
      <c r="BN181" s="304"/>
      <c r="BO181" s="304"/>
      <c r="BP181" s="304"/>
      <c r="BQ181" s="304"/>
      <c r="BR181" s="304"/>
      <c r="BS181" s="304"/>
      <c r="BT181" s="304"/>
      <c r="BU181" s="304"/>
      <c r="BV181" s="304"/>
      <c r="BW181" s="304"/>
      <c r="BX181" s="304"/>
      <c r="BY181" s="304"/>
      <c r="BZ181" s="304"/>
      <c r="CA181" s="304"/>
      <c r="CB181" s="304"/>
      <c r="CC181" s="304"/>
      <c r="CD181" s="304"/>
      <c r="CE181" s="304"/>
      <c r="CF181" s="304"/>
      <c r="CG181" s="304"/>
      <c r="CH181" s="304"/>
      <c r="CI181" s="304"/>
      <c r="CJ181" s="304"/>
      <c r="CK181" s="304"/>
      <c r="CL181" s="304"/>
      <c r="CM181" s="304"/>
      <c r="CN181" s="304"/>
      <c r="CO181" s="304"/>
      <c r="CP181" s="304"/>
    </row>
    <row r="182" spans="1:94" s="87" customFormat="1">
      <c r="A182" s="81"/>
      <c r="B182" s="83"/>
      <c r="C182" s="82"/>
      <c r="D182" s="102"/>
      <c r="E182" s="102"/>
      <c r="F182" s="102"/>
      <c r="G182" s="225"/>
      <c r="H182" s="218">
        <f t="shared" si="18"/>
        <v>0</v>
      </c>
      <c r="I182" s="218">
        <f t="shared" si="19"/>
        <v>0</v>
      </c>
      <c r="J182" s="218">
        <f t="shared" si="20"/>
        <v>0</v>
      </c>
      <c r="K182" s="102" t="str">
        <f t="shared" si="21"/>
        <v/>
      </c>
      <c r="L182" s="221"/>
      <c r="M182" s="325"/>
      <c r="N182" s="94"/>
      <c r="O182" s="326"/>
      <c r="P182" s="84"/>
      <c r="Q182" s="88"/>
      <c r="R182" s="102">
        <f t="shared" si="17"/>
        <v>0</v>
      </c>
      <c r="S182" s="89"/>
      <c r="T182" s="100"/>
      <c r="U182" s="100"/>
      <c r="V182" s="100"/>
      <c r="W182" s="100"/>
      <c r="X182" s="100"/>
      <c r="Y182" s="83"/>
      <c r="Z182" s="304"/>
      <c r="AA182" s="304"/>
      <c r="AB182" s="304"/>
      <c r="AC182" s="304"/>
      <c r="AD182" s="304"/>
      <c r="AE182" s="304"/>
      <c r="AF182" s="304"/>
      <c r="AG182" s="304"/>
      <c r="AH182" s="304"/>
      <c r="AI182" s="304"/>
      <c r="AJ182" s="304"/>
      <c r="AK182" s="304"/>
      <c r="AL182" s="304"/>
      <c r="AM182" s="304"/>
      <c r="AN182" s="304"/>
      <c r="AO182" s="304"/>
      <c r="AP182" s="304"/>
      <c r="AQ182" s="304"/>
      <c r="AR182" s="304"/>
      <c r="AS182" s="304"/>
      <c r="AT182" s="304"/>
      <c r="AU182" s="304"/>
      <c r="AV182" s="304"/>
      <c r="AW182" s="304"/>
      <c r="AX182" s="304"/>
      <c r="AY182" s="304"/>
      <c r="AZ182" s="304"/>
      <c r="BA182" s="304"/>
      <c r="BB182" s="304"/>
      <c r="BC182" s="304"/>
      <c r="BD182" s="304"/>
      <c r="BE182" s="304"/>
      <c r="BF182" s="304"/>
      <c r="BG182" s="304"/>
      <c r="BH182" s="304"/>
      <c r="BI182" s="304"/>
      <c r="BJ182" s="304"/>
      <c r="BK182" s="304"/>
      <c r="BL182" s="304"/>
      <c r="BM182" s="304"/>
      <c r="BN182" s="304"/>
      <c r="BO182" s="304"/>
      <c r="BP182" s="304"/>
      <c r="BQ182" s="304"/>
      <c r="BR182" s="304"/>
      <c r="BS182" s="304"/>
      <c r="BT182" s="304"/>
      <c r="BU182" s="304"/>
      <c r="BV182" s="304"/>
      <c r="BW182" s="304"/>
      <c r="BX182" s="304"/>
      <c r="BY182" s="304"/>
      <c r="BZ182" s="304"/>
      <c r="CA182" s="304"/>
      <c r="CB182" s="304"/>
      <c r="CC182" s="304"/>
      <c r="CD182" s="304"/>
      <c r="CE182" s="304"/>
      <c r="CF182" s="304"/>
      <c r="CG182" s="304"/>
      <c r="CH182" s="304"/>
      <c r="CI182" s="304"/>
      <c r="CJ182" s="304"/>
      <c r="CK182" s="304"/>
      <c r="CL182" s="304"/>
      <c r="CM182" s="304"/>
      <c r="CN182" s="304"/>
      <c r="CO182" s="304"/>
      <c r="CP182" s="304"/>
    </row>
    <row r="183" spans="1:94" s="87" customFormat="1">
      <c r="A183" s="81"/>
      <c r="B183" s="83"/>
      <c r="C183" s="82"/>
      <c r="D183" s="102"/>
      <c r="E183" s="102"/>
      <c r="F183" s="102"/>
      <c r="G183" s="225"/>
      <c r="H183" s="218">
        <f t="shared" si="18"/>
        <v>0</v>
      </c>
      <c r="I183" s="218">
        <f t="shared" si="19"/>
        <v>0</v>
      </c>
      <c r="J183" s="218">
        <f t="shared" si="20"/>
        <v>0</v>
      </c>
      <c r="K183" s="102" t="str">
        <f t="shared" si="21"/>
        <v/>
      </c>
      <c r="L183" s="221"/>
      <c r="M183" s="325"/>
      <c r="N183" s="94"/>
      <c r="O183" s="326"/>
      <c r="P183" s="84"/>
      <c r="Q183" s="88"/>
      <c r="R183" s="102">
        <f t="shared" si="17"/>
        <v>0</v>
      </c>
      <c r="S183" s="89"/>
      <c r="T183" s="100"/>
      <c r="U183" s="100"/>
      <c r="V183" s="100"/>
      <c r="W183" s="100"/>
      <c r="X183" s="100"/>
      <c r="Y183" s="83"/>
      <c r="Z183" s="304"/>
      <c r="AA183" s="304"/>
      <c r="AB183" s="304"/>
      <c r="AC183" s="304"/>
      <c r="AD183" s="304"/>
      <c r="AE183" s="304"/>
      <c r="AF183" s="304"/>
      <c r="AG183" s="304"/>
      <c r="AH183" s="304"/>
      <c r="AI183" s="304"/>
      <c r="AJ183" s="304"/>
      <c r="AK183" s="304"/>
      <c r="AL183" s="304"/>
      <c r="AM183" s="304"/>
      <c r="AN183" s="304"/>
      <c r="AO183" s="304"/>
      <c r="AP183" s="304"/>
      <c r="AQ183" s="304"/>
      <c r="AR183" s="304"/>
      <c r="AS183" s="304"/>
      <c r="AT183" s="304"/>
      <c r="AU183" s="304"/>
      <c r="AV183" s="304"/>
      <c r="AW183" s="304"/>
      <c r="AX183" s="304"/>
      <c r="AY183" s="304"/>
      <c r="AZ183" s="304"/>
      <c r="BA183" s="304"/>
      <c r="BB183" s="304"/>
      <c r="BC183" s="304"/>
      <c r="BD183" s="304"/>
      <c r="BE183" s="304"/>
      <c r="BF183" s="304"/>
      <c r="BG183" s="304"/>
      <c r="BH183" s="304"/>
      <c r="BI183" s="304"/>
      <c r="BJ183" s="304"/>
      <c r="BK183" s="304"/>
      <c r="BL183" s="304"/>
      <c r="BM183" s="304"/>
      <c r="BN183" s="304"/>
      <c r="BO183" s="304"/>
      <c r="BP183" s="304"/>
      <c r="BQ183" s="304"/>
      <c r="BR183" s="304"/>
      <c r="BS183" s="304"/>
      <c r="BT183" s="304"/>
      <c r="BU183" s="304"/>
      <c r="BV183" s="304"/>
      <c r="BW183" s="304"/>
      <c r="BX183" s="304"/>
      <c r="BY183" s="304"/>
      <c r="BZ183" s="304"/>
      <c r="CA183" s="304"/>
      <c r="CB183" s="304"/>
      <c r="CC183" s="304"/>
      <c r="CD183" s="304"/>
      <c r="CE183" s="304"/>
      <c r="CF183" s="304"/>
      <c r="CG183" s="304"/>
      <c r="CH183" s="304"/>
      <c r="CI183" s="304"/>
      <c r="CJ183" s="304"/>
      <c r="CK183" s="304"/>
      <c r="CL183" s="304"/>
      <c r="CM183" s="304"/>
      <c r="CN183" s="304"/>
      <c r="CO183" s="304"/>
      <c r="CP183" s="304"/>
    </row>
    <row r="184" spans="1:94" s="87" customFormat="1">
      <c r="A184" s="81"/>
      <c r="B184" s="83"/>
      <c r="C184" s="82"/>
      <c r="D184" s="102"/>
      <c r="E184" s="102"/>
      <c r="F184" s="102"/>
      <c r="G184" s="225"/>
      <c r="H184" s="218">
        <f t="shared" si="18"/>
        <v>0</v>
      </c>
      <c r="I184" s="218">
        <f t="shared" si="19"/>
        <v>0</v>
      </c>
      <c r="J184" s="218">
        <f t="shared" si="20"/>
        <v>0</v>
      </c>
      <c r="K184" s="102" t="str">
        <f t="shared" si="21"/>
        <v/>
      </c>
      <c r="L184" s="221"/>
      <c r="M184" s="325"/>
      <c r="N184" s="94"/>
      <c r="O184" s="326"/>
      <c r="P184" s="84"/>
      <c r="Q184" s="88"/>
      <c r="R184" s="102">
        <f t="shared" si="17"/>
        <v>0</v>
      </c>
      <c r="S184" s="89"/>
      <c r="T184" s="100"/>
      <c r="U184" s="100"/>
      <c r="V184" s="100"/>
      <c r="W184" s="100"/>
      <c r="X184" s="100"/>
      <c r="Y184" s="83"/>
      <c r="Z184" s="304"/>
      <c r="AA184" s="304"/>
      <c r="AB184" s="304"/>
      <c r="AC184" s="304"/>
      <c r="AD184" s="304"/>
      <c r="AE184" s="304"/>
      <c r="AF184" s="304"/>
      <c r="AG184" s="304"/>
      <c r="AH184" s="304"/>
      <c r="AI184" s="304"/>
      <c r="AJ184" s="304"/>
      <c r="AK184" s="304"/>
      <c r="AL184" s="304"/>
      <c r="AM184" s="304"/>
      <c r="AN184" s="304"/>
      <c r="AO184" s="304"/>
      <c r="AP184" s="304"/>
      <c r="AQ184" s="304"/>
      <c r="AR184" s="304"/>
      <c r="AS184" s="304"/>
      <c r="AT184" s="304"/>
      <c r="AU184" s="304"/>
      <c r="AV184" s="304"/>
      <c r="AW184" s="304"/>
      <c r="AX184" s="304"/>
      <c r="AY184" s="304"/>
      <c r="AZ184" s="304"/>
      <c r="BA184" s="304"/>
      <c r="BB184" s="304"/>
      <c r="BC184" s="304"/>
      <c r="BD184" s="304"/>
      <c r="BE184" s="304"/>
      <c r="BF184" s="304"/>
      <c r="BG184" s="304"/>
      <c r="BH184" s="304"/>
      <c r="BI184" s="304"/>
      <c r="BJ184" s="304"/>
      <c r="BK184" s="304"/>
      <c r="BL184" s="304"/>
      <c r="BM184" s="304"/>
      <c r="BN184" s="304"/>
      <c r="BO184" s="304"/>
      <c r="BP184" s="304"/>
      <c r="BQ184" s="304"/>
      <c r="BR184" s="304"/>
      <c r="BS184" s="304"/>
      <c r="BT184" s="304"/>
      <c r="BU184" s="304"/>
      <c r="BV184" s="304"/>
      <c r="BW184" s="304"/>
      <c r="BX184" s="304"/>
      <c r="BY184" s="304"/>
      <c r="BZ184" s="304"/>
      <c r="CA184" s="304"/>
      <c r="CB184" s="304"/>
      <c r="CC184" s="304"/>
      <c r="CD184" s="304"/>
      <c r="CE184" s="304"/>
      <c r="CF184" s="304"/>
      <c r="CG184" s="304"/>
      <c r="CH184" s="304"/>
      <c r="CI184" s="304"/>
      <c r="CJ184" s="304"/>
      <c r="CK184" s="304"/>
      <c r="CL184" s="304"/>
      <c r="CM184" s="304"/>
      <c r="CN184" s="304"/>
      <c r="CO184" s="304"/>
      <c r="CP184" s="304"/>
    </row>
    <row r="185" spans="1:94" s="87" customFormat="1">
      <c r="A185" s="81"/>
      <c r="B185" s="83"/>
      <c r="C185" s="82"/>
      <c r="D185" s="102"/>
      <c r="E185" s="102"/>
      <c r="F185" s="102"/>
      <c r="G185" s="225"/>
      <c r="H185" s="218">
        <f t="shared" si="18"/>
        <v>0</v>
      </c>
      <c r="I185" s="218">
        <f t="shared" si="19"/>
        <v>0</v>
      </c>
      <c r="J185" s="218">
        <f t="shared" si="20"/>
        <v>0</v>
      </c>
      <c r="K185" s="102" t="str">
        <f t="shared" si="21"/>
        <v/>
      </c>
      <c r="L185" s="221"/>
      <c r="M185" s="325"/>
      <c r="N185" s="94"/>
      <c r="O185" s="326"/>
      <c r="P185" s="84"/>
      <c r="Q185" s="88"/>
      <c r="R185" s="102">
        <f t="shared" si="17"/>
        <v>0</v>
      </c>
      <c r="S185" s="89"/>
      <c r="T185" s="100"/>
      <c r="U185" s="100"/>
      <c r="V185" s="100"/>
      <c r="W185" s="100"/>
      <c r="X185" s="100"/>
      <c r="Y185" s="83"/>
      <c r="Z185" s="304"/>
      <c r="AA185" s="304"/>
      <c r="AB185" s="304"/>
      <c r="AC185" s="304"/>
      <c r="AD185" s="304"/>
      <c r="AE185" s="304"/>
      <c r="AF185" s="304"/>
      <c r="AG185" s="304"/>
      <c r="AH185" s="304"/>
      <c r="AI185" s="304"/>
      <c r="AJ185" s="304"/>
      <c r="AK185" s="304"/>
      <c r="AL185" s="304"/>
      <c r="AM185" s="304"/>
      <c r="AN185" s="304"/>
      <c r="AO185" s="304"/>
      <c r="AP185" s="304"/>
      <c r="AQ185" s="304"/>
      <c r="AR185" s="304"/>
      <c r="AS185" s="304"/>
      <c r="AT185" s="304"/>
      <c r="AU185" s="304"/>
      <c r="AV185" s="304"/>
      <c r="AW185" s="304"/>
      <c r="AX185" s="304"/>
      <c r="AY185" s="304"/>
      <c r="AZ185" s="304"/>
      <c r="BA185" s="304"/>
      <c r="BB185" s="304"/>
      <c r="BC185" s="304"/>
      <c r="BD185" s="304"/>
      <c r="BE185" s="304"/>
      <c r="BF185" s="304"/>
      <c r="BG185" s="304"/>
      <c r="BH185" s="304"/>
      <c r="BI185" s="304"/>
      <c r="BJ185" s="304"/>
      <c r="BK185" s="304"/>
      <c r="BL185" s="304"/>
      <c r="BM185" s="304"/>
      <c r="BN185" s="304"/>
      <c r="BO185" s="304"/>
      <c r="BP185" s="304"/>
      <c r="BQ185" s="304"/>
      <c r="BR185" s="304"/>
      <c r="BS185" s="304"/>
      <c r="BT185" s="304"/>
      <c r="BU185" s="304"/>
      <c r="BV185" s="304"/>
      <c r="BW185" s="304"/>
      <c r="BX185" s="304"/>
      <c r="BY185" s="304"/>
      <c r="BZ185" s="304"/>
      <c r="CA185" s="304"/>
      <c r="CB185" s="304"/>
      <c r="CC185" s="304"/>
      <c r="CD185" s="304"/>
      <c r="CE185" s="304"/>
      <c r="CF185" s="304"/>
      <c r="CG185" s="304"/>
      <c r="CH185" s="304"/>
      <c r="CI185" s="304"/>
      <c r="CJ185" s="304"/>
      <c r="CK185" s="304"/>
      <c r="CL185" s="304"/>
      <c r="CM185" s="304"/>
      <c r="CN185" s="304"/>
      <c r="CO185" s="304"/>
      <c r="CP185" s="304"/>
    </row>
    <row r="186" spans="1:94" s="87" customFormat="1">
      <c r="A186" s="81"/>
      <c r="B186" s="83"/>
      <c r="C186" s="82"/>
      <c r="D186" s="102"/>
      <c r="E186" s="102"/>
      <c r="F186" s="102"/>
      <c r="G186" s="225"/>
      <c r="H186" s="218">
        <f t="shared" si="18"/>
        <v>0</v>
      </c>
      <c r="I186" s="218">
        <f t="shared" si="19"/>
        <v>0</v>
      </c>
      <c r="J186" s="218">
        <f t="shared" si="20"/>
        <v>0</v>
      </c>
      <c r="K186" s="102" t="str">
        <f t="shared" si="21"/>
        <v/>
      </c>
      <c r="L186" s="221"/>
      <c r="M186" s="325"/>
      <c r="N186" s="94"/>
      <c r="O186" s="326"/>
      <c r="P186" s="84"/>
      <c r="Q186" s="88"/>
      <c r="R186" s="102">
        <f t="shared" si="17"/>
        <v>0</v>
      </c>
      <c r="S186" s="89"/>
      <c r="T186" s="100"/>
      <c r="U186" s="100"/>
      <c r="V186" s="100"/>
      <c r="W186" s="100"/>
      <c r="X186" s="100"/>
      <c r="Y186" s="83"/>
      <c r="Z186" s="304"/>
      <c r="AA186" s="304"/>
      <c r="AB186" s="304"/>
      <c r="AC186" s="304"/>
      <c r="AD186" s="304"/>
      <c r="AE186" s="304"/>
      <c r="AF186" s="304"/>
      <c r="AG186" s="304"/>
      <c r="AH186" s="304"/>
      <c r="AI186" s="304"/>
      <c r="AJ186" s="304"/>
      <c r="AK186" s="304"/>
      <c r="AL186" s="304"/>
      <c r="AM186" s="304"/>
      <c r="AN186" s="304"/>
      <c r="AO186" s="304"/>
      <c r="AP186" s="304"/>
      <c r="AQ186" s="304"/>
      <c r="AR186" s="304"/>
      <c r="AS186" s="304"/>
      <c r="AT186" s="304"/>
      <c r="AU186" s="304"/>
      <c r="AV186" s="304"/>
      <c r="AW186" s="304"/>
      <c r="AX186" s="304"/>
      <c r="AY186" s="304"/>
      <c r="AZ186" s="304"/>
      <c r="BA186" s="304"/>
      <c r="BB186" s="304"/>
      <c r="BC186" s="304"/>
      <c r="BD186" s="304"/>
      <c r="BE186" s="304"/>
      <c r="BF186" s="304"/>
      <c r="BG186" s="304"/>
      <c r="BH186" s="304"/>
      <c r="BI186" s="304"/>
      <c r="BJ186" s="304"/>
      <c r="BK186" s="304"/>
      <c r="BL186" s="304"/>
      <c r="BM186" s="304"/>
      <c r="BN186" s="304"/>
      <c r="BO186" s="304"/>
      <c r="BP186" s="304"/>
      <c r="BQ186" s="304"/>
      <c r="BR186" s="304"/>
      <c r="BS186" s="304"/>
      <c r="BT186" s="304"/>
      <c r="BU186" s="304"/>
      <c r="BV186" s="304"/>
      <c r="BW186" s="304"/>
      <c r="BX186" s="304"/>
      <c r="BY186" s="304"/>
      <c r="BZ186" s="304"/>
      <c r="CA186" s="304"/>
      <c r="CB186" s="304"/>
      <c r="CC186" s="304"/>
      <c r="CD186" s="304"/>
      <c r="CE186" s="304"/>
      <c r="CF186" s="304"/>
      <c r="CG186" s="304"/>
      <c r="CH186" s="304"/>
      <c r="CI186" s="304"/>
      <c r="CJ186" s="304"/>
      <c r="CK186" s="304"/>
      <c r="CL186" s="304"/>
      <c r="CM186" s="304"/>
      <c r="CN186" s="304"/>
      <c r="CO186" s="304"/>
      <c r="CP186" s="304"/>
    </row>
    <row r="187" spans="1:94" s="87" customFormat="1">
      <c r="A187" s="81"/>
      <c r="B187" s="83"/>
      <c r="C187" s="82"/>
      <c r="D187" s="102"/>
      <c r="E187" s="102"/>
      <c r="F187" s="102"/>
      <c r="G187" s="225"/>
      <c r="H187" s="218">
        <f t="shared" si="18"/>
        <v>0</v>
      </c>
      <c r="I187" s="218">
        <f t="shared" si="19"/>
        <v>0</v>
      </c>
      <c r="J187" s="218">
        <f t="shared" si="20"/>
        <v>0</v>
      </c>
      <c r="K187" s="102" t="str">
        <f t="shared" si="21"/>
        <v/>
      </c>
      <c r="L187" s="221"/>
      <c r="M187" s="325"/>
      <c r="N187" s="94"/>
      <c r="O187" s="326"/>
      <c r="P187" s="84"/>
      <c r="Q187" s="88"/>
      <c r="R187" s="102">
        <f t="shared" si="17"/>
        <v>0</v>
      </c>
      <c r="S187" s="89"/>
      <c r="T187" s="100"/>
      <c r="U187" s="100"/>
      <c r="V187" s="100"/>
      <c r="W187" s="100"/>
      <c r="X187" s="100"/>
      <c r="Y187" s="83"/>
      <c r="Z187" s="304"/>
      <c r="AA187" s="304"/>
      <c r="AB187" s="304"/>
      <c r="AC187" s="304"/>
      <c r="AD187" s="304"/>
      <c r="AE187" s="304"/>
      <c r="AF187" s="304"/>
      <c r="AG187" s="304"/>
      <c r="AH187" s="304"/>
      <c r="AI187" s="304"/>
      <c r="AJ187" s="304"/>
      <c r="AK187" s="304"/>
      <c r="AL187" s="304"/>
      <c r="AM187" s="304"/>
      <c r="AN187" s="304"/>
      <c r="AO187" s="304"/>
      <c r="AP187" s="304"/>
      <c r="AQ187" s="304"/>
      <c r="AR187" s="304"/>
      <c r="AS187" s="304"/>
      <c r="AT187" s="304"/>
      <c r="AU187" s="304"/>
      <c r="AV187" s="304"/>
      <c r="AW187" s="304"/>
      <c r="AX187" s="304"/>
      <c r="AY187" s="304"/>
      <c r="AZ187" s="304"/>
      <c r="BA187" s="304"/>
      <c r="BB187" s="304"/>
      <c r="BC187" s="304"/>
      <c r="BD187" s="304"/>
      <c r="BE187" s="304"/>
      <c r="BF187" s="304"/>
      <c r="BG187" s="304"/>
      <c r="BH187" s="304"/>
      <c r="BI187" s="304"/>
      <c r="BJ187" s="304"/>
      <c r="BK187" s="304"/>
      <c r="BL187" s="304"/>
      <c r="BM187" s="304"/>
      <c r="BN187" s="304"/>
      <c r="BO187" s="304"/>
      <c r="BP187" s="304"/>
      <c r="BQ187" s="304"/>
      <c r="BR187" s="304"/>
      <c r="BS187" s="304"/>
      <c r="BT187" s="304"/>
      <c r="BU187" s="304"/>
      <c r="BV187" s="304"/>
      <c r="BW187" s="304"/>
      <c r="BX187" s="304"/>
      <c r="BY187" s="304"/>
      <c r="BZ187" s="304"/>
      <c r="CA187" s="304"/>
      <c r="CB187" s="304"/>
      <c r="CC187" s="304"/>
      <c r="CD187" s="304"/>
      <c r="CE187" s="304"/>
      <c r="CF187" s="304"/>
      <c r="CG187" s="304"/>
      <c r="CH187" s="304"/>
      <c r="CI187" s="304"/>
      <c r="CJ187" s="304"/>
      <c r="CK187" s="304"/>
      <c r="CL187" s="304"/>
      <c r="CM187" s="304"/>
      <c r="CN187" s="304"/>
      <c r="CO187" s="304"/>
      <c r="CP187" s="304"/>
    </row>
    <row r="188" spans="1:94" s="87" customFormat="1">
      <c r="A188" s="81"/>
      <c r="B188" s="83"/>
      <c r="C188" s="82"/>
      <c r="D188" s="102"/>
      <c r="E188" s="102"/>
      <c r="F188" s="102"/>
      <c r="G188" s="225"/>
      <c r="H188" s="218">
        <f t="shared" si="18"/>
        <v>0</v>
      </c>
      <c r="I188" s="218">
        <f t="shared" si="19"/>
        <v>0</v>
      </c>
      <c r="J188" s="218">
        <f t="shared" si="20"/>
        <v>0</v>
      </c>
      <c r="K188" s="102" t="str">
        <f t="shared" si="21"/>
        <v/>
      </c>
      <c r="L188" s="221"/>
      <c r="M188" s="325"/>
      <c r="N188" s="94"/>
      <c r="O188" s="326"/>
      <c r="P188" s="84"/>
      <c r="Q188" s="88"/>
      <c r="R188" s="102">
        <f t="shared" si="17"/>
        <v>0</v>
      </c>
      <c r="S188" s="89"/>
      <c r="T188" s="100"/>
      <c r="U188" s="100"/>
      <c r="V188" s="100"/>
      <c r="W188" s="100"/>
      <c r="X188" s="100"/>
      <c r="Y188" s="83"/>
      <c r="Z188" s="304"/>
      <c r="AA188" s="304"/>
      <c r="AB188" s="304"/>
      <c r="AC188" s="304"/>
      <c r="AD188" s="304"/>
      <c r="AE188" s="304"/>
      <c r="AF188" s="304"/>
      <c r="AG188" s="304"/>
      <c r="AH188" s="304"/>
      <c r="AI188" s="304"/>
      <c r="AJ188" s="304"/>
      <c r="AK188" s="304"/>
      <c r="AL188" s="304"/>
      <c r="AM188" s="304"/>
      <c r="AN188" s="304"/>
      <c r="AO188" s="304"/>
      <c r="AP188" s="304"/>
      <c r="AQ188" s="304"/>
      <c r="AR188" s="304"/>
      <c r="AS188" s="304"/>
      <c r="AT188" s="304"/>
      <c r="AU188" s="304"/>
      <c r="AV188" s="304"/>
      <c r="AW188" s="304"/>
      <c r="AX188" s="304"/>
      <c r="AY188" s="304"/>
      <c r="AZ188" s="304"/>
      <c r="BA188" s="304"/>
      <c r="BB188" s="304"/>
      <c r="BC188" s="304"/>
      <c r="BD188" s="304"/>
      <c r="BE188" s="304"/>
      <c r="BF188" s="304"/>
      <c r="BG188" s="304"/>
      <c r="BH188" s="304"/>
      <c r="BI188" s="304"/>
      <c r="BJ188" s="304"/>
      <c r="BK188" s="304"/>
      <c r="BL188" s="304"/>
      <c r="BM188" s="304"/>
      <c r="BN188" s="304"/>
      <c r="BO188" s="304"/>
      <c r="BP188" s="304"/>
      <c r="BQ188" s="304"/>
      <c r="BR188" s="304"/>
      <c r="BS188" s="304"/>
      <c r="BT188" s="304"/>
      <c r="BU188" s="304"/>
      <c r="BV188" s="304"/>
      <c r="BW188" s="304"/>
      <c r="BX188" s="304"/>
      <c r="BY188" s="304"/>
      <c r="BZ188" s="304"/>
      <c r="CA188" s="304"/>
      <c r="CB188" s="304"/>
      <c r="CC188" s="304"/>
      <c r="CD188" s="304"/>
      <c r="CE188" s="304"/>
      <c r="CF188" s="304"/>
      <c r="CG188" s="304"/>
      <c r="CH188" s="304"/>
      <c r="CI188" s="304"/>
      <c r="CJ188" s="304"/>
      <c r="CK188" s="304"/>
      <c r="CL188" s="304"/>
      <c r="CM188" s="304"/>
      <c r="CN188" s="304"/>
      <c r="CO188" s="304"/>
      <c r="CP188" s="304"/>
    </row>
    <row r="189" spans="1:94" s="87" customFormat="1">
      <c r="A189" s="81"/>
      <c r="B189" s="83"/>
      <c r="C189" s="82"/>
      <c r="D189" s="102"/>
      <c r="E189" s="102"/>
      <c r="F189" s="102"/>
      <c r="G189" s="225"/>
      <c r="H189" s="218">
        <f t="shared" si="18"/>
        <v>0</v>
      </c>
      <c r="I189" s="218">
        <f t="shared" si="19"/>
        <v>0</v>
      </c>
      <c r="J189" s="218">
        <f t="shared" si="20"/>
        <v>0</v>
      </c>
      <c r="K189" s="102" t="str">
        <f t="shared" si="21"/>
        <v/>
      </c>
      <c r="L189" s="221"/>
      <c r="M189" s="325"/>
      <c r="N189" s="94"/>
      <c r="O189" s="326"/>
      <c r="P189" s="84"/>
      <c r="Q189" s="88"/>
      <c r="R189" s="102">
        <f t="shared" si="17"/>
        <v>0</v>
      </c>
      <c r="S189" s="89"/>
      <c r="T189" s="100"/>
      <c r="U189" s="100"/>
      <c r="V189" s="100"/>
      <c r="W189" s="100"/>
      <c r="X189" s="100"/>
      <c r="Y189" s="83"/>
      <c r="Z189" s="304"/>
      <c r="AA189" s="304"/>
      <c r="AB189" s="304"/>
      <c r="AC189" s="304"/>
      <c r="AD189" s="304"/>
      <c r="AE189" s="304"/>
      <c r="AF189" s="304"/>
      <c r="AG189" s="304"/>
      <c r="AH189" s="304"/>
      <c r="AI189" s="304"/>
      <c r="AJ189" s="304"/>
      <c r="AK189" s="304"/>
      <c r="AL189" s="304"/>
      <c r="AM189" s="304"/>
      <c r="AN189" s="304"/>
      <c r="AO189" s="304"/>
      <c r="AP189" s="304"/>
      <c r="AQ189" s="304"/>
      <c r="AR189" s="304"/>
      <c r="AS189" s="304"/>
      <c r="AT189" s="304"/>
      <c r="AU189" s="304"/>
      <c r="AV189" s="304"/>
      <c r="AW189" s="304"/>
      <c r="AX189" s="304"/>
      <c r="AY189" s="304"/>
      <c r="AZ189" s="304"/>
      <c r="BA189" s="304"/>
      <c r="BB189" s="304"/>
      <c r="BC189" s="304"/>
      <c r="BD189" s="304"/>
      <c r="BE189" s="304"/>
      <c r="BF189" s="304"/>
      <c r="BG189" s="304"/>
      <c r="BH189" s="304"/>
      <c r="BI189" s="304"/>
      <c r="BJ189" s="304"/>
      <c r="BK189" s="304"/>
      <c r="BL189" s="304"/>
      <c r="BM189" s="304"/>
      <c r="BN189" s="304"/>
      <c r="BO189" s="304"/>
      <c r="BP189" s="304"/>
      <c r="BQ189" s="304"/>
      <c r="BR189" s="304"/>
      <c r="BS189" s="304"/>
      <c r="BT189" s="304"/>
      <c r="BU189" s="304"/>
      <c r="BV189" s="304"/>
      <c r="BW189" s="304"/>
      <c r="BX189" s="304"/>
      <c r="BY189" s="304"/>
      <c r="BZ189" s="304"/>
      <c r="CA189" s="304"/>
      <c r="CB189" s="304"/>
      <c r="CC189" s="304"/>
      <c r="CD189" s="304"/>
      <c r="CE189" s="304"/>
      <c r="CF189" s="304"/>
      <c r="CG189" s="304"/>
      <c r="CH189" s="304"/>
      <c r="CI189" s="304"/>
      <c r="CJ189" s="304"/>
      <c r="CK189" s="304"/>
      <c r="CL189" s="304"/>
      <c r="CM189" s="304"/>
      <c r="CN189" s="304"/>
      <c r="CO189" s="304"/>
      <c r="CP189" s="304"/>
    </row>
    <row r="190" spans="1:94" s="87" customFormat="1">
      <c r="A190" s="81"/>
      <c r="B190" s="83"/>
      <c r="C190" s="82"/>
      <c r="D190" s="102"/>
      <c r="E190" s="102"/>
      <c r="F190" s="102"/>
      <c r="G190" s="225"/>
      <c r="H190" s="218">
        <f t="shared" si="18"/>
        <v>0</v>
      </c>
      <c r="I190" s="218">
        <f t="shared" si="19"/>
        <v>0</v>
      </c>
      <c r="J190" s="218">
        <f t="shared" si="20"/>
        <v>0</v>
      </c>
      <c r="K190" s="102" t="str">
        <f t="shared" si="21"/>
        <v/>
      </c>
      <c r="L190" s="221"/>
      <c r="M190" s="325"/>
      <c r="N190" s="94"/>
      <c r="O190" s="326"/>
      <c r="P190" s="84"/>
      <c r="Q190" s="88"/>
      <c r="R190" s="102">
        <f t="shared" si="17"/>
        <v>0</v>
      </c>
      <c r="S190" s="89"/>
      <c r="T190" s="100"/>
      <c r="U190" s="100"/>
      <c r="V190" s="100"/>
      <c r="W190" s="100"/>
      <c r="X190" s="100"/>
      <c r="Y190" s="83"/>
      <c r="Z190" s="304"/>
      <c r="AA190" s="304"/>
      <c r="AB190" s="304"/>
      <c r="AC190" s="304"/>
      <c r="AD190" s="304"/>
      <c r="AE190" s="304"/>
      <c r="AF190" s="304"/>
      <c r="AG190" s="304"/>
      <c r="AH190" s="304"/>
      <c r="AI190" s="304"/>
      <c r="AJ190" s="304"/>
      <c r="AK190" s="304"/>
      <c r="AL190" s="304"/>
      <c r="AM190" s="304"/>
      <c r="AN190" s="304"/>
      <c r="AO190" s="304"/>
      <c r="AP190" s="304"/>
      <c r="AQ190" s="304"/>
      <c r="AR190" s="304"/>
      <c r="AS190" s="304"/>
      <c r="AT190" s="304"/>
      <c r="AU190" s="304"/>
      <c r="AV190" s="304"/>
      <c r="AW190" s="304"/>
      <c r="AX190" s="304"/>
      <c r="AY190" s="304"/>
      <c r="AZ190" s="304"/>
      <c r="BA190" s="304"/>
      <c r="BB190" s="304"/>
      <c r="BC190" s="304"/>
      <c r="BD190" s="304"/>
      <c r="BE190" s="304"/>
      <c r="BF190" s="304"/>
      <c r="BG190" s="304"/>
      <c r="BH190" s="304"/>
      <c r="BI190" s="304"/>
      <c r="BJ190" s="304"/>
      <c r="BK190" s="304"/>
      <c r="BL190" s="304"/>
      <c r="BM190" s="304"/>
      <c r="BN190" s="304"/>
      <c r="BO190" s="304"/>
      <c r="BP190" s="304"/>
      <c r="BQ190" s="304"/>
      <c r="BR190" s="304"/>
      <c r="BS190" s="304"/>
      <c r="BT190" s="304"/>
      <c r="BU190" s="304"/>
      <c r="BV190" s="304"/>
      <c r="BW190" s="304"/>
      <c r="BX190" s="304"/>
      <c r="BY190" s="304"/>
      <c r="BZ190" s="304"/>
      <c r="CA190" s="304"/>
      <c r="CB190" s="304"/>
      <c r="CC190" s="304"/>
      <c r="CD190" s="304"/>
      <c r="CE190" s="304"/>
      <c r="CF190" s="304"/>
      <c r="CG190" s="304"/>
      <c r="CH190" s="304"/>
      <c r="CI190" s="304"/>
      <c r="CJ190" s="304"/>
      <c r="CK190" s="304"/>
      <c r="CL190" s="304"/>
      <c r="CM190" s="304"/>
      <c r="CN190" s="304"/>
      <c r="CO190" s="304"/>
      <c r="CP190" s="304"/>
    </row>
    <row r="191" spans="1:94" s="87" customFormat="1">
      <c r="A191" s="81"/>
      <c r="B191" s="83"/>
      <c r="C191" s="82"/>
      <c r="D191" s="102"/>
      <c r="E191" s="102"/>
      <c r="F191" s="102"/>
      <c r="G191" s="225"/>
      <c r="H191" s="218">
        <f t="shared" si="18"/>
        <v>0</v>
      </c>
      <c r="I191" s="218">
        <f t="shared" si="19"/>
        <v>0</v>
      </c>
      <c r="J191" s="218">
        <f t="shared" si="20"/>
        <v>0</v>
      </c>
      <c r="K191" s="102" t="str">
        <f t="shared" si="21"/>
        <v/>
      </c>
      <c r="L191" s="221"/>
      <c r="M191" s="325"/>
      <c r="N191" s="94"/>
      <c r="O191" s="326"/>
      <c r="P191" s="84"/>
      <c r="Q191" s="88"/>
      <c r="R191" s="102">
        <f t="shared" si="17"/>
        <v>0</v>
      </c>
      <c r="S191" s="89"/>
      <c r="T191" s="100"/>
      <c r="U191" s="100"/>
      <c r="V191" s="100"/>
      <c r="W191" s="100"/>
      <c r="X191" s="100"/>
      <c r="Y191" s="83"/>
      <c r="Z191" s="304"/>
      <c r="AA191" s="304"/>
      <c r="AB191" s="304"/>
      <c r="AC191" s="304"/>
      <c r="AD191" s="304"/>
      <c r="AE191" s="304"/>
      <c r="AF191" s="304"/>
      <c r="AG191" s="304"/>
      <c r="AH191" s="304"/>
      <c r="AI191" s="304"/>
      <c r="AJ191" s="304"/>
      <c r="AK191" s="304"/>
      <c r="AL191" s="304"/>
      <c r="AM191" s="304"/>
      <c r="AN191" s="304"/>
      <c r="AO191" s="304"/>
      <c r="AP191" s="304"/>
      <c r="AQ191" s="304"/>
      <c r="AR191" s="304"/>
      <c r="AS191" s="304"/>
      <c r="AT191" s="304"/>
      <c r="AU191" s="304"/>
      <c r="AV191" s="304"/>
      <c r="AW191" s="304"/>
      <c r="AX191" s="304"/>
      <c r="AY191" s="304"/>
      <c r="AZ191" s="304"/>
      <c r="BA191" s="304"/>
      <c r="BB191" s="304"/>
      <c r="BC191" s="304"/>
      <c r="BD191" s="304"/>
      <c r="BE191" s="304"/>
      <c r="BF191" s="304"/>
      <c r="BG191" s="304"/>
      <c r="BH191" s="304"/>
      <c r="BI191" s="304"/>
      <c r="BJ191" s="304"/>
      <c r="BK191" s="304"/>
      <c r="BL191" s="304"/>
      <c r="BM191" s="304"/>
      <c r="BN191" s="304"/>
      <c r="BO191" s="304"/>
      <c r="BP191" s="304"/>
      <c r="BQ191" s="304"/>
      <c r="BR191" s="304"/>
      <c r="BS191" s="304"/>
      <c r="BT191" s="304"/>
      <c r="BU191" s="304"/>
      <c r="BV191" s="304"/>
      <c r="BW191" s="304"/>
      <c r="BX191" s="304"/>
      <c r="BY191" s="304"/>
      <c r="BZ191" s="304"/>
      <c r="CA191" s="304"/>
      <c r="CB191" s="304"/>
      <c r="CC191" s="304"/>
      <c r="CD191" s="304"/>
      <c r="CE191" s="304"/>
      <c r="CF191" s="304"/>
      <c r="CG191" s="304"/>
      <c r="CH191" s="304"/>
      <c r="CI191" s="304"/>
      <c r="CJ191" s="304"/>
      <c r="CK191" s="304"/>
      <c r="CL191" s="304"/>
      <c r="CM191" s="304"/>
      <c r="CN191" s="304"/>
      <c r="CO191" s="304"/>
      <c r="CP191" s="304"/>
    </row>
    <row r="192" spans="1:94" s="87" customFormat="1">
      <c r="A192" s="81"/>
      <c r="B192" s="83"/>
      <c r="C192" s="82"/>
      <c r="D192" s="102"/>
      <c r="E192" s="102"/>
      <c r="F192" s="102"/>
      <c r="G192" s="225"/>
      <c r="H192" s="218">
        <f t="shared" si="18"/>
        <v>0</v>
      </c>
      <c r="I192" s="218">
        <f t="shared" si="19"/>
        <v>0</v>
      </c>
      <c r="J192" s="218">
        <f t="shared" si="20"/>
        <v>0</v>
      </c>
      <c r="K192" s="102" t="str">
        <f t="shared" si="21"/>
        <v/>
      </c>
      <c r="L192" s="221"/>
      <c r="M192" s="325"/>
      <c r="N192" s="94"/>
      <c r="O192" s="326"/>
      <c r="P192" s="84"/>
      <c r="Q192" s="88"/>
      <c r="R192" s="102">
        <f t="shared" si="17"/>
        <v>0</v>
      </c>
      <c r="S192" s="89"/>
      <c r="T192" s="100"/>
      <c r="U192" s="100"/>
      <c r="V192" s="100"/>
      <c r="W192" s="100"/>
      <c r="X192" s="100"/>
      <c r="Y192" s="83"/>
      <c r="Z192" s="304"/>
      <c r="AA192" s="304"/>
      <c r="AB192" s="304"/>
      <c r="AC192" s="304"/>
      <c r="AD192" s="304"/>
      <c r="AE192" s="304"/>
      <c r="AF192" s="304"/>
      <c r="AG192" s="304"/>
      <c r="AH192" s="304"/>
      <c r="AI192" s="304"/>
      <c r="AJ192" s="304"/>
      <c r="AK192" s="304"/>
      <c r="AL192" s="304"/>
      <c r="AM192" s="304"/>
      <c r="AN192" s="304"/>
      <c r="AO192" s="304"/>
      <c r="AP192" s="304"/>
      <c r="AQ192" s="304"/>
      <c r="AR192" s="304"/>
      <c r="AS192" s="304"/>
      <c r="AT192" s="304"/>
      <c r="AU192" s="304"/>
      <c r="AV192" s="304"/>
      <c r="AW192" s="304"/>
      <c r="AX192" s="304"/>
      <c r="AY192" s="304"/>
      <c r="AZ192" s="304"/>
      <c r="BA192" s="304"/>
      <c r="BB192" s="304"/>
      <c r="BC192" s="304"/>
      <c r="BD192" s="304"/>
      <c r="BE192" s="304"/>
      <c r="BF192" s="304"/>
      <c r="BG192" s="304"/>
      <c r="BH192" s="304"/>
      <c r="BI192" s="304"/>
      <c r="BJ192" s="304"/>
      <c r="BK192" s="304"/>
      <c r="BL192" s="304"/>
      <c r="BM192" s="304"/>
      <c r="BN192" s="304"/>
      <c r="BO192" s="304"/>
      <c r="BP192" s="304"/>
      <c r="BQ192" s="304"/>
      <c r="BR192" s="304"/>
      <c r="BS192" s="304"/>
      <c r="BT192" s="304"/>
      <c r="BU192" s="304"/>
      <c r="BV192" s="304"/>
      <c r="BW192" s="304"/>
      <c r="BX192" s="304"/>
      <c r="BY192" s="304"/>
      <c r="BZ192" s="304"/>
      <c r="CA192" s="304"/>
      <c r="CB192" s="304"/>
      <c r="CC192" s="304"/>
      <c r="CD192" s="304"/>
      <c r="CE192" s="304"/>
      <c r="CF192" s="304"/>
      <c r="CG192" s="304"/>
      <c r="CH192" s="304"/>
      <c r="CI192" s="304"/>
      <c r="CJ192" s="304"/>
      <c r="CK192" s="304"/>
      <c r="CL192" s="304"/>
      <c r="CM192" s="304"/>
      <c r="CN192" s="304"/>
      <c r="CO192" s="304"/>
      <c r="CP192" s="304"/>
    </row>
    <row r="193" spans="1:94" s="87" customFormat="1">
      <c r="A193" s="81"/>
      <c r="B193" s="83"/>
      <c r="C193" s="82"/>
      <c r="D193" s="102"/>
      <c r="E193" s="102"/>
      <c r="F193" s="102"/>
      <c r="G193" s="225"/>
      <c r="H193" s="218">
        <f t="shared" si="18"/>
        <v>0</v>
      </c>
      <c r="I193" s="218">
        <f t="shared" si="19"/>
        <v>0</v>
      </c>
      <c r="J193" s="218">
        <f t="shared" si="20"/>
        <v>0</v>
      </c>
      <c r="K193" s="102" t="str">
        <f t="shared" si="21"/>
        <v/>
      </c>
      <c r="L193" s="221"/>
      <c r="M193" s="325"/>
      <c r="N193" s="94"/>
      <c r="O193" s="326"/>
      <c r="P193" s="84"/>
      <c r="Q193" s="88"/>
      <c r="R193" s="102">
        <f t="shared" si="17"/>
        <v>0</v>
      </c>
      <c r="S193" s="89"/>
      <c r="T193" s="100"/>
      <c r="U193" s="100"/>
      <c r="V193" s="100"/>
      <c r="W193" s="100"/>
      <c r="X193" s="100"/>
      <c r="Y193" s="83"/>
      <c r="Z193" s="304"/>
      <c r="AA193" s="304"/>
      <c r="AB193" s="304"/>
      <c r="AC193" s="304"/>
      <c r="AD193" s="304"/>
      <c r="AE193" s="304"/>
      <c r="AF193" s="304"/>
      <c r="AG193" s="304"/>
      <c r="AH193" s="304"/>
      <c r="AI193" s="304"/>
      <c r="AJ193" s="304"/>
      <c r="AK193" s="304"/>
      <c r="AL193" s="304"/>
      <c r="AM193" s="304"/>
      <c r="AN193" s="304"/>
      <c r="AO193" s="304"/>
      <c r="AP193" s="304"/>
      <c r="AQ193" s="304"/>
      <c r="AR193" s="304"/>
      <c r="AS193" s="304"/>
      <c r="AT193" s="304"/>
      <c r="AU193" s="304"/>
      <c r="AV193" s="304"/>
      <c r="AW193" s="304"/>
      <c r="AX193" s="304"/>
      <c r="AY193" s="304"/>
      <c r="AZ193" s="304"/>
      <c r="BA193" s="304"/>
      <c r="BB193" s="304"/>
      <c r="BC193" s="304"/>
      <c r="BD193" s="304"/>
      <c r="BE193" s="304"/>
      <c r="BF193" s="304"/>
      <c r="BG193" s="304"/>
      <c r="BH193" s="304"/>
      <c r="BI193" s="304"/>
      <c r="BJ193" s="304"/>
      <c r="BK193" s="304"/>
      <c r="BL193" s="304"/>
      <c r="BM193" s="304"/>
      <c r="BN193" s="304"/>
      <c r="BO193" s="304"/>
      <c r="BP193" s="304"/>
      <c r="BQ193" s="304"/>
      <c r="BR193" s="304"/>
      <c r="BS193" s="304"/>
      <c r="BT193" s="304"/>
      <c r="BU193" s="304"/>
      <c r="BV193" s="304"/>
      <c r="BW193" s="304"/>
      <c r="BX193" s="304"/>
      <c r="BY193" s="304"/>
      <c r="BZ193" s="304"/>
      <c r="CA193" s="304"/>
      <c r="CB193" s="304"/>
      <c r="CC193" s="304"/>
      <c r="CD193" s="304"/>
      <c r="CE193" s="304"/>
      <c r="CF193" s="304"/>
      <c r="CG193" s="304"/>
      <c r="CH193" s="304"/>
      <c r="CI193" s="304"/>
      <c r="CJ193" s="304"/>
      <c r="CK193" s="304"/>
      <c r="CL193" s="304"/>
      <c r="CM193" s="304"/>
      <c r="CN193" s="304"/>
      <c r="CO193" s="304"/>
      <c r="CP193" s="304"/>
    </row>
    <row r="194" spans="1:94" s="87" customFormat="1">
      <c r="A194" s="81"/>
      <c r="B194" s="83"/>
      <c r="C194" s="82"/>
      <c r="D194" s="102"/>
      <c r="E194" s="102"/>
      <c r="F194" s="102"/>
      <c r="G194" s="225"/>
      <c r="H194" s="218">
        <f t="shared" si="18"/>
        <v>0</v>
      </c>
      <c r="I194" s="218">
        <f t="shared" si="19"/>
        <v>0</v>
      </c>
      <c r="J194" s="218">
        <f t="shared" si="20"/>
        <v>0</v>
      </c>
      <c r="K194" s="102" t="str">
        <f t="shared" si="21"/>
        <v/>
      </c>
      <c r="L194" s="221"/>
      <c r="M194" s="325"/>
      <c r="N194" s="94"/>
      <c r="O194" s="326"/>
      <c r="P194" s="84"/>
      <c r="Q194" s="88"/>
      <c r="R194" s="102">
        <f t="shared" si="17"/>
        <v>0</v>
      </c>
      <c r="S194" s="89"/>
      <c r="T194" s="100"/>
      <c r="U194" s="100"/>
      <c r="V194" s="100"/>
      <c r="W194" s="100"/>
      <c r="X194" s="100"/>
      <c r="Y194" s="83"/>
      <c r="Z194" s="304"/>
      <c r="AA194" s="304"/>
      <c r="AB194" s="304"/>
      <c r="AC194" s="304"/>
      <c r="AD194" s="304"/>
      <c r="AE194" s="304"/>
      <c r="AF194" s="304"/>
      <c r="AG194" s="304"/>
      <c r="AH194" s="304"/>
      <c r="AI194" s="304"/>
      <c r="AJ194" s="304"/>
      <c r="AK194" s="304"/>
      <c r="AL194" s="304"/>
      <c r="AM194" s="304"/>
      <c r="AN194" s="304"/>
      <c r="AO194" s="304"/>
      <c r="AP194" s="304"/>
      <c r="AQ194" s="304"/>
      <c r="AR194" s="304"/>
      <c r="AS194" s="304"/>
      <c r="AT194" s="304"/>
      <c r="AU194" s="304"/>
      <c r="AV194" s="304"/>
      <c r="AW194" s="304"/>
      <c r="AX194" s="304"/>
      <c r="AY194" s="304"/>
      <c r="AZ194" s="304"/>
      <c r="BA194" s="304"/>
      <c r="BB194" s="304"/>
      <c r="BC194" s="304"/>
      <c r="BD194" s="304"/>
      <c r="BE194" s="304"/>
      <c r="BF194" s="304"/>
      <c r="BG194" s="304"/>
      <c r="BH194" s="304"/>
      <c r="BI194" s="304"/>
      <c r="BJ194" s="304"/>
      <c r="BK194" s="304"/>
      <c r="BL194" s="304"/>
      <c r="BM194" s="304"/>
      <c r="BN194" s="304"/>
      <c r="BO194" s="304"/>
      <c r="BP194" s="304"/>
      <c r="BQ194" s="304"/>
      <c r="BR194" s="304"/>
      <c r="BS194" s="304"/>
      <c r="BT194" s="304"/>
      <c r="BU194" s="304"/>
      <c r="BV194" s="304"/>
      <c r="BW194" s="304"/>
      <c r="BX194" s="304"/>
      <c r="BY194" s="304"/>
      <c r="BZ194" s="304"/>
      <c r="CA194" s="304"/>
      <c r="CB194" s="304"/>
      <c r="CC194" s="304"/>
      <c r="CD194" s="304"/>
      <c r="CE194" s="304"/>
      <c r="CF194" s="304"/>
      <c r="CG194" s="304"/>
      <c r="CH194" s="304"/>
      <c r="CI194" s="304"/>
      <c r="CJ194" s="304"/>
      <c r="CK194" s="304"/>
      <c r="CL194" s="304"/>
      <c r="CM194" s="304"/>
      <c r="CN194" s="304"/>
      <c r="CO194" s="304"/>
      <c r="CP194" s="304"/>
    </row>
    <row r="195" spans="1:94" s="87" customFormat="1">
      <c r="A195" s="81"/>
      <c r="B195" s="83"/>
      <c r="C195" s="82"/>
      <c r="D195" s="102"/>
      <c r="E195" s="102"/>
      <c r="F195" s="102"/>
      <c r="G195" s="225"/>
      <c r="H195" s="218">
        <f t="shared" si="18"/>
        <v>0</v>
      </c>
      <c r="I195" s="218">
        <f t="shared" si="19"/>
        <v>0</v>
      </c>
      <c r="J195" s="218">
        <f t="shared" si="20"/>
        <v>0</v>
      </c>
      <c r="K195" s="102" t="str">
        <f t="shared" si="21"/>
        <v/>
      </c>
      <c r="L195" s="221"/>
      <c r="M195" s="325"/>
      <c r="N195" s="94"/>
      <c r="O195" s="326"/>
      <c r="P195" s="84"/>
      <c r="Q195" s="88"/>
      <c r="R195" s="102">
        <f t="shared" si="17"/>
        <v>0</v>
      </c>
      <c r="S195" s="89"/>
      <c r="T195" s="100"/>
      <c r="U195" s="100"/>
      <c r="V195" s="100"/>
      <c r="W195" s="100"/>
      <c r="X195" s="100"/>
      <c r="Y195" s="83"/>
      <c r="Z195" s="304"/>
      <c r="AA195" s="304"/>
      <c r="AB195" s="304"/>
      <c r="AC195" s="304"/>
      <c r="AD195" s="304"/>
      <c r="AE195" s="304"/>
      <c r="AF195" s="304"/>
      <c r="AG195" s="304"/>
      <c r="AH195" s="304"/>
      <c r="AI195" s="304"/>
      <c r="AJ195" s="304"/>
      <c r="AK195" s="304"/>
      <c r="AL195" s="304"/>
      <c r="AM195" s="304"/>
      <c r="AN195" s="304"/>
      <c r="AO195" s="304"/>
      <c r="AP195" s="304"/>
      <c r="AQ195" s="304"/>
      <c r="AR195" s="304"/>
      <c r="AS195" s="304"/>
      <c r="AT195" s="304"/>
      <c r="AU195" s="304"/>
      <c r="AV195" s="304"/>
      <c r="AW195" s="304"/>
      <c r="AX195" s="304"/>
      <c r="AY195" s="304"/>
      <c r="AZ195" s="304"/>
      <c r="BA195" s="304"/>
      <c r="BB195" s="304"/>
      <c r="BC195" s="304"/>
      <c r="BD195" s="304"/>
      <c r="BE195" s="304"/>
      <c r="BF195" s="304"/>
      <c r="BG195" s="304"/>
      <c r="BH195" s="304"/>
      <c r="BI195" s="304"/>
      <c r="BJ195" s="304"/>
      <c r="BK195" s="304"/>
      <c r="BL195" s="304"/>
      <c r="BM195" s="304"/>
      <c r="BN195" s="304"/>
      <c r="BO195" s="304"/>
      <c r="BP195" s="304"/>
      <c r="BQ195" s="304"/>
      <c r="BR195" s="304"/>
      <c r="BS195" s="304"/>
      <c r="BT195" s="304"/>
      <c r="BU195" s="304"/>
      <c r="BV195" s="304"/>
      <c r="BW195" s="304"/>
      <c r="BX195" s="304"/>
      <c r="BY195" s="304"/>
      <c r="BZ195" s="304"/>
      <c r="CA195" s="304"/>
      <c r="CB195" s="304"/>
      <c r="CC195" s="304"/>
      <c r="CD195" s="304"/>
      <c r="CE195" s="304"/>
      <c r="CF195" s="304"/>
      <c r="CG195" s="304"/>
      <c r="CH195" s="304"/>
      <c r="CI195" s="304"/>
      <c r="CJ195" s="304"/>
      <c r="CK195" s="304"/>
      <c r="CL195" s="304"/>
      <c r="CM195" s="304"/>
      <c r="CN195" s="304"/>
      <c r="CO195" s="304"/>
      <c r="CP195" s="304"/>
    </row>
    <row r="196" spans="1:94" s="87" customFormat="1">
      <c r="A196" s="81"/>
      <c r="B196" s="83"/>
      <c r="C196" s="82"/>
      <c r="D196" s="102"/>
      <c r="E196" s="102"/>
      <c r="F196" s="102"/>
      <c r="G196" s="225"/>
      <c r="H196" s="218">
        <f t="shared" si="18"/>
        <v>0</v>
      </c>
      <c r="I196" s="218">
        <f t="shared" si="19"/>
        <v>0</v>
      </c>
      <c r="J196" s="218">
        <f t="shared" si="20"/>
        <v>0</v>
      </c>
      <c r="K196" s="102" t="str">
        <f t="shared" si="21"/>
        <v/>
      </c>
      <c r="L196" s="221"/>
      <c r="M196" s="325"/>
      <c r="N196" s="94"/>
      <c r="O196" s="326"/>
      <c r="P196" s="84"/>
      <c r="Q196" s="88"/>
      <c r="R196" s="102">
        <f t="shared" si="17"/>
        <v>0</v>
      </c>
      <c r="S196" s="89"/>
      <c r="T196" s="100"/>
      <c r="U196" s="100"/>
      <c r="V196" s="100"/>
      <c r="W196" s="100"/>
      <c r="X196" s="100"/>
      <c r="Y196" s="83"/>
      <c r="Z196" s="304"/>
      <c r="AA196" s="304"/>
      <c r="AB196" s="304"/>
      <c r="AC196" s="304"/>
      <c r="AD196" s="304"/>
      <c r="AE196" s="304"/>
      <c r="AF196" s="304"/>
      <c r="AG196" s="304"/>
      <c r="AH196" s="304"/>
      <c r="AI196" s="304"/>
      <c r="AJ196" s="304"/>
      <c r="AK196" s="304"/>
      <c r="AL196" s="304"/>
      <c r="AM196" s="304"/>
      <c r="AN196" s="304"/>
      <c r="AO196" s="304"/>
      <c r="AP196" s="304"/>
      <c r="AQ196" s="304"/>
      <c r="AR196" s="304"/>
      <c r="AS196" s="304"/>
      <c r="AT196" s="304"/>
      <c r="AU196" s="304"/>
      <c r="AV196" s="304"/>
      <c r="AW196" s="304"/>
      <c r="AX196" s="304"/>
      <c r="AY196" s="304"/>
      <c r="AZ196" s="304"/>
      <c r="BA196" s="304"/>
      <c r="BB196" s="304"/>
      <c r="BC196" s="304"/>
      <c r="BD196" s="304"/>
      <c r="BE196" s="304"/>
      <c r="BF196" s="304"/>
      <c r="BG196" s="304"/>
      <c r="BH196" s="304"/>
      <c r="BI196" s="304"/>
      <c r="BJ196" s="304"/>
      <c r="BK196" s="304"/>
      <c r="BL196" s="304"/>
      <c r="BM196" s="304"/>
      <c r="BN196" s="304"/>
      <c r="BO196" s="304"/>
      <c r="BP196" s="304"/>
      <c r="BQ196" s="304"/>
      <c r="BR196" s="304"/>
      <c r="BS196" s="304"/>
      <c r="BT196" s="304"/>
      <c r="BU196" s="304"/>
      <c r="BV196" s="304"/>
      <c r="BW196" s="304"/>
      <c r="BX196" s="304"/>
      <c r="BY196" s="304"/>
      <c r="BZ196" s="304"/>
      <c r="CA196" s="304"/>
      <c r="CB196" s="304"/>
      <c r="CC196" s="304"/>
      <c r="CD196" s="304"/>
      <c r="CE196" s="304"/>
      <c r="CF196" s="304"/>
      <c r="CG196" s="304"/>
      <c r="CH196" s="304"/>
      <c r="CI196" s="304"/>
      <c r="CJ196" s="304"/>
      <c r="CK196" s="304"/>
      <c r="CL196" s="304"/>
      <c r="CM196" s="304"/>
      <c r="CN196" s="304"/>
      <c r="CO196" s="304"/>
      <c r="CP196" s="304"/>
    </row>
    <row r="197" spans="1:94" s="87" customFormat="1">
      <c r="A197" s="81"/>
      <c r="B197" s="83"/>
      <c r="C197" s="82"/>
      <c r="D197" s="102"/>
      <c r="E197" s="102"/>
      <c r="F197" s="102"/>
      <c r="G197" s="225"/>
      <c r="H197" s="218">
        <f t="shared" si="18"/>
        <v>0</v>
      </c>
      <c r="I197" s="218">
        <f t="shared" si="19"/>
        <v>0</v>
      </c>
      <c r="J197" s="218">
        <f t="shared" si="20"/>
        <v>0</v>
      </c>
      <c r="K197" s="102" t="str">
        <f t="shared" si="21"/>
        <v/>
      </c>
      <c r="L197" s="221"/>
      <c r="M197" s="325"/>
      <c r="N197" s="94"/>
      <c r="O197" s="326"/>
      <c r="P197" s="84"/>
      <c r="Q197" s="88"/>
      <c r="R197" s="102">
        <f t="shared" ref="R197:R260" si="22">IFERROR(SUM(F197-D197),"NA")</f>
        <v>0</v>
      </c>
      <c r="S197" s="89"/>
      <c r="T197" s="100"/>
      <c r="U197" s="100"/>
      <c r="V197" s="100"/>
      <c r="W197" s="100"/>
      <c r="X197" s="100"/>
      <c r="Y197" s="83"/>
      <c r="Z197" s="304"/>
      <c r="AA197" s="304"/>
      <c r="AB197" s="304"/>
      <c r="AC197" s="304"/>
      <c r="AD197" s="304"/>
      <c r="AE197" s="304"/>
      <c r="AF197" s="304"/>
      <c r="AG197" s="304"/>
      <c r="AH197" s="304"/>
      <c r="AI197" s="304"/>
      <c r="AJ197" s="304"/>
      <c r="AK197" s="304"/>
      <c r="AL197" s="304"/>
      <c r="AM197" s="304"/>
      <c r="AN197" s="304"/>
      <c r="AO197" s="304"/>
      <c r="AP197" s="304"/>
      <c r="AQ197" s="304"/>
      <c r="AR197" s="304"/>
      <c r="AS197" s="304"/>
      <c r="AT197" s="304"/>
      <c r="AU197" s="304"/>
      <c r="AV197" s="304"/>
      <c r="AW197" s="304"/>
      <c r="AX197" s="304"/>
      <c r="AY197" s="304"/>
      <c r="AZ197" s="304"/>
      <c r="BA197" s="304"/>
      <c r="BB197" s="304"/>
      <c r="BC197" s="304"/>
      <c r="BD197" s="304"/>
      <c r="BE197" s="304"/>
      <c r="BF197" s="304"/>
      <c r="BG197" s="304"/>
      <c r="BH197" s="304"/>
      <c r="BI197" s="304"/>
      <c r="BJ197" s="304"/>
      <c r="BK197" s="304"/>
      <c r="BL197" s="304"/>
      <c r="BM197" s="304"/>
      <c r="BN197" s="304"/>
      <c r="BO197" s="304"/>
      <c r="BP197" s="304"/>
      <c r="BQ197" s="304"/>
      <c r="BR197" s="304"/>
      <c r="BS197" s="304"/>
      <c r="BT197" s="304"/>
      <c r="BU197" s="304"/>
      <c r="BV197" s="304"/>
      <c r="BW197" s="304"/>
      <c r="BX197" s="304"/>
      <c r="BY197" s="304"/>
      <c r="BZ197" s="304"/>
      <c r="CA197" s="304"/>
      <c r="CB197" s="304"/>
      <c r="CC197" s="304"/>
      <c r="CD197" s="304"/>
      <c r="CE197" s="304"/>
      <c r="CF197" s="304"/>
      <c r="CG197" s="304"/>
      <c r="CH197" s="304"/>
      <c r="CI197" s="304"/>
      <c r="CJ197" s="304"/>
      <c r="CK197" s="304"/>
      <c r="CL197" s="304"/>
      <c r="CM197" s="304"/>
      <c r="CN197" s="304"/>
      <c r="CO197" s="304"/>
      <c r="CP197" s="304"/>
    </row>
    <row r="198" spans="1:94" s="87" customFormat="1">
      <c r="A198" s="81"/>
      <c r="B198" s="83"/>
      <c r="C198" s="82"/>
      <c r="D198" s="102"/>
      <c r="E198" s="102"/>
      <c r="F198" s="102"/>
      <c r="G198" s="225"/>
      <c r="H198" s="218">
        <f t="shared" si="18"/>
        <v>0</v>
      </c>
      <c r="I198" s="218">
        <f t="shared" si="19"/>
        <v>0</v>
      </c>
      <c r="J198" s="218">
        <f t="shared" si="20"/>
        <v>0</v>
      </c>
      <c r="K198" s="102" t="str">
        <f t="shared" si="21"/>
        <v/>
      </c>
      <c r="L198" s="221"/>
      <c r="M198" s="325"/>
      <c r="N198" s="94"/>
      <c r="O198" s="326"/>
      <c r="P198" s="84"/>
      <c r="Q198" s="88"/>
      <c r="R198" s="102">
        <f t="shared" si="22"/>
        <v>0</v>
      </c>
      <c r="S198" s="89"/>
      <c r="T198" s="100"/>
      <c r="U198" s="100"/>
      <c r="V198" s="100"/>
      <c r="W198" s="100"/>
      <c r="X198" s="100"/>
      <c r="Y198" s="83"/>
      <c r="Z198" s="304"/>
      <c r="AA198" s="304"/>
      <c r="AB198" s="304"/>
      <c r="AC198" s="304"/>
      <c r="AD198" s="304"/>
      <c r="AE198" s="304"/>
      <c r="AF198" s="304"/>
      <c r="AG198" s="304"/>
      <c r="AH198" s="304"/>
      <c r="AI198" s="304"/>
      <c r="AJ198" s="304"/>
      <c r="AK198" s="304"/>
      <c r="AL198" s="304"/>
      <c r="AM198" s="304"/>
      <c r="AN198" s="304"/>
      <c r="AO198" s="304"/>
      <c r="AP198" s="304"/>
      <c r="AQ198" s="304"/>
      <c r="AR198" s="304"/>
      <c r="AS198" s="304"/>
      <c r="AT198" s="304"/>
      <c r="AU198" s="304"/>
      <c r="AV198" s="304"/>
      <c r="AW198" s="304"/>
      <c r="AX198" s="304"/>
      <c r="AY198" s="304"/>
      <c r="AZ198" s="304"/>
      <c r="BA198" s="304"/>
      <c r="BB198" s="304"/>
      <c r="BC198" s="304"/>
      <c r="BD198" s="304"/>
      <c r="BE198" s="304"/>
      <c r="BF198" s="304"/>
      <c r="BG198" s="304"/>
      <c r="BH198" s="304"/>
      <c r="BI198" s="304"/>
      <c r="BJ198" s="304"/>
      <c r="BK198" s="304"/>
      <c r="BL198" s="304"/>
      <c r="BM198" s="304"/>
      <c r="BN198" s="304"/>
      <c r="BO198" s="304"/>
      <c r="BP198" s="304"/>
      <c r="BQ198" s="304"/>
      <c r="BR198" s="304"/>
      <c r="BS198" s="304"/>
      <c r="BT198" s="304"/>
      <c r="BU198" s="304"/>
      <c r="BV198" s="304"/>
      <c r="BW198" s="304"/>
      <c r="BX198" s="304"/>
      <c r="BY198" s="304"/>
      <c r="BZ198" s="304"/>
      <c r="CA198" s="304"/>
      <c r="CB198" s="304"/>
      <c r="CC198" s="304"/>
      <c r="CD198" s="304"/>
      <c r="CE198" s="304"/>
      <c r="CF198" s="304"/>
      <c r="CG198" s="304"/>
      <c r="CH198" s="304"/>
      <c r="CI198" s="304"/>
      <c r="CJ198" s="304"/>
      <c r="CK198" s="304"/>
      <c r="CL198" s="304"/>
      <c r="CM198" s="304"/>
      <c r="CN198" s="304"/>
      <c r="CO198" s="304"/>
      <c r="CP198" s="304"/>
    </row>
    <row r="199" spans="1:94" s="87" customFormat="1">
      <c r="A199" s="81"/>
      <c r="B199" s="83"/>
      <c r="C199" s="82"/>
      <c r="D199" s="102"/>
      <c r="E199" s="102"/>
      <c r="F199" s="102"/>
      <c r="G199" s="225"/>
      <c r="H199" s="218">
        <f t="shared" si="18"/>
        <v>0</v>
      </c>
      <c r="I199" s="218">
        <f t="shared" si="19"/>
        <v>0</v>
      </c>
      <c r="J199" s="218">
        <f t="shared" si="20"/>
        <v>0</v>
      </c>
      <c r="K199" s="102" t="str">
        <f t="shared" si="21"/>
        <v/>
      </c>
      <c r="L199" s="221"/>
      <c r="M199" s="325"/>
      <c r="N199" s="94"/>
      <c r="O199" s="326"/>
      <c r="P199" s="84"/>
      <c r="Q199" s="88"/>
      <c r="R199" s="102">
        <f t="shared" si="22"/>
        <v>0</v>
      </c>
      <c r="S199" s="89"/>
      <c r="T199" s="100"/>
      <c r="U199" s="100"/>
      <c r="V199" s="100"/>
      <c r="W199" s="100"/>
      <c r="X199" s="100"/>
      <c r="Y199" s="83"/>
      <c r="Z199" s="304"/>
      <c r="AA199" s="304"/>
      <c r="AB199" s="304"/>
      <c r="AC199" s="304"/>
      <c r="AD199" s="304"/>
      <c r="AE199" s="304"/>
      <c r="AF199" s="304"/>
      <c r="AG199" s="304"/>
      <c r="AH199" s="304"/>
      <c r="AI199" s="304"/>
      <c r="AJ199" s="304"/>
      <c r="AK199" s="304"/>
      <c r="AL199" s="304"/>
      <c r="AM199" s="304"/>
      <c r="AN199" s="304"/>
      <c r="AO199" s="304"/>
      <c r="AP199" s="304"/>
      <c r="AQ199" s="304"/>
      <c r="AR199" s="304"/>
      <c r="AS199" s="304"/>
      <c r="AT199" s="304"/>
      <c r="AU199" s="304"/>
      <c r="AV199" s="304"/>
      <c r="AW199" s="304"/>
      <c r="AX199" s="304"/>
      <c r="AY199" s="304"/>
      <c r="AZ199" s="304"/>
      <c r="BA199" s="304"/>
      <c r="BB199" s="304"/>
      <c r="BC199" s="304"/>
      <c r="BD199" s="304"/>
      <c r="BE199" s="304"/>
      <c r="BF199" s="304"/>
      <c r="BG199" s="304"/>
      <c r="BH199" s="304"/>
      <c r="BI199" s="304"/>
      <c r="BJ199" s="304"/>
      <c r="BK199" s="304"/>
      <c r="BL199" s="304"/>
      <c r="BM199" s="304"/>
      <c r="BN199" s="304"/>
      <c r="BO199" s="304"/>
      <c r="BP199" s="304"/>
      <c r="BQ199" s="304"/>
      <c r="BR199" s="304"/>
      <c r="BS199" s="304"/>
      <c r="BT199" s="304"/>
      <c r="BU199" s="304"/>
      <c r="BV199" s="304"/>
      <c r="BW199" s="304"/>
      <c r="BX199" s="304"/>
      <c r="BY199" s="304"/>
      <c r="BZ199" s="304"/>
      <c r="CA199" s="304"/>
      <c r="CB199" s="304"/>
      <c r="CC199" s="304"/>
      <c r="CD199" s="304"/>
      <c r="CE199" s="304"/>
      <c r="CF199" s="304"/>
      <c r="CG199" s="304"/>
      <c r="CH199" s="304"/>
      <c r="CI199" s="304"/>
      <c r="CJ199" s="304"/>
      <c r="CK199" s="304"/>
      <c r="CL199" s="304"/>
      <c r="CM199" s="304"/>
      <c r="CN199" s="304"/>
      <c r="CO199" s="304"/>
      <c r="CP199" s="304"/>
    </row>
    <row r="200" spans="1:94" s="87" customFormat="1">
      <c r="A200" s="81"/>
      <c r="B200" s="83"/>
      <c r="C200" s="82"/>
      <c r="D200" s="102"/>
      <c r="E200" s="102"/>
      <c r="F200" s="102"/>
      <c r="G200" s="225"/>
      <c r="H200" s="218">
        <f t="shared" si="18"/>
        <v>0</v>
      </c>
      <c r="I200" s="218">
        <f t="shared" si="19"/>
        <v>0</v>
      </c>
      <c r="J200" s="218">
        <f t="shared" si="20"/>
        <v>0</v>
      </c>
      <c r="K200" s="102" t="str">
        <f t="shared" si="21"/>
        <v/>
      </c>
      <c r="L200" s="221"/>
      <c r="M200" s="325"/>
      <c r="N200" s="94"/>
      <c r="O200" s="326"/>
      <c r="P200" s="84"/>
      <c r="Q200" s="88"/>
      <c r="R200" s="102">
        <f t="shared" si="22"/>
        <v>0</v>
      </c>
      <c r="S200" s="89"/>
      <c r="T200" s="100"/>
      <c r="U200" s="100"/>
      <c r="V200" s="100"/>
      <c r="W200" s="100"/>
      <c r="X200" s="100"/>
      <c r="Y200" s="83"/>
      <c r="Z200" s="304"/>
      <c r="AA200" s="304"/>
      <c r="AB200" s="304"/>
      <c r="AC200" s="304"/>
      <c r="AD200" s="304"/>
      <c r="AE200" s="304"/>
      <c r="AF200" s="304"/>
      <c r="AG200" s="304"/>
      <c r="AH200" s="304"/>
      <c r="AI200" s="304"/>
      <c r="AJ200" s="304"/>
      <c r="AK200" s="304"/>
      <c r="AL200" s="304"/>
      <c r="AM200" s="304"/>
      <c r="AN200" s="304"/>
      <c r="AO200" s="304"/>
      <c r="AP200" s="304"/>
      <c r="AQ200" s="304"/>
      <c r="AR200" s="304"/>
      <c r="AS200" s="304"/>
      <c r="AT200" s="304"/>
      <c r="AU200" s="304"/>
      <c r="AV200" s="304"/>
      <c r="AW200" s="304"/>
      <c r="AX200" s="304"/>
      <c r="AY200" s="304"/>
      <c r="AZ200" s="304"/>
      <c r="BA200" s="304"/>
      <c r="BB200" s="304"/>
      <c r="BC200" s="304"/>
      <c r="BD200" s="304"/>
      <c r="BE200" s="304"/>
      <c r="BF200" s="304"/>
      <c r="BG200" s="304"/>
      <c r="BH200" s="304"/>
      <c r="BI200" s="304"/>
      <c r="BJ200" s="304"/>
      <c r="BK200" s="304"/>
      <c r="BL200" s="304"/>
      <c r="BM200" s="304"/>
      <c r="BN200" s="304"/>
      <c r="BO200" s="304"/>
      <c r="BP200" s="304"/>
      <c r="BQ200" s="304"/>
      <c r="BR200" s="304"/>
      <c r="BS200" s="304"/>
      <c r="BT200" s="304"/>
      <c r="BU200" s="304"/>
      <c r="BV200" s="304"/>
      <c r="BW200" s="304"/>
      <c r="BX200" s="304"/>
      <c r="BY200" s="304"/>
      <c r="BZ200" s="304"/>
      <c r="CA200" s="304"/>
      <c r="CB200" s="304"/>
      <c r="CC200" s="304"/>
      <c r="CD200" s="304"/>
      <c r="CE200" s="304"/>
      <c r="CF200" s="304"/>
      <c r="CG200" s="304"/>
      <c r="CH200" s="304"/>
      <c r="CI200" s="304"/>
      <c r="CJ200" s="304"/>
      <c r="CK200" s="304"/>
      <c r="CL200" s="304"/>
      <c r="CM200" s="304"/>
      <c r="CN200" s="304"/>
      <c r="CO200" s="304"/>
      <c r="CP200" s="304"/>
    </row>
    <row r="201" spans="1:94" s="87" customFormat="1">
      <c r="A201" s="81"/>
      <c r="B201" s="83"/>
      <c r="C201" s="82"/>
      <c r="D201" s="102"/>
      <c r="E201" s="102"/>
      <c r="F201" s="102"/>
      <c r="G201" s="225"/>
      <c r="H201" s="218">
        <f t="shared" si="18"/>
        <v>0</v>
      </c>
      <c r="I201" s="218">
        <f t="shared" si="19"/>
        <v>0</v>
      </c>
      <c r="J201" s="218">
        <f t="shared" si="20"/>
        <v>0</v>
      </c>
      <c r="K201" s="102" t="str">
        <f t="shared" si="21"/>
        <v/>
      </c>
      <c r="L201" s="221"/>
      <c r="M201" s="325"/>
      <c r="N201" s="94"/>
      <c r="O201" s="326"/>
      <c r="P201" s="84"/>
      <c r="Q201" s="88"/>
      <c r="R201" s="102">
        <f t="shared" si="22"/>
        <v>0</v>
      </c>
      <c r="S201" s="89"/>
      <c r="T201" s="100"/>
      <c r="U201" s="100"/>
      <c r="V201" s="100"/>
      <c r="W201" s="100"/>
      <c r="X201" s="100"/>
      <c r="Y201" s="83"/>
      <c r="Z201" s="304"/>
      <c r="AA201" s="304"/>
      <c r="AB201" s="304"/>
      <c r="AC201" s="304"/>
      <c r="AD201" s="304"/>
      <c r="AE201" s="304"/>
      <c r="AF201" s="304"/>
      <c r="AG201" s="304"/>
      <c r="AH201" s="304"/>
      <c r="AI201" s="304"/>
      <c r="AJ201" s="304"/>
      <c r="AK201" s="304"/>
      <c r="AL201" s="304"/>
      <c r="AM201" s="304"/>
      <c r="AN201" s="304"/>
      <c r="AO201" s="304"/>
      <c r="AP201" s="304"/>
      <c r="AQ201" s="304"/>
      <c r="AR201" s="304"/>
      <c r="AS201" s="304"/>
      <c r="AT201" s="304"/>
      <c r="AU201" s="304"/>
      <c r="AV201" s="304"/>
      <c r="AW201" s="304"/>
      <c r="AX201" s="304"/>
      <c r="AY201" s="304"/>
      <c r="AZ201" s="304"/>
      <c r="BA201" s="304"/>
      <c r="BB201" s="304"/>
      <c r="BC201" s="304"/>
      <c r="BD201" s="304"/>
      <c r="BE201" s="304"/>
      <c r="BF201" s="304"/>
      <c r="BG201" s="304"/>
      <c r="BH201" s="304"/>
      <c r="BI201" s="304"/>
      <c r="BJ201" s="304"/>
      <c r="BK201" s="304"/>
      <c r="BL201" s="304"/>
      <c r="BM201" s="304"/>
      <c r="BN201" s="304"/>
      <c r="BO201" s="304"/>
      <c r="BP201" s="304"/>
      <c r="BQ201" s="304"/>
      <c r="BR201" s="304"/>
      <c r="BS201" s="304"/>
      <c r="BT201" s="304"/>
      <c r="BU201" s="304"/>
      <c r="BV201" s="304"/>
      <c r="BW201" s="304"/>
      <c r="BX201" s="304"/>
      <c r="BY201" s="304"/>
      <c r="BZ201" s="304"/>
      <c r="CA201" s="304"/>
      <c r="CB201" s="304"/>
      <c r="CC201" s="304"/>
      <c r="CD201" s="304"/>
      <c r="CE201" s="304"/>
      <c r="CF201" s="304"/>
      <c r="CG201" s="304"/>
      <c r="CH201" s="304"/>
      <c r="CI201" s="304"/>
      <c r="CJ201" s="304"/>
      <c r="CK201" s="304"/>
      <c r="CL201" s="304"/>
      <c r="CM201" s="304"/>
      <c r="CN201" s="304"/>
      <c r="CO201" s="304"/>
      <c r="CP201" s="304"/>
    </row>
    <row r="202" spans="1:94" s="87" customFormat="1">
      <c r="A202" s="81"/>
      <c r="B202" s="83"/>
      <c r="C202" s="82"/>
      <c r="D202" s="102"/>
      <c r="E202" s="102"/>
      <c r="F202" s="102"/>
      <c r="G202" s="225"/>
      <c r="H202" s="218">
        <f t="shared" ref="H202:H250" si="23">IF($G202="Attribute","NA",D202)</f>
        <v>0</v>
      </c>
      <c r="I202" s="218">
        <f t="shared" ref="I202:I250" si="24">IF($G202="Attribute","NA",E202)</f>
        <v>0</v>
      </c>
      <c r="J202" s="218">
        <f t="shared" ref="J202:J250" si="25">IF($G202="Attribute","NA",F202)</f>
        <v>0</v>
      </c>
      <c r="K202" s="102" t="str">
        <f t="shared" ref="K202:K265" si="26">IF(RIGHT(IF(LEFT(SUBSTITUTE(SUBSTITUTE(IF(ISERROR(LEFT(SUBSTITUTE(SUBSTITUTE(C202,"(",""),")",""),1)*1),SUBSTITUTE(SUBSTITUTE(C202,"(",""),")",""),SUBSTITUTE(SUBSTITUTE(SUBSTITUTE(C202,"(",""),")",""),"_","",1)),"00",""),"_0","_"),1)="0",RIGHT(SUBSTITUTE(SUBSTITUTE(IF(ISERROR(LEFT(SUBSTITUTE(SUBSTITUTE(C202,"(",""),")",""),1)*1),SUBSTITUTE(SUBSTITUTE(C202,"(",""),")",""),SUBSTITUTE(SUBSTITUTE(SUBSTITUTE(C202,"(",""),")",""),"_","",1)),"00",""),"_0","_"),LEN(SUBSTITUTE(SUBSTITUTE(IF(ISERROR(LEFT(SUBSTITUTE(SUBSTITUTE(C202,"(",""),")",""),1)*1),SUBSTITUTE(SUBSTITUTE(C202,"(",""),")",""),SUBSTITUTE(SUBSTITUTE(SUBSTITUTE(C202,"(",""),")",""),"_","",1)),"00",""),"_0","_"))-1),SUBSTITUTE(SUBSTITUTE(IF(ISERROR(LEFT(SUBSTITUTE(SUBSTITUTE(C202,"(",""),")",""),1)*1),SUBSTITUTE(SUBSTITUTE(C202,"(",""),")",""),SUBSTITUTE(SUBSTITUTE(SUBSTITUTE(C202,"(",""),")",""),"_","",1)),"00",""),"_0","_")),1)="_",LEFT(IF(LEFT(SUBSTITUTE(SUBSTITUTE(IF(ISERROR(LEFT(SUBSTITUTE(SUBSTITUTE(C202,"(",""),")",""),1)*1),SUBSTITUTE(SUBSTITUTE(C202,"(",""),")",""),SUBSTITUTE(SUBSTITUTE(SUBSTITUTE(C202,"(",""),")",""),"_","",1)),"00",""),"_0","_"),1)="0",RIGHT(SUBSTITUTE(SUBSTITUTE(IF(ISERROR(LEFT(SUBSTITUTE(SUBSTITUTE(C202,"(",""),")",""),1)*1),SUBSTITUTE(SUBSTITUTE(C202,"(",""),")",""),SUBSTITUTE(SUBSTITUTE(SUBSTITUTE(C202,"(",""),")",""),"_","",1)),"00",""),"_0","_"),LEN(SUBSTITUTE(SUBSTITUTE(IF(ISERROR(LEFT(SUBSTITUTE(SUBSTITUTE(C202,"(",""),")",""),1)*1),SUBSTITUTE(SUBSTITUTE(C202,"(",""),")",""),SUBSTITUTE(SUBSTITUTE(SUBSTITUTE(C202,"(",""),")",""),"_","",1)),"00",""),"_0","_"))-1),SUBSTITUTE(SUBSTITUTE(IF(ISERROR(LEFT(SUBSTITUTE(SUBSTITUTE(C202,"(",""),")",""),1)*1),SUBSTITUTE(SUBSTITUTE(C202,"(",""),")",""),SUBSTITUTE(SUBSTITUTE(SUBSTITUTE(C202,"(",""),")",""),"_","",1)),"00",""),"_0","_")),LEN(IF(LEFT(SUBSTITUTE(SUBSTITUTE(IF(ISERROR(LEFT(SUBSTITUTE(SUBSTITUTE(C202,"(",""),")",""),1)*1),SUBSTITUTE(SUBSTITUTE(C202,"(",""),")",""),SUBSTITUTE(SUBSTITUTE(SUBSTITUTE(C202,"(",""),")",""),"_","",1)),"00",""),"_0","_"),1)="0",RIGHT(SUBSTITUTE(SUBSTITUTE(IF(ISERROR(LEFT(SUBSTITUTE(SUBSTITUTE(C202,"(",""),")",""),1)*1),SUBSTITUTE(SUBSTITUTE(C202,"(",""),")",""),SUBSTITUTE(SUBSTITUTE(SUBSTITUTE(C202,"(",""),")",""),"_","",1)),"00",""),"_0","_"),LEN(SUBSTITUTE(SUBSTITUTE(IF(ISERROR(LEFT(SUBSTITUTE(SUBSTITUTE(C202,"(",""),")",""),1)*1),SUBSTITUTE(SUBSTITUTE(C202,"(",""),")",""),SUBSTITUTE(SUBSTITUTE(SUBSTITUTE(C202,"(",""),")",""),"_","",1)),"00",""),"_0","_"))-1),SUBSTITUTE(SUBSTITUTE(IF(ISERROR(LEFT(SUBSTITUTE(SUBSTITUTE(C202,"(",""),")",""),1)*1),SUBSTITUTE(SUBSTITUTE(C202,"(",""),")",""),SUBSTITUTE(SUBSTITUTE(SUBSTITUTE(C202,"(",""),")",""),"_","",1)),"00",""),"_0","_")))-1),IF(LEFT(SUBSTITUTE(SUBSTITUTE(IF(ISERROR(LEFT(SUBSTITUTE(SUBSTITUTE(C202,"(",""),")",""),1)*1),SUBSTITUTE(SUBSTITUTE(C202,"(",""),")",""),SUBSTITUTE(SUBSTITUTE(SUBSTITUTE(C202,"(",""),")",""),"_","",1)),"00",""),"_0","_"),1)="0",RIGHT(SUBSTITUTE(SUBSTITUTE(IF(ISERROR(LEFT(SUBSTITUTE(SUBSTITUTE(C202,"(",""),")",""),1)*1),SUBSTITUTE(SUBSTITUTE(C202,"(",""),")",""),SUBSTITUTE(SUBSTITUTE(SUBSTITUTE(C202,"(",""),")",""),"_","",1)),"00",""),"_0","_"),LEN(SUBSTITUTE(SUBSTITUTE(IF(ISERROR(LEFT(SUBSTITUTE(SUBSTITUTE(C202,"(",""),")",""),1)*1),SUBSTITUTE(SUBSTITUTE(C202,"(",""),")",""),SUBSTITUTE(SUBSTITUTE(SUBSTITUTE(C202,"(",""),")",""),"_","",1)),"00",""),"_0","_"))-1),SUBSTITUTE(SUBSTITUTE(IF(ISERROR(LEFT(SUBSTITUTE(SUBSTITUTE(C202,"(",""),")",""),1)*1),SUBSTITUTE(SUBSTITUTE(C202,"(",""),")",""),SUBSTITUTE(SUBSTITUTE(SUBSTITUTE(C202,"(",""),")",""),"_","",1)),"00",""),"_0","_")))</f>
        <v/>
      </c>
      <c r="L202" s="221"/>
      <c r="M202" s="325"/>
      <c r="N202" s="94"/>
      <c r="O202" s="326"/>
      <c r="P202" s="84"/>
      <c r="Q202" s="88"/>
      <c r="R202" s="102">
        <f t="shared" si="22"/>
        <v>0</v>
      </c>
      <c r="S202" s="89"/>
      <c r="T202" s="100"/>
      <c r="U202" s="100"/>
      <c r="V202" s="100"/>
      <c r="W202" s="100"/>
      <c r="X202" s="100"/>
      <c r="Y202" s="83"/>
      <c r="Z202" s="304"/>
      <c r="AA202" s="304"/>
      <c r="AB202" s="304"/>
      <c r="AC202" s="304"/>
      <c r="AD202" s="304"/>
      <c r="AE202" s="304"/>
      <c r="AF202" s="304"/>
      <c r="AG202" s="304"/>
      <c r="AH202" s="304"/>
      <c r="AI202" s="304"/>
      <c r="AJ202" s="304"/>
      <c r="AK202" s="304"/>
      <c r="AL202" s="304"/>
      <c r="AM202" s="304"/>
      <c r="AN202" s="304"/>
      <c r="AO202" s="304"/>
      <c r="AP202" s="304"/>
      <c r="AQ202" s="304"/>
      <c r="AR202" s="304"/>
      <c r="AS202" s="304"/>
      <c r="AT202" s="304"/>
      <c r="AU202" s="304"/>
      <c r="AV202" s="304"/>
      <c r="AW202" s="304"/>
      <c r="AX202" s="304"/>
      <c r="AY202" s="304"/>
      <c r="AZ202" s="304"/>
      <c r="BA202" s="304"/>
      <c r="BB202" s="304"/>
      <c r="BC202" s="304"/>
      <c r="BD202" s="304"/>
      <c r="BE202" s="304"/>
      <c r="BF202" s="304"/>
      <c r="BG202" s="304"/>
      <c r="BH202" s="304"/>
      <c r="BI202" s="304"/>
      <c r="BJ202" s="304"/>
      <c r="BK202" s="304"/>
      <c r="BL202" s="304"/>
      <c r="BM202" s="304"/>
      <c r="BN202" s="304"/>
      <c r="BO202" s="304"/>
      <c r="BP202" s="304"/>
      <c r="BQ202" s="304"/>
      <c r="BR202" s="304"/>
      <c r="BS202" s="304"/>
      <c r="BT202" s="304"/>
      <c r="BU202" s="304"/>
      <c r="BV202" s="304"/>
      <c r="BW202" s="304"/>
      <c r="BX202" s="304"/>
      <c r="BY202" s="304"/>
      <c r="BZ202" s="304"/>
      <c r="CA202" s="304"/>
      <c r="CB202" s="304"/>
      <c r="CC202" s="304"/>
      <c r="CD202" s="304"/>
      <c r="CE202" s="304"/>
      <c r="CF202" s="304"/>
      <c r="CG202" s="304"/>
      <c r="CH202" s="304"/>
      <c r="CI202" s="304"/>
      <c r="CJ202" s="304"/>
      <c r="CK202" s="304"/>
      <c r="CL202" s="304"/>
      <c r="CM202" s="304"/>
      <c r="CN202" s="304"/>
      <c r="CO202" s="304"/>
      <c r="CP202" s="304"/>
    </row>
    <row r="203" spans="1:94" s="87" customFormat="1">
      <c r="A203" s="81"/>
      <c r="B203" s="83"/>
      <c r="C203" s="82"/>
      <c r="D203" s="102"/>
      <c r="E203" s="102"/>
      <c r="F203" s="102"/>
      <c r="G203" s="225"/>
      <c r="H203" s="218">
        <f t="shared" si="23"/>
        <v>0</v>
      </c>
      <c r="I203" s="218">
        <f t="shared" si="24"/>
        <v>0</v>
      </c>
      <c r="J203" s="218">
        <f t="shared" si="25"/>
        <v>0</v>
      </c>
      <c r="K203" s="102" t="str">
        <f t="shared" si="26"/>
        <v/>
      </c>
      <c r="L203" s="221"/>
      <c r="M203" s="325"/>
      <c r="N203" s="94"/>
      <c r="O203" s="326"/>
      <c r="P203" s="84"/>
      <c r="Q203" s="88"/>
      <c r="R203" s="102">
        <f t="shared" si="22"/>
        <v>0</v>
      </c>
      <c r="S203" s="89"/>
      <c r="T203" s="100"/>
      <c r="U203" s="100"/>
      <c r="V203" s="100"/>
      <c r="W203" s="100"/>
      <c r="X203" s="100"/>
      <c r="Y203" s="83"/>
      <c r="Z203" s="304"/>
      <c r="AA203" s="304"/>
      <c r="AB203" s="304"/>
      <c r="AC203" s="304"/>
      <c r="AD203" s="304"/>
      <c r="AE203" s="304"/>
      <c r="AF203" s="304"/>
      <c r="AG203" s="304"/>
      <c r="AH203" s="304"/>
      <c r="AI203" s="304"/>
      <c r="AJ203" s="304"/>
      <c r="AK203" s="304"/>
      <c r="AL203" s="304"/>
      <c r="AM203" s="304"/>
      <c r="AN203" s="304"/>
      <c r="AO203" s="304"/>
      <c r="AP203" s="304"/>
      <c r="AQ203" s="304"/>
      <c r="AR203" s="304"/>
      <c r="AS203" s="304"/>
      <c r="AT203" s="304"/>
      <c r="AU203" s="304"/>
      <c r="AV203" s="304"/>
      <c r="AW203" s="304"/>
      <c r="AX203" s="304"/>
      <c r="AY203" s="304"/>
      <c r="AZ203" s="304"/>
      <c r="BA203" s="304"/>
      <c r="BB203" s="304"/>
      <c r="BC203" s="304"/>
      <c r="BD203" s="304"/>
      <c r="BE203" s="304"/>
      <c r="BF203" s="304"/>
      <c r="BG203" s="304"/>
      <c r="BH203" s="304"/>
      <c r="BI203" s="304"/>
      <c r="BJ203" s="304"/>
      <c r="BK203" s="304"/>
      <c r="BL203" s="304"/>
      <c r="BM203" s="304"/>
      <c r="BN203" s="304"/>
      <c r="BO203" s="304"/>
      <c r="BP203" s="304"/>
      <c r="BQ203" s="304"/>
      <c r="BR203" s="304"/>
      <c r="BS203" s="304"/>
      <c r="BT203" s="304"/>
      <c r="BU203" s="304"/>
      <c r="BV203" s="304"/>
      <c r="BW203" s="304"/>
      <c r="BX203" s="304"/>
      <c r="BY203" s="304"/>
      <c r="BZ203" s="304"/>
      <c r="CA203" s="304"/>
      <c r="CB203" s="304"/>
      <c r="CC203" s="304"/>
      <c r="CD203" s="304"/>
      <c r="CE203" s="304"/>
      <c r="CF203" s="304"/>
      <c r="CG203" s="304"/>
      <c r="CH203" s="304"/>
      <c r="CI203" s="304"/>
      <c r="CJ203" s="304"/>
      <c r="CK203" s="304"/>
      <c r="CL203" s="304"/>
      <c r="CM203" s="304"/>
      <c r="CN203" s="304"/>
      <c r="CO203" s="304"/>
      <c r="CP203" s="304"/>
    </row>
    <row r="204" spans="1:94" s="87" customFormat="1">
      <c r="A204" s="81"/>
      <c r="B204" s="83"/>
      <c r="C204" s="82"/>
      <c r="D204" s="102"/>
      <c r="E204" s="102"/>
      <c r="F204" s="102"/>
      <c r="G204" s="225"/>
      <c r="H204" s="218">
        <f t="shared" si="23"/>
        <v>0</v>
      </c>
      <c r="I204" s="218">
        <f t="shared" si="24"/>
        <v>0</v>
      </c>
      <c r="J204" s="218">
        <f t="shared" si="25"/>
        <v>0</v>
      </c>
      <c r="K204" s="102" t="str">
        <f t="shared" si="26"/>
        <v/>
      </c>
      <c r="L204" s="221"/>
      <c r="M204" s="325"/>
      <c r="N204" s="94"/>
      <c r="O204" s="326"/>
      <c r="P204" s="84"/>
      <c r="Q204" s="88"/>
      <c r="R204" s="102">
        <f t="shared" si="22"/>
        <v>0</v>
      </c>
      <c r="S204" s="89"/>
      <c r="T204" s="100"/>
      <c r="U204" s="100"/>
      <c r="V204" s="100"/>
      <c r="W204" s="100"/>
      <c r="X204" s="100"/>
      <c r="Y204" s="83"/>
      <c r="Z204" s="304"/>
      <c r="AA204" s="304"/>
      <c r="AB204" s="304"/>
      <c r="AC204" s="304"/>
      <c r="AD204" s="304"/>
      <c r="AE204" s="304"/>
      <c r="AF204" s="304"/>
      <c r="AG204" s="304"/>
      <c r="AH204" s="304"/>
      <c r="AI204" s="304"/>
      <c r="AJ204" s="304"/>
      <c r="AK204" s="304"/>
      <c r="AL204" s="304"/>
      <c r="AM204" s="304"/>
      <c r="AN204" s="304"/>
      <c r="AO204" s="304"/>
      <c r="AP204" s="304"/>
      <c r="AQ204" s="304"/>
      <c r="AR204" s="304"/>
      <c r="AS204" s="304"/>
      <c r="AT204" s="304"/>
      <c r="AU204" s="304"/>
      <c r="AV204" s="304"/>
      <c r="AW204" s="304"/>
      <c r="AX204" s="304"/>
      <c r="AY204" s="304"/>
      <c r="AZ204" s="304"/>
      <c r="BA204" s="304"/>
      <c r="BB204" s="304"/>
      <c r="BC204" s="304"/>
      <c r="BD204" s="304"/>
      <c r="BE204" s="304"/>
      <c r="BF204" s="304"/>
      <c r="BG204" s="304"/>
      <c r="BH204" s="304"/>
      <c r="BI204" s="304"/>
      <c r="BJ204" s="304"/>
      <c r="BK204" s="304"/>
      <c r="BL204" s="304"/>
      <c r="BM204" s="304"/>
      <c r="BN204" s="304"/>
      <c r="BO204" s="304"/>
      <c r="BP204" s="304"/>
      <c r="BQ204" s="304"/>
      <c r="BR204" s="304"/>
      <c r="BS204" s="304"/>
      <c r="BT204" s="304"/>
      <c r="BU204" s="304"/>
      <c r="BV204" s="304"/>
      <c r="BW204" s="304"/>
      <c r="BX204" s="304"/>
      <c r="BY204" s="304"/>
      <c r="BZ204" s="304"/>
      <c r="CA204" s="304"/>
      <c r="CB204" s="304"/>
      <c r="CC204" s="304"/>
      <c r="CD204" s="304"/>
      <c r="CE204" s="304"/>
      <c r="CF204" s="304"/>
      <c r="CG204" s="304"/>
      <c r="CH204" s="304"/>
      <c r="CI204" s="304"/>
      <c r="CJ204" s="304"/>
      <c r="CK204" s="304"/>
      <c r="CL204" s="304"/>
      <c r="CM204" s="304"/>
      <c r="CN204" s="304"/>
      <c r="CO204" s="304"/>
      <c r="CP204" s="304"/>
    </row>
    <row r="205" spans="1:94" s="87" customFormat="1">
      <c r="A205" s="81"/>
      <c r="B205" s="83"/>
      <c r="C205" s="82"/>
      <c r="D205" s="102"/>
      <c r="E205" s="102"/>
      <c r="F205" s="102"/>
      <c r="G205" s="225"/>
      <c r="H205" s="218">
        <f t="shared" si="23"/>
        <v>0</v>
      </c>
      <c r="I205" s="218">
        <f t="shared" si="24"/>
        <v>0</v>
      </c>
      <c r="J205" s="218">
        <f t="shared" si="25"/>
        <v>0</v>
      </c>
      <c r="K205" s="102" t="str">
        <f t="shared" si="26"/>
        <v/>
      </c>
      <c r="L205" s="221"/>
      <c r="M205" s="325"/>
      <c r="N205" s="94"/>
      <c r="O205" s="326"/>
      <c r="P205" s="84"/>
      <c r="Q205" s="88"/>
      <c r="R205" s="102">
        <f t="shared" si="22"/>
        <v>0</v>
      </c>
      <c r="S205" s="89"/>
      <c r="T205" s="100"/>
      <c r="U205" s="100"/>
      <c r="V205" s="100"/>
      <c r="W205" s="100"/>
      <c r="X205" s="100"/>
      <c r="Y205" s="83"/>
      <c r="Z205" s="304"/>
      <c r="AA205" s="304"/>
      <c r="AB205" s="304"/>
      <c r="AC205" s="304"/>
      <c r="AD205" s="304"/>
      <c r="AE205" s="304"/>
      <c r="AF205" s="304"/>
      <c r="AG205" s="304"/>
      <c r="AH205" s="304"/>
      <c r="AI205" s="304"/>
      <c r="AJ205" s="304"/>
      <c r="AK205" s="304"/>
      <c r="AL205" s="304"/>
      <c r="AM205" s="304"/>
      <c r="AN205" s="304"/>
      <c r="AO205" s="304"/>
      <c r="AP205" s="304"/>
      <c r="AQ205" s="304"/>
      <c r="AR205" s="304"/>
      <c r="AS205" s="304"/>
      <c r="AT205" s="304"/>
      <c r="AU205" s="304"/>
      <c r="AV205" s="304"/>
      <c r="AW205" s="304"/>
      <c r="AX205" s="304"/>
      <c r="AY205" s="304"/>
      <c r="AZ205" s="304"/>
      <c r="BA205" s="304"/>
      <c r="BB205" s="304"/>
      <c r="BC205" s="304"/>
      <c r="BD205" s="304"/>
      <c r="BE205" s="304"/>
      <c r="BF205" s="304"/>
      <c r="BG205" s="304"/>
      <c r="BH205" s="304"/>
      <c r="BI205" s="304"/>
      <c r="BJ205" s="304"/>
      <c r="BK205" s="304"/>
      <c r="BL205" s="304"/>
      <c r="BM205" s="304"/>
      <c r="BN205" s="304"/>
      <c r="BO205" s="304"/>
      <c r="BP205" s="304"/>
      <c r="BQ205" s="304"/>
      <c r="BR205" s="304"/>
      <c r="BS205" s="304"/>
      <c r="BT205" s="304"/>
      <c r="BU205" s="304"/>
      <c r="BV205" s="304"/>
      <c r="BW205" s="304"/>
      <c r="BX205" s="304"/>
      <c r="BY205" s="304"/>
      <c r="BZ205" s="304"/>
      <c r="CA205" s="304"/>
      <c r="CB205" s="304"/>
      <c r="CC205" s="304"/>
      <c r="CD205" s="304"/>
      <c r="CE205" s="304"/>
      <c r="CF205" s="304"/>
      <c r="CG205" s="304"/>
      <c r="CH205" s="304"/>
      <c r="CI205" s="304"/>
      <c r="CJ205" s="304"/>
      <c r="CK205" s="304"/>
      <c r="CL205" s="304"/>
      <c r="CM205" s="304"/>
      <c r="CN205" s="304"/>
      <c r="CO205" s="304"/>
      <c r="CP205" s="304"/>
    </row>
    <row r="206" spans="1:94" s="87" customFormat="1">
      <c r="A206" s="81"/>
      <c r="B206" s="83"/>
      <c r="C206" s="82"/>
      <c r="D206" s="102"/>
      <c r="E206" s="102"/>
      <c r="F206" s="102"/>
      <c r="G206" s="225"/>
      <c r="H206" s="218">
        <f t="shared" si="23"/>
        <v>0</v>
      </c>
      <c r="I206" s="218">
        <f t="shared" si="24"/>
        <v>0</v>
      </c>
      <c r="J206" s="218">
        <f t="shared" si="25"/>
        <v>0</v>
      </c>
      <c r="K206" s="102" t="str">
        <f t="shared" si="26"/>
        <v/>
      </c>
      <c r="L206" s="221"/>
      <c r="M206" s="325"/>
      <c r="N206" s="94"/>
      <c r="O206" s="326"/>
      <c r="P206" s="84"/>
      <c r="Q206" s="88"/>
      <c r="R206" s="102">
        <f t="shared" si="22"/>
        <v>0</v>
      </c>
      <c r="S206" s="89"/>
      <c r="T206" s="100"/>
      <c r="U206" s="100"/>
      <c r="V206" s="100"/>
      <c r="W206" s="100"/>
      <c r="X206" s="100"/>
      <c r="Y206" s="83"/>
      <c r="Z206" s="304"/>
      <c r="AA206" s="304"/>
      <c r="AB206" s="304"/>
      <c r="AC206" s="304"/>
      <c r="AD206" s="304"/>
      <c r="AE206" s="304"/>
      <c r="AF206" s="304"/>
      <c r="AG206" s="304"/>
      <c r="AH206" s="304"/>
      <c r="AI206" s="304"/>
      <c r="AJ206" s="304"/>
      <c r="AK206" s="304"/>
      <c r="AL206" s="304"/>
      <c r="AM206" s="304"/>
      <c r="AN206" s="304"/>
      <c r="AO206" s="304"/>
      <c r="AP206" s="304"/>
      <c r="AQ206" s="304"/>
      <c r="AR206" s="304"/>
      <c r="AS206" s="304"/>
      <c r="AT206" s="304"/>
      <c r="AU206" s="304"/>
      <c r="AV206" s="304"/>
      <c r="AW206" s="304"/>
      <c r="AX206" s="304"/>
      <c r="AY206" s="304"/>
      <c r="AZ206" s="304"/>
      <c r="BA206" s="304"/>
      <c r="BB206" s="304"/>
      <c r="BC206" s="304"/>
      <c r="BD206" s="304"/>
      <c r="BE206" s="304"/>
      <c r="BF206" s="304"/>
      <c r="BG206" s="304"/>
      <c r="BH206" s="304"/>
      <c r="BI206" s="304"/>
      <c r="BJ206" s="304"/>
      <c r="BK206" s="304"/>
      <c r="BL206" s="304"/>
      <c r="BM206" s="304"/>
      <c r="BN206" s="304"/>
      <c r="BO206" s="304"/>
      <c r="BP206" s="304"/>
      <c r="BQ206" s="304"/>
      <c r="BR206" s="304"/>
      <c r="BS206" s="304"/>
      <c r="BT206" s="304"/>
      <c r="BU206" s="304"/>
      <c r="BV206" s="304"/>
      <c r="BW206" s="304"/>
      <c r="BX206" s="304"/>
      <c r="BY206" s="304"/>
      <c r="BZ206" s="304"/>
      <c r="CA206" s="304"/>
      <c r="CB206" s="304"/>
      <c r="CC206" s="304"/>
      <c r="CD206" s="304"/>
      <c r="CE206" s="304"/>
      <c r="CF206" s="304"/>
      <c r="CG206" s="304"/>
      <c r="CH206" s="304"/>
      <c r="CI206" s="304"/>
      <c r="CJ206" s="304"/>
      <c r="CK206" s="304"/>
      <c r="CL206" s="304"/>
      <c r="CM206" s="304"/>
      <c r="CN206" s="304"/>
      <c r="CO206" s="304"/>
      <c r="CP206" s="304"/>
    </row>
    <row r="207" spans="1:94" s="87" customFormat="1">
      <c r="A207" s="81"/>
      <c r="B207" s="83"/>
      <c r="C207" s="82"/>
      <c r="D207" s="102"/>
      <c r="E207" s="102"/>
      <c r="F207" s="102"/>
      <c r="G207" s="225"/>
      <c r="H207" s="218">
        <f t="shared" si="23"/>
        <v>0</v>
      </c>
      <c r="I207" s="218">
        <f t="shared" si="24"/>
        <v>0</v>
      </c>
      <c r="J207" s="218">
        <f t="shared" si="25"/>
        <v>0</v>
      </c>
      <c r="K207" s="102" t="str">
        <f t="shared" si="26"/>
        <v/>
      </c>
      <c r="L207" s="221"/>
      <c r="M207" s="325"/>
      <c r="N207" s="94"/>
      <c r="O207" s="326"/>
      <c r="P207" s="84"/>
      <c r="Q207" s="88"/>
      <c r="R207" s="102">
        <f t="shared" si="22"/>
        <v>0</v>
      </c>
      <c r="S207" s="89"/>
      <c r="T207" s="100"/>
      <c r="U207" s="100"/>
      <c r="V207" s="100"/>
      <c r="W207" s="100"/>
      <c r="X207" s="100"/>
      <c r="Y207" s="83"/>
      <c r="Z207" s="304"/>
      <c r="AA207" s="304"/>
      <c r="AB207" s="304"/>
      <c r="AC207" s="304"/>
      <c r="AD207" s="304"/>
      <c r="AE207" s="304"/>
      <c r="AF207" s="304"/>
      <c r="AG207" s="304"/>
      <c r="AH207" s="304"/>
      <c r="AI207" s="304"/>
      <c r="AJ207" s="304"/>
      <c r="AK207" s="304"/>
      <c r="AL207" s="304"/>
      <c r="AM207" s="304"/>
      <c r="AN207" s="304"/>
      <c r="AO207" s="304"/>
      <c r="AP207" s="304"/>
      <c r="AQ207" s="304"/>
      <c r="AR207" s="304"/>
      <c r="AS207" s="304"/>
      <c r="AT207" s="304"/>
      <c r="AU207" s="304"/>
      <c r="AV207" s="304"/>
      <c r="AW207" s="304"/>
      <c r="AX207" s="304"/>
      <c r="AY207" s="304"/>
      <c r="AZ207" s="304"/>
      <c r="BA207" s="304"/>
      <c r="BB207" s="304"/>
      <c r="BC207" s="304"/>
      <c r="BD207" s="304"/>
      <c r="BE207" s="304"/>
      <c r="BF207" s="304"/>
      <c r="BG207" s="304"/>
      <c r="BH207" s="304"/>
      <c r="BI207" s="304"/>
      <c r="BJ207" s="304"/>
      <c r="BK207" s="304"/>
      <c r="BL207" s="304"/>
      <c r="BM207" s="304"/>
      <c r="BN207" s="304"/>
      <c r="BO207" s="304"/>
      <c r="BP207" s="304"/>
      <c r="BQ207" s="304"/>
      <c r="BR207" s="304"/>
      <c r="BS207" s="304"/>
      <c r="BT207" s="304"/>
      <c r="BU207" s="304"/>
      <c r="BV207" s="304"/>
      <c r="BW207" s="304"/>
      <c r="BX207" s="304"/>
      <c r="BY207" s="304"/>
      <c r="BZ207" s="304"/>
      <c r="CA207" s="304"/>
      <c r="CB207" s="304"/>
      <c r="CC207" s="304"/>
      <c r="CD207" s="304"/>
      <c r="CE207" s="304"/>
      <c r="CF207" s="304"/>
      <c r="CG207" s="304"/>
      <c r="CH207" s="304"/>
      <c r="CI207" s="304"/>
      <c r="CJ207" s="304"/>
      <c r="CK207" s="304"/>
      <c r="CL207" s="304"/>
      <c r="CM207" s="304"/>
      <c r="CN207" s="304"/>
      <c r="CO207" s="304"/>
      <c r="CP207" s="304"/>
    </row>
    <row r="208" spans="1:94" s="87" customFormat="1">
      <c r="A208" s="81"/>
      <c r="B208" s="83"/>
      <c r="C208" s="82"/>
      <c r="D208" s="102"/>
      <c r="E208" s="102"/>
      <c r="F208" s="102"/>
      <c r="G208" s="225"/>
      <c r="H208" s="218">
        <f t="shared" si="23"/>
        <v>0</v>
      </c>
      <c r="I208" s="218">
        <f t="shared" si="24"/>
        <v>0</v>
      </c>
      <c r="J208" s="218">
        <f t="shared" si="25"/>
        <v>0</v>
      </c>
      <c r="K208" s="102" t="str">
        <f t="shared" si="26"/>
        <v/>
      </c>
      <c r="L208" s="221"/>
      <c r="M208" s="325"/>
      <c r="N208" s="94"/>
      <c r="O208" s="326"/>
      <c r="P208" s="84"/>
      <c r="Q208" s="88"/>
      <c r="R208" s="102">
        <f t="shared" si="22"/>
        <v>0</v>
      </c>
      <c r="S208" s="89"/>
      <c r="T208" s="100"/>
      <c r="U208" s="100"/>
      <c r="V208" s="100"/>
      <c r="W208" s="100"/>
      <c r="X208" s="100"/>
      <c r="Y208" s="83"/>
      <c r="Z208" s="304"/>
      <c r="AA208" s="304"/>
      <c r="AB208" s="304"/>
      <c r="AC208" s="304"/>
      <c r="AD208" s="304"/>
      <c r="AE208" s="304"/>
      <c r="AF208" s="304"/>
      <c r="AG208" s="304"/>
      <c r="AH208" s="304"/>
      <c r="AI208" s="304"/>
      <c r="AJ208" s="304"/>
      <c r="AK208" s="304"/>
      <c r="AL208" s="304"/>
      <c r="AM208" s="304"/>
      <c r="AN208" s="304"/>
      <c r="AO208" s="304"/>
      <c r="AP208" s="304"/>
      <c r="AQ208" s="304"/>
      <c r="AR208" s="304"/>
      <c r="AS208" s="304"/>
      <c r="AT208" s="304"/>
      <c r="AU208" s="304"/>
      <c r="AV208" s="304"/>
      <c r="AW208" s="304"/>
      <c r="AX208" s="304"/>
      <c r="AY208" s="304"/>
      <c r="AZ208" s="304"/>
      <c r="BA208" s="304"/>
      <c r="BB208" s="304"/>
      <c r="BC208" s="304"/>
      <c r="BD208" s="304"/>
      <c r="BE208" s="304"/>
      <c r="BF208" s="304"/>
      <c r="BG208" s="304"/>
      <c r="BH208" s="304"/>
      <c r="BI208" s="304"/>
      <c r="BJ208" s="304"/>
      <c r="BK208" s="304"/>
      <c r="BL208" s="304"/>
      <c r="BM208" s="304"/>
      <c r="BN208" s="304"/>
      <c r="BO208" s="304"/>
      <c r="BP208" s="304"/>
      <c r="BQ208" s="304"/>
      <c r="BR208" s="304"/>
      <c r="BS208" s="304"/>
      <c r="BT208" s="304"/>
      <c r="BU208" s="304"/>
      <c r="BV208" s="304"/>
      <c r="BW208" s="304"/>
      <c r="BX208" s="304"/>
      <c r="BY208" s="304"/>
      <c r="BZ208" s="304"/>
      <c r="CA208" s="304"/>
      <c r="CB208" s="304"/>
      <c r="CC208" s="304"/>
      <c r="CD208" s="304"/>
      <c r="CE208" s="304"/>
      <c r="CF208" s="304"/>
      <c r="CG208" s="304"/>
      <c r="CH208" s="304"/>
      <c r="CI208" s="304"/>
      <c r="CJ208" s="304"/>
      <c r="CK208" s="304"/>
      <c r="CL208" s="304"/>
      <c r="CM208" s="304"/>
      <c r="CN208" s="304"/>
      <c r="CO208" s="304"/>
      <c r="CP208" s="304"/>
    </row>
    <row r="209" spans="1:94" s="87" customFormat="1">
      <c r="A209" s="81"/>
      <c r="B209" s="83"/>
      <c r="C209" s="82"/>
      <c r="D209" s="102"/>
      <c r="E209" s="102"/>
      <c r="F209" s="102"/>
      <c r="G209" s="225"/>
      <c r="H209" s="218">
        <f t="shared" si="23"/>
        <v>0</v>
      </c>
      <c r="I209" s="218">
        <f t="shared" si="24"/>
        <v>0</v>
      </c>
      <c r="J209" s="218">
        <f t="shared" si="25"/>
        <v>0</v>
      </c>
      <c r="K209" s="102" t="str">
        <f t="shared" si="26"/>
        <v/>
      </c>
      <c r="L209" s="221"/>
      <c r="M209" s="325"/>
      <c r="N209" s="94"/>
      <c r="O209" s="326"/>
      <c r="P209" s="84"/>
      <c r="Q209" s="88"/>
      <c r="R209" s="102">
        <f t="shared" si="22"/>
        <v>0</v>
      </c>
      <c r="S209" s="89"/>
      <c r="T209" s="100"/>
      <c r="U209" s="100"/>
      <c r="V209" s="100"/>
      <c r="W209" s="100"/>
      <c r="X209" s="100"/>
      <c r="Y209" s="83"/>
      <c r="Z209" s="304"/>
      <c r="AA209" s="304"/>
      <c r="AB209" s="304"/>
      <c r="AC209" s="304"/>
      <c r="AD209" s="304"/>
      <c r="AE209" s="304"/>
      <c r="AF209" s="304"/>
      <c r="AG209" s="304"/>
      <c r="AH209" s="304"/>
      <c r="AI209" s="304"/>
      <c r="AJ209" s="304"/>
      <c r="AK209" s="304"/>
      <c r="AL209" s="304"/>
      <c r="AM209" s="304"/>
      <c r="AN209" s="304"/>
      <c r="AO209" s="304"/>
      <c r="AP209" s="304"/>
      <c r="AQ209" s="304"/>
      <c r="AR209" s="304"/>
      <c r="AS209" s="304"/>
      <c r="AT209" s="304"/>
      <c r="AU209" s="304"/>
      <c r="AV209" s="304"/>
      <c r="AW209" s="304"/>
      <c r="AX209" s="304"/>
      <c r="AY209" s="304"/>
      <c r="AZ209" s="304"/>
      <c r="BA209" s="304"/>
      <c r="BB209" s="304"/>
      <c r="BC209" s="304"/>
      <c r="BD209" s="304"/>
      <c r="BE209" s="304"/>
      <c r="BF209" s="304"/>
      <c r="BG209" s="304"/>
      <c r="BH209" s="304"/>
      <c r="BI209" s="304"/>
      <c r="BJ209" s="304"/>
      <c r="BK209" s="304"/>
      <c r="BL209" s="304"/>
      <c r="BM209" s="304"/>
      <c r="BN209" s="304"/>
      <c r="BO209" s="304"/>
      <c r="BP209" s="304"/>
      <c r="BQ209" s="304"/>
      <c r="BR209" s="304"/>
      <c r="BS209" s="304"/>
      <c r="BT209" s="304"/>
      <c r="BU209" s="304"/>
      <c r="BV209" s="304"/>
      <c r="BW209" s="304"/>
      <c r="BX209" s="304"/>
      <c r="BY209" s="304"/>
      <c r="BZ209" s="304"/>
      <c r="CA209" s="304"/>
      <c r="CB209" s="304"/>
      <c r="CC209" s="304"/>
      <c r="CD209" s="304"/>
      <c r="CE209" s="304"/>
      <c r="CF209" s="304"/>
      <c r="CG209" s="304"/>
      <c r="CH209" s="304"/>
      <c r="CI209" s="304"/>
      <c r="CJ209" s="304"/>
      <c r="CK209" s="304"/>
      <c r="CL209" s="304"/>
      <c r="CM209" s="304"/>
      <c r="CN209" s="304"/>
      <c r="CO209" s="304"/>
      <c r="CP209" s="304"/>
    </row>
    <row r="210" spans="1:94" s="87" customFormat="1">
      <c r="A210" s="81"/>
      <c r="B210" s="83"/>
      <c r="C210" s="82"/>
      <c r="D210" s="102"/>
      <c r="E210" s="102"/>
      <c r="F210" s="102"/>
      <c r="G210" s="225"/>
      <c r="H210" s="218">
        <f t="shared" si="23"/>
        <v>0</v>
      </c>
      <c r="I210" s="218">
        <f t="shared" si="24"/>
        <v>0</v>
      </c>
      <c r="J210" s="218">
        <f t="shared" si="25"/>
        <v>0</v>
      </c>
      <c r="K210" s="102" t="str">
        <f t="shared" si="26"/>
        <v/>
      </c>
      <c r="L210" s="221"/>
      <c r="M210" s="325"/>
      <c r="N210" s="94"/>
      <c r="O210" s="326"/>
      <c r="P210" s="84"/>
      <c r="Q210" s="88"/>
      <c r="R210" s="102">
        <f t="shared" si="22"/>
        <v>0</v>
      </c>
      <c r="S210" s="89"/>
      <c r="T210" s="100"/>
      <c r="U210" s="100"/>
      <c r="V210" s="100"/>
      <c r="W210" s="100"/>
      <c r="X210" s="100"/>
      <c r="Y210" s="83"/>
      <c r="Z210" s="304"/>
      <c r="AA210" s="304"/>
      <c r="AB210" s="304"/>
      <c r="AC210" s="304"/>
      <c r="AD210" s="304"/>
      <c r="AE210" s="304"/>
      <c r="AF210" s="304"/>
      <c r="AG210" s="304"/>
      <c r="AH210" s="304"/>
      <c r="AI210" s="304"/>
      <c r="AJ210" s="304"/>
      <c r="AK210" s="304"/>
      <c r="AL210" s="304"/>
      <c r="AM210" s="304"/>
      <c r="AN210" s="304"/>
      <c r="AO210" s="304"/>
      <c r="AP210" s="304"/>
      <c r="AQ210" s="304"/>
      <c r="AR210" s="304"/>
      <c r="AS210" s="304"/>
      <c r="AT210" s="304"/>
      <c r="AU210" s="304"/>
      <c r="AV210" s="304"/>
      <c r="AW210" s="304"/>
      <c r="AX210" s="304"/>
      <c r="AY210" s="304"/>
      <c r="AZ210" s="304"/>
      <c r="BA210" s="304"/>
      <c r="BB210" s="304"/>
      <c r="BC210" s="304"/>
      <c r="BD210" s="304"/>
      <c r="BE210" s="304"/>
      <c r="BF210" s="304"/>
      <c r="BG210" s="304"/>
      <c r="BH210" s="304"/>
      <c r="BI210" s="304"/>
      <c r="BJ210" s="304"/>
      <c r="BK210" s="304"/>
      <c r="BL210" s="304"/>
      <c r="BM210" s="304"/>
      <c r="BN210" s="304"/>
      <c r="BO210" s="304"/>
      <c r="BP210" s="304"/>
      <c r="BQ210" s="304"/>
      <c r="BR210" s="304"/>
      <c r="BS210" s="304"/>
      <c r="BT210" s="304"/>
      <c r="BU210" s="304"/>
      <c r="BV210" s="304"/>
      <c r="BW210" s="304"/>
      <c r="BX210" s="304"/>
      <c r="BY210" s="304"/>
      <c r="BZ210" s="304"/>
      <c r="CA210" s="304"/>
      <c r="CB210" s="304"/>
      <c r="CC210" s="304"/>
      <c r="CD210" s="304"/>
      <c r="CE210" s="304"/>
      <c r="CF210" s="304"/>
      <c r="CG210" s="304"/>
      <c r="CH210" s="304"/>
      <c r="CI210" s="304"/>
      <c r="CJ210" s="304"/>
      <c r="CK210" s="304"/>
      <c r="CL210" s="304"/>
      <c r="CM210" s="304"/>
      <c r="CN210" s="304"/>
      <c r="CO210" s="304"/>
      <c r="CP210" s="304"/>
    </row>
    <row r="211" spans="1:94" s="87" customFormat="1">
      <c r="A211" s="81"/>
      <c r="B211" s="83"/>
      <c r="C211" s="82"/>
      <c r="D211" s="102"/>
      <c r="E211" s="102"/>
      <c r="F211" s="102"/>
      <c r="G211" s="225"/>
      <c r="H211" s="218">
        <f t="shared" si="23"/>
        <v>0</v>
      </c>
      <c r="I211" s="218">
        <f t="shared" si="24"/>
        <v>0</v>
      </c>
      <c r="J211" s="218">
        <f t="shared" si="25"/>
        <v>0</v>
      </c>
      <c r="K211" s="102" t="str">
        <f t="shared" si="26"/>
        <v/>
      </c>
      <c r="L211" s="221"/>
      <c r="M211" s="325"/>
      <c r="N211" s="94"/>
      <c r="O211" s="326"/>
      <c r="P211" s="84"/>
      <c r="Q211" s="88"/>
      <c r="R211" s="102">
        <f t="shared" si="22"/>
        <v>0</v>
      </c>
      <c r="S211" s="89"/>
      <c r="T211" s="100"/>
      <c r="U211" s="100"/>
      <c r="V211" s="100"/>
      <c r="W211" s="100"/>
      <c r="X211" s="100"/>
      <c r="Y211" s="83"/>
      <c r="Z211" s="304"/>
      <c r="AA211" s="304"/>
      <c r="AB211" s="304"/>
      <c r="AC211" s="304"/>
      <c r="AD211" s="304"/>
      <c r="AE211" s="304"/>
      <c r="AF211" s="304"/>
      <c r="AG211" s="304"/>
      <c r="AH211" s="304"/>
      <c r="AI211" s="304"/>
      <c r="AJ211" s="304"/>
      <c r="AK211" s="304"/>
      <c r="AL211" s="304"/>
      <c r="AM211" s="304"/>
      <c r="AN211" s="304"/>
      <c r="AO211" s="304"/>
      <c r="AP211" s="304"/>
      <c r="AQ211" s="304"/>
      <c r="AR211" s="304"/>
      <c r="AS211" s="304"/>
      <c r="AT211" s="304"/>
      <c r="AU211" s="304"/>
      <c r="AV211" s="304"/>
      <c r="AW211" s="304"/>
      <c r="AX211" s="304"/>
      <c r="AY211" s="304"/>
      <c r="AZ211" s="304"/>
      <c r="BA211" s="304"/>
      <c r="BB211" s="304"/>
      <c r="BC211" s="304"/>
      <c r="BD211" s="304"/>
      <c r="BE211" s="304"/>
      <c r="BF211" s="304"/>
      <c r="BG211" s="304"/>
      <c r="BH211" s="304"/>
      <c r="BI211" s="304"/>
      <c r="BJ211" s="304"/>
      <c r="BK211" s="304"/>
      <c r="BL211" s="304"/>
      <c r="BM211" s="304"/>
      <c r="BN211" s="304"/>
      <c r="BO211" s="304"/>
      <c r="BP211" s="304"/>
      <c r="BQ211" s="304"/>
      <c r="BR211" s="304"/>
      <c r="BS211" s="304"/>
      <c r="BT211" s="304"/>
      <c r="BU211" s="304"/>
      <c r="BV211" s="304"/>
      <c r="BW211" s="304"/>
      <c r="BX211" s="304"/>
      <c r="BY211" s="304"/>
      <c r="BZ211" s="304"/>
      <c r="CA211" s="304"/>
      <c r="CB211" s="304"/>
      <c r="CC211" s="304"/>
      <c r="CD211" s="304"/>
      <c r="CE211" s="304"/>
      <c r="CF211" s="304"/>
      <c r="CG211" s="304"/>
      <c r="CH211" s="304"/>
      <c r="CI211" s="304"/>
      <c r="CJ211" s="304"/>
      <c r="CK211" s="304"/>
      <c r="CL211" s="304"/>
      <c r="CM211" s="304"/>
      <c r="CN211" s="304"/>
      <c r="CO211" s="304"/>
      <c r="CP211" s="304"/>
    </row>
    <row r="212" spans="1:94" s="87" customFormat="1">
      <c r="A212" s="81"/>
      <c r="B212" s="83"/>
      <c r="C212" s="82"/>
      <c r="D212" s="102"/>
      <c r="E212" s="102"/>
      <c r="F212" s="102"/>
      <c r="G212" s="225"/>
      <c r="H212" s="218">
        <f t="shared" si="23"/>
        <v>0</v>
      </c>
      <c r="I212" s="218">
        <f t="shared" si="24"/>
        <v>0</v>
      </c>
      <c r="J212" s="218">
        <f t="shared" si="25"/>
        <v>0</v>
      </c>
      <c r="K212" s="102" t="str">
        <f t="shared" si="26"/>
        <v/>
      </c>
      <c r="L212" s="221"/>
      <c r="M212" s="325"/>
      <c r="N212" s="94"/>
      <c r="O212" s="326"/>
      <c r="P212" s="84"/>
      <c r="Q212" s="88"/>
      <c r="R212" s="102">
        <f t="shared" si="22"/>
        <v>0</v>
      </c>
      <c r="S212" s="89"/>
      <c r="T212" s="100"/>
      <c r="U212" s="100"/>
      <c r="V212" s="100"/>
      <c r="W212" s="100"/>
      <c r="X212" s="100"/>
      <c r="Y212" s="83"/>
      <c r="Z212" s="304"/>
      <c r="AA212" s="304"/>
      <c r="AB212" s="304"/>
      <c r="AC212" s="304"/>
      <c r="AD212" s="304"/>
      <c r="AE212" s="304"/>
      <c r="AF212" s="304"/>
      <c r="AG212" s="304"/>
      <c r="AH212" s="304"/>
      <c r="AI212" s="304"/>
      <c r="AJ212" s="304"/>
      <c r="AK212" s="304"/>
      <c r="AL212" s="304"/>
      <c r="AM212" s="304"/>
      <c r="AN212" s="304"/>
      <c r="AO212" s="304"/>
      <c r="AP212" s="304"/>
      <c r="AQ212" s="304"/>
      <c r="AR212" s="304"/>
      <c r="AS212" s="304"/>
      <c r="AT212" s="304"/>
      <c r="AU212" s="304"/>
      <c r="AV212" s="304"/>
      <c r="AW212" s="304"/>
      <c r="AX212" s="304"/>
      <c r="AY212" s="304"/>
      <c r="AZ212" s="304"/>
      <c r="BA212" s="304"/>
      <c r="BB212" s="304"/>
      <c r="BC212" s="304"/>
      <c r="BD212" s="304"/>
      <c r="BE212" s="304"/>
      <c r="BF212" s="304"/>
      <c r="BG212" s="304"/>
      <c r="BH212" s="304"/>
      <c r="BI212" s="304"/>
      <c r="BJ212" s="304"/>
      <c r="BK212" s="304"/>
      <c r="BL212" s="304"/>
      <c r="BM212" s="304"/>
      <c r="BN212" s="304"/>
      <c r="BO212" s="304"/>
      <c r="BP212" s="304"/>
      <c r="BQ212" s="304"/>
      <c r="BR212" s="304"/>
      <c r="BS212" s="304"/>
      <c r="BT212" s="304"/>
      <c r="BU212" s="304"/>
      <c r="BV212" s="304"/>
      <c r="BW212" s="304"/>
      <c r="BX212" s="304"/>
      <c r="BY212" s="304"/>
      <c r="BZ212" s="304"/>
      <c r="CA212" s="304"/>
      <c r="CB212" s="304"/>
      <c r="CC212" s="304"/>
      <c r="CD212" s="304"/>
      <c r="CE212" s="304"/>
      <c r="CF212" s="304"/>
      <c r="CG212" s="304"/>
      <c r="CH212" s="304"/>
      <c r="CI212" s="304"/>
      <c r="CJ212" s="304"/>
      <c r="CK212" s="304"/>
      <c r="CL212" s="304"/>
      <c r="CM212" s="304"/>
      <c r="CN212" s="304"/>
      <c r="CO212" s="304"/>
      <c r="CP212" s="304"/>
    </row>
    <row r="213" spans="1:94" s="87" customFormat="1">
      <c r="A213" s="81"/>
      <c r="B213" s="83"/>
      <c r="C213" s="82"/>
      <c r="D213" s="102"/>
      <c r="E213" s="102"/>
      <c r="F213" s="102"/>
      <c r="G213" s="225"/>
      <c r="H213" s="218">
        <f t="shared" si="23"/>
        <v>0</v>
      </c>
      <c r="I213" s="218">
        <f t="shared" si="24"/>
        <v>0</v>
      </c>
      <c r="J213" s="218">
        <f t="shared" si="25"/>
        <v>0</v>
      </c>
      <c r="K213" s="102" t="str">
        <f t="shared" si="26"/>
        <v/>
      </c>
      <c r="L213" s="221"/>
      <c r="M213" s="325"/>
      <c r="N213" s="94"/>
      <c r="O213" s="326"/>
      <c r="P213" s="84"/>
      <c r="Q213" s="88"/>
      <c r="R213" s="102">
        <f t="shared" si="22"/>
        <v>0</v>
      </c>
      <c r="S213" s="89"/>
      <c r="T213" s="100"/>
      <c r="U213" s="100"/>
      <c r="V213" s="100"/>
      <c r="W213" s="100"/>
      <c r="X213" s="100"/>
      <c r="Y213" s="83"/>
      <c r="Z213" s="304"/>
      <c r="AA213" s="304"/>
      <c r="AB213" s="304"/>
      <c r="AC213" s="304"/>
      <c r="AD213" s="304"/>
      <c r="AE213" s="304"/>
      <c r="AF213" s="304"/>
      <c r="AG213" s="304"/>
      <c r="AH213" s="304"/>
      <c r="AI213" s="304"/>
      <c r="AJ213" s="304"/>
      <c r="AK213" s="304"/>
      <c r="AL213" s="304"/>
      <c r="AM213" s="304"/>
      <c r="AN213" s="304"/>
      <c r="AO213" s="304"/>
      <c r="AP213" s="304"/>
      <c r="AQ213" s="304"/>
      <c r="AR213" s="304"/>
      <c r="AS213" s="304"/>
      <c r="AT213" s="304"/>
      <c r="AU213" s="304"/>
      <c r="AV213" s="304"/>
      <c r="AW213" s="304"/>
      <c r="AX213" s="304"/>
      <c r="AY213" s="304"/>
      <c r="AZ213" s="304"/>
      <c r="BA213" s="304"/>
      <c r="BB213" s="304"/>
      <c r="BC213" s="304"/>
      <c r="BD213" s="304"/>
      <c r="BE213" s="304"/>
      <c r="BF213" s="304"/>
      <c r="BG213" s="304"/>
      <c r="BH213" s="304"/>
      <c r="BI213" s="304"/>
      <c r="BJ213" s="304"/>
      <c r="BK213" s="304"/>
      <c r="BL213" s="304"/>
      <c r="BM213" s="304"/>
      <c r="BN213" s="304"/>
      <c r="BO213" s="304"/>
      <c r="BP213" s="304"/>
      <c r="BQ213" s="304"/>
      <c r="BR213" s="304"/>
      <c r="BS213" s="304"/>
      <c r="BT213" s="304"/>
      <c r="BU213" s="304"/>
      <c r="BV213" s="304"/>
      <c r="BW213" s="304"/>
      <c r="BX213" s="304"/>
      <c r="BY213" s="304"/>
      <c r="BZ213" s="304"/>
      <c r="CA213" s="304"/>
      <c r="CB213" s="304"/>
      <c r="CC213" s="304"/>
      <c r="CD213" s="304"/>
      <c r="CE213" s="304"/>
      <c r="CF213" s="304"/>
      <c r="CG213" s="304"/>
      <c r="CH213" s="304"/>
      <c r="CI213" s="304"/>
      <c r="CJ213" s="304"/>
      <c r="CK213" s="304"/>
      <c r="CL213" s="304"/>
      <c r="CM213" s="304"/>
      <c r="CN213" s="304"/>
      <c r="CO213" s="304"/>
      <c r="CP213" s="304"/>
    </row>
    <row r="214" spans="1:94" s="87" customFormat="1">
      <c r="A214" s="81"/>
      <c r="B214" s="83"/>
      <c r="C214" s="82"/>
      <c r="D214" s="102"/>
      <c r="E214" s="102"/>
      <c r="F214" s="102"/>
      <c r="G214" s="225"/>
      <c r="H214" s="218">
        <f t="shared" si="23"/>
        <v>0</v>
      </c>
      <c r="I214" s="218">
        <f t="shared" si="24"/>
        <v>0</v>
      </c>
      <c r="J214" s="218">
        <f t="shared" si="25"/>
        <v>0</v>
      </c>
      <c r="K214" s="102" t="str">
        <f t="shared" si="26"/>
        <v/>
      </c>
      <c r="L214" s="221"/>
      <c r="M214" s="325"/>
      <c r="N214" s="94"/>
      <c r="O214" s="326"/>
      <c r="P214" s="84"/>
      <c r="Q214" s="88"/>
      <c r="R214" s="102">
        <f t="shared" si="22"/>
        <v>0</v>
      </c>
      <c r="S214" s="89"/>
      <c r="T214" s="100"/>
      <c r="U214" s="100"/>
      <c r="V214" s="100"/>
      <c r="W214" s="100"/>
      <c r="X214" s="100"/>
      <c r="Y214" s="83"/>
      <c r="Z214" s="304"/>
      <c r="AA214" s="304"/>
      <c r="AB214" s="304"/>
      <c r="AC214" s="304"/>
      <c r="AD214" s="304"/>
      <c r="AE214" s="304"/>
      <c r="AF214" s="304"/>
      <c r="AG214" s="304"/>
      <c r="AH214" s="304"/>
      <c r="AI214" s="304"/>
      <c r="AJ214" s="304"/>
      <c r="AK214" s="304"/>
      <c r="AL214" s="304"/>
      <c r="AM214" s="304"/>
      <c r="AN214" s="304"/>
      <c r="AO214" s="304"/>
      <c r="AP214" s="304"/>
      <c r="AQ214" s="304"/>
      <c r="AR214" s="304"/>
      <c r="AS214" s="304"/>
      <c r="AT214" s="304"/>
      <c r="AU214" s="304"/>
      <c r="AV214" s="304"/>
      <c r="AW214" s="304"/>
      <c r="AX214" s="304"/>
      <c r="AY214" s="304"/>
      <c r="AZ214" s="304"/>
      <c r="BA214" s="304"/>
      <c r="BB214" s="304"/>
      <c r="BC214" s="304"/>
      <c r="BD214" s="304"/>
      <c r="BE214" s="304"/>
      <c r="BF214" s="304"/>
      <c r="BG214" s="304"/>
      <c r="BH214" s="304"/>
      <c r="BI214" s="304"/>
      <c r="BJ214" s="304"/>
      <c r="BK214" s="304"/>
      <c r="BL214" s="304"/>
      <c r="BM214" s="304"/>
      <c r="BN214" s="304"/>
      <c r="BO214" s="304"/>
      <c r="BP214" s="304"/>
      <c r="BQ214" s="304"/>
      <c r="BR214" s="304"/>
      <c r="BS214" s="304"/>
      <c r="BT214" s="304"/>
      <c r="BU214" s="304"/>
      <c r="BV214" s="304"/>
      <c r="BW214" s="304"/>
      <c r="BX214" s="304"/>
      <c r="BY214" s="304"/>
      <c r="BZ214" s="304"/>
      <c r="CA214" s="304"/>
      <c r="CB214" s="304"/>
      <c r="CC214" s="304"/>
      <c r="CD214" s="304"/>
      <c r="CE214" s="304"/>
      <c r="CF214" s="304"/>
      <c r="CG214" s="304"/>
      <c r="CH214" s="304"/>
      <c r="CI214" s="304"/>
      <c r="CJ214" s="304"/>
      <c r="CK214" s="304"/>
      <c r="CL214" s="304"/>
      <c r="CM214" s="304"/>
      <c r="CN214" s="304"/>
      <c r="CO214" s="304"/>
      <c r="CP214" s="304"/>
    </row>
    <row r="215" spans="1:94" s="87" customFormat="1">
      <c r="A215" s="81"/>
      <c r="B215" s="83"/>
      <c r="C215" s="82"/>
      <c r="D215" s="102"/>
      <c r="E215" s="102"/>
      <c r="F215" s="102"/>
      <c r="G215" s="225"/>
      <c r="H215" s="218">
        <f t="shared" si="23"/>
        <v>0</v>
      </c>
      <c r="I215" s="218">
        <f t="shared" si="24"/>
        <v>0</v>
      </c>
      <c r="J215" s="218">
        <f t="shared" si="25"/>
        <v>0</v>
      </c>
      <c r="K215" s="102" t="str">
        <f t="shared" si="26"/>
        <v/>
      </c>
      <c r="L215" s="221"/>
      <c r="M215" s="325"/>
      <c r="N215" s="94"/>
      <c r="O215" s="326"/>
      <c r="P215" s="84"/>
      <c r="Q215" s="88"/>
      <c r="R215" s="102">
        <f t="shared" si="22"/>
        <v>0</v>
      </c>
      <c r="S215" s="89"/>
      <c r="T215" s="100"/>
      <c r="U215" s="100"/>
      <c r="V215" s="100"/>
      <c r="W215" s="100"/>
      <c r="X215" s="100"/>
      <c r="Y215" s="83"/>
      <c r="Z215" s="304"/>
      <c r="AA215" s="304"/>
      <c r="AB215" s="304"/>
      <c r="AC215" s="304"/>
      <c r="AD215" s="304"/>
      <c r="AE215" s="304"/>
      <c r="AF215" s="304"/>
      <c r="AG215" s="304"/>
      <c r="AH215" s="304"/>
      <c r="AI215" s="304"/>
      <c r="AJ215" s="304"/>
      <c r="AK215" s="304"/>
      <c r="AL215" s="304"/>
      <c r="AM215" s="304"/>
      <c r="AN215" s="304"/>
      <c r="AO215" s="304"/>
      <c r="AP215" s="304"/>
      <c r="AQ215" s="304"/>
      <c r="AR215" s="304"/>
      <c r="AS215" s="304"/>
      <c r="AT215" s="304"/>
      <c r="AU215" s="304"/>
      <c r="AV215" s="304"/>
      <c r="AW215" s="304"/>
      <c r="AX215" s="304"/>
      <c r="AY215" s="304"/>
      <c r="AZ215" s="304"/>
      <c r="BA215" s="304"/>
      <c r="BB215" s="304"/>
      <c r="BC215" s="304"/>
      <c r="BD215" s="304"/>
      <c r="BE215" s="304"/>
      <c r="BF215" s="304"/>
      <c r="BG215" s="304"/>
      <c r="BH215" s="304"/>
      <c r="BI215" s="304"/>
      <c r="BJ215" s="304"/>
      <c r="BK215" s="304"/>
      <c r="BL215" s="304"/>
      <c r="BM215" s="304"/>
      <c r="BN215" s="304"/>
      <c r="BO215" s="304"/>
      <c r="BP215" s="304"/>
      <c r="BQ215" s="304"/>
      <c r="BR215" s="304"/>
      <c r="BS215" s="304"/>
      <c r="BT215" s="304"/>
      <c r="BU215" s="304"/>
      <c r="BV215" s="304"/>
      <c r="BW215" s="304"/>
      <c r="BX215" s="304"/>
      <c r="BY215" s="304"/>
      <c r="BZ215" s="304"/>
      <c r="CA215" s="304"/>
      <c r="CB215" s="304"/>
      <c r="CC215" s="304"/>
      <c r="CD215" s="304"/>
      <c r="CE215" s="304"/>
      <c r="CF215" s="304"/>
      <c r="CG215" s="304"/>
      <c r="CH215" s="304"/>
      <c r="CI215" s="304"/>
      <c r="CJ215" s="304"/>
      <c r="CK215" s="304"/>
      <c r="CL215" s="304"/>
      <c r="CM215" s="304"/>
      <c r="CN215" s="304"/>
      <c r="CO215" s="304"/>
      <c r="CP215" s="304"/>
    </row>
    <row r="216" spans="1:94" s="87" customFormat="1">
      <c r="A216" s="81"/>
      <c r="B216" s="83"/>
      <c r="C216" s="82"/>
      <c r="D216" s="102"/>
      <c r="E216" s="102"/>
      <c r="F216" s="102"/>
      <c r="G216" s="225"/>
      <c r="H216" s="218">
        <f t="shared" si="23"/>
        <v>0</v>
      </c>
      <c r="I216" s="218">
        <f t="shared" si="24"/>
        <v>0</v>
      </c>
      <c r="J216" s="218">
        <f t="shared" si="25"/>
        <v>0</v>
      </c>
      <c r="K216" s="102" t="str">
        <f t="shared" si="26"/>
        <v/>
      </c>
      <c r="L216" s="221"/>
      <c r="M216" s="325"/>
      <c r="N216" s="94"/>
      <c r="O216" s="326"/>
      <c r="P216" s="84"/>
      <c r="Q216" s="88"/>
      <c r="R216" s="102">
        <f t="shared" si="22"/>
        <v>0</v>
      </c>
      <c r="S216" s="89"/>
      <c r="T216" s="100"/>
      <c r="U216" s="100"/>
      <c r="V216" s="100"/>
      <c r="W216" s="100"/>
      <c r="X216" s="100"/>
      <c r="Y216" s="83"/>
      <c r="Z216" s="304"/>
      <c r="AA216" s="304"/>
      <c r="AB216" s="304"/>
      <c r="AC216" s="304"/>
      <c r="AD216" s="304"/>
      <c r="AE216" s="304"/>
      <c r="AF216" s="304"/>
      <c r="AG216" s="304"/>
      <c r="AH216" s="304"/>
      <c r="AI216" s="304"/>
      <c r="AJ216" s="304"/>
      <c r="AK216" s="304"/>
      <c r="AL216" s="304"/>
      <c r="AM216" s="304"/>
      <c r="AN216" s="304"/>
      <c r="AO216" s="304"/>
      <c r="AP216" s="304"/>
      <c r="AQ216" s="304"/>
      <c r="AR216" s="304"/>
      <c r="AS216" s="304"/>
      <c r="AT216" s="304"/>
      <c r="AU216" s="304"/>
      <c r="AV216" s="304"/>
      <c r="AW216" s="304"/>
      <c r="AX216" s="304"/>
      <c r="AY216" s="304"/>
      <c r="AZ216" s="304"/>
      <c r="BA216" s="304"/>
      <c r="BB216" s="304"/>
      <c r="BC216" s="304"/>
      <c r="BD216" s="304"/>
      <c r="BE216" s="304"/>
      <c r="BF216" s="304"/>
      <c r="BG216" s="304"/>
      <c r="BH216" s="304"/>
      <c r="BI216" s="304"/>
      <c r="BJ216" s="304"/>
      <c r="BK216" s="304"/>
      <c r="BL216" s="304"/>
      <c r="BM216" s="304"/>
      <c r="BN216" s="304"/>
      <c r="BO216" s="304"/>
      <c r="BP216" s="304"/>
      <c r="BQ216" s="304"/>
      <c r="BR216" s="304"/>
      <c r="BS216" s="304"/>
      <c r="BT216" s="304"/>
      <c r="BU216" s="304"/>
      <c r="BV216" s="304"/>
      <c r="BW216" s="304"/>
      <c r="BX216" s="304"/>
      <c r="BY216" s="304"/>
      <c r="BZ216" s="304"/>
      <c r="CA216" s="304"/>
      <c r="CB216" s="304"/>
      <c r="CC216" s="304"/>
      <c r="CD216" s="304"/>
      <c r="CE216" s="304"/>
      <c r="CF216" s="304"/>
      <c r="CG216" s="304"/>
      <c r="CH216" s="304"/>
      <c r="CI216" s="304"/>
      <c r="CJ216" s="304"/>
      <c r="CK216" s="304"/>
      <c r="CL216" s="304"/>
      <c r="CM216" s="304"/>
      <c r="CN216" s="304"/>
      <c r="CO216" s="304"/>
      <c r="CP216" s="304"/>
    </row>
    <row r="217" spans="1:94" s="87" customFormat="1">
      <c r="A217" s="81"/>
      <c r="B217" s="83"/>
      <c r="C217" s="82"/>
      <c r="D217" s="102"/>
      <c r="E217" s="102"/>
      <c r="F217" s="102"/>
      <c r="G217" s="225"/>
      <c r="H217" s="218">
        <f t="shared" si="23"/>
        <v>0</v>
      </c>
      <c r="I217" s="218">
        <f t="shared" si="24"/>
        <v>0</v>
      </c>
      <c r="J217" s="218">
        <f t="shared" si="25"/>
        <v>0</v>
      </c>
      <c r="K217" s="102" t="str">
        <f t="shared" si="26"/>
        <v/>
      </c>
      <c r="L217" s="221"/>
      <c r="M217" s="325"/>
      <c r="N217" s="94"/>
      <c r="O217" s="326"/>
      <c r="P217" s="84"/>
      <c r="Q217" s="88"/>
      <c r="R217" s="102">
        <f t="shared" si="22"/>
        <v>0</v>
      </c>
      <c r="S217" s="89"/>
      <c r="T217" s="100"/>
      <c r="U217" s="100"/>
      <c r="V217" s="100"/>
      <c r="W217" s="100"/>
      <c r="X217" s="100"/>
      <c r="Y217" s="83"/>
      <c r="Z217" s="304"/>
      <c r="AA217" s="304"/>
      <c r="AB217" s="304"/>
      <c r="AC217" s="304"/>
      <c r="AD217" s="304"/>
      <c r="AE217" s="304"/>
      <c r="AF217" s="304"/>
      <c r="AG217" s="304"/>
      <c r="AH217" s="304"/>
      <c r="AI217" s="304"/>
      <c r="AJ217" s="304"/>
      <c r="AK217" s="304"/>
      <c r="AL217" s="304"/>
      <c r="AM217" s="304"/>
      <c r="AN217" s="304"/>
      <c r="AO217" s="304"/>
      <c r="AP217" s="304"/>
      <c r="AQ217" s="304"/>
      <c r="AR217" s="304"/>
      <c r="AS217" s="304"/>
      <c r="AT217" s="304"/>
      <c r="AU217" s="304"/>
      <c r="AV217" s="304"/>
      <c r="AW217" s="304"/>
      <c r="AX217" s="304"/>
      <c r="AY217" s="304"/>
      <c r="AZ217" s="304"/>
      <c r="BA217" s="304"/>
      <c r="BB217" s="304"/>
      <c r="BC217" s="304"/>
      <c r="BD217" s="304"/>
      <c r="BE217" s="304"/>
      <c r="BF217" s="304"/>
      <c r="BG217" s="304"/>
      <c r="BH217" s="304"/>
      <c r="BI217" s="304"/>
      <c r="BJ217" s="304"/>
      <c r="BK217" s="304"/>
      <c r="BL217" s="304"/>
      <c r="BM217" s="304"/>
      <c r="BN217" s="304"/>
      <c r="BO217" s="304"/>
      <c r="BP217" s="304"/>
      <c r="BQ217" s="304"/>
      <c r="BR217" s="304"/>
      <c r="BS217" s="304"/>
      <c r="BT217" s="304"/>
      <c r="BU217" s="304"/>
      <c r="BV217" s="304"/>
      <c r="BW217" s="304"/>
      <c r="BX217" s="304"/>
      <c r="BY217" s="304"/>
      <c r="BZ217" s="304"/>
      <c r="CA217" s="304"/>
      <c r="CB217" s="304"/>
      <c r="CC217" s="304"/>
      <c r="CD217" s="304"/>
      <c r="CE217" s="304"/>
      <c r="CF217" s="304"/>
      <c r="CG217" s="304"/>
      <c r="CH217" s="304"/>
      <c r="CI217" s="304"/>
      <c r="CJ217" s="304"/>
      <c r="CK217" s="304"/>
      <c r="CL217" s="304"/>
      <c r="CM217" s="304"/>
      <c r="CN217" s="304"/>
      <c r="CO217" s="304"/>
      <c r="CP217" s="304"/>
    </row>
    <row r="218" spans="1:94" s="87" customFormat="1">
      <c r="A218" s="81"/>
      <c r="B218" s="83"/>
      <c r="C218" s="82"/>
      <c r="D218" s="102"/>
      <c r="E218" s="102"/>
      <c r="F218" s="102"/>
      <c r="G218" s="225"/>
      <c r="H218" s="218">
        <f t="shared" si="23"/>
        <v>0</v>
      </c>
      <c r="I218" s="218">
        <f t="shared" si="24"/>
        <v>0</v>
      </c>
      <c r="J218" s="218">
        <f t="shared" si="25"/>
        <v>0</v>
      </c>
      <c r="K218" s="102" t="str">
        <f t="shared" si="26"/>
        <v/>
      </c>
      <c r="L218" s="221"/>
      <c r="M218" s="325"/>
      <c r="N218" s="94"/>
      <c r="O218" s="326"/>
      <c r="P218" s="84"/>
      <c r="Q218" s="88"/>
      <c r="R218" s="102">
        <f t="shared" si="22"/>
        <v>0</v>
      </c>
      <c r="S218" s="89"/>
      <c r="T218" s="100"/>
      <c r="U218" s="100"/>
      <c r="V218" s="100"/>
      <c r="W218" s="100"/>
      <c r="X218" s="100"/>
      <c r="Y218" s="83"/>
      <c r="Z218" s="304"/>
      <c r="AA218" s="304"/>
      <c r="AB218" s="304"/>
      <c r="AC218" s="304"/>
      <c r="AD218" s="304"/>
      <c r="AE218" s="304"/>
      <c r="AF218" s="304"/>
      <c r="AG218" s="304"/>
      <c r="AH218" s="304"/>
      <c r="AI218" s="304"/>
      <c r="AJ218" s="304"/>
      <c r="AK218" s="304"/>
      <c r="AL218" s="304"/>
      <c r="AM218" s="304"/>
      <c r="AN218" s="304"/>
      <c r="AO218" s="304"/>
      <c r="AP218" s="304"/>
      <c r="AQ218" s="304"/>
      <c r="AR218" s="304"/>
      <c r="AS218" s="304"/>
      <c r="AT218" s="304"/>
      <c r="AU218" s="304"/>
      <c r="AV218" s="304"/>
      <c r="AW218" s="304"/>
      <c r="AX218" s="304"/>
      <c r="AY218" s="304"/>
      <c r="AZ218" s="304"/>
      <c r="BA218" s="304"/>
      <c r="BB218" s="304"/>
      <c r="BC218" s="304"/>
      <c r="BD218" s="304"/>
      <c r="BE218" s="304"/>
      <c r="BF218" s="304"/>
      <c r="BG218" s="304"/>
      <c r="BH218" s="304"/>
      <c r="BI218" s="304"/>
      <c r="BJ218" s="304"/>
      <c r="BK218" s="304"/>
      <c r="BL218" s="304"/>
      <c r="BM218" s="304"/>
      <c r="BN218" s="304"/>
      <c r="BO218" s="304"/>
      <c r="BP218" s="304"/>
      <c r="BQ218" s="304"/>
      <c r="BR218" s="304"/>
      <c r="BS218" s="304"/>
      <c r="BT218" s="304"/>
      <c r="BU218" s="304"/>
      <c r="BV218" s="304"/>
      <c r="BW218" s="304"/>
      <c r="BX218" s="304"/>
      <c r="BY218" s="304"/>
      <c r="BZ218" s="304"/>
      <c r="CA218" s="304"/>
      <c r="CB218" s="304"/>
      <c r="CC218" s="304"/>
      <c r="CD218" s="304"/>
      <c r="CE218" s="304"/>
      <c r="CF218" s="304"/>
      <c r="CG218" s="304"/>
      <c r="CH218" s="304"/>
      <c r="CI218" s="304"/>
      <c r="CJ218" s="304"/>
      <c r="CK218" s="304"/>
      <c r="CL218" s="304"/>
      <c r="CM218" s="304"/>
      <c r="CN218" s="304"/>
      <c r="CO218" s="304"/>
      <c r="CP218" s="304"/>
    </row>
    <row r="219" spans="1:94" s="87" customFormat="1">
      <c r="A219" s="81"/>
      <c r="B219" s="83"/>
      <c r="C219" s="82"/>
      <c r="D219" s="102"/>
      <c r="E219" s="102"/>
      <c r="F219" s="102"/>
      <c r="G219" s="225"/>
      <c r="H219" s="218">
        <f t="shared" si="23"/>
        <v>0</v>
      </c>
      <c r="I219" s="218">
        <f t="shared" si="24"/>
        <v>0</v>
      </c>
      <c r="J219" s="218">
        <f t="shared" si="25"/>
        <v>0</v>
      </c>
      <c r="K219" s="102" t="str">
        <f t="shared" si="26"/>
        <v/>
      </c>
      <c r="L219" s="221"/>
      <c r="M219" s="325"/>
      <c r="N219" s="94"/>
      <c r="O219" s="326"/>
      <c r="P219" s="84"/>
      <c r="Q219" s="88"/>
      <c r="R219" s="102">
        <f t="shared" si="22"/>
        <v>0</v>
      </c>
      <c r="S219" s="89"/>
      <c r="T219" s="100"/>
      <c r="U219" s="100"/>
      <c r="V219" s="100"/>
      <c r="W219" s="100"/>
      <c r="X219" s="100"/>
      <c r="Y219" s="83"/>
      <c r="Z219" s="304"/>
      <c r="AA219" s="304"/>
      <c r="AB219" s="304"/>
      <c r="AC219" s="304"/>
      <c r="AD219" s="304"/>
      <c r="AE219" s="304"/>
      <c r="AF219" s="304"/>
      <c r="AG219" s="304"/>
      <c r="AH219" s="304"/>
      <c r="AI219" s="304"/>
      <c r="AJ219" s="304"/>
      <c r="AK219" s="304"/>
      <c r="AL219" s="304"/>
      <c r="AM219" s="304"/>
      <c r="AN219" s="304"/>
      <c r="AO219" s="304"/>
      <c r="AP219" s="304"/>
      <c r="AQ219" s="304"/>
      <c r="AR219" s="304"/>
      <c r="AS219" s="304"/>
      <c r="AT219" s="304"/>
      <c r="AU219" s="304"/>
      <c r="AV219" s="304"/>
      <c r="AW219" s="304"/>
      <c r="AX219" s="304"/>
      <c r="AY219" s="304"/>
      <c r="AZ219" s="304"/>
      <c r="BA219" s="304"/>
      <c r="BB219" s="304"/>
      <c r="BC219" s="304"/>
      <c r="BD219" s="304"/>
      <c r="BE219" s="304"/>
      <c r="BF219" s="304"/>
      <c r="BG219" s="304"/>
      <c r="BH219" s="304"/>
      <c r="BI219" s="304"/>
      <c r="BJ219" s="304"/>
      <c r="BK219" s="304"/>
      <c r="BL219" s="304"/>
      <c r="BM219" s="304"/>
      <c r="BN219" s="304"/>
      <c r="BO219" s="304"/>
      <c r="BP219" s="304"/>
      <c r="BQ219" s="304"/>
      <c r="BR219" s="304"/>
      <c r="BS219" s="304"/>
      <c r="BT219" s="304"/>
      <c r="BU219" s="304"/>
      <c r="BV219" s="304"/>
      <c r="BW219" s="304"/>
      <c r="BX219" s="304"/>
      <c r="BY219" s="304"/>
      <c r="BZ219" s="304"/>
      <c r="CA219" s="304"/>
      <c r="CB219" s="304"/>
      <c r="CC219" s="304"/>
      <c r="CD219" s="304"/>
      <c r="CE219" s="304"/>
      <c r="CF219" s="304"/>
      <c r="CG219" s="304"/>
      <c r="CH219" s="304"/>
      <c r="CI219" s="304"/>
      <c r="CJ219" s="304"/>
      <c r="CK219" s="304"/>
      <c r="CL219" s="304"/>
      <c r="CM219" s="304"/>
      <c r="CN219" s="304"/>
      <c r="CO219" s="304"/>
      <c r="CP219" s="304"/>
    </row>
    <row r="220" spans="1:94" s="87" customFormat="1">
      <c r="A220" s="81"/>
      <c r="B220" s="83"/>
      <c r="C220" s="82"/>
      <c r="D220" s="102"/>
      <c r="E220" s="102"/>
      <c r="F220" s="102"/>
      <c r="G220" s="225"/>
      <c r="H220" s="218">
        <f t="shared" si="23"/>
        <v>0</v>
      </c>
      <c r="I220" s="218">
        <f t="shared" si="24"/>
        <v>0</v>
      </c>
      <c r="J220" s="218">
        <f t="shared" si="25"/>
        <v>0</v>
      </c>
      <c r="K220" s="102" t="str">
        <f t="shared" si="26"/>
        <v/>
      </c>
      <c r="L220" s="221"/>
      <c r="M220" s="325"/>
      <c r="N220" s="94"/>
      <c r="O220" s="326"/>
      <c r="P220" s="84"/>
      <c r="Q220" s="88"/>
      <c r="R220" s="102">
        <f t="shared" si="22"/>
        <v>0</v>
      </c>
      <c r="S220" s="89"/>
      <c r="T220" s="100"/>
      <c r="U220" s="100"/>
      <c r="V220" s="100"/>
      <c r="W220" s="100"/>
      <c r="X220" s="100"/>
      <c r="Y220" s="83"/>
      <c r="Z220" s="304"/>
      <c r="AA220" s="304"/>
      <c r="AB220" s="304"/>
      <c r="AC220" s="304"/>
      <c r="AD220" s="304"/>
      <c r="AE220" s="304"/>
      <c r="AF220" s="304"/>
      <c r="AG220" s="304"/>
      <c r="AH220" s="304"/>
      <c r="AI220" s="304"/>
      <c r="AJ220" s="304"/>
      <c r="AK220" s="304"/>
      <c r="AL220" s="304"/>
      <c r="AM220" s="304"/>
      <c r="AN220" s="304"/>
      <c r="AO220" s="304"/>
      <c r="AP220" s="304"/>
      <c r="AQ220" s="304"/>
      <c r="AR220" s="304"/>
      <c r="AS220" s="304"/>
      <c r="AT220" s="304"/>
      <c r="AU220" s="304"/>
      <c r="AV220" s="304"/>
      <c r="AW220" s="304"/>
      <c r="AX220" s="304"/>
      <c r="AY220" s="304"/>
      <c r="AZ220" s="304"/>
      <c r="BA220" s="304"/>
      <c r="BB220" s="304"/>
      <c r="BC220" s="304"/>
      <c r="BD220" s="304"/>
      <c r="BE220" s="304"/>
      <c r="BF220" s="304"/>
      <c r="BG220" s="304"/>
      <c r="BH220" s="304"/>
      <c r="BI220" s="304"/>
      <c r="BJ220" s="304"/>
      <c r="BK220" s="304"/>
      <c r="BL220" s="304"/>
      <c r="BM220" s="304"/>
      <c r="BN220" s="304"/>
      <c r="BO220" s="304"/>
      <c r="BP220" s="304"/>
      <c r="BQ220" s="304"/>
      <c r="BR220" s="304"/>
      <c r="BS220" s="304"/>
      <c r="BT220" s="304"/>
      <c r="BU220" s="304"/>
      <c r="BV220" s="304"/>
      <c r="BW220" s="304"/>
      <c r="BX220" s="304"/>
      <c r="BY220" s="304"/>
      <c r="BZ220" s="304"/>
      <c r="CA220" s="304"/>
      <c r="CB220" s="304"/>
      <c r="CC220" s="304"/>
      <c r="CD220" s="304"/>
      <c r="CE220" s="304"/>
      <c r="CF220" s="304"/>
      <c r="CG220" s="304"/>
      <c r="CH220" s="304"/>
      <c r="CI220" s="304"/>
      <c r="CJ220" s="304"/>
      <c r="CK220" s="304"/>
      <c r="CL220" s="304"/>
      <c r="CM220" s="304"/>
      <c r="CN220" s="304"/>
      <c r="CO220" s="304"/>
      <c r="CP220" s="304"/>
    </row>
    <row r="221" spans="1:94" s="87" customFormat="1">
      <c r="A221" s="81"/>
      <c r="B221" s="83"/>
      <c r="C221" s="82"/>
      <c r="D221" s="102"/>
      <c r="E221" s="102"/>
      <c r="F221" s="102"/>
      <c r="G221" s="225"/>
      <c r="H221" s="218">
        <f t="shared" si="23"/>
        <v>0</v>
      </c>
      <c r="I221" s="218">
        <f t="shared" si="24"/>
        <v>0</v>
      </c>
      <c r="J221" s="218">
        <f t="shared" si="25"/>
        <v>0</v>
      </c>
      <c r="K221" s="102" t="str">
        <f t="shared" si="26"/>
        <v/>
      </c>
      <c r="L221" s="221"/>
      <c r="M221" s="325"/>
      <c r="N221" s="94"/>
      <c r="O221" s="326"/>
      <c r="P221" s="84"/>
      <c r="Q221" s="88"/>
      <c r="R221" s="102">
        <f t="shared" si="22"/>
        <v>0</v>
      </c>
      <c r="S221" s="89"/>
      <c r="T221" s="100"/>
      <c r="U221" s="100"/>
      <c r="V221" s="100"/>
      <c r="W221" s="100"/>
      <c r="X221" s="100"/>
      <c r="Y221" s="83"/>
      <c r="Z221" s="304"/>
      <c r="AA221" s="304"/>
      <c r="AB221" s="304"/>
      <c r="AC221" s="304"/>
      <c r="AD221" s="304"/>
      <c r="AE221" s="304"/>
      <c r="AF221" s="304"/>
      <c r="AG221" s="304"/>
      <c r="AH221" s="304"/>
      <c r="AI221" s="304"/>
      <c r="AJ221" s="304"/>
      <c r="AK221" s="304"/>
      <c r="AL221" s="304"/>
      <c r="AM221" s="304"/>
      <c r="AN221" s="304"/>
      <c r="AO221" s="304"/>
      <c r="AP221" s="304"/>
      <c r="AQ221" s="304"/>
      <c r="AR221" s="304"/>
      <c r="AS221" s="304"/>
      <c r="AT221" s="304"/>
      <c r="AU221" s="304"/>
      <c r="AV221" s="304"/>
      <c r="AW221" s="304"/>
      <c r="AX221" s="304"/>
      <c r="AY221" s="304"/>
      <c r="AZ221" s="304"/>
      <c r="BA221" s="304"/>
      <c r="BB221" s="304"/>
      <c r="BC221" s="304"/>
      <c r="BD221" s="304"/>
      <c r="BE221" s="304"/>
      <c r="BF221" s="304"/>
      <c r="BG221" s="304"/>
      <c r="BH221" s="304"/>
      <c r="BI221" s="304"/>
      <c r="BJ221" s="304"/>
      <c r="BK221" s="304"/>
      <c r="BL221" s="304"/>
      <c r="BM221" s="304"/>
      <c r="BN221" s="304"/>
      <c r="BO221" s="304"/>
      <c r="BP221" s="304"/>
      <c r="BQ221" s="304"/>
      <c r="BR221" s="304"/>
      <c r="BS221" s="304"/>
      <c r="BT221" s="304"/>
      <c r="BU221" s="304"/>
      <c r="BV221" s="304"/>
      <c r="BW221" s="304"/>
      <c r="BX221" s="304"/>
      <c r="BY221" s="304"/>
      <c r="BZ221" s="304"/>
      <c r="CA221" s="304"/>
      <c r="CB221" s="304"/>
      <c r="CC221" s="304"/>
      <c r="CD221" s="304"/>
      <c r="CE221" s="304"/>
      <c r="CF221" s="304"/>
      <c r="CG221" s="304"/>
      <c r="CH221" s="304"/>
      <c r="CI221" s="304"/>
      <c r="CJ221" s="304"/>
      <c r="CK221" s="304"/>
      <c r="CL221" s="304"/>
      <c r="CM221" s="304"/>
      <c r="CN221" s="304"/>
      <c r="CO221" s="304"/>
      <c r="CP221" s="304"/>
    </row>
    <row r="222" spans="1:94" s="87" customFormat="1">
      <c r="A222" s="81"/>
      <c r="B222" s="83"/>
      <c r="C222" s="82"/>
      <c r="D222" s="102"/>
      <c r="E222" s="102"/>
      <c r="F222" s="102"/>
      <c r="G222" s="225"/>
      <c r="H222" s="218">
        <f t="shared" si="23"/>
        <v>0</v>
      </c>
      <c r="I222" s="218">
        <f t="shared" si="24"/>
        <v>0</v>
      </c>
      <c r="J222" s="218">
        <f t="shared" si="25"/>
        <v>0</v>
      </c>
      <c r="K222" s="102" t="str">
        <f t="shared" si="26"/>
        <v/>
      </c>
      <c r="L222" s="221"/>
      <c r="M222" s="325"/>
      <c r="N222" s="94"/>
      <c r="O222" s="326"/>
      <c r="P222" s="84"/>
      <c r="Q222" s="88"/>
      <c r="R222" s="102">
        <f t="shared" si="22"/>
        <v>0</v>
      </c>
      <c r="S222" s="89"/>
      <c r="T222" s="100"/>
      <c r="U222" s="100"/>
      <c r="V222" s="100"/>
      <c r="W222" s="100"/>
      <c r="X222" s="100"/>
      <c r="Y222" s="83"/>
      <c r="Z222" s="304"/>
      <c r="AA222" s="304"/>
      <c r="AB222" s="304"/>
      <c r="AC222" s="304"/>
      <c r="AD222" s="304"/>
      <c r="AE222" s="304"/>
      <c r="AF222" s="304"/>
      <c r="AG222" s="304"/>
      <c r="AH222" s="304"/>
      <c r="AI222" s="304"/>
      <c r="AJ222" s="304"/>
      <c r="AK222" s="304"/>
      <c r="AL222" s="304"/>
      <c r="AM222" s="304"/>
      <c r="AN222" s="304"/>
      <c r="AO222" s="304"/>
      <c r="AP222" s="304"/>
      <c r="AQ222" s="304"/>
      <c r="AR222" s="304"/>
      <c r="AS222" s="304"/>
      <c r="AT222" s="304"/>
      <c r="AU222" s="304"/>
      <c r="AV222" s="304"/>
      <c r="AW222" s="304"/>
      <c r="AX222" s="304"/>
      <c r="AY222" s="304"/>
      <c r="AZ222" s="304"/>
      <c r="BA222" s="304"/>
      <c r="BB222" s="304"/>
      <c r="BC222" s="304"/>
      <c r="BD222" s="304"/>
      <c r="BE222" s="304"/>
      <c r="BF222" s="304"/>
      <c r="BG222" s="304"/>
      <c r="BH222" s="304"/>
      <c r="BI222" s="304"/>
      <c r="BJ222" s="304"/>
      <c r="BK222" s="304"/>
      <c r="BL222" s="304"/>
      <c r="BM222" s="304"/>
      <c r="BN222" s="304"/>
      <c r="BO222" s="304"/>
      <c r="BP222" s="304"/>
      <c r="BQ222" s="304"/>
      <c r="BR222" s="304"/>
      <c r="BS222" s="304"/>
      <c r="BT222" s="304"/>
      <c r="BU222" s="304"/>
      <c r="BV222" s="304"/>
      <c r="BW222" s="304"/>
      <c r="BX222" s="304"/>
      <c r="BY222" s="304"/>
      <c r="BZ222" s="304"/>
      <c r="CA222" s="304"/>
      <c r="CB222" s="304"/>
      <c r="CC222" s="304"/>
      <c r="CD222" s="304"/>
      <c r="CE222" s="304"/>
      <c r="CF222" s="304"/>
      <c r="CG222" s="304"/>
      <c r="CH222" s="304"/>
      <c r="CI222" s="304"/>
      <c r="CJ222" s="304"/>
      <c r="CK222" s="304"/>
      <c r="CL222" s="304"/>
      <c r="CM222" s="304"/>
      <c r="CN222" s="304"/>
      <c r="CO222" s="304"/>
      <c r="CP222" s="304"/>
    </row>
    <row r="223" spans="1:94" s="87" customFormat="1">
      <c r="A223" s="81"/>
      <c r="B223" s="83"/>
      <c r="C223" s="82"/>
      <c r="D223" s="102"/>
      <c r="E223" s="102"/>
      <c r="F223" s="102"/>
      <c r="G223" s="225"/>
      <c r="H223" s="218">
        <f t="shared" si="23"/>
        <v>0</v>
      </c>
      <c r="I223" s="218">
        <f t="shared" si="24"/>
        <v>0</v>
      </c>
      <c r="J223" s="218">
        <f t="shared" si="25"/>
        <v>0</v>
      </c>
      <c r="K223" s="102" t="str">
        <f t="shared" si="26"/>
        <v/>
      </c>
      <c r="L223" s="221"/>
      <c r="M223" s="325"/>
      <c r="N223" s="94"/>
      <c r="O223" s="326"/>
      <c r="P223" s="84"/>
      <c r="Q223" s="88"/>
      <c r="R223" s="102">
        <f t="shared" si="22"/>
        <v>0</v>
      </c>
      <c r="S223" s="89"/>
      <c r="T223" s="100"/>
      <c r="U223" s="100"/>
      <c r="V223" s="100"/>
      <c r="W223" s="100"/>
      <c r="X223" s="100"/>
      <c r="Y223" s="83"/>
      <c r="Z223" s="304"/>
      <c r="AA223" s="304"/>
      <c r="AB223" s="304"/>
      <c r="AC223" s="304"/>
      <c r="AD223" s="304"/>
      <c r="AE223" s="304"/>
      <c r="AF223" s="304"/>
      <c r="AG223" s="304"/>
      <c r="AH223" s="304"/>
      <c r="AI223" s="304"/>
      <c r="AJ223" s="304"/>
      <c r="AK223" s="304"/>
      <c r="AL223" s="304"/>
      <c r="AM223" s="304"/>
      <c r="AN223" s="304"/>
      <c r="AO223" s="304"/>
      <c r="AP223" s="304"/>
      <c r="AQ223" s="304"/>
      <c r="AR223" s="304"/>
      <c r="AS223" s="304"/>
      <c r="AT223" s="304"/>
      <c r="AU223" s="304"/>
      <c r="AV223" s="304"/>
      <c r="AW223" s="304"/>
      <c r="AX223" s="304"/>
      <c r="AY223" s="304"/>
      <c r="AZ223" s="304"/>
      <c r="BA223" s="304"/>
      <c r="BB223" s="304"/>
      <c r="BC223" s="304"/>
      <c r="BD223" s="304"/>
      <c r="BE223" s="304"/>
      <c r="BF223" s="304"/>
      <c r="BG223" s="304"/>
      <c r="BH223" s="304"/>
      <c r="BI223" s="304"/>
      <c r="BJ223" s="304"/>
      <c r="BK223" s="304"/>
      <c r="BL223" s="304"/>
      <c r="BM223" s="304"/>
      <c r="BN223" s="304"/>
      <c r="BO223" s="304"/>
      <c r="BP223" s="304"/>
      <c r="BQ223" s="304"/>
      <c r="BR223" s="304"/>
      <c r="BS223" s="304"/>
      <c r="BT223" s="304"/>
      <c r="BU223" s="304"/>
      <c r="BV223" s="304"/>
      <c r="BW223" s="304"/>
      <c r="BX223" s="304"/>
      <c r="BY223" s="304"/>
      <c r="BZ223" s="304"/>
      <c r="CA223" s="304"/>
      <c r="CB223" s="304"/>
      <c r="CC223" s="304"/>
      <c r="CD223" s="304"/>
      <c r="CE223" s="304"/>
      <c r="CF223" s="304"/>
      <c r="CG223" s="304"/>
      <c r="CH223" s="304"/>
      <c r="CI223" s="304"/>
      <c r="CJ223" s="304"/>
      <c r="CK223" s="304"/>
      <c r="CL223" s="304"/>
      <c r="CM223" s="304"/>
      <c r="CN223" s="304"/>
      <c r="CO223" s="304"/>
      <c r="CP223" s="304"/>
    </row>
    <row r="224" spans="1:94" s="87" customFormat="1">
      <c r="A224" s="81"/>
      <c r="B224" s="83"/>
      <c r="C224" s="82"/>
      <c r="D224" s="102"/>
      <c r="E224" s="102"/>
      <c r="F224" s="102"/>
      <c r="G224" s="225"/>
      <c r="H224" s="218">
        <f t="shared" si="23"/>
        <v>0</v>
      </c>
      <c r="I224" s="218">
        <f t="shared" si="24"/>
        <v>0</v>
      </c>
      <c r="J224" s="218">
        <f t="shared" si="25"/>
        <v>0</v>
      </c>
      <c r="K224" s="102" t="str">
        <f t="shared" si="26"/>
        <v/>
      </c>
      <c r="L224" s="221"/>
      <c r="M224" s="325"/>
      <c r="N224" s="94"/>
      <c r="O224" s="326"/>
      <c r="P224" s="84"/>
      <c r="Q224" s="88"/>
      <c r="R224" s="102">
        <f t="shared" si="22"/>
        <v>0</v>
      </c>
      <c r="S224" s="89"/>
      <c r="T224" s="100"/>
      <c r="U224" s="100"/>
      <c r="V224" s="100"/>
      <c r="W224" s="100"/>
      <c r="X224" s="100"/>
      <c r="Y224" s="83"/>
      <c r="Z224" s="304"/>
      <c r="AA224" s="304"/>
      <c r="AB224" s="304"/>
      <c r="AC224" s="304"/>
      <c r="AD224" s="304"/>
      <c r="AE224" s="304"/>
      <c r="AF224" s="304"/>
      <c r="AG224" s="304"/>
      <c r="AH224" s="304"/>
      <c r="AI224" s="304"/>
      <c r="AJ224" s="304"/>
      <c r="AK224" s="304"/>
      <c r="AL224" s="304"/>
      <c r="AM224" s="304"/>
      <c r="AN224" s="304"/>
      <c r="AO224" s="304"/>
      <c r="AP224" s="304"/>
      <c r="AQ224" s="304"/>
      <c r="AR224" s="304"/>
      <c r="AS224" s="304"/>
      <c r="AT224" s="304"/>
      <c r="AU224" s="304"/>
      <c r="AV224" s="304"/>
      <c r="AW224" s="304"/>
      <c r="AX224" s="304"/>
      <c r="AY224" s="304"/>
      <c r="AZ224" s="304"/>
      <c r="BA224" s="304"/>
      <c r="BB224" s="304"/>
      <c r="BC224" s="304"/>
      <c r="BD224" s="304"/>
      <c r="BE224" s="304"/>
      <c r="BF224" s="304"/>
      <c r="BG224" s="304"/>
      <c r="BH224" s="304"/>
      <c r="BI224" s="304"/>
      <c r="BJ224" s="304"/>
      <c r="BK224" s="304"/>
      <c r="BL224" s="304"/>
      <c r="BM224" s="304"/>
      <c r="BN224" s="304"/>
      <c r="BO224" s="304"/>
      <c r="BP224" s="304"/>
      <c r="BQ224" s="304"/>
      <c r="BR224" s="304"/>
      <c r="BS224" s="304"/>
      <c r="BT224" s="304"/>
      <c r="BU224" s="304"/>
      <c r="BV224" s="304"/>
      <c r="BW224" s="304"/>
      <c r="BX224" s="304"/>
      <c r="BY224" s="304"/>
      <c r="BZ224" s="304"/>
      <c r="CA224" s="304"/>
      <c r="CB224" s="304"/>
      <c r="CC224" s="304"/>
      <c r="CD224" s="304"/>
      <c r="CE224" s="304"/>
      <c r="CF224" s="304"/>
      <c r="CG224" s="304"/>
      <c r="CH224" s="304"/>
      <c r="CI224" s="304"/>
      <c r="CJ224" s="304"/>
      <c r="CK224" s="304"/>
      <c r="CL224" s="304"/>
      <c r="CM224" s="304"/>
      <c r="CN224" s="304"/>
      <c r="CO224" s="304"/>
      <c r="CP224" s="304"/>
    </row>
    <row r="225" spans="1:94" s="87" customFormat="1">
      <c r="A225" s="81"/>
      <c r="B225" s="83"/>
      <c r="C225" s="82"/>
      <c r="D225" s="102"/>
      <c r="E225" s="102"/>
      <c r="F225" s="102"/>
      <c r="G225" s="225"/>
      <c r="H225" s="218">
        <f t="shared" si="23"/>
        <v>0</v>
      </c>
      <c r="I225" s="218">
        <f t="shared" si="24"/>
        <v>0</v>
      </c>
      <c r="J225" s="218">
        <f t="shared" si="25"/>
        <v>0</v>
      </c>
      <c r="K225" s="102" t="str">
        <f t="shared" si="26"/>
        <v/>
      </c>
      <c r="L225" s="221"/>
      <c r="M225" s="325"/>
      <c r="N225" s="94"/>
      <c r="O225" s="326"/>
      <c r="P225" s="84"/>
      <c r="Q225" s="88"/>
      <c r="R225" s="102">
        <f t="shared" si="22"/>
        <v>0</v>
      </c>
      <c r="S225" s="89"/>
      <c r="T225" s="100"/>
      <c r="U225" s="100"/>
      <c r="V225" s="100"/>
      <c r="W225" s="100"/>
      <c r="X225" s="100"/>
      <c r="Y225" s="83"/>
      <c r="Z225" s="304"/>
      <c r="AA225" s="304"/>
      <c r="AB225" s="304"/>
      <c r="AC225" s="304"/>
      <c r="AD225" s="304"/>
      <c r="AE225" s="304"/>
      <c r="AF225" s="304"/>
      <c r="AG225" s="304"/>
      <c r="AH225" s="304"/>
      <c r="AI225" s="304"/>
      <c r="AJ225" s="304"/>
      <c r="AK225" s="304"/>
      <c r="AL225" s="304"/>
      <c r="AM225" s="304"/>
      <c r="AN225" s="304"/>
      <c r="AO225" s="304"/>
      <c r="AP225" s="304"/>
      <c r="AQ225" s="304"/>
      <c r="AR225" s="304"/>
      <c r="AS225" s="304"/>
      <c r="AT225" s="304"/>
      <c r="AU225" s="304"/>
      <c r="AV225" s="304"/>
      <c r="AW225" s="304"/>
      <c r="AX225" s="304"/>
      <c r="AY225" s="304"/>
      <c r="AZ225" s="304"/>
      <c r="BA225" s="304"/>
      <c r="BB225" s="304"/>
      <c r="BC225" s="304"/>
      <c r="BD225" s="304"/>
      <c r="BE225" s="304"/>
      <c r="BF225" s="304"/>
      <c r="BG225" s="304"/>
      <c r="BH225" s="304"/>
      <c r="BI225" s="304"/>
      <c r="BJ225" s="304"/>
      <c r="BK225" s="304"/>
      <c r="BL225" s="304"/>
      <c r="BM225" s="304"/>
      <c r="BN225" s="304"/>
      <c r="BO225" s="304"/>
      <c r="BP225" s="304"/>
      <c r="BQ225" s="304"/>
      <c r="BR225" s="304"/>
      <c r="BS225" s="304"/>
      <c r="BT225" s="304"/>
      <c r="BU225" s="304"/>
      <c r="BV225" s="304"/>
      <c r="BW225" s="304"/>
      <c r="BX225" s="304"/>
      <c r="BY225" s="304"/>
      <c r="BZ225" s="304"/>
      <c r="CA225" s="304"/>
      <c r="CB225" s="304"/>
      <c r="CC225" s="304"/>
      <c r="CD225" s="304"/>
      <c r="CE225" s="304"/>
      <c r="CF225" s="304"/>
      <c r="CG225" s="304"/>
      <c r="CH225" s="304"/>
      <c r="CI225" s="304"/>
      <c r="CJ225" s="304"/>
      <c r="CK225" s="304"/>
      <c r="CL225" s="304"/>
      <c r="CM225" s="304"/>
      <c r="CN225" s="304"/>
      <c r="CO225" s="304"/>
      <c r="CP225" s="304"/>
    </row>
    <row r="226" spans="1:94" s="87" customFormat="1">
      <c r="A226" s="81"/>
      <c r="B226" s="83"/>
      <c r="C226" s="82"/>
      <c r="D226" s="102"/>
      <c r="E226" s="102"/>
      <c r="F226" s="102"/>
      <c r="G226" s="225"/>
      <c r="H226" s="218">
        <f t="shared" si="23"/>
        <v>0</v>
      </c>
      <c r="I226" s="218">
        <f t="shared" si="24"/>
        <v>0</v>
      </c>
      <c r="J226" s="218">
        <f t="shared" si="25"/>
        <v>0</v>
      </c>
      <c r="K226" s="102" t="str">
        <f t="shared" si="26"/>
        <v/>
      </c>
      <c r="L226" s="221"/>
      <c r="M226" s="325"/>
      <c r="N226" s="94"/>
      <c r="O226" s="326"/>
      <c r="P226" s="84"/>
      <c r="Q226" s="88"/>
      <c r="R226" s="102">
        <f t="shared" si="22"/>
        <v>0</v>
      </c>
      <c r="S226" s="89"/>
      <c r="T226" s="100"/>
      <c r="U226" s="100"/>
      <c r="V226" s="100"/>
      <c r="W226" s="100"/>
      <c r="X226" s="100"/>
      <c r="Y226" s="83"/>
      <c r="Z226" s="304"/>
      <c r="AA226" s="304"/>
      <c r="AB226" s="304"/>
      <c r="AC226" s="304"/>
      <c r="AD226" s="304"/>
      <c r="AE226" s="304"/>
      <c r="AF226" s="304"/>
      <c r="AG226" s="304"/>
      <c r="AH226" s="304"/>
      <c r="AI226" s="304"/>
      <c r="AJ226" s="304"/>
      <c r="AK226" s="304"/>
      <c r="AL226" s="304"/>
      <c r="AM226" s="304"/>
      <c r="AN226" s="304"/>
      <c r="AO226" s="304"/>
      <c r="AP226" s="304"/>
      <c r="AQ226" s="304"/>
      <c r="AR226" s="304"/>
      <c r="AS226" s="304"/>
      <c r="AT226" s="304"/>
      <c r="AU226" s="304"/>
      <c r="AV226" s="304"/>
      <c r="AW226" s="304"/>
      <c r="AX226" s="304"/>
      <c r="AY226" s="304"/>
      <c r="AZ226" s="304"/>
      <c r="BA226" s="304"/>
      <c r="BB226" s="304"/>
      <c r="BC226" s="304"/>
      <c r="BD226" s="304"/>
      <c r="BE226" s="304"/>
      <c r="BF226" s="304"/>
      <c r="BG226" s="304"/>
      <c r="BH226" s="304"/>
      <c r="BI226" s="304"/>
      <c r="BJ226" s="304"/>
      <c r="BK226" s="304"/>
      <c r="BL226" s="304"/>
      <c r="BM226" s="304"/>
      <c r="BN226" s="304"/>
      <c r="BO226" s="304"/>
      <c r="BP226" s="304"/>
      <c r="BQ226" s="304"/>
      <c r="BR226" s="304"/>
      <c r="BS226" s="304"/>
      <c r="BT226" s="304"/>
      <c r="BU226" s="304"/>
      <c r="BV226" s="304"/>
      <c r="BW226" s="304"/>
      <c r="BX226" s="304"/>
      <c r="BY226" s="304"/>
      <c r="BZ226" s="304"/>
      <c r="CA226" s="304"/>
      <c r="CB226" s="304"/>
      <c r="CC226" s="304"/>
      <c r="CD226" s="304"/>
      <c r="CE226" s="304"/>
      <c r="CF226" s="304"/>
      <c r="CG226" s="304"/>
      <c r="CH226" s="304"/>
      <c r="CI226" s="304"/>
      <c r="CJ226" s="304"/>
      <c r="CK226" s="304"/>
      <c r="CL226" s="304"/>
      <c r="CM226" s="304"/>
      <c r="CN226" s="304"/>
      <c r="CO226" s="304"/>
      <c r="CP226" s="304"/>
    </row>
    <row r="227" spans="1:94" s="87" customFormat="1">
      <c r="A227" s="81"/>
      <c r="B227" s="83"/>
      <c r="C227" s="82"/>
      <c r="D227" s="102"/>
      <c r="E227" s="102"/>
      <c r="F227" s="102"/>
      <c r="G227" s="225"/>
      <c r="H227" s="218">
        <f t="shared" si="23"/>
        <v>0</v>
      </c>
      <c r="I227" s="218">
        <f t="shared" si="24"/>
        <v>0</v>
      </c>
      <c r="J227" s="218">
        <f t="shared" si="25"/>
        <v>0</v>
      </c>
      <c r="K227" s="102" t="str">
        <f t="shared" si="26"/>
        <v/>
      </c>
      <c r="L227" s="221"/>
      <c r="M227" s="325"/>
      <c r="N227" s="94"/>
      <c r="O227" s="326"/>
      <c r="P227" s="84"/>
      <c r="Q227" s="88"/>
      <c r="R227" s="102">
        <f t="shared" si="22"/>
        <v>0</v>
      </c>
      <c r="S227" s="89"/>
      <c r="T227" s="100"/>
      <c r="U227" s="100"/>
      <c r="V227" s="100"/>
      <c r="W227" s="100"/>
      <c r="X227" s="100"/>
      <c r="Y227" s="83"/>
      <c r="Z227" s="304"/>
      <c r="AA227" s="304"/>
      <c r="AB227" s="304"/>
      <c r="AC227" s="304"/>
      <c r="AD227" s="304"/>
      <c r="AE227" s="304"/>
      <c r="AF227" s="304"/>
      <c r="AG227" s="304"/>
      <c r="AH227" s="304"/>
      <c r="AI227" s="304"/>
      <c r="AJ227" s="304"/>
      <c r="AK227" s="304"/>
      <c r="AL227" s="304"/>
      <c r="AM227" s="304"/>
      <c r="AN227" s="304"/>
      <c r="AO227" s="304"/>
      <c r="AP227" s="304"/>
      <c r="AQ227" s="304"/>
      <c r="AR227" s="304"/>
      <c r="AS227" s="304"/>
      <c r="AT227" s="304"/>
      <c r="AU227" s="304"/>
      <c r="AV227" s="304"/>
      <c r="AW227" s="304"/>
      <c r="AX227" s="304"/>
      <c r="AY227" s="304"/>
      <c r="AZ227" s="304"/>
      <c r="BA227" s="304"/>
      <c r="BB227" s="304"/>
      <c r="BC227" s="304"/>
      <c r="BD227" s="304"/>
      <c r="BE227" s="304"/>
      <c r="BF227" s="304"/>
      <c r="BG227" s="304"/>
      <c r="BH227" s="304"/>
      <c r="BI227" s="304"/>
      <c r="BJ227" s="304"/>
      <c r="BK227" s="304"/>
      <c r="BL227" s="304"/>
      <c r="BM227" s="304"/>
      <c r="BN227" s="304"/>
      <c r="BO227" s="304"/>
      <c r="BP227" s="304"/>
      <c r="BQ227" s="304"/>
      <c r="BR227" s="304"/>
      <c r="BS227" s="304"/>
      <c r="BT227" s="304"/>
      <c r="BU227" s="304"/>
      <c r="BV227" s="304"/>
      <c r="BW227" s="304"/>
      <c r="BX227" s="304"/>
      <c r="BY227" s="304"/>
      <c r="BZ227" s="304"/>
      <c r="CA227" s="304"/>
      <c r="CB227" s="304"/>
      <c r="CC227" s="304"/>
      <c r="CD227" s="304"/>
      <c r="CE227" s="304"/>
      <c r="CF227" s="304"/>
      <c r="CG227" s="304"/>
      <c r="CH227" s="304"/>
      <c r="CI227" s="304"/>
      <c r="CJ227" s="304"/>
      <c r="CK227" s="304"/>
      <c r="CL227" s="304"/>
      <c r="CM227" s="304"/>
      <c r="CN227" s="304"/>
      <c r="CO227" s="304"/>
      <c r="CP227" s="304"/>
    </row>
    <row r="228" spans="1:94" s="87" customFormat="1">
      <c r="A228" s="81"/>
      <c r="B228" s="83"/>
      <c r="C228" s="82"/>
      <c r="D228" s="102"/>
      <c r="E228" s="102"/>
      <c r="F228" s="102"/>
      <c r="G228" s="225"/>
      <c r="H228" s="218">
        <f t="shared" si="23"/>
        <v>0</v>
      </c>
      <c r="I228" s="218">
        <f t="shared" si="24"/>
        <v>0</v>
      </c>
      <c r="J228" s="218">
        <f t="shared" si="25"/>
        <v>0</v>
      </c>
      <c r="K228" s="102" t="str">
        <f t="shared" si="26"/>
        <v/>
      </c>
      <c r="L228" s="221"/>
      <c r="M228" s="325"/>
      <c r="N228" s="94"/>
      <c r="O228" s="326"/>
      <c r="P228" s="84"/>
      <c r="Q228" s="88"/>
      <c r="R228" s="102">
        <f t="shared" si="22"/>
        <v>0</v>
      </c>
      <c r="S228" s="89"/>
      <c r="T228" s="100"/>
      <c r="U228" s="100"/>
      <c r="V228" s="100"/>
      <c r="W228" s="100"/>
      <c r="X228" s="100"/>
      <c r="Y228" s="83"/>
      <c r="Z228" s="304"/>
      <c r="AA228" s="304"/>
      <c r="AB228" s="304"/>
      <c r="AC228" s="304"/>
      <c r="AD228" s="304"/>
      <c r="AE228" s="304"/>
      <c r="AF228" s="304"/>
      <c r="AG228" s="304"/>
      <c r="AH228" s="304"/>
      <c r="AI228" s="304"/>
      <c r="AJ228" s="304"/>
      <c r="AK228" s="304"/>
      <c r="AL228" s="304"/>
      <c r="AM228" s="304"/>
      <c r="AN228" s="304"/>
      <c r="AO228" s="304"/>
      <c r="AP228" s="304"/>
      <c r="AQ228" s="304"/>
      <c r="AR228" s="304"/>
      <c r="AS228" s="304"/>
      <c r="AT228" s="304"/>
      <c r="AU228" s="304"/>
      <c r="AV228" s="304"/>
      <c r="AW228" s="304"/>
      <c r="AX228" s="304"/>
      <c r="AY228" s="304"/>
      <c r="AZ228" s="304"/>
      <c r="BA228" s="304"/>
      <c r="BB228" s="304"/>
      <c r="BC228" s="304"/>
      <c r="BD228" s="304"/>
      <c r="BE228" s="304"/>
      <c r="BF228" s="304"/>
      <c r="BG228" s="304"/>
      <c r="BH228" s="304"/>
      <c r="BI228" s="304"/>
      <c r="BJ228" s="304"/>
      <c r="BK228" s="304"/>
      <c r="BL228" s="304"/>
      <c r="BM228" s="304"/>
      <c r="BN228" s="304"/>
      <c r="BO228" s="304"/>
      <c r="BP228" s="304"/>
      <c r="BQ228" s="304"/>
      <c r="BR228" s="304"/>
      <c r="BS228" s="304"/>
      <c r="BT228" s="304"/>
      <c r="BU228" s="304"/>
      <c r="BV228" s="304"/>
      <c r="BW228" s="304"/>
      <c r="BX228" s="304"/>
      <c r="BY228" s="304"/>
      <c r="BZ228" s="304"/>
      <c r="CA228" s="304"/>
      <c r="CB228" s="304"/>
      <c r="CC228" s="304"/>
      <c r="CD228" s="304"/>
      <c r="CE228" s="304"/>
      <c r="CF228" s="304"/>
      <c r="CG228" s="304"/>
      <c r="CH228" s="304"/>
      <c r="CI228" s="304"/>
      <c r="CJ228" s="304"/>
      <c r="CK228" s="304"/>
      <c r="CL228" s="304"/>
      <c r="CM228" s="304"/>
      <c r="CN228" s="304"/>
      <c r="CO228" s="304"/>
      <c r="CP228" s="304"/>
    </row>
    <row r="229" spans="1:94" s="87" customFormat="1">
      <c r="A229" s="81"/>
      <c r="B229" s="83"/>
      <c r="C229" s="82"/>
      <c r="D229" s="102"/>
      <c r="E229" s="102"/>
      <c r="F229" s="102"/>
      <c r="G229" s="225"/>
      <c r="H229" s="218">
        <f t="shared" si="23"/>
        <v>0</v>
      </c>
      <c r="I229" s="218">
        <f t="shared" si="24"/>
        <v>0</v>
      </c>
      <c r="J229" s="218">
        <f t="shared" si="25"/>
        <v>0</v>
      </c>
      <c r="K229" s="102" t="str">
        <f t="shared" si="26"/>
        <v/>
      </c>
      <c r="L229" s="221"/>
      <c r="M229" s="325"/>
      <c r="N229" s="94"/>
      <c r="O229" s="326"/>
      <c r="P229" s="84"/>
      <c r="Q229" s="88"/>
      <c r="R229" s="102">
        <f t="shared" si="22"/>
        <v>0</v>
      </c>
      <c r="S229" s="89"/>
      <c r="T229" s="100"/>
      <c r="U229" s="100"/>
      <c r="V229" s="100"/>
      <c r="W229" s="100"/>
      <c r="X229" s="100"/>
      <c r="Y229" s="83"/>
      <c r="Z229" s="304"/>
      <c r="AA229" s="304"/>
      <c r="AB229" s="304"/>
      <c r="AC229" s="304"/>
      <c r="AD229" s="304"/>
      <c r="AE229" s="304"/>
      <c r="AF229" s="304"/>
      <c r="AG229" s="304"/>
      <c r="AH229" s="304"/>
      <c r="AI229" s="304"/>
      <c r="AJ229" s="304"/>
      <c r="AK229" s="304"/>
      <c r="AL229" s="304"/>
      <c r="AM229" s="304"/>
      <c r="AN229" s="304"/>
      <c r="AO229" s="304"/>
      <c r="AP229" s="304"/>
      <c r="AQ229" s="304"/>
      <c r="AR229" s="304"/>
      <c r="AS229" s="304"/>
      <c r="AT229" s="304"/>
      <c r="AU229" s="304"/>
      <c r="AV229" s="304"/>
      <c r="AW229" s="304"/>
      <c r="AX229" s="304"/>
      <c r="AY229" s="304"/>
      <c r="AZ229" s="304"/>
      <c r="BA229" s="304"/>
      <c r="BB229" s="304"/>
      <c r="BC229" s="304"/>
      <c r="BD229" s="304"/>
      <c r="BE229" s="304"/>
      <c r="BF229" s="304"/>
      <c r="BG229" s="304"/>
      <c r="BH229" s="304"/>
      <c r="BI229" s="304"/>
      <c r="BJ229" s="304"/>
      <c r="BK229" s="304"/>
      <c r="BL229" s="304"/>
      <c r="BM229" s="304"/>
      <c r="BN229" s="304"/>
      <c r="BO229" s="304"/>
      <c r="BP229" s="304"/>
      <c r="BQ229" s="304"/>
      <c r="BR229" s="304"/>
      <c r="BS229" s="304"/>
      <c r="BT229" s="304"/>
      <c r="BU229" s="304"/>
      <c r="BV229" s="304"/>
      <c r="BW229" s="304"/>
      <c r="BX229" s="304"/>
      <c r="BY229" s="304"/>
      <c r="BZ229" s="304"/>
      <c r="CA229" s="304"/>
      <c r="CB229" s="304"/>
      <c r="CC229" s="304"/>
      <c r="CD229" s="304"/>
      <c r="CE229" s="304"/>
      <c r="CF229" s="304"/>
      <c r="CG229" s="304"/>
      <c r="CH229" s="304"/>
      <c r="CI229" s="304"/>
      <c r="CJ229" s="304"/>
      <c r="CK229" s="304"/>
      <c r="CL229" s="304"/>
      <c r="CM229" s="304"/>
      <c r="CN229" s="304"/>
      <c r="CO229" s="304"/>
      <c r="CP229" s="304"/>
    </row>
    <row r="230" spans="1:94" s="87" customFormat="1">
      <c r="A230" s="81"/>
      <c r="B230" s="83"/>
      <c r="C230" s="82"/>
      <c r="D230" s="102"/>
      <c r="E230" s="102"/>
      <c r="F230" s="102"/>
      <c r="G230" s="225"/>
      <c r="H230" s="218">
        <f t="shared" si="23"/>
        <v>0</v>
      </c>
      <c r="I230" s="218">
        <f t="shared" si="24"/>
        <v>0</v>
      </c>
      <c r="J230" s="218">
        <f t="shared" si="25"/>
        <v>0</v>
      </c>
      <c r="K230" s="102" t="str">
        <f t="shared" si="26"/>
        <v/>
      </c>
      <c r="L230" s="221"/>
      <c r="M230" s="325"/>
      <c r="N230" s="94"/>
      <c r="O230" s="326"/>
      <c r="P230" s="84"/>
      <c r="Q230" s="88"/>
      <c r="R230" s="102">
        <f t="shared" si="22"/>
        <v>0</v>
      </c>
      <c r="S230" s="89"/>
      <c r="T230" s="100"/>
      <c r="U230" s="100"/>
      <c r="V230" s="100"/>
      <c r="W230" s="100"/>
      <c r="X230" s="100"/>
      <c r="Y230" s="83"/>
      <c r="Z230" s="304"/>
      <c r="AA230" s="304"/>
      <c r="AB230" s="304"/>
      <c r="AC230" s="304"/>
      <c r="AD230" s="304"/>
      <c r="AE230" s="304"/>
      <c r="AF230" s="304"/>
      <c r="AG230" s="304"/>
      <c r="AH230" s="304"/>
      <c r="AI230" s="304"/>
      <c r="AJ230" s="304"/>
      <c r="AK230" s="304"/>
      <c r="AL230" s="304"/>
      <c r="AM230" s="304"/>
      <c r="AN230" s="304"/>
      <c r="AO230" s="304"/>
      <c r="AP230" s="304"/>
      <c r="AQ230" s="304"/>
      <c r="AR230" s="304"/>
      <c r="AS230" s="304"/>
      <c r="AT230" s="304"/>
      <c r="AU230" s="304"/>
      <c r="AV230" s="304"/>
      <c r="AW230" s="304"/>
      <c r="AX230" s="304"/>
      <c r="AY230" s="304"/>
      <c r="AZ230" s="304"/>
      <c r="BA230" s="304"/>
      <c r="BB230" s="304"/>
      <c r="BC230" s="304"/>
      <c r="BD230" s="304"/>
      <c r="BE230" s="304"/>
      <c r="BF230" s="304"/>
      <c r="BG230" s="304"/>
      <c r="BH230" s="304"/>
      <c r="BI230" s="304"/>
      <c r="BJ230" s="304"/>
      <c r="BK230" s="304"/>
      <c r="BL230" s="304"/>
      <c r="BM230" s="304"/>
      <c r="BN230" s="304"/>
      <c r="BO230" s="304"/>
      <c r="BP230" s="304"/>
      <c r="BQ230" s="304"/>
      <c r="BR230" s="304"/>
      <c r="BS230" s="304"/>
      <c r="BT230" s="304"/>
      <c r="BU230" s="304"/>
      <c r="BV230" s="304"/>
      <c r="BW230" s="304"/>
      <c r="BX230" s="304"/>
      <c r="BY230" s="304"/>
      <c r="BZ230" s="304"/>
      <c r="CA230" s="304"/>
      <c r="CB230" s="304"/>
      <c r="CC230" s="304"/>
      <c r="CD230" s="304"/>
      <c r="CE230" s="304"/>
      <c r="CF230" s="304"/>
      <c r="CG230" s="304"/>
      <c r="CH230" s="304"/>
      <c r="CI230" s="304"/>
      <c r="CJ230" s="304"/>
      <c r="CK230" s="304"/>
      <c r="CL230" s="304"/>
      <c r="CM230" s="304"/>
      <c r="CN230" s="304"/>
      <c r="CO230" s="304"/>
      <c r="CP230" s="304"/>
    </row>
    <row r="231" spans="1:94" s="87" customFormat="1">
      <c r="A231" s="81"/>
      <c r="B231" s="83"/>
      <c r="C231" s="82"/>
      <c r="D231" s="102"/>
      <c r="E231" s="102"/>
      <c r="F231" s="102"/>
      <c r="G231" s="225"/>
      <c r="H231" s="218">
        <f t="shared" si="23"/>
        <v>0</v>
      </c>
      <c r="I231" s="218">
        <f t="shared" si="24"/>
        <v>0</v>
      </c>
      <c r="J231" s="218">
        <f t="shared" si="25"/>
        <v>0</v>
      </c>
      <c r="K231" s="102" t="str">
        <f t="shared" si="26"/>
        <v/>
      </c>
      <c r="L231" s="221"/>
      <c r="M231" s="325"/>
      <c r="N231" s="94"/>
      <c r="O231" s="326"/>
      <c r="P231" s="84"/>
      <c r="Q231" s="88"/>
      <c r="R231" s="102">
        <f t="shared" si="22"/>
        <v>0</v>
      </c>
      <c r="S231" s="89"/>
      <c r="T231" s="100"/>
      <c r="U231" s="100"/>
      <c r="V231" s="100"/>
      <c r="W231" s="100"/>
      <c r="X231" s="100"/>
      <c r="Y231" s="83"/>
      <c r="Z231" s="304"/>
      <c r="AA231" s="304"/>
      <c r="AB231" s="304"/>
      <c r="AC231" s="304"/>
      <c r="AD231" s="304"/>
      <c r="AE231" s="304"/>
      <c r="AF231" s="304"/>
      <c r="AG231" s="304"/>
      <c r="AH231" s="304"/>
      <c r="AI231" s="304"/>
      <c r="AJ231" s="304"/>
      <c r="AK231" s="304"/>
      <c r="AL231" s="304"/>
      <c r="AM231" s="304"/>
      <c r="AN231" s="304"/>
      <c r="AO231" s="304"/>
      <c r="AP231" s="304"/>
      <c r="AQ231" s="304"/>
      <c r="AR231" s="304"/>
      <c r="AS231" s="304"/>
      <c r="AT231" s="304"/>
      <c r="AU231" s="304"/>
      <c r="AV231" s="304"/>
      <c r="AW231" s="304"/>
      <c r="AX231" s="304"/>
      <c r="AY231" s="304"/>
      <c r="AZ231" s="304"/>
      <c r="BA231" s="304"/>
      <c r="BB231" s="304"/>
      <c r="BC231" s="304"/>
      <c r="BD231" s="304"/>
      <c r="BE231" s="304"/>
      <c r="BF231" s="304"/>
      <c r="BG231" s="304"/>
      <c r="BH231" s="304"/>
      <c r="BI231" s="304"/>
      <c r="BJ231" s="304"/>
      <c r="BK231" s="304"/>
      <c r="BL231" s="304"/>
      <c r="BM231" s="304"/>
      <c r="BN231" s="304"/>
      <c r="BO231" s="304"/>
      <c r="BP231" s="304"/>
      <c r="BQ231" s="304"/>
      <c r="BR231" s="304"/>
      <c r="BS231" s="304"/>
      <c r="BT231" s="304"/>
      <c r="BU231" s="304"/>
      <c r="BV231" s="304"/>
      <c r="BW231" s="304"/>
      <c r="BX231" s="304"/>
      <c r="BY231" s="304"/>
      <c r="BZ231" s="304"/>
      <c r="CA231" s="304"/>
      <c r="CB231" s="304"/>
      <c r="CC231" s="304"/>
      <c r="CD231" s="304"/>
      <c r="CE231" s="304"/>
      <c r="CF231" s="304"/>
      <c r="CG231" s="304"/>
      <c r="CH231" s="304"/>
      <c r="CI231" s="304"/>
      <c r="CJ231" s="304"/>
      <c r="CK231" s="304"/>
      <c r="CL231" s="304"/>
      <c r="CM231" s="304"/>
      <c r="CN231" s="304"/>
      <c r="CO231" s="304"/>
      <c r="CP231" s="304"/>
    </row>
    <row r="232" spans="1:94" s="87" customFormat="1">
      <c r="A232" s="81"/>
      <c r="B232" s="83"/>
      <c r="C232" s="82"/>
      <c r="D232" s="102"/>
      <c r="E232" s="102"/>
      <c r="F232" s="102"/>
      <c r="G232" s="225"/>
      <c r="H232" s="218">
        <f t="shared" si="23"/>
        <v>0</v>
      </c>
      <c r="I232" s="218">
        <f t="shared" si="24"/>
        <v>0</v>
      </c>
      <c r="J232" s="218">
        <f t="shared" si="25"/>
        <v>0</v>
      </c>
      <c r="K232" s="102" t="str">
        <f t="shared" si="26"/>
        <v/>
      </c>
      <c r="L232" s="221"/>
      <c r="M232" s="325"/>
      <c r="N232" s="94"/>
      <c r="O232" s="326"/>
      <c r="P232" s="84"/>
      <c r="Q232" s="88"/>
      <c r="R232" s="102">
        <f t="shared" si="22"/>
        <v>0</v>
      </c>
      <c r="S232" s="89"/>
      <c r="T232" s="100"/>
      <c r="U232" s="100"/>
      <c r="V232" s="100"/>
      <c r="W232" s="100"/>
      <c r="X232" s="100"/>
      <c r="Y232" s="83"/>
      <c r="Z232" s="304"/>
      <c r="AA232" s="304"/>
      <c r="AB232" s="304"/>
      <c r="AC232" s="304"/>
      <c r="AD232" s="304"/>
      <c r="AE232" s="304"/>
      <c r="AF232" s="304"/>
      <c r="AG232" s="304"/>
      <c r="AH232" s="304"/>
      <c r="AI232" s="304"/>
      <c r="AJ232" s="304"/>
      <c r="AK232" s="304"/>
      <c r="AL232" s="304"/>
      <c r="AM232" s="304"/>
      <c r="AN232" s="304"/>
      <c r="AO232" s="304"/>
      <c r="AP232" s="304"/>
      <c r="AQ232" s="304"/>
      <c r="AR232" s="304"/>
      <c r="AS232" s="304"/>
      <c r="AT232" s="304"/>
      <c r="AU232" s="304"/>
      <c r="AV232" s="304"/>
      <c r="AW232" s="304"/>
      <c r="AX232" s="304"/>
      <c r="AY232" s="304"/>
      <c r="AZ232" s="304"/>
      <c r="BA232" s="304"/>
      <c r="BB232" s="304"/>
      <c r="BC232" s="304"/>
      <c r="BD232" s="304"/>
      <c r="BE232" s="304"/>
      <c r="BF232" s="304"/>
      <c r="BG232" s="304"/>
      <c r="BH232" s="304"/>
      <c r="BI232" s="304"/>
      <c r="BJ232" s="304"/>
      <c r="BK232" s="304"/>
      <c r="BL232" s="304"/>
      <c r="BM232" s="304"/>
      <c r="BN232" s="304"/>
      <c r="BO232" s="304"/>
      <c r="BP232" s="304"/>
      <c r="BQ232" s="304"/>
      <c r="BR232" s="304"/>
      <c r="BS232" s="304"/>
      <c r="BT232" s="304"/>
      <c r="BU232" s="304"/>
      <c r="BV232" s="304"/>
      <c r="BW232" s="304"/>
      <c r="BX232" s="304"/>
      <c r="BY232" s="304"/>
      <c r="BZ232" s="304"/>
      <c r="CA232" s="304"/>
      <c r="CB232" s="304"/>
      <c r="CC232" s="304"/>
      <c r="CD232" s="304"/>
      <c r="CE232" s="304"/>
      <c r="CF232" s="304"/>
      <c r="CG232" s="304"/>
      <c r="CH232" s="304"/>
      <c r="CI232" s="304"/>
      <c r="CJ232" s="304"/>
      <c r="CK232" s="304"/>
      <c r="CL232" s="304"/>
      <c r="CM232" s="304"/>
      <c r="CN232" s="304"/>
      <c r="CO232" s="304"/>
      <c r="CP232" s="304"/>
    </row>
    <row r="233" spans="1:94" s="87" customFormat="1">
      <c r="A233" s="81"/>
      <c r="B233" s="83"/>
      <c r="C233" s="82"/>
      <c r="D233" s="102"/>
      <c r="E233" s="102"/>
      <c r="F233" s="102"/>
      <c r="G233" s="225"/>
      <c r="H233" s="218">
        <f t="shared" si="23"/>
        <v>0</v>
      </c>
      <c r="I233" s="218">
        <f t="shared" si="24"/>
        <v>0</v>
      </c>
      <c r="J233" s="218">
        <f t="shared" si="25"/>
        <v>0</v>
      </c>
      <c r="K233" s="102" t="str">
        <f t="shared" si="26"/>
        <v/>
      </c>
      <c r="L233" s="221"/>
      <c r="M233" s="325"/>
      <c r="N233" s="94"/>
      <c r="O233" s="326"/>
      <c r="P233" s="84"/>
      <c r="Q233" s="88"/>
      <c r="R233" s="102">
        <f t="shared" si="22"/>
        <v>0</v>
      </c>
      <c r="S233" s="89"/>
      <c r="T233" s="100"/>
      <c r="U233" s="100"/>
      <c r="V233" s="100"/>
      <c r="W233" s="100"/>
      <c r="X233" s="100"/>
      <c r="Y233" s="83"/>
      <c r="Z233" s="304"/>
      <c r="AA233" s="304"/>
      <c r="AB233" s="304"/>
      <c r="AC233" s="304"/>
      <c r="AD233" s="304"/>
      <c r="AE233" s="304"/>
      <c r="AF233" s="304"/>
      <c r="AG233" s="304"/>
      <c r="AH233" s="304"/>
      <c r="AI233" s="304"/>
      <c r="AJ233" s="304"/>
      <c r="AK233" s="304"/>
      <c r="AL233" s="304"/>
      <c r="AM233" s="304"/>
      <c r="AN233" s="304"/>
      <c r="AO233" s="304"/>
      <c r="AP233" s="304"/>
      <c r="AQ233" s="304"/>
      <c r="AR233" s="304"/>
      <c r="AS233" s="304"/>
      <c r="AT233" s="304"/>
      <c r="AU233" s="304"/>
      <c r="AV233" s="304"/>
      <c r="AW233" s="304"/>
      <c r="AX233" s="304"/>
      <c r="AY233" s="304"/>
      <c r="AZ233" s="304"/>
      <c r="BA233" s="304"/>
      <c r="BB233" s="304"/>
      <c r="BC233" s="304"/>
      <c r="BD233" s="304"/>
      <c r="BE233" s="304"/>
      <c r="BF233" s="304"/>
      <c r="BG233" s="304"/>
      <c r="BH233" s="304"/>
      <c r="BI233" s="304"/>
      <c r="BJ233" s="304"/>
      <c r="BK233" s="304"/>
      <c r="BL233" s="304"/>
      <c r="BM233" s="304"/>
      <c r="BN233" s="304"/>
      <c r="BO233" s="304"/>
      <c r="BP233" s="304"/>
      <c r="BQ233" s="304"/>
      <c r="BR233" s="304"/>
      <c r="BS233" s="304"/>
      <c r="BT233" s="304"/>
      <c r="BU233" s="304"/>
      <c r="BV233" s="304"/>
      <c r="BW233" s="304"/>
      <c r="BX233" s="304"/>
      <c r="BY233" s="304"/>
      <c r="BZ233" s="304"/>
      <c r="CA233" s="304"/>
      <c r="CB233" s="304"/>
      <c r="CC233" s="304"/>
      <c r="CD233" s="304"/>
      <c r="CE233" s="304"/>
      <c r="CF233" s="304"/>
      <c r="CG233" s="304"/>
      <c r="CH233" s="304"/>
      <c r="CI233" s="304"/>
      <c r="CJ233" s="304"/>
      <c r="CK233" s="304"/>
      <c r="CL233" s="304"/>
      <c r="CM233" s="304"/>
      <c r="CN233" s="304"/>
      <c r="CO233" s="304"/>
      <c r="CP233" s="304"/>
    </row>
    <row r="234" spans="1:94" s="87" customFormat="1">
      <c r="A234" s="81"/>
      <c r="B234" s="83"/>
      <c r="C234" s="82"/>
      <c r="D234" s="102"/>
      <c r="E234" s="102"/>
      <c r="F234" s="102"/>
      <c r="G234" s="225"/>
      <c r="H234" s="218">
        <f t="shared" si="23"/>
        <v>0</v>
      </c>
      <c r="I234" s="218">
        <f t="shared" si="24"/>
        <v>0</v>
      </c>
      <c r="J234" s="218">
        <f t="shared" si="25"/>
        <v>0</v>
      </c>
      <c r="K234" s="102" t="str">
        <f t="shared" si="26"/>
        <v/>
      </c>
      <c r="L234" s="221"/>
      <c r="M234" s="325"/>
      <c r="N234" s="94"/>
      <c r="O234" s="326"/>
      <c r="P234" s="84"/>
      <c r="Q234" s="88"/>
      <c r="R234" s="102">
        <f t="shared" si="22"/>
        <v>0</v>
      </c>
      <c r="S234" s="89"/>
      <c r="T234" s="100"/>
      <c r="U234" s="100"/>
      <c r="V234" s="100"/>
      <c r="W234" s="100"/>
      <c r="X234" s="100"/>
      <c r="Y234" s="83"/>
      <c r="Z234" s="304"/>
      <c r="AA234" s="304"/>
      <c r="AB234" s="304"/>
      <c r="AC234" s="304"/>
      <c r="AD234" s="304"/>
      <c r="AE234" s="304"/>
      <c r="AF234" s="304"/>
      <c r="AG234" s="304"/>
      <c r="AH234" s="304"/>
      <c r="AI234" s="304"/>
      <c r="AJ234" s="304"/>
      <c r="AK234" s="304"/>
      <c r="AL234" s="304"/>
      <c r="AM234" s="304"/>
      <c r="AN234" s="304"/>
      <c r="AO234" s="304"/>
      <c r="AP234" s="304"/>
      <c r="AQ234" s="304"/>
      <c r="AR234" s="304"/>
      <c r="AS234" s="304"/>
      <c r="AT234" s="304"/>
      <c r="AU234" s="304"/>
      <c r="AV234" s="304"/>
      <c r="AW234" s="304"/>
      <c r="AX234" s="304"/>
      <c r="AY234" s="304"/>
      <c r="AZ234" s="304"/>
      <c r="BA234" s="304"/>
      <c r="BB234" s="304"/>
      <c r="BC234" s="304"/>
      <c r="BD234" s="304"/>
      <c r="BE234" s="304"/>
      <c r="BF234" s="304"/>
      <c r="BG234" s="304"/>
      <c r="BH234" s="304"/>
      <c r="BI234" s="304"/>
      <c r="BJ234" s="304"/>
      <c r="BK234" s="304"/>
      <c r="BL234" s="304"/>
      <c r="BM234" s="304"/>
      <c r="BN234" s="304"/>
      <c r="BO234" s="304"/>
      <c r="BP234" s="304"/>
      <c r="BQ234" s="304"/>
      <c r="BR234" s="304"/>
      <c r="BS234" s="304"/>
      <c r="BT234" s="304"/>
      <c r="BU234" s="304"/>
      <c r="BV234" s="304"/>
      <c r="BW234" s="304"/>
      <c r="BX234" s="304"/>
      <c r="BY234" s="304"/>
      <c r="BZ234" s="304"/>
      <c r="CA234" s="304"/>
      <c r="CB234" s="304"/>
      <c r="CC234" s="304"/>
      <c r="CD234" s="304"/>
      <c r="CE234" s="304"/>
      <c r="CF234" s="304"/>
      <c r="CG234" s="304"/>
      <c r="CH234" s="304"/>
      <c r="CI234" s="304"/>
      <c r="CJ234" s="304"/>
      <c r="CK234" s="304"/>
      <c r="CL234" s="304"/>
      <c r="CM234" s="304"/>
      <c r="CN234" s="304"/>
      <c r="CO234" s="304"/>
      <c r="CP234" s="304"/>
    </row>
    <row r="235" spans="1:94" s="87" customFormat="1">
      <c r="A235" s="81"/>
      <c r="B235" s="83"/>
      <c r="C235" s="82"/>
      <c r="D235" s="102"/>
      <c r="E235" s="102"/>
      <c r="F235" s="102"/>
      <c r="G235" s="225"/>
      <c r="H235" s="218">
        <f t="shared" si="23"/>
        <v>0</v>
      </c>
      <c r="I235" s="218">
        <f t="shared" si="24"/>
        <v>0</v>
      </c>
      <c r="J235" s="218">
        <f t="shared" si="25"/>
        <v>0</v>
      </c>
      <c r="K235" s="102" t="str">
        <f t="shared" si="26"/>
        <v/>
      </c>
      <c r="L235" s="221"/>
      <c r="M235" s="325"/>
      <c r="N235" s="94"/>
      <c r="O235" s="326"/>
      <c r="P235" s="84"/>
      <c r="Q235" s="88"/>
      <c r="R235" s="102">
        <f t="shared" si="22"/>
        <v>0</v>
      </c>
      <c r="S235" s="89"/>
      <c r="T235" s="100"/>
      <c r="U235" s="100"/>
      <c r="V235" s="100"/>
      <c r="W235" s="100"/>
      <c r="X235" s="100"/>
      <c r="Y235" s="83"/>
      <c r="Z235" s="304"/>
      <c r="AA235" s="304"/>
      <c r="AB235" s="304"/>
      <c r="AC235" s="304"/>
      <c r="AD235" s="304"/>
      <c r="AE235" s="304"/>
      <c r="AF235" s="304"/>
      <c r="AG235" s="304"/>
      <c r="AH235" s="304"/>
      <c r="AI235" s="304"/>
      <c r="AJ235" s="304"/>
      <c r="AK235" s="304"/>
      <c r="AL235" s="304"/>
      <c r="AM235" s="304"/>
      <c r="AN235" s="304"/>
      <c r="AO235" s="304"/>
      <c r="AP235" s="304"/>
      <c r="AQ235" s="304"/>
      <c r="AR235" s="304"/>
      <c r="AS235" s="304"/>
      <c r="AT235" s="304"/>
      <c r="AU235" s="304"/>
      <c r="AV235" s="304"/>
      <c r="AW235" s="304"/>
      <c r="AX235" s="304"/>
      <c r="AY235" s="304"/>
      <c r="AZ235" s="304"/>
      <c r="BA235" s="304"/>
      <c r="BB235" s="304"/>
      <c r="BC235" s="304"/>
      <c r="BD235" s="304"/>
      <c r="BE235" s="304"/>
      <c r="BF235" s="304"/>
      <c r="BG235" s="304"/>
      <c r="BH235" s="304"/>
      <c r="BI235" s="304"/>
      <c r="BJ235" s="304"/>
      <c r="BK235" s="304"/>
      <c r="BL235" s="304"/>
      <c r="BM235" s="304"/>
      <c r="BN235" s="304"/>
      <c r="BO235" s="304"/>
      <c r="BP235" s="304"/>
      <c r="BQ235" s="304"/>
      <c r="BR235" s="304"/>
      <c r="BS235" s="304"/>
      <c r="BT235" s="304"/>
      <c r="BU235" s="304"/>
      <c r="BV235" s="304"/>
      <c r="BW235" s="304"/>
      <c r="BX235" s="304"/>
      <c r="BY235" s="304"/>
      <c r="BZ235" s="304"/>
      <c r="CA235" s="304"/>
      <c r="CB235" s="304"/>
      <c r="CC235" s="304"/>
      <c r="CD235" s="304"/>
      <c r="CE235" s="304"/>
      <c r="CF235" s="304"/>
      <c r="CG235" s="304"/>
      <c r="CH235" s="304"/>
      <c r="CI235" s="304"/>
      <c r="CJ235" s="304"/>
      <c r="CK235" s="304"/>
      <c r="CL235" s="304"/>
      <c r="CM235" s="304"/>
      <c r="CN235" s="304"/>
      <c r="CO235" s="304"/>
      <c r="CP235" s="304"/>
    </row>
    <row r="236" spans="1:94" s="87" customFormat="1">
      <c r="A236" s="81"/>
      <c r="B236" s="83"/>
      <c r="C236" s="82"/>
      <c r="D236" s="102"/>
      <c r="E236" s="102"/>
      <c r="F236" s="102"/>
      <c r="G236" s="225"/>
      <c r="H236" s="218">
        <f t="shared" si="23"/>
        <v>0</v>
      </c>
      <c r="I236" s="218">
        <f t="shared" si="24"/>
        <v>0</v>
      </c>
      <c r="J236" s="218">
        <f t="shared" si="25"/>
        <v>0</v>
      </c>
      <c r="K236" s="102" t="str">
        <f t="shared" si="26"/>
        <v/>
      </c>
      <c r="L236" s="221"/>
      <c r="M236" s="325"/>
      <c r="N236" s="94"/>
      <c r="O236" s="326"/>
      <c r="P236" s="84"/>
      <c r="Q236" s="88"/>
      <c r="R236" s="102">
        <f t="shared" si="22"/>
        <v>0</v>
      </c>
      <c r="S236" s="89"/>
      <c r="T236" s="100"/>
      <c r="U236" s="100"/>
      <c r="V236" s="100"/>
      <c r="W236" s="100"/>
      <c r="X236" s="100"/>
      <c r="Y236" s="83"/>
      <c r="Z236" s="304"/>
      <c r="AA236" s="304"/>
      <c r="AB236" s="304"/>
      <c r="AC236" s="304"/>
      <c r="AD236" s="304"/>
      <c r="AE236" s="304"/>
      <c r="AF236" s="304"/>
      <c r="AG236" s="304"/>
      <c r="AH236" s="304"/>
      <c r="AI236" s="304"/>
      <c r="AJ236" s="304"/>
      <c r="AK236" s="304"/>
      <c r="AL236" s="304"/>
      <c r="AM236" s="304"/>
      <c r="AN236" s="304"/>
      <c r="AO236" s="304"/>
      <c r="AP236" s="304"/>
      <c r="AQ236" s="304"/>
      <c r="AR236" s="304"/>
      <c r="AS236" s="304"/>
      <c r="AT236" s="304"/>
      <c r="AU236" s="304"/>
      <c r="AV236" s="304"/>
      <c r="AW236" s="304"/>
      <c r="AX236" s="304"/>
      <c r="AY236" s="304"/>
      <c r="AZ236" s="304"/>
      <c r="BA236" s="304"/>
      <c r="BB236" s="304"/>
      <c r="BC236" s="304"/>
      <c r="BD236" s="304"/>
      <c r="BE236" s="304"/>
      <c r="BF236" s="304"/>
      <c r="BG236" s="304"/>
      <c r="BH236" s="304"/>
      <c r="BI236" s="304"/>
      <c r="BJ236" s="304"/>
      <c r="BK236" s="304"/>
      <c r="BL236" s="304"/>
      <c r="BM236" s="304"/>
      <c r="BN236" s="304"/>
      <c r="BO236" s="304"/>
      <c r="BP236" s="304"/>
      <c r="BQ236" s="304"/>
      <c r="BR236" s="304"/>
      <c r="BS236" s="304"/>
      <c r="BT236" s="304"/>
      <c r="BU236" s="304"/>
      <c r="BV236" s="304"/>
      <c r="BW236" s="304"/>
      <c r="BX236" s="304"/>
      <c r="BY236" s="304"/>
      <c r="BZ236" s="304"/>
      <c r="CA236" s="304"/>
      <c r="CB236" s="304"/>
      <c r="CC236" s="304"/>
      <c r="CD236" s="304"/>
      <c r="CE236" s="304"/>
      <c r="CF236" s="304"/>
      <c r="CG236" s="304"/>
      <c r="CH236" s="304"/>
      <c r="CI236" s="304"/>
      <c r="CJ236" s="304"/>
      <c r="CK236" s="304"/>
      <c r="CL236" s="304"/>
      <c r="CM236" s="304"/>
      <c r="CN236" s="304"/>
      <c r="CO236" s="304"/>
      <c r="CP236" s="304"/>
    </row>
    <row r="237" spans="1:94" s="87" customFormat="1">
      <c r="A237" s="81"/>
      <c r="B237" s="83"/>
      <c r="C237" s="82"/>
      <c r="D237" s="102"/>
      <c r="E237" s="102"/>
      <c r="F237" s="102"/>
      <c r="G237" s="225"/>
      <c r="H237" s="218">
        <f t="shared" si="23"/>
        <v>0</v>
      </c>
      <c r="I237" s="218">
        <f t="shared" si="24"/>
        <v>0</v>
      </c>
      <c r="J237" s="218">
        <f t="shared" si="25"/>
        <v>0</v>
      </c>
      <c r="K237" s="102" t="str">
        <f t="shared" si="26"/>
        <v/>
      </c>
      <c r="L237" s="221"/>
      <c r="M237" s="325"/>
      <c r="N237" s="94"/>
      <c r="O237" s="326"/>
      <c r="P237" s="84"/>
      <c r="Q237" s="88"/>
      <c r="R237" s="102">
        <f t="shared" si="22"/>
        <v>0</v>
      </c>
      <c r="S237" s="89"/>
      <c r="T237" s="100"/>
      <c r="U237" s="100"/>
      <c r="V237" s="100"/>
      <c r="W237" s="100"/>
      <c r="X237" s="100"/>
      <c r="Y237" s="83"/>
      <c r="Z237" s="304"/>
      <c r="AA237" s="304"/>
      <c r="AB237" s="304"/>
      <c r="AC237" s="304"/>
      <c r="AD237" s="304"/>
      <c r="AE237" s="304"/>
      <c r="AF237" s="304"/>
      <c r="AG237" s="304"/>
      <c r="AH237" s="304"/>
      <c r="AI237" s="304"/>
      <c r="AJ237" s="304"/>
      <c r="AK237" s="304"/>
      <c r="AL237" s="304"/>
      <c r="AM237" s="304"/>
      <c r="AN237" s="304"/>
      <c r="AO237" s="304"/>
      <c r="AP237" s="304"/>
      <c r="AQ237" s="304"/>
      <c r="AR237" s="304"/>
      <c r="AS237" s="304"/>
      <c r="AT237" s="304"/>
      <c r="AU237" s="304"/>
      <c r="AV237" s="304"/>
      <c r="AW237" s="304"/>
      <c r="AX237" s="304"/>
      <c r="AY237" s="304"/>
      <c r="AZ237" s="304"/>
      <c r="BA237" s="304"/>
      <c r="BB237" s="304"/>
      <c r="BC237" s="304"/>
      <c r="BD237" s="304"/>
      <c r="BE237" s="304"/>
      <c r="BF237" s="304"/>
      <c r="BG237" s="304"/>
      <c r="BH237" s="304"/>
      <c r="BI237" s="304"/>
      <c r="BJ237" s="304"/>
      <c r="BK237" s="304"/>
      <c r="BL237" s="304"/>
      <c r="BM237" s="304"/>
      <c r="BN237" s="304"/>
      <c r="BO237" s="304"/>
      <c r="BP237" s="304"/>
      <c r="BQ237" s="304"/>
      <c r="BR237" s="304"/>
      <c r="BS237" s="304"/>
      <c r="BT237" s="304"/>
      <c r="BU237" s="304"/>
      <c r="BV237" s="304"/>
      <c r="BW237" s="304"/>
      <c r="BX237" s="304"/>
      <c r="BY237" s="304"/>
      <c r="BZ237" s="304"/>
      <c r="CA237" s="304"/>
      <c r="CB237" s="304"/>
      <c r="CC237" s="304"/>
      <c r="CD237" s="304"/>
      <c r="CE237" s="304"/>
      <c r="CF237" s="304"/>
      <c r="CG237" s="304"/>
      <c r="CH237" s="304"/>
      <c r="CI237" s="304"/>
      <c r="CJ237" s="304"/>
      <c r="CK237" s="304"/>
      <c r="CL237" s="304"/>
      <c r="CM237" s="304"/>
      <c r="CN237" s="304"/>
      <c r="CO237" s="304"/>
      <c r="CP237" s="304"/>
    </row>
    <row r="238" spans="1:94" s="87" customFormat="1">
      <c r="A238" s="81"/>
      <c r="B238" s="83"/>
      <c r="C238" s="82"/>
      <c r="D238" s="102"/>
      <c r="E238" s="102"/>
      <c r="F238" s="102"/>
      <c r="G238" s="225"/>
      <c r="H238" s="218">
        <f t="shared" si="23"/>
        <v>0</v>
      </c>
      <c r="I238" s="218">
        <f t="shared" si="24"/>
        <v>0</v>
      </c>
      <c r="J238" s="218">
        <f t="shared" si="25"/>
        <v>0</v>
      </c>
      <c r="K238" s="102" t="str">
        <f t="shared" si="26"/>
        <v/>
      </c>
      <c r="L238" s="221"/>
      <c r="M238" s="325"/>
      <c r="N238" s="94"/>
      <c r="O238" s="326"/>
      <c r="P238" s="84"/>
      <c r="Q238" s="88"/>
      <c r="R238" s="102">
        <f t="shared" si="22"/>
        <v>0</v>
      </c>
      <c r="S238" s="89"/>
      <c r="T238" s="100"/>
      <c r="U238" s="100"/>
      <c r="V238" s="100"/>
      <c r="W238" s="100"/>
      <c r="X238" s="100"/>
      <c r="Y238" s="83"/>
      <c r="Z238" s="304"/>
      <c r="AA238" s="304"/>
      <c r="AB238" s="304"/>
      <c r="AC238" s="304"/>
      <c r="AD238" s="304"/>
      <c r="AE238" s="304"/>
      <c r="AF238" s="304"/>
      <c r="AG238" s="304"/>
      <c r="AH238" s="304"/>
      <c r="AI238" s="304"/>
      <c r="AJ238" s="304"/>
      <c r="AK238" s="304"/>
      <c r="AL238" s="304"/>
      <c r="AM238" s="304"/>
      <c r="AN238" s="304"/>
      <c r="AO238" s="304"/>
      <c r="AP238" s="304"/>
      <c r="AQ238" s="304"/>
      <c r="AR238" s="304"/>
      <c r="AS238" s="304"/>
      <c r="AT238" s="304"/>
      <c r="AU238" s="304"/>
      <c r="AV238" s="304"/>
      <c r="AW238" s="304"/>
      <c r="AX238" s="304"/>
      <c r="AY238" s="304"/>
      <c r="AZ238" s="304"/>
      <c r="BA238" s="304"/>
      <c r="BB238" s="304"/>
      <c r="BC238" s="304"/>
      <c r="BD238" s="304"/>
      <c r="BE238" s="304"/>
      <c r="BF238" s="304"/>
      <c r="BG238" s="304"/>
      <c r="BH238" s="304"/>
      <c r="BI238" s="304"/>
      <c r="BJ238" s="304"/>
      <c r="BK238" s="304"/>
      <c r="BL238" s="304"/>
      <c r="BM238" s="304"/>
      <c r="BN238" s="304"/>
      <c r="BO238" s="304"/>
      <c r="BP238" s="304"/>
      <c r="BQ238" s="304"/>
      <c r="BR238" s="304"/>
      <c r="BS238" s="304"/>
      <c r="BT238" s="304"/>
      <c r="BU238" s="304"/>
      <c r="BV238" s="304"/>
      <c r="BW238" s="304"/>
      <c r="BX238" s="304"/>
      <c r="BY238" s="304"/>
      <c r="BZ238" s="304"/>
      <c r="CA238" s="304"/>
      <c r="CB238" s="304"/>
      <c r="CC238" s="304"/>
      <c r="CD238" s="304"/>
      <c r="CE238" s="304"/>
      <c r="CF238" s="304"/>
      <c r="CG238" s="304"/>
      <c r="CH238" s="304"/>
      <c r="CI238" s="304"/>
      <c r="CJ238" s="304"/>
      <c r="CK238" s="304"/>
      <c r="CL238" s="304"/>
      <c r="CM238" s="304"/>
      <c r="CN238" s="304"/>
      <c r="CO238" s="304"/>
      <c r="CP238" s="304"/>
    </row>
    <row r="239" spans="1:94" s="87" customFormat="1">
      <c r="A239" s="81"/>
      <c r="B239" s="83"/>
      <c r="C239" s="82"/>
      <c r="D239" s="102"/>
      <c r="E239" s="102"/>
      <c r="F239" s="102"/>
      <c r="G239" s="225"/>
      <c r="H239" s="218">
        <f t="shared" si="23"/>
        <v>0</v>
      </c>
      <c r="I239" s="218">
        <f t="shared" si="24"/>
        <v>0</v>
      </c>
      <c r="J239" s="218">
        <f t="shared" si="25"/>
        <v>0</v>
      </c>
      <c r="K239" s="102" t="str">
        <f t="shared" si="26"/>
        <v/>
      </c>
      <c r="L239" s="221"/>
      <c r="M239" s="325"/>
      <c r="N239" s="94"/>
      <c r="O239" s="326"/>
      <c r="P239" s="84"/>
      <c r="Q239" s="88"/>
      <c r="R239" s="102">
        <f t="shared" si="22"/>
        <v>0</v>
      </c>
      <c r="S239" s="89"/>
      <c r="T239" s="100"/>
      <c r="U239" s="100"/>
      <c r="V239" s="100"/>
      <c r="W239" s="100"/>
      <c r="X239" s="100"/>
      <c r="Y239" s="83"/>
      <c r="Z239" s="304"/>
      <c r="AA239" s="304"/>
      <c r="AB239" s="304"/>
      <c r="AC239" s="304"/>
      <c r="AD239" s="304"/>
      <c r="AE239" s="304"/>
      <c r="AF239" s="304"/>
      <c r="AG239" s="304"/>
      <c r="AH239" s="304"/>
      <c r="AI239" s="304"/>
      <c r="AJ239" s="304"/>
      <c r="AK239" s="304"/>
      <c r="AL239" s="304"/>
      <c r="AM239" s="304"/>
      <c r="AN239" s="304"/>
      <c r="AO239" s="304"/>
      <c r="AP239" s="304"/>
      <c r="AQ239" s="304"/>
      <c r="AR239" s="304"/>
      <c r="AS239" s="304"/>
      <c r="AT239" s="304"/>
      <c r="AU239" s="304"/>
      <c r="AV239" s="304"/>
      <c r="AW239" s="304"/>
      <c r="AX239" s="304"/>
      <c r="AY239" s="304"/>
      <c r="AZ239" s="304"/>
      <c r="BA239" s="304"/>
      <c r="BB239" s="304"/>
      <c r="BC239" s="304"/>
      <c r="BD239" s="304"/>
      <c r="BE239" s="304"/>
      <c r="BF239" s="304"/>
      <c r="BG239" s="304"/>
      <c r="BH239" s="304"/>
      <c r="BI239" s="304"/>
      <c r="BJ239" s="304"/>
      <c r="BK239" s="304"/>
      <c r="BL239" s="304"/>
      <c r="BM239" s="304"/>
      <c r="BN239" s="304"/>
      <c r="BO239" s="304"/>
      <c r="BP239" s="304"/>
      <c r="BQ239" s="304"/>
      <c r="BR239" s="304"/>
      <c r="BS239" s="304"/>
      <c r="BT239" s="304"/>
      <c r="BU239" s="304"/>
      <c r="BV239" s="304"/>
      <c r="BW239" s="304"/>
      <c r="BX239" s="304"/>
      <c r="BY239" s="304"/>
      <c r="BZ239" s="304"/>
      <c r="CA239" s="304"/>
      <c r="CB239" s="304"/>
      <c r="CC239" s="304"/>
      <c r="CD239" s="304"/>
      <c r="CE239" s="304"/>
      <c r="CF239" s="304"/>
      <c r="CG239" s="304"/>
      <c r="CH239" s="304"/>
      <c r="CI239" s="304"/>
      <c r="CJ239" s="304"/>
      <c r="CK239" s="304"/>
      <c r="CL239" s="304"/>
      <c r="CM239" s="304"/>
      <c r="CN239" s="304"/>
      <c r="CO239" s="304"/>
      <c r="CP239" s="304"/>
    </row>
    <row r="240" spans="1:94" s="87" customFormat="1">
      <c r="A240" s="81"/>
      <c r="B240" s="83"/>
      <c r="C240" s="82"/>
      <c r="D240" s="102"/>
      <c r="E240" s="102"/>
      <c r="F240" s="102"/>
      <c r="G240" s="225"/>
      <c r="H240" s="218">
        <f t="shared" si="23"/>
        <v>0</v>
      </c>
      <c r="I240" s="218">
        <f t="shared" si="24"/>
        <v>0</v>
      </c>
      <c r="J240" s="218">
        <f t="shared" si="25"/>
        <v>0</v>
      </c>
      <c r="K240" s="102" t="str">
        <f t="shared" si="26"/>
        <v/>
      </c>
      <c r="L240" s="221"/>
      <c r="M240" s="325"/>
      <c r="N240" s="94"/>
      <c r="O240" s="326"/>
      <c r="P240" s="84"/>
      <c r="Q240" s="88"/>
      <c r="R240" s="102">
        <f t="shared" si="22"/>
        <v>0</v>
      </c>
      <c r="S240" s="89"/>
      <c r="T240" s="100"/>
      <c r="U240" s="100"/>
      <c r="V240" s="100"/>
      <c r="W240" s="100"/>
      <c r="X240" s="100"/>
      <c r="Y240" s="83"/>
      <c r="Z240" s="304"/>
      <c r="AA240" s="304"/>
      <c r="AB240" s="304"/>
      <c r="AC240" s="304"/>
      <c r="AD240" s="304"/>
      <c r="AE240" s="304"/>
      <c r="AF240" s="304"/>
      <c r="AG240" s="304"/>
      <c r="AH240" s="304"/>
      <c r="AI240" s="304"/>
      <c r="AJ240" s="304"/>
      <c r="AK240" s="304"/>
      <c r="AL240" s="304"/>
      <c r="AM240" s="304"/>
      <c r="AN240" s="304"/>
      <c r="AO240" s="304"/>
      <c r="AP240" s="304"/>
      <c r="AQ240" s="304"/>
      <c r="AR240" s="304"/>
      <c r="AS240" s="304"/>
      <c r="AT240" s="304"/>
      <c r="AU240" s="304"/>
      <c r="AV240" s="304"/>
      <c r="AW240" s="304"/>
      <c r="AX240" s="304"/>
      <c r="AY240" s="304"/>
      <c r="AZ240" s="304"/>
      <c r="BA240" s="304"/>
      <c r="BB240" s="304"/>
      <c r="BC240" s="304"/>
      <c r="BD240" s="304"/>
      <c r="BE240" s="304"/>
      <c r="BF240" s="304"/>
      <c r="BG240" s="304"/>
      <c r="BH240" s="304"/>
      <c r="BI240" s="304"/>
      <c r="BJ240" s="304"/>
      <c r="BK240" s="304"/>
      <c r="BL240" s="304"/>
      <c r="BM240" s="304"/>
      <c r="BN240" s="304"/>
      <c r="BO240" s="304"/>
      <c r="BP240" s="304"/>
      <c r="BQ240" s="304"/>
      <c r="BR240" s="304"/>
      <c r="BS240" s="304"/>
      <c r="BT240" s="304"/>
      <c r="BU240" s="304"/>
      <c r="BV240" s="304"/>
      <c r="BW240" s="304"/>
      <c r="BX240" s="304"/>
      <c r="BY240" s="304"/>
      <c r="BZ240" s="304"/>
      <c r="CA240" s="304"/>
      <c r="CB240" s="304"/>
      <c r="CC240" s="304"/>
      <c r="CD240" s="304"/>
      <c r="CE240" s="304"/>
      <c r="CF240" s="304"/>
      <c r="CG240" s="304"/>
      <c r="CH240" s="304"/>
      <c r="CI240" s="304"/>
      <c r="CJ240" s="304"/>
      <c r="CK240" s="304"/>
      <c r="CL240" s="304"/>
      <c r="CM240" s="304"/>
      <c r="CN240" s="304"/>
      <c r="CO240" s="304"/>
      <c r="CP240" s="304"/>
    </row>
    <row r="241" spans="1:94" s="87" customFormat="1">
      <c r="A241" s="81"/>
      <c r="B241" s="83"/>
      <c r="C241" s="82"/>
      <c r="D241" s="102"/>
      <c r="E241" s="102"/>
      <c r="F241" s="102"/>
      <c r="G241" s="225"/>
      <c r="H241" s="218">
        <f t="shared" si="23"/>
        <v>0</v>
      </c>
      <c r="I241" s="218">
        <f t="shared" si="24"/>
        <v>0</v>
      </c>
      <c r="J241" s="218">
        <f t="shared" si="25"/>
        <v>0</v>
      </c>
      <c r="K241" s="102" t="str">
        <f t="shared" si="26"/>
        <v/>
      </c>
      <c r="L241" s="221"/>
      <c r="M241" s="325"/>
      <c r="N241" s="94"/>
      <c r="O241" s="326"/>
      <c r="P241" s="84"/>
      <c r="Q241" s="88"/>
      <c r="R241" s="102">
        <f t="shared" si="22"/>
        <v>0</v>
      </c>
      <c r="S241" s="89"/>
      <c r="T241" s="100"/>
      <c r="U241" s="100"/>
      <c r="V241" s="100"/>
      <c r="W241" s="100"/>
      <c r="X241" s="100"/>
      <c r="Y241" s="83"/>
      <c r="Z241" s="304"/>
      <c r="AA241" s="304"/>
      <c r="AB241" s="304"/>
      <c r="AC241" s="304"/>
      <c r="AD241" s="304"/>
      <c r="AE241" s="304"/>
      <c r="AF241" s="304"/>
      <c r="AG241" s="304"/>
      <c r="AH241" s="304"/>
      <c r="AI241" s="304"/>
      <c r="AJ241" s="304"/>
      <c r="AK241" s="304"/>
      <c r="AL241" s="304"/>
      <c r="AM241" s="304"/>
      <c r="AN241" s="304"/>
      <c r="AO241" s="304"/>
      <c r="AP241" s="304"/>
      <c r="AQ241" s="304"/>
      <c r="AR241" s="304"/>
      <c r="AS241" s="304"/>
      <c r="AT241" s="304"/>
      <c r="AU241" s="304"/>
      <c r="AV241" s="304"/>
      <c r="AW241" s="304"/>
      <c r="AX241" s="304"/>
      <c r="AY241" s="304"/>
      <c r="AZ241" s="304"/>
      <c r="BA241" s="304"/>
      <c r="BB241" s="304"/>
      <c r="BC241" s="304"/>
      <c r="BD241" s="304"/>
      <c r="BE241" s="304"/>
      <c r="BF241" s="304"/>
      <c r="BG241" s="304"/>
      <c r="BH241" s="304"/>
      <c r="BI241" s="304"/>
      <c r="BJ241" s="304"/>
      <c r="BK241" s="304"/>
      <c r="BL241" s="304"/>
      <c r="BM241" s="304"/>
      <c r="BN241" s="304"/>
      <c r="BO241" s="304"/>
      <c r="BP241" s="304"/>
      <c r="BQ241" s="304"/>
      <c r="BR241" s="304"/>
      <c r="BS241" s="304"/>
      <c r="BT241" s="304"/>
      <c r="BU241" s="304"/>
      <c r="BV241" s="304"/>
      <c r="BW241" s="304"/>
      <c r="BX241" s="304"/>
      <c r="BY241" s="304"/>
      <c r="BZ241" s="304"/>
      <c r="CA241" s="304"/>
      <c r="CB241" s="304"/>
      <c r="CC241" s="304"/>
      <c r="CD241" s="304"/>
      <c r="CE241" s="304"/>
      <c r="CF241" s="304"/>
      <c r="CG241" s="304"/>
      <c r="CH241" s="304"/>
      <c r="CI241" s="304"/>
      <c r="CJ241" s="304"/>
      <c r="CK241" s="304"/>
      <c r="CL241" s="304"/>
      <c r="CM241" s="304"/>
      <c r="CN241" s="304"/>
      <c r="CO241" s="304"/>
      <c r="CP241" s="304"/>
    </row>
    <row r="242" spans="1:94" s="87" customFormat="1">
      <c r="A242" s="81"/>
      <c r="B242" s="83"/>
      <c r="C242" s="82"/>
      <c r="D242" s="102"/>
      <c r="E242" s="102"/>
      <c r="F242" s="102"/>
      <c r="G242" s="225"/>
      <c r="H242" s="218">
        <f t="shared" si="23"/>
        <v>0</v>
      </c>
      <c r="I242" s="218">
        <f t="shared" si="24"/>
        <v>0</v>
      </c>
      <c r="J242" s="218">
        <f t="shared" si="25"/>
        <v>0</v>
      </c>
      <c r="K242" s="102" t="str">
        <f t="shared" si="26"/>
        <v/>
      </c>
      <c r="L242" s="221"/>
      <c r="M242" s="325"/>
      <c r="N242" s="94"/>
      <c r="O242" s="326"/>
      <c r="P242" s="84"/>
      <c r="Q242" s="88"/>
      <c r="R242" s="102">
        <f t="shared" si="22"/>
        <v>0</v>
      </c>
      <c r="S242" s="89"/>
      <c r="T242" s="100"/>
      <c r="U242" s="100"/>
      <c r="V242" s="100"/>
      <c r="W242" s="100"/>
      <c r="X242" s="100"/>
      <c r="Y242" s="83"/>
      <c r="Z242" s="304"/>
      <c r="AA242" s="304"/>
      <c r="AB242" s="304"/>
      <c r="AC242" s="304"/>
      <c r="AD242" s="304"/>
      <c r="AE242" s="304"/>
      <c r="AF242" s="304"/>
      <c r="AG242" s="304"/>
      <c r="AH242" s="304"/>
      <c r="AI242" s="304"/>
      <c r="AJ242" s="304"/>
      <c r="AK242" s="304"/>
      <c r="AL242" s="304"/>
      <c r="AM242" s="304"/>
      <c r="AN242" s="304"/>
      <c r="AO242" s="304"/>
      <c r="AP242" s="304"/>
      <c r="AQ242" s="304"/>
      <c r="AR242" s="304"/>
      <c r="AS242" s="304"/>
      <c r="AT242" s="304"/>
      <c r="AU242" s="304"/>
      <c r="AV242" s="304"/>
      <c r="AW242" s="304"/>
      <c r="AX242" s="304"/>
      <c r="AY242" s="304"/>
      <c r="AZ242" s="304"/>
      <c r="BA242" s="304"/>
      <c r="BB242" s="304"/>
      <c r="BC242" s="304"/>
      <c r="BD242" s="304"/>
      <c r="BE242" s="304"/>
      <c r="BF242" s="304"/>
      <c r="BG242" s="304"/>
      <c r="BH242" s="304"/>
      <c r="BI242" s="304"/>
      <c r="BJ242" s="304"/>
      <c r="BK242" s="304"/>
      <c r="BL242" s="304"/>
      <c r="BM242" s="304"/>
      <c r="BN242" s="304"/>
      <c r="BO242" s="304"/>
      <c r="BP242" s="304"/>
      <c r="BQ242" s="304"/>
      <c r="BR242" s="304"/>
      <c r="BS242" s="304"/>
      <c r="BT242" s="304"/>
      <c r="BU242" s="304"/>
      <c r="BV242" s="304"/>
      <c r="BW242" s="304"/>
      <c r="BX242" s="304"/>
      <c r="BY242" s="304"/>
      <c r="BZ242" s="304"/>
      <c r="CA242" s="304"/>
      <c r="CB242" s="304"/>
      <c r="CC242" s="304"/>
      <c r="CD242" s="304"/>
      <c r="CE242" s="304"/>
      <c r="CF242" s="304"/>
      <c r="CG242" s="304"/>
      <c r="CH242" s="304"/>
      <c r="CI242" s="304"/>
      <c r="CJ242" s="304"/>
      <c r="CK242" s="304"/>
      <c r="CL242" s="304"/>
      <c r="CM242" s="304"/>
      <c r="CN242" s="304"/>
      <c r="CO242" s="304"/>
      <c r="CP242" s="304"/>
    </row>
    <row r="243" spans="1:94" s="87" customFormat="1">
      <c r="A243" s="81"/>
      <c r="B243" s="83"/>
      <c r="C243" s="82"/>
      <c r="D243" s="102"/>
      <c r="E243" s="102"/>
      <c r="F243" s="102"/>
      <c r="G243" s="225"/>
      <c r="H243" s="218">
        <f t="shared" si="23"/>
        <v>0</v>
      </c>
      <c r="I243" s="218">
        <f t="shared" si="24"/>
        <v>0</v>
      </c>
      <c r="J243" s="218">
        <f t="shared" si="25"/>
        <v>0</v>
      </c>
      <c r="K243" s="102" t="str">
        <f t="shared" si="26"/>
        <v/>
      </c>
      <c r="L243" s="221"/>
      <c r="M243" s="325"/>
      <c r="N243" s="94"/>
      <c r="O243" s="326"/>
      <c r="P243" s="84"/>
      <c r="Q243" s="88"/>
      <c r="R243" s="102">
        <f t="shared" si="22"/>
        <v>0</v>
      </c>
      <c r="S243" s="89"/>
      <c r="T243" s="100"/>
      <c r="U243" s="100"/>
      <c r="V243" s="100"/>
      <c r="W243" s="100"/>
      <c r="X243" s="100"/>
      <c r="Y243" s="83"/>
      <c r="Z243" s="304"/>
      <c r="AA243" s="304"/>
      <c r="AB243" s="304"/>
      <c r="AC243" s="304"/>
      <c r="AD243" s="304"/>
      <c r="AE243" s="304"/>
      <c r="AF243" s="304"/>
      <c r="AG243" s="304"/>
      <c r="AH243" s="304"/>
      <c r="AI243" s="304"/>
      <c r="AJ243" s="304"/>
      <c r="AK243" s="304"/>
      <c r="AL243" s="304"/>
      <c r="AM243" s="304"/>
      <c r="AN243" s="304"/>
      <c r="AO243" s="304"/>
      <c r="AP243" s="304"/>
      <c r="AQ243" s="304"/>
      <c r="AR243" s="304"/>
      <c r="AS243" s="304"/>
      <c r="AT243" s="304"/>
      <c r="AU243" s="304"/>
      <c r="AV243" s="304"/>
      <c r="AW243" s="304"/>
      <c r="AX243" s="304"/>
      <c r="AY243" s="304"/>
      <c r="AZ243" s="304"/>
      <c r="BA243" s="304"/>
      <c r="BB243" s="304"/>
      <c r="BC243" s="304"/>
      <c r="BD243" s="304"/>
      <c r="BE243" s="304"/>
      <c r="BF243" s="304"/>
      <c r="BG243" s="304"/>
      <c r="BH243" s="304"/>
      <c r="BI243" s="304"/>
      <c r="BJ243" s="304"/>
      <c r="BK243" s="304"/>
      <c r="BL243" s="304"/>
      <c r="BM243" s="304"/>
      <c r="BN243" s="304"/>
      <c r="BO243" s="304"/>
      <c r="BP243" s="304"/>
      <c r="BQ243" s="304"/>
      <c r="BR243" s="304"/>
      <c r="BS243" s="304"/>
      <c r="BT243" s="304"/>
      <c r="BU243" s="304"/>
      <c r="BV243" s="304"/>
      <c r="BW243" s="304"/>
      <c r="BX243" s="304"/>
      <c r="BY243" s="304"/>
      <c r="BZ243" s="304"/>
      <c r="CA243" s="304"/>
      <c r="CB243" s="304"/>
      <c r="CC243" s="304"/>
      <c r="CD243" s="304"/>
      <c r="CE243" s="304"/>
      <c r="CF243" s="304"/>
      <c r="CG243" s="304"/>
      <c r="CH243" s="304"/>
      <c r="CI243" s="304"/>
      <c r="CJ243" s="304"/>
      <c r="CK243" s="304"/>
      <c r="CL243" s="304"/>
      <c r="CM243" s="304"/>
      <c r="CN243" s="304"/>
      <c r="CO243" s="304"/>
      <c r="CP243" s="304"/>
    </row>
    <row r="244" spans="1:94" s="87" customFormat="1">
      <c r="A244" s="81"/>
      <c r="B244" s="83"/>
      <c r="C244" s="82"/>
      <c r="D244" s="102"/>
      <c r="E244" s="102"/>
      <c r="F244" s="102"/>
      <c r="G244" s="225"/>
      <c r="H244" s="218">
        <f t="shared" si="23"/>
        <v>0</v>
      </c>
      <c r="I244" s="218">
        <f t="shared" si="24"/>
        <v>0</v>
      </c>
      <c r="J244" s="218">
        <f t="shared" si="25"/>
        <v>0</v>
      </c>
      <c r="K244" s="102" t="str">
        <f t="shared" si="26"/>
        <v/>
      </c>
      <c r="L244" s="221"/>
      <c r="M244" s="325"/>
      <c r="N244" s="94"/>
      <c r="O244" s="326"/>
      <c r="P244" s="84"/>
      <c r="Q244" s="88"/>
      <c r="R244" s="102">
        <f t="shared" si="22"/>
        <v>0</v>
      </c>
      <c r="S244" s="89"/>
      <c r="T244" s="100"/>
      <c r="U244" s="100"/>
      <c r="V244" s="100"/>
      <c r="W244" s="100"/>
      <c r="X244" s="100"/>
      <c r="Y244" s="83"/>
      <c r="Z244" s="304"/>
      <c r="AA244" s="304"/>
      <c r="AB244" s="304"/>
      <c r="AC244" s="304"/>
      <c r="AD244" s="304"/>
      <c r="AE244" s="304"/>
      <c r="AF244" s="304"/>
      <c r="AG244" s="304"/>
      <c r="AH244" s="304"/>
      <c r="AI244" s="304"/>
      <c r="AJ244" s="304"/>
      <c r="AK244" s="304"/>
      <c r="AL244" s="304"/>
      <c r="AM244" s="304"/>
      <c r="AN244" s="304"/>
      <c r="AO244" s="304"/>
      <c r="AP244" s="304"/>
      <c r="AQ244" s="304"/>
      <c r="AR244" s="304"/>
      <c r="AS244" s="304"/>
      <c r="AT244" s="304"/>
      <c r="AU244" s="304"/>
      <c r="AV244" s="304"/>
      <c r="AW244" s="304"/>
      <c r="AX244" s="304"/>
      <c r="AY244" s="304"/>
      <c r="AZ244" s="304"/>
      <c r="BA244" s="304"/>
      <c r="BB244" s="304"/>
      <c r="BC244" s="304"/>
      <c r="BD244" s="304"/>
      <c r="BE244" s="304"/>
      <c r="BF244" s="304"/>
      <c r="BG244" s="304"/>
      <c r="BH244" s="304"/>
      <c r="BI244" s="304"/>
      <c r="BJ244" s="304"/>
      <c r="BK244" s="304"/>
      <c r="BL244" s="304"/>
      <c r="BM244" s="304"/>
      <c r="BN244" s="304"/>
      <c r="BO244" s="304"/>
      <c r="BP244" s="304"/>
      <c r="BQ244" s="304"/>
      <c r="BR244" s="304"/>
      <c r="BS244" s="304"/>
      <c r="BT244" s="304"/>
      <c r="BU244" s="304"/>
      <c r="BV244" s="304"/>
      <c r="BW244" s="304"/>
      <c r="BX244" s="304"/>
      <c r="BY244" s="304"/>
      <c r="BZ244" s="304"/>
      <c r="CA244" s="304"/>
      <c r="CB244" s="304"/>
      <c r="CC244" s="304"/>
      <c r="CD244" s="304"/>
      <c r="CE244" s="304"/>
      <c r="CF244" s="304"/>
      <c r="CG244" s="304"/>
      <c r="CH244" s="304"/>
      <c r="CI244" s="304"/>
      <c r="CJ244" s="304"/>
      <c r="CK244" s="304"/>
      <c r="CL244" s="304"/>
      <c r="CM244" s="304"/>
      <c r="CN244" s="304"/>
      <c r="CO244" s="304"/>
      <c r="CP244" s="304"/>
    </row>
    <row r="245" spans="1:94" s="87" customFormat="1">
      <c r="A245" s="81"/>
      <c r="B245" s="83"/>
      <c r="C245" s="82"/>
      <c r="D245" s="102"/>
      <c r="E245" s="102"/>
      <c r="F245" s="102"/>
      <c r="G245" s="225"/>
      <c r="H245" s="218">
        <f t="shared" si="23"/>
        <v>0</v>
      </c>
      <c r="I245" s="218">
        <f t="shared" si="24"/>
        <v>0</v>
      </c>
      <c r="J245" s="218">
        <f t="shared" si="25"/>
        <v>0</v>
      </c>
      <c r="K245" s="102" t="str">
        <f t="shared" si="26"/>
        <v/>
      </c>
      <c r="L245" s="221"/>
      <c r="M245" s="325"/>
      <c r="N245" s="94"/>
      <c r="O245" s="326"/>
      <c r="P245" s="84"/>
      <c r="Q245" s="88"/>
      <c r="R245" s="102">
        <f t="shared" si="22"/>
        <v>0</v>
      </c>
      <c r="S245" s="89"/>
      <c r="T245" s="100"/>
      <c r="U245" s="100"/>
      <c r="V245" s="100"/>
      <c r="W245" s="100"/>
      <c r="X245" s="100"/>
      <c r="Y245" s="83"/>
      <c r="Z245" s="304"/>
      <c r="AA245" s="304"/>
      <c r="AB245" s="304"/>
      <c r="AC245" s="304"/>
      <c r="AD245" s="304"/>
      <c r="AE245" s="304"/>
      <c r="AF245" s="304"/>
      <c r="AG245" s="304"/>
      <c r="AH245" s="304"/>
      <c r="AI245" s="304"/>
      <c r="AJ245" s="304"/>
      <c r="AK245" s="304"/>
      <c r="AL245" s="304"/>
      <c r="AM245" s="304"/>
      <c r="AN245" s="304"/>
      <c r="AO245" s="304"/>
      <c r="AP245" s="304"/>
      <c r="AQ245" s="304"/>
      <c r="AR245" s="304"/>
      <c r="AS245" s="304"/>
      <c r="AT245" s="304"/>
      <c r="AU245" s="304"/>
      <c r="AV245" s="304"/>
      <c r="AW245" s="304"/>
      <c r="AX245" s="304"/>
      <c r="AY245" s="304"/>
      <c r="AZ245" s="304"/>
      <c r="BA245" s="304"/>
      <c r="BB245" s="304"/>
      <c r="BC245" s="304"/>
      <c r="BD245" s="304"/>
      <c r="BE245" s="304"/>
      <c r="BF245" s="304"/>
      <c r="BG245" s="304"/>
      <c r="BH245" s="304"/>
      <c r="BI245" s="304"/>
      <c r="BJ245" s="304"/>
      <c r="BK245" s="304"/>
      <c r="BL245" s="304"/>
      <c r="BM245" s="304"/>
      <c r="BN245" s="304"/>
      <c r="BO245" s="304"/>
      <c r="BP245" s="304"/>
      <c r="BQ245" s="304"/>
      <c r="BR245" s="304"/>
      <c r="BS245" s="304"/>
      <c r="BT245" s="304"/>
      <c r="BU245" s="304"/>
      <c r="BV245" s="304"/>
      <c r="BW245" s="304"/>
      <c r="BX245" s="304"/>
      <c r="BY245" s="304"/>
      <c r="BZ245" s="304"/>
      <c r="CA245" s="304"/>
      <c r="CB245" s="304"/>
      <c r="CC245" s="304"/>
      <c r="CD245" s="304"/>
      <c r="CE245" s="304"/>
      <c r="CF245" s="304"/>
      <c r="CG245" s="304"/>
      <c r="CH245" s="304"/>
      <c r="CI245" s="304"/>
      <c r="CJ245" s="304"/>
      <c r="CK245" s="304"/>
      <c r="CL245" s="304"/>
      <c r="CM245" s="304"/>
      <c r="CN245" s="304"/>
      <c r="CO245" s="304"/>
      <c r="CP245" s="304"/>
    </row>
    <row r="246" spans="1:94" s="87" customFormat="1">
      <c r="A246" s="81"/>
      <c r="B246" s="83"/>
      <c r="C246" s="82"/>
      <c r="D246" s="102"/>
      <c r="E246" s="102"/>
      <c r="F246" s="102"/>
      <c r="G246" s="225"/>
      <c r="H246" s="218">
        <f t="shared" si="23"/>
        <v>0</v>
      </c>
      <c r="I246" s="218">
        <f t="shared" si="24"/>
        <v>0</v>
      </c>
      <c r="J246" s="218">
        <f t="shared" si="25"/>
        <v>0</v>
      </c>
      <c r="K246" s="102" t="str">
        <f t="shared" si="26"/>
        <v/>
      </c>
      <c r="L246" s="221"/>
      <c r="M246" s="325"/>
      <c r="N246" s="94"/>
      <c r="O246" s="326"/>
      <c r="P246" s="84"/>
      <c r="Q246" s="88"/>
      <c r="R246" s="102">
        <f t="shared" si="22"/>
        <v>0</v>
      </c>
      <c r="S246" s="89"/>
      <c r="T246" s="100"/>
      <c r="U246" s="100"/>
      <c r="V246" s="100"/>
      <c r="W246" s="100"/>
      <c r="X246" s="100"/>
      <c r="Y246" s="83"/>
      <c r="Z246" s="304"/>
      <c r="AA246" s="304"/>
      <c r="AB246" s="304"/>
      <c r="AC246" s="304"/>
      <c r="AD246" s="304"/>
      <c r="AE246" s="304"/>
      <c r="AF246" s="304"/>
      <c r="AG246" s="304"/>
      <c r="AH246" s="304"/>
      <c r="AI246" s="304"/>
      <c r="AJ246" s="304"/>
      <c r="AK246" s="304"/>
      <c r="AL246" s="304"/>
      <c r="AM246" s="304"/>
      <c r="AN246" s="304"/>
      <c r="AO246" s="304"/>
      <c r="AP246" s="304"/>
      <c r="AQ246" s="304"/>
      <c r="AR246" s="304"/>
      <c r="AS246" s="304"/>
      <c r="AT246" s="304"/>
      <c r="AU246" s="304"/>
      <c r="AV246" s="304"/>
      <c r="AW246" s="304"/>
      <c r="AX246" s="304"/>
      <c r="AY246" s="304"/>
      <c r="AZ246" s="304"/>
      <c r="BA246" s="304"/>
      <c r="BB246" s="304"/>
      <c r="BC246" s="304"/>
      <c r="BD246" s="304"/>
      <c r="BE246" s="304"/>
      <c r="BF246" s="304"/>
      <c r="BG246" s="304"/>
      <c r="BH246" s="304"/>
      <c r="BI246" s="304"/>
      <c r="BJ246" s="304"/>
      <c r="BK246" s="304"/>
      <c r="BL246" s="304"/>
      <c r="BM246" s="304"/>
      <c r="BN246" s="304"/>
      <c r="BO246" s="304"/>
      <c r="BP246" s="304"/>
      <c r="BQ246" s="304"/>
      <c r="BR246" s="304"/>
      <c r="BS246" s="304"/>
      <c r="BT246" s="304"/>
      <c r="BU246" s="304"/>
      <c r="BV246" s="304"/>
      <c r="BW246" s="304"/>
      <c r="BX246" s="304"/>
      <c r="BY246" s="304"/>
      <c r="BZ246" s="304"/>
      <c r="CA246" s="304"/>
      <c r="CB246" s="304"/>
      <c r="CC246" s="304"/>
      <c r="CD246" s="304"/>
      <c r="CE246" s="304"/>
      <c r="CF246" s="304"/>
      <c r="CG246" s="304"/>
      <c r="CH246" s="304"/>
      <c r="CI246" s="304"/>
      <c r="CJ246" s="304"/>
      <c r="CK246" s="304"/>
      <c r="CL246" s="304"/>
      <c r="CM246" s="304"/>
      <c r="CN246" s="304"/>
      <c r="CO246" s="304"/>
      <c r="CP246" s="304"/>
    </row>
    <row r="247" spans="1:94" s="87" customFormat="1">
      <c r="A247" s="81"/>
      <c r="B247" s="83"/>
      <c r="C247" s="82"/>
      <c r="D247" s="102"/>
      <c r="E247" s="102"/>
      <c r="F247" s="102"/>
      <c r="G247" s="225"/>
      <c r="H247" s="218">
        <f t="shared" si="23"/>
        <v>0</v>
      </c>
      <c r="I247" s="218">
        <f t="shared" si="24"/>
        <v>0</v>
      </c>
      <c r="J247" s="218">
        <f t="shared" si="25"/>
        <v>0</v>
      </c>
      <c r="K247" s="102" t="str">
        <f t="shared" si="26"/>
        <v/>
      </c>
      <c r="L247" s="221"/>
      <c r="M247" s="325"/>
      <c r="N247" s="94"/>
      <c r="O247" s="326"/>
      <c r="P247" s="84"/>
      <c r="Q247" s="88"/>
      <c r="R247" s="102">
        <f t="shared" si="22"/>
        <v>0</v>
      </c>
      <c r="S247" s="89"/>
      <c r="T247" s="100"/>
      <c r="U247" s="100"/>
      <c r="V247" s="100"/>
      <c r="W247" s="100"/>
      <c r="X247" s="100"/>
      <c r="Y247" s="83"/>
      <c r="Z247" s="304"/>
      <c r="AA247" s="304"/>
      <c r="AB247" s="304"/>
      <c r="AC247" s="304"/>
      <c r="AD247" s="304"/>
      <c r="AE247" s="304"/>
      <c r="AF247" s="304"/>
      <c r="AG247" s="304"/>
      <c r="AH247" s="304"/>
      <c r="AI247" s="304"/>
      <c r="AJ247" s="304"/>
      <c r="AK247" s="304"/>
      <c r="AL247" s="304"/>
      <c r="AM247" s="304"/>
      <c r="AN247" s="304"/>
      <c r="AO247" s="304"/>
      <c r="AP247" s="304"/>
      <c r="AQ247" s="304"/>
      <c r="AR247" s="304"/>
      <c r="AS247" s="304"/>
      <c r="AT247" s="304"/>
      <c r="AU247" s="304"/>
      <c r="AV247" s="304"/>
      <c r="AW247" s="304"/>
      <c r="AX247" s="304"/>
      <c r="AY247" s="304"/>
      <c r="AZ247" s="304"/>
      <c r="BA247" s="304"/>
      <c r="BB247" s="304"/>
      <c r="BC247" s="304"/>
      <c r="BD247" s="304"/>
      <c r="BE247" s="304"/>
      <c r="BF247" s="304"/>
      <c r="BG247" s="304"/>
      <c r="BH247" s="304"/>
      <c r="BI247" s="304"/>
      <c r="BJ247" s="304"/>
      <c r="BK247" s="304"/>
      <c r="BL247" s="304"/>
      <c r="BM247" s="304"/>
      <c r="BN247" s="304"/>
      <c r="BO247" s="304"/>
      <c r="BP247" s="304"/>
      <c r="BQ247" s="304"/>
      <c r="BR247" s="304"/>
      <c r="BS247" s="304"/>
      <c r="BT247" s="304"/>
      <c r="BU247" s="304"/>
      <c r="BV247" s="304"/>
      <c r="BW247" s="304"/>
      <c r="BX247" s="304"/>
      <c r="BY247" s="304"/>
      <c r="BZ247" s="304"/>
      <c r="CA247" s="304"/>
      <c r="CB247" s="304"/>
      <c r="CC247" s="304"/>
      <c r="CD247" s="304"/>
      <c r="CE247" s="304"/>
      <c r="CF247" s="304"/>
      <c r="CG247" s="304"/>
      <c r="CH247" s="304"/>
      <c r="CI247" s="304"/>
      <c r="CJ247" s="304"/>
      <c r="CK247" s="304"/>
      <c r="CL247" s="304"/>
      <c r="CM247" s="304"/>
      <c r="CN247" s="304"/>
      <c r="CO247" s="304"/>
      <c r="CP247" s="304"/>
    </row>
    <row r="248" spans="1:94" s="87" customFormat="1">
      <c r="A248" s="81"/>
      <c r="B248" s="83"/>
      <c r="C248" s="82"/>
      <c r="D248" s="102"/>
      <c r="E248" s="102"/>
      <c r="F248" s="102"/>
      <c r="G248" s="225"/>
      <c r="H248" s="218">
        <f t="shared" si="23"/>
        <v>0</v>
      </c>
      <c r="I248" s="218">
        <f t="shared" si="24"/>
        <v>0</v>
      </c>
      <c r="J248" s="218">
        <f t="shared" si="25"/>
        <v>0</v>
      </c>
      <c r="K248" s="102" t="str">
        <f t="shared" si="26"/>
        <v/>
      </c>
      <c r="L248" s="221"/>
      <c r="M248" s="325"/>
      <c r="N248" s="94"/>
      <c r="O248" s="326"/>
      <c r="P248" s="84"/>
      <c r="Q248" s="88"/>
      <c r="R248" s="102">
        <f t="shared" si="22"/>
        <v>0</v>
      </c>
      <c r="S248" s="89"/>
      <c r="T248" s="100"/>
      <c r="U248" s="100"/>
      <c r="V248" s="100"/>
      <c r="W248" s="100"/>
      <c r="X248" s="100"/>
      <c r="Y248" s="83"/>
      <c r="Z248" s="304"/>
      <c r="AA248" s="304"/>
      <c r="AB248" s="304"/>
      <c r="AC248" s="304"/>
      <c r="AD248" s="304"/>
      <c r="AE248" s="304"/>
      <c r="AF248" s="304"/>
      <c r="AG248" s="304"/>
      <c r="AH248" s="304"/>
      <c r="AI248" s="304"/>
      <c r="AJ248" s="304"/>
      <c r="AK248" s="304"/>
      <c r="AL248" s="304"/>
      <c r="AM248" s="304"/>
      <c r="AN248" s="304"/>
      <c r="AO248" s="304"/>
      <c r="AP248" s="304"/>
      <c r="AQ248" s="304"/>
      <c r="AR248" s="304"/>
      <c r="AS248" s="304"/>
      <c r="AT248" s="304"/>
      <c r="AU248" s="304"/>
      <c r="AV248" s="304"/>
      <c r="AW248" s="304"/>
      <c r="AX248" s="304"/>
      <c r="AY248" s="304"/>
      <c r="AZ248" s="304"/>
      <c r="BA248" s="304"/>
      <c r="BB248" s="304"/>
      <c r="BC248" s="304"/>
      <c r="BD248" s="304"/>
      <c r="BE248" s="304"/>
      <c r="BF248" s="304"/>
      <c r="BG248" s="304"/>
      <c r="BH248" s="304"/>
      <c r="BI248" s="304"/>
      <c r="BJ248" s="304"/>
      <c r="BK248" s="304"/>
      <c r="BL248" s="304"/>
      <c r="BM248" s="304"/>
      <c r="BN248" s="304"/>
      <c r="BO248" s="304"/>
      <c r="BP248" s="304"/>
      <c r="BQ248" s="304"/>
      <c r="BR248" s="304"/>
      <c r="BS248" s="304"/>
      <c r="BT248" s="304"/>
      <c r="BU248" s="304"/>
      <c r="BV248" s="304"/>
      <c r="BW248" s="304"/>
      <c r="BX248" s="304"/>
      <c r="BY248" s="304"/>
      <c r="BZ248" s="304"/>
      <c r="CA248" s="304"/>
      <c r="CB248" s="304"/>
      <c r="CC248" s="304"/>
      <c r="CD248" s="304"/>
      <c r="CE248" s="304"/>
      <c r="CF248" s="304"/>
      <c r="CG248" s="304"/>
      <c r="CH248" s="304"/>
      <c r="CI248" s="304"/>
      <c r="CJ248" s="304"/>
      <c r="CK248" s="304"/>
      <c r="CL248" s="304"/>
      <c r="CM248" s="304"/>
      <c r="CN248" s="304"/>
      <c r="CO248" s="304"/>
      <c r="CP248" s="304"/>
    </row>
    <row r="249" spans="1:94" s="87" customFormat="1">
      <c r="A249" s="81"/>
      <c r="B249" s="83"/>
      <c r="C249" s="82"/>
      <c r="D249" s="102"/>
      <c r="E249" s="102"/>
      <c r="F249" s="102"/>
      <c r="G249" s="225"/>
      <c r="H249" s="218">
        <f t="shared" si="23"/>
        <v>0</v>
      </c>
      <c r="I249" s="218">
        <f t="shared" si="24"/>
        <v>0</v>
      </c>
      <c r="J249" s="218">
        <f t="shared" si="25"/>
        <v>0</v>
      </c>
      <c r="K249" s="102" t="str">
        <f t="shared" si="26"/>
        <v/>
      </c>
      <c r="L249" s="221"/>
      <c r="M249" s="325"/>
      <c r="N249" s="94"/>
      <c r="O249" s="326"/>
      <c r="P249" s="84"/>
      <c r="Q249" s="88"/>
      <c r="R249" s="102">
        <f t="shared" si="22"/>
        <v>0</v>
      </c>
      <c r="S249" s="89"/>
      <c r="T249" s="100"/>
      <c r="U249" s="100"/>
      <c r="V249" s="100"/>
      <c r="W249" s="100"/>
      <c r="X249" s="100"/>
      <c r="Y249" s="83"/>
      <c r="Z249" s="304"/>
      <c r="AA249" s="304"/>
      <c r="AB249" s="304"/>
      <c r="AC249" s="304"/>
      <c r="AD249" s="304"/>
      <c r="AE249" s="304"/>
      <c r="AF249" s="304"/>
      <c r="AG249" s="304"/>
      <c r="AH249" s="304"/>
      <c r="AI249" s="304"/>
      <c r="AJ249" s="304"/>
      <c r="AK249" s="304"/>
      <c r="AL249" s="304"/>
      <c r="AM249" s="304"/>
      <c r="AN249" s="304"/>
      <c r="AO249" s="304"/>
      <c r="AP249" s="304"/>
      <c r="AQ249" s="304"/>
      <c r="AR249" s="304"/>
      <c r="AS249" s="304"/>
      <c r="AT249" s="304"/>
      <c r="AU249" s="304"/>
      <c r="AV249" s="304"/>
      <c r="AW249" s="304"/>
      <c r="AX249" s="304"/>
      <c r="AY249" s="304"/>
      <c r="AZ249" s="304"/>
      <c r="BA249" s="304"/>
      <c r="BB249" s="304"/>
      <c r="BC249" s="304"/>
      <c r="BD249" s="304"/>
      <c r="BE249" s="304"/>
      <c r="BF249" s="304"/>
      <c r="BG249" s="304"/>
      <c r="BH249" s="304"/>
      <c r="BI249" s="304"/>
      <c r="BJ249" s="304"/>
      <c r="BK249" s="304"/>
      <c r="BL249" s="304"/>
      <c r="BM249" s="304"/>
      <c r="BN249" s="304"/>
      <c r="BO249" s="304"/>
      <c r="BP249" s="304"/>
      <c r="BQ249" s="304"/>
      <c r="BR249" s="304"/>
      <c r="BS249" s="304"/>
      <c r="BT249" s="304"/>
      <c r="BU249" s="304"/>
      <c r="BV249" s="304"/>
      <c r="BW249" s="304"/>
      <c r="BX249" s="304"/>
      <c r="BY249" s="304"/>
      <c r="BZ249" s="304"/>
      <c r="CA249" s="304"/>
      <c r="CB249" s="304"/>
      <c r="CC249" s="304"/>
      <c r="CD249" s="304"/>
      <c r="CE249" s="304"/>
      <c r="CF249" s="304"/>
      <c r="CG249" s="304"/>
      <c r="CH249" s="304"/>
      <c r="CI249" s="304"/>
      <c r="CJ249" s="304"/>
      <c r="CK249" s="304"/>
      <c r="CL249" s="304"/>
      <c r="CM249" s="304"/>
      <c r="CN249" s="304"/>
      <c r="CO249" s="304"/>
      <c r="CP249" s="304"/>
    </row>
    <row r="250" spans="1:94" s="87" customFormat="1">
      <c r="A250" s="81"/>
      <c r="B250" s="83"/>
      <c r="C250" s="82"/>
      <c r="D250" s="102"/>
      <c r="E250" s="102"/>
      <c r="F250" s="102"/>
      <c r="G250" s="225"/>
      <c r="H250" s="218">
        <f t="shared" si="23"/>
        <v>0</v>
      </c>
      <c r="I250" s="218">
        <f t="shared" si="24"/>
        <v>0</v>
      </c>
      <c r="J250" s="218">
        <f t="shared" si="25"/>
        <v>0</v>
      </c>
      <c r="K250" s="102" t="str">
        <f t="shared" si="26"/>
        <v/>
      </c>
      <c r="L250" s="221"/>
      <c r="M250" s="325"/>
      <c r="N250" s="94"/>
      <c r="O250" s="326"/>
      <c r="P250" s="84"/>
      <c r="Q250" s="88"/>
      <c r="R250" s="102">
        <f t="shared" si="22"/>
        <v>0</v>
      </c>
      <c r="S250" s="89"/>
      <c r="T250" s="100"/>
      <c r="U250" s="100"/>
      <c r="V250" s="100"/>
      <c r="W250" s="100"/>
      <c r="X250" s="100"/>
      <c r="Y250" s="83"/>
      <c r="Z250" s="304"/>
      <c r="AA250" s="304"/>
      <c r="AB250" s="304"/>
      <c r="AC250" s="304"/>
      <c r="AD250" s="304"/>
      <c r="AE250" s="304"/>
      <c r="AF250" s="304"/>
      <c r="AG250" s="304"/>
      <c r="AH250" s="304"/>
      <c r="AI250" s="304"/>
      <c r="AJ250" s="304"/>
      <c r="AK250" s="304"/>
      <c r="AL250" s="304"/>
      <c r="AM250" s="304"/>
      <c r="AN250" s="304"/>
      <c r="AO250" s="304"/>
      <c r="AP250" s="304"/>
      <c r="AQ250" s="304"/>
      <c r="AR250" s="304"/>
      <c r="AS250" s="304"/>
      <c r="AT250" s="304"/>
      <c r="AU250" s="304"/>
      <c r="AV250" s="304"/>
      <c r="AW250" s="304"/>
      <c r="AX250" s="304"/>
      <c r="AY250" s="304"/>
      <c r="AZ250" s="304"/>
      <c r="BA250" s="304"/>
      <c r="BB250" s="304"/>
      <c r="BC250" s="304"/>
      <c r="BD250" s="304"/>
      <c r="BE250" s="304"/>
      <c r="BF250" s="304"/>
      <c r="BG250" s="304"/>
      <c r="BH250" s="304"/>
      <c r="BI250" s="304"/>
      <c r="BJ250" s="304"/>
      <c r="BK250" s="304"/>
      <c r="BL250" s="304"/>
      <c r="BM250" s="304"/>
      <c r="BN250" s="304"/>
      <c r="BO250" s="304"/>
      <c r="BP250" s="304"/>
      <c r="BQ250" s="304"/>
      <c r="BR250" s="304"/>
      <c r="BS250" s="304"/>
      <c r="BT250" s="304"/>
      <c r="BU250" s="304"/>
      <c r="BV250" s="304"/>
      <c r="BW250" s="304"/>
      <c r="BX250" s="304"/>
      <c r="BY250" s="304"/>
      <c r="BZ250" s="304"/>
      <c r="CA250" s="304"/>
      <c r="CB250" s="304"/>
      <c r="CC250" s="304"/>
      <c r="CD250" s="304"/>
      <c r="CE250" s="304"/>
      <c r="CF250" s="304"/>
      <c r="CG250" s="304"/>
      <c r="CH250" s="304"/>
      <c r="CI250" s="304"/>
      <c r="CJ250" s="304"/>
      <c r="CK250" s="304"/>
      <c r="CL250" s="304"/>
      <c r="CM250" s="304"/>
      <c r="CN250" s="304"/>
      <c r="CO250" s="304"/>
      <c r="CP250" s="304"/>
    </row>
    <row r="251" spans="1:94" s="87" customFormat="1">
      <c r="A251" s="81"/>
      <c r="B251" s="83"/>
      <c r="C251" s="82"/>
      <c r="D251" s="102"/>
      <c r="E251" s="102"/>
      <c r="F251" s="102"/>
      <c r="G251" s="225"/>
      <c r="H251" s="218"/>
      <c r="I251" s="218"/>
      <c r="J251" s="218"/>
      <c r="K251" s="102" t="str">
        <f t="shared" si="26"/>
        <v/>
      </c>
      <c r="L251" s="221"/>
      <c r="M251" s="325"/>
      <c r="N251" s="94"/>
      <c r="O251" s="326"/>
      <c r="P251" s="84"/>
      <c r="Q251" s="88"/>
      <c r="R251" s="102">
        <f t="shared" si="22"/>
        <v>0</v>
      </c>
      <c r="S251" s="89"/>
      <c r="T251" s="100"/>
      <c r="U251" s="100"/>
      <c r="V251" s="100"/>
      <c r="W251" s="100"/>
      <c r="X251" s="100"/>
      <c r="Y251" s="83"/>
      <c r="Z251" s="304"/>
      <c r="AA251" s="304"/>
      <c r="AB251" s="304"/>
      <c r="AC251" s="304"/>
      <c r="AD251" s="304"/>
      <c r="AE251" s="304"/>
      <c r="AF251" s="304"/>
      <c r="AG251" s="304"/>
      <c r="AH251" s="304"/>
      <c r="AI251" s="304"/>
      <c r="AJ251" s="304"/>
      <c r="AK251" s="304"/>
      <c r="AL251" s="304"/>
      <c r="AM251" s="304"/>
      <c r="AN251" s="304"/>
      <c r="AO251" s="304"/>
      <c r="AP251" s="304"/>
      <c r="AQ251" s="304"/>
      <c r="AR251" s="304"/>
      <c r="AS251" s="304"/>
      <c r="AT251" s="304"/>
      <c r="AU251" s="304"/>
      <c r="AV251" s="304"/>
      <c r="AW251" s="304"/>
      <c r="AX251" s="304"/>
      <c r="AY251" s="304"/>
      <c r="AZ251" s="304"/>
      <c r="BA251" s="304"/>
      <c r="BB251" s="304"/>
      <c r="BC251" s="304"/>
      <c r="BD251" s="304"/>
      <c r="BE251" s="304"/>
      <c r="BF251" s="304"/>
      <c r="BG251" s="304"/>
      <c r="BH251" s="304"/>
      <c r="BI251" s="304"/>
      <c r="BJ251" s="304"/>
      <c r="BK251" s="304"/>
      <c r="BL251" s="304"/>
      <c r="BM251" s="304"/>
      <c r="BN251" s="304"/>
      <c r="BO251" s="304"/>
      <c r="BP251" s="304"/>
      <c r="BQ251" s="304"/>
      <c r="BR251" s="304"/>
      <c r="BS251" s="304"/>
      <c r="BT251" s="304"/>
      <c r="BU251" s="304"/>
      <c r="BV251" s="304"/>
      <c r="BW251" s="304"/>
      <c r="BX251" s="304"/>
      <c r="BY251" s="304"/>
      <c r="BZ251" s="304"/>
      <c r="CA251" s="304"/>
      <c r="CB251" s="304"/>
      <c r="CC251" s="304"/>
      <c r="CD251" s="304"/>
      <c r="CE251" s="304"/>
      <c r="CF251" s="304"/>
      <c r="CG251" s="304"/>
      <c r="CH251" s="304"/>
      <c r="CI251" s="304"/>
      <c r="CJ251" s="304"/>
      <c r="CK251" s="304"/>
      <c r="CL251" s="304"/>
      <c r="CM251" s="304"/>
      <c r="CN251" s="304"/>
      <c r="CO251" s="304"/>
      <c r="CP251" s="304"/>
    </row>
    <row r="252" spans="1:94" s="87" customFormat="1">
      <c r="A252" s="81"/>
      <c r="B252" s="83"/>
      <c r="C252" s="82"/>
      <c r="D252" s="102"/>
      <c r="E252" s="102"/>
      <c r="F252" s="102"/>
      <c r="G252" s="225"/>
      <c r="H252" s="218"/>
      <c r="I252" s="218"/>
      <c r="J252" s="218"/>
      <c r="K252" s="102" t="str">
        <f t="shared" si="26"/>
        <v/>
      </c>
      <c r="L252" s="221"/>
      <c r="M252" s="325"/>
      <c r="N252" s="94"/>
      <c r="O252" s="326"/>
      <c r="P252" s="84"/>
      <c r="Q252" s="88"/>
      <c r="R252" s="102">
        <f t="shared" si="22"/>
        <v>0</v>
      </c>
      <c r="S252" s="89"/>
      <c r="T252" s="100"/>
      <c r="U252" s="100"/>
      <c r="V252" s="100"/>
      <c r="W252" s="100"/>
      <c r="X252" s="100"/>
      <c r="Y252" s="83"/>
      <c r="Z252" s="304"/>
      <c r="AA252" s="304"/>
      <c r="AB252" s="304"/>
      <c r="AC252" s="304"/>
      <c r="AD252" s="304"/>
      <c r="AE252" s="304"/>
      <c r="AF252" s="304"/>
      <c r="AG252" s="304"/>
      <c r="AH252" s="304"/>
      <c r="AI252" s="304"/>
      <c r="AJ252" s="304"/>
      <c r="AK252" s="304"/>
      <c r="AL252" s="304"/>
      <c r="AM252" s="304"/>
      <c r="AN252" s="304"/>
      <c r="AO252" s="304"/>
      <c r="AP252" s="304"/>
      <c r="AQ252" s="304"/>
      <c r="AR252" s="304"/>
      <c r="AS252" s="304"/>
      <c r="AT252" s="304"/>
      <c r="AU252" s="304"/>
      <c r="AV252" s="304"/>
      <c r="AW252" s="304"/>
      <c r="AX252" s="304"/>
      <c r="AY252" s="304"/>
      <c r="AZ252" s="304"/>
      <c r="BA252" s="304"/>
      <c r="BB252" s="304"/>
      <c r="BC252" s="304"/>
      <c r="BD252" s="304"/>
      <c r="BE252" s="304"/>
      <c r="BF252" s="304"/>
      <c r="BG252" s="304"/>
      <c r="BH252" s="304"/>
      <c r="BI252" s="304"/>
      <c r="BJ252" s="304"/>
      <c r="BK252" s="304"/>
      <c r="BL252" s="304"/>
      <c r="BM252" s="304"/>
      <c r="BN252" s="304"/>
      <c r="BO252" s="304"/>
      <c r="BP252" s="304"/>
      <c r="BQ252" s="304"/>
      <c r="BR252" s="304"/>
      <c r="BS252" s="304"/>
      <c r="BT252" s="304"/>
      <c r="BU252" s="304"/>
      <c r="BV252" s="304"/>
      <c r="BW252" s="304"/>
      <c r="BX252" s="304"/>
      <c r="BY252" s="304"/>
      <c r="BZ252" s="304"/>
      <c r="CA252" s="304"/>
      <c r="CB252" s="304"/>
      <c r="CC252" s="304"/>
      <c r="CD252" s="304"/>
      <c r="CE252" s="304"/>
      <c r="CF252" s="304"/>
      <c r="CG252" s="304"/>
      <c r="CH252" s="304"/>
      <c r="CI252" s="304"/>
      <c r="CJ252" s="304"/>
      <c r="CK252" s="304"/>
      <c r="CL252" s="304"/>
      <c r="CM252" s="304"/>
      <c r="CN252" s="304"/>
      <c r="CO252" s="304"/>
      <c r="CP252" s="304"/>
    </row>
    <row r="253" spans="1:94" s="87" customFormat="1">
      <c r="A253" s="81"/>
      <c r="B253" s="83"/>
      <c r="C253" s="82"/>
      <c r="D253" s="102"/>
      <c r="E253" s="102"/>
      <c r="F253" s="102"/>
      <c r="G253" s="225"/>
      <c r="H253" s="218"/>
      <c r="I253" s="218"/>
      <c r="J253" s="218"/>
      <c r="K253" s="102" t="str">
        <f t="shared" si="26"/>
        <v/>
      </c>
      <c r="L253" s="221"/>
      <c r="M253" s="325"/>
      <c r="N253" s="94"/>
      <c r="O253" s="326"/>
      <c r="P253" s="84"/>
      <c r="Q253" s="88"/>
      <c r="R253" s="102">
        <f t="shared" si="22"/>
        <v>0</v>
      </c>
      <c r="S253" s="89"/>
      <c r="T253" s="100"/>
      <c r="U253" s="100"/>
      <c r="V253" s="100"/>
      <c r="W253" s="100"/>
      <c r="X253" s="100"/>
      <c r="Y253" s="83"/>
      <c r="Z253" s="304"/>
      <c r="AA253" s="304"/>
      <c r="AB253" s="304"/>
      <c r="AC253" s="304"/>
      <c r="AD253" s="304"/>
      <c r="AE253" s="304"/>
      <c r="AF253" s="304"/>
      <c r="AG253" s="304"/>
      <c r="AH253" s="304"/>
      <c r="AI253" s="304"/>
      <c r="AJ253" s="304"/>
      <c r="AK253" s="304"/>
      <c r="AL253" s="304"/>
      <c r="AM253" s="304"/>
      <c r="AN253" s="304"/>
      <c r="AO253" s="304"/>
      <c r="AP253" s="304"/>
      <c r="AQ253" s="304"/>
      <c r="AR253" s="304"/>
      <c r="AS253" s="304"/>
      <c r="AT253" s="304"/>
      <c r="AU253" s="304"/>
      <c r="AV253" s="304"/>
      <c r="AW253" s="304"/>
      <c r="AX253" s="304"/>
      <c r="AY253" s="304"/>
      <c r="AZ253" s="304"/>
      <c r="BA253" s="304"/>
      <c r="BB253" s="304"/>
      <c r="BC253" s="304"/>
      <c r="BD253" s="304"/>
      <c r="BE253" s="304"/>
      <c r="BF253" s="304"/>
      <c r="BG253" s="304"/>
      <c r="BH253" s="304"/>
      <c r="BI253" s="304"/>
      <c r="BJ253" s="304"/>
      <c r="BK253" s="304"/>
      <c r="BL253" s="304"/>
      <c r="BM253" s="304"/>
      <c r="BN253" s="304"/>
      <c r="BO253" s="304"/>
      <c r="BP253" s="304"/>
      <c r="BQ253" s="304"/>
      <c r="BR253" s="304"/>
      <c r="BS253" s="304"/>
      <c r="BT253" s="304"/>
      <c r="BU253" s="304"/>
      <c r="BV253" s="304"/>
      <c r="BW253" s="304"/>
      <c r="BX253" s="304"/>
      <c r="BY253" s="304"/>
      <c r="BZ253" s="304"/>
      <c r="CA253" s="304"/>
      <c r="CB253" s="304"/>
      <c r="CC253" s="304"/>
      <c r="CD253" s="304"/>
      <c r="CE253" s="304"/>
      <c r="CF253" s="304"/>
      <c r="CG253" s="304"/>
      <c r="CH253" s="304"/>
      <c r="CI253" s="304"/>
      <c r="CJ253" s="304"/>
      <c r="CK253" s="304"/>
      <c r="CL253" s="304"/>
      <c r="CM253" s="304"/>
      <c r="CN253" s="304"/>
      <c r="CO253" s="304"/>
      <c r="CP253" s="304"/>
    </row>
    <row r="254" spans="1:94" s="87" customFormat="1">
      <c r="A254" s="81"/>
      <c r="B254" s="83"/>
      <c r="C254" s="82"/>
      <c r="D254" s="102"/>
      <c r="E254" s="102"/>
      <c r="F254" s="102"/>
      <c r="G254" s="225"/>
      <c r="H254" s="102"/>
      <c r="I254" s="218"/>
      <c r="J254" s="102"/>
      <c r="K254" s="102" t="str">
        <f t="shared" si="26"/>
        <v/>
      </c>
      <c r="L254" s="221"/>
      <c r="M254" s="325"/>
      <c r="N254" s="94"/>
      <c r="O254" s="326"/>
      <c r="P254" s="84"/>
      <c r="Q254" s="88"/>
      <c r="R254" s="102">
        <f t="shared" si="22"/>
        <v>0</v>
      </c>
      <c r="S254" s="89"/>
      <c r="T254" s="100"/>
      <c r="U254" s="100"/>
      <c r="V254" s="100"/>
      <c r="W254" s="100"/>
      <c r="X254" s="100"/>
      <c r="Y254" s="83"/>
      <c r="Z254" s="304"/>
      <c r="AA254" s="304"/>
      <c r="AB254" s="304"/>
      <c r="AC254" s="304"/>
      <c r="AD254" s="304"/>
      <c r="AE254" s="304"/>
      <c r="AF254" s="304"/>
      <c r="AG254" s="304"/>
      <c r="AH254" s="304"/>
      <c r="AI254" s="304"/>
      <c r="AJ254" s="304"/>
      <c r="AK254" s="304"/>
      <c r="AL254" s="304"/>
      <c r="AM254" s="304"/>
      <c r="AN254" s="304"/>
      <c r="AO254" s="304"/>
      <c r="AP254" s="304"/>
      <c r="AQ254" s="304"/>
      <c r="AR254" s="304"/>
      <c r="AS254" s="304"/>
      <c r="AT254" s="304"/>
      <c r="AU254" s="304"/>
      <c r="AV254" s="304"/>
      <c r="AW254" s="304"/>
      <c r="AX254" s="304"/>
      <c r="AY254" s="304"/>
      <c r="AZ254" s="304"/>
      <c r="BA254" s="304"/>
      <c r="BB254" s="304"/>
      <c r="BC254" s="304"/>
      <c r="BD254" s="304"/>
      <c r="BE254" s="304"/>
      <c r="BF254" s="304"/>
      <c r="BG254" s="304"/>
      <c r="BH254" s="304"/>
      <c r="BI254" s="304"/>
      <c r="BJ254" s="304"/>
      <c r="BK254" s="304"/>
      <c r="BL254" s="304"/>
      <c r="BM254" s="304"/>
      <c r="BN254" s="304"/>
      <c r="BO254" s="304"/>
      <c r="BP254" s="304"/>
      <c r="BQ254" s="304"/>
      <c r="BR254" s="304"/>
      <c r="BS254" s="304"/>
      <c r="BT254" s="304"/>
      <c r="BU254" s="304"/>
      <c r="BV254" s="304"/>
      <c r="BW254" s="304"/>
      <c r="BX254" s="304"/>
      <c r="BY254" s="304"/>
      <c r="BZ254" s="304"/>
      <c r="CA254" s="304"/>
      <c r="CB254" s="304"/>
      <c r="CC254" s="304"/>
      <c r="CD254" s="304"/>
      <c r="CE254" s="304"/>
      <c r="CF254" s="304"/>
      <c r="CG254" s="304"/>
      <c r="CH254" s="304"/>
      <c r="CI254" s="304"/>
      <c r="CJ254" s="304"/>
      <c r="CK254" s="304"/>
      <c r="CL254" s="304"/>
      <c r="CM254" s="304"/>
      <c r="CN254" s="304"/>
      <c r="CO254" s="304"/>
      <c r="CP254" s="304"/>
    </row>
    <row r="255" spans="1:94" s="87" customFormat="1">
      <c r="A255" s="81"/>
      <c r="B255" s="83"/>
      <c r="C255" s="82"/>
      <c r="D255" s="102"/>
      <c r="E255" s="102"/>
      <c r="F255" s="102"/>
      <c r="G255" s="225"/>
      <c r="H255" s="102"/>
      <c r="I255" s="218"/>
      <c r="J255" s="102"/>
      <c r="K255" s="102" t="str">
        <f t="shared" si="26"/>
        <v/>
      </c>
      <c r="L255" s="221"/>
      <c r="M255" s="325"/>
      <c r="N255" s="94"/>
      <c r="O255" s="326"/>
      <c r="P255" s="84"/>
      <c r="Q255" s="88"/>
      <c r="R255" s="102">
        <f t="shared" si="22"/>
        <v>0</v>
      </c>
      <c r="S255" s="89"/>
      <c r="T255" s="100"/>
      <c r="U255" s="100"/>
      <c r="V255" s="100"/>
      <c r="W255" s="100"/>
      <c r="X255" s="100"/>
      <c r="Y255" s="83"/>
      <c r="Z255" s="304"/>
      <c r="AA255" s="304"/>
      <c r="AB255" s="304"/>
      <c r="AC255" s="304"/>
      <c r="AD255" s="304"/>
      <c r="AE255" s="304"/>
      <c r="AF255" s="304"/>
      <c r="AG255" s="304"/>
      <c r="AH255" s="304"/>
      <c r="AI255" s="304"/>
      <c r="AJ255" s="304"/>
      <c r="AK255" s="304"/>
      <c r="AL255" s="304"/>
      <c r="AM255" s="304"/>
      <c r="AN255" s="304"/>
      <c r="AO255" s="304"/>
      <c r="AP255" s="304"/>
      <c r="AQ255" s="304"/>
      <c r="AR255" s="304"/>
      <c r="AS255" s="304"/>
      <c r="AT255" s="304"/>
      <c r="AU255" s="304"/>
      <c r="AV255" s="304"/>
      <c r="AW255" s="304"/>
      <c r="AX255" s="304"/>
      <c r="AY255" s="304"/>
      <c r="AZ255" s="304"/>
      <c r="BA255" s="304"/>
      <c r="BB255" s="304"/>
      <c r="BC255" s="304"/>
      <c r="BD255" s="304"/>
      <c r="BE255" s="304"/>
      <c r="BF255" s="304"/>
      <c r="BG255" s="304"/>
      <c r="BH255" s="304"/>
      <c r="BI255" s="304"/>
      <c r="BJ255" s="304"/>
      <c r="BK255" s="304"/>
      <c r="BL255" s="304"/>
      <c r="BM255" s="304"/>
      <c r="BN255" s="304"/>
      <c r="BO255" s="304"/>
      <c r="BP255" s="304"/>
      <c r="BQ255" s="304"/>
      <c r="BR255" s="304"/>
      <c r="BS255" s="304"/>
      <c r="BT255" s="304"/>
      <c r="BU255" s="304"/>
      <c r="BV255" s="304"/>
      <c r="BW255" s="304"/>
      <c r="BX255" s="304"/>
      <c r="BY255" s="304"/>
      <c r="BZ255" s="304"/>
      <c r="CA255" s="304"/>
      <c r="CB255" s="304"/>
      <c r="CC255" s="304"/>
      <c r="CD255" s="304"/>
      <c r="CE255" s="304"/>
      <c r="CF255" s="304"/>
      <c r="CG255" s="304"/>
      <c r="CH255" s="304"/>
      <c r="CI255" s="304"/>
      <c r="CJ255" s="304"/>
      <c r="CK255" s="304"/>
      <c r="CL255" s="304"/>
      <c r="CM255" s="304"/>
      <c r="CN255" s="304"/>
      <c r="CO255" s="304"/>
      <c r="CP255" s="304"/>
    </row>
    <row r="256" spans="1:94" s="87" customFormat="1">
      <c r="A256" s="81"/>
      <c r="B256" s="83"/>
      <c r="C256" s="82"/>
      <c r="D256" s="102"/>
      <c r="E256" s="102"/>
      <c r="F256" s="102"/>
      <c r="G256" s="225"/>
      <c r="H256" s="102"/>
      <c r="I256" s="218"/>
      <c r="J256" s="102"/>
      <c r="K256" s="102" t="str">
        <f t="shared" si="26"/>
        <v/>
      </c>
      <c r="L256" s="221"/>
      <c r="M256" s="325"/>
      <c r="N256" s="94"/>
      <c r="O256" s="326"/>
      <c r="P256" s="84"/>
      <c r="Q256" s="88"/>
      <c r="R256" s="102">
        <f t="shared" si="22"/>
        <v>0</v>
      </c>
      <c r="S256" s="89"/>
      <c r="T256" s="100"/>
      <c r="U256" s="100"/>
      <c r="V256" s="100"/>
      <c r="W256" s="100"/>
      <c r="X256" s="100"/>
      <c r="Y256" s="83"/>
      <c r="Z256" s="304"/>
      <c r="AA256" s="304"/>
      <c r="AB256" s="304"/>
      <c r="AC256" s="304"/>
      <c r="AD256" s="304"/>
      <c r="AE256" s="304"/>
      <c r="AF256" s="304"/>
      <c r="AG256" s="304"/>
      <c r="AH256" s="304"/>
      <c r="AI256" s="304"/>
      <c r="AJ256" s="304"/>
      <c r="AK256" s="304"/>
      <c r="AL256" s="304"/>
      <c r="AM256" s="304"/>
      <c r="AN256" s="304"/>
      <c r="AO256" s="304"/>
      <c r="AP256" s="304"/>
      <c r="AQ256" s="304"/>
      <c r="AR256" s="304"/>
      <c r="AS256" s="304"/>
      <c r="AT256" s="304"/>
      <c r="AU256" s="304"/>
      <c r="AV256" s="304"/>
      <c r="AW256" s="304"/>
      <c r="AX256" s="304"/>
      <c r="AY256" s="304"/>
      <c r="AZ256" s="304"/>
      <c r="BA256" s="304"/>
      <c r="BB256" s="304"/>
      <c r="BC256" s="304"/>
      <c r="BD256" s="304"/>
      <c r="BE256" s="304"/>
      <c r="BF256" s="304"/>
      <c r="BG256" s="304"/>
      <c r="BH256" s="304"/>
      <c r="BI256" s="304"/>
      <c r="BJ256" s="304"/>
      <c r="BK256" s="304"/>
      <c r="BL256" s="304"/>
      <c r="BM256" s="304"/>
      <c r="BN256" s="304"/>
      <c r="BO256" s="304"/>
      <c r="BP256" s="304"/>
      <c r="BQ256" s="304"/>
      <c r="BR256" s="304"/>
      <c r="BS256" s="304"/>
      <c r="BT256" s="304"/>
      <c r="BU256" s="304"/>
      <c r="BV256" s="304"/>
      <c r="BW256" s="304"/>
      <c r="BX256" s="304"/>
      <c r="BY256" s="304"/>
      <c r="BZ256" s="304"/>
      <c r="CA256" s="304"/>
      <c r="CB256" s="304"/>
      <c r="CC256" s="304"/>
      <c r="CD256" s="304"/>
      <c r="CE256" s="304"/>
      <c r="CF256" s="304"/>
      <c r="CG256" s="304"/>
      <c r="CH256" s="304"/>
      <c r="CI256" s="304"/>
      <c r="CJ256" s="304"/>
      <c r="CK256" s="304"/>
      <c r="CL256" s="304"/>
      <c r="CM256" s="304"/>
      <c r="CN256" s="304"/>
      <c r="CO256" s="304"/>
      <c r="CP256" s="304"/>
    </row>
    <row r="257" spans="1:94" s="87" customFormat="1">
      <c r="A257" s="81"/>
      <c r="B257" s="83"/>
      <c r="C257" s="82"/>
      <c r="D257" s="102"/>
      <c r="E257" s="102"/>
      <c r="F257" s="102"/>
      <c r="G257" s="225"/>
      <c r="H257" s="102"/>
      <c r="I257" s="218"/>
      <c r="J257" s="102"/>
      <c r="K257" s="102" t="str">
        <f t="shared" si="26"/>
        <v/>
      </c>
      <c r="L257" s="221"/>
      <c r="M257" s="325"/>
      <c r="N257" s="94"/>
      <c r="O257" s="326"/>
      <c r="P257" s="84"/>
      <c r="Q257" s="88"/>
      <c r="R257" s="102">
        <f t="shared" si="22"/>
        <v>0</v>
      </c>
      <c r="S257" s="89"/>
      <c r="T257" s="100"/>
      <c r="U257" s="100"/>
      <c r="V257" s="100"/>
      <c r="W257" s="100"/>
      <c r="X257" s="100"/>
      <c r="Y257" s="83"/>
      <c r="Z257" s="304"/>
      <c r="AA257" s="304"/>
      <c r="AB257" s="304"/>
      <c r="AC257" s="304"/>
      <c r="AD257" s="304"/>
      <c r="AE257" s="304"/>
      <c r="AF257" s="304"/>
      <c r="AG257" s="304"/>
      <c r="AH257" s="304"/>
      <c r="AI257" s="304"/>
      <c r="AJ257" s="304"/>
      <c r="AK257" s="304"/>
      <c r="AL257" s="304"/>
      <c r="AM257" s="304"/>
      <c r="AN257" s="304"/>
      <c r="AO257" s="304"/>
      <c r="AP257" s="304"/>
      <c r="AQ257" s="304"/>
      <c r="AR257" s="304"/>
      <c r="AS257" s="304"/>
      <c r="AT257" s="304"/>
      <c r="AU257" s="304"/>
      <c r="AV257" s="304"/>
      <c r="AW257" s="304"/>
      <c r="AX257" s="304"/>
      <c r="AY257" s="304"/>
      <c r="AZ257" s="304"/>
      <c r="BA257" s="304"/>
      <c r="BB257" s="304"/>
      <c r="BC257" s="304"/>
      <c r="BD257" s="304"/>
      <c r="BE257" s="304"/>
      <c r="BF257" s="304"/>
      <c r="BG257" s="304"/>
      <c r="BH257" s="304"/>
      <c r="BI257" s="304"/>
      <c r="BJ257" s="304"/>
      <c r="BK257" s="304"/>
      <c r="BL257" s="304"/>
      <c r="BM257" s="304"/>
      <c r="BN257" s="304"/>
      <c r="BO257" s="304"/>
      <c r="BP257" s="304"/>
      <c r="BQ257" s="304"/>
      <c r="BR257" s="304"/>
      <c r="BS257" s="304"/>
      <c r="BT257" s="304"/>
      <c r="BU257" s="304"/>
      <c r="BV257" s="304"/>
      <c r="BW257" s="304"/>
      <c r="BX257" s="304"/>
      <c r="BY257" s="304"/>
      <c r="BZ257" s="304"/>
      <c r="CA257" s="304"/>
      <c r="CB257" s="304"/>
      <c r="CC257" s="304"/>
      <c r="CD257" s="304"/>
      <c r="CE257" s="304"/>
      <c r="CF257" s="304"/>
      <c r="CG257" s="304"/>
      <c r="CH257" s="304"/>
      <c r="CI257" s="304"/>
      <c r="CJ257" s="304"/>
      <c r="CK257" s="304"/>
      <c r="CL257" s="304"/>
      <c r="CM257" s="304"/>
      <c r="CN257" s="304"/>
      <c r="CO257" s="304"/>
      <c r="CP257" s="304"/>
    </row>
    <row r="258" spans="1:94" s="87" customFormat="1">
      <c r="A258" s="81"/>
      <c r="B258" s="83"/>
      <c r="C258" s="82"/>
      <c r="D258" s="102"/>
      <c r="E258" s="102"/>
      <c r="F258" s="102"/>
      <c r="G258" s="225"/>
      <c r="H258" s="102"/>
      <c r="I258" s="218"/>
      <c r="J258" s="102"/>
      <c r="K258" s="102" t="str">
        <f t="shared" si="26"/>
        <v/>
      </c>
      <c r="L258" s="221"/>
      <c r="M258" s="325"/>
      <c r="N258" s="94"/>
      <c r="O258" s="326"/>
      <c r="P258" s="84"/>
      <c r="Q258" s="88"/>
      <c r="R258" s="102">
        <f t="shared" si="22"/>
        <v>0</v>
      </c>
      <c r="S258" s="89"/>
      <c r="T258" s="100"/>
      <c r="U258" s="100"/>
      <c r="V258" s="100"/>
      <c r="W258" s="100"/>
      <c r="X258" s="100"/>
      <c r="Y258" s="83"/>
      <c r="Z258" s="304"/>
      <c r="AA258" s="304"/>
      <c r="AB258" s="304"/>
      <c r="AC258" s="304"/>
      <c r="AD258" s="304"/>
      <c r="AE258" s="304"/>
      <c r="AF258" s="304"/>
      <c r="AG258" s="304"/>
      <c r="AH258" s="304"/>
      <c r="AI258" s="304"/>
      <c r="AJ258" s="304"/>
      <c r="AK258" s="304"/>
      <c r="AL258" s="304"/>
      <c r="AM258" s="304"/>
      <c r="AN258" s="304"/>
      <c r="AO258" s="304"/>
      <c r="AP258" s="304"/>
      <c r="AQ258" s="304"/>
      <c r="AR258" s="304"/>
      <c r="AS258" s="304"/>
      <c r="AT258" s="304"/>
      <c r="AU258" s="304"/>
      <c r="AV258" s="304"/>
      <c r="AW258" s="304"/>
      <c r="AX258" s="304"/>
      <c r="AY258" s="304"/>
      <c r="AZ258" s="304"/>
      <c r="BA258" s="304"/>
      <c r="BB258" s="304"/>
      <c r="BC258" s="304"/>
      <c r="BD258" s="304"/>
      <c r="BE258" s="304"/>
      <c r="BF258" s="304"/>
      <c r="BG258" s="304"/>
      <c r="BH258" s="304"/>
      <c r="BI258" s="304"/>
      <c r="BJ258" s="304"/>
      <c r="BK258" s="304"/>
      <c r="BL258" s="304"/>
      <c r="BM258" s="304"/>
      <c r="BN258" s="304"/>
      <c r="BO258" s="304"/>
      <c r="BP258" s="304"/>
      <c r="BQ258" s="304"/>
      <c r="BR258" s="304"/>
      <c r="BS258" s="304"/>
      <c r="BT258" s="304"/>
      <c r="BU258" s="304"/>
      <c r="BV258" s="304"/>
      <c r="BW258" s="304"/>
      <c r="BX258" s="304"/>
      <c r="BY258" s="304"/>
      <c r="BZ258" s="304"/>
      <c r="CA258" s="304"/>
      <c r="CB258" s="304"/>
      <c r="CC258" s="304"/>
      <c r="CD258" s="304"/>
      <c r="CE258" s="304"/>
      <c r="CF258" s="304"/>
      <c r="CG258" s="304"/>
      <c r="CH258" s="304"/>
      <c r="CI258" s="304"/>
      <c r="CJ258" s="304"/>
      <c r="CK258" s="304"/>
      <c r="CL258" s="304"/>
      <c r="CM258" s="304"/>
      <c r="CN258" s="304"/>
      <c r="CO258" s="304"/>
      <c r="CP258" s="304"/>
    </row>
    <row r="259" spans="1:94" s="87" customFormat="1">
      <c r="A259" s="81"/>
      <c r="B259" s="83"/>
      <c r="C259" s="82"/>
      <c r="D259" s="102"/>
      <c r="E259" s="102"/>
      <c r="F259" s="102"/>
      <c r="G259" s="225"/>
      <c r="H259" s="102"/>
      <c r="I259" s="218"/>
      <c r="J259" s="102"/>
      <c r="K259" s="102" t="str">
        <f t="shared" si="26"/>
        <v/>
      </c>
      <c r="L259" s="221"/>
      <c r="M259" s="325"/>
      <c r="N259" s="94"/>
      <c r="O259" s="326"/>
      <c r="P259" s="84"/>
      <c r="Q259" s="88"/>
      <c r="R259" s="102">
        <f t="shared" si="22"/>
        <v>0</v>
      </c>
      <c r="S259" s="89"/>
      <c r="T259" s="100"/>
      <c r="U259" s="100"/>
      <c r="V259" s="100"/>
      <c r="W259" s="100"/>
      <c r="X259" s="100"/>
      <c r="Y259" s="83"/>
      <c r="Z259" s="304"/>
      <c r="AA259" s="304"/>
      <c r="AB259" s="304"/>
      <c r="AC259" s="304"/>
      <c r="AD259" s="304"/>
      <c r="AE259" s="304"/>
      <c r="AF259" s="304"/>
      <c r="AG259" s="304"/>
      <c r="AH259" s="304"/>
      <c r="AI259" s="304"/>
      <c r="AJ259" s="304"/>
      <c r="AK259" s="304"/>
      <c r="AL259" s="304"/>
      <c r="AM259" s="304"/>
      <c r="AN259" s="304"/>
      <c r="AO259" s="304"/>
      <c r="AP259" s="304"/>
      <c r="AQ259" s="304"/>
      <c r="AR259" s="304"/>
      <c r="AS259" s="304"/>
      <c r="AT259" s="304"/>
      <c r="AU259" s="304"/>
      <c r="AV259" s="304"/>
      <c r="AW259" s="304"/>
      <c r="AX259" s="304"/>
      <c r="AY259" s="304"/>
      <c r="AZ259" s="304"/>
      <c r="BA259" s="304"/>
      <c r="BB259" s="304"/>
      <c r="BC259" s="304"/>
      <c r="BD259" s="304"/>
      <c r="BE259" s="304"/>
      <c r="BF259" s="304"/>
      <c r="BG259" s="304"/>
      <c r="BH259" s="304"/>
      <c r="BI259" s="304"/>
      <c r="BJ259" s="304"/>
      <c r="BK259" s="304"/>
      <c r="BL259" s="304"/>
      <c r="BM259" s="304"/>
      <c r="BN259" s="304"/>
      <c r="BO259" s="304"/>
      <c r="BP259" s="304"/>
      <c r="BQ259" s="304"/>
      <c r="BR259" s="304"/>
      <c r="BS259" s="304"/>
      <c r="BT259" s="304"/>
      <c r="BU259" s="304"/>
      <c r="BV259" s="304"/>
      <c r="BW259" s="304"/>
      <c r="BX259" s="304"/>
      <c r="BY259" s="304"/>
      <c r="BZ259" s="304"/>
      <c r="CA259" s="304"/>
      <c r="CB259" s="304"/>
      <c r="CC259" s="304"/>
      <c r="CD259" s="304"/>
      <c r="CE259" s="304"/>
      <c r="CF259" s="304"/>
      <c r="CG259" s="304"/>
      <c r="CH259" s="304"/>
      <c r="CI259" s="304"/>
      <c r="CJ259" s="304"/>
      <c r="CK259" s="304"/>
      <c r="CL259" s="304"/>
      <c r="CM259" s="304"/>
      <c r="CN259" s="304"/>
      <c r="CO259" s="304"/>
      <c r="CP259" s="304"/>
    </row>
    <row r="260" spans="1:94" s="87" customFormat="1">
      <c r="A260" s="81"/>
      <c r="B260" s="83"/>
      <c r="C260" s="82"/>
      <c r="D260" s="102"/>
      <c r="E260" s="102"/>
      <c r="F260" s="102"/>
      <c r="G260" s="225"/>
      <c r="H260" s="102"/>
      <c r="I260" s="218"/>
      <c r="J260" s="102"/>
      <c r="K260" s="102" t="str">
        <f t="shared" si="26"/>
        <v/>
      </c>
      <c r="L260" s="221"/>
      <c r="M260" s="325"/>
      <c r="N260" s="94"/>
      <c r="O260" s="326"/>
      <c r="P260" s="84"/>
      <c r="Q260" s="88"/>
      <c r="R260" s="102">
        <f t="shared" si="22"/>
        <v>0</v>
      </c>
      <c r="S260" s="89"/>
      <c r="T260" s="100"/>
      <c r="U260" s="100"/>
      <c r="V260" s="100"/>
      <c r="W260" s="100"/>
      <c r="X260" s="100"/>
      <c r="Y260" s="83"/>
      <c r="Z260" s="304"/>
      <c r="AA260" s="304"/>
      <c r="AB260" s="304"/>
      <c r="AC260" s="304"/>
      <c r="AD260" s="304"/>
      <c r="AE260" s="304"/>
      <c r="AF260" s="304"/>
      <c r="AG260" s="304"/>
      <c r="AH260" s="304"/>
      <c r="AI260" s="304"/>
      <c r="AJ260" s="304"/>
      <c r="AK260" s="304"/>
      <c r="AL260" s="304"/>
      <c r="AM260" s="304"/>
      <c r="AN260" s="304"/>
      <c r="AO260" s="304"/>
      <c r="AP260" s="304"/>
      <c r="AQ260" s="304"/>
      <c r="AR260" s="304"/>
      <c r="AS260" s="304"/>
      <c r="AT260" s="304"/>
      <c r="AU260" s="304"/>
      <c r="AV260" s="304"/>
      <c r="AW260" s="304"/>
      <c r="AX260" s="304"/>
      <c r="AY260" s="304"/>
      <c r="AZ260" s="304"/>
      <c r="BA260" s="304"/>
      <c r="BB260" s="304"/>
      <c r="BC260" s="304"/>
      <c r="BD260" s="304"/>
      <c r="BE260" s="304"/>
      <c r="BF260" s="304"/>
      <c r="BG260" s="304"/>
      <c r="BH260" s="304"/>
      <c r="BI260" s="304"/>
      <c r="BJ260" s="304"/>
      <c r="BK260" s="304"/>
      <c r="BL260" s="304"/>
      <c r="BM260" s="304"/>
      <c r="BN260" s="304"/>
      <c r="BO260" s="304"/>
      <c r="BP260" s="304"/>
      <c r="BQ260" s="304"/>
      <c r="BR260" s="304"/>
      <c r="BS260" s="304"/>
      <c r="BT260" s="304"/>
      <c r="BU260" s="304"/>
      <c r="BV260" s="304"/>
      <c r="BW260" s="304"/>
      <c r="BX260" s="304"/>
      <c r="BY260" s="304"/>
      <c r="BZ260" s="304"/>
      <c r="CA260" s="304"/>
      <c r="CB260" s="304"/>
      <c r="CC260" s="304"/>
      <c r="CD260" s="304"/>
      <c r="CE260" s="304"/>
      <c r="CF260" s="304"/>
      <c r="CG260" s="304"/>
      <c r="CH260" s="304"/>
      <c r="CI260" s="304"/>
      <c r="CJ260" s="304"/>
      <c r="CK260" s="304"/>
      <c r="CL260" s="304"/>
      <c r="CM260" s="304"/>
      <c r="CN260" s="304"/>
      <c r="CO260" s="304"/>
      <c r="CP260" s="304"/>
    </row>
    <row r="261" spans="1:94" s="87" customFormat="1">
      <c r="A261" s="81"/>
      <c r="B261" s="83"/>
      <c r="C261" s="82"/>
      <c r="D261" s="102"/>
      <c r="E261" s="102"/>
      <c r="F261" s="102"/>
      <c r="G261" s="225"/>
      <c r="H261" s="102"/>
      <c r="I261" s="218"/>
      <c r="J261" s="102"/>
      <c r="K261" s="102" t="str">
        <f t="shared" si="26"/>
        <v/>
      </c>
      <c r="L261" s="221"/>
      <c r="M261" s="325"/>
      <c r="N261" s="94"/>
      <c r="O261" s="326"/>
      <c r="P261" s="84"/>
      <c r="Q261" s="88"/>
      <c r="R261" s="102">
        <f t="shared" ref="R261:R324" si="27">IFERROR(SUM(F261-D261),"NA")</f>
        <v>0</v>
      </c>
      <c r="S261" s="89"/>
      <c r="T261" s="100"/>
      <c r="U261" s="100"/>
      <c r="V261" s="100"/>
      <c r="W261" s="100"/>
      <c r="X261" s="100"/>
      <c r="Y261" s="83"/>
      <c r="Z261" s="304"/>
      <c r="AA261" s="304"/>
      <c r="AB261" s="304"/>
      <c r="AC261" s="304"/>
      <c r="AD261" s="304"/>
      <c r="AE261" s="304"/>
      <c r="AF261" s="304"/>
      <c r="AG261" s="304"/>
      <c r="AH261" s="304"/>
      <c r="AI261" s="304"/>
      <c r="AJ261" s="304"/>
      <c r="AK261" s="304"/>
      <c r="AL261" s="304"/>
      <c r="AM261" s="304"/>
      <c r="AN261" s="304"/>
      <c r="AO261" s="304"/>
      <c r="AP261" s="304"/>
      <c r="AQ261" s="304"/>
      <c r="AR261" s="304"/>
      <c r="AS261" s="304"/>
      <c r="AT261" s="304"/>
      <c r="AU261" s="304"/>
      <c r="AV261" s="304"/>
      <c r="AW261" s="304"/>
      <c r="AX261" s="304"/>
      <c r="AY261" s="304"/>
      <c r="AZ261" s="304"/>
      <c r="BA261" s="304"/>
      <c r="BB261" s="304"/>
      <c r="BC261" s="304"/>
      <c r="BD261" s="304"/>
      <c r="BE261" s="304"/>
      <c r="BF261" s="304"/>
      <c r="BG261" s="304"/>
      <c r="BH261" s="304"/>
      <c r="BI261" s="304"/>
      <c r="BJ261" s="304"/>
      <c r="BK261" s="304"/>
      <c r="BL261" s="304"/>
      <c r="BM261" s="304"/>
      <c r="BN261" s="304"/>
      <c r="BO261" s="304"/>
      <c r="BP261" s="304"/>
      <c r="BQ261" s="304"/>
      <c r="BR261" s="304"/>
      <c r="BS261" s="304"/>
      <c r="BT261" s="304"/>
      <c r="BU261" s="304"/>
      <c r="BV261" s="304"/>
      <c r="BW261" s="304"/>
      <c r="BX261" s="304"/>
      <c r="BY261" s="304"/>
      <c r="BZ261" s="304"/>
      <c r="CA261" s="304"/>
      <c r="CB261" s="304"/>
      <c r="CC261" s="304"/>
      <c r="CD261" s="304"/>
      <c r="CE261" s="304"/>
      <c r="CF261" s="304"/>
      <c r="CG261" s="304"/>
      <c r="CH261" s="304"/>
      <c r="CI261" s="304"/>
      <c r="CJ261" s="304"/>
      <c r="CK261" s="304"/>
      <c r="CL261" s="304"/>
      <c r="CM261" s="304"/>
      <c r="CN261" s="304"/>
      <c r="CO261" s="304"/>
      <c r="CP261" s="304"/>
    </row>
    <row r="262" spans="1:94" s="87" customFormat="1">
      <c r="A262" s="81"/>
      <c r="B262" s="83"/>
      <c r="C262" s="82"/>
      <c r="D262" s="102"/>
      <c r="E262" s="102"/>
      <c r="F262" s="102"/>
      <c r="G262" s="225"/>
      <c r="H262" s="102"/>
      <c r="I262" s="218"/>
      <c r="J262" s="102"/>
      <c r="K262" s="102" t="str">
        <f t="shared" si="26"/>
        <v/>
      </c>
      <c r="L262" s="221"/>
      <c r="M262" s="325"/>
      <c r="N262" s="94"/>
      <c r="O262" s="326"/>
      <c r="P262" s="84"/>
      <c r="Q262" s="88"/>
      <c r="R262" s="102">
        <f t="shared" si="27"/>
        <v>0</v>
      </c>
      <c r="S262" s="89"/>
      <c r="T262" s="100"/>
      <c r="U262" s="100"/>
      <c r="V262" s="100"/>
      <c r="W262" s="100"/>
      <c r="X262" s="100"/>
      <c r="Y262" s="83"/>
      <c r="Z262" s="304"/>
      <c r="AA262" s="304"/>
      <c r="AB262" s="304"/>
      <c r="AC262" s="304"/>
      <c r="AD262" s="304"/>
      <c r="AE262" s="304"/>
      <c r="AF262" s="304"/>
      <c r="AG262" s="304"/>
      <c r="AH262" s="304"/>
      <c r="AI262" s="304"/>
      <c r="AJ262" s="304"/>
      <c r="AK262" s="304"/>
      <c r="AL262" s="304"/>
      <c r="AM262" s="304"/>
      <c r="AN262" s="304"/>
      <c r="AO262" s="304"/>
      <c r="AP262" s="304"/>
      <c r="AQ262" s="304"/>
      <c r="AR262" s="304"/>
      <c r="AS262" s="304"/>
      <c r="AT262" s="304"/>
      <c r="AU262" s="304"/>
      <c r="AV262" s="304"/>
      <c r="AW262" s="304"/>
      <c r="AX262" s="304"/>
      <c r="AY262" s="304"/>
      <c r="AZ262" s="304"/>
      <c r="BA262" s="304"/>
      <c r="BB262" s="304"/>
      <c r="BC262" s="304"/>
      <c r="BD262" s="304"/>
      <c r="BE262" s="304"/>
      <c r="BF262" s="304"/>
      <c r="BG262" s="304"/>
      <c r="BH262" s="304"/>
      <c r="BI262" s="304"/>
      <c r="BJ262" s="304"/>
      <c r="BK262" s="304"/>
      <c r="BL262" s="304"/>
      <c r="BM262" s="304"/>
      <c r="BN262" s="304"/>
      <c r="BO262" s="304"/>
      <c r="BP262" s="304"/>
      <c r="BQ262" s="304"/>
      <c r="BR262" s="304"/>
      <c r="BS262" s="304"/>
      <c r="BT262" s="304"/>
      <c r="BU262" s="304"/>
      <c r="BV262" s="304"/>
      <c r="BW262" s="304"/>
      <c r="BX262" s="304"/>
      <c r="BY262" s="304"/>
      <c r="BZ262" s="304"/>
      <c r="CA262" s="304"/>
      <c r="CB262" s="304"/>
      <c r="CC262" s="304"/>
      <c r="CD262" s="304"/>
      <c r="CE262" s="304"/>
      <c r="CF262" s="304"/>
      <c r="CG262" s="304"/>
      <c r="CH262" s="304"/>
      <c r="CI262" s="304"/>
      <c r="CJ262" s="304"/>
      <c r="CK262" s="304"/>
      <c r="CL262" s="304"/>
      <c r="CM262" s="304"/>
      <c r="CN262" s="304"/>
      <c r="CO262" s="304"/>
      <c r="CP262" s="304"/>
    </row>
    <row r="263" spans="1:94" s="87" customFormat="1">
      <c r="A263" s="81"/>
      <c r="B263" s="83"/>
      <c r="C263" s="82"/>
      <c r="D263" s="102"/>
      <c r="E263" s="102"/>
      <c r="F263" s="102"/>
      <c r="G263" s="225"/>
      <c r="H263" s="102"/>
      <c r="I263" s="218"/>
      <c r="J263" s="102"/>
      <c r="K263" s="102" t="str">
        <f t="shared" si="26"/>
        <v/>
      </c>
      <c r="L263" s="221"/>
      <c r="M263" s="325"/>
      <c r="N263" s="94"/>
      <c r="O263" s="326"/>
      <c r="P263" s="84"/>
      <c r="Q263" s="88"/>
      <c r="R263" s="102">
        <f t="shared" si="27"/>
        <v>0</v>
      </c>
      <c r="S263" s="89"/>
      <c r="T263" s="100"/>
      <c r="U263" s="100"/>
      <c r="V263" s="100"/>
      <c r="W263" s="100"/>
      <c r="X263" s="100"/>
      <c r="Y263" s="83"/>
      <c r="Z263" s="304"/>
      <c r="AA263" s="304"/>
      <c r="AB263" s="304"/>
      <c r="AC263" s="304"/>
      <c r="AD263" s="304"/>
      <c r="AE263" s="304"/>
      <c r="AF263" s="304"/>
      <c r="AG263" s="304"/>
      <c r="AH263" s="304"/>
      <c r="AI263" s="304"/>
      <c r="AJ263" s="304"/>
      <c r="AK263" s="304"/>
      <c r="AL263" s="304"/>
      <c r="AM263" s="304"/>
      <c r="AN263" s="304"/>
      <c r="AO263" s="304"/>
      <c r="AP263" s="304"/>
      <c r="AQ263" s="304"/>
      <c r="AR263" s="304"/>
      <c r="AS263" s="304"/>
      <c r="AT263" s="304"/>
      <c r="AU263" s="304"/>
      <c r="AV263" s="304"/>
      <c r="AW263" s="304"/>
      <c r="AX263" s="304"/>
      <c r="AY263" s="304"/>
      <c r="AZ263" s="304"/>
      <c r="BA263" s="304"/>
      <c r="BB263" s="304"/>
      <c r="BC263" s="304"/>
      <c r="BD263" s="304"/>
      <c r="BE263" s="304"/>
      <c r="BF263" s="304"/>
      <c r="BG263" s="304"/>
      <c r="BH263" s="304"/>
      <c r="BI263" s="304"/>
      <c r="BJ263" s="304"/>
      <c r="BK263" s="304"/>
      <c r="BL263" s="304"/>
      <c r="BM263" s="304"/>
      <c r="BN263" s="304"/>
      <c r="BO263" s="304"/>
      <c r="BP263" s="304"/>
      <c r="BQ263" s="304"/>
      <c r="BR263" s="304"/>
      <c r="BS263" s="304"/>
      <c r="BT263" s="304"/>
      <c r="BU263" s="304"/>
      <c r="BV263" s="304"/>
      <c r="BW263" s="304"/>
      <c r="BX263" s="304"/>
      <c r="BY263" s="304"/>
      <c r="BZ263" s="304"/>
      <c r="CA263" s="304"/>
      <c r="CB263" s="304"/>
      <c r="CC263" s="304"/>
      <c r="CD263" s="304"/>
      <c r="CE263" s="304"/>
      <c r="CF263" s="304"/>
      <c r="CG263" s="304"/>
      <c r="CH263" s="304"/>
      <c r="CI263" s="304"/>
      <c r="CJ263" s="304"/>
      <c r="CK263" s="304"/>
      <c r="CL263" s="304"/>
      <c r="CM263" s="304"/>
      <c r="CN263" s="304"/>
      <c r="CO263" s="304"/>
      <c r="CP263" s="304"/>
    </row>
    <row r="264" spans="1:94" s="87" customFormat="1">
      <c r="A264" s="81"/>
      <c r="B264" s="83"/>
      <c r="C264" s="82"/>
      <c r="D264" s="102"/>
      <c r="E264" s="102"/>
      <c r="F264" s="102"/>
      <c r="G264" s="225"/>
      <c r="H264" s="102"/>
      <c r="I264" s="218"/>
      <c r="J264" s="102"/>
      <c r="K264" s="102" t="str">
        <f t="shared" si="26"/>
        <v/>
      </c>
      <c r="L264" s="221"/>
      <c r="M264" s="325"/>
      <c r="N264" s="94"/>
      <c r="O264" s="326"/>
      <c r="P264" s="84"/>
      <c r="Q264" s="88"/>
      <c r="R264" s="102">
        <f t="shared" si="27"/>
        <v>0</v>
      </c>
      <c r="S264" s="89"/>
      <c r="T264" s="100"/>
      <c r="U264" s="100"/>
      <c r="V264" s="100"/>
      <c r="W264" s="100"/>
      <c r="X264" s="100"/>
      <c r="Y264" s="83"/>
      <c r="Z264" s="304"/>
      <c r="AA264" s="304"/>
      <c r="AB264" s="304"/>
      <c r="AC264" s="304"/>
      <c r="AD264" s="304"/>
      <c r="AE264" s="304"/>
      <c r="AF264" s="304"/>
      <c r="AG264" s="304"/>
      <c r="AH264" s="304"/>
      <c r="AI264" s="304"/>
      <c r="AJ264" s="304"/>
      <c r="AK264" s="304"/>
      <c r="AL264" s="304"/>
      <c r="AM264" s="304"/>
      <c r="AN264" s="304"/>
      <c r="AO264" s="304"/>
      <c r="AP264" s="304"/>
      <c r="AQ264" s="304"/>
      <c r="AR264" s="304"/>
      <c r="AS264" s="304"/>
      <c r="AT264" s="304"/>
      <c r="AU264" s="304"/>
      <c r="AV264" s="304"/>
      <c r="AW264" s="304"/>
      <c r="AX264" s="304"/>
      <c r="AY264" s="304"/>
      <c r="AZ264" s="304"/>
      <c r="BA264" s="304"/>
      <c r="BB264" s="304"/>
      <c r="BC264" s="304"/>
      <c r="BD264" s="304"/>
      <c r="BE264" s="304"/>
      <c r="BF264" s="304"/>
      <c r="BG264" s="304"/>
      <c r="BH264" s="304"/>
      <c r="BI264" s="304"/>
      <c r="BJ264" s="304"/>
      <c r="BK264" s="304"/>
      <c r="BL264" s="304"/>
      <c r="BM264" s="304"/>
      <c r="BN264" s="304"/>
      <c r="BO264" s="304"/>
      <c r="BP264" s="304"/>
      <c r="BQ264" s="304"/>
      <c r="BR264" s="304"/>
      <c r="BS264" s="304"/>
      <c r="BT264" s="304"/>
      <c r="BU264" s="304"/>
      <c r="BV264" s="304"/>
      <c r="BW264" s="304"/>
      <c r="BX264" s="304"/>
      <c r="BY264" s="304"/>
      <c r="BZ264" s="304"/>
      <c r="CA264" s="304"/>
      <c r="CB264" s="304"/>
      <c r="CC264" s="304"/>
      <c r="CD264" s="304"/>
      <c r="CE264" s="304"/>
      <c r="CF264" s="304"/>
      <c r="CG264" s="304"/>
      <c r="CH264" s="304"/>
      <c r="CI264" s="304"/>
      <c r="CJ264" s="304"/>
      <c r="CK264" s="304"/>
      <c r="CL264" s="304"/>
      <c r="CM264" s="304"/>
      <c r="CN264" s="304"/>
      <c r="CO264" s="304"/>
      <c r="CP264" s="304"/>
    </row>
    <row r="265" spans="1:94" s="87" customFormat="1">
      <c r="A265" s="81"/>
      <c r="B265" s="83"/>
      <c r="C265" s="82"/>
      <c r="D265" s="102"/>
      <c r="E265" s="102"/>
      <c r="F265" s="102"/>
      <c r="G265" s="225"/>
      <c r="H265" s="102"/>
      <c r="I265" s="218"/>
      <c r="J265" s="102"/>
      <c r="K265" s="102" t="str">
        <f t="shared" si="26"/>
        <v/>
      </c>
      <c r="L265" s="221"/>
      <c r="M265" s="325"/>
      <c r="N265" s="94"/>
      <c r="O265" s="326"/>
      <c r="P265" s="84"/>
      <c r="Q265" s="88"/>
      <c r="R265" s="102">
        <f t="shared" si="27"/>
        <v>0</v>
      </c>
      <c r="S265" s="89"/>
      <c r="T265" s="100"/>
      <c r="U265" s="100"/>
      <c r="V265" s="100"/>
      <c r="W265" s="100"/>
      <c r="X265" s="100"/>
      <c r="Y265" s="83"/>
      <c r="Z265" s="304"/>
      <c r="AA265" s="304"/>
      <c r="AB265" s="304"/>
      <c r="AC265" s="304"/>
      <c r="AD265" s="304"/>
      <c r="AE265" s="304"/>
      <c r="AF265" s="304"/>
      <c r="AG265" s="304"/>
      <c r="AH265" s="304"/>
      <c r="AI265" s="304"/>
      <c r="AJ265" s="304"/>
      <c r="AK265" s="304"/>
      <c r="AL265" s="304"/>
      <c r="AM265" s="304"/>
      <c r="AN265" s="304"/>
      <c r="AO265" s="304"/>
      <c r="AP265" s="304"/>
      <c r="AQ265" s="304"/>
      <c r="AR265" s="304"/>
      <c r="AS265" s="304"/>
      <c r="AT265" s="304"/>
      <c r="AU265" s="304"/>
      <c r="AV265" s="304"/>
      <c r="AW265" s="304"/>
      <c r="AX265" s="304"/>
      <c r="AY265" s="304"/>
      <c r="AZ265" s="304"/>
      <c r="BA265" s="304"/>
      <c r="BB265" s="304"/>
      <c r="BC265" s="304"/>
      <c r="BD265" s="304"/>
      <c r="BE265" s="304"/>
      <c r="BF265" s="304"/>
      <c r="BG265" s="304"/>
      <c r="BH265" s="304"/>
      <c r="BI265" s="304"/>
      <c r="BJ265" s="304"/>
      <c r="BK265" s="304"/>
      <c r="BL265" s="304"/>
      <c r="BM265" s="304"/>
      <c r="BN265" s="304"/>
      <c r="BO265" s="304"/>
      <c r="BP265" s="304"/>
      <c r="BQ265" s="304"/>
      <c r="BR265" s="304"/>
      <c r="BS265" s="304"/>
      <c r="BT265" s="304"/>
      <c r="BU265" s="304"/>
      <c r="BV265" s="304"/>
      <c r="BW265" s="304"/>
      <c r="BX265" s="304"/>
      <c r="BY265" s="304"/>
      <c r="BZ265" s="304"/>
      <c r="CA265" s="304"/>
      <c r="CB265" s="304"/>
      <c r="CC265" s="304"/>
      <c r="CD265" s="304"/>
      <c r="CE265" s="304"/>
      <c r="CF265" s="304"/>
      <c r="CG265" s="304"/>
      <c r="CH265" s="304"/>
      <c r="CI265" s="304"/>
      <c r="CJ265" s="304"/>
      <c r="CK265" s="304"/>
      <c r="CL265" s="304"/>
      <c r="CM265" s="304"/>
      <c r="CN265" s="304"/>
      <c r="CO265" s="304"/>
      <c r="CP265" s="304"/>
    </row>
    <row r="266" spans="1:94" s="87" customFormat="1">
      <c r="A266" s="81"/>
      <c r="B266" s="83"/>
      <c r="C266" s="82"/>
      <c r="D266" s="102"/>
      <c r="E266" s="102"/>
      <c r="F266" s="102"/>
      <c r="G266" s="225"/>
      <c r="H266" s="102"/>
      <c r="I266" s="218"/>
      <c r="J266" s="102"/>
      <c r="K266" s="102" t="str">
        <f t="shared" ref="K266:K329" si="28">IF(RIGHT(IF(LEFT(SUBSTITUTE(SUBSTITUTE(IF(ISERROR(LEFT(SUBSTITUTE(SUBSTITUTE(C266,"(",""),")",""),1)*1),SUBSTITUTE(SUBSTITUTE(C266,"(",""),")",""),SUBSTITUTE(SUBSTITUTE(SUBSTITUTE(C266,"(",""),")",""),"_","",1)),"00",""),"_0","_"),1)="0",RIGHT(SUBSTITUTE(SUBSTITUTE(IF(ISERROR(LEFT(SUBSTITUTE(SUBSTITUTE(C266,"(",""),")",""),1)*1),SUBSTITUTE(SUBSTITUTE(C266,"(",""),")",""),SUBSTITUTE(SUBSTITUTE(SUBSTITUTE(C266,"(",""),")",""),"_","",1)),"00",""),"_0","_"),LEN(SUBSTITUTE(SUBSTITUTE(IF(ISERROR(LEFT(SUBSTITUTE(SUBSTITUTE(C266,"(",""),")",""),1)*1),SUBSTITUTE(SUBSTITUTE(C266,"(",""),")",""),SUBSTITUTE(SUBSTITUTE(SUBSTITUTE(C266,"(",""),")",""),"_","",1)),"00",""),"_0","_"))-1),SUBSTITUTE(SUBSTITUTE(IF(ISERROR(LEFT(SUBSTITUTE(SUBSTITUTE(C266,"(",""),")",""),1)*1),SUBSTITUTE(SUBSTITUTE(C266,"(",""),")",""),SUBSTITUTE(SUBSTITUTE(SUBSTITUTE(C266,"(",""),")",""),"_","",1)),"00",""),"_0","_")),1)="_",LEFT(IF(LEFT(SUBSTITUTE(SUBSTITUTE(IF(ISERROR(LEFT(SUBSTITUTE(SUBSTITUTE(C266,"(",""),")",""),1)*1),SUBSTITUTE(SUBSTITUTE(C266,"(",""),")",""),SUBSTITUTE(SUBSTITUTE(SUBSTITUTE(C266,"(",""),")",""),"_","",1)),"00",""),"_0","_"),1)="0",RIGHT(SUBSTITUTE(SUBSTITUTE(IF(ISERROR(LEFT(SUBSTITUTE(SUBSTITUTE(C266,"(",""),")",""),1)*1),SUBSTITUTE(SUBSTITUTE(C266,"(",""),")",""),SUBSTITUTE(SUBSTITUTE(SUBSTITUTE(C266,"(",""),")",""),"_","",1)),"00",""),"_0","_"),LEN(SUBSTITUTE(SUBSTITUTE(IF(ISERROR(LEFT(SUBSTITUTE(SUBSTITUTE(C266,"(",""),")",""),1)*1),SUBSTITUTE(SUBSTITUTE(C266,"(",""),")",""),SUBSTITUTE(SUBSTITUTE(SUBSTITUTE(C266,"(",""),")",""),"_","",1)),"00",""),"_0","_"))-1),SUBSTITUTE(SUBSTITUTE(IF(ISERROR(LEFT(SUBSTITUTE(SUBSTITUTE(C266,"(",""),")",""),1)*1),SUBSTITUTE(SUBSTITUTE(C266,"(",""),")",""),SUBSTITUTE(SUBSTITUTE(SUBSTITUTE(C266,"(",""),")",""),"_","",1)),"00",""),"_0","_")),LEN(IF(LEFT(SUBSTITUTE(SUBSTITUTE(IF(ISERROR(LEFT(SUBSTITUTE(SUBSTITUTE(C266,"(",""),")",""),1)*1),SUBSTITUTE(SUBSTITUTE(C266,"(",""),")",""),SUBSTITUTE(SUBSTITUTE(SUBSTITUTE(C266,"(",""),")",""),"_","",1)),"00",""),"_0","_"),1)="0",RIGHT(SUBSTITUTE(SUBSTITUTE(IF(ISERROR(LEFT(SUBSTITUTE(SUBSTITUTE(C266,"(",""),")",""),1)*1),SUBSTITUTE(SUBSTITUTE(C266,"(",""),")",""),SUBSTITUTE(SUBSTITUTE(SUBSTITUTE(C266,"(",""),")",""),"_","",1)),"00",""),"_0","_"),LEN(SUBSTITUTE(SUBSTITUTE(IF(ISERROR(LEFT(SUBSTITUTE(SUBSTITUTE(C266,"(",""),")",""),1)*1),SUBSTITUTE(SUBSTITUTE(C266,"(",""),")",""),SUBSTITUTE(SUBSTITUTE(SUBSTITUTE(C266,"(",""),")",""),"_","",1)),"00",""),"_0","_"))-1),SUBSTITUTE(SUBSTITUTE(IF(ISERROR(LEFT(SUBSTITUTE(SUBSTITUTE(C266,"(",""),")",""),1)*1),SUBSTITUTE(SUBSTITUTE(C266,"(",""),")",""),SUBSTITUTE(SUBSTITUTE(SUBSTITUTE(C266,"(",""),")",""),"_","",1)),"00",""),"_0","_")))-1),IF(LEFT(SUBSTITUTE(SUBSTITUTE(IF(ISERROR(LEFT(SUBSTITUTE(SUBSTITUTE(C266,"(",""),")",""),1)*1),SUBSTITUTE(SUBSTITUTE(C266,"(",""),")",""),SUBSTITUTE(SUBSTITUTE(SUBSTITUTE(C266,"(",""),")",""),"_","",1)),"00",""),"_0","_"),1)="0",RIGHT(SUBSTITUTE(SUBSTITUTE(IF(ISERROR(LEFT(SUBSTITUTE(SUBSTITUTE(C266,"(",""),")",""),1)*1),SUBSTITUTE(SUBSTITUTE(C266,"(",""),")",""),SUBSTITUTE(SUBSTITUTE(SUBSTITUTE(C266,"(",""),")",""),"_","",1)),"00",""),"_0","_"),LEN(SUBSTITUTE(SUBSTITUTE(IF(ISERROR(LEFT(SUBSTITUTE(SUBSTITUTE(C266,"(",""),")",""),1)*1),SUBSTITUTE(SUBSTITUTE(C266,"(",""),")",""),SUBSTITUTE(SUBSTITUTE(SUBSTITUTE(C266,"(",""),")",""),"_","",1)),"00",""),"_0","_"))-1),SUBSTITUTE(SUBSTITUTE(IF(ISERROR(LEFT(SUBSTITUTE(SUBSTITUTE(C266,"(",""),")",""),1)*1),SUBSTITUTE(SUBSTITUTE(C266,"(",""),")",""),SUBSTITUTE(SUBSTITUTE(SUBSTITUTE(C266,"(",""),")",""),"_","",1)),"00",""),"_0","_")))</f>
        <v/>
      </c>
      <c r="L266" s="221"/>
      <c r="M266" s="325"/>
      <c r="N266" s="94"/>
      <c r="O266" s="326"/>
      <c r="P266" s="84"/>
      <c r="Q266" s="88"/>
      <c r="R266" s="102">
        <f t="shared" si="27"/>
        <v>0</v>
      </c>
      <c r="S266" s="89"/>
      <c r="T266" s="100"/>
      <c r="U266" s="100"/>
      <c r="V266" s="100"/>
      <c r="W266" s="100"/>
      <c r="X266" s="100"/>
      <c r="Y266" s="83"/>
      <c r="Z266" s="304"/>
      <c r="AA266" s="304"/>
      <c r="AB266" s="304"/>
      <c r="AC266" s="304"/>
      <c r="AD266" s="304"/>
      <c r="AE266" s="304"/>
      <c r="AF266" s="304"/>
      <c r="AG266" s="304"/>
      <c r="AH266" s="304"/>
      <c r="AI266" s="304"/>
      <c r="AJ266" s="304"/>
      <c r="AK266" s="304"/>
      <c r="AL266" s="304"/>
      <c r="AM266" s="304"/>
      <c r="AN266" s="304"/>
      <c r="AO266" s="304"/>
      <c r="AP266" s="304"/>
      <c r="AQ266" s="304"/>
      <c r="AR266" s="304"/>
      <c r="AS266" s="304"/>
      <c r="AT266" s="304"/>
      <c r="AU266" s="304"/>
      <c r="AV266" s="304"/>
      <c r="AW266" s="304"/>
      <c r="AX266" s="304"/>
      <c r="AY266" s="304"/>
      <c r="AZ266" s="304"/>
      <c r="BA266" s="304"/>
      <c r="BB266" s="304"/>
      <c r="BC266" s="304"/>
      <c r="BD266" s="304"/>
      <c r="BE266" s="304"/>
      <c r="BF266" s="304"/>
      <c r="BG266" s="304"/>
      <c r="BH266" s="304"/>
      <c r="BI266" s="304"/>
      <c r="BJ266" s="304"/>
      <c r="BK266" s="304"/>
      <c r="BL266" s="304"/>
      <c r="BM266" s="304"/>
      <c r="BN266" s="304"/>
      <c r="BO266" s="304"/>
      <c r="BP266" s="304"/>
      <c r="BQ266" s="304"/>
      <c r="BR266" s="304"/>
      <c r="BS266" s="304"/>
      <c r="BT266" s="304"/>
      <c r="BU266" s="304"/>
      <c r="BV266" s="304"/>
      <c r="BW266" s="304"/>
      <c r="BX266" s="304"/>
      <c r="BY266" s="304"/>
      <c r="BZ266" s="304"/>
      <c r="CA266" s="304"/>
      <c r="CB266" s="304"/>
      <c r="CC266" s="304"/>
      <c r="CD266" s="304"/>
      <c r="CE266" s="304"/>
      <c r="CF266" s="304"/>
      <c r="CG266" s="304"/>
      <c r="CH266" s="304"/>
      <c r="CI266" s="304"/>
      <c r="CJ266" s="304"/>
      <c r="CK266" s="304"/>
      <c r="CL266" s="304"/>
      <c r="CM266" s="304"/>
      <c r="CN266" s="304"/>
      <c r="CO266" s="304"/>
      <c r="CP266" s="304"/>
    </row>
    <row r="267" spans="1:94" s="87" customFormat="1">
      <c r="A267" s="81"/>
      <c r="B267" s="83"/>
      <c r="C267" s="82"/>
      <c r="D267" s="102"/>
      <c r="E267" s="102"/>
      <c r="F267" s="102"/>
      <c r="G267" s="225"/>
      <c r="H267" s="102"/>
      <c r="I267" s="218"/>
      <c r="J267" s="102"/>
      <c r="K267" s="102" t="str">
        <f t="shared" si="28"/>
        <v/>
      </c>
      <c r="L267" s="221"/>
      <c r="M267" s="325"/>
      <c r="N267" s="94"/>
      <c r="O267" s="326"/>
      <c r="P267" s="84"/>
      <c r="Q267" s="88"/>
      <c r="R267" s="102">
        <f t="shared" si="27"/>
        <v>0</v>
      </c>
      <c r="S267" s="89"/>
      <c r="T267" s="100"/>
      <c r="U267" s="100"/>
      <c r="V267" s="100"/>
      <c r="W267" s="100"/>
      <c r="X267" s="100"/>
      <c r="Y267" s="83"/>
      <c r="Z267" s="304"/>
      <c r="AA267" s="304"/>
      <c r="AB267" s="304"/>
      <c r="AC267" s="304"/>
      <c r="AD267" s="304"/>
      <c r="AE267" s="304"/>
      <c r="AF267" s="304"/>
      <c r="AG267" s="304"/>
      <c r="AH267" s="304"/>
      <c r="AI267" s="304"/>
      <c r="AJ267" s="304"/>
      <c r="AK267" s="304"/>
      <c r="AL267" s="304"/>
      <c r="AM267" s="304"/>
      <c r="AN267" s="304"/>
      <c r="AO267" s="304"/>
      <c r="AP267" s="304"/>
      <c r="AQ267" s="304"/>
      <c r="AR267" s="304"/>
      <c r="AS267" s="304"/>
      <c r="AT267" s="304"/>
      <c r="AU267" s="304"/>
      <c r="AV267" s="304"/>
      <c r="AW267" s="304"/>
      <c r="AX267" s="304"/>
      <c r="AY267" s="304"/>
      <c r="AZ267" s="304"/>
      <c r="BA267" s="304"/>
      <c r="BB267" s="304"/>
      <c r="BC267" s="304"/>
      <c r="BD267" s="304"/>
      <c r="BE267" s="304"/>
      <c r="BF267" s="304"/>
      <c r="BG267" s="304"/>
      <c r="BH267" s="304"/>
      <c r="BI267" s="304"/>
      <c r="BJ267" s="304"/>
      <c r="BK267" s="304"/>
      <c r="BL267" s="304"/>
      <c r="BM267" s="304"/>
      <c r="BN267" s="304"/>
      <c r="BO267" s="304"/>
      <c r="BP267" s="304"/>
      <c r="BQ267" s="304"/>
      <c r="BR267" s="304"/>
      <c r="BS267" s="304"/>
      <c r="BT267" s="304"/>
      <c r="BU267" s="304"/>
      <c r="BV267" s="304"/>
      <c r="BW267" s="304"/>
      <c r="BX267" s="304"/>
      <c r="BY267" s="304"/>
      <c r="BZ267" s="304"/>
      <c r="CA267" s="304"/>
      <c r="CB267" s="304"/>
      <c r="CC267" s="304"/>
      <c r="CD267" s="304"/>
      <c r="CE267" s="304"/>
      <c r="CF267" s="304"/>
      <c r="CG267" s="304"/>
      <c r="CH267" s="304"/>
      <c r="CI267" s="304"/>
      <c r="CJ267" s="304"/>
      <c r="CK267" s="304"/>
      <c r="CL267" s="304"/>
      <c r="CM267" s="304"/>
      <c r="CN267" s="304"/>
      <c r="CO267" s="304"/>
      <c r="CP267" s="304"/>
    </row>
    <row r="268" spans="1:94" s="87" customFormat="1">
      <c r="A268" s="81"/>
      <c r="B268" s="83"/>
      <c r="C268" s="82"/>
      <c r="D268" s="102"/>
      <c r="E268" s="102"/>
      <c r="F268" s="102"/>
      <c r="G268" s="225"/>
      <c r="H268" s="102"/>
      <c r="I268" s="218"/>
      <c r="J268" s="102"/>
      <c r="K268" s="102" t="str">
        <f t="shared" si="28"/>
        <v/>
      </c>
      <c r="L268" s="221"/>
      <c r="M268" s="325"/>
      <c r="N268" s="94"/>
      <c r="O268" s="326"/>
      <c r="P268" s="84"/>
      <c r="Q268" s="88"/>
      <c r="R268" s="102">
        <f t="shared" si="27"/>
        <v>0</v>
      </c>
      <c r="S268" s="89"/>
      <c r="T268" s="100"/>
      <c r="U268" s="100"/>
      <c r="V268" s="100"/>
      <c r="W268" s="100"/>
      <c r="X268" s="100"/>
      <c r="Y268" s="83"/>
      <c r="Z268" s="304"/>
      <c r="AA268" s="304"/>
      <c r="AB268" s="304"/>
      <c r="AC268" s="304"/>
      <c r="AD268" s="304"/>
      <c r="AE268" s="304"/>
      <c r="AF268" s="304"/>
      <c r="AG268" s="304"/>
      <c r="AH268" s="304"/>
      <c r="AI268" s="304"/>
      <c r="AJ268" s="304"/>
      <c r="AK268" s="304"/>
      <c r="AL268" s="304"/>
      <c r="AM268" s="304"/>
      <c r="AN268" s="304"/>
      <c r="AO268" s="304"/>
      <c r="AP268" s="304"/>
      <c r="AQ268" s="304"/>
      <c r="AR268" s="304"/>
      <c r="AS268" s="304"/>
      <c r="AT268" s="304"/>
      <c r="AU268" s="304"/>
      <c r="AV268" s="304"/>
      <c r="AW268" s="304"/>
      <c r="AX268" s="304"/>
      <c r="AY268" s="304"/>
      <c r="AZ268" s="304"/>
      <c r="BA268" s="304"/>
      <c r="BB268" s="304"/>
      <c r="BC268" s="304"/>
      <c r="BD268" s="304"/>
      <c r="BE268" s="304"/>
      <c r="BF268" s="304"/>
      <c r="BG268" s="304"/>
      <c r="BH268" s="304"/>
      <c r="BI268" s="304"/>
      <c r="BJ268" s="304"/>
      <c r="BK268" s="304"/>
      <c r="BL268" s="304"/>
      <c r="BM268" s="304"/>
      <c r="BN268" s="304"/>
      <c r="BO268" s="304"/>
      <c r="BP268" s="304"/>
      <c r="BQ268" s="304"/>
      <c r="BR268" s="304"/>
      <c r="BS268" s="304"/>
      <c r="BT268" s="304"/>
      <c r="BU268" s="304"/>
      <c r="BV268" s="304"/>
      <c r="BW268" s="304"/>
      <c r="BX268" s="304"/>
      <c r="BY268" s="304"/>
      <c r="BZ268" s="304"/>
      <c r="CA268" s="304"/>
      <c r="CB268" s="304"/>
      <c r="CC268" s="304"/>
      <c r="CD268" s="304"/>
      <c r="CE268" s="304"/>
      <c r="CF268" s="304"/>
      <c r="CG268" s="304"/>
      <c r="CH268" s="304"/>
      <c r="CI268" s="304"/>
      <c r="CJ268" s="304"/>
      <c r="CK268" s="304"/>
      <c r="CL268" s="304"/>
      <c r="CM268" s="304"/>
      <c r="CN268" s="304"/>
      <c r="CO268" s="304"/>
      <c r="CP268" s="304"/>
    </row>
    <row r="269" spans="1:94" s="87" customFormat="1">
      <c r="A269" s="81"/>
      <c r="B269" s="83"/>
      <c r="C269" s="82"/>
      <c r="D269" s="102"/>
      <c r="E269" s="102"/>
      <c r="F269" s="102"/>
      <c r="G269" s="225"/>
      <c r="H269" s="102"/>
      <c r="I269" s="218"/>
      <c r="J269" s="102"/>
      <c r="K269" s="102" t="str">
        <f t="shared" si="28"/>
        <v/>
      </c>
      <c r="L269" s="221"/>
      <c r="M269" s="325"/>
      <c r="N269" s="94"/>
      <c r="O269" s="326"/>
      <c r="P269" s="84"/>
      <c r="Q269" s="88"/>
      <c r="R269" s="102">
        <f t="shared" si="27"/>
        <v>0</v>
      </c>
      <c r="S269" s="89"/>
      <c r="T269" s="100"/>
      <c r="U269" s="100"/>
      <c r="V269" s="100"/>
      <c r="W269" s="100"/>
      <c r="X269" s="100"/>
      <c r="Y269" s="83"/>
      <c r="Z269" s="304"/>
      <c r="AA269" s="304"/>
      <c r="AB269" s="304"/>
      <c r="AC269" s="304"/>
      <c r="AD269" s="304"/>
      <c r="AE269" s="304"/>
      <c r="AF269" s="304"/>
      <c r="AG269" s="304"/>
      <c r="AH269" s="304"/>
      <c r="AI269" s="304"/>
      <c r="AJ269" s="304"/>
      <c r="AK269" s="304"/>
      <c r="AL269" s="304"/>
      <c r="AM269" s="304"/>
      <c r="AN269" s="304"/>
      <c r="AO269" s="304"/>
      <c r="AP269" s="304"/>
      <c r="AQ269" s="304"/>
      <c r="AR269" s="304"/>
      <c r="AS269" s="304"/>
      <c r="AT269" s="304"/>
      <c r="AU269" s="304"/>
      <c r="AV269" s="304"/>
      <c r="AW269" s="304"/>
      <c r="AX269" s="304"/>
      <c r="AY269" s="304"/>
      <c r="AZ269" s="304"/>
      <c r="BA269" s="304"/>
      <c r="BB269" s="304"/>
      <c r="BC269" s="304"/>
      <c r="BD269" s="304"/>
      <c r="BE269" s="304"/>
      <c r="BF269" s="304"/>
      <c r="BG269" s="304"/>
      <c r="BH269" s="304"/>
      <c r="BI269" s="304"/>
      <c r="BJ269" s="304"/>
      <c r="BK269" s="304"/>
      <c r="BL269" s="304"/>
      <c r="BM269" s="304"/>
      <c r="BN269" s="304"/>
      <c r="BO269" s="304"/>
      <c r="BP269" s="304"/>
      <c r="BQ269" s="304"/>
      <c r="BR269" s="304"/>
      <c r="BS269" s="304"/>
      <c r="BT269" s="304"/>
      <c r="BU269" s="304"/>
      <c r="BV269" s="304"/>
      <c r="BW269" s="304"/>
      <c r="BX269" s="304"/>
      <c r="BY269" s="304"/>
      <c r="BZ269" s="304"/>
      <c r="CA269" s="304"/>
      <c r="CB269" s="304"/>
      <c r="CC269" s="304"/>
      <c r="CD269" s="304"/>
      <c r="CE269" s="304"/>
      <c r="CF269" s="304"/>
      <c r="CG269" s="304"/>
      <c r="CH269" s="304"/>
      <c r="CI269" s="304"/>
      <c r="CJ269" s="304"/>
      <c r="CK269" s="304"/>
      <c r="CL269" s="304"/>
      <c r="CM269" s="304"/>
      <c r="CN269" s="304"/>
      <c r="CO269" s="304"/>
      <c r="CP269" s="304"/>
    </row>
    <row r="270" spans="1:94" s="87" customFormat="1">
      <c r="A270" s="81"/>
      <c r="B270" s="83"/>
      <c r="C270" s="82"/>
      <c r="D270" s="102"/>
      <c r="E270" s="102"/>
      <c r="F270" s="102"/>
      <c r="G270" s="225"/>
      <c r="H270" s="102"/>
      <c r="I270" s="218"/>
      <c r="J270" s="102"/>
      <c r="K270" s="102" t="str">
        <f t="shared" si="28"/>
        <v/>
      </c>
      <c r="L270" s="221"/>
      <c r="M270" s="325"/>
      <c r="N270" s="94"/>
      <c r="O270" s="326"/>
      <c r="P270" s="84"/>
      <c r="Q270" s="88"/>
      <c r="R270" s="102">
        <f t="shared" si="27"/>
        <v>0</v>
      </c>
      <c r="S270" s="89"/>
      <c r="T270" s="100"/>
      <c r="U270" s="100"/>
      <c r="V270" s="100"/>
      <c r="W270" s="100"/>
      <c r="X270" s="100"/>
      <c r="Y270" s="83"/>
      <c r="Z270" s="304"/>
      <c r="AA270" s="304"/>
      <c r="AB270" s="304"/>
      <c r="AC270" s="304"/>
      <c r="AD270" s="304"/>
      <c r="AE270" s="304"/>
      <c r="AF270" s="304"/>
      <c r="AG270" s="304"/>
      <c r="AH270" s="304"/>
      <c r="AI270" s="304"/>
      <c r="AJ270" s="304"/>
      <c r="AK270" s="304"/>
      <c r="AL270" s="304"/>
      <c r="AM270" s="304"/>
      <c r="AN270" s="304"/>
      <c r="AO270" s="304"/>
      <c r="AP270" s="304"/>
      <c r="AQ270" s="304"/>
      <c r="AR270" s="304"/>
      <c r="AS270" s="304"/>
      <c r="AT270" s="304"/>
      <c r="AU270" s="304"/>
      <c r="AV270" s="304"/>
      <c r="AW270" s="304"/>
      <c r="AX270" s="304"/>
      <c r="AY270" s="304"/>
      <c r="AZ270" s="304"/>
      <c r="BA270" s="304"/>
      <c r="BB270" s="304"/>
      <c r="BC270" s="304"/>
      <c r="BD270" s="304"/>
      <c r="BE270" s="304"/>
      <c r="BF270" s="304"/>
      <c r="BG270" s="304"/>
      <c r="BH270" s="304"/>
      <c r="BI270" s="304"/>
      <c r="BJ270" s="304"/>
      <c r="BK270" s="304"/>
      <c r="BL270" s="304"/>
      <c r="BM270" s="304"/>
      <c r="BN270" s="304"/>
      <c r="BO270" s="304"/>
      <c r="BP270" s="304"/>
      <c r="BQ270" s="304"/>
      <c r="BR270" s="304"/>
      <c r="BS270" s="304"/>
      <c r="BT270" s="304"/>
      <c r="BU270" s="304"/>
      <c r="BV270" s="304"/>
      <c r="BW270" s="304"/>
      <c r="BX270" s="304"/>
      <c r="BY270" s="304"/>
      <c r="BZ270" s="304"/>
      <c r="CA270" s="304"/>
      <c r="CB270" s="304"/>
      <c r="CC270" s="304"/>
      <c r="CD270" s="304"/>
      <c r="CE270" s="304"/>
      <c r="CF270" s="304"/>
      <c r="CG270" s="304"/>
      <c r="CH270" s="304"/>
      <c r="CI270" s="304"/>
      <c r="CJ270" s="304"/>
      <c r="CK270" s="304"/>
      <c r="CL270" s="304"/>
      <c r="CM270" s="304"/>
      <c r="CN270" s="304"/>
      <c r="CO270" s="304"/>
      <c r="CP270" s="304"/>
    </row>
    <row r="271" spans="1:94" s="87" customFormat="1">
      <c r="A271" s="81"/>
      <c r="B271" s="83"/>
      <c r="C271" s="82"/>
      <c r="D271" s="102"/>
      <c r="E271" s="102"/>
      <c r="F271" s="102"/>
      <c r="G271" s="225"/>
      <c r="H271" s="102"/>
      <c r="I271" s="218"/>
      <c r="J271" s="102"/>
      <c r="K271" s="102" t="str">
        <f t="shared" si="28"/>
        <v/>
      </c>
      <c r="L271" s="221"/>
      <c r="M271" s="325"/>
      <c r="N271" s="94"/>
      <c r="O271" s="326"/>
      <c r="P271" s="84"/>
      <c r="Q271" s="88"/>
      <c r="R271" s="102">
        <f t="shared" si="27"/>
        <v>0</v>
      </c>
      <c r="S271" s="89"/>
      <c r="T271" s="100"/>
      <c r="U271" s="100"/>
      <c r="V271" s="100"/>
      <c r="W271" s="100"/>
      <c r="X271" s="100"/>
      <c r="Y271" s="83"/>
      <c r="Z271" s="304"/>
      <c r="AA271" s="304"/>
      <c r="AB271" s="304"/>
      <c r="AC271" s="304"/>
      <c r="AD271" s="304"/>
      <c r="AE271" s="304"/>
      <c r="AF271" s="304"/>
      <c r="AG271" s="304"/>
      <c r="AH271" s="304"/>
      <c r="AI271" s="304"/>
      <c r="AJ271" s="304"/>
      <c r="AK271" s="304"/>
      <c r="AL271" s="304"/>
      <c r="AM271" s="304"/>
      <c r="AN271" s="304"/>
      <c r="AO271" s="304"/>
      <c r="AP271" s="304"/>
      <c r="AQ271" s="304"/>
      <c r="AR271" s="304"/>
      <c r="AS271" s="304"/>
      <c r="AT271" s="304"/>
      <c r="AU271" s="304"/>
      <c r="AV271" s="304"/>
      <c r="AW271" s="304"/>
      <c r="AX271" s="304"/>
      <c r="AY271" s="304"/>
      <c r="AZ271" s="304"/>
      <c r="BA271" s="304"/>
      <c r="BB271" s="304"/>
      <c r="BC271" s="304"/>
      <c r="BD271" s="304"/>
      <c r="BE271" s="304"/>
      <c r="BF271" s="304"/>
      <c r="BG271" s="304"/>
      <c r="BH271" s="304"/>
      <c r="BI271" s="304"/>
      <c r="BJ271" s="304"/>
      <c r="BK271" s="304"/>
      <c r="BL271" s="304"/>
      <c r="BM271" s="304"/>
      <c r="BN271" s="304"/>
      <c r="BO271" s="304"/>
      <c r="BP271" s="304"/>
      <c r="BQ271" s="304"/>
      <c r="BR271" s="304"/>
      <c r="BS271" s="304"/>
      <c r="BT271" s="304"/>
      <c r="BU271" s="304"/>
      <c r="BV271" s="304"/>
      <c r="BW271" s="304"/>
      <c r="BX271" s="304"/>
      <c r="BY271" s="304"/>
      <c r="BZ271" s="304"/>
      <c r="CA271" s="304"/>
      <c r="CB271" s="304"/>
      <c r="CC271" s="304"/>
      <c r="CD271" s="304"/>
      <c r="CE271" s="304"/>
      <c r="CF271" s="304"/>
      <c r="CG271" s="304"/>
      <c r="CH271" s="304"/>
      <c r="CI271" s="304"/>
      <c r="CJ271" s="304"/>
      <c r="CK271" s="304"/>
      <c r="CL271" s="304"/>
      <c r="CM271" s="304"/>
      <c r="CN271" s="304"/>
      <c r="CO271" s="304"/>
      <c r="CP271" s="304"/>
    </row>
    <row r="272" spans="1:94" s="87" customFormat="1">
      <c r="A272" s="81"/>
      <c r="B272" s="83"/>
      <c r="C272" s="82"/>
      <c r="D272" s="102"/>
      <c r="E272" s="102"/>
      <c r="F272" s="102"/>
      <c r="G272" s="225"/>
      <c r="H272" s="102"/>
      <c r="I272" s="218"/>
      <c r="J272" s="102"/>
      <c r="K272" s="102" t="str">
        <f t="shared" si="28"/>
        <v/>
      </c>
      <c r="L272" s="221"/>
      <c r="M272" s="325"/>
      <c r="N272" s="94"/>
      <c r="O272" s="326"/>
      <c r="P272" s="84"/>
      <c r="Q272" s="88"/>
      <c r="R272" s="102">
        <f t="shared" si="27"/>
        <v>0</v>
      </c>
      <c r="S272" s="89"/>
      <c r="T272" s="100"/>
      <c r="U272" s="100"/>
      <c r="V272" s="100"/>
      <c r="W272" s="100"/>
      <c r="X272" s="100"/>
      <c r="Y272" s="83"/>
      <c r="Z272" s="304"/>
      <c r="AA272" s="304"/>
      <c r="AB272" s="304"/>
      <c r="AC272" s="304"/>
      <c r="AD272" s="304"/>
      <c r="AE272" s="304"/>
      <c r="AF272" s="304"/>
      <c r="AG272" s="304"/>
      <c r="AH272" s="304"/>
      <c r="AI272" s="304"/>
      <c r="AJ272" s="304"/>
      <c r="AK272" s="304"/>
      <c r="AL272" s="304"/>
      <c r="AM272" s="304"/>
      <c r="AN272" s="304"/>
      <c r="AO272" s="304"/>
      <c r="AP272" s="304"/>
      <c r="AQ272" s="304"/>
      <c r="AR272" s="304"/>
      <c r="AS272" s="304"/>
      <c r="AT272" s="304"/>
      <c r="AU272" s="304"/>
      <c r="AV272" s="304"/>
      <c r="AW272" s="304"/>
      <c r="AX272" s="304"/>
      <c r="AY272" s="304"/>
      <c r="AZ272" s="304"/>
      <c r="BA272" s="304"/>
      <c r="BB272" s="304"/>
      <c r="BC272" s="304"/>
      <c r="BD272" s="304"/>
      <c r="BE272" s="304"/>
      <c r="BF272" s="304"/>
      <c r="BG272" s="304"/>
      <c r="BH272" s="304"/>
      <c r="BI272" s="304"/>
      <c r="BJ272" s="304"/>
      <c r="BK272" s="304"/>
      <c r="BL272" s="304"/>
      <c r="BM272" s="304"/>
      <c r="BN272" s="304"/>
      <c r="BO272" s="304"/>
      <c r="BP272" s="304"/>
      <c r="BQ272" s="304"/>
      <c r="BR272" s="304"/>
      <c r="BS272" s="304"/>
      <c r="BT272" s="304"/>
      <c r="BU272" s="304"/>
      <c r="BV272" s="304"/>
      <c r="BW272" s="304"/>
      <c r="BX272" s="304"/>
      <c r="BY272" s="304"/>
      <c r="BZ272" s="304"/>
      <c r="CA272" s="304"/>
      <c r="CB272" s="304"/>
      <c r="CC272" s="304"/>
      <c r="CD272" s="304"/>
      <c r="CE272" s="304"/>
      <c r="CF272" s="304"/>
      <c r="CG272" s="304"/>
      <c r="CH272" s="304"/>
      <c r="CI272" s="304"/>
      <c r="CJ272" s="304"/>
      <c r="CK272" s="304"/>
      <c r="CL272" s="304"/>
      <c r="CM272" s="304"/>
      <c r="CN272" s="304"/>
      <c r="CO272" s="304"/>
      <c r="CP272" s="304"/>
    </row>
    <row r="273" spans="1:94" s="87" customFormat="1">
      <c r="A273" s="81"/>
      <c r="B273" s="83"/>
      <c r="C273" s="82"/>
      <c r="D273" s="102"/>
      <c r="E273" s="102"/>
      <c r="F273" s="102"/>
      <c r="G273" s="225"/>
      <c r="H273" s="102"/>
      <c r="I273" s="218"/>
      <c r="J273" s="102"/>
      <c r="K273" s="102" t="str">
        <f t="shared" si="28"/>
        <v/>
      </c>
      <c r="L273" s="221"/>
      <c r="M273" s="325"/>
      <c r="N273" s="94"/>
      <c r="O273" s="326"/>
      <c r="P273" s="84"/>
      <c r="Q273" s="88"/>
      <c r="R273" s="102">
        <f t="shared" si="27"/>
        <v>0</v>
      </c>
      <c r="S273" s="89"/>
      <c r="T273" s="100"/>
      <c r="U273" s="100"/>
      <c r="V273" s="100"/>
      <c r="W273" s="100"/>
      <c r="X273" s="100"/>
      <c r="Y273" s="83"/>
      <c r="Z273" s="304"/>
      <c r="AA273" s="304"/>
      <c r="AB273" s="304"/>
      <c r="AC273" s="304"/>
      <c r="AD273" s="304"/>
      <c r="AE273" s="304"/>
      <c r="AF273" s="304"/>
      <c r="AG273" s="304"/>
      <c r="AH273" s="304"/>
      <c r="AI273" s="304"/>
      <c r="AJ273" s="304"/>
      <c r="AK273" s="304"/>
      <c r="AL273" s="304"/>
      <c r="AM273" s="304"/>
      <c r="AN273" s="304"/>
      <c r="AO273" s="304"/>
      <c r="AP273" s="304"/>
      <c r="AQ273" s="304"/>
      <c r="AR273" s="304"/>
      <c r="AS273" s="304"/>
      <c r="AT273" s="304"/>
      <c r="AU273" s="304"/>
      <c r="AV273" s="304"/>
      <c r="AW273" s="304"/>
      <c r="AX273" s="304"/>
      <c r="AY273" s="304"/>
      <c r="AZ273" s="304"/>
      <c r="BA273" s="304"/>
      <c r="BB273" s="304"/>
      <c r="BC273" s="304"/>
      <c r="BD273" s="304"/>
      <c r="BE273" s="304"/>
      <c r="BF273" s="304"/>
      <c r="BG273" s="304"/>
      <c r="BH273" s="304"/>
      <c r="BI273" s="304"/>
      <c r="BJ273" s="304"/>
      <c r="BK273" s="304"/>
      <c r="BL273" s="304"/>
      <c r="BM273" s="304"/>
      <c r="BN273" s="304"/>
      <c r="BO273" s="304"/>
      <c r="BP273" s="304"/>
      <c r="BQ273" s="304"/>
      <c r="BR273" s="304"/>
      <c r="BS273" s="304"/>
      <c r="BT273" s="304"/>
      <c r="BU273" s="304"/>
      <c r="BV273" s="304"/>
      <c r="BW273" s="304"/>
      <c r="BX273" s="304"/>
      <c r="BY273" s="304"/>
      <c r="BZ273" s="304"/>
      <c r="CA273" s="304"/>
      <c r="CB273" s="304"/>
      <c r="CC273" s="304"/>
      <c r="CD273" s="304"/>
      <c r="CE273" s="304"/>
      <c r="CF273" s="304"/>
      <c r="CG273" s="304"/>
      <c r="CH273" s="304"/>
      <c r="CI273" s="304"/>
      <c r="CJ273" s="304"/>
      <c r="CK273" s="304"/>
      <c r="CL273" s="304"/>
      <c r="CM273" s="304"/>
      <c r="CN273" s="304"/>
      <c r="CO273" s="304"/>
      <c r="CP273" s="304"/>
    </row>
    <row r="274" spans="1:94" s="87" customFormat="1">
      <c r="A274" s="81"/>
      <c r="B274" s="83"/>
      <c r="C274" s="82"/>
      <c r="D274" s="102"/>
      <c r="E274" s="102"/>
      <c r="F274" s="102"/>
      <c r="G274" s="225"/>
      <c r="H274" s="102"/>
      <c r="I274" s="218"/>
      <c r="J274" s="102"/>
      <c r="K274" s="102" t="str">
        <f t="shared" si="28"/>
        <v/>
      </c>
      <c r="L274" s="221"/>
      <c r="M274" s="325"/>
      <c r="N274" s="94"/>
      <c r="O274" s="326"/>
      <c r="P274" s="84"/>
      <c r="Q274" s="88"/>
      <c r="R274" s="102">
        <f t="shared" si="27"/>
        <v>0</v>
      </c>
      <c r="S274" s="89"/>
      <c r="T274" s="100"/>
      <c r="U274" s="100"/>
      <c r="V274" s="100"/>
      <c r="W274" s="100"/>
      <c r="X274" s="100"/>
      <c r="Y274" s="83"/>
      <c r="Z274" s="304"/>
      <c r="AA274" s="304"/>
      <c r="AB274" s="304"/>
      <c r="AC274" s="304"/>
      <c r="AD274" s="304"/>
      <c r="AE274" s="304"/>
      <c r="AF274" s="304"/>
      <c r="AG274" s="304"/>
      <c r="AH274" s="304"/>
      <c r="AI274" s="304"/>
      <c r="AJ274" s="304"/>
      <c r="AK274" s="304"/>
      <c r="AL274" s="304"/>
      <c r="AM274" s="304"/>
      <c r="AN274" s="304"/>
      <c r="AO274" s="304"/>
      <c r="AP274" s="304"/>
      <c r="AQ274" s="304"/>
      <c r="AR274" s="304"/>
      <c r="AS274" s="304"/>
      <c r="AT274" s="304"/>
      <c r="AU274" s="304"/>
      <c r="AV274" s="304"/>
      <c r="AW274" s="304"/>
      <c r="AX274" s="304"/>
      <c r="AY274" s="304"/>
      <c r="AZ274" s="304"/>
      <c r="BA274" s="304"/>
      <c r="BB274" s="304"/>
      <c r="BC274" s="304"/>
      <c r="BD274" s="304"/>
      <c r="BE274" s="304"/>
      <c r="BF274" s="304"/>
      <c r="BG274" s="304"/>
      <c r="BH274" s="304"/>
      <c r="BI274" s="304"/>
      <c r="BJ274" s="304"/>
      <c r="BK274" s="304"/>
      <c r="BL274" s="304"/>
      <c r="BM274" s="304"/>
      <c r="BN274" s="304"/>
      <c r="BO274" s="304"/>
      <c r="BP274" s="304"/>
      <c r="BQ274" s="304"/>
      <c r="BR274" s="304"/>
      <c r="BS274" s="304"/>
      <c r="BT274" s="304"/>
      <c r="BU274" s="304"/>
      <c r="BV274" s="304"/>
      <c r="BW274" s="304"/>
      <c r="BX274" s="304"/>
      <c r="BY274" s="304"/>
      <c r="BZ274" s="304"/>
      <c r="CA274" s="304"/>
      <c r="CB274" s="304"/>
      <c r="CC274" s="304"/>
      <c r="CD274" s="304"/>
      <c r="CE274" s="304"/>
      <c r="CF274" s="304"/>
      <c r="CG274" s="304"/>
      <c r="CH274" s="304"/>
      <c r="CI274" s="304"/>
      <c r="CJ274" s="304"/>
      <c r="CK274" s="304"/>
      <c r="CL274" s="304"/>
      <c r="CM274" s="304"/>
      <c r="CN274" s="304"/>
      <c r="CO274" s="304"/>
      <c r="CP274" s="304"/>
    </row>
    <row r="275" spans="1:94" s="87" customFormat="1">
      <c r="A275" s="81"/>
      <c r="B275" s="83"/>
      <c r="C275" s="82"/>
      <c r="D275" s="102"/>
      <c r="E275" s="102"/>
      <c r="F275" s="102"/>
      <c r="G275" s="225"/>
      <c r="H275" s="102"/>
      <c r="I275" s="218"/>
      <c r="J275" s="102"/>
      <c r="K275" s="102" t="str">
        <f t="shared" si="28"/>
        <v/>
      </c>
      <c r="L275" s="221"/>
      <c r="M275" s="325"/>
      <c r="N275" s="94"/>
      <c r="O275" s="326"/>
      <c r="P275" s="84"/>
      <c r="Q275" s="88"/>
      <c r="R275" s="102">
        <f t="shared" si="27"/>
        <v>0</v>
      </c>
      <c r="S275" s="89"/>
      <c r="T275" s="100"/>
      <c r="U275" s="100"/>
      <c r="V275" s="100"/>
      <c r="W275" s="100"/>
      <c r="X275" s="100"/>
      <c r="Y275" s="83"/>
      <c r="Z275" s="304"/>
      <c r="AA275" s="304"/>
      <c r="AB275" s="304"/>
      <c r="AC275" s="304"/>
      <c r="AD275" s="304"/>
      <c r="AE275" s="304"/>
      <c r="AF275" s="304"/>
      <c r="AG275" s="304"/>
      <c r="AH275" s="304"/>
      <c r="AI275" s="304"/>
      <c r="AJ275" s="304"/>
      <c r="AK275" s="304"/>
      <c r="AL275" s="304"/>
      <c r="AM275" s="304"/>
      <c r="AN275" s="304"/>
      <c r="AO275" s="304"/>
      <c r="AP275" s="304"/>
      <c r="AQ275" s="304"/>
      <c r="AR275" s="304"/>
      <c r="AS275" s="304"/>
      <c r="AT275" s="304"/>
      <c r="AU275" s="304"/>
      <c r="AV275" s="304"/>
      <c r="AW275" s="304"/>
      <c r="AX275" s="304"/>
      <c r="AY275" s="304"/>
      <c r="AZ275" s="304"/>
      <c r="BA275" s="304"/>
      <c r="BB275" s="304"/>
      <c r="BC275" s="304"/>
      <c r="BD275" s="304"/>
      <c r="BE275" s="304"/>
      <c r="BF275" s="304"/>
      <c r="BG275" s="304"/>
      <c r="BH275" s="304"/>
      <c r="BI275" s="304"/>
      <c r="BJ275" s="304"/>
      <c r="BK275" s="304"/>
      <c r="BL275" s="304"/>
      <c r="BM275" s="304"/>
      <c r="BN275" s="304"/>
      <c r="BO275" s="304"/>
      <c r="BP275" s="304"/>
      <c r="BQ275" s="304"/>
      <c r="BR275" s="304"/>
      <c r="BS275" s="304"/>
      <c r="BT275" s="304"/>
      <c r="BU275" s="304"/>
      <c r="BV275" s="304"/>
      <c r="BW275" s="304"/>
      <c r="BX275" s="304"/>
      <c r="BY275" s="304"/>
      <c r="BZ275" s="304"/>
      <c r="CA275" s="304"/>
      <c r="CB275" s="304"/>
      <c r="CC275" s="304"/>
      <c r="CD275" s="304"/>
      <c r="CE275" s="304"/>
      <c r="CF275" s="304"/>
      <c r="CG275" s="304"/>
      <c r="CH275" s="304"/>
      <c r="CI275" s="304"/>
      <c r="CJ275" s="304"/>
      <c r="CK275" s="304"/>
      <c r="CL275" s="304"/>
      <c r="CM275" s="304"/>
      <c r="CN275" s="304"/>
      <c r="CO275" s="304"/>
      <c r="CP275" s="304"/>
    </row>
    <row r="276" spans="1:94" s="87" customFormat="1">
      <c r="A276" s="81"/>
      <c r="B276" s="83"/>
      <c r="C276" s="82"/>
      <c r="D276" s="102"/>
      <c r="E276" s="102"/>
      <c r="F276" s="102"/>
      <c r="G276" s="225"/>
      <c r="H276" s="102"/>
      <c r="I276" s="218"/>
      <c r="J276" s="102"/>
      <c r="K276" s="102" t="str">
        <f t="shared" si="28"/>
        <v/>
      </c>
      <c r="L276" s="221"/>
      <c r="M276" s="325"/>
      <c r="N276" s="94"/>
      <c r="O276" s="326"/>
      <c r="P276" s="84"/>
      <c r="Q276" s="88"/>
      <c r="R276" s="102">
        <f t="shared" si="27"/>
        <v>0</v>
      </c>
      <c r="S276" s="89"/>
      <c r="T276" s="100"/>
      <c r="U276" s="100"/>
      <c r="V276" s="100"/>
      <c r="W276" s="100"/>
      <c r="X276" s="100"/>
      <c r="Y276" s="83"/>
      <c r="Z276" s="304"/>
      <c r="AA276" s="304"/>
      <c r="AB276" s="304"/>
      <c r="AC276" s="304"/>
      <c r="AD276" s="304"/>
      <c r="AE276" s="304"/>
      <c r="AF276" s="304"/>
      <c r="AG276" s="304"/>
      <c r="AH276" s="304"/>
      <c r="AI276" s="304"/>
      <c r="AJ276" s="304"/>
      <c r="AK276" s="304"/>
      <c r="AL276" s="304"/>
      <c r="AM276" s="304"/>
      <c r="AN276" s="304"/>
      <c r="AO276" s="304"/>
      <c r="AP276" s="304"/>
      <c r="AQ276" s="304"/>
      <c r="AR276" s="304"/>
      <c r="AS276" s="304"/>
      <c r="AT276" s="304"/>
      <c r="AU276" s="304"/>
      <c r="AV276" s="304"/>
      <c r="AW276" s="304"/>
      <c r="AX276" s="304"/>
      <c r="AY276" s="304"/>
      <c r="AZ276" s="304"/>
      <c r="BA276" s="304"/>
      <c r="BB276" s="304"/>
      <c r="BC276" s="304"/>
      <c r="BD276" s="304"/>
      <c r="BE276" s="304"/>
      <c r="BF276" s="304"/>
      <c r="BG276" s="304"/>
      <c r="BH276" s="304"/>
      <c r="BI276" s="304"/>
      <c r="BJ276" s="304"/>
      <c r="BK276" s="304"/>
      <c r="BL276" s="304"/>
      <c r="BM276" s="304"/>
      <c r="BN276" s="304"/>
      <c r="BO276" s="304"/>
      <c r="BP276" s="304"/>
      <c r="BQ276" s="304"/>
      <c r="BR276" s="304"/>
      <c r="BS276" s="304"/>
      <c r="BT276" s="304"/>
      <c r="BU276" s="304"/>
      <c r="BV276" s="304"/>
      <c r="BW276" s="304"/>
      <c r="BX276" s="304"/>
      <c r="BY276" s="304"/>
      <c r="BZ276" s="304"/>
      <c r="CA276" s="304"/>
      <c r="CB276" s="304"/>
      <c r="CC276" s="304"/>
      <c r="CD276" s="304"/>
      <c r="CE276" s="304"/>
      <c r="CF276" s="304"/>
      <c r="CG276" s="304"/>
      <c r="CH276" s="304"/>
      <c r="CI276" s="304"/>
      <c r="CJ276" s="304"/>
      <c r="CK276" s="304"/>
      <c r="CL276" s="304"/>
      <c r="CM276" s="304"/>
      <c r="CN276" s="304"/>
      <c r="CO276" s="304"/>
      <c r="CP276" s="304"/>
    </row>
    <row r="277" spans="1:94" s="87" customFormat="1">
      <c r="A277" s="81"/>
      <c r="B277" s="83"/>
      <c r="C277" s="82"/>
      <c r="D277" s="102"/>
      <c r="E277" s="102"/>
      <c r="F277" s="102"/>
      <c r="G277" s="225"/>
      <c r="H277" s="102"/>
      <c r="I277" s="218"/>
      <c r="J277" s="102"/>
      <c r="K277" s="102" t="str">
        <f t="shared" si="28"/>
        <v/>
      </c>
      <c r="L277" s="221"/>
      <c r="M277" s="325"/>
      <c r="N277" s="94"/>
      <c r="O277" s="326"/>
      <c r="P277" s="84"/>
      <c r="Q277" s="88"/>
      <c r="R277" s="102">
        <f t="shared" si="27"/>
        <v>0</v>
      </c>
      <c r="S277" s="89"/>
      <c r="T277" s="100"/>
      <c r="U277" s="100"/>
      <c r="V277" s="100"/>
      <c r="W277" s="100"/>
      <c r="X277" s="100"/>
      <c r="Y277" s="83"/>
      <c r="Z277" s="304"/>
      <c r="AA277" s="304"/>
      <c r="AB277" s="304"/>
      <c r="AC277" s="304"/>
      <c r="AD277" s="304"/>
      <c r="AE277" s="304"/>
      <c r="AF277" s="304"/>
      <c r="AG277" s="304"/>
      <c r="AH277" s="304"/>
      <c r="AI277" s="304"/>
      <c r="AJ277" s="304"/>
      <c r="AK277" s="304"/>
      <c r="AL277" s="304"/>
      <c r="AM277" s="304"/>
      <c r="AN277" s="304"/>
      <c r="AO277" s="304"/>
      <c r="AP277" s="304"/>
      <c r="AQ277" s="304"/>
      <c r="AR277" s="304"/>
      <c r="AS277" s="304"/>
      <c r="AT277" s="304"/>
      <c r="AU277" s="304"/>
      <c r="AV277" s="304"/>
      <c r="AW277" s="304"/>
      <c r="AX277" s="304"/>
      <c r="AY277" s="304"/>
      <c r="AZ277" s="304"/>
      <c r="BA277" s="304"/>
      <c r="BB277" s="304"/>
      <c r="BC277" s="304"/>
      <c r="BD277" s="304"/>
      <c r="BE277" s="304"/>
      <c r="BF277" s="304"/>
      <c r="BG277" s="304"/>
      <c r="BH277" s="304"/>
      <c r="BI277" s="304"/>
      <c r="BJ277" s="304"/>
      <c r="BK277" s="304"/>
      <c r="BL277" s="304"/>
      <c r="BM277" s="304"/>
      <c r="BN277" s="304"/>
      <c r="BO277" s="304"/>
      <c r="BP277" s="304"/>
      <c r="BQ277" s="304"/>
      <c r="BR277" s="304"/>
      <c r="BS277" s="304"/>
      <c r="BT277" s="304"/>
      <c r="BU277" s="304"/>
      <c r="BV277" s="304"/>
      <c r="BW277" s="304"/>
      <c r="BX277" s="304"/>
      <c r="BY277" s="304"/>
      <c r="BZ277" s="304"/>
      <c r="CA277" s="304"/>
      <c r="CB277" s="304"/>
      <c r="CC277" s="304"/>
      <c r="CD277" s="304"/>
      <c r="CE277" s="304"/>
      <c r="CF277" s="304"/>
      <c r="CG277" s="304"/>
      <c r="CH277" s="304"/>
      <c r="CI277" s="304"/>
      <c r="CJ277" s="304"/>
      <c r="CK277" s="304"/>
      <c r="CL277" s="304"/>
      <c r="CM277" s="304"/>
      <c r="CN277" s="304"/>
      <c r="CO277" s="304"/>
      <c r="CP277" s="304"/>
    </row>
    <row r="278" spans="1:94" s="87" customFormat="1">
      <c r="A278" s="81"/>
      <c r="B278" s="83"/>
      <c r="C278" s="82"/>
      <c r="D278" s="102"/>
      <c r="E278" s="102"/>
      <c r="F278" s="102"/>
      <c r="G278" s="225"/>
      <c r="H278" s="102"/>
      <c r="I278" s="218"/>
      <c r="J278" s="102"/>
      <c r="K278" s="102" t="str">
        <f t="shared" si="28"/>
        <v/>
      </c>
      <c r="L278" s="221"/>
      <c r="M278" s="325"/>
      <c r="N278" s="94"/>
      <c r="O278" s="326"/>
      <c r="P278" s="84"/>
      <c r="Q278" s="88"/>
      <c r="R278" s="102">
        <f t="shared" si="27"/>
        <v>0</v>
      </c>
      <c r="S278" s="89"/>
      <c r="T278" s="100"/>
      <c r="U278" s="100"/>
      <c r="V278" s="100"/>
      <c r="W278" s="100"/>
      <c r="X278" s="100"/>
      <c r="Y278" s="83"/>
      <c r="Z278" s="304"/>
      <c r="AA278" s="304"/>
      <c r="AB278" s="304"/>
      <c r="AC278" s="304"/>
      <c r="AD278" s="304"/>
      <c r="AE278" s="304"/>
      <c r="AF278" s="304"/>
      <c r="AG278" s="304"/>
      <c r="AH278" s="304"/>
      <c r="AI278" s="304"/>
      <c r="AJ278" s="304"/>
      <c r="AK278" s="304"/>
      <c r="AL278" s="304"/>
      <c r="AM278" s="304"/>
      <c r="AN278" s="304"/>
      <c r="AO278" s="304"/>
      <c r="AP278" s="304"/>
      <c r="AQ278" s="304"/>
      <c r="AR278" s="304"/>
      <c r="AS278" s="304"/>
      <c r="AT278" s="304"/>
      <c r="AU278" s="304"/>
      <c r="AV278" s="304"/>
      <c r="AW278" s="304"/>
      <c r="AX278" s="304"/>
      <c r="AY278" s="304"/>
      <c r="AZ278" s="304"/>
      <c r="BA278" s="304"/>
      <c r="BB278" s="304"/>
      <c r="BC278" s="304"/>
      <c r="BD278" s="304"/>
      <c r="BE278" s="304"/>
      <c r="BF278" s="304"/>
      <c r="BG278" s="304"/>
      <c r="BH278" s="304"/>
      <c r="BI278" s="304"/>
      <c r="BJ278" s="304"/>
      <c r="BK278" s="304"/>
      <c r="BL278" s="304"/>
      <c r="BM278" s="304"/>
      <c r="BN278" s="304"/>
      <c r="BO278" s="304"/>
      <c r="BP278" s="304"/>
      <c r="BQ278" s="304"/>
      <c r="BR278" s="304"/>
      <c r="BS278" s="304"/>
      <c r="BT278" s="304"/>
      <c r="BU278" s="304"/>
      <c r="BV278" s="304"/>
      <c r="BW278" s="304"/>
      <c r="BX278" s="304"/>
      <c r="BY278" s="304"/>
      <c r="BZ278" s="304"/>
      <c r="CA278" s="304"/>
      <c r="CB278" s="304"/>
      <c r="CC278" s="304"/>
      <c r="CD278" s="304"/>
      <c r="CE278" s="304"/>
      <c r="CF278" s="304"/>
      <c r="CG278" s="304"/>
      <c r="CH278" s="304"/>
      <c r="CI278" s="304"/>
      <c r="CJ278" s="304"/>
      <c r="CK278" s="304"/>
      <c r="CL278" s="304"/>
      <c r="CM278" s="304"/>
      <c r="CN278" s="304"/>
      <c r="CO278" s="304"/>
      <c r="CP278" s="304"/>
    </row>
    <row r="279" spans="1:94" s="87" customFormat="1">
      <c r="A279" s="81"/>
      <c r="B279" s="83"/>
      <c r="C279" s="82"/>
      <c r="D279" s="102"/>
      <c r="E279" s="102"/>
      <c r="F279" s="102"/>
      <c r="G279" s="225"/>
      <c r="H279" s="102"/>
      <c r="I279" s="218"/>
      <c r="J279" s="102"/>
      <c r="K279" s="102" t="str">
        <f t="shared" si="28"/>
        <v/>
      </c>
      <c r="L279" s="221"/>
      <c r="M279" s="325"/>
      <c r="N279" s="94"/>
      <c r="O279" s="326"/>
      <c r="P279" s="84"/>
      <c r="Q279" s="88"/>
      <c r="R279" s="102">
        <f t="shared" si="27"/>
        <v>0</v>
      </c>
      <c r="S279" s="89"/>
      <c r="T279" s="100"/>
      <c r="U279" s="100"/>
      <c r="V279" s="100"/>
      <c r="W279" s="100"/>
      <c r="X279" s="100"/>
      <c r="Y279" s="83"/>
      <c r="Z279" s="304"/>
      <c r="AA279" s="304"/>
      <c r="AB279" s="304"/>
      <c r="AC279" s="304"/>
      <c r="AD279" s="304"/>
      <c r="AE279" s="304"/>
      <c r="AF279" s="304"/>
      <c r="AG279" s="304"/>
      <c r="AH279" s="304"/>
      <c r="AI279" s="304"/>
      <c r="AJ279" s="304"/>
      <c r="AK279" s="304"/>
      <c r="AL279" s="304"/>
      <c r="AM279" s="304"/>
      <c r="AN279" s="304"/>
      <c r="AO279" s="304"/>
      <c r="AP279" s="304"/>
      <c r="AQ279" s="304"/>
      <c r="AR279" s="304"/>
      <c r="AS279" s="304"/>
      <c r="AT279" s="304"/>
      <c r="AU279" s="304"/>
      <c r="AV279" s="304"/>
      <c r="AW279" s="304"/>
      <c r="AX279" s="304"/>
      <c r="AY279" s="304"/>
      <c r="AZ279" s="304"/>
      <c r="BA279" s="304"/>
      <c r="BB279" s="304"/>
      <c r="BC279" s="304"/>
      <c r="BD279" s="304"/>
      <c r="BE279" s="304"/>
      <c r="BF279" s="304"/>
      <c r="BG279" s="304"/>
      <c r="BH279" s="304"/>
      <c r="BI279" s="304"/>
      <c r="BJ279" s="304"/>
      <c r="BK279" s="304"/>
      <c r="BL279" s="304"/>
      <c r="BM279" s="304"/>
      <c r="BN279" s="304"/>
      <c r="BO279" s="304"/>
      <c r="BP279" s="304"/>
      <c r="BQ279" s="304"/>
      <c r="BR279" s="304"/>
      <c r="BS279" s="304"/>
      <c r="BT279" s="304"/>
      <c r="BU279" s="304"/>
      <c r="BV279" s="304"/>
      <c r="BW279" s="304"/>
      <c r="BX279" s="304"/>
      <c r="BY279" s="304"/>
      <c r="BZ279" s="304"/>
      <c r="CA279" s="304"/>
      <c r="CB279" s="304"/>
      <c r="CC279" s="304"/>
      <c r="CD279" s="304"/>
      <c r="CE279" s="304"/>
      <c r="CF279" s="304"/>
      <c r="CG279" s="304"/>
      <c r="CH279" s="304"/>
      <c r="CI279" s="304"/>
      <c r="CJ279" s="304"/>
      <c r="CK279" s="304"/>
      <c r="CL279" s="304"/>
      <c r="CM279" s="304"/>
      <c r="CN279" s="304"/>
      <c r="CO279" s="304"/>
      <c r="CP279" s="304"/>
    </row>
    <row r="280" spans="1:94" s="87" customFormat="1">
      <c r="A280" s="81"/>
      <c r="B280" s="83"/>
      <c r="C280" s="82"/>
      <c r="D280" s="102"/>
      <c r="E280" s="102"/>
      <c r="F280" s="102"/>
      <c r="G280" s="225"/>
      <c r="H280" s="102"/>
      <c r="I280" s="218"/>
      <c r="J280" s="102"/>
      <c r="K280" s="102" t="str">
        <f t="shared" si="28"/>
        <v/>
      </c>
      <c r="L280" s="221"/>
      <c r="M280" s="325"/>
      <c r="N280" s="94"/>
      <c r="O280" s="326"/>
      <c r="P280" s="84"/>
      <c r="Q280" s="88"/>
      <c r="R280" s="102">
        <f t="shared" si="27"/>
        <v>0</v>
      </c>
      <c r="S280" s="89"/>
      <c r="T280" s="100"/>
      <c r="U280" s="100"/>
      <c r="V280" s="100"/>
      <c r="W280" s="100"/>
      <c r="X280" s="100"/>
      <c r="Y280" s="83"/>
      <c r="Z280" s="304"/>
      <c r="AA280" s="304"/>
      <c r="AB280" s="304"/>
      <c r="AC280" s="304"/>
      <c r="AD280" s="304"/>
      <c r="AE280" s="304"/>
      <c r="AF280" s="304"/>
      <c r="AG280" s="304"/>
      <c r="AH280" s="304"/>
      <c r="AI280" s="304"/>
      <c r="AJ280" s="304"/>
      <c r="AK280" s="304"/>
      <c r="AL280" s="304"/>
      <c r="AM280" s="304"/>
      <c r="AN280" s="304"/>
      <c r="AO280" s="304"/>
      <c r="AP280" s="304"/>
      <c r="AQ280" s="304"/>
      <c r="AR280" s="304"/>
      <c r="AS280" s="304"/>
      <c r="AT280" s="304"/>
      <c r="AU280" s="304"/>
      <c r="AV280" s="304"/>
      <c r="AW280" s="304"/>
      <c r="AX280" s="304"/>
      <c r="AY280" s="304"/>
      <c r="AZ280" s="304"/>
      <c r="BA280" s="304"/>
      <c r="BB280" s="304"/>
      <c r="BC280" s="304"/>
      <c r="BD280" s="304"/>
      <c r="BE280" s="304"/>
      <c r="BF280" s="304"/>
      <c r="BG280" s="304"/>
      <c r="BH280" s="304"/>
      <c r="BI280" s="304"/>
      <c r="BJ280" s="304"/>
      <c r="BK280" s="304"/>
      <c r="BL280" s="304"/>
      <c r="BM280" s="304"/>
      <c r="BN280" s="304"/>
      <c r="BO280" s="304"/>
      <c r="BP280" s="304"/>
      <c r="BQ280" s="304"/>
      <c r="BR280" s="304"/>
      <c r="BS280" s="304"/>
      <c r="BT280" s="304"/>
      <c r="BU280" s="304"/>
      <c r="BV280" s="304"/>
      <c r="BW280" s="304"/>
      <c r="BX280" s="304"/>
      <c r="BY280" s="304"/>
      <c r="BZ280" s="304"/>
      <c r="CA280" s="304"/>
      <c r="CB280" s="304"/>
      <c r="CC280" s="304"/>
      <c r="CD280" s="304"/>
      <c r="CE280" s="304"/>
      <c r="CF280" s="304"/>
      <c r="CG280" s="304"/>
      <c r="CH280" s="304"/>
      <c r="CI280" s="304"/>
      <c r="CJ280" s="304"/>
      <c r="CK280" s="304"/>
      <c r="CL280" s="304"/>
      <c r="CM280" s="304"/>
      <c r="CN280" s="304"/>
      <c r="CO280" s="304"/>
      <c r="CP280" s="304"/>
    </row>
    <row r="281" spans="1:94" s="87" customFormat="1">
      <c r="A281" s="81"/>
      <c r="B281" s="83"/>
      <c r="C281" s="82"/>
      <c r="D281" s="102"/>
      <c r="E281" s="102"/>
      <c r="F281" s="102"/>
      <c r="G281" s="225"/>
      <c r="H281" s="102"/>
      <c r="I281" s="218"/>
      <c r="J281" s="102"/>
      <c r="K281" s="102" t="str">
        <f t="shared" si="28"/>
        <v/>
      </c>
      <c r="L281" s="221"/>
      <c r="M281" s="325"/>
      <c r="N281" s="94"/>
      <c r="O281" s="326"/>
      <c r="P281" s="84"/>
      <c r="Q281" s="88"/>
      <c r="R281" s="102">
        <f t="shared" si="27"/>
        <v>0</v>
      </c>
      <c r="S281" s="89"/>
      <c r="T281" s="100"/>
      <c r="U281" s="100"/>
      <c r="V281" s="100"/>
      <c r="W281" s="100"/>
      <c r="X281" s="100"/>
      <c r="Y281" s="83"/>
      <c r="Z281" s="304"/>
      <c r="AA281" s="304"/>
      <c r="AB281" s="304"/>
      <c r="AC281" s="304"/>
      <c r="AD281" s="304"/>
      <c r="AE281" s="304"/>
      <c r="AF281" s="304"/>
      <c r="AG281" s="304"/>
      <c r="AH281" s="304"/>
      <c r="AI281" s="304"/>
      <c r="AJ281" s="304"/>
      <c r="AK281" s="304"/>
      <c r="AL281" s="304"/>
      <c r="AM281" s="304"/>
      <c r="AN281" s="304"/>
      <c r="AO281" s="304"/>
      <c r="AP281" s="304"/>
      <c r="AQ281" s="304"/>
      <c r="AR281" s="304"/>
      <c r="AS281" s="304"/>
      <c r="AT281" s="304"/>
      <c r="AU281" s="304"/>
      <c r="AV281" s="304"/>
      <c r="AW281" s="304"/>
      <c r="AX281" s="304"/>
      <c r="AY281" s="304"/>
      <c r="AZ281" s="304"/>
      <c r="BA281" s="304"/>
      <c r="BB281" s="304"/>
      <c r="BC281" s="304"/>
      <c r="BD281" s="304"/>
      <c r="BE281" s="304"/>
      <c r="BF281" s="304"/>
      <c r="BG281" s="304"/>
      <c r="BH281" s="304"/>
      <c r="BI281" s="304"/>
      <c r="BJ281" s="304"/>
      <c r="BK281" s="304"/>
      <c r="BL281" s="304"/>
      <c r="BM281" s="304"/>
      <c r="BN281" s="304"/>
      <c r="BO281" s="304"/>
      <c r="BP281" s="304"/>
      <c r="BQ281" s="304"/>
      <c r="BR281" s="304"/>
      <c r="BS281" s="304"/>
      <c r="BT281" s="304"/>
      <c r="BU281" s="304"/>
      <c r="BV281" s="304"/>
      <c r="BW281" s="304"/>
      <c r="BX281" s="304"/>
      <c r="BY281" s="304"/>
      <c r="BZ281" s="304"/>
      <c r="CA281" s="304"/>
      <c r="CB281" s="304"/>
      <c r="CC281" s="304"/>
      <c r="CD281" s="304"/>
      <c r="CE281" s="304"/>
      <c r="CF281" s="304"/>
      <c r="CG281" s="304"/>
      <c r="CH281" s="304"/>
      <c r="CI281" s="304"/>
      <c r="CJ281" s="304"/>
      <c r="CK281" s="304"/>
      <c r="CL281" s="304"/>
      <c r="CM281" s="304"/>
      <c r="CN281" s="304"/>
      <c r="CO281" s="304"/>
      <c r="CP281" s="304"/>
    </row>
    <row r="282" spans="1:94" s="87" customFormat="1">
      <c r="A282" s="81"/>
      <c r="B282" s="83"/>
      <c r="C282" s="82"/>
      <c r="D282" s="102"/>
      <c r="E282" s="102"/>
      <c r="F282" s="102"/>
      <c r="G282" s="225"/>
      <c r="H282" s="102"/>
      <c r="I282" s="218"/>
      <c r="J282" s="102"/>
      <c r="K282" s="102" t="str">
        <f t="shared" si="28"/>
        <v/>
      </c>
      <c r="L282" s="221"/>
      <c r="M282" s="325"/>
      <c r="N282" s="94"/>
      <c r="O282" s="326"/>
      <c r="P282" s="84"/>
      <c r="Q282" s="88"/>
      <c r="R282" s="102">
        <f t="shared" si="27"/>
        <v>0</v>
      </c>
      <c r="S282" s="89"/>
      <c r="T282" s="100"/>
      <c r="U282" s="100"/>
      <c r="V282" s="100"/>
      <c r="W282" s="100"/>
      <c r="X282" s="100"/>
      <c r="Y282" s="83"/>
      <c r="Z282" s="304"/>
      <c r="AA282" s="304"/>
      <c r="AB282" s="304"/>
      <c r="AC282" s="304"/>
      <c r="AD282" s="304"/>
      <c r="AE282" s="304"/>
      <c r="AF282" s="304"/>
      <c r="AG282" s="304"/>
      <c r="AH282" s="304"/>
      <c r="AI282" s="304"/>
      <c r="AJ282" s="304"/>
      <c r="AK282" s="304"/>
      <c r="AL282" s="304"/>
      <c r="AM282" s="304"/>
      <c r="AN282" s="304"/>
      <c r="AO282" s="304"/>
      <c r="AP282" s="304"/>
      <c r="AQ282" s="304"/>
      <c r="AR282" s="304"/>
      <c r="AS282" s="304"/>
      <c r="AT282" s="304"/>
      <c r="AU282" s="304"/>
      <c r="AV282" s="304"/>
      <c r="AW282" s="304"/>
      <c r="AX282" s="304"/>
      <c r="AY282" s="304"/>
      <c r="AZ282" s="304"/>
      <c r="BA282" s="304"/>
      <c r="BB282" s="304"/>
      <c r="BC282" s="304"/>
      <c r="BD282" s="304"/>
      <c r="BE282" s="304"/>
      <c r="BF282" s="304"/>
      <c r="BG282" s="304"/>
      <c r="BH282" s="304"/>
      <c r="BI282" s="304"/>
      <c r="BJ282" s="304"/>
      <c r="BK282" s="304"/>
      <c r="BL282" s="304"/>
      <c r="BM282" s="304"/>
      <c r="BN282" s="304"/>
      <c r="BO282" s="304"/>
      <c r="BP282" s="304"/>
      <c r="BQ282" s="304"/>
      <c r="BR282" s="304"/>
      <c r="BS282" s="304"/>
      <c r="BT282" s="304"/>
      <c r="BU282" s="304"/>
      <c r="BV282" s="304"/>
      <c r="BW282" s="304"/>
      <c r="BX282" s="304"/>
      <c r="BY282" s="304"/>
      <c r="BZ282" s="304"/>
      <c r="CA282" s="304"/>
      <c r="CB282" s="304"/>
      <c r="CC282" s="304"/>
      <c r="CD282" s="304"/>
      <c r="CE282" s="304"/>
      <c r="CF282" s="304"/>
      <c r="CG282" s="304"/>
      <c r="CH282" s="304"/>
      <c r="CI282" s="304"/>
      <c r="CJ282" s="304"/>
      <c r="CK282" s="304"/>
      <c r="CL282" s="304"/>
      <c r="CM282" s="304"/>
      <c r="CN282" s="304"/>
      <c r="CO282" s="304"/>
      <c r="CP282" s="304"/>
    </row>
    <row r="283" spans="1:94" s="87" customFormat="1">
      <c r="A283" s="81"/>
      <c r="B283" s="83"/>
      <c r="C283" s="82"/>
      <c r="D283" s="102"/>
      <c r="E283" s="102"/>
      <c r="F283" s="102"/>
      <c r="G283" s="225"/>
      <c r="H283" s="102"/>
      <c r="I283" s="218"/>
      <c r="J283" s="102"/>
      <c r="K283" s="102" t="str">
        <f t="shared" si="28"/>
        <v/>
      </c>
      <c r="L283" s="221"/>
      <c r="M283" s="325"/>
      <c r="N283" s="94"/>
      <c r="O283" s="326"/>
      <c r="P283" s="84"/>
      <c r="Q283" s="88"/>
      <c r="R283" s="102">
        <f t="shared" si="27"/>
        <v>0</v>
      </c>
      <c r="S283" s="89"/>
      <c r="T283" s="100"/>
      <c r="U283" s="100"/>
      <c r="V283" s="100"/>
      <c r="W283" s="100"/>
      <c r="X283" s="100"/>
      <c r="Y283" s="83"/>
      <c r="Z283" s="304"/>
      <c r="AA283" s="304"/>
      <c r="AB283" s="304"/>
      <c r="AC283" s="304"/>
      <c r="AD283" s="304"/>
      <c r="AE283" s="304"/>
      <c r="AF283" s="304"/>
      <c r="AG283" s="304"/>
      <c r="AH283" s="304"/>
      <c r="AI283" s="304"/>
      <c r="AJ283" s="304"/>
      <c r="AK283" s="304"/>
      <c r="AL283" s="304"/>
      <c r="AM283" s="304"/>
      <c r="AN283" s="304"/>
      <c r="AO283" s="304"/>
      <c r="AP283" s="304"/>
      <c r="AQ283" s="304"/>
      <c r="AR283" s="304"/>
      <c r="AS283" s="304"/>
      <c r="AT283" s="304"/>
      <c r="AU283" s="304"/>
      <c r="AV283" s="304"/>
      <c r="AW283" s="304"/>
      <c r="AX283" s="304"/>
      <c r="AY283" s="304"/>
      <c r="AZ283" s="304"/>
      <c r="BA283" s="304"/>
      <c r="BB283" s="304"/>
      <c r="BC283" s="304"/>
      <c r="BD283" s="304"/>
      <c r="BE283" s="304"/>
      <c r="BF283" s="304"/>
      <c r="BG283" s="304"/>
      <c r="BH283" s="304"/>
      <c r="BI283" s="304"/>
      <c r="BJ283" s="304"/>
      <c r="BK283" s="304"/>
      <c r="BL283" s="304"/>
      <c r="BM283" s="304"/>
      <c r="BN283" s="304"/>
      <c r="BO283" s="304"/>
      <c r="BP283" s="304"/>
      <c r="BQ283" s="304"/>
      <c r="BR283" s="304"/>
      <c r="BS283" s="304"/>
      <c r="BT283" s="304"/>
      <c r="BU283" s="304"/>
      <c r="BV283" s="304"/>
      <c r="BW283" s="304"/>
      <c r="BX283" s="304"/>
      <c r="BY283" s="304"/>
      <c r="BZ283" s="304"/>
      <c r="CA283" s="304"/>
      <c r="CB283" s="304"/>
      <c r="CC283" s="304"/>
      <c r="CD283" s="304"/>
      <c r="CE283" s="304"/>
      <c r="CF283" s="304"/>
      <c r="CG283" s="304"/>
      <c r="CH283" s="304"/>
      <c r="CI283" s="304"/>
      <c r="CJ283" s="304"/>
      <c r="CK283" s="304"/>
      <c r="CL283" s="304"/>
      <c r="CM283" s="304"/>
      <c r="CN283" s="304"/>
      <c r="CO283" s="304"/>
      <c r="CP283" s="304"/>
    </row>
    <row r="284" spans="1:94" s="87" customFormat="1">
      <c r="A284" s="81"/>
      <c r="B284" s="83"/>
      <c r="C284" s="82"/>
      <c r="D284" s="102"/>
      <c r="E284" s="102"/>
      <c r="F284" s="102"/>
      <c r="G284" s="225"/>
      <c r="H284" s="102"/>
      <c r="I284" s="218"/>
      <c r="J284" s="102"/>
      <c r="K284" s="102" t="str">
        <f t="shared" si="28"/>
        <v/>
      </c>
      <c r="L284" s="221"/>
      <c r="M284" s="325"/>
      <c r="N284" s="94"/>
      <c r="O284" s="326"/>
      <c r="P284" s="84"/>
      <c r="Q284" s="88"/>
      <c r="R284" s="102">
        <f t="shared" si="27"/>
        <v>0</v>
      </c>
      <c r="S284" s="89"/>
      <c r="T284" s="100"/>
      <c r="U284" s="100"/>
      <c r="V284" s="100"/>
      <c r="W284" s="100"/>
      <c r="X284" s="100"/>
      <c r="Y284" s="83"/>
      <c r="Z284" s="304"/>
      <c r="AA284" s="304"/>
      <c r="AB284" s="304"/>
      <c r="AC284" s="304"/>
      <c r="AD284" s="304"/>
      <c r="AE284" s="304"/>
      <c r="AF284" s="304"/>
      <c r="AG284" s="304"/>
      <c r="AH284" s="304"/>
      <c r="AI284" s="304"/>
      <c r="AJ284" s="304"/>
      <c r="AK284" s="304"/>
      <c r="AL284" s="304"/>
      <c r="AM284" s="304"/>
      <c r="AN284" s="304"/>
      <c r="AO284" s="304"/>
      <c r="AP284" s="304"/>
      <c r="AQ284" s="304"/>
      <c r="AR284" s="304"/>
      <c r="AS284" s="304"/>
      <c r="AT284" s="304"/>
      <c r="AU284" s="304"/>
      <c r="AV284" s="304"/>
      <c r="AW284" s="304"/>
      <c r="AX284" s="304"/>
      <c r="AY284" s="304"/>
      <c r="AZ284" s="304"/>
      <c r="BA284" s="304"/>
      <c r="BB284" s="304"/>
      <c r="BC284" s="304"/>
      <c r="BD284" s="304"/>
      <c r="BE284" s="304"/>
      <c r="BF284" s="304"/>
      <c r="BG284" s="304"/>
      <c r="BH284" s="304"/>
      <c r="BI284" s="304"/>
      <c r="BJ284" s="304"/>
      <c r="BK284" s="304"/>
      <c r="BL284" s="304"/>
      <c r="BM284" s="304"/>
      <c r="BN284" s="304"/>
      <c r="BO284" s="304"/>
      <c r="BP284" s="304"/>
      <c r="BQ284" s="304"/>
      <c r="BR284" s="304"/>
      <c r="BS284" s="304"/>
      <c r="BT284" s="304"/>
      <c r="BU284" s="304"/>
      <c r="BV284" s="304"/>
      <c r="BW284" s="304"/>
      <c r="BX284" s="304"/>
      <c r="BY284" s="304"/>
      <c r="BZ284" s="304"/>
      <c r="CA284" s="304"/>
      <c r="CB284" s="304"/>
      <c r="CC284" s="304"/>
      <c r="CD284" s="304"/>
      <c r="CE284" s="304"/>
      <c r="CF284" s="304"/>
      <c r="CG284" s="304"/>
      <c r="CH284" s="304"/>
      <c r="CI284" s="304"/>
      <c r="CJ284" s="304"/>
      <c r="CK284" s="304"/>
      <c r="CL284" s="304"/>
      <c r="CM284" s="304"/>
      <c r="CN284" s="304"/>
      <c r="CO284" s="304"/>
      <c r="CP284" s="304"/>
    </row>
    <row r="285" spans="1:94" s="87" customFormat="1">
      <c r="A285" s="81"/>
      <c r="B285" s="83"/>
      <c r="C285" s="82"/>
      <c r="D285" s="102"/>
      <c r="E285" s="102"/>
      <c r="F285" s="102"/>
      <c r="G285" s="225"/>
      <c r="H285" s="102"/>
      <c r="I285" s="218"/>
      <c r="J285" s="102"/>
      <c r="K285" s="102" t="str">
        <f t="shared" si="28"/>
        <v/>
      </c>
      <c r="L285" s="221"/>
      <c r="M285" s="325"/>
      <c r="N285" s="94"/>
      <c r="O285" s="326"/>
      <c r="P285" s="84"/>
      <c r="Q285" s="88"/>
      <c r="R285" s="102">
        <f t="shared" si="27"/>
        <v>0</v>
      </c>
      <c r="S285" s="89"/>
      <c r="T285" s="100"/>
      <c r="U285" s="100"/>
      <c r="V285" s="100"/>
      <c r="W285" s="100"/>
      <c r="X285" s="100"/>
      <c r="Y285" s="83"/>
      <c r="Z285" s="304"/>
      <c r="AA285" s="304"/>
      <c r="AB285" s="304"/>
      <c r="AC285" s="304"/>
      <c r="AD285" s="304"/>
      <c r="AE285" s="304"/>
      <c r="AF285" s="304"/>
      <c r="AG285" s="304"/>
      <c r="AH285" s="304"/>
      <c r="AI285" s="304"/>
      <c r="AJ285" s="304"/>
      <c r="AK285" s="304"/>
      <c r="AL285" s="304"/>
      <c r="AM285" s="304"/>
      <c r="AN285" s="304"/>
      <c r="AO285" s="304"/>
      <c r="AP285" s="304"/>
      <c r="AQ285" s="304"/>
      <c r="AR285" s="304"/>
      <c r="AS285" s="304"/>
      <c r="AT285" s="304"/>
      <c r="AU285" s="304"/>
      <c r="AV285" s="304"/>
      <c r="AW285" s="304"/>
      <c r="AX285" s="304"/>
      <c r="AY285" s="304"/>
      <c r="AZ285" s="304"/>
      <c r="BA285" s="304"/>
      <c r="BB285" s="304"/>
      <c r="BC285" s="304"/>
      <c r="BD285" s="304"/>
      <c r="BE285" s="304"/>
      <c r="BF285" s="304"/>
      <c r="BG285" s="304"/>
      <c r="BH285" s="304"/>
      <c r="BI285" s="304"/>
      <c r="BJ285" s="304"/>
      <c r="BK285" s="304"/>
      <c r="BL285" s="304"/>
      <c r="BM285" s="304"/>
      <c r="BN285" s="304"/>
      <c r="BO285" s="304"/>
      <c r="BP285" s="304"/>
      <c r="BQ285" s="304"/>
      <c r="BR285" s="304"/>
      <c r="BS285" s="304"/>
      <c r="BT285" s="304"/>
      <c r="BU285" s="304"/>
      <c r="BV285" s="304"/>
      <c r="BW285" s="304"/>
      <c r="BX285" s="304"/>
      <c r="BY285" s="304"/>
      <c r="BZ285" s="304"/>
      <c r="CA285" s="304"/>
      <c r="CB285" s="304"/>
      <c r="CC285" s="304"/>
      <c r="CD285" s="304"/>
      <c r="CE285" s="304"/>
      <c r="CF285" s="304"/>
      <c r="CG285" s="304"/>
      <c r="CH285" s="304"/>
      <c r="CI285" s="304"/>
      <c r="CJ285" s="304"/>
      <c r="CK285" s="304"/>
      <c r="CL285" s="304"/>
      <c r="CM285" s="304"/>
      <c r="CN285" s="304"/>
      <c r="CO285" s="304"/>
      <c r="CP285" s="304"/>
    </row>
    <row r="286" spans="1:94" s="87" customFormat="1">
      <c r="A286" s="81"/>
      <c r="B286" s="83"/>
      <c r="C286" s="82"/>
      <c r="D286" s="102"/>
      <c r="E286" s="102"/>
      <c r="F286" s="102"/>
      <c r="G286" s="225"/>
      <c r="H286" s="102"/>
      <c r="I286" s="218"/>
      <c r="J286" s="102"/>
      <c r="K286" s="102" t="str">
        <f t="shared" si="28"/>
        <v/>
      </c>
      <c r="L286" s="221"/>
      <c r="M286" s="325"/>
      <c r="N286" s="94"/>
      <c r="O286" s="326"/>
      <c r="P286" s="84"/>
      <c r="Q286" s="88"/>
      <c r="R286" s="102">
        <f t="shared" si="27"/>
        <v>0</v>
      </c>
      <c r="S286" s="89"/>
      <c r="T286" s="100"/>
      <c r="U286" s="100"/>
      <c r="V286" s="100"/>
      <c r="W286" s="100"/>
      <c r="X286" s="100"/>
      <c r="Y286" s="83"/>
      <c r="Z286" s="304"/>
      <c r="AA286" s="304"/>
      <c r="AB286" s="304"/>
      <c r="AC286" s="304"/>
      <c r="AD286" s="304"/>
      <c r="AE286" s="304"/>
      <c r="AF286" s="304"/>
      <c r="AG286" s="304"/>
      <c r="AH286" s="304"/>
      <c r="AI286" s="304"/>
      <c r="AJ286" s="304"/>
      <c r="AK286" s="304"/>
      <c r="AL286" s="304"/>
      <c r="AM286" s="304"/>
      <c r="AN286" s="304"/>
      <c r="AO286" s="304"/>
      <c r="AP286" s="304"/>
      <c r="AQ286" s="304"/>
      <c r="AR286" s="304"/>
      <c r="AS286" s="304"/>
      <c r="AT286" s="304"/>
      <c r="AU286" s="304"/>
      <c r="AV286" s="304"/>
      <c r="AW286" s="304"/>
      <c r="AX286" s="304"/>
      <c r="AY286" s="304"/>
      <c r="AZ286" s="304"/>
      <c r="BA286" s="304"/>
      <c r="BB286" s="304"/>
      <c r="BC286" s="304"/>
      <c r="BD286" s="304"/>
      <c r="BE286" s="304"/>
      <c r="BF286" s="304"/>
      <c r="BG286" s="304"/>
      <c r="BH286" s="304"/>
      <c r="BI286" s="304"/>
      <c r="BJ286" s="304"/>
      <c r="BK286" s="304"/>
      <c r="BL286" s="304"/>
      <c r="BM286" s="304"/>
      <c r="BN286" s="304"/>
      <c r="BO286" s="304"/>
      <c r="BP286" s="304"/>
      <c r="BQ286" s="304"/>
      <c r="BR286" s="304"/>
      <c r="BS286" s="304"/>
      <c r="BT286" s="304"/>
      <c r="BU286" s="304"/>
      <c r="BV286" s="304"/>
      <c r="BW286" s="304"/>
      <c r="BX286" s="304"/>
      <c r="BY286" s="304"/>
      <c r="BZ286" s="304"/>
      <c r="CA286" s="304"/>
      <c r="CB286" s="304"/>
      <c r="CC286" s="304"/>
      <c r="CD286" s="304"/>
      <c r="CE286" s="304"/>
      <c r="CF286" s="304"/>
      <c r="CG286" s="304"/>
      <c r="CH286" s="304"/>
      <c r="CI286" s="304"/>
      <c r="CJ286" s="304"/>
      <c r="CK286" s="304"/>
      <c r="CL286" s="304"/>
      <c r="CM286" s="304"/>
      <c r="CN286" s="304"/>
      <c r="CO286" s="304"/>
      <c r="CP286" s="304"/>
    </row>
    <row r="287" spans="1:94" s="87" customFormat="1">
      <c r="A287" s="81"/>
      <c r="B287" s="83"/>
      <c r="C287" s="82"/>
      <c r="D287" s="102"/>
      <c r="E287" s="102"/>
      <c r="F287" s="102"/>
      <c r="G287" s="225"/>
      <c r="H287" s="102"/>
      <c r="I287" s="218"/>
      <c r="J287" s="102"/>
      <c r="K287" s="102" t="str">
        <f t="shared" si="28"/>
        <v/>
      </c>
      <c r="L287" s="221"/>
      <c r="M287" s="325"/>
      <c r="N287" s="94"/>
      <c r="O287" s="326"/>
      <c r="P287" s="84"/>
      <c r="Q287" s="88"/>
      <c r="R287" s="102">
        <f t="shared" si="27"/>
        <v>0</v>
      </c>
      <c r="S287" s="89"/>
      <c r="T287" s="100"/>
      <c r="U287" s="100"/>
      <c r="V287" s="100"/>
      <c r="W287" s="100"/>
      <c r="X287" s="100"/>
      <c r="Y287" s="83"/>
      <c r="Z287" s="304"/>
      <c r="AA287" s="304"/>
      <c r="AB287" s="304"/>
      <c r="AC287" s="304"/>
      <c r="AD287" s="304"/>
      <c r="AE287" s="304"/>
      <c r="AF287" s="304"/>
      <c r="AG287" s="304"/>
      <c r="AH287" s="304"/>
      <c r="AI287" s="304"/>
      <c r="AJ287" s="304"/>
      <c r="AK287" s="304"/>
      <c r="AL287" s="304"/>
      <c r="AM287" s="304"/>
      <c r="AN287" s="304"/>
      <c r="AO287" s="304"/>
      <c r="AP287" s="304"/>
      <c r="AQ287" s="304"/>
      <c r="AR287" s="304"/>
      <c r="AS287" s="304"/>
      <c r="AT287" s="304"/>
      <c r="AU287" s="304"/>
      <c r="AV287" s="304"/>
      <c r="AW287" s="304"/>
      <c r="AX287" s="304"/>
      <c r="AY287" s="304"/>
      <c r="AZ287" s="304"/>
      <c r="BA287" s="304"/>
      <c r="BB287" s="304"/>
      <c r="BC287" s="304"/>
      <c r="BD287" s="304"/>
      <c r="BE287" s="304"/>
      <c r="BF287" s="304"/>
      <c r="BG287" s="304"/>
      <c r="BH287" s="304"/>
      <c r="BI287" s="304"/>
      <c r="BJ287" s="304"/>
      <c r="BK287" s="304"/>
      <c r="BL287" s="304"/>
      <c r="BM287" s="304"/>
      <c r="BN287" s="304"/>
      <c r="BO287" s="304"/>
      <c r="BP287" s="304"/>
      <c r="BQ287" s="304"/>
      <c r="BR287" s="304"/>
      <c r="BS287" s="304"/>
      <c r="BT287" s="304"/>
      <c r="BU287" s="304"/>
      <c r="BV287" s="304"/>
      <c r="BW287" s="304"/>
      <c r="BX287" s="304"/>
      <c r="BY287" s="304"/>
      <c r="BZ287" s="304"/>
      <c r="CA287" s="304"/>
      <c r="CB287" s="304"/>
      <c r="CC287" s="304"/>
      <c r="CD287" s="304"/>
      <c r="CE287" s="304"/>
      <c r="CF287" s="304"/>
      <c r="CG287" s="304"/>
      <c r="CH287" s="304"/>
      <c r="CI287" s="304"/>
      <c r="CJ287" s="304"/>
      <c r="CK287" s="304"/>
      <c r="CL287" s="304"/>
      <c r="CM287" s="304"/>
      <c r="CN287" s="304"/>
      <c r="CO287" s="304"/>
      <c r="CP287" s="304"/>
    </row>
    <row r="288" spans="1:94" s="87" customFormat="1">
      <c r="A288" s="81"/>
      <c r="B288" s="83"/>
      <c r="C288" s="82"/>
      <c r="D288" s="102"/>
      <c r="E288" s="102"/>
      <c r="F288" s="102"/>
      <c r="G288" s="225"/>
      <c r="H288" s="102"/>
      <c r="I288" s="218"/>
      <c r="J288" s="102"/>
      <c r="K288" s="102" t="str">
        <f t="shared" si="28"/>
        <v/>
      </c>
      <c r="L288" s="221"/>
      <c r="M288" s="325"/>
      <c r="N288" s="94"/>
      <c r="O288" s="326"/>
      <c r="P288" s="84"/>
      <c r="Q288" s="88"/>
      <c r="R288" s="102">
        <f t="shared" si="27"/>
        <v>0</v>
      </c>
      <c r="S288" s="89"/>
      <c r="T288" s="100"/>
      <c r="U288" s="100"/>
      <c r="V288" s="100"/>
      <c r="W288" s="100"/>
      <c r="X288" s="100"/>
      <c r="Y288" s="83"/>
      <c r="Z288" s="304"/>
      <c r="AA288" s="304"/>
      <c r="AB288" s="304"/>
      <c r="AC288" s="304"/>
      <c r="AD288" s="304"/>
      <c r="AE288" s="304"/>
      <c r="AF288" s="304"/>
      <c r="AG288" s="304"/>
      <c r="AH288" s="304"/>
      <c r="AI288" s="304"/>
      <c r="AJ288" s="304"/>
      <c r="AK288" s="304"/>
      <c r="AL288" s="304"/>
      <c r="AM288" s="304"/>
      <c r="AN288" s="304"/>
      <c r="AO288" s="304"/>
      <c r="AP288" s="304"/>
      <c r="AQ288" s="304"/>
      <c r="AR288" s="304"/>
      <c r="AS288" s="304"/>
      <c r="AT288" s="304"/>
      <c r="AU288" s="304"/>
      <c r="AV288" s="304"/>
      <c r="AW288" s="304"/>
      <c r="AX288" s="304"/>
      <c r="AY288" s="304"/>
      <c r="AZ288" s="304"/>
      <c r="BA288" s="304"/>
      <c r="BB288" s="304"/>
      <c r="BC288" s="304"/>
      <c r="BD288" s="304"/>
      <c r="BE288" s="304"/>
      <c r="BF288" s="304"/>
      <c r="BG288" s="304"/>
      <c r="BH288" s="304"/>
      <c r="BI288" s="304"/>
      <c r="BJ288" s="304"/>
      <c r="BK288" s="304"/>
      <c r="BL288" s="304"/>
      <c r="BM288" s="304"/>
      <c r="BN288" s="304"/>
      <c r="BO288" s="304"/>
      <c r="BP288" s="304"/>
      <c r="BQ288" s="304"/>
      <c r="BR288" s="304"/>
      <c r="BS288" s="304"/>
      <c r="BT288" s="304"/>
      <c r="BU288" s="304"/>
      <c r="BV288" s="304"/>
      <c r="BW288" s="304"/>
      <c r="BX288" s="304"/>
      <c r="BY288" s="304"/>
      <c r="BZ288" s="304"/>
      <c r="CA288" s="304"/>
      <c r="CB288" s="304"/>
      <c r="CC288" s="304"/>
      <c r="CD288" s="304"/>
      <c r="CE288" s="304"/>
      <c r="CF288" s="304"/>
      <c r="CG288" s="304"/>
      <c r="CH288" s="304"/>
      <c r="CI288" s="304"/>
      <c r="CJ288" s="304"/>
      <c r="CK288" s="304"/>
      <c r="CL288" s="304"/>
      <c r="CM288" s="304"/>
      <c r="CN288" s="304"/>
      <c r="CO288" s="304"/>
      <c r="CP288" s="304"/>
    </row>
    <row r="289" spans="1:94" s="87" customFormat="1">
      <c r="A289" s="81"/>
      <c r="B289" s="83"/>
      <c r="C289" s="82"/>
      <c r="D289" s="102"/>
      <c r="E289" s="102"/>
      <c r="F289" s="102"/>
      <c r="G289" s="225"/>
      <c r="H289" s="102"/>
      <c r="I289" s="218"/>
      <c r="J289" s="102"/>
      <c r="K289" s="102" t="str">
        <f t="shared" si="28"/>
        <v/>
      </c>
      <c r="L289" s="221"/>
      <c r="M289" s="325"/>
      <c r="N289" s="94"/>
      <c r="O289" s="326"/>
      <c r="P289" s="84"/>
      <c r="Q289" s="88"/>
      <c r="R289" s="102">
        <f t="shared" si="27"/>
        <v>0</v>
      </c>
      <c r="S289" s="89"/>
      <c r="T289" s="100"/>
      <c r="U289" s="100"/>
      <c r="V289" s="100"/>
      <c r="W289" s="100"/>
      <c r="X289" s="100"/>
      <c r="Y289" s="83"/>
      <c r="Z289" s="304"/>
      <c r="AA289" s="304"/>
      <c r="AB289" s="304"/>
      <c r="AC289" s="304"/>
      <c r="AD289" s="304"/>
      <c r="AE289" s="304"/>
      <c r="AF289" s="304"/>
      <c r="AG289" s="304"/>
      <c r="AH289" s="304"/>
      <c r="AI289" s="304"/>
      <c r="AJ289" s="304"/>
      <c r="AK289" s="304"/>
      <c r="AL289" s="304"/>
      <c r="AM289" s="304"/>
      <c r="AN289" s="304"/>
      <c r="AO289" s="304"/>
      <c r="AP289" s="304"/>
      <c r="AQ289" s="304"/>
      <c r="AR289" s="304"/>
      <c r="AS289" s="304"/>
      <c r="AT289" s="304"/>
      <c r="AU289" s="304"/>
      <c r="AV289" s="304"/>
      <c r="AW289" s="304"/>
      <c r="AX289" s="304"/>
      <c r="AY289" s="304"/>
      <c r="AZ289" s="304"/>
      <c r="BA289" s="304"/>
      <c r="BB289" s="304"/>
      <c r="BC289" s="304"/>
      <c r="BD289" s="304"/>
      <c r="BE289" s="304"/>
      <c r="BF289" s="304"/>
      <c r="BG289" s="304"/>
      <c r="BH289" s="304"/>
      <c r="BI289" s="304"/>
      <c r="BJ289" s="304"/>
      <c r="BK289" s="304"/>
      <c r="BL289" s="304"/>
      <c r="BM289" s="304"/>
      <c r="BN289" s="304"/>
      <c r="BO289" s="304"/>
      <c r="BP289" s="304"/>
      <c r="BQ289" s="304"/>
      <c r="BR289" s="304"/>
      <c r="BS289" s="304"/>
      <c r="BT289" s="304"/>
      <c r="BU289" s="304"/>
      <c r="BV289" s="304"/>
      <c r="BW289" s="304"/>
      <c r="BX289" s="304"/>
      <c r="BY289" s="304"/>
      <c r="BZ289" s="304"/>
      <c r="CA289" s="304"/>
      <c r="CB289" s="304"/>
      <c r="CC289" s="304"/>
      <c r="CD289" s="304"/>
      <c r="CE289" s="304"/>
      <c r="CF289" s="304"/>
      <c r="CG289" s="304"/>
      <c r="CH289" s="304"/>
      <c r="CI289" s="304"/>
      <c r="CJ289" s="304"/>
      <c r="CK289" s="304"/>
      <c r="CL289" s="304"/>
      <c r="CM289" s="304"/>
      <c r="CN289" s="304"/>
      <c r="CO289" s="304"/>
      <c r="CP289" s="304"/>
    </row>
    <row r="290" spans="1:94" s="87" customFormat="1">
      <c r="A290" s="81"/>
      <c r="B290" s="83"/>
      <c r="C290" s="82"/>
      <c r="D290" s="102"/>
      <c r="E290" s="102"/>
      <c r="F290" s="102"/>
      <c r="G290" s="225"/>
      <c r="H290" s="102"/>
      <c r="I290" s="218"/>
      <c r="J290" s="102"/>
      <c r="K290" s="102" t="str">
        <f t="shared" si="28"/>
        <v/>
      </c>
      <c r="L290" s="221"/>
      <c r="M290" s="325"/>
      <c r="N290" s="94"/>
      <c r="O290" s="326"/>
      <c r="P290" s="84"/>
      <c r="Q290" s="88"/>
      <c r="R290" s="102">
        <f t="shared" si="27"/>
        <v>0</v>
      </c>
      <c r="S290" s="89"/>
      <c r="T290" s="100"/>
      <c r="U290" s="100"/>
      <c r="V290" s="100"/>
      <c r="W290" s="100"/>
      <c r="X290" s="100"/>
      <c r="Y290" s="83"/>
      <c r="Z290" s="304"/>
      <c r="AA290" s="304"/>
      <c r="AB290" s="304"/>
      <c r="AC290" s="304"/>
      <c r="AD290" s="304"/>
      <c r="AE290" s="304"/>
      <c r="AF290" s="304"/>
      <c r="AG290" s="304"/>
      <c r="AH290" s="304"/>
      <c r="AI290" s="304"/>
      <c r="AJ290" s="304"/>
      <c r="AK290" s="304"/>
      <c r="AL290" s="304"/>
      <c r="AM290" s="304"/>
      <c r="AN290" s="304"/>
      <c r="AO290" s="304"/>
      <c r="AP290" s="304"/>
      <c r="AQ290" s="304"/>
      <c r="AR290" s="304"/>
      <c r="AS290" s="304"/>
      <c r="AT290" s="304"/>
      <c r="AU290" s="304"/>
      <c r="AV290" s="304"/>
      <c r="AW290" s="304"/>
      <c r="AX290" s="304"/>
      <c r="AY290" s="304"/>
      <c r="AZ290" s="304"/>
      <c r="BA290" s="304"/>
      <c r="BB290" s="304"/>
      <c r="BC290" s="304"/>
      <c r="BD290" s="304"/>
      <c r="BE290" s="304"/>
      <c r="BF290" s="304"/>
      <c r="BG290" s="304"/>
      <c r="BH290" s="304"/>
      <c r="BI290" s="304"/>
      <c r="BJ290" s="304"/>
      <c r="BK290" s="304"/>
      <c r="BL290" s="304"/>
      <c r="BM290" s="304"/>
      <c r="BN290" s="304"/>
      <c r="BO290" s="304"/>
      <c r="BP290" s="304"/>
      <c r="BQ290" s="304"/>
      <c r="BR290" s="304"/>
      <c r="BS290" s="304"/>
      <c r="BT290" s="304"/>
      <c r="BU290" s="304"/>
      <c r="BV290" s="304"/>
      <c r="BW290" s="304"/>
      <c r="BX290" s="304"/>
      <c r="BY290" s="304"/>
      <c r="BZ290" s="304"/>
      <c r="CA290" s="304"/>
      <c r="CB290" s="304"/>
      <c r="CC290" s="304"/>
      <c r="CD290" s="304"/>
      <c r="CE290" s="304"/>
      <c r="CF290" s="304"/>
      <c r="CG290" s="304"/>
      <c r="CH290" s="304"/>
      <c r="CI290" s="304"/>
      <c r="CJ290" s="304"/>
      <c r="CK290" s="304"/>
      <c r="CL290" s="304"/>
      <c r="CM290" s="304"/>
      <c r="CN290" s="304"/>
      <c r="CO290" s="304"/>
      <c r="CP290" s="304"/>
    </row>
    <row r="291" spans="1:94" s="87" customFormat="1">
      <c r="A291" s="81"/>
      <c r="B291" s="83"/>
      <c r="C291" s="82"/>
      <c r="D291" s="102"/>
      <c r="E291" s="102"/>
      <c r="F291" s="102"/>
      <c r="G291" s="225"/>
      <c r="H291" s="102"/>
      <c r="I291" s="218"/>
      <c r="J291" s="102"/>
      <c r="K291" s="102" t="str">
        <f t="shared" si="28"/>
        <v/>
      </c>
      <c r="L291" s="221"/>
      <c r="M291" s="325"/>
      <c r="N291" s="94"/>
      <c r="O291" s="326"/>
      <c r="P291" s="84"/>
      <c r="Q291" s="88"/>
      <c r="R291" s="102">
        <f t="shared" si="27"/>
        <v>0</v>
      </c>
      <c r="S291" s="89"/>
      <c r="T291" s="100"/>
      <c r="U291" s="100"/>
      <c r="V291" s="100"/>
      <c r="W291" s="100"/>
      <c r="X291" s="100"/>
      <c r="Y291" s="83"/>
      <c r="Z291" s="304"/>
      <c r="AA291" s="304"/>
      <c r="AB291" s="304"/>
      <c r="AC291" s="304"/>
      <c r="AD291" s="304"/>
      <c r="AE291" s="304"/>
      <c r="AF291" s="304"/>
      <c r="AG291" s="304"/>
      <c r="AH291" s="304"/>
      <c r="AI291" s="304"/>
      <c r="AJ291" s="304"/>
      <c r="AK291" s="304"/>
      <c r="AL291" s="304"/>
      <c r="AM291" s="304"/>
      <c r="AN291" s="304"/>
      <c r="AO291" s="304"/>
      <c r="AP291" s="304"/>
      <c r="AQ291" s="304"/>
      <c r="AR291" s="304"/>
      <c r="AS291" s="304"/>
      <c r="AT291" s="304"/>
      <c r="AU291" s="304"/>
      <c r="AV291" s="304"/>
      <c r="AW291" s="304"/>
      <c r="AX291" s="304"/>
      <c r="AY291" s="304"/>
      <c r="AZ291" s="304"/>
      <c r="BA291" s="304"/>
      <c r="BB291" s="304"/>
      <c r="BC291" s="304"/>
      <c r="BD291" s="304"/>
      <c r="BE291" s="304"/>
      <c r="BF291" s="304"/>
      <c r="BG291" s="304"/>
      <c r="BH291" s="304"/>
      <c r="BI291" s="304"/>
      <c r="BJ291" s="304"/>
      <c r="BK291" s="304"/>
      <c r="BL291" s="304"/>
      <c r="BM291" s="304"/>
      <c r="BN291" s="304"/>
      <c r="BO291" s="304"/>
      <c r="BP291" s="304"/>
      <c r="BQ291" s="304"/>
      <c r="BR291" s="304"/>
      <c r="BS291" s="304"/>
      <c r="BT291" s="304"/>
      <c r="BU291" s="304"/>
      <c r="BV291" s="304"/>
      <c r="BW291" s="304"/>
      <c r="BX291" s="304"/>
      <c r="BY291" s="304"/>
      <c r="BZ291" s="304"/>
      <c r="CA291" s="304"/>
      <c r="CB291" s="304"/>
      <c r="CC291" s="304"/>
      <c r="CD291" s="304"/>
      <c r="CE291" s="304"/>
      <c r="CF291" s="304"/>
      <c r="CG291" s="304"/>
      <c r="CH291" s="304"/>
      <c r="CI291" s="304"/>
      <c r="CJ291" s="304"/>
      <c r="CK291" s="304"/>
      <c r="CL291" s="304"/>
      <c r="CM291" s="304"/>
      <c r="CN291" s="304"/>
      <c r="CO291" s="304"/>
      <c r="CP291" s="304"/>
    </row>
    <row r="292" spans="1:94" s="87" customFormat="1">
      <c r="A292" s="81"/>
      <c r="B292" s="83"/>
      <c r="C292" s="82"/>
      <c r="D292" s="102"/>
      <c r="E292" s="102"/>
      <c r="F292" s="102"/>
      <c r="G292" s="225"/>
      <c r="H292" s="102"/>
      <c r="I292" s="218"/>
      <c r="J292" s="102"/>
      <c r="K292" s="102" t="str">
        <f t="shared" si="28"/>
        <v/>
      </c>
      <c r="L292" s="221"/>
      <c r="M292" s="325"/>
      <c r="N292" s="94"/>
      <c r="O292" s="326"/>
      <c r="P292" s="84"/>
      <c r="Q292" s="88"/>
      <c r="R292" s="102">
        <f t="shared" si="27"/>
        <v>0</v>
      </c>
      <c r="S292" s="89"/>
      <c r="T292" s="100"/>
      <c r="U292" s="100"/>
      <c r="V292" s="100"/>
      <c r="W292" s="100"/>
      <c r="X292" s="100"/>
      <c r="Y292" s="83"/>
      <c r="Z292" s="304"/>
      <c r="AA292" s="304"/>
      <c r="AB292" s="304"/>
      <c r="AC292" s="304"/>
      <c r="AD292" s="304"/>
      <c r="AE292" s="304"/>
      <c r="AF292" s="304"/>
      <c r="AG292" s="304"/>
      <c r="AH292" s="304"/>
      <c r="AI292" s="304"/>
      <c r="AJ292" s="304"/>
      <c r="AK292" s="304"/>
      <c r="AL292" s="304"/>
      <c r="AM292" s="304"/>
      <c r="AN292" s="304"/>
      <c r="AO292" s="304"/>
      <c r="AP292" s="304"/>
      <c r="AQ292" s="304"/>
      <c r="AR292" s="304"/>
      <c r="AS292" s="304"/>
      <c r="AT292" s="304"/>
      <c r="AU292" s="304"/>
      <c r="AV292" s="304"/>
      <c r="AW292" s="304"/>
      <c r="AX292" s="304"/>
      <c r="AY292" s="304"/>
      <c r="AZ292" s="304"/>
      <c r="BA292" s="304"/>
      <c r="BB292" s="304"/>
      <c r="BC292" s="304"/>
      <c r="BD292" s="304"/>
      <c r="BE292" s="304"/>
      <c r="BF292" s="304"/>
      <c r="BG292" s="304"/>
      <c r="BH292" s="304"/>
      <c r="BI292" s="304"/>
      <c r="BJ292" s="304"/>
      <c r="BK292" s="304"/>
      <c r="BL292" s="304"/>
      <c r="BM292" s="304"/>
      <c r="BN292" s="304"/>
      <c r="BO292" s="304"/>
      <c r="BP292" s="304"/>
      <c r="BQ292" s="304"/>
      <c r="BR292" s="304"/>
      <c r="BS292" s="304"/>
      <c r="BT292" s="304"/>
      <c r="BU292" s="304"/>
      <c r="BV292" s="304"/>
      <c r="BW292" s="304"/>
      <c r="BX292" s="304"/>
      <c r="BY292" s="304"/>
      <c r="BZ292" s="304"/>
      <c r="CA292" s="304"/>
      <c r="CB292" s="304"/>
      <c r="CC292" s="304"/>
      <c r="CD292" s="304"/>
      <c r="CE292" s="304"/>
      <c r="CF292" s="304"/>
      <c r="CG292" s="304"/>
      <c r="CH292" s="304"/>
      <c r="CI292" s="304"/>
      <c r="CJ292" s="304"/>
      <c r="CK292" s="304"/>
      <c r="CL292" s="304"/>
      <c r="CM292" s="304"/>
      <c r="CN292" s="304"/>
      <c r="CO292" s="304"/>
      <c r="CP292" s="304"/>
    </row>
    <row r="293" spans="1:94" s="87" customFormat="1">
      <c r="A293" s="81"/>
      <c r="B293" s="83"/>
      <c r="C293" s="82"/>
      <c r="D293" s="102"/>
      <c r="E293" s="102"/>
      <c r="F293" s="102"/>
      <c r="G293" s="225"/>
      <c r="H293" s="102"/>
      <c r="I293" s="218"/>
      <c r="J293" s="102"/>
      <c r="K293" s="102" t="str">
        <f t="shared" si="28"/>
        <v/>
      </c>
      <c r="L293" s="221"/>
      <c r="M293" s="325"/>
      <c r="N293" s="94"/>
      <c r="O293" s="326"/>
      <c r="P293" s="84"/>
      <c r="Q293" s="88"/>
      <c r="R293" s="102">
        <f t="shared" si="27"/>
        <v>0</v>
      </c>
      <c r="S293" s="89"/>
      <c r="T293" s="100"/>
      <c r="U293" s="100"/>
      <c r="V293" s="100"/>
      <c r="W293" s="100"/>
      <c r="X293" s="100"/>
      <c r="Y293" s="83"/>
      <c r="Z293" s="304"/>
      <c r="AA293" s="304"/>
      <c r="AB293" s="304"/>
      <c r="AC293" s="304"/>
      <c r="AD293" s="304"/>
      <c r="AE293" s="304"/>
      <c r="AF293" s="304"/>
      <c r="AG293" s="304"/>
      <c r="AH293" s="304"/>
      <c r="AI293" s="304"/>
      <c r="AJ293" s="304"/>
      <c r="AK293" s="304"/>
      <c r="AL293" s="304"/>
      <c r="AM293" s="304"/>
      <c r="AN293" s="304"/>
      <c r="AO293" s="304"/>
      <c r="AP293" s="304"/>
      <c r="AQ293" s="304"/>
      <c r="AR293" s="304"/>
      <c r="AS293" s="304"/>
      <c r="AT293" s="304"/>
      <c r="AU293" s="304"/>
      <c r="AV293" s="304"/>
      <c r="AW293" s="304"/>
      <c r="AX293" s="304"/>
      <c r="AY293" s="304"/>
      <c r="AZ293" s="304"/>
      <c r="BA293" s="304"/>
      <c r="BB293" s="304"/>
      <c r="BC293" s="304"/>
      <c r="BD293" s="304"/>
      <c r="BE293" s="304"/>
      <c r="BF293" s="304"/>
      <c r="BG293" s="304"/>
      <c r="BH293" s="304"/>
      <c r="BI293" s="304"/>
      <c r="BJ293" s="304"/>
      <c r="BK293" s="304"/>
      <c r="BL293" s="304"/>
      <c r="BM293" s="304"/>
      <c r="BN293" s="304"/>
      <c r="BO293" s="304"/>
      <c r="BP293" s="304"/>
      <c r="BQ293" s="304"/>
      <c r="BR293" s="304"/>
      <c r="BS293" s="304"/>
      <c r="BT293" s="304"/>
      <c r="BU293" s="304"/>
      <c r="BV293" s="304"/>
      <c r="BW293" s="304"/>
      <c r="BX293" s="304"/>
      <c r="BY293" s="304"/>
      <c r="BZ293" s="304"/>
      <c r="CA293" s="304"/>
      <c r="CB293" s="304"/>
      <c r="CC293" s="304"/>
      <c r="CD293" s="304"/>
      <c r="CE293" s="304"/>
      <c r="CF293" s="304"/>
      <c r="CG293" s="304"/>
      <c r="CH293" s="304"/>
      <c r="CI293" s="304"/>
      <c r="CJ293" s="304"/>
      <c r="CK293" s="304"/>
      <c r="CL293" s="304"/>
      <c r="CM293" s="304"/>
      <c r="CN293" s="304"/>
      <c r="CO293" s="304"/>
      <c r="CP293" s="304"/>
    </row>
    <row r="294" spans="1:94" s="87" customFormat="1">
      <c r="A294" s="81"/>
      <c r="B294" s="83"/>
      <c r="C294" s="82"/>
      <c r="D294" s="102"/>
      <c r="E294" s="102"/>
      <c r="F294" s="102"/>
      <c r="G294" s="225"/>
      <c r="H294" s="102"/>
      <c r="I294" s="218"/>
      <c r="J294" s="102"/>
      <c r="K294" s="102" t="str">
        <f t="shared" si="28"/>
        <v/>
      </c>
      <c r="L294" s="221"/>
      <c r="M294" s="325"/>
      <c r="N294" s="94"/>
      <c r="O294" s="326"/>
      <c r="P294" s="84"/>
      <c r="Q294" s="88"/>
      <c r="R294" s="102">
        <f t="shared" si="27"/>
        <v>0</v>
      </c>
      <c r="S294" s="89"/>
      <c r="T294" s="100"/>
      <c r="U294" s="100"/>
      <c r="V294" s="100"/>
      <c r="W294" s="100"/>
      <c r="X294" s="100"/>
      <c r="Y294" s="83"/>
      <c r="Z294" s="304"/>
      <c r="AA294" s="304"/>
      <c r="AB294" s="304"/>
      <c r="AC294" s="304"/>
      <c r="AD294" s="304"/>
      <c r="AE294" s="304"/>
      <c r="AF294" s="304"/>
      <c r="AG294" s="304"/>
      <c r="AH294" s="304"/>
      <c r="AI294" s="304"/>
      <c r="AJ294" s="304"/>
      <c r="AK294" s="304"/>
      <c r="AL294" s="304"/>
      <c r="AM294" s="304"/>
      <c r="AN294" s="304"/>
      <c r="AO294" s="304"/>
      <c r="AP294" s="304"/>
      <c r="AQ294" s="304"/>
      <c r="AR294" s="304"/>
      <c r="AS294" s="304"/>
      <c r="AT294" s="304"/>
      <c r="AU294" s="304"/>
      <c r="AV294" s="304"/>
      <c r="AW294" s="304"/>
      <c r="AX294" s="304"/>
      <c r="AY294" s="304"/>
      <c r="AZ294" s="304"/>
      <c r="BA294" s="304"/>
      <c r="BB294" s="304"/>
      <c r="BC294" s="304"/>
      <c r="BD294" s="304"/>
      <c r="BE294" s="304"/>
      <c r="BF294" s="304"/>
      <c r="BG294" s="304"/>
      <c r="BH294" s="304"/>
      <c r="BI294" s="304"/>
      <c r="BJ294" s="304"/>
      <c r="BK294" s="304"/>
      <c r="BL294" s="304"/>
      <c r="BM294" s="304"/>
      <c r="BN294" s="304"/>
      <c r="BO294" s="304"/>
      <c r="BP294" s="304"/>
      <c r="BQ294" s="304"/>
      <c r="BR294" s="304"/>
      <c r="BS294" s="304"/>
      <c r="BT294" s="304"/>
      <c r="BU294" s="304"/>
      <c r="BV294" s="304"/>
      <c r="BW294" s="304"/>
      <c r="BX294" s="304"/>
      <c r="BY294" s="304"/>
      <c r="BZ294" s="304"/>
      <c r="CA294" s="304"/>
      <c r="CB294" s="304"/>
      <c r="CC294" s="304"/>
      <c r="CD294" s="304"/>
      <c r="CE294" s="304"/>
      <c r="CF294" s="304"/>
      <c r="CG294" s="304"/>
      <c r="CH294" s="304"/>
      <c r="CI294" s="304"/>
      <c r="CJ294" s="304"/>
      <c r="CK294" s="304"/>
      <c r="CL294" s="304"/>
      <c r="CM294" s="304"/>
      <c r="CN294" s="304"/>
      <c r="CO294" s="304"/>
      <c r="CP294" s="304"/>
    </row>
    <row r="295" spans="1:94" s="87" customFormat="1">
      <c r="A295" s="81"/>
      <c r="B295" s="83"/>
      <c r="C295" s="82"/>
      <c r="D295" s="102"/>
      <c r="E295" s="102"/>
      <c r="F295" s="102"/>
      <c r="G295" s="225"/>
      <c r="H295" s="102"/>
      <c r="I295" s="218"/>
      <c r="J295" s="102"/>
      <c r="K295" s="102" t="str">
        <f t="shared" si="28"/>
        <v/>
      </c>
      <c r="L295" s="221"/>
      <c r="M295" s="325"/>
      <c r="N295" s="94"/>
      <c r="O295" s="326"/>
      <c r="P295" s="84"/>
      <c r="Q295" s="88"/>
      <c r="R295" s="102">
        <f t="shared" si="27"/>
        <v>0</v>
      </c>
      <c r="S295" s="89"/>
      <c r="T295" s="100"/>
      <c r="U295" s="100"/>
      <c r="V295" s="100"/>
      <c r="W295" s="100"/>
      <c r="X295" s="100"/>
      <c r="Y295" s="83"/>
      <c r="Z295" s="304"/>
      <c r="AA295" s="304"/>
      <c r="AB295" s="304"/>
      <c r="AC295" s="304"/>
      <c r="AD295" s="304"/>
      <c r="AE295" s="304"/>
      <c r="AF295" s="304"/>
      <c r="AG295" s="304"/>
      <c r="AH295" s="304"/>
      <c r="AI295" s="304"/>
      <c r="AJ295" s="304"/>
      <c r="AK295" s="304"/>
      <c r="AL295" s="304"/>
      <c r="AM295" s="304"/>
      <c r="AN295" s="304"/>
      <c r="AO295" s="304"/>
      <c r="AP295" s="304"/>
      <c r="AQ295" s="304"/>
      <c r="AR295" s="304"/>
      <c r="AS295" s="304"/>
      <c r="AT295" s="304"/>
      <c r="AU295" s="304"/>
      <c r="AV295" s="304"/>
      <c r="AW295" s="304"/>
      <c r="AX295" s="304"/>
      <c r="AY295" s="304"/>
      <c r="AZ295" s="304"/>
      <c r="BA295" s="304"/>
      <c r="BB295" s="304"/>
      <c r="BC295" s="304"/>
      <c r="BD295" s="304"/>
      <c r="BE295" s="304"/>
      <c r="BF295" s="304"/>
      <c r="BG295" s="304"/>
      <c r="BH295" s="304"/>
      <c r="BI295" s="304"/>
      <c r="BJ295" s="304"/>
      <c r="BK295" s="304"/>
      <c r="BL295" s="304"/>
      <c r="BM295" s="304"/>
      <c r="BN295" s="304"/>
      <c r="BO295" s="304"/>
      <c r="BP295" s="304"/>
      <c r="BQ295" s="304"/>
      <c r="BR295" s="304"/>
      <c r="BS295" s="304"/>
      <c r="BT295" s="304"/>
      <c r="BU295" s="304"/>
      <c r="BV295" s="304"/>
      <c r="BW295" s="304"/>
      <c r="BX295" s="304"/>
      <c r="BY295" s="304"/>
      <c r="BZ295" s="304"/>
      <c r="CA295" s="304"/>
      <c r="CB295" s="304"/>
      <c r="CC295" s="304"/>
      <c r="CD295" s="304"/>
      <c r="CE295" s="304"/>
      <c r="CF295" s="304"/>
      <c r="CG295" s="304"/>
      <c r="CH295" s="304"/>
      <c r="CI295" s="304"/>
      <c r="CJ295" s="304"/>
      <c r="CK295" s="304"/>
      <c r="CL295" s="304"/>
      <c r="CM295" s="304"/>
      <c r="CN295" s="304"/>
      <c r="CO295" s="304"/>
      <c r="CP295" s="304"/>
    </row>
    <row r="296" spans="1:94" s="87" customFormat="1">
      <c r="A296" s="81"/>
      <c r="B296" s="83"/>
      <c r="C296" s="82"/>
      <c r="D296" s="102"/>
      <c r="E296" s="102"/>
      <c r="F296" s="102"/>
      <c r="G296" s="225"/>
      <c r="H296" s="102"/>
      <c r="I296" s="218"/>
      <c r="J296" s="102"/>
      <c r="K296" s="102" t="str">
        <f t="shared" si="28"/>
        <v/>
      </c>
      <c r="L296" s="221"/>
      <c r="M296" s="325"/>
      <c r="N296" s="94"/>
      <c r="O296" s="326"/>
      <c r="P296" s="84"/>
      <c r="Q296" s="88"/>
      <c r="R296" s="102">
        <f t="shared" si="27"/>
        <v>0</v>
      </c>
      <c r="S296" s="89"/>
      <c r="T296" s="100"/>
      <c r="U296" s="100"/>
      <c r="V296" s="100"/>
      <c r="W296" s="100"/>
      <c r="X296" s="100"/>
      <c r="Y296" s="83"/>
      <c r="Z296" s="304"/>
      <c r="AA296" s="304"/>
      <c r="AB296" s="304"/>
      <c r="AC296" s="304"/>
      <c r="AD296" s="304"/>
      <c r="AE296" s="304"/>
      <c r="AF296" s="304"/>
      <c r="AG296" s="304"/>
      <c r="AH296" s="304"/>
      <c r="AI296" s="304"/>
      <c r="AJ296" s="304"/>
      <c r="AK296" s="304"/>
      <c r="AL296" s="304"/>
      <c r="AM296" s="304"/>
      <c r="AN296" s="304"/>
      <c r="AO296" s="304"/>
      <c r="AP296" s="304"/>
      <c r="AQ296" s="304"/>
      <c r="AR296" s="304"/>
      <c r="AS296" s="304"/>
      <c r="AT296" s="304"/>
      <c r="AU296" s="304"/>
      <c r="AV296" s="304"/>
      <c r="AW296" s="304"/>
      <c r="AX296" s="304"/>
      <c r="AY296" s="304"/>
      <c r="AZ296" s="304"/>
      <c r="BA296" s="304"/>
      <c r="BB296" s="304"/>
      <c r="BC296" s="304"/>
      <c r="BD296" s="304"/>
      <c r="BE296" s="304"/>
      <c r="BF296" s="304"/>
      <c r="BG296" s="304"/>
      <c r="BH296" s="304"/>
      <c r="BI296" s="304"/>
      <c r="BJ296" s="304"/>
      <c r="BK296" s="304"/>
      <c r="BL296" s="304"/>
      <c r="BM296" s="304"/>
      <c r="BN296" s="304"/>
      <c r="BO296" s="304"/>
      <c r="BP296" s="304"/>
      <c r="BQ296" s="304"/>
      <c r="BR296" s="304"/>
      <c r="BS296" s="304"/>
      <c r="BT296" s="304"/>
      <c r="BU296" s="304"/>
      <c r="BV296" s="304"/>
      <c r="BW296" s="304"/>
      <c r="BX296" s="304"/>
      <c r="BY296" s="304"/>
      <c r="BZ296" s="304"/>
      <c r="CA296" s="304"/>
      <c r="CB296" s="304"/>
      <c r="CC296" s="304"/>
      <c r="CD296" s="304"/>
      <c r="CE296" s="304"/>
      <c r="CF296" s="304"/>
      <c r="CG296" s="304"/>
      <c r="CH296" s="304"/>
      <c r="CI296" s="304"/>
      <c r="CJ296" s="304"/>
      <c r="CK296" s="304"/>
      <c r="CL296" s="304"/>
      <c r="CM296" s="304"/>
      <c r="CN296" s="304"/>
      <c r="CO296" s="304"/>
      <c r="CP296" s="304"/>
    </row>
    <row r="297" spans="1:94" s="87" customFormat="1">
      <c r="A297" s="81"/>
      <c r="B297" s="83"/>
      <c r="C297" s="82"/>
      <c r="D297" s="102"/>
      <c r="E297" s="102"/>
      <c r="F297" s="102"/>
      <c r="G297" s="225"/>
      <c r="H297" s="102"/>
      <c r="I297" s="218"/>
      <c r="J297" s="102"/>
      <c r="K297" s="102" t="str">
        <f t="shared" si="28"/>
        <v/>
      </c>
      <c r="L297" s="221"/>
      <c r="M297" s="325"/>
      <c r="N297" s="94"/>
      <c r="O297" s="326"/>
      <c r="P297" s="84"/>
      <c r="Q297" s="88"/>
      <c r="R297" s="102">
        <f t="shared" si="27"/>
        <v>0</v>
      </c>
      <c r="S297" s="89"/>
      <c r="T297" s="100"/>
      <c r="U297" s="100"/>
      <c r="V297" s="100"/>
      <c r="W297" s="100"/>
      <c r="X297" s="100"/>
      <c r="Y297" s="83"/>
      <c r="Z297" s="304"/>
      <c r="AA297" s="304"/>
      <c r="AB297" s="304"/>
      <c r="AC297" s="304"/>
      <c r="AD297" s="304"/>
      <c r="AE297" s="304"/>
      <c r="AF297" s="304"/>
      <c r="AG297" s="304"/>
      <c r="AH297" s="304"/>
      <c r="AI297" s="304"/>
      <c r="AJ297" s="304"/>
      <c r="AK297" s="304"/>
      <c r="AL297" s="304"/>
      <c r="AM297" s="304"/>
      <c r="AN297" s="304"/>
      <c r="AO297" s="304"/>
      <c r="AP297" s="304"/>
      <c r="AQ297" s="304"/>
      <c r="AR297" s="304"/>
      <c r="AS297" s="304"/>
      <c r="AT297" s="304"/>
      <c r="AU297" s="304"/>
      <c r="AV297" s="304"/>
      <c r="AW297" s="304"/>
      <c r="AX297" s="304"/>
      <c r="AY297" s="304"/>
      <c r="AZ297" s="304"/>
      <c r="BA297" s="304"/>
      <c r="BB297" s="304"/>
      <c r="BC297" s="304"/>
      <c r="BD297" s="304"/>
      <c r="BE297" s="304"/>
      <c r="BF297" s="304"/>
      <c r="BG297" s="304"/>
      <c r="BH297" s="304"/>
      <c r="BI297" s="304"/>
      <c r="BJ297" s="304"/>
      <c r="BK297" s="304"/>
      <c r="BL297" s="304"/>
      <c r="BM297" s="304"/>
      <c r="BN297" s="304"/>
      <c r="BO297" s="304"/>
      <c r="BP297" s="304"/>
      <c r="BQ297" s="304"/>
      <c r="BR297" s="304"/>
      <c r="BS297" s="304"/>
      <c r="BT297" s="304"/>
      <c r="BU297" s="304"/>
      <c r="BV297" s="304"/>
      <c r="BW297" s="304"/>
      <c r="BX297" s="304"/>
      <c r="BY297" s="304"/>
      <c r="BZ297" s="304"/>
      <c r="CA297" s="304"/>
      <c r="CB297" s="304"/>
      <c r="CC297" s="304"/>
      <c r="CD297" s="304"/>
      <c r="CE297" s="304"/>
      <c r="CF297" s="304"/>
      <c r="CG297" s="304"/>
      <c r="CH297" s="304"/>
      <c r="CI297" s="304"/>
      <c r="CJ297" s="304"/>
      <c r="CK297" s="304"/>
      <c r="CL297" s="304"/>
      <c r="CM297" s="304"/>
      <c r="CN297" s="304"/>
      <c r="CO297" s="304"/>
      <c r="CP297" s="304"/>
    </row>
    <row r="298" spans="1:94" s="87" customFormat="1">
      <c r="A298" s="81"/>
      <c r="B298" s="83"/>
      <c r="C298" s="82"/>
      <c r="D298" s="102"/>
      <c r="E298" s="102"/>
      <c r="F298" s="102"/>
      <c r="G298" s="225"/>
      <c r="H298" s="102"/>
      <c r="I298" s="218"/>
      <c r="J298" s="102"/>
      <c r="K298" s="102" t="str">
        <f t="shared" si="28"/>
        <v/>
      </c>
      <c r="L298" s="221"/>
      <c r="M298" s="325"/>
      <c r="N298" s="94"/>
      <c r="O298" s="326"/>
      <c r="P298" s="84"/>
      <c r="Q298" s="88"/>
      <c r="R298" s="102">
        <f t="shared" si="27"/>
        <v>0</v>
      </c>
      <c r="S298" s="89"/>
      <c r="T298" s="100"/>
      <c r="U298" s="100"/>
      <c r="V298" s="100"/>
      <c r="W298" s="100"/>
      <c r="X298" s="100"/>
      <c r="Y298" s="83"/>
      <c r="Z298" s="304"/>
      <c r="AA298" s="304"/>
      <c r="AB298" s="304"/>
      <c r="AC298" s="304"/>
      <c r="AD298" s="304"/>
      <c r="AE298" s="304"/>
      <c r="AF298" s="304"/>
      <c r="AG298" s="304"/>
      <c r="AH298" s="304"/>
      <c r="AI298" s="304"/>
      <c r="AJ298" s="304"/>
      <c r="AK298" s="304"/>
      <c r="AL298" s="304"/>
      <c r="AM298" s="304"/>
      <c r="AN298" s="304"/>
      <c r="AO298" s="304"/>
      <c r="AP298" s="304"/>
      <c r="AQ298" s="304"/>
      <c r="AR298" s="304"/>
      <c r="AS298" s="304"/>
      <c r="AT298" s="304"/>
      <c r="AU298" s="304"/>
      <c r="AV298" s="304"/>
      <c r="AW298" s="304"/>
      <c r="AX298" s="304"/>
      <c r="AY298" s="304"/>
      <c r="AZ298" s="304"/>
      <c r="BA298" s="304"/>
      <c r="BB298" s="304"/>
      <c r="BC298" s="304"/>
      <c r="BD298" s="304"/>
      <c r="BE298" s="304"/>
      <c r="BF298" s="304"/>
      <c r="BG298" s="304"/>
      <c r="BH298" s="304"/>
      <c r="BI298" s="304"/>
      <c r="BJ298" s="304"/>
      <c r="BK298" s="304"/>
      <c r="BL298" s="304"/>
      <c r="BM298" s="304"/>
      <c r="BN298" s="304"/>
      <c r="BO298" s="304"/>
      <c r="BP298" s="304"/>
      <c r="BQ298" s="304"/>
      <c r="BR298" s="304"/>
      <c r="BS298" s="304"/>
      <c r="BT298" s="304"/>
      <c r="BU298" s="304"/>
      <c r="BV298" s="304"/>
      <c r="BW298" s="304"/>
      <c r="BX298" s="304"/>
      <c r="BY298" s="304"/>
      <c r="BZ298" s="304"/>
      <c r="CA298" s="304"/>
      <c r="CB298" s="304"/>
      <c r="CC298" s="304"/>
      <c r="CD298" s="304"/>
      <c r="CE298" s="304"/>
      <c r="CF298" s="304"/>
      <c r="CG298" s="304"/>
      <c r="CH298" s="304"/>
      <c r="CI298" s="304"/>
      <c r="CJ298" s="304"/>
      <c r="CK298" s="304"/>
      <c r="CL298" s="304"/>
      <c r="CM298" s="304"/>
      <c r="CN298" s="304"/>
      <c r="CO298" s="304"/>
      <c r="CP298" s="304"/>
    </row>
    <row r="299" spans="1:94" s="87" customFormat="1">
      <c r="A299" s="81"/>
      <c r="B299" s="83"/>
      <c r="C299" s="82"/>
      <c r="D299" s="102"/>
      <c r="E299" s="102"/>
      <c r="F299" s="102"/>
      <c r="G299" s="225"/>
      <c r="H299" s="102"/>
      <c r="I299" s="218"/>
      <c r="J299" s="102"/>
      <c r="K299" s="102" t="str">
        <f t="shared" si="28"/>
        <v/>
      </c>
      <c r="L299" s="221"/>
      <c r="M299" s="325"/>
      <c r="N299" s="94"/>
      <c r="O299" s="326"/>
      <c r="P299" s="84"/>
      <c r="Q299" s="88"/>
      <c r="R299" s="102">
        <f t="shared" si="27"/>
        <v>0</v>
      </c>
      <c r="S299" s="89"/>
      <c r="T299" s="100"/>
      <c r="U299" s="100"/>
      <c r="V299" s="100"/>
      <c r="W299" s="100"/>
      <c r="X299" s="100"/>
      <c r="Y299" s="83"/>
      <c r="Z299" s="304"/>
      <c r="AA299" s="304"/>
      <c r="AB299" s="304"/>
      <c r="AC299" s="304"/>
      <c r="AD299" s="304"/>
      <c r="AE299" s="304"/>
      <c r="AF299" s="304"/>
      <c r="AG299" s="304"/>
      <c r="AH299" s="304"/>
      <c r="AI299" s="304"/>
      <c r="AJ299" s="304"/>
      <c r="AK299" s="304"/>
      <c r="AL299" s="304"/>
      <c r="AM299" s="304"/>
      <c r="AN299" s="304"/>
      <c r="AO299" s="304"/>
      <c r="AP299" s="304"/>
      <c r="AQ299" s="304"/>
      <c r="AR299" s="304"/>
      <c r="AS299" s="304"/>
      <c r="AT299" s="304"/>
      <c r="AU299" s="304"/>
      <c r="AV299" s="304"/>
      <c r="AW299" s="304"/>
      <c r="AX299" s="304"/>
      <c r="AY299" s="304"/>
      <c r="AZ299" s="304"/>
      <c r="BA299" s="304"/>
      <c r="BB299" s="304"/>
      <c r="BC299" s="304"/>
      <c r="BD299" s="304"/>
      <c r="BE299" s="304"/>
      <c r="BF299" s="304"/>
      <c r="BG299" s="304"/>
      <c r="BH299" s="304"/>
      <c r="BI299" s="304"/>
      <c r="BJ299" s="304"/>
      <c r="BK299" s="304"/>
      <c r="BL299" s="304"/>
      <c r="BM299" s="304"/>
      <c r="BN299" s="304"/>
      <c r="BO299" s="304"/>
      <c r="BP299" s="304"/>
      <c r="BQ299" s="304"/>
      <c r="BR299" s="304"/>
      <c r="BS299" s="304"/>
      <c r="BT299" s="304"/>
      <c r="BU299" s="304"/>
      <c r="BV299" s="304"/>
      <c r="BW299" s="304"/>
      <c r="BX299" s="304"/>
      <c r="BY299" s="304"/>
      <c r="BZ299" s="304"/>
      <c r="CA299" s="304"/>
      <c r="CB299" s="304"/>
      <c r="CC299" s="304"/>
      <c r="CD299" s="304"/>
      <c r="CE299" s="304"/>
      <c r="CF299" s="304"/>
      <c r="CG299" s="304"/>
      <c r="CH299" s="304"/>
      <c r="CI299" s="304"/>
      <c r="CJ299" s="304"/>
      <c r="CK299" s="304"/>
      <c r="CL299" s="304"/>
      <c r="CM299" s="304"/>
      <c r="CN299" s="304"/>
      <c r="CO299" s="304"/>
      <c r="CP299" s="304"/>
    </row>
    <row r="300" spans="1:94" s="87" customFormat="1">
      <c r="A300" s="81"/>
      <c r="B300" s="83"/>
      <c r="C300" s="82"/>
      <c r="D300" s="102"/>
      <c r="E300" s="102"/>
      <c r="F300" s="102"/>
      <c r="G300" s="225"/>
      <c r="H300" s="102"/>
      <c r="I300" s="218"/>
      <c r="J300" s="102"/>
      <c r="K300" s="102" t="str">
        <f t="shared" si="28"/>
        <v/>
      </c>
      <c r="L300" s="221"/>
      <c r="M300" s="325"/>
      <c r="N300" s="94"/>
      <c r="O300" s="326"/>
      <c r="P300" s="84"/>
      <c r="Q300" s="88"/>
      <c r="R300" s="102">
        <f t="shared" si="27"/>
        <v>0</v>
      </c>
      <c r="S300" s="89"/>
      <c r="T300" s="100"/>
      <c r="U300" s="100"/>
      <c r="V300" s="100"/>
      <c r="W300" s="100"/>
      <c r="X300" s="100"/>
      <c r="Y300" s="83"/>
      <c r="Z300" s="304"/>
      <c r="AA300" s="304"/>
      <c r="AB300" s="304"/>
      <c r="AC300" s="304"/>
      <c r="AD300" s="304"/>
      <c r="AE300" s="304"/>
      <c r="AF300" s="304"/>
      <c r="AG300" s="304"/>
      <c r="AH300" s="304"/>
      <c r="AI300" s="304"/>
      <c r="AJ300" s="304"/>
      <c r="AK300" s="304"/>
      <c r="AL300" s="304"/>
      <c r="AM300" s="304"/>
      <c r="AN300" s="304"/>
      <c r="AO300" s="304"/>
      <c r="AP300" s="304"/>
      <c r="AQ300" s="304"/>
      <c r="AR300" s="304"/>
      <c r="AS300" s="304"/>
      <c r="AT300" s="304"/>
      <c r="AU300" s="304"/>
      <c r="AV300" s="304"/>
      <c r="AW300" s="304"/>
      <c r="AX300" s="304"/>
      <c r="AY300" s="304"/>
      <c r="AZ300" s="304"/>
      <c r="BA300" s="304"/>
      <c r="BB300" s="304"/>
      <c r="BC300" s="304"/>
      <c r="BD300" s="304"/>
      <c r="BE300" s="304"/>
      <c r="BF300" s="304"/>
      <c r="BG300" s="304"/>
      <c r="BH300" s="304"/>
      <c r="BI300" s="304"/>
      <c r="BJ300" s="304"/>
      <c r="BK300" s="304"/>
      <c r="BL300" s="304"/>
      <c r="BM300" s="304"/>
      <c r="BN300" s="304"/>
      <c r="BO300" s="304"/>
      <c r="BP300" s="304"/>
      <c r="BQ300" s="304"/>
      <c r="BR300" s="304"/>
      <c r="BS300" s="304"/>
      <c r="BT300" s="304"/>
      <c r="BU300" s="304"/>
      <c r="BV300" s="304"/>
      <c r="BW300" s="304"/>
      <c r="BX300" s="304"/>
      <c r="BY300" s="304"/>
      <c r="BZ300" s="304"/>
      <c r="CA300" s="304"/>
      <c r="CB300" s="304"/>
      <c r="CC300" s="304"/>
      <c r="CD300" s="304"/>
      <c r="CE300" s="304"/>
      <c r="CF300" s="304"/>
      <c r="CG300" s="304"/>
      <c r="CH300" s="304"/>
      <c r="CI300" s="304"/>
      <c r="CJ300" s="304"/>
      <c r="CK300" s="304"/>
      <c r="CL300" s="304"/>
      <c r="CM300" s="304"/>
      <c r="CN300" s="304"/>
      <c r="CO300" s="304"/>
      <c r="CP300" s="304"/>
    </row>
    <row r="301" spans="1:94" s="87" customFormat="1">
      <c r="A301" s="81"/>
      <c r="B301" s="83"/>
      <c r="C301" s="82"/>
      <c r="D301" s="102"/>
      <c r="E301" s="102"/>
      <c r="F301" s="102"/>
      <c r="G301" s="225"/>
      <c r="H301" s="102"/>
      <c r="I301" s="218"/>
      <c r="J301" s="102"/>
      <c r="K301" s="102" t="str">
        <f t="shared" si="28"/>
        <v/>
      </c>
      <c r="L301" s="221"/>
      <c r="M301" s="325"/>
      <c r="N301" s="94"/>
      <c r="O301" s="326"/>
      <c r="P301" s="84"/>
      <c r="Q301" s="88"/>
      <c r="R301" s="102">
        <f t="shared" si="27"/>
        <v>0</v>
      </c>
      <c r="S301" s="89"/>
      <c r="T301" s="100"/>
      <c r="U301" s="100"/>
      <c r="V301" s="100"/>
      <c r="W301" s="100"/>
      <c r="X301" s="100"/>
      <c r="Y301" s="83"/>
      <c r="Z301" s="304"/>
      <c r="AA301" s="304"/>
      <c r="AB301" s="304"/>
      <c r="AC301" s="304"/>
      <c r="AD301" s="304"/>
      <c r="AE301" s="304"/>
      <c r="AF301" s="304"/>
      <c r="AG301" s="304"/>
      <c r="AH301" s="304"/>
      <c r="AI301" s="304"/>
      <c r="AJ301" s="304"/>
      <c r="AK301" s="304"/>
      <c r="AL301" s="304"/>
      <c r="AM301" s="304"/>
      <c r="AN301" s="304"/>
      <c r="AO301" s="304"/>
      <c r="AP301" s="304"/>
      <c r="AQ301" s="304"/>
      <c r="AR301" s="304"/>
      <c r="AS301" s="304"/>
      <c r="AT301" s="304"/>
      <c r="AU301" s="304"/>
      <c r="AV301" s="304"/>
      <c r="AW301" s="304"/>
      <c r="AX301" s="304"/>
      <c r="AY301" s="304"/>
      <c r="AZ301" s="304"/>
      <c r="BA301" s="304"/>
      <c r="BB301" s="304"/>
      <c r="BC301" s="304"/>
      <c r="BD301" s="304"/>
      <c r="BE301" s="304"/>
      <c r="BF301" s="304"/>
      <c r="BG301" s="304"/>
      <c r="BH301" s="304"/>
      <c r="BI301" s="304"/>
      <c r="BJ301" s="304"/>
      <c r="BK301" s="304"/>
      <c r="BL301" s="304"/>
      <c r="BM301" s="304"/>
      <c r="BN301" s="304"/>
      <c r="BO301" s="304"/>
      <c r="BP301" s="304"/>
      <c r="BQ301" s="304"/>
      <c r="BR301" s="304"/>
      <c r="BS301" s="304"/>
      <c r="BT301" s="304"/>
      <c r="BU301" s="304"/>
      <c r="BV301" s="304"/>
      <c r="BW301" s="304"/>
      <c r="BX301" s="304"/>
      <c r="BY301" s="304"/>
      <c r="BZ301" s="304"/>
      <c r="CA301" s="304"/>
      <c r="CB301" s="304"/>
      <c r="CC301" s="304"/>
      <c r="CD301" s="304"/>
      <c r="CE301" s="304"/>
      <c r="CF301" s="304"/>
      <c r="CG301" s="304"/>
      <c r="CH301" s="304"/>
      <c r="CI301" s="304"/>
      <c r="CJ301" s="304"/>
      <c r="CK301" s="304"/>
      <c r="CL301" s="304"/>
      <c r="CM301" s="304"/>
      <c r="CN301" s="304"/>
      <c r="CO301" s="304"/>
      <c r="CP301" s="304"/>
    </row>
    <row r="302" spans="1:94" s="87" customFormat="1">
      <c r="A302" s="81"/>
      <c r="B302" s="83"/>
      <c r="C302" s="82"/>
      <c r="D302" s="102"/>
      <c r="E302" s="102"/>
      <c r="F302" s="102"/>
      <c r="G302" s="225"/>
      <c r="H302" s="102"/>
      <c r="I302" s="218"/>
      <c r="J302" s="102"/>
      <c r="K302" s="102" t="str">
        <f t="shared" si="28"/>
        <v/>
      </c>
      <c r="L302" s="221"/>
      <c r="M302" s="325"/>
      <c r="N302" s="94"/>
      <c r="O302" s="326"/>
      <c r="P302" s="84"/>
      <c r="Q302" s="88"/>
      <c r="R302" s="102">
        <f t="shared" si="27"/>
        <v>0</v>
      </c>
      <c r="S302" s="89"/>
      <c r="T302" s="100"/>
      <c r="U302" s="100"/>
      <c r="V302" s="100"/>
      <c r="W302" s="100"/>
      <c r="X302" s="100"/>
      <c r="Y302" s="83"/>
      <c r="Z302" s="304"/>
      <c r="AA302" s="304"/>
      <c r="AB302" s="304"/>
      <c r="AC302" s="304"/>
      <c r="AD302" s="304"/>
      <c r="AE302" s="304"/>
      <c r="AF302" s="304"/>
      <c r="AG302" s="304"/>
      <c r="AH302" s="304"/>
      <c r="AI302" s="304"/>
      <c r="AJ302" s="304"/>
      <c r="AK302" s="304"/>
      <c r="AL302" s="304"/>
      <c r="AM302" s="304"/>
      <c r="AN302" s="304"/>
      <c r="AO302" s="304"/>
      <c r="AP302" s="304"/>
      <c r="AQ302" s="304"/>
      <c r="AR302" s="304"/>
      <c r="AS302" s="304"/>
      <c r="AT302" s="304"/>
      <c r="AU302" s="304"/>
      <c r="AV302" s="304"/>
      <c r="AW302" s="304"/>
      <c r="AX302" s="304"/>
      <c r="AY302" s="304"/>
      <c r="AZ302" s="304"/>
      <c r="BA302" s="304"/>
      <c r="BB302" s="304"/>
      <c r="BC302" s="304"/>
      <c r="BD302" s="304"/>
      <c r="BE302" s="304"/>
      <c r="BF302" s="304"/>
      <c r="BG302" s="304"/>
      <c r="BH302" s="304"/>
      <c r="BI302" s="304"/>
      <c r="BJ302" s="304"/>
      <c r="BK302" s="304"/>
      <c r="BL302" s="304"/>
      <c r="BM302" s="304"/>
      <c r="BN302" s="304"/>
      <c r="BO302" s="304"/>
      <c r="BP302" s="304"/>
      <c r="BQ302" s="304"/>
      <c r="BR302" s="304"/>
      <c r="BS302" s="304"/>
      <c r="BT302" s="304"/>
      <c r="BU302" s="304"/>
      <c r="BV302" s="304"/>
      <c r="BW302" s="304"/>
      <c r="BX302" s="304"/>
      <c r="BY302" s="304"/>
      <c r="BZ302" s="304"/>
      <c r="CA302" s="304"/>
      <c r="CB302" s="304"/>
      <c r="CC302" s="304"/>
      <c r="CD302" s="304"/>
      <c r="CE302" s="304"/>
      <c r="CF302" s="304"/>
      <c r="CG302" s="304"/>
      <c r="CH302" s="304"/>
      <c r="CI302" s="304"/>
      <c r="CJ302" s="304"/>
      <c r="CK302" s="304"/>
      <c r="CL302" s="304"/>
      <c r="CM302" s="304"/>
      <c r="CN302" s="304"/>
      <c r="CO302" s="304"/>
      <c r="CP302" s="304"/>
    </row>
    <row r="303" spans="1:94" s="87" customFormat="1">
      <c r="A303" s="81"/>
      <c r="B303" s="83"/>
      <c r="C303" s="82"/>
      <c r="D303" s="102"/>
      <c r="E303" s="102"/>
      <c r="F303" s="102"/>
      <c r="G303" s="225"/>
      <c r="H303" s="102"/>
      <c r="I303" s="218"/>
      <c r="J303" s="102"/>
      <c r="K303" s="102" t="str">
        <f t="shared" si="28"/>
        <v/>
      </c>
      <c r="L303" s="221"/>
      <c r="M303" s="325"/>
      <c r="N303" s="94"/>
      <c r="O303" s="326"/>
      <c r="P303" s="84"/>
      <c r="Q303" s="88"/>
      <c r="R303" s="102">
        <f t="shared" si="27"/>
        <v>0</v>
      </c>
      <c r="S303" s="89"/>
      <c r="T303" s="100"/>
      <c r="U303" s="100"/>
      <c r="V303" s="100"/>
      <c r="W303" s="100"/>
      <c r="X303" s="100"/>
      <c r="Y303" s="83"/>
      <c r="Z303" s="304"/>
      <c r="AA303" s="304"/>
      <c r="AB303" s="304"/>
      <c r="AC303" s="304"/>
      <c r="AD303" s="304"/>
      <c r="AE303" s="304"/>
      <c r="AF303" s="304"/>
      <c r="AG303" s="304"/>
      <c r="AH303" s="304"/>
      <c r="AI303" s="304"/>
      <c r="AJ303" s="304"/>
      <c r="AK303" s="304"/>
      <c r="AL303" s="304"/>
      <c r="AM303" s="304"/>
      <c r="AN303" s="304"/>
      <c r="AO303" s="304"/>
      <c r="AP303" s="304"/>
      <c r="AQ303" s="304"/>
      <c r="AR303" s="304"/>
      <c r="AS303" s="304"/>
      <c r="AT303" s="304"/>
      <c r="AU303" s="304"/>
      <c r="AV303" s="304"/>
      <c r="AW303" s="304"/>
      <c r="AX303" s="304"/>
      <c r="AY303" s="304"/>
      <c r="AZ303" s="304"/>
      <c r="BA303" s="304"/>
      <c r="BB303" s="304"/>
      <c r="BC303" s="304"/>
      <c r="BD303" s="304"/>
      <c r="BE303" s="304"/>
      <c r="BF303" s="304"/>
      <c r="BG303" s="304"/>
      <c r="BH303" s="304"/>
      <c r="BI303" s="304"/>
      <c r="BJ303" s="304"/>
      <c r="BK303" s="304"/>
      <c r="BL303" s="304"/>
      <c r="BM303" s="304"/>
      <c r="BN303" s="304"/>
      <c r="BO303" s="304"/>
      <c r="BP303" s="304"/>
      <c r="BQ303" s="304"/>
      <c r="BR303" s="304"/>
      <c r="BS303" s="304"/>
      <c r="BT303" s="304"/>
      <c r="BU303" s="304"/>
      <c r="BV303" s="304"/>
      <c r="BW303" s="304"/>
      <c r="BX303" s="304"/>
      <c r="BY303" s="304"/>
      <c r="BZ303" s="304"/>
      <c r="CA303" s="304"/>
      <c r="CB303" s="304"/>
      <c r="CC303" s="304"/>
      <c r="CD303" s="304"/>
      <c r="CE303" s="304"/>
      <c r="CF303" s="304"/>
      <c r="CG303" s="304"/>
      <c r="CH303" s="304"/>
      <c r="CI303" s="304"/>
      <c r="CJ303" s="304"/>
      <c r="CK303" s="304"/>
      <c r="CL303" s="304"/>
      <c r="CM303" s="304"/>
      <c r="CN303" s="304"/>
      <c r="CO303" s="304"/>
      <c r="CP303" s="304"/>
    </row>
    <row r="304" spans="1:94" s="87" customFormat="1">
      <c r="A304" s="81"/>
      <c r="B304" s="83"/>
      <c r="C304" s="82"/>
      <c r="D304" s="102"/>
      <c r="E304" s="102"/>
      <c r="F304" s="102"/>
      <c r="G304" s="225"/>
      <c r="H304" s="102"/>
      <c r="I304" s="218"/>
      <c r="J304" s="102"/>
      <c r="K304" s="102" t="str">
        <f t="shared" si="28"/>
        <v/>
      </c>
      <c r="L304" s="221"/>
      <c r="M304" s="325"/>
      <c r="N304" s="94"/>
      <c r="O304" s="326"/>
      <c r="P304" s="84"/>
      <c r="Q304" s="88"/>
      <c r="R304" s="102">
        <f t="shared" si="27"/>
        <v>0</v>
      </c>
      <c r="S304" s="89"/>
      <c r="T304" s="100"/>
      <c r="U304" s="100"/>
      <c r="V304" s="100"/>
      <c r="W304" s="100"/>
      <c r="X304" s="100"/>
      <c r="Y304" s="83"/>
      <c r="Z304" s="304"/>
      <c r="AA304" s="304"/>
      <c r="AB304" s="304"/>
      <c r="AC304" s="304"/>
      <c r="AD304" s="304"/>
      <c r="AE304" s="304"/>
      <c r="AF304" s="304"/>
      <c r="AG304" s="304"/>
      <c r="AH304" s="304"/>
      <c r="AI304" s="304"/>
      <c r="AJ304" s="304"/>
      <c r="AK304" s="304"/>
      <c r="AL304" s="304"/>
      <c r="AM304" s="304"/>
      <c r="AN304" s="304"/>
      <c r="AO304" s="304"/>
      <c r="AP304" s="304"/>
      <c r="AQ304" s="304"/>
      <c r="AR304" s="304"/>
      <c r="AS304" s="304"/>
      <c r="AT304" s="304"/>
      <c r="AU304" s="304"/>
      <c r="AV304" s="304"/>
      <c r="AW304" s="304"/>
      <c r="AX304" s="304"/>
      <c r="AY304" s="304"/>
      <c r="AZ304" s="304"/>
      <c r="BA304" s="304"/>
      <c r="BB304" s="304"/>
      <c r="BC304" s="304"/>
      <c r="BD304" s="304"/>
      <c r="BE304" s="304"/>
      <c r="BF304" s="304"/>
      <c r="BG304" s="304"/>
      <c r="BH304" s="304"/>
      <c r="BI304" s="304"/>
      <c r="BJ304" s="304"/>
      <c r="BK304" s="304"/>
      <c r="BL304" s="304"/>
      <c r="BM304" s="304"/>
      <c r="BN304" s="304"/>
      <c r="BO304" s="304"/>
      <c r="BP304" s="304"/>
      <c r="BQ304" s="304"/>
      <c r="BR304" s="304"/>
      <c r="BS304" s="304"/>
      <c r="BT304" s="304"/>
      <c r="BU304" s="304"/>
      <c r="BV304" s="304"/>
      <c r="BW304" s="304"/>
      <c r="BX304" s="304"/>
      <c r="BY304" s="304"/>
      <c r="BZ304" s="304"/>
      <c r="CA304" s="304"/>
      <c r="CB304" s="304"/>
      <c r="CC304" s="304"/>
      <c r="CD304" s="304"/>
      <c r="CE304" s="304"/>
      <c r="CF304" s="304"/>
      <c r="CG304" s="304"/>
      <c r="CH304" s="304"/>
      <c r="CI304" s="304"/>
      <c r="CJ304" s="304"/>
      <c r="CK304" s="304"/>
      <c r="CL304" s="304"/>
      <c r="CM304" s="304"/>
      <c r="CN304" s="304"/>
      <c r="CO304" s="304"/>
      <c r="CP304" s="304"/>
    </row>
    <row r="305" spans="1:94" s="87" customFormat="1">
      <c r="A305" s="81"/>
      <c r="B305" s="83"/>
      <c r="C305" s="82"/>
      <c r="D305" s="102"/>
      <c r="E305" s="102"/>
      <c r="F305" s="102"/>
      <c r="G305" s="225"/>
      <c r="H305" s="102"/>
      <c r="I305" s="218"/>
      <c r="J305" s="102"/>
      <c r="K305" s="102" t="str">
        <f t="shared" si="28"/>
        <v/>
      </c>
      <c r="L305" s="221"/>
      <c r="M305" s="325"/>
      <c r="N305" s="94"/>
      <c r="O305" s="326"/>
      <c r="P305" s="84"/>
      <c r="Q305" s="88"/>
      <c r="R305" s="102">
        <f t="shared" si="27"/>
        <v>0</v>
      </c>
      <c r="S305" s="89"/>
      <c r="T305" s="100"/>
      <c r="U305" s="100"/>
      <c r="V305" s="100"/>
      <c r="W305" s="100"/>
      <c r="X305" s="100"/>
      <c r="Y305" s="83"/>
      <c r="Z305" s="304"/>
      <c r="AA305" s="304"/>
      <c r="AB305" s="304"/>
      <c r="AC305" s="304"/>
      <c r="AD305" s="304"/>
      <c r="AE305" s="304"/>
      <c r="AF305" s="304"/>
      <c r="AG305" s="304"/>
      <c r="AH305" s="304"/>
      <c r="AI305" s="304"/>
      <c r="AJ305" s="304"/>
      <c r="AK305" s="304"/>
      <c r="AL305" s="304"/>
      <c r="AM305" s="304"/>
      <c r="AN305" s="304"/>
      <c r="AO305" s="304"/>
      <c r="AP305" s="304"/>
      <c r="AQ305" s="304"/>
      <c r="AR305" s="304"/>
      <c r="AS305" s="304"/>
      <c r="AT305" s="304"/>
      <c r="AU305" s="304"/>
      <c r="AV305" s="304"/>
      <c r="AW305" s="304"/>
      <c r="AX305" s="304"/>
      <c r="AY305" s="304"/>
      <c r="AZ305" s="304"/>
      <c r="BA305" s="304"/>
      <c r="BB305" s="304"/>
      <c r="BC305" s="304"/>
      <c r="BD305" s="304"/>
      <c r="BE305" s="304"/>
      <c r="BF305" s="304"/>
      <c r="BG305" s="304"/>
      <c r="BH305" s="304"/>
      <c r="BI305" s="304"/>
      <c r="BJ305" s="304"/>
      <c r="BK305" s="304"/>
      <c r="BL305" s="304"/>
      <c r="BM305" s="304"/>
      <c r="BN305" s="304"/>
      <c r="BO305" s="304"/>
      <c r="BP305" s="304"/>
      <c r="BQ305" s="304"/>
      <c r="BR305" s="304"/>
      <c r="BS305" s="304"/>
      <c r="BT305" s="304"/>
      <c r="BU305" s="304"/>
      <c r="BV305" s="304"/>
      <c r="BW305" s="304"/>
      <c r="BX305" s="304"/>
      <c r="BY305" s="304"/>
      <c r="BZ305" s="304"/>
      <c r="CA305" s="304"/>
      <c r="CB305" s="304"/>
      <c r="CC305" s="304"/>
      <c r="CD305" s="304"/>
      <c r="CE305" s="304"/>
      <c r="CF305" s="304"/>
      <c r="CG305" s="304"/>
      <c r="CH305" s="304"/>
      <c r="CI305" s="304"/>
      <c r="CJ305" s="304"/>
      <c r="CK305" s="304"/>
      <c r="CL305" s="304"/>
      <c r="CM305" s="304"/>
      <c r="CN305" s="304"/>
      <c r="CO305" s="304"/>
      <c r="CP305" s="304"/>
    </row>
    <row r="306" spans="1:94" s="87" customFormat="1">
      <c r="A306" s="81"/>
      <c r="B306" s="83"/>
      <c r="C306" s="82"/>
      <c r="D306" s="102"/>
      <c r="E306" s="102"/>
      <c r="F306" s="102"/>
      <c r="G306" s="225"/>
      <c r="H306" s="102"/>
      <c r="I306" s="218"/>
      <c r="J306" s="102"/>
      <c r="K306" s="102" t="str">
        <f t="shared" si="28"/>
        <v/>
      </c>
      <c r="L306" s="221"/>
      <c r="M306" s="325"/>
      <c r="N306" s="94"/>
      <c r="O306" s="326"/>
      <c r="P306" s="84"/>
      <c r="Q306" s="88"/>
      <c r="R306" s="102">
        <f t="shared" si="27"/>
        <v>0</v>
      </c>
      <c r="S306" s="89"/>
      <c r="T306" s="100"/>
      <c r="U306" s="100"/>
      <c r="V306" s="100"/>
      <c r="W306" s="100"/>
      <c r="X306" s="100"/>
      <c r="Y306" s="83"/>
      <c r="Z306" s="304"/>
      <c r="AA306" s="304"/>
      <c r="AB306" s="304"/>
      <c r="AC306" s="304"/>
      <c r="AD306" s="304"/>
      <c r="AE306" s="304"/>
      <c r="AF306" s="304"/>
      <c r="AG306" s="304"/>
      <c r="AH306" s="304"/>
      <c r="AI306" s="304"/>
      <c r="AJ306" s="304"/>
      <c r="AK306" s="304"/>
      <c r="AL306" s="304"/>
      <c r="AM306" s="304"/>
      <c r="AN306" s="304"/>
      <c r="AO306" s="304"/>
      <c r="AP306" s="304"/>
      <c r="AQ306" s="304"/>
      <c r="AR306" s="304"/>
      <c r="AS306" s="304"/>
      <c r="AT306" s="304"/>
      <c r="AU306" s="304"/>
      <c r="AV306" s="304"/>
      <c r="AW306" s="304"/>
      <c r="AX306" s="304"/>
      <c r="AY306" s="304"/>
      <c r="AZ306" s="304"/>
      <c r="BA306" s="304"/>
      <c r="BB306" s="304"/>
      <c r="BC306" s="304"/>
      <c r="BD306" s="304"/>
      <c r="BE306" s="304"/>
      <c r="BF306" s="304"/>
      <c r="BG306" s="304"/>
      <c r="BH306" s="304"/>
      <c r="BI306" s="304"/>
      <c r="BJ306" s="304"/>
      <c r="BK306" s="304"/>
      <c r="BL306" s="304"/>
      <c r="BM306" s="304"/>
      <c r="BN306" s="304"/>
      <c r="BO306" s="304"/>
      <c r="BP306" s="304"/>
      <c r="BQ306" s="304"/>
      <c r="BR306" s="304"/>
      <c r="BS306" s="304"/>
      <c r="BT306" s="304"/>
      <c r="BU306" s="304"/>
      <c r="BV306" s="304"/>
      <c r="BW306" s="304"/>
      <c r="BX306" s="304"/>
      <c r="BY306" s="304"/>
      <c r="BZ306" s="304"/>
      <c r="CA306" s="304"/>
      <c r="CB306" s="304"/>
      <c r="CC306" s="304"/>
      <c r="CD306" s="304"/>
      <c r="CE306" s="304"/>
      <c r="CF306" s="304"/>
      <c r="CG306" s="304"/>
      <c r="CH306" s="304"/>
      <c r="CI306" s="304"/>
      <c r="CJ306" s="304"/>
      <c r="CK306" s="304"/>
      <c r="CL306" s="304"/>
      <c r="CM306" s="304"/>
      <c r="CN306" s="304"/>
      <c r="CO306" s="304"/>
      <c r="CP306" s="304"/>
    </row>
    <row r="307" spans="1:94" s="87" customFormat="1">
      <c r="A307" s="81"/>
      <c r="B307" s="83"/>
      <c r="C307" s="82"/>
      <c r="D307" s="102"/>
      <c r="E307" s="102"/>
      <c r="F307" s="102"/>
      <c r="G307" s="225"/>
      <c r="H307" s="102"/>
      <c r="I307" s="218"/>
      <c r="J307" s="102"/>
      <c r="K307" s="102" t="str">
        <f t="shared" si="28"/>
        <v/>
      </c>
      <c r="L307" s="221"/>
      <c r="M307" s="325"/>
      <c r="N307" s="94"/>
      <c r="O307" s="326"/>
      <c r="P307" s="84"/>
      <c r="Q307" s="88"/>
      <c r="R307" s="102">
        <f t="shared" si="27"/>
        <v>0</v>
      </c>
      <c r="S307" s="89"/>
      <c r="T307" s="100"/>
      <c r="U307" s="100"/>
      <c r="V307" s="100"/>
      <c r="W307" s="100"/>
      <c r="X307" s="100"/>
      <c r="Y307" s="83"/>
      <c r="Z307" s="304"/>
      <c r="AA307" s="304"/>
      <c r="AB307" s="304"/>
      <c r="AC307" s="304"/>
      <c r="AD307" s="304"/>
      <c r="AE307" s="304"/>
      <c r="AF307" s="304"/>
      <c r="AG307" s="304"/>
      <c r="AH307" s="304"/>
      <c r="AI307" s="304"/>
      <c r="AJ307" s="304"/>
      <c r="AK307" s="304"/>
      <c r="AL307" s="304"/>
      <c r="AM307" s="304"/>
      <c r="AN307" s="304"/>
      <c r="AO307" s="304"/>
      <c r="AP307" s="304"/>
      <c r="AQ307" s="304"/>
      <c r="AR307" s="304"/>
      <c r="AS307" s="304"/>
      <c r="AT307" s="304"/>
      <c r="AU307" s="304"/>
      <c r="AV307" s="304"/>
      <c r="AW307" s="304"/>
      <c r="AX307" s="304"/>
      <c r="AY307" s="304"/>
      <c r="AZ307" s="304"/>
      <c r="BA307" s="304"/>
      <c r="BB307" s="304"/>
      <c r="BC307" s="304"/>
      <c r="BD307" s="304"/>
      <c r="BE307" s="304"/>
      <c r="BF307" s="304"/>
      <c r="BG307" s="304"/>
      <c r="BH307" s="304"/>
      <c r="BI307" s="304"/>
      <c r="BJ307" s="304"/>
      <c r="BK307" s="304"/>
      <c r="BL307" s="304"/>
      <c r="BM307" s="304"/>
      <c r="BN307" s="304"/>
      <c r="BO307" s="304"/>
      <c r="BP307" s="304"/>
      <c r="BQ307" s="304"/>
      <c r="BR307" s="304"/>
      <c r="BS307" s="304"/>
      <c r="BT307" s="304"/>
      <c r="BU307" s="304"/>
      <c r="BV307" s="304"/>
      <c r="BW307" s="304"/>
      <c r="BX307" s="304"/>
      <c r="BY307" s="304"/>
      <c r="BZ307" s="304"/>
      <c r="CA307" s="304"/>
      <c r="CB307" s="304"/>
      <c r="CC307" s="304"/>
      <c r="CD307" s="304"/>
      <c r="CE307" s="304"/>
      <c r="CF307" s="304"/>
      <c r="CG307" s="304"/>
      <c r="CH307" s="304"/>
      <c r="CI307" s="304"/>
      <c r="CJ307" s="304"/>
      <c r="CK307" s="304"/>
      <c r="CL307" s="304"/>
      <c r="CM307" s="304"/>
      <c r="CN307" s="304"/>
      <c r="CO307" s="304"/>
      <c r="CP307" s="304"/>
    </row>
    <row r="308" spans="1:94" s="87" customFormat="1">
      <c r="A308" s="81"/>
      <c r="B308" s="83"/>
      <c r="C308" s="82"/>
      <c r="D308" s="102"/>
      <c r="E308" s="102"/>
      <c r="F308" s="102"/>
      <c r="G308" s="225"/>
      <c r="H308" s="102"/>
      <c r="I308" s="218"/>
      <c r="J308" s="102"/>
      <c r="K308" s="102" t="str">
        <f t="shared" si="28"/>
        <v/>
      </c>
      <c r="L308" s="221"/>
      <c r="M308" s="325"/>
      <c r="N308" s="94"/>
      <c r="O308" s="326"/>
      <c r="P308" s="84"/>
      <c r="Q308" s="88"/>
      <c r="R308" s="102">
        <f t="shared" si="27"/>
        <v>0</v>
      </c>
      <c r="S308" s="89"/>
      <c r="T308" s="100"/>
      <c r="U308" s="100"/>
      <c r="V308" s="100"/>
      <c r="W308" s="100"/>
      <c r="X308" s="100"/>
      <c r="Y308" s="83"/>
      <c r="Z308" s="304"/>
      <c r="AA308" s="304"/>
      <c r="AB308" s="304"/>
      <c r="AC308" s="304"/>
      <c r="AD308" s="304"/>
      <c r="AE308" s="304"/>
      <c r="AF308" s="304"/>
      <c r="AG308" s="304"/>
      <c r="AH308" s="304"/>
      <c r="AI308" s="304"/>
      <c r="AJ308" s="304"/>
      <c r="AK308" s="304"/>
      <c r="AL308" s="304"/>
      <c r="AM308" s="304"/>
      <c r="AN308" s="304"/>
      <c r="AO308" s="304"/>
      <c r="AP308" s="304"/>
      <c r="AQ308" s="304"/>
      <c r="AR308" s="304"/>
      <c r="AS308" s="304"/>
      <c r="AT308" s="304"/>
      <c r="AU308" s="304"/>
      <c r="AV308" s="304"/>
      <c r="AW308" s="304"/>
      <c r="AX308" s="304"/>
      <c r="AY308" s="304"/>
      <c r="AZ308" s="304"/>
      <c r="BA308" s="304"/>
      <c r="BB308" s="304"/>
      <c r="BC308" s="304"/>
      <c r="BD308" s="304"/>
      <c r="BE308" s="304"/>
      <c r="BF308" s="304"/>
      <c r="BG308" s="304"/>
      <c r="BH308" s="304"/>
      <c r="BI308" s="304"/>
      <c r="BJ308" s="304"/>
      <c r="BK308" s="304"/>
      <c r="BL308" s="304"/>
      <c r="BM308" s="304"/>
      <c r="BN308" s="304"/>
      <c r="BO308" s="304"/>
      <c r="BP308" s="304"/>
      <c r="BQ308" s="304"/>
      <c r="BR308" s="304"/>
      <c r="BS308" s="304"/>
      <c r="BT308" s="304"/>
      <c r="BU308" s="304"/>
      <c r="BV308" s="304"/>
      <c r="BW308" s="304"/>
      <c r="BX308" s="304"/>
      <c r="BY308" s="304"/>
      <c r="BZ308" s="304"/>
      <c r="CA308" s="304"/>
      <c r="CB308" s="304"/>
      <c r="CC308" s="304"/>
      <c r="CD308" s="304"/>
      <c r="CE308" s="304"/>
      <c r="CF308" s="304"/>
      <c r="CG308" s="304"/>
      <c r="CH308" s="304"/>
      <c r="CI308" s="304"/>
      <c r="CJ308" s="304"/>
      <c r="CK308" s="304"/>
      <c r="CL308" s="304"/>
      <c r="CM308" s="304"/>
      <c r="CN308" s="304"/>
      <c r="CO308" s="304"/>
      <c r="CP308" s="304"/>
    </row>
    <row r="309" spans="1:94" s="87" customFormat="1">
      <c r="A309" s="81"/>
      <c r="B309" s="83"/>
      <c r="C309" s="82"/>
      <c r="D309" s="102"/>
      <c r="E309" s="102"/>
      <c r="F309" s="102"/>
      <c r="G309" s="225"/>
      <c r="H309" s="102"/>
      <c r="I309" s="218"/>
      <c r="J309" s="102"/>
      <c r="K309" s="102" t="str">
        <f t="shared" si="28"/>
        <v/>
      </c>
      <c r="L309" s="221"/>
      <c r="M309" s="325"/>
      <c r="N309" s="94"/>
      <c r="O309" s="326"/>
      <c r="P309" s="84"/>
      <c r="Q309" s="88"/>
      <c r="R309" s="102">
        <f t="shared" si="27"/>
        <v>0</v>
      </c>
      <c r="S309" s="89"/>
      <c r="T309" s="100"/>
      <c r="U309" s="100"/>
      <c r="V309" s="100"/>
      <c r="W309" s="100"/>
      <c r="X309" s="100"/>
      <c r="Y309" s="83"/>
      <c r="Z309" s="304"/>
      <c r="AA309" s="304"/>
      <c r="AB309" s="304"/>
      <c r="AC309" s="304"/>
      <c r="AD309" s="304"/>
      <c r="AE309" s="304"/>
      <c r="AF309" s="304"/>
      <c r="AG309" s="304"/>
      <c r="AH309" s="304"/>
      <c r="AI309" s="304"/>
      <c r="AJ309" s="304"/>
      <c r="AK309" s="304"/>
      <c r="AL309" s="304"/>
      <c r="AM309" s="304"/>
      <c r="AN309" s="304"/>
      <c r="AO309" s="304"/>
      <c r="AP309" s="304"/>
      <c r="AQ309" s="304"/>
      <c r="AR309" s="304"/>
      <c r="AS309" s="304"/>
      <c r="AT309" s="304"/>
      <c r="AU309" s="304"/>
      <c r="AV309" s="304"/>
      <c r="AW309" s="304"/>
      <c r="AX309" s="304"/>
      <c r="AY309" s="304"/>
      <c r="AZ309" s="304"/>
      <c r="BA309" s="304"/>
      <c r="BB309" s="304"/>
      <c r="BC309" s="304"/>
      <c r="BD309" s="304"/>
      <c r="BE309" s="304"/>
      <c r="BF309" s="304"/>
      <c r="BG309" s="304"/>
      <c r="BH309" s="304"/>
      <c r="BI309" s="304"/>
      <c r="BJ309" s="304"/>
      <c r="BK309" s="304"/>
      <c r="BL309" s="304"/>
      <c r="BM309" s="304"/>
      <c r="BN309" s="304"/>
      <c r="BO309" s="304"/>
      <c r="BP309" s="304"/>
      <c r="BQ309" s="304"/>
      <c r="BR309" s="304"/>
      <c r="BS309" s="304"/>
      <c r="BT309" s="304"/>
      <c r="BU309" s="304"/>
      <c r="BV309" s="304"/>
      <c r="BW309" s="304"/>
      <c r="BX309" s="304"/>
      <c r="BY309" s="304"/>
      <c r="BZ309" s="304"/>
      <c r="CA309" s="304"/>
      <c r="CB309" s="304"/>
      <c r="CC309" s="304"/>
      <c r="CD309" s="304"/>
      <c r="CE309" s="304"/>
      <c r="CF309" s="304"/>
      <c r="CG309" s="304"/>
      <c r="CH309" s="304"/>
      <c r="CI309" s="304"/>
      <c r="CJ309" s="304"/>
      <c r="CK309" s="304"/>
      <c r="CL309" s="304"/>
      <c r="CM309" s="304"/>
      <c r="CN309" s="304"/>
      <c r="CO309" s="304"/>
      <c r="CP309" s="304"/>
    </row>
    <row r="310" spans="1:94" s="87" customFormat="1">
      <c r="A310" s="81"/>
      <c r="B310" s="83"/>
      <c r="C310" s="82"/>
      <c r="D310" s="102"/>
      <c r="E310" s="102"/>
      <c r="F310" s="102"/>
      <c r="G310" s="225"/>
      <c r="H310" s="102"/>
      <c r="I310" s="218"/>
      <c r="J310" s="102"/>
      <c r="K310" s="102" t="str">
        <f t="shared" si="28"/>
        <v/>
      </c>
      <c r="L310" s="221"/>
      <c r="M310" s="325"/>
      <c r="N310" s="94"/>
      <c r="O310" s="326"/>
      <c r="P310" s="84"/>
      <c r="Q310" s="88"/>
      <c r="R310" s="102">
        <f t="shared" si="27"/>
        <v>0</v>
      </c>
      <c r="S310" s="89"/>
      <c r="T310" s="100"/>
      <c r="U310" s="100"/>
      <c r="V310" s="100"/>
      <c r="W310" s="100"/>
      <c r="X310" s="100"/>
      <c r="Y310" s="83"/>
      <c r="Z310" s="304"/>
      <c r="AA310" s="304"/>
      <c r="AB310" s="304"/>
      <c r="AC310" s="304"/>
      <c r="AD310" s="304"/>
      <c r="AE310" s="304"/>
      <c r="AF310" s="304"/>
      <c r="AG310" s="304"/>
      <c r="AH310" s="304"/>
      <c r="AI310" s="304"/>
      <c r="AJ310" s="304"/>
      <c r="AK310" s="304"/>
      <c r="AL310" s="304"/>
      <c r="AM310" s="304"/>
      <c r="AN310" s="304"/>
      <c r="AO310" s="304"/>
      <c r="AP310" s="304"/>
      <c r="AQ310" s="304"/>
      <c r="AR310" s="304"/>
      <c r="AS310" s="304"/>
      <c r="AT310" s="304"/>
      <c r="AU310" s="304"/>
      <c r="AV310" s="304"/>
      <c r="AW310" s="304"/>
      <c r="AX310" s="304"/>
      <c r="AY310" s="304"/>
      <c r="AZ310" s="304"/>
      <c r="BA310" s="304"/>
      <c r="BB310" s="304"/>
      <c r="BC310" s="304"/>
      <c r="BD310" s="304"/>
      <c r="BE310" s="304"/>
      <c r="BF310" s="304"/>
      <c r="BG310" s="304"/>
      <c r="BH310" s="304"/>
      <c r="BI310" s="304"/>
      <c r="BJ310" s="304"/>
      <c r="BK310" s="304"/>
      <c r="BL310" s="304"/>
      <c r="BM310" s="304"/>
      <c r="BN310" s="304"/>
      <c r="BO310" s="304"/>
      <c r="BP310" s="304"/>
      <c r="BQ310" s="304"/>
      <c r="BR310" s="304"/>
      <c r="BS310" s="304"/>
      <c r="BT310" s="304"/>
      <c r="BU310" s="304"/>
      <c r="BV310" s="304"/>
      <c r="BW310" s="304"/>
      <c r="BX310" s="304"/>
      <c r="BY310" s="304"/>
      <c r="BZ310" s="304"/>
      <c r="CA310" s="304"/>
      <c r="CB310" s="304"/>
      <c r="CC310" s="304"/>
      <c r="CD310" s="304"/>
      <c r="CE310" s="304"/>
      <c r="CF310" s="304"/>
      <c r="CG310" s="304"/>
      <c r="CH310" s="304"/>
      <c r="CI310" s="304"/>
      <c r="CJ310" s="304"/>
      <c r="CK310" s="304"/>
      <c r="CL310" s="304"/>
      <c r="CM310" s="304"/>
      <c r="CN310" s="304"/>
      <c r="CO310" s="304"/>
      <c r="CP310" s="304"/>
    </row>
    <row r="311" spans="1:94" s="87" customFormat="1">
      <c r="A311" s="81"/>
      <c r="B311" s="83"/>
      <c r="C311" s="82"/>
      <c r="D311" s="102"/>
      <c r="E311" s="102"/>
      <c r="F311" s="102"/>
      <c r="G311" s="225"/>
      <c r="H311" s="102"/>
      <c r="I311" s="218"/>
      <c r="J311" s="102"/>
      <c r="K311" s="102" t="str">
        <f t="shared" si="28"/>
        <v/>
      </c>
      <c r="L311" s="221"/>
      <c r="M311" s="325"/>
      <c r="N311" s="94"/>
      <c r="O311" s="326"/>
      <c r="P311" s="84"/>
      <c r="Q311" s="88"/>
      <c r="R311" s="102">
        <f t="shared" si="27"/>
        <v>0</v>
      </c>
      <c r="S311" s="89"/>
      <c r="T311" s="100"/>
      <c r="U311" s="100"/>
      <c r="V311" s="100"/>
      <c r="W311" s="100"/>
      <c r="X311" s="100"/>
      <c r="Y311" s="83"/>
      <c r="Z311" s="304"/>
      <c r="AA311" s="304"/>
      <c r="AB311" s="304"/>
      <c r="AC311" s="304"/>
      <c r="AD311" s="304"/>
      <c r="AE311" s="304"/>
      <c r="AF311" s="304"/>
      <c r="AG311" s="304"/>
      <c r="AH311" s="304"/>
      <c r="AI311" s="304"/>
      <c r="AJ311" s="304"/>
      <c r="AK311" s="304"/>
      <c r="AL311" s="304"/>
      <c r="AM311" s="304"/>
      <c r="AN311" s="304"/>
      <c r="AO311" s="304"/>
      <c r="AP311" s="304"/>
      <c r="AQ311" s="304"/>
      <c r="AR311" s="304"/>
      <c r="AS311" s="304"/>
      <c r="AT311" s="304"/>
      <c r="AU311" s="304"/>
      <c r="AV311" s="304"/>
      <c r="AW311" s="304"/>
      <c r="AX311" s="304"/>
      <c r="AY311" s="304"/>
      <c r="AZ311" s="304"/>
      <c r="BA311" s="304"/>
      <c r="BB311" s="304"/>
      <c r="BC311" s="304"/>
      <c r="BD311" s="304"/>
      <c r="BE311" s="304"/>
      <c r="BF311" s="304"/>
      <c r="BG311" s="304"/>
      <c r="BH311" s="304"/>
      <c r="BI311" s="304"/>
      <c r="BJ311" s="304"/>
      <c r="BK311" s="304"/>
      <c r="BL311" s="304"/>
      <c r="BM311" s="304"/>
      <c r="BN311" s="304"/>
      <c r="BO311" s="304"/>
      <c r="BP311" s="304"/>
      <c r="BQ311" s="304"/>
      <c r="BR311" s="304"/>
      <c r="BS311" s="304"/>
      <c r="BT311" s="304"/>
      <c r="BU311" s="304"/>
      <c r="BV311" s="304"/>
      <c r="BW311" s="304"/>
      <c r="BX311" s="304"/>
      <c r="BY311" s="304"/>
      <c r="BZ311" s="304"/>
      <c r="CA311" s="304"/>
      <c r="CB311" s="304"/>
      <c r="CC311" s="304"/>
      <c r="CD311" s="304"/>
      <c r="CE311" s="304"/>
      <c r="CF311" s="304"/>
      <c r="CG311" s="304"/>
      <c r="CH311" s="304"/>
      <c r="CI311" s="304"/>
      <c r="CJ311" s="304"/>
      <c r="CK311" s="304"/>
      <c r="CL311" s="304"/>
      <c r="CM311" s="304"/>
      <c r="CN311" s="304"/>
      <c r="CO311" s="304"/>
      <c r="CP311" s="304"/>
    </row>
    <row r="312" spans="1:94" s="87" customFormat="1">
      <c r="A312" s="81"/>
      <c r="B312" s="83"/>
      <c r="C312" s="82"/>
      <c r="D312" s="102"/>
      <c r="E312" s="102"/>
      <c r="F312" s="102"/>
      <c r="G312" s="225"/>
      <c r="H312" s="102"/>
      <c r="I312" s="218"/>
      <c r="J312" s="102"/>
      <c r="K312" s="102" t="str">
        <f t="shared" si="28"/>
        <v/>
      </c>
      <c r="L312" s="221"/>
      <c r="M312" s="325"/>
      <c r="N312" s="94"/>
      <c r="O312" s="326"/>
      <c r="P312" s="84"/>
      <c r="Q312" s="88"/>
      <c r="R312" s="102">
        <f t="shared" si="27"/>
        <v>0</v>
      </c>
      <c r="S312" s="89"/>
      <c r="T312" s="100"/>
      <c r="U312" s="100"/>
      <c r="V312" s="100"/>
      <c r="W312" s="100"/>
      <c r="X312" s="100"/>
      <c r="Y312" s="83"/>
      <c r="Z312" s="304"/>
      <c r="AA312" s="304"/>
      <c r="AB312" s="304"/>
      <c r="AC312" s="304"/>
      <c r="AD312" s="304"/>
      <c r="AE312" s="304"/>
      <c r="AF312" s="304"/>
      <c r="AG312" s="304"/>
      <c r="AH312" s="304"/>
      <c r="AI312" s="304"/>
      <c r="AJ312" s="304"/>
      <c r="AK312" s="304"/>
      <c r="AL312" s="304"/>
      <c r="AM312" s="304"/>
      <c r="AN312" s="304"/>
      <c r="AO312" s="304"/>
      <c r="AP312" s="304"/>
      <c r="AQ312" s="304"/>
      <c r="AR312" s="304"/>
      <c r="AS312" s="304"/>
      <c r="AT312" s="304"/>
      <c r="AU312" s="304"/>
      <c r="AV312" s="304"/>
      <c r="AW312" s="304"/>
      <c r="AX312" s="304"/>
      <c r="AY312" s="304"/>
      <c r="AZ312" s="304"/>
      <c r="BA312" s="304"/>
      <c r="BB312" s="304"/>
      <c r="BC312" s="304"/>
      <c r="BD312" s="304"/>
      <c r="BE312" s="304"/>
      <c r="BF312" s="304"/>
      <c r="BG312" s="304"/>
      <c r="BH312" s="304"/>
      <c r="BI312" s="304"/>
      <c r="BJ312" s="304"/>
      <c r="BK312" s="304"/>
      <c r="BL312" s="304"/>
      <c r="BM312" s="304"/>
      <c r="BN312" s="304"/>
      <c r="BO312" s="304"/>
      <c r="BP312" s="304"/>
      <c r="BQ312" s="304"/>
      <c r="BR312" s="304"/>
      <c r="BS312" s="304"/>
      <c r="BT312" s="304"/>
      <c r="BU312" s="304"/>
      <c r="BV312" s="304"/>
      <c r="BW312" s="304"/>
      <c r="BX312" s="304"/>
      <c r="BY312" s="304"/>
      <c r="BZ312" s="304"/>
      <c r="CA312" s="304"/>
      <c r="CB312" s="304"/>
      <c r="CC312" s="304"/>
      <c r="CD312" s="304"/>
      <c r="CE312" s="304"/>
      <c r="CF312" s="304"/>
      <c r="CG312" s="304"/>
      <c r="CH312" s="304"/>
      <c r="CI312" s="304"/>
      <c r="CJ312" s="304"/>
      <c r="CK312" s="304"/>
      <c r="CL312" s="304"/>
      <c r="CM312" s="304"/>
      <c r="CN312" s="304"/>
      <c r="CO312" s="304"/>
      <c r="CP312" s="304"/>
    </row>
    <row r="313" spans="1:94" s="87" customFormat="1">
      <c r="A313" s="81"/>
      <c r="B313" s="83"/>
      <c r="C313" s="82"/>
      <c r="D313" s="102"/>
      <c r="E313" s="102"/>
      <c r="F313" s="102"/>
      <c r="G313" s="225"/>
      <c r="H313" s="102"/>
      <c r="I313" s="218"/>
      <c r="J313" s="102"/>
      <c r="K313" s="102" t="str">
        <f t="shared" si="28"/>
        <v/>
      </c>
      <c r="L313" s="221"/>
      <c r="M313" s="325"/>
      <c r="N313" s="94"/>
      <c r="O313" s="326"/>
      <c r="P313" s="84"/>
      <c r="Q313" s="88"/>
      <c r="R313" s="102">
        <f t="shared" si="27"/>
        <v>0</v>
      </c>
      <c r="S313" s="89"/>
      <c r="T313" s="100"/>
      <c r="U313" s="100"/>
      <c r="V313" s="100"/>
      <c r="W313" s="100"/>
      <c r="X313" s="100"/>
      <c r="Y313" s="83"/>
      <c r="Z313" s="304"/>
      <c r="AA313" s="304"/>
      <c r="AB313" s="304"/>
      <c r="AC313" s="304"/>
      <c r="AD313" s="304"/>
      <c r="AE313" s="304"/>
      <c r="AF313" s="304"/>
      <c r="AG313" s="304"/>
      <c r="AH313" s="304"/>
      <c r="AI313" s="304"/>
      <c r="AJ313" s="304"/>
      <c r="AK313" s="304"/>
      <c r="AL313" s="304"/>
      <c r="AM313" s="304"/>
      <c r="AN313" s="304"/>
      <c r="AO313" s="304"/>
      <c r="AP313" s="304"/>
      <c r="AQ313" s="304"/>
      <c r="AR313" s="304"/>
      <c r="AS313" s="304"/>
      <c r="AT313" s="304"/>
      <c r="AU313" s="304"/>
      <c r="AV313" s="304"/>
      <c r="AW313" s="304"/>
      <c r="AX313" s="304"/>
      <c r="AY313" s="304"/>
      <c r="AZ313" s="304"/>
      <c r="BA313" s="304"/>
      <c r="BB313" s="304"/>
      <c r="BC313" s="304"/>
      <c r="BD313" s="304"/>
      <c r="BE313" s="304"/>
      <c r="BF313" s="304"/>
      <c r="BG313" s="304"/>
      <c r="BH313" s="304"/>
      <c r="BI313" s="304"/>
      <c r="BJ313" s="304"/>
      <c r="BK313" s="304"/>
      <c r="BL313" s="304"/>
      <c r="BM313" s="304"/>
      <c r="BN313" s="304"/>
      <c r="BO313" s="304"/>
      <c r="BP313" s="304"/>
      <c r="BQ313" s="304"/>
      <c r="BR313" s="304"/>
      <c r="BS313" s="304"/>
      <c r="BT313" s="304"/>
      <c r="BU313" s="304"/>
      <c r="BV313" s="304"/>
      <c r="BW313" s="304"/>
      <c r="BX313" s="304"/>
      <c r="BY313" s="304"/>
      <c r="BZ313" s="304"/>
      <c r="CA313" s="304"/>
      <c r="CB313" s="304"/>
      <c r="CC313" s="304"/>
      <c r="CD313" s="304"/>
      <c r="CE313" s="304"/>
      <c r="CF313" s="304"/>
      <c r="CG313" s="304"/>
      <c r="CH313" s="304"/>
      <c r="CI313" s="304"/>
      <c r="CJ313" s="304"/>
      <c r="CK313" s="304"/>
      <c r="CL313" s="304"/>
      <c r="CM313" s="304"/>
      <c r="CN313" s="304"/>
      <c r="CO313" s="304"/>
      <c r="CP313" s="304"/>
    </row>
    <row r="314" spans="1:94" s="87" customFormat="1">
      <c r="A314" s="81"/>
      <c r="B314" s="83"/>
      <c r="C314" s="82"/>
      <c r="D314" s="102"/>
      <c r="E314" s="102"/>
      <c r="F314" s="102"/>
      <c r="G314" s="225"/>
      <c r="H314" s="102"/>
      <c r="I314" s="218"/>
      <c r="J314" s="102"/>
      <c r="K314" s="102" t="str">
        <f t="shared" si="28"/>
        <v/>
      </c>
      <c r="L314" s="221"/>
      <c r="M314" s="325"/>
      <c r="N314" s="94"/>
      <c r="O314" s="326"/>
      <c r="P314" s="84"/>
      <c r="Q314" s="88"/>
      <c r="R314" s="102">
        <f t="shared" si="27"/>
        <v>0</v>
      </c>
      <c r="S314" s="89"/>
      <c r="T314" s="100"/>
      <c r="U314" s="100"/>
      <c r="V314" s="100"/>
      <c r="W314" s="100"/>
      <c r="X314" s="100"/>
      <c r="Y314" s="83"/>
      <c r="Z314" s="304"/>
      <c r="AA314" s="304"/>
      <c r="AB314" s="304"/>
      <c r="AC314" s="304"/>
      <c r="AD314" s="304"/>
      <c r="AE314" s="304"/>
      <c r="AF314" s="304"/>
      <c r="AG314" s="304"/>
      <c r="AH314" s="304"/>
      <c r="AI314" s="304"/>
      <c r="AJ314" s="304"/>
      <c r="AK314" s="304"/>
      <c r="AL314" s="304"/>
      <c r="AM314" s="304"/>
      <c r="AN314" s="304"/>
      <c r="AO314" s="304"/>
      <c r="AP314" s="304"/>
      <c r="AQ314" s="304"/>
      <c r="AR314" s="304"/>
      <c r="AS314" s="304"/>
      <c r="AT314" s="304"/>
      <c r="AU314" s="304"/>
      <c r="AV314" s="304"/>
      <c r="AW314" s="304"/>
      <c r="AX314" s="304"/>
      <c r="AY314" s="304"/>
      <c r="AZ314" s="304"/>
      <c r="BA314" s="304"/>
      <c r="BB314" s="304"/>
      <c r="BC314" s="304"/>
      <c r="BD314" s="304"/>
      <c r="BE314" s="304"/>
      <c r="BF314" s="304"/>
      <c r="BG314" s="304"/>
      <c r="BH314" s="304"/>
      <c r="BI314" s="304"/>
      <c r="BJ314" s="304"/>
      <c r="BK314" s="304"/>
      <c r="BL314" s="304"/>
      <c r="BM314" s="304"/>
      <c r="BN314" s="304"/>
      <c r="BO314" s="304"/>
      <c r="BP314" s="304"/>
      <c r="BQ314" s="304"/>
      <c r="BR314" s="304"/>
      <c r="BS314" s="304"/>
      <c r="BT314" s="304"/>
      <c r="BU314" s="304"/>
      <c r="BV314" s="304"/>
      <c r="BW314" s="304"/>
      <c r="BX314" s="304"/>
      <c r="BY314" s="304"/>
      <c r="BZ314" s="304"/>
      <c r="CA314" s="304"/>
      <c r="CB314" s="304"/>
      <c r="CC314" s="304"/>
      <c r="CD314" s="304"/>
      <c r="CE314" s="304"/>
      <c r="CF314" s="304"/>
      <c r="CG314" s="304"/>
      <c r="CH314" s="304"/>
      <c r="CI314" s="304"/>
      <c r="CJ314" s="304"/>
      <c r="CK314" s="304"/>
      <c r="CL314" s="304"/>
      <c r="CM314" s="304"/>
      <c r="CN314" s="304"/>
      <c r="CO314" s="304"/>
      <c r="CP314" s="304"/>
    </row>
    <row r="315" spans="1:94" s="87" customFormat="1">
      <c r="A315" s="81"/>
      <c r="B315" s="83"/>
      <c r="C315" s="82"/>
      <c r="D315" s="102"/>
      <c r="E315" s="102"/>
      <c r="F315" s="102"/>
      <c r="G315" s="225"/>
      <c r="H315" s="102"/>
      <c r="I315" s="218"/>
      <c r="J315" s="102"/>
      <c r="K315" s="102" t="str">
        <f t="shared" si="28"/>
        <v/>
      </c>
      <c r="L315" s="221"/>
      <c r="M315" s="325"/>
      <c r="N315" s="94"/>
      <c r="O315" s="326"/>
      <c r="P315" s="84"/>
      <c r="Q315" s="88"/>
      <c r="R315" s="102">
        <f t="shared" si="27"/>
        <v>0</v>
      </c>
      <c r="S315" s="89"/>
      <c r="T315" s="100"/>
      <c r="U315" s="100"/>
      <c r="V315" s="100"/>
      <c r="W315" s="100"/>
      <c r="X315" s="100"/>
      <c r="Y315" s="83"/>
      <c r="Z315" s="304"/>
      <c r="AA315" s="304"/>
      <c r="AB315" s="304"/>
      <c r="AC315" s="304"/>
      <c r="AD315" s="304"/>
      <c r="AE315" s="304"/>
      <c r="AF315" s="304"/>
      <c r="AG315" s="304"/>
      <c r="AH315" s="304"/>
      <c r="AI315" s="304"/>
      <c r="AJ315" s="304"/>
      <c r="AK315" s="304"/>
      <c r="AL315" s="304"/>
      <c r="AM315" s="304"/>
      <c r="AN315" s="304"/>
      <c r="AO315" s="304"/>
      <c r="AP315" s="304"/>
      <c r="AQ315" s="304"/>
      <c r="AR315" s="304"/>
      <c r="AS315" s="304"/>
      <c r="AT315" s="304"/>
      <c r="AU315" s="304"/>
      <c r="AV315" s="304"/>
      <c r="AW315" s="304"/>
      <c r="AX315" s="304"/>
      <c r="AY315" s="304"/>
      <c r="AZ315" s="304"/>
      <c r="BA315" s="304"/>
      <c r="BB315" s="304"/>
      <c r="BC315" s="304"/>
      <c r="BD315" s="304"/>
      <c r="BE315" s="304"/>
      <c r="BF315" s="304"/>
      <c r="BG315" s="304"/>
      <c r="BH315" s="304"/>
      <c r="BI315" s="304"/>
      <c r="BJ315" s="304"/>
      <c r="BK315" s="304"/>
      <c r="BL315" s="304"/>
      <c r="BM315" s="304"/>
      <c r="BN315" s="304"/>
      <c r="BO315" s="304"/>
      <c r="BP315" s="304"/>
      <c r="BQ315" s="304"/>
      <c r="BR315" s="304"/>
      <c r="BS315" s="304"/>
      <c r="BT315" s="304"/>
      <c r="BU315" s="304"/>
      <c r="BV315" s="304"/>
      <c r="BW315" s="304"/>
      <c r="BX315" s="304"/>
      <c r="BY315" s="304"/>
      <c r="BZ315" s="304"/>
      <c r="CA315" s="304"/>
      <c r="CB315" s="304"/>
      <c r="CC315" s="304"/>
      <c r="CD315" s="304"/>
      <c r="CE315" s="304"/>
      <c r="CF315" s="304"/>
      <c r="CG315" s="304"/>
      <c r="CH315" s="304"/>
      <c r="CI315" s="304"/>
      <c r="CJ315" s="304"/>
      <c r="CK315" s="304"/>
      <c r="CL315" s="304"/>
      <c r="CM315" s="304"/>
      <c r="CN315" s="304"/>
      <c r="CO315" s="304"/>
      <c r="CP315" s="304"/>
    </row>
    <row r="316" spans="1:94" s="87" customFormat="1">
      <c r="A316" s="81"/>
      <c r="B316" s="83"/>
      <c r="C316" s="82"/>
      <c r="D316" s="102"/>
      <c r="E316" s="102"/>
      <c r="F316" s="102"/>
      <c r="G316" s="225"/>
      <c r="H316" s="102"/>
      <c r="I316" s="218"/>
      <c r="J316" s="102"/>
      <c r="K316" s="102" t="str">
        <f t="shared" si="28"/>
        <v/>
      </c>
      <c r="L316" s="221"/>
      <c r="M316" s="325"/>
      <c r="N316" s="94"/>
      <c r="O316" s="326"/>
      <c r="P316" s="84"/>
      <c r="Q316" s="88"/>
      <c r="R316" s="102">
        <f t="shared" si="27"/>
        <v>0</v>
      </c>
      <c r="S316" s="89"/>
      <c r="T316" s="100"/>
      <c r="U316" s="100"/>
      <c r="V316" s="100"/>
      <c r="W316" s="100"/>
      <c r="X316" s="100"/>
      <c r="Y316" s="83"/>
      <c r="Z316" s="304"/>
      <c r="AA316" s="304"/>
      <c r="AB316" s="304"/>
      <c r="AC316" s="304"/>
      <c r="AD316" s="304"/>
      <c r="AE316" s="304"/>
      <c r="AF316" s="304"/>
      <c r="AG316" s="304"/>
      <c r="AH316" s="304"/>
      <c r="AI316" s="304"/>
      <c r="AJ316" s="304"/>
      <c r="AK316" s="304"/>
      <c r="AL316" s="304"/>
      <c r="AM316" s="304"/>
      <c r="AN316" s="304"/>
      <c r="AO316" s="304"/>
      <c r="AP316" s="304"/>
      <c r="AQ316" s="304"/>
      <c r="AR316" s="304"/>
      <c r="AS316" s="304"/>
      <c r="AT316" s="304"/>
      <c r="AU316" s="304"/>
      <c r="AV316" s="304"/>
      <c r="AW316" s="304"/>
      <c r="AX316" s="304"/>
      <c r="AY316" s="304"/>
      <c r="AZ316" s="304"/>
      <c r="BA316" s="304"/>
      <c r="BB316" s="304"/>
      <c r="BC316" s="304"/>
      <c r="BD316" s="304"/>
      <c r="BE316" s="304"/>
      <c r="BF316" s="304"/>
      <c r="BG316" s="304"/>
      <c r="BH316" s="304"/>
      <c r="BI316" s="304"/>
      <c r="BJ316" s="304"/>
      <c r="BK316" s="304"/>
      <c r="BL316" s="304"/>
      <c r="BM316" s="304"/>
      <c r="BN316" s="304"/>
      <c r="BO316" s="304"/>
      <c r="BP316" s="304"/>
      <c r="BQ316" s="304"/>
      <c r="BR316" s="304"/>
      <c r="BS316" s="304"/>
      <c r="BT316" s="304"/>
      <c r="BU316" s="304"/>
      <c r="BV316" s="304"/>
      <c r="BW316" s="304"/>
      <c r="BX316" s="304"/>
      <c r="BY316" s="304"/>
      <c r="BZ316" s="304"/>
      <c r="CA316" s="304"/>
      <c r="CB316" s="304"/>
      <c r="CC316" s="304"/>
      <c r="CD316" s="304"/>
      <c r="CE316" s="304"/>
      <c r="CF316" s="304"/>
      <c r="CG316" s="304"/>
      <c r="CH316" s="304"/>
      <c r="CI316" s="304"/>
      <c r="CJ316" s="304"/>
      <c r="CK316" s="304"/>
      <c r="CL316" s="304"/>
      <c r="CM316" s="304"/>
      <c r="CN316" s="304"/>
      <c r="CO316" s="304"/>
      <c r="CP316" s="304"/>
    </row>
    <row r="317" spans="1:94" s="87" customFormat="1">
      <c r="A317" s="81"/>
      <c r="B317" s="83"/>
      <c r="C317" s="82"/>
      <c r="D317" s="102"/>
      <c r="E317" s="102"/>
      <c r="F317" s="102"/>
      <c r="G317" s="225"/>
      <c r="H317" s="102"/>
      <c r="I317" s="218"/>
      <c r="J317" s="102"/>
      <c r="K317" s="102" t="str">
        <f t="shared" si="28"/>
        <v/>
      </c>
      <c r="L317" s="221"/>
      <c r="M317" s="325"/>
      <c r="N317" s="94"/>
      <c r="O317" s="326"/>
      <c r="P317" s="84"/>
      <c r="Q317" s="88"/>
      <c r="R317" s="102">
        <f t="shared" si="27"/>
        <v>0</v>
      </c>
      <c r="S317" s="89"/>
      <c r="T317" s="100"/>
      <c r="U317" s="100"/>
      <c r="V317" s="100"/>
      <c r="W317" s="100"/>
      <c r="X317" s="100"/>
      <c r="Y317" s="83"/>
      <c r="Z317" s="304"/>
      <c r="AA317" s="304"/>
      <c r="AB317" s="304"/>
      <c r="AC317" s="304"/>
      <c r="AD317" s="304"/>
      <c r="AE317" s="304"/>
      <c r="AF317" s="304"/>
      <c r="AG317" s="304"/>
      <c r="AH317" s="304"/>
      <c r="AI317" s="304"/>
      <c r="AJ317" s="304"/>
      <c r="AK317" s="304"/>
      <c r="AL317" s="304"/>
      <c r="AM317" s="304"/>
      <c r="AN317" s="304"/>
      <c r="AO317" s="304"/>
      <c r="AP317" s="304"/>
      <c r="AQ317" s="304"/>
      <c r="AR317" s="304"/>
      <c r="AS317" s="304"/>
      <c r="AT317" s="304"/>
      <c r="AU317" s="304"/>
      <c r="AV317" s="304"/>
      <c r="AW317" s="304"/>
      <c r="AX317" s="304"/>
      <c r="AY317" s="304"/>
      <c r="AZ317" s="304"/>
      <c r="BA317" s="304"/>
      <c r="BB317" s="304"/>
      <c r="BC317" s="304"/>
      <c r="BD317" s="304"/>
      <c r="BE317" s="304"/>
      <c r="BF317" s="304"/>
      <c r="BG317" s="304"/>
      <c r="BH317" s="304"/>
      <c r="BI317" s="304"/>
      <c r="BJ317" s="304"/>
      <c r="BK317" s="304"/>
      <c r="BL317" s="304"/>
      <c r="BM317" s="304"/>
      <c r="BN317" s="304"/>
      <c r="BO317" s="304"/>
      <c r="BP317" s="304"/>
      <c r="BQ317" s="304"/>
      <c r="BR317" s="304"/>
      <c r="BS317" s="304"/>
      <c r="BT317" s="304"/>
      <c r="BU317" s="304"/>
      <c r="BV317" s="304"/>
      <c r="BW317" s="304"/>
      <c r="BX317" s="304"/>
      <c r="BY317" s="304"/>
      <c r="BZ317" s="304"/>
      <c r="CA317" s="304"/>
      <c r="CB317" s="304"/>
      <c r="CC317" s="304"/>
      <c r="CD317" s="304"/>
      <c r="CE317" s="304"/>
      <c r="CF317" s="304"/>
      <c r="CG317" s="304"/>
      <c r="CH317" s="304"/>
      <c r="CI317" s="304"/>
      <c r="CJ317" s="304"/>
      <c r="CK317" s="304"/>
      <c r="CL317" s="304"/>
      <c r="CM317" s="304"/>
      <c r="CN317" s="304"/>
      <c r="CO317" s="304"/>
      <c r="CP317" s="304"/>
    </row>
    <row r="318" spans="1:94" s="87" customFormat="1">
      <c r="A318" s="81"/>
      <c r="B318" s="83"/>
      <c r="C318" s="82"/>
      <c r="D318" s="102"/>
      <c r="E318" s="102"/>
      <c r="F318" s="102"/>
      <c r="G318" s="225"/>
      <c r="H318" s="102"/>
      <c r="I318" s="218"/>
      <c r="J318" s="102"/>
      <c r="K318" s="102" t="str">
        <f t="shared" si="28"/>
        <v/>
      </c>
      <c r="L318" s="221"/>
      <c r="M318" s="325"/>
      <c r="N318" s="94"/>
      <c r="O318" s="326"/>
      <c r="P318" s="84"/>
      <c r="Q318" s="88"/>
      <c r="R318" s="102">
        <f t="shared" si="27"/>
        <v>0</v>
      </c>
      <c r="S318" s="89"/>
      <c r="T318" s="100"/>
      <c r="U318" s="100"/>
      <c r="V318" s="100"/>
      <c r="W318" s="100"/>
      <c r="X318" s="100"/>
      <c r="Y318" s="83"/>
      <c r="Z318" s="304"/>
      <c r="AA318" s="304"/>
      <c r="AB318" s="304"/>
      <c r="AC318" s="304"/>
      <c r="AD318" s="304"/>
      <c r="AE318" s="304"/>
      <c r="AF318" s="304"/>
      <c r="AG318" s="304"/>
      <c r="AH318" s="304"/>
      <c r="AI318" s="304"/>
      <c r="AJ318" s="304"/>
      <c r="AK318" s="304"/>
      <c r="AL318" s="304"/>
      <c r="AM318" s="304"/>
      <c r="AN318" s="304"/>
      <c r="AO318" s="304"/>
      <c r="AP318" s="304"/>
      <c r="AQ318" s="304"/>
      <c r="AR318" s="304"/>
      <c r="AS318" s="304"/>
      <c r="AT318" s="304"/>
      <c r="AU318" s="304"/>
      <c r="AV318" s="304"/>
      <c r="AW318" s="304"/>
      <c r="AX318" s="304"/>
      <c r="AY318" s="304"/>
      <c r="AZ318" s="304"/>
      <c r="BA318" s="304"/>
      <c r="BB318" s="304"/>
      <c r="BC318" s="304"/>
      <c r="BD318" s="304"/>
      <c r="BE318" s="304"/>
      <c r="BF318" s="304"/>
      <c r="BG318" s="304"/>
      <c r="BH318" s="304"/>
      <c r="BI318" s="304"/>
      <c r="BJ318" s="304"/>
      <c r="BK318" s="304"/>
      <c r="BL318" s="304"/>
      <c r="BM318" s="304"/>
      <c r="BN318" s="304"/>
      <c r="BO318" s="304"/>
      <c r="BP318" s="304"/>
      <c r="BQ318" s="304"/>
      <c r="BR318" s="304"/>
      <c r="BS318" s="304"/>
      <c r="BT318" s="304"/>
      <c r="BU318" s="304"/>
      <c r="BV318" s="304"/>
      <c r="BW318" s="304"/>
      <c r="BX318" s="304"/>
      <c r="BY318" s="304"/>
      <c r="BZ318" s="304"/>
      <c r="CA318" s="304"/>
      <c r="CB318" s="304"/>
      <c r="CC318" s="304"/>
      <c r="CD318" s="304"/>
      <c r="CE318" s="304"/>
      <c r="CF318" s="304"/>
      <c r="CG318" s="304"/>
      <c r="CH318" s="304"/>
      <c r="CI318" s="304"/>
      <c r="CJ318" s="304"/>
      <c r="CK318" s="304"/>
      <c r="CL318" s="304"/>
      <c r="CM318" s="304"/>
      <c r="CN318" s="304"/>
      <c r="CO318" s="304"/>
      <c r="CP318" s="304"/>
    </row>
    <row r="319" spans="1:94" s="87" customFormat="1">
      <c r="A319" s="81"/>
      <c r="B319" s="83"/>
      <c r="C319" s="82"/>
      <c r="D319" s="102"/>
      <c r="E319" s="102"/>
      <c r="F319" s="102"/>
      <c r="G319" s="225"/>
      <c r="H319" s="102"/>
      <c r="I319" s="218"/>
      <c r="J319" s="102"/>
      <c r="K319" s="102" t="str">
        <f t="shared" si="28"/>
        <v/>
      </c>
      <c r="L319" s="221"/>
      <c r="M319" s="325"/>
      <c r="N319" s="94"/>
      <c r="O319" s="326"/>
      <c r="P319" s="84"/>
      <c r="Q319" s="88"/>
      <c r="R319" s="102">
        <f t="shared" si="27"/>
        <v>0</v>
      </c>
      <c r="S319" s="89"/>
      <c r="T319" s="100"/>
      <c r="U319" s="100"/>
      <c r="V319" s="100"/>
      <c r="W319" s="100"/>
      <c r="X319" s="100"/>
      <c r="Y319" s="83"/>
      <c r="Z319" s="304"/>
      <c r="AA319" s="304"/>
      <c r="AB319" s="304"/>
      <c r="AC319" s="304"/>
      <c r="AD319" s="304"/>
      <c r="AE319" s="304"/>
      <c r="AF319" s="304"/>
      <c r="AG319" s="304"/>
      <c r="AH319" s="304"/>
      <c r="AI319" s="304"/>
      <c r="AJ319" s="304"/>
      <c r="AK319" s="304"/>
      <c r="AL319" s="304"/>
      <c r="AM319" s="304"/>
      <c r="AN319" s="304"/>
      <c r="AO319" s="304"/>
      <c r="AP319" s="304"/>
      <c r="AQ319" s="304"/>
      <c r="AR319" s="304"/>
      <c r="AS319" s="304"/>
      <c r="AT319" s="304"/>
      <c r="AU319" s="304"/>
      <c r="AV319" s="304"/>
      <c r="AW319" s="304"/>
      <c r="AX319" s="304"/>
      <c r="AY319" s="304"/>
      <c r="AZ319" s="304"/>
      <c r="BA319" s="304"/>
      <c r="BB319" s="304"/>
      <c r="BC319" s="304"/>
      <c r="BD319" s="304"/>
      <c r="BE319" s="304"/>
      <c r="BF319" s="304"/>
      <c r="BG319" s="304"/>
      <c r="BH319" s="304"/>
      <c r="BI319" s="304"/>
      <c r="BJ319" s="304"/>
      <c r="BK319" s="304"/>
      <c r="BL319" s="304"/>
      <c r="BM319" s="304"/>
      <c r="BN319" s="304"/>
      <c r="BO319" s="304"/>
      <c r="BP319" s="304"/>
      <c r="BQ319" s="304"/>
      <c r="BR319" s="304"/>
      <c r="BS319" s="304"/>
      <c r="BT319" s="304"/>
      <c r="BU319" s="304"/>
      <c r="BV319" s="304"/>
      <c r="BW319" s="304"/>
      <c r="BX319" s="304"/>
      <c r="BY319" s="304"/>
      <c r="BZ319" s="304"/>
      <c r="CA319" s="304"/>
      <c r="CB319" s="304"/>
      <c r="CC319" s="304"/>
      <c r="CD319" s="304"/>
      <c r="CE319" s="304"/>
      <c r="CF319" s="304"/>
      <c r="CG319" s="304"/>
      <c r="CH319" s="304"/>
      <c r="CI319" s="304"/>
      <c r="CJ319" s="304"/>
      <c r="CK319" s="304"/>
      <c r="CL319" s="304"/>
      <c r="CM319" s="304"/>
      <c r="CN319" s="304"/>
      <c r="CO319" s="304"/>
      <c r="CP319" s="304"/>
    </row>
    <row r="320" spans="1:94" s="87" customFormat="1">
      <c r="A320" s="81"/>
      <c r="B320" s="83"/>
      <c r="C320" s="82"/>
      <c r="D320" s="102"/>
      <c r="E320" s="102"/>
      <c r="F320" s="102"/>
      <c r="G320" s="225"/>
      <c r="H320" s="102"/>
      <c r="I320" s="218"/>
      <c r="J320" s="102"/>
      <c r="K320" s="102" t="str">
        <f t="shared" si="28"/>
        <v/>
      </c>
      <c r="L320" s="221"/>
      <c r="M320" s="325"/>
      <c r="N320" s="94"/>
      <c r="O320" s="326"/>
      <c r="P320" s="84"/>
      <c r="Q320" s="88"/>
      <c r="R320" s="102">
        <f t="shared" si="27"/>
        <v>0</v>
      </c>
      <c r="S320" s="89"/>
      <c r="T320" s="100"/>
      <c r="U320" s="100"/>
      <c r="V320" s="100"/>
      <c r="W320" s="100"/>
      <c r="X320" s="100"/>
      <c r="Y320" s="83"/>
      <c r="Z320" s="304"/>
      <c r="AA320" s="304"/>
      <c r="AB320" s="304"/>
      <c r="AC320" s="304"/>
      <c r="AD320" s="304"/>
      <c r="AE320" s="304"/>
      <c r="AF320" s="304"/>
      <c r="AG320" s="304"/>
      <c r="AH320" s="304"/>
      <c r="AI320" s="304"/>
      <c r="AJ320" s="304"/>
      <c r="AK320" s="304"/>
      <c r="AL320" s="304"/>
      <c r="AM320" s="304"/>
      <c r="AN320" s="304"/>
      <c r="AO320" s="304"/>
      <c r="AP320" s="304"/>
      <c r="AQ320" s="304"/>
      <c r="AR320" s="304"/>
      <c r="AS320" s="304"/>
      <c r="AT320" s="304"/>
      <c r="AU320" s="304"/>
      <c r="AV320" s="304"/>
      <c r="AW320" s="304"/>
      <c r="AX320" s="304"/>
      <c r="AY320" s="304"/>
      <c r="AZ320" s="304"/>
      <c r="BA320" s="304"/>
      <c r="BB320" s="304"/>
      <c r="BC320" s="304"/>
      <c r="BD320" s="304"/>
      <c r="BE320" s="304"/>
      <c r="BF320" s="304"/>
      <c r="BG320" s="304"/>
      <c r="BH320" s="304"/>
      <c r="BI320" s="304"/>
      <c r="BJ320" s="304"/>
      <c r="BK320" s="304"/>
      <c r="BL320" s="304"/>
      <c r="BM320" s="304"/>
      <c r="BN320" s="304"/>
      <c r="BO320" s="304"/>
      <c r="BP320" s="304"/>
      <c r="BQ320" s="304"/>
      <c r="BR320" s="304"/>
      <c r="BS320" s="304"/>
      <c r="BT320" s="304"/>
      <c r="BU320" s="304"/>
      <c r="BV320" s="304"/>
      <c r="BW320" s="304"/>
      <c r="BX320" s="304"/>
      <c r="BY320" s="304"/>
      <c r="BZ320" s="304"/>
      <c r="CA320" s="304"/>
      <c r="CB320" s="304"/>
      <c r="CC320" s="304"/>
      <c r="CD320" s="304"/>
      <c r="CE320" s="304"/>
      <c r="CF320" s="304"/>
      <c r="CG320" s="304"/>
      <c r="CH320" s="304"/>
      <c r="CI320" s="304"/>
      <c r="CJ320" s="304"/>
      <c r="CK320" s="304"/>
      <c r="CL320" s="304"/>
      <c r="CM320" s="304"/>
      <c r="CN320" s="304"/>
      <c r="CO320" s="304"/>
      <c r="CP320" s="304"/>
    </row>
    <row r="321" spans="1:94" s="87" customFormat="1">
      <c r="A321" s="81"/>
      <c r="B321" s="83"/>
      <c r="C321" s="82"/>
      <c r="D321" s="102"/>
      <c r="E321" s="102"/>
      <c r="F321" s="102"/>
      <c r="G321" s="225"/>
      <c r="H321" s="102"/>
      <c r="I321" s="218"/>
      <c r="J321" s="102"/>
      <c r="K321" s="102" t="str">
        <f t="shared" si="28"/>
        <v/>
      </c>
      <c r="L321" s="221"/>
      <c r="M321" s="325"/>
      <c r="N321" s="94"/>
      <c r="O321" s="326"/>
      <c r="P321" s="84"/>
      <c r="Q321" s="88"/>
      <c r="R321" s="102">
        <f t="shared" si="27"/>
        <v>0</v>
      </c>
      <c r="S321" s="89"/>
      <c r="T321" s="100"/>
      <c r="U321" s="100"/>
      <c r="V321" s="100"/>
      <c r="W321" s="100"/>
      <c r="X321" s="100"/>
      <c r="Y321" s="83"/>
      <c r="Z321" s="304"/>
      <c r="AA321" s="304"/>
      <c r="AB321" s="304"/>
      <c r="AC321" s="304"/>
      <c r="AD321" s="304"/>
      <c r="AE321" s="304"/>
      <c r="AF321" s="304"/>
      <c r="AG321" s="304"/>
      <c r="AH321" s="304"/>
      <c r="AI321" s="304"/>
      <c r="AJ321" s="304"/>
      <c r="AK321" s="304"/>
      <c r="AL321" s="304"/>
      <c r="AM321" s="304"/>
      <c r="AN321" s="304"/>
      <c r="AO321" s="304"/>
      <c r="AP321" s="304"/>
      <c r="AQ321" s="304"/>
      <c r="AR321" s="304"/>
      <c r="AS321" s="304"/>
      <c r="AT321" s="304"/>
      <c r="AU321" s="304"/>
      <c r="AV321" s="304"/>
      <c r="AW321" s="304"/>
      <c r="AX321" s="304"/>
      <c r="AY321" s="304"/>
      <c r="AZ321" s="304"/>
      <c r="BA321" s="304"/>
      <c r="BB321" s="304"/>
      <c r="BC321" s="304"/>
      <c r="BD321" s="304"/>
      <c r="BE321" s="304"/>
      <c r="BF321" s="304"/>
      <c r="BG321" s="304"/>
      <c r="BH321" s="304"/>
      <c r="BI321" s="304"/>
      <c r="BJ321" s="304"/>
      <c r="BK321" s="304"/>
      <c r="BL321" s="304"/>
      <c r="BM321" s="304"/>
      <c r="BN321" s="304"/>
      <c r="BO321" s="304"/>
      <c r="BP321" s="304"/>
      <c r="BQ321" s="304"/>
      <c r="BR321" s="304"/>
      <c r="BS321" s="304"/>
      <c r="BT321" s="304"/>
      <c r="BU321" s="304"/>
      <c r="BV321" s="304"/>
      <c r="BW321" s="304"/>
      <c r="BX321" s="304"/>
      <c r="BY321" s="304"/>
      <c r="BZ321" s="304"/>
      <c r="CA321" s="304"/>
      <c r="CB321" s="304"/>
      <c r="CC321" s="304"/>
      <c r="CD321" s="304"/>
      <c r="CE321" s="304"/>
      <c r="CF321" s="304"/>
      <c r="CG321" s="304"/>
      <c r="CH321" s="304"/>
      <c r="CI321" s="304"/>
      <c r="CJ321" s="304"/>
      <c r="CK321" s="304"/>
      <c r="CL321" s="304"/>
      <c r="CM321" s="304"/>
      <c r="CN321" s="304"/>
      <c r="CO321" s="304"/>
      <c r="CP321" s="304"/>
    </row>
    <row r="322" spans="1:94" s="87" customFormat="1">
      <c r="A322" s="81"/>
      <c r="B322" s="83"/>
      <c r="C322" s="82"/>
      <c r="D322" s="102"/>
      <c r="E322" s="102"/>
      <c r="F322" s="102"/>
      <c r="G322" s="225"/>
      <c r="H322" s="102"/>
      <c r="I322" s="218"/>
      <c r="J322" s="102"/>
      <c r="K322" s="102" t="str">
        <f t="shared" si="28"/>
        <v/>
      </c>
      <c r="L322" s="221"/>
      <c r="M322" s="325"/>
      <c r="N322" s="94"/>
      <c r="O322" s="326"/>
      <c r="P322" s="84"/>
      <c r="Q322" s="88"/>
      <c r="R322" s="102">
        <f t="shared" si="27"/>
        <v>0</v>
      </c>
      <c r="S322" s="89"/>
      <c r="T322" s="100"/>
      <c r="U322" s="100"/>
      <c r="V322" s="100"/>
      <c r="W322" s="100"/>
      <c r="X322" s="100"/>
      <c r="Y322" s="83"/>
      <c r="Z322" s="304"/>
      <c r="AA322" s="304"/>
      <c r="AB322" s="304"/>
      <c r="AC322" s="304"/>
      <c r="AD322" s="304"/>
      <c r="AE322" s="304"/>
      <c r="AF322" s="304"/>
      <c r="AG322" s="304"/>
      <c r="AH322" s="304"/>
      <c r="AI322" s="304"/>
      <c r="AJ322" s="304"/>
      <c r="AK322" s="304"/>
      <c r="AL322" s="304"/>
      <c r="AM322" s="304"/>
      <c r="AN322" s="304"/>
      <c r="AO322" s="304"/>
      <c r="AP322" s="304"/>
      <c r="AQ322" s="304"/>
      <c r="AR322" s="304"/>
      <c r="AS322" s="304"/>
      <c r="AT322" s="304"/>
      <c r="AU322" s="304"/>
      <c r="AV322" s="304"/>
      <c r="AW322" s="304"/>
      <c r="AX322" s="304"/>
      <c r="AY322" s="304"/>
      <c r="AZ322" s="304"/>
      <c r="BA322" s="304"/>
      <c r="BB322" s="304"/>
      <c r="BC322" s="304"/>
      <c r="BD322" s="304"/>
      <c r="BE322" s="304"/>
      <c r="BF322" s="304"/>
      <c r="BG322" s="304"/>
      <c r="BH322" s="304"/>
      <c r="BI322" s="304"/>
      <c r="BJ322" s="304"/>
      <c r="BK322" s="304"/>
      <c r="BL322" s="304"/>
      <c r="BM322" s="304"/>
      <c r="BN322" s="304"/>
      <c r="BO322" s="304"/>
      <c r="BP322" s="304"/>
      <c r="BQ322" s="304"/>
      <c r="BR322" s="304"/>
      <c r="BS322" s="304"/>
      <c r="BT322" s="304"/>
      <c r="BU322" s="304"/>
      <c r="BV322" s="304"/>
      <c r="BW322" s="304"/>
      <c r="BX322" s="304"/>
      <c r="BY322" s="304"/>
      <c r="BZ322" s="304"/>
      <c r="CA322" s="304"/>
      <c r="CB322" s="304"/>
      <c r="CC322" s="304"/>
      <c r="CD322" s="304"/>
      <c r="CE322" s="304"/>
      <c r="CF322" s="304"/>
      <c r="CG322" s="304"/>
      <c r="CH322" s="304"/>
      <c r="CI322" s="304"/>
      <c r="CJ322" s="304"/>
      <c r="CK322" s="304"/>
      <c r="CL322" s="304"/>
      <c r="CM322" s="304"/>
      <c r="CN322" s="304"/>
      <c r="CO322" s="304"/>
      <c r="CP322" s="304"/>
    </row>
    <row r="323" spans="1:94" s="87" customFormat="1">
      <c r="A323" s="81"/>
      <c r="B323" s="83"/>
      <c r="C323" s="82"/>
      <c r="D323" s="102"/>
      <c r="E323" s="102"/>
      <c r="F323" s="102"/>
      <c r="G323" s="225"/>
      <c r="H323" s="102"/>
      <c r="I323" s="218"/>
      <c r="J323" s="102"/>
      <c r="K323" s="102" t="str">
        <f t="shared" si="28"/>
        <v/>
      </c>
      <c r="L323" s="221"/>
      <c r="M323" s="325"/>
      <c r="N323" s="94"/>
      <c r="O323" s="326"/>
      <c r="P323" s="84"/>
      <c r="Q323" s="88"/>
      <c r="R323" s="102">
        <f t="shared" si="27"/>
        <v>0</v>
      </c>
      <c r="S323" s="89"/>
      <c r="T323" s="100"/>
      <c r="U323" s="100"/>
      <c r="V323" s="100"/>
      <c r="W323" s="100"/>
      <c r="X323" s="100"/>
      <c r="Y323" s="83"/>
      <c r="Z323" s="304"/>
      <c r="AA323" s="304"/>
      <c r="AB323" s="304"/>
      <c r="AC323" s="304"/>
      <c r="AD323" s="304"/>
      <c r="AE323" s="304"/>
      <c r="AF323" s="304"/>
      <c r="AG323" s="304"/>
      <c r="AH323" s="304"/>
      <c r="AI323" s="304"/>
      <c r="AJ323" s="304"/>
      <c r="AK323" s="304"/>
      <c r="AL323" s="304"/>
      <c r="AM323" s="304"/>
      <c r="AN323" s="304"/>
      <c r="AO323" s="304"/>
      <c r="AP323" s="304"/>
      <c r="AQ323" s="304"/>
      <c r="AR323" s="304"/>
      <c r="AS323" s="304"/>
      <c r="AT323" s="304"/>
      <c r="AU323" s="304"/>
      <c r="AV323" s="304"/>
      <c r="AW323" s="304"/>
      <c r="AX323" s="304"/>
      <c r="AY323" s="304"/>
      <c r="AZ323" s="304"/>
      <c r="BA323" s="304"/>
      <c r="BB323" s="304"/>
      <c r="BC323" s="304"/>
      <c r="BD323" s="304"/>
      <c r="BE323" s="304"/>
      <c r="BF323" s="304"/>
      <c r="BG323" s="304"/>
      <c r="BH323" s="304"/>
      <c r="BI323" s="304"/>
      <c r="BJ323" s="304"/>
      <c r="BK323" s="304"/>
      <c r="BL323" s="304"/>
      <c r="BM323" s="304"/>
      <c r="BN323" s="304"/>
      <c r="BO323" s="304"/>
      <c r="BP323" s="304"/>
      <c r="BQ323" s="304"/>
      <c r="BR323" s="304"/>
      <c r="BS323" s="304"/>
      <c r="BT323" s="304"/>
      <c r="BU323" s="304"/>
      <c r="BV323" s="304"/>
      <c r="BW323" s="304"/>
      <c r="BX323" s="304"/>
      <c r="BY323" s="304"/>
      <c r="BZ323" s="304"/>
      <c r="CA323" s="304"/>
      <c r="CB323" s="304"/>
      <c r="CC323" s="304"/>
      <c r="CD323" s="304"/>
      <c r="CE323" s="304"/>
      <c r="CF323" s="304"/>
      <c r="CG323" s="304"/>
      <c r="CH323" s="304"/>
      <c r="CI323" s="304"/>
      <c r="CJ323" s="304"/>
      <c r="CK323" s="304"/>
      <c r="CL323" s="304"/>
      <c r="CM323" s="304"/>
      <c r="CN323" s="304"/>
      <c r="CO323" s="304"/>
      <c r="CP323" s="304"/>
    </row>
    <row r="324" spans="1:94" s="87" customFormat="1">
      <c r="A324" s="81"/>
      <c r="B324" s="83"/>
      <c r="C324" s="82"/>
      <c r="D324" s="102"/>
      <c r="E324" s="102"/>
      <c r="F324" s="102"/>
      <c r="G324" s="225"/>
      <c r="H324" s="102"/>
      <c r="I324" s="218"/>
      <c r="J324" s="102"/>
      <c r="K324" s="102" t="str">
        <f t="shared" si="28"/>
        <v/>
      </c>
      <c r="L324" s="221"/>
      <c r="M324" s="325"/>
      <c r="N324" s="94"/>
      <c r="O324" s="326"/>
      <c r="P324" s="84"/>
      <c r="Q324" s="88"/>
      <c r="R324" s="102">
        <f t="shared" si="27"/>
        <v>0</v>
      </c>
      <c r="S324" s="89"/>
      <c r="T324" s="100"/>
      <c r="U324" s="100"/>
      <c r="V324" s="100"/>
      <c r="W324" s="100"/>
      <c r="X324" s="100"/>
      <c r="Y324" s="83"/>
      <c r="Z324" s="304"/>
      <c r="AA324" s="304"/>
      <c r="AB324" s="304"/>
      <c r="AC324" s="304"/>
      <c r="AD324" s="304"/>
      <c r="AE324" s="304"/>
      <c r="AF324" s="304"/>
      <c r="AG324" s="304"/>
      <c r="AH324" s="304"/>
      <c r="AI324" s="304"/>
      <c r="AJ324" s="304"/>
      <c r="AK324" s="304"/>
      <c r="AL324" s="304"/>
      <c r="AM324" s="304"/>
      <c r="AN324" s="304"/>
      <c r="AO324" s="304"/>
      <c r="AP324" s="304"/>
      <c r="AQ324" s="304"/>
      <c r="AR324" s="304"/>
      <c r="AS324" s="304"/>
      <c r="AT324" s="304"/>
      <c r="AU324" s="304"/>
      <c r="AV324" s="304"/>
      <c r="AW324" s="304"/>
      <c r="AX324" s="304"/>
      <c r="AY324" s="304"/>
      <c r="AZ324" s="304"/>
      <c r="BA324" s="304"/>
      <c r="BB324" s="304"/>
      <c r="BC324" s="304"/>
      <c r="BD324" s="304"/>
      <c r="BE324" s="304"/>
      <c r="BF324" s="304"/>
      <c r="BG324" s="304"/>
      <c r="BH324" s="304"/>
      <c r="BI324" s="304"/>
      <c r="BJ324" s="304"/>
      <c r="BK324" s="304"/>
      <c r="BL324" s="304"/>
      <c r="BM324" s="304"/>
      <c r="BN324" s="304"/>
      <c r="BO324" s="304"/>
      <c r="BP324" s="304"/>
      <c r="BQ324" s="304"/>
      <c r="BR324" s="304"/>
      <c r="BS324" s="304"/>
      <c r="BT324" s="304"/>
      <c r="BU324" s="304"/>
      <c r="BV324" s="304"/>
      <c r="BW324" s="304"/>
      <c r="BX324" s="304"/>
      <c r="BY324" s="304"/>
      <c r="BZ324" s="304"/>
      <c r="CA324" s="304"/>
      <c r="CB324" s="304"/>
      <c r="CC324" s="304"/>
      <c r="CD324" s="304"/>
      <c r="CE324" s="304"/>
      <c r="CF324" s="304"/>
      <c r="CG324" s="304"/>
      <c r="CH324" s="304"/>
      <c r="CI324" s="304"/>
      <c r="CJ324" s="304"/>
      <c r="CK324" s="304"/>
      <c r="CL324" s="304"/>
      <c r="CM324" s="304"/>
      <c r="CN324" s="304"/>
      <c r="CO324" s="304"/>
      <c r="CP324" s="304"/>
    </row>
    <row r="325" spans="1:94" s="87" customFormat="1">
      <c r="A325" s="81"/>
      <c r="B325" s="83"/>
      <c r="C325" s="82"/>
      <c r="D325" s="102"/>
      <c r="E325" s="102"/>
      <c r="F325" s="102"/>
      <c r="G325" s="225"/>
      <c r="H325" s="102"/>
      <c r="I325" s="218"/>
      <c r="J325" s="102"/>
      <c r="K325" s="102" t="str">
        <f t="shared" si="28"/>
        <v/>
      </c>
      <c r="L325" s="221"/>
      <c r="M325" s="325"/>
      <c r="N325" s="94"/>
      <c r="O325" s="326"/>
      <c r="P325" s="84"/>
      <c r="Q325" s="88"/>
      <c r="R325" s="102">
        <f t="shared" ref="R325:R388" si="29">IFERROR(SUM(F325-D325),"NA")</f>
        <v>0</v>
      </c>
      <c r="S325" s="89"/>
      <c r="T325" s="100"/>
      <c r="U325" s="100"/>
      <c r="V325" s="100"/>
      <c r="W325" s="100"/>
      <c r="X325" s="100"/>
      <c r="Y325" s="83"/>
      <c r="Z325" s="304"/>
      <c r="AA325" s="304"/>
      <c r="AB325" s="304"/>
      <c r="AC325" s="304"/>
      <c r="AD325" s="304"/>
      <c r="AE325" s="304"/>
      <c r="AF325" s="304"/>
      <c r="AG325" s="304"/>
      <c r="AH325" s="304"/>
      <c r="AI325" s="304"/>
      <c r="AJ325" s="304"/>
      <c r="AK325" s="304"/>
      <c r="AL325" s="304"/>
      <c r="AM325" s="304"/>
      <c r="AN325" s="304"/>
      <c r="AO325" s="304"/>
      <c r="AP325" s="304"/>
      <c r="AQ325" s="304"/>
      <c r="AR325" s="304"/>
      <c r="AS325" s="304"/>
      <c r="AT325" s="304"/>
      <c r="AU325" s="304"/>
      <c r="AV325" s="304"/>
      <c r="AW325" s="304"/>
      <c r="AX325" s="304"/>
      <c r="AY325" s="304"/>
      <c r="AZ325" s="304"/>
      <c r="BA325" s="304"/>
      <c r="BB325" s="304"/>
      <c r="BC325" s="304"/>
      <c r="BD325" s="304"/>
      <c r="BE325" s="304"/>
      <c r="BF325" s="304"/>
      <c r="BG325" s="304"/>
      <c r="BH325" s="304"/>
      <c r="BI325" s="304"/>
      <c r="BJ325" s="304"/>
      <c r="BK325" s="304"/>
      <c r="BL325" s="304"/>
      <c r="BM325" s="304"/>
      <c r="BN325" s="304"/>
      <c r="BO325" s="304"/>
      <c r="BP325" s="304"/>
      <c r="BQ325" s="304"/>
      <c r="BR325" s="304"/>
      <c r="BS325" s="304"/>
      <c r="BT325" s="304"/>
      <c r="BU325" s="304"/>
      <c r="BV325" s="304"/>
      <c r="BW325" s="304"/>
      <c r="BX325" s="304"/>
      <c r="BY325" s="304"/>
      <c r="BZ325" s="304"/>
      <c r="CA325" s="304"/>
      <c r="CB325" s="304"/>
      <c r="CC325" s="304"/>
      <c r="CD325" s="304"/>
      <c r="CE325" s="304"/>
      <c r="CF325" s="304"/>
      <c r="CG325" s="304"/>
      <c r="CH325" s="304"/>
      <c r="CI325" s="304"/>
      <c r="CJ325" s="304"/>
      <c r="CK325" s="304"/>
      <c r="CL325" s="304"/>
      <c r="CM325" s="304"/>
      <c r="CN325" s="304"/>
      <c r="CO325" s="304"/>
      <c r="CP325" s="304"/>
    </row>
    <row r="326" spans="1:94" s="87" customFormat="1">
      <c r="A326" s="81"/>
      <c r="B326" s="83"/>
      <c r="C326" s="82"/>
      <c r="D326" s="102"/>
      <c r="E326" s="102"/>
      <c r="F326" s="102"/>
      <c r="G326" s="225"/>
      <c r="H326" s="102"/>
      <c r="I326" s="218"/>
      <c r="J326" s="102"/>
      <c r="K326" s="102" t="str">
        <f t="shared" si="28"/>
        <v/>
      </c>
      <c r="L326" s="221"/>
      <c r="M326" s="325"/>
      <c r="N326" s="94"/>
      <c r="O326" s="326"/>
      <c r="P326" s="84"/>
      <c r="Q326" s="88"/>
      <c r="R326" s="102">
        <f t="shared" si="29"/>
        <v>0</v>
      </c>
      <c r="S326" s="89"/>
      <c r="T326" s="100"/>
      <c r="U326" s="100"/>
      <c r="V326" s="100"/>
      <c r="W326" s="100"/>
      <c r="X326" s="100"/>
      <c r="Y326" s="83"/>
      <c r="Z326" s="304"/>
      <c r="AA326" s="304"/>
      <c r="AB326" s="304"/>
      <c r="AC326" s="304"/>
      <c r="AD326" s="304"/>
      <c r="AE326" s="304"/>
      <c r="AF326" s="304"/>
      <c r="AG326" s="304"/>
      <c r="AH326" s="304"/>
      <c r="AI326" s="304"/>
      <c r="AJ326" s="304"/>
      <c r="AK326" s="304"/>
      <c r="AL326" s="304"/>
      <c r="AM326" s="304"/>
      <c r="AN326" s="304"/>
      <c r="AO326" s="304"/>
      <c r="AP326" s="304"/>
      <c r="AQ326" s="304"/>
      <c r="AR326" s="304"/>
      <c r="AS326" s="304"/>
      <c r="AT326" s="304"/>
      <c r="AU326" s="304"/>
      <c r="AV326" s="304"/>
      <c r="AW326" s="304"/>
      <c r="AX326" s="304"/>
      <c r="AY326" s="304"/>
      <c r="AZ326" s="304"/>
      <c r="BA326" s="304"/>
      <c r="BB326" s="304"/>
      <c r="BC326" s="304"/>
      <c r="BD326" s="304"/>
      <c r="BE326" s="304"/>
      <c r="BF326" s="304"/>
      <c r="BG326" s="304"/>
      <c r="BH326" s="304"/>
      <c r="BI326" s="304"/>
      <c r="BJ326" s="304"/>
      <c r="BK326" s="304"/>
      <c r="BL326" s="304"/>
      <c r="BM326" s="304"/>
      <c r="BN326" s="304"/>
      <c r="BO326" s="304"/>
      <c r="BP326" s="304"/>
      <c r="BQ326" s="304"/>
      <c r="BR326" s="304"/>
      <c r="BS326" s="304"/>
      <c r="BT326" s="304"/>
      <c r="BU326" s="304"/>
      <c r="BV326" s="304"/>
      <c r="BW326" s="304"/>
      <c r="BX326" s="304"/>
      <c r="BY326" s="304"/>
      <c r="BZ326" s="304"/>
      <c r="CA326" s="304"/>
      <c r="CB326" s="304"/>
      <c r="CC326" s="304"/>
      <c r="CD326" s="304"/>
      <c r="CE326" s="304"/>
      <c r="CF326" s="304"/>
      <c r="CG326" s="304"/>
      <c r="CH326" s="304"/>
      <c r="CI326" s="304"/>
      <c r="CJ326" s="304"/>
      <c r="CK326" s="304"/>
      <c r="CL326" s="304"/>
      <c r="CM326" s="304"/>
      <c r="CN326" s="304"/>
      <c r="CO326" s="304"/>
      <c r="CP326" s="304"/>
    </row>
    <row r="327" spans="1:94" s="87" customFormat="1">
      <c r="A327" s="81"/>
      <c r="B327" s="83"/>
      <c r="C327" s="82"/>
      <c r="D327" s="102"/>
      <c r="E327" s="102"/>
      <c r="F327" s="102"/>
      <c r="G327" s="225"/>
      <c r="H327" s="102"/>
      <c r="I327" s="218"/>
      <c r="J327" s="102"/>
      <c r="K327" s="102" t="str">
        <f t="shared" si="28"/>
        <v/>
      </c>
      <c r="L327" s="221"/>
      <c r="M327" s="325"/>
      <c r="N327" s="94"/>
      <c r="O327" s="326"/>
      <c r="P327" s="84"/>
      <c r="Q327" s="88"/>
      <c r="R327" s="102">
        <f t="shared" si="29"/>
        <v>0</v>
      </c>
      <c r="S327" s="89"/>
      <c r="T327" s="100"/>
      <c r="U327" s="100"/>
      <c r="V327" s="100"/>
      <c r="W327" s="100"/>
      <c r="X327" s="100"/>
      <c r="Y327" s="83"/>
      <c r="Z327" s="304"/>
      <c r="AA327" s="304"/>
      <c r="AB327" s="304"/>
      <c r="AC327" s="304"/>
      <c r="AD327" s="304"/>
      <c r="AE327" s="304"/>
      <c r="AF327" s="304"/>
      <c r="AG327" s="304"/>
      <c r="AH327" s="304"/>
      <c r="AI327" s="304"/>
      <c r="AJ327" s="304"/>
      <c r="AK327" s="304"/>
      <c r="AL327" s="304"/>
      <c r="AM327" s="304"/>
      <c r="AN327" s="304"/>
      <c r="AO327" s="304"/>
      <c r="AP327" s="304"/>
      <c r="AQ327" s="304"/>
      <c r="AR327" s="304"/>
      <c r="AS327" s="304"/>
      <c r="AT327" s="304"/>
      <c r="AU327" s="304"/>
      <c r="AV327" s="304"/>
      <c r="AW327" s="304"/>
      <c r="AX327" s="304"/>
      <c r="AY327" s="304"/>
      <c r="AZ327" s="304"/>
      <c r="BA327" s="304"/>
      <c r="BB327" s="304"/>
      <c r="BC327" s="304"/>
      <c r="BD327" s="304"/>
      <c r="BE327" s="304"/>
      <c r="BF327" s="304"/>
      <c r="BG327" s="304"/>
      <c r="BH327" s="304"/>
      <c r="BI327" s="304"/>
      <c r="BJ327" s="304"/>
      <c r="BK327" s="304"/>
      <c r="BL327" s="304"/>
      <c r="BM327" s="304"/>
      <c r="BN327" s="304"/>
      <c r="BO327" s="304"/>
      <c r="BP327" s="304"/>
      <c r="BQ327" s="304"/>
      <c r="BR327" s="304"/>
      <c r="BS327" s="304"/>
      <c r="BT327" s="304"/>
      <c r="BU327" s="304"/>
      <c r="BV327" s="304"/>
      <c r="BW327" s="304"/>
      <c r="BX327" s="304"/>
      <c r="BY327" s="304"/>
      <c r="BZ327" s="304"/>
      <c r="CA327" s="304"/>
      <c r="CB327" s="304"/>
      <c r="CC327" s="304"/>
      <c r="CD327" s="304"/>
      <c r="CE327" s="304"/>
      <c r="CF327" s="304"/>
      <c r="CG327" s="304"/>
      <c r="CH327" s="304"/>
      <c r="CI327" s="304"/>
      <c r="CJ327" s="304"/>
      <c r="CK327" s="304"/>
      <c r="CL327" s="304"/>
      <c r="CM327" s="304"/>
      <c r="CN327" s="304"/>
      <c r="CO327" s="304"/>
      <c r="CP327" s="304"/>
    </row>
    <row r="328" spans="1:94" s="87" customFormat="1">
      <c r="A328" s="81"/>
      <c r="B328" s="83"/>
      <c r="C328" s="82"/>
      <c r="D328" s="102"/>
      <c r="E328" s="102"/>
      <c r="F328" s="102"/>
      <c r="G328" s="225"/>
      <c r="H328" s="102"/>
      <c r="I328" s="218"/>
      <c r="J328" s="102"/>
      <c r="K328" s="102" t="str">
        <f t="shared" si="28"/>
        <v/>
      </c>
      <c r="L328" s="221"/>
      <c r="M328" s="325"/>
      <c r="N328" s="94"/>
      <c r="O328" s="326"/>
      <c r="P328" s="84"/>
      <c r="Q328" s="88"/>
      <c r="R328" s="102">
        <f t="shared" si="29"/>
        <v>0</v>
      </c>
      <c r="S328" s="89"/>
      <c r="T328" s="100"/>
      <c r="U328" s="100"/>
      <c r="V328" s="100"/>
      <c r="W328" s="100"/>
      <c r="X328" s="100"/>
      <c r="Y328" s="83"/>
      <c r="Z328" s="304"/>
      <c r="AA328" s="304"/>
      <c r="AB328" s="304"/>
      <c r="AC328" s="304"/>
      <c r="AD328" s="304"/>
      <c r="AE328" s="304"/>
      <c r="AF328" s="304"/>
      <c r="AG328" s="304"/>
      <c r="AH328" s="304"/>
      <c r="AI328" s="304"/>
      <c r="AJ328" s="304"/>
      <c r="AK328" s="304"/>
      <c r="AL328" s="304"/>
      <c r="AM328" s="304"/>
      <c r="AN328" s="304"/>
      <c r="AO328" s="304"/>
      <c r="AP328" s="304"/>
      <c r="AQ328" s="304"/>
      <c r="AR328" s="304"/>
      <c r="AS328" s="304"/>
      <c r="AT328" s="304"/>
      <c r="AU328" s="304"/>
      <c r="AV328" s="304"/>
      <c r="AW328" s="304"/>
      <c r="AX328" s="304"/>
      <c r="AY328" s="304"/>
      <c r="AZ328" s="304"/>
      <c r="BA328" s="304"/>
      <c r="BB328" s="304"/>
      <c r="BC328" s="304"/>
      <c r="BD328" s="304"/>
      <c r="BE328" s="304"/>
      <c r="BF328" s="304"/>
      <c r="BG328" s="304"/>
      <c r="BH328" s="304"/>
      <c r="BI328" s="304"/>
      <c r="BJ328" s="304"/>
      <c r="BK328" s="304"/>
      <c r="BL328" s="304"/>
      <c r="BM328" s="304"/>
      <c r="BN328" s="304"/>
      <c r="BO328" s="304"/>
      <c r="BP328" s="304"/>
      <c r="BQ328" s="304"/>
      <c r="BR328" s="304"/>
      <c r="BS328" s="304"/>
      <c r="BT328" s="304"/>
      <c r="BU328" s="304"/>
      <c r="BV328" s="304"/>
      <c r="BW328" s="304"/>
      <c r="BX328" s="304"/>
      <c r="BY328" s="304"/>
      <c r="BZ328" s="304"/>
      <c r="CA328" s="304"/>
      <c r="CB328" s="304"/>
      <c r="CC328" s="304"/>
      <c r="CD328" s="304"/>
      <c r="CE328" s="304"/>
      <c r="CF328" s="304"/>
      <c r="CG328" s="304"/>
      <c r="CH328" s="304"/>
      <c r="CI328" s="304"/>
      <c r="CJ328" s="304"/>
      <c r="CK328" s="304"/>
      <c r="CL328" s="304"/>
      <c r="CM328" s="304"/>
      <c r="CN328" s="304"/>
      <c r="CO328" s="304"/>
      <c r="CP328" s="304"/>
    </row>
    <row r="329" spans="1:94" s="87" customFormat="1">
      <c r="A329" s="81"/>
      <c r="B329" s="83"/>
      <c r="C329" s="82"/>
      <c r="D329" s="102"/>
      <c r="E329" s="102"/>
      <c r="F329" s="102"/>
      <c r="G329" s="225"/>
      <c r="H329" s="102"/>
      <c r="I329" s="218"/>
      <c r="J329" s="102"/>
      <c r="K329" s="102" t="str">
        <f t="shared" si="28"/>
        <v/>
      </c>
      <c r="L329" s="221"/>
      <c r="M329" s="325"/>
      <c r="N329" s="94"/>
      <c r="O329" s="326"/>
      <c r="P329" s="84"/>
      <c r="Q329" s="88"/>
      <c r="R329" s="102">
        <f t="shared" si="29"/>
        <v>0</v>
      </c>
      <c r="S329" s="89"/>
      <c r="T329" s="100"/>
      <c r="U329" s="100"/>
      <c r="V329" s="100"/>
      <c r="W329" s="100"/>
      <c r="X329" s="100"/>
      <c r="Y329" s="83"/>
      <c r="Z329" s="304"/>
      <c r="AA329" s="304"/>
      <c r="AB329" s="304"/>
      <c r="AC329" s="304"/>
      <c r="AD329" s="304"/>
      <c r="AE329" s="304"/>
      <c r="AF329" s="304"/>
      <c r="AG329" s="304"/>
      <c r="AH329" s="304"/>
      <c r="AI329" s="304"/>
      <c r="AJ329" s="304"/>
      <c r="AK329" s="304"/>
      <c r="AL329" s="304"/>
      <c r="AM329" s="304"/>
      <c r="AN329" s="304"/>
      <c r="AO329" s="304"/>
      <c r="AP329" s="304"/>
      <c r="AQ329" s="304"/>
      <c r="AR329" s="304"/>
      <c r="AS329" s="304"/>
      <c r="AT329" s="304"/>
      <c r="AU329" s="304"/>
      <c r="AV329" s="304"/>
      <c r="AW329" s="304"/>
      <c r="AX329" s="304"/>
      <c r="AY329" s="304"/>
      <c r="AZ329" s="304"/>
      <c r="BA329" s="304"/>
      <c r="BB329" s="304"/>
      <c r="BC329" s="304"/>
      <c r="BD329" s="304"/>
      <c r="BE329" s="304"/>
      <c r="BF329" s="304"/>
      <c r="BG329" s="304"/>
      <c r="BH329" s="304"/>
      <c r="BI329" s="304"/>
      <c r="BJ329" s="304"/>
      <c r="BK329" s="304"/>
      <c r="BL329" s="304"/>
      <c r="BM329" s="304"/>
      <c r="BN329" s="304"/>
      <c r="BO329" s="304"/>
      <c r="BP329" s="304"/>
      <c r="BQ329" s="304"/>
      <c r="BR329" s="304"/>
      <c r="BS329" s="304"/>
      <c r="BT329" s="304"/>
      <c r="BU329" s="304"/>
      <c r="BV329" s="304"/>
      <c r="BW329" s="304"/>
      <c r="BX329" s="304"/>
      <c r="BY329" s="304"/>
      <c r="BZ329" s="304"/>
      <c r="CA329" s="304"/>
      <c r="CB329" s="304"/>
      <c r="CC329" s="304"/>
      <c r="CD329" s="304"/>
      <c r="CE329" s="304"/>
      <c r="CF329" s="304"/>
      <c r="CG329" s="304"/>
      <c r="CH329" s="304"/>
      <c r="CI329" s="304"/>
      <c r="CJ329" s="304"/>
      <c r="CK329" s="304"/>
      <c r="CL329" s="304"/>
      <c r="CM329" s="304"/>
      <c r="CN329" s="304"/>
      <c r="CO329" s="304"/>
      <c r="CP329" s="304"/>
    </row>
    <row r="330" spans="1:94" s="87" customFormat="1">
      <c r="A330" s="81"/>
      <c r="B330" s="83"/>
      <c r="C330" s="82"/>
      <c r="D330" s="102"/>
      <c r="E330" s="102"/>
      <c r="F330" s="102"/>
      <c r="G330" s="225"/>
      <c r="H330" s="102"/>
      <c r="I330" s="218"/>
      <c r="J330" s="102"/>
      <c r="K330" s="102" t="str">
        <f t="shared" ref="K330:K393" si="30">IF(RIGHT(IF(LEFT(SUBSTITUTE(SUBSTITUTE(IF(ISERROR(LEFT(SUBSTITUTE(SUBSTITUTE(C330,"(",""),")",""),1)*1),SUBSTITUTE(SUBSTITUTE(C330,"(",""),")",""),SUBSTITUTE(SUBSTITUTE(SUBSTITUTE(C330,"(",""),")",""),"_","",1)),"00",""),"_0","_"),1)="0",RIGHT(SUBSTITUTE(SUBSTITUTE(IF(ISERROR(LEFT(SUBSTITUTE(SUBSTITUTE(C330,"(",""),")",""),1)*1),SUBSTITUTE(SUBSTITUTE(C330,"(",""),")",""),SUBSTITUTE(SUBSTITUTE(SUBSTITUTE(C330,"(",""),")",""),"_","",1)),"00",""),"_0","_"),LEN(SUBSTITUTE(SUBSTITUTE(IF(ISERROR(LEFT(SUBSTITUTE(SUBSTITUTE(C330,"(",""),")",""),1)*1),SUBSTITUTE(SUBSTITUTE(C330,"(",""),")",""),SUBSTITUTE(SUBSTITUTE(SUBSTITUTE(C330,"(",""),")",""),"_","",1)),"00",""),"_0","_"))-1),SUBSTITUTE(SUBSTITUTE(IF(ISERROR(LEFT(SUBSTITUTE(SUBSTITUTE(C330,"(",""),")",""),1)*1),SUBSTITUTE(SUBSTITUTE(C330,"(",""),")",""),SUBSTITUTE(SUBSTITUTE(SUBSTITUTE(C330,"(",""),")",""),"_","",1)),"00",""),"_0","_")),1)="_",LEFT(IF(LEFT(SUBSTITUTE(SUBSTITUTE(IF(ISERROR(LEFT(SUBSTITUTE(SUBSTITUTE(C330,"(",""),")",""),1)*1),SUBSTITUTE(SUBSTITUTE(C330,"(",""),")",""),SUBSTITUTE(SUBSTITUTE(SUBSTITUTE(C330,"(",""),")",""),"_","",1)),"00",""),"_0","_"),1)="0",RIGHT(SUBSTITUTE(SUBSTITUTE(IF(ISERROR(LEFT(SUBSTITUTE(SUBSTITUTE(C330,"(",""),")",""),1)*1),SUBSTITUTE(SUBSTITUTE(C330,"(",""),")",""),SUBSTITUTE(SUBSTITUTE(SUBSTITUTE(C330,"(",""),")",""),"_","",1)),"00",""),"_0","_"),LEN(SUBSTITUTE(SUBSTITUTE(IF(ISERROR(LEFT(SUBSTITUTE(SUBSTITUTE(C330,"(",""),")",""),1)*1),SUBSTITUTE(SUBSTITUTE(C330,"(",""),")",""),SUBSTITUTE(SUBSTITUTE(SUBSTITUTE(C330,"(",""),")",""),"_","",1)),"00",""),"_0","_"))-1),SUBSTITUTE(SUBSTITUTE(IF(ISERROR(LEFT(SUBSTITUTE(SUBSTITUTE(C330,"(",""),")",""),1)*1),SUBSTITUTE(SUBSTITUTE(C330,"(",""),")",""),SUBSTITUTE(SUBSTITUTE(SUBSTITUTE(C330,"(",""),")",""),"_","",1)),"00",""),"_0","_")),LEN(IF(LEFT(SUBSTITUTE(SUBSTITUTE(IF(ISERROR(LEFT(SUBSTITUTE(SUBSTITUTE(C330,"(",""),")",""),1)*1),SUBSTITUTE(SUBSTITUTE(C330,"(",""),")",""),SUBSTITUTE(SUBSTITUTE(SUBSTITUTE(C330,"(",""),")",""),"_","",1)),"00",""),"_0","_"),1)="0",RIGHT(SUBSTITUTE(SUBSTITUTE(IF(ISERROR(LEFT(SUBSTITUTE(SUBSTITUTE(C330,"(",""),")",""),1)*1),SUBSTITUTE(SUBSTITUTE(C330,"(",""),")",""),SUBSTITUTE(SUBSTITUTE(SUBSTITUTE(C330,"(",""),")",""),"_","",1)),"00",""),"_0","_"),LEN(SUBSTITUTE(SUBSTITUTE(IF(ISERROR(LEFT(SUBSTITUTE(SUBSTITUTE(C330,"(",""),")",""),1)*1),SUBSTITUTE(SUBSTITUTE(C330,"(",""),")",""),SUBSTITUTE(SUBSTITUTE(SUBSTITUTE(C330,"(",""),")",""),"_","",1)),"00",""),"_0","_"))-1),SUBSTITUTE(SUBSTITUTE(IF(ISERROR(LEFT(SUBSTITUTE(SUBSTITUTE(C330,"(",""),")",""),1)*1),SUBSTITUTE(SUBSTITUTE(C330,"(",""),")",""),SUBSTITUTE(SUBSTITUTE(SUBSTITUTE(C330,"(",""),")",""),"_","",1)),"00",""),"_0","_")))-1),IF(LEFT(SUBSTITUTE(SUBSTITUTE(IF(ISERROR(LEFT(SUBSTITUTE(SUBSTITUTE(C330,"(",""),")",""),1)*1),SUBSTITUTE(SUBSTITUTE(C330,"(",""),")",""),SUBSTITUTE(SUBSTITUTE(SUBSTITUTE(C330,"(",""),")",""),"_","",1)),"00",""),"_0","_"),1)="0",RIGHT(SUBSTITUTE(SUBSTITUTE(IF(ISERROR(LEFT(SUBSTITUTE(SUBSTITUTE(C330,"(",""),")",""),1)*1),SUBSTITUTE(SUBSTITUTE(C330,"(",""),")",""),SUBSTITUTE(SUBSTITUTE(SUBSTITUTE(C330,"(",""),")",""),"_","",1)),"00",""),"_0","_"),LEN(SUBSTITUTE(SUBSTITUTE(IF(ISERROR(LEFT(SUBSTITUTE(SUBSTITUTE(C330,"(",""),")",""),1)*1),SUBSTITUTE(SUBSTITUTE(C330,"(",""),")",""),SUBSTITUTE(SUBSTITUTE(SUBSTITUTE(C330,"(",""),")",""),"_","",1)),"00",""),"_0","_"))-1),SUBSTITUTE(SUBSTITUTE(IF(ISERROR(LEFT(SUBSTITUTE(SUBSTITUTE(C330,"(",""),")",""),1)*1),SUBSTITUTE(SUBSTITUTE(C330,"(",""),")",""),SUBSTITUTE(SUBSTITUTE(SUBSTITUTE(C330,"(",""),")",""),"_","",1)),"00",""),"_0","_")))</f>
        <v/>
      </c>
      <c r="L330" s="221"/>
      <c r="M330" s="325"/>
      <c r="N330" s="94"/>
      <c r="O330" s="326"/>
      <c r="P330" s="84"/>
      <c r="Q330" s="88"/>
      <c r="R330" s="102">
        <f t="shared" si="29"/>
        <v>0</v>
      </c>
      <c r="S330" s="89"/>
      <c r="T330" s="100"/>
      <c r="U330" s="100"/>
      <c r="V330" s="100"/>
      <c r="W330" s="100"/>
      <c r="X330" s="100"/>
      <c r="Y330" s="83"/>
      <c r="Z330" s="304"/>
      <c r="AA330" s="304"/>
      <c r="AB330" s="304"/>
      <c r="AC330" s="304"/>
      <c r="AD330" s="304"/>
      <c r="AE330" s="304"/>
      <c r="AF330" s="304"/>
      <c r="AG330" s="304"/>
      <c r="AH330" s="304"/>
      <c r="AI330" s="304"/>
      <c r="AJ330" s="304"/>
      <c r="AK330" s="304"/>
      <c r="AL330" s="304"/>
      <c r="AM330" s="304"/>
      <c r="AN330" s="304"/>
      <c r="AO330" s="304"/>
      <c r="AP330" s="304"/>
      <c r="AQ330" s="304"/>
      <c r="AR330" s="304"/>
      <c r="AS330" s="304"/>
      <c r="AT330" s="304"/>
      <c r="AU330" s="304"/>
      <c r="AV330" s="304"/>
      <c r="AW330" s="304"/>
      <c r="AX330" s="304"/>
      <c r="AY330" s="304"/>
      <c r="AZ330" s="304"/>
      <c r="BA330" s="304"/>
      <c r="BB330" s="304"/>
      <c r="BC330" s="304"/>
      <c r="BD330" s="304"/>
      <c r="BE330" s="304"/>
      <c r="BF330" s="304"/>
      <c r="BG330" s="304"/>
      <c r="BH330" s="304"/>
      <c r="BI330" s="304"/>
      <c r="BJ330" s="304"/>
      <c r="BK330" s="304"/>
      <c r="BL330" s="304"/>
      <c r="BM330" s="304"/>
      <c r="BN330" s="304"/>
      <c r="BO330" s="304"/>
      <c r="BP330" s="304"/>
      <c r="BQ330" s="304"/>
      <c r="BR330" s="304"/>
      <c r="BS330" s="304"/>
      <c r="BT330" s="304"/>
      <c r="BU330" s="304"/>
      <c r="BV330" s="304"/>
      <c r="BW330" s="304"/>
      <c r="BX330" s="304"/>
      <c r="BY330" s="304"/>
      <c r="BZ330" s="304"/>
      <c r="CA330" s="304"/>
      <c r="CB330" s="304"/>
      <c r="CC330" s="304"/>
      <c r="CD330" s="304"/>
      <c r="CE330" s="304"/>
      <c r="CF330" s="304"/>
      <c r="CG330" s="304"/>
      <c r="CH330" s="304"/>
      <c r="CI330" s="304"/>
      <c r="CJ330" s="304"/>
      <c r="CK330" s="304"/>
      <c r="CL330" s="304"/>
      <c r="CM330" s="304"/>
      <c r="CN330" s="304"/>
      <c r="CO330" s="304"/>
      <c r="CP330" s="304"/>
    </row>
    <row r="331" spans="1:94" s="87" customFormat="1">
      <c r="A331" s="81"/>
      <c r="B331" s="83"/>
      <c r="C331" s="82"/>
      <c r="D331" s="102"/>
      <c r="E331" s="102"/>
      <c r="F331" s="102"/>
      <c r="G331" s="225"/>
      <c r="H331" s="102"/>
      <c r="I331" s="218"/>
      <c r="J331" s="102"/>
      <c r="K331" s="102" t="str">
        <f t="shared" si="30"/>
        <v/>
      </c>
      <c r="L331" s="221"/>
      <c r="M331" s="325"/>
      <c r="N331" s="94"/>
      <c r="O331" s="326"/>
      <c r="P331" s="84"/>
      <c r="Q331" s="88"/>
      <c r="R331" s="102">
        <f t="shared" si="29"/>
        <v>0</v>
      </c>
      <c r="S331" s="89"/>
      <c r="T331" s="100"/>
      <c r="U331" s="100"/>
      <c r="V331" s="100"/>
      <c r="W331" s="100"/>
      <c r="X331" s="100"/>
      <c r="Y331" s="83"/>
      <c r="Z331" s="304"/>
      <c r="AA331" s="304"/>
      <c r="AB331" s="304"/>
      <c r="AC331" s="304"/>
      <c r="AD331" s="304"/>
      <c r="AE331" s="304"/>
      <c r="AF331" s="304"/>
      <c r="AG331" s="304"/>
      <c r="AH331" s="304"/>
      <c r="AI331" s="304"/>
      <c r="AJ331" s="304"/>
      <c r="AK331" s="304"/>
      <c r="AL331" s="304"/>
      <c r="AM331" s="304"/>
      <c r="AN331" s="304"/>
      <c r="AO331" s="304"/>
      <c r="AP331" s="304"/>
      <c r="AQ331" s="304"/>
      <c r="AR331" s="304"/>
      <c r="AS331" s="304"/>
      <c r="AT331" s="304"/>
      <c r="AU331" s="304"/>
      <c r="AV331" s="304"/>
      <c r="AW331" s="304"/>
      <c r="AX331" s="304"/>
      <c r="AY331" s="304"/>
      <c r="AZ331" s="304"/>
      <c r="BA331" s="304"/>
      <c r="BB331" s="304"/>
      <c r="BC331" s="304"/>
      <c r="BD331" s="304"/>
      <c r="BE331" s="304"/>
      <c r="BF331" s="304"/>
      <c r="BG331" s="304"/>
      <c r="BH331" s="304"/>
      <c r="BI331" s="304"/>
      <c r="BJ331" s="304"/>
      <c r="BK331" s="304"/>
      <c r="BL331" s="304"/>
      <c r="BM331" s="304"/>
      <c r="BN331" s="304"/>
      <c r="BO331" s="304"/>
      <c r="BP331" s="304"/>
      <c r="BQ331" s="304"/>
      <c r="BR331" s="304"/>
      <c r="BS331" s="304"/>
      <c r="BT331" s="304"/>
      <c r="BU331" s="304"/>
      <c r="BV331" s="304"/>
      <c r="BW331" s="304"/>
      <c r="BX331" s="304"/>
      <c r="BY331" s="304"/>
      <c r="BZ331" s="304"/>
      <c r="CA331" s="304"/>
      <c r="CB331" s="304"/>
      <c r="CC331" s="304"/>
      <c r="CD331" s="304"/>
      <c r="CE331" s="304"/>
      <c r="CF331" s="304"/>
      <c r="CG331" s="304"/>
      <c r="CH331" s="304"/>
      <c r="CI331" s="304"/>
      <c r="CJ331" s="304"/>
      <c r="CK331" s="304"/>
      <c r="CL331" s="304"/>
      <c r="CM331" s="304"/>
      <c r="CN331" s="304"/>
      <c r="CO331" s="304"/>
      <c r="CP331" s="304"/>
    </row>
    <row r="332" spans="1:94" s="87" customFormat="1">
      <c r="A332" s="81"/>
      <c r="B332" s="83"/>
      <c r="C332" s="82"/>
      <c r="D332" s="102"/>
      <c r="E332" s="102"/>
      <c r="F332" s="102"/>
      <c r="G332" s="225"/>
      <c r="H332" s="102"/>
      <c r="I332" s="218"/>
      <c r="J332" s="102"/>
      <c r="K332" s="102" t="str">
        <f t="shared" si="30"/>
        <v/>
      </c>
      <c r="L332" s="221"/>
      <c r="M332" s="325"/>
      <c r="N332" s="94"/>
      <c r="O332" s="326"/>
      <c r="P332" s="84"/>
      <c r="Q332" s="88"/>
      <c r="R332" s="102">
        <f t="shared" si="29"/>
        <v>0</v>
      </c>
      <c r="S332" s="89"/>
      <c r="T332" s="100"/>
      <c r="U332" s="100"/>
      <c r="V332" s="100"/>
      <c r="W332" s="100"/>
      <c r="X332" s="100"/>
      <c r="Y332" s="83"/>
      <c r="Z332" s="304"/>
      <c r="AA332" s="304"/>
      <c r="AB332" s="304"/>
      <c r="AC332" s="304"/>
      <c r="AD332" s="304"/>
      <c r="AE332" s="304"/>
      <c r="AF332" s="304"/>
      <c r="AG332" s="304"/>
      <c r="AH332" s="304"/>
      <c r="AI332" s="304"/>
      <c r="AJ332" s="304"/>
      <c r="AK332" s="304"/>
      <c r="AL332" s="304"/>
      <c r="AM332" s="304"/>
      <c r="AN332" s="304"/>
      <c r="AO332" s="304"/>
      <c r="AP332" s="304"/>
      <c r="AQ332" s="304"/>
      <c r="AR332" s="304"/>
      <c r="AS332" s="304"/>
      <c r="AT332" s="304"/>
      <c r="AU332" s="304"/>
      <c r="AV332" s="304"/>
      <c r="AW332" s="304"/>
      <c r="AX332" s="304"/>
      <c r="AY332" s="304"/>
      <c r="AZ332" s="304"/>
      <c r="BA332" s="304"/>
      <c r="BB332" s="304"/>
      <c r="BC332" s="304"/>
      <c r="BD332" s="304"/>
      <c r="BE332" s="304"/>
      <c r="BF332" s="304"/>
      <c r="BG332" s="304"/>
      <c r="BH332" s="304"/>
      <c r="BI332" s="304"/>
      <c r="BJ332" s="304"/>
      <c r="BK332" s="304"/>
      <c r="BL332" s="304"/>
      <c r="BM332" s="304"/>
      <c r="BN332" s="304"/>
      <c r="BO332" s="304"/>
      <c r="BP332" s="304"/>
      <c r="BQ332" s="304"/>
      <c r="BR332" s="304"/>
      <c r="BS332" s="304"/>
      <c r="BT332" s="304"/>
      <c r="BU332" s="304"/>
      <c r="BV332" s="304"/>
      <c r="BW332" s="304"/>
      <c r="BX332" s="304"/>
      <c r="BY332" s="304"/>
      <c r="BZ332" s="304"/>
      <c r="CA332" s="304"/>
      <c r="CB332" s="304"/>
      <c r="CC332" s="304"/>
      <c r="CD332" s="304"/>
      <c r="CE332" s="304"/>
      <c r="CF332" s="304"/>
      <c r="CG332" s="304"/>
      <c r="CH332" s="304"/>
      <c r="CI332" s="304"/>
      <c r="CJ332" s="304"/>
      <c r="CK332" s="304"/>
      <c r="CL332" s="304"/>
      <c r="CM332" s="304"/>
      <c r="CN332" s="304"/>
      <c r="CO332" s="304"/>
      <c r="CP332" s="304"/>
    </row>
    <row r="333" spans="1:94" s="87" customFormat="1">
      <c r="A333" s="81"/>
      <c r="B333" s="83"/>
      <c r="C333" s="82"/>
      <c r="D333" s="102"/>
      <c r="E333" s="102"/>
      <c r="F333" s="102"/>
      <c r="G333" s="225"/>
      <c r="H333" s="102"/>
      <c r="I333" s="218"/>
      <c r="J333" s="102"/>
      <c r="K333" s="102" t="str">
        <f t="shared" si="30"/>
        <v/>
      </c>
      <c r="L333" s="221"/>
      <c r="M333" s="325"/>
      <c r="N333" s="94"/>
      <c r="O333" s="326"/>
      <c r="P333" s="84"/>
      <c r="Q333" s="88"/>
      <c r="R333" s="102">
        <f t="shared" si="29"/>
        <v>0</v>
      </c>
      <c r="S333" s="89"/>
      <c r="T333" s="100"/>
      <c r="U333" s="100"/>
      <c r="V333" s="100"/>
      <c r="W333" s="100"/>
      <c r="X333" s="100"/>
      <c r="Y333" s="83"/>
      <c r="Z333" s="304"/>
      <c r="AA333" s="304"/>
      <c r="AB333" s="304"/>
      <c r="AC333" s="304"/>
      <c r="AD333" s="304"/>
      <c r="AE333" s="304"/>
      <c r="AF333" s="304"/>
      <c r="AG333" s="304"/>
      <c r="AH333" s="304"/>
      <c r="AI333" s="304"/>
      <c r="AJ333" s="304"/>
      <c r="AK333" s="304"/>
      <c r="AL333" s="304"/>
      <c r="AM333" s="304"/>
      <c r="AN333" s="304"/>
      <c r="AO333" s="304"/>
      <c r="AP333" s="304"/>
      <c r="AQ333" s="304"/>
      <c r="AR333" s="304"/>
      <c r="AS333" s="304"/>
      <c r="AT333" s="304"/>
      <c r="AU333" s="304"/>
      <c r="AV333" s="304"/>
      <c r="AW333" s="304"/>
      <c r="AX333" s="304"/>
      <c r="AY333" s="304"/>
      <c r="AZ333" s="304"/>
      <c r="BA333" s="304"/>
      <c r="BB333" s="304"/>
      <c r="BC333" s="304"/>
      <c r="BD333" s="304"/>
      <c r="BE333" s="304"/>
      <c r="BF333" s="304"/>
      <c r="BG333" s="304"/>
      <c r="BH333" s="304"/>
      <c r="BI333" s="304"/>
      <c r="BJ333" s="304"/>
      <c r="BK333" s="304"/>
      <c r="BL333" s="304"/>
      <c r="BM333" s="304"/>
      <c r="BN333" s="304"/>
      <c r="BO333" s="304"/>
      <c r="BP333" s="304"/>
      <c r="BQ333" s="304"/>
      <c r="BR333" s="304"/>
      <c r="BS333" s="304"/>
      <c r="BT333" s="304"/>
      <c r="BU333" s="304"/>
      <c r="BV333" s="304"/>
      <c r="BW333" s="304"/>
      <c r="BX333" s="304"/>
      <c r="BY333" s="304"/>
      <c r="BZ333" s="304"/>
      <c r="CA333" s="304"/>
      <c r="CB333" s="304"/>
      <c r="CC333" s="304"/>
      <c r="CD333" s="304"/>
      <c r="CE333" s="304"/>
      <c r="CF333" s="304"/>
      <c r="CG333" s="304"/>
      <c r="CH333" s="304"/>
      <c r="CI333" s="304"/>
      <c r="CJ333" s="304"/>
      <c r="CK333" s="304"/>
      <c r="CL333" s="304"/>
      <c r="CM333" s="304"/>
      <c r="CN333" s="304"/>
      <c r="CO333" s="304"/>
      <c r="CP333" s="304"/>
    </row>
    <row r="334" spans="1:94" s="87" customFormat="1">
      <c r="A334" s="81"/>
      <c r="B334" s="83"/>
      <c r="C334" s="82"/>
      <c r="D334" s="102"/>
      <c r="E334" s="102"/>
      <c r="F334" s="102"/>
      <c r="G334" s="225"/>
      <c r="H334" s="102"/>
      <c r="I334" s="218"/>
      <c r="J334" s="102"/>
      <c r="K334" s="102" t="str">
        <f t="shared" si="30"/>
        <v/>
      </c>
      <c r="L334" s="221"/>
      <c r="M334" s="325"/>
      <c r="N334" s="94"/>
      <c r="O334" s="326"/>
      <c r="P334" s="84"/>
      <c r="Q334" s="88"/>
      <c r="R334" s="102">
        <f t="shared" si="29"/>
        <v>0</v>
      </c>
      <c r="S334" s="89"/>
      <c r="T334" s="100"/>
      <c r="U334" s="100"/>
      <c r="V334" s="100"/>
      <c r="W334" s="100"/>
      <c r="X334" s="100"/>
      <c r="Y334" s="83"/>
      <c r="Z334" s="304"/>
      <c r="AA334" s="304"/>
      <c r="AB334" s="304"/>
      <c r="AC334" s="304"/>
      <c r="AD334" s="304"/>
      <c r="AE334" s="304"/>
      <c r="AF334" s="304"/>
      <c r="AG334" s="304"/>
      <c r="AH334" s="304"/>
      <c r="AI334" s="304"/>
      <c r="AJ334" s="304"/>
      <c r="AK334" s="304"/>
      <c r="AL334" s="304"/>
      <c r="AM334" s="304"/>
      <c r="AN334" s="304"/>
      <c r="AO334" s="304"/>
      <c r="AP334" s="304"/>
      <c r="AQ334" s="304"/>
      <c r="AR334" s="304"/>
      <c r="AS334" s="304"/>
      <c r="AT334" s="304"/>
      <c r="AU334" s="304"/>
      <c r="AV334" s="304"/>
      <c r="AW334" s="304"/>
      <c r="AX334" s="304"/>
      <c r="AY334" s="304"/>
      <c r="AZ334" s="304"/>
      <c r="BA334" s="304"/>
      <c r="BB334" s="304"/>
      <c r="BC334" s="304"/>
      <c r="BD334" s="304"/>
      <c r="BE334" s="304"/>
      <c r="BF334" s="304"/>
      <c r="BG334" s="304"/>
      <c r="BH334" s="304"/>
      <c r="BI334" s="304"/>
      <c r="BJ334" s="304"/>
      <c r="BK334" s="304"/>
      <c r="BL334" s="304"/>
      <c r="BM334" s="304"/>
      <c r="BN334" s="304"/>
      <c r="BO334" s="304"/>
      <c r="BP334" s="304"/>
      <c r="BQ334" s="304"/>
      <c r="BR334" s="304"/>
      <c r="BS334" s="304"/>
      <c r="BT334" s="304"/>
      <c r="BU334" s="304"/>
      <c r="BV334" s="304"/>
      <c r="BW334" s="304"/>
      <c r="BX334" s="304"/>
      <c r="BY334" s="304"/>
      <c r="BZ334" s="304"/>
      <c r="CA334" s="304"/>
      <c r="CB334" s="304"/>
      <c r="CC334" s="304"/>
      <c r="CD334" s="304"/>
      <c r="CE334" s="304"/>
      <c r="CF334" s="304"/>
      <c r="CG334" s="304"/>
      <c r="CH334" s="304"/>
      <c r="CI334" s="304"/>
      <c r="CJ334" s="304"/>
      <c r="CK334" s="304"/>
      <c r="CL334" s="304"/>
      <c r="CM334" s="304"/>
      <c r="CN334" s="304"/>
      <c r="CO334" s="304"/>
      <c r="CP334" s="304"/>
    </row>
    <row r="335" spans="1:94" s="87" customFormat="1">
      <c r="A335" s="81"/>
      <c r="B335" s="83"/>
      <c r="C335" s="82"/>
      <c r="D335" s="102"/>
      <c r="E335" s="102"/>
      <c r="F335" s="102"/>
      <c r="G335" s="225"/>
      <c r="H335" s="102"/>
      <c r="I335" s="218"/>
      <c r="J335" s="102"/>
      <c r="K335" s="102" t="str">
        <f t="shared" si="30"/>
        <v/>
      </c>
      <c r="L335" s="221"/>
      <c r="M335" s="325"/>
      <c r="N335" s="94"/>
      <c r="O335" s="326"/>
      <c r="P335" s="84"/>
      <c r="Q335" s="88"/>
      <c r="R335" s="102">
        <f t="shared" si="29"/>
        <v>0</v>
      </c>
      <c r="S335" s="89"/>
      <c r="T335" s="100"/>
      <c r="U335" s="100"/>
      <c r="V335" s="100"/>
      <c r="W335" s="100"/>
      <c r="X335" s="100"/>
      <c r="Y335" s="83"/>
      <c r="Z335" s="304"/>
      <c r="AA335" s="304"/>
      <c r="AB335" s="304"/>
      <c r="AC335" s="304"/>
      <c r="AD335" s="304"/>
      <c r="AE335" s="304"/>
      <c r="AF335" s="304"/>
      <c r="AG335" s="304"/>
      <c r="AH335" s="304"/>
      <c r="AI335" s="304"/>
      <c r="AJ335" s="304"/>
      <c r="AK335" s="304"/>
      <c r="AL335" s="304"/>
      <c r="AM335" s="304"/>
      <c r="AN335" s="304"/>
      <c r="AO335" s="304"/>
      <c r="AP335" s="304"/>
      <c r="AQ335" s="304"/>
      <c r="AR335" s="304"/>
      <c r="AS335" s="304"/>
      <c r="AT335" s="304"/>
      <c r="AU335" s="304"/>
      <c r="AV335" s="304"/>
      <c r="AW335" s="304"/>
      <c r="AX335" s="304"/>
      <c r="AY335" s="304"/>
      <c r="AZ335" s="304"/>
      <c r="BA335" s="304"/>
      <c r="BB335" s="304"/>
      <c r="BC335" s="304"/>
      <c r="BD335" s="304"/>
      <c r="BE335" s="304"/>
      <c r="BF335" s="304"/>
      <c r="BG335" s="304"/>
      <c r="BH335" s="304"/>
      <c r="BI335" s="304"/>
      <c r="BJ335" s="304"/>
      <c r="BK335" s="304"/>
      <c r="BL335" s="304"/>
      <c r="BM335" s="304"/>
      <c r="BN335" s="304"/>
      <c r="BO335" s="304"/>
      <c r="BP335" s="304"/>
      <c r="BQ335" s="304"/>
      <c r="BR335" s="304"/>
      <c r="BS335" s="304"/>
      <c r="BT335" s="304"/>
      <c r="BU335" s="304"/>
      <c r="BV335" s="304"/>
      <c r="BW335" s="304"/>
      <c r="BX335" s="304"/>
      <c r="BY335" s="304"/>
      <c r="BZ335" s="304"/>
      <c r="CA335" s="304"/>
      <c r="CB335" s="304"/>
      <c r="CC335" s="304"/>
      <c r="CD335" s="304"/>
      <c r="CE335" s="304"/>
      <c r="CF335" s="304"/>
      <c r="CG335" s="304"/>
      <c r="CH335" s="304"/>
      <c r="CI335" s="304"/>
      <c r="CJ335" s="304"/>
      <c r="CK335" s="304"/>
      <c r="CL335" s="304"/>
      <c r="CM335" s="304"/>
      <c r="CN335" s="304"/>
      <c r="CO335" s="304"/>
      <c r="CP335" s="304"/>
    </row>
    <row r="336" spans="1:94" s="87" customFormat="1">
      <c r="A336" s="81"/>
      <c r="B336" s="83"/>
      <c r="C336" s="82"/>
      <c r="D336" s="102"/>
      <c r="E336" s="102"/>
      <c r="F336" s="102"/>
      <c r="G336" s="225"/>
      <c r="H336" s="102"/>
      <c r="I336" s="218"/>
      <c r="J336" s="102"/>
      <c r="K336" s="102" t="str">
        <f t="shared" si="30"/>
        <v/>
      </c>
      <c r="L336" s="221"/>
      <c r="M336" s="325"/>
      <c r="N336" s="94"/>
      <c r="O336" s="326"/>
      <c r="P336" s="84"/>
      <c r="Q336" s="88"/>
      <c r="R336" s="102">
        <f t="shared" si="29"/>
        <v>0</v>
      </c>
      <c r="S336" s="89"/>
      <c r="T336" s="100"/>
      <c r="U336" s="100"/>
      <c r="V336" s="100"/>
      <c r="W336" s="100"/>
      <c r="X336" s="100"/>
      <c r="Y336" s="83"/>
      <c r="Z336" s="304"/>
      <c r="AA336" s="304"/>
      <c r="AB336" s="304"/>
      <c r="AC336" s="304"/>
      <c r="AD336" s="304"/>
      <c r="AE336" s="304"/>
      <c r="AF336" s="304"/>
      <c r="AG336" s="304"/>
      <c r="AH336" s="304"/>
      <c r="AI336" s="304"/>
      <c r="AJ336" s="304"/>
      <c r="AK336" s="304"/>
      <c r="AL336" s="304"/>
      <c r="AM336" s="304"/>
      <c r="AN336" s="304"/>
      <c r="AO336" s="304"/>
      <c r="AP336" s="304"/>
      <c r="AQ336" s="304"/>
      <c r="AR336" s="304"/>
      <c r="AS336" s="304"/>
      <c r="AT336" s="304"/>
      <c r="AU336" s="304"/>
      <c r="AV336" s="304"/>
      <c r="AW336" s="304"/>
      <c r="AX336" s="304"/>
      <c r="AY336" s="304"/>
      <c r="AZ336" s="304"/>
      <c r="BA336" s="304"/>
      <c r="BB336" s="304"/>
      <c r="BC336" s="304"/>
      <c r="BD336" s="304"/>
      <c r="BE336" s="304"/>
      <c r="BF336" s="304"/>
      <c r="BG336" s="304"/>
      <c r="BH336" s="304"/>
      <c r="BI336" s="304"/>
      <c r="BJ336" s="304"/>
      <c r="BK336" s="304"/>
      <c r="BL336" s="304"/>
      <c r="BM336" s="304"/>
      <c r="BN336" s="304"/>
      <c r="BO336" s="304"/>
      <c r="BP336" s="304"/>
      <c r="BQ336" s="304"/>
      <c r="BR336" s="304"/>
      <c r="BS336" s="304"/>
      <c r="BT336" s="304"/>
      <c r="BU336" s="304"/>
      <c r="BV336" s="304"/>
      <c r="BW336" s="304"/>
      <c r="BX336" s="304"/>
      <c r="BY336" s="304"/>
      <c r="BZ336" s="304"/>
      <c r="CA336" s="304"/>
      <c r="CB336" s="304"/>
      <c r="CC336" s="304"/>
      <c r="CD336" s="304"/>
      <c r="CE336" s="304"/>
      <c r="CF336" s="304"/>
      <c r="CG336" s="304"/>
      <c r="CH336" s="304"/>
      <c r="CI336" s="304"/>
      <c r="CJ336" s="304"/>
      <c r="CK336" s="304"/>
      <c r="CL336" s="304"/>
      <c r="CM336" s="304"/>
      <c r="CN336" s="304"/>
      <c r="CO336" s="304"/>
      <c r="CP336" s="304"/>
    </row>
    <row r="337" spans="1:94" s="87" customFormat="1">
      <c r="A337" s="81"/>
      <c r="B337" s="83"/>
      <c r="C337" s="82"/>
      <c r="D337" s="102"/>
      <c r="E337" s="102"/>
      <c r="F337" s="102"/>
      <c r="G337" s="225"/>
      <c r="H337" s="102"/>
      <c r="I337" s="218"/>
      <c r="J337" s="102"/>
      <c r="K337" s="102" t="str">
        <f t="shared" si="30"/>
        <v/>
      </c>
      <c r="L337" s="221"/>
      <c r="M337" s="325"/>
      <c r="N337" s="94"/>
      <c r="O337" s="326"/>
      <c r="P337" s="84"/>
      <c r="Q337" s="88"/>
      <c r="R337" s="102">
        <f t="shared" si="29"/>
        <v>0</v>
      </c>
      <c r="S337" s="89"/>
      <c r="T337" s="100"/>
      <c r="U337" s="100"/>
      <c r="V337" s="100"/>
      <c r="W337" s="100"/>
      <c r="X337" s="100"/>
      <c r="Y337" s="83"/>
      <c r="Z337" s="304"/>
      <c r="AA337" s="304"/>
      <c r="AB337" s="304"/>
      <c r="AC337" s="304"/>
      <c r="AD337" s="304"/>
      <c r="AE337" s="304"/>
      <c r="AF337" s="304"/>
      <c r="AG337" s="304"/>
      <c r="AH337" s="304"/>
      <c r="AI337" s="304"/>
      <c r="AJ337" s="304"/>
      <c r="AK337" s="304"/>
      <c r="AL337" s="304"/>
      <c r="AM337" s="304"/>
      <c r="AN337" s="304"/>
      <c r="AO337" s="304"/>
      <c r="AP337" s="304"/>
      <c r="AQ337" s="304"/>
      <c r="AR337" s="304"/>
      <c r="AS337" s="304"/>
      <c r="AT337" s="304"/>
      <c r="AU337" s="304"/>
      <c r="AV337" s="304"/>
      <c r="AW337" s="304"/>
      <c r="AX337" s="304"/>
      <c r="AY337" s="304"/>
      <c r="AZ337" s="304"/>
      <c r="BA337" s="304"/>
      <c r="BB337" s="304"/>
      <c r="BC337" s="304"/>
      <c r="BD337" s="304"/>
      <c r="BE337" s="304"/>
      <c r="BF337" s="304"/>
      <c r="BG337" s="304"/>
      <c r="BH337" s="304"/>
      <c r="BI337" s="304"/>
      <c r="BJ337" s="304"/>
      <c r="BK337" s="304"/>
      <c r="BL337" s="304"/>
      <c r="BM337" s="304"/>
      <c r="BN337" s="304"/>
      <c r="BO337" s="304"/>
      <c r="BP337" s="304"/>
      <c r="BQ337" s="304"/>
      <c r="BR337" s="304"/>
      <c r="BS337" s="304"/>
      <c r="BT337" s="304"/>
      <c r="BU337" s="304"/>
      <c r="BV337" s="304"/>
      <c r="BW337" s="304"/>
      <c r="BX337" s="304"/>
      <c r="BY337" s="304"/>
      <c r="BZ337" s="304"/>
      <c r="CA337" s="304"/>
      <c r="CB337" s="304"/>
      <c r="CC337" s="304"/>
      <c r="CD337" s="304"/>
      <c r="CE337" s="304"/>
      <c r="CF337" s="304"/>
      <c r="CG337" s="304"/>
      <c r="CH337" s="304"/>
      <c r="CI337" s="304"/>
      <c r="CJ337" s="304"/>
      <c r="CK337" s="304"/>
      <c r="CL337" s="304"/>
      <c r="CM337" s="304"/>
      <c r="CN337" s="304"/>
      <c r="CO337" s="304"/>
      <c r="CP337" s="304"/>
    </row>
    <row r="338" spans="1:94" s="87" customFormat="1">
      <c r="A338" s="81"/>
      <c r="B338" s="83"/>
      <c r="C338" s="82"/>
      <c r="D338" s="102"/>
      <c r="E338" s="102"/>
      <c r="F338" s="102"/>
      <c r="G338" s="225"/>
      <c r="H338" s="102"/>
      <c r="I338" s="218"/>
      <c r="J338" s="102"/>
      <c r="K338" s="102" t="str">
        <f t="shared" si="30"/>
        <v/>
      </c>
      <c r="L338" s="221"/>
      <c r="M338" s="325"/>
      <c r="N338" s="94"/>
      <c r="O338" s="326"/>
      <c r="P338" s="84"/>
      <c r="Q338" s="88"/>
      <c r="R338" s="102">
        <f t="shared" si="29"/>
        <v>0</v>
      </c>
      <c r="S338" s="89"/>
      <c r="T338" s="100"/>
      <c r="U338" s="100"/>
      <c r="V338" s="100"/>
      <c r="W338" s="100"/>
      <c r="X338" s="100"/>
      <c r="Y338" s="83"/>
      <c r="Z338" s="304"/>
      <c r="AA338" s="304"/>
      <c r="AB338" s="304"/>
      <c r="AC338" s="304"/>
      <c r="AD338" s="304"/>
      <c r="AE338" s="304"/>
      <c r="AF338" s="304"/>
      <c r="AG338" s="304"/>
      <c r="AH338" s="304"/>
      <c r="AI338" s="304"/>
      <c r="AJ338" s="304"/>
      <c r="AK338" s="304"/>
      <c r="AL338" s="304"/>
      <c r="AM338" s="304"/>
      <c r="AN338" s="304"/>
      <c r="AO338" s="304"/>
      <c r="AP338" s="304"/>
      <c r="AQ338" s="304"/>
      <c r="AR338" s="304"/>
      <c r="AS338" s="304"/>
      <c r="AT338" s="304"/>
      <c r="AU338" s="304"/>
      <c r="AV338" s="304"/>
      <c r="AW338" s="304"/>
      <c r="AX338" s="304"/>
      <c r="AY338" s="304"/>
      <c r="AZ338" s="304"/>
      <c r="BA338" s="304"/>
      <c r="BB338" s="304"/>
      <c r="BC338" s="304"/>
      <c r="BD338" s="304"/>
      <c r="BE338" s="304"/>
      <c r="BF338" s="304"/>
      <c r="BG338" s="304"/>
      <c r="BH338" s="304"/>
      <c r="BI338" s="304"/>
      <c r="BJ338" s="304"/>
      <c r="BK338" s="304"/>
      <c r="BL338" s="304"/>
      <c r="BM338" s="304"/>
      <c r="BN338" s="304"/>
      <c r="BO338" s="304"/>
      <c r="BP338" s="304"/>
      <c r="BQ338" s="304"/>
      <c r="BR338" s="304"/>
      <c r="BS338" s="304"/>
      <c r="BT338" s="304"/>
      <c r="BU338" s="304"/>
      <c r="BV338" s="304"/>
      <c r="BW338" s="304"/>
      <c r="BX338" s="304"/>
      <c r="BY338" s="304"/>
      <c r="BZ338" s="304"/>
      <c r="CA338" s="304"/>
      <c r="CB338" s="304"/>
      <c r="CC338" s="304"/>
      <c r="CD338" s="304"/>
      <c r="CE338" s="304"/>
      <c r="CF338" s="304"/>
      <c r="CG338" s="304"/>
      <c r="CH338" s="304"/>
      <c r="CI338" s="304"/>
      <c r="CJ338" s="304"/>
      <c r="CK338" s="304"/>
      <c r="CL338" s="304"/>
      <c r="CM338" s="304"/>
      <c r="CN338" s="304"/>
      <c r="CO338" s="304"/>
      <c r="CP338" s="304"/>
    </row>
    <row r="339" spans="1:94" s="87" customFormat="1">
      <c r="A339" s="81"/>
      <c r="B339" s="83"/>
      <c r="C339" s="82"/>
      <c r="D339" s="102"/>
      <c r="E339" s="102"/>
      <c r="F339" s="102"/>
      <c r="G339" s="225"/>
      <c r="H339" s="102"/>
      <c r="I339" s="218"/>
      <c r="J339" s="102"/>
      <c r="K339" s="102" t="str">
        <f t="shared" si="30"/>
        <v/>
      </c>
      <c r="L339" s="221"/>
      <c r="M339" s="325"/>
      <c r="N339" s="94"/>
      <c r="O339" s="326"/>
      <c r="P339" s="84"/>
      <c r="Q339" s="88"/>
      <c r="R339" s="102">
        <f t="shared" si="29"/>
        <v>0</v>
      </c>
      <c r="S339" s="89"/>
      <c r="T339" s="100"/>
      <c r="U339" s="100"/>
      <c r="V339" s="100"/>
      <c r="W339" s="100"/>
      <c r="X339" s="100"/>
      <c r="Y339" s="83"/>
      <c r="Z339" s="304"/>
      <c r="AA339" s="304"/>
      <c r="AB339" s="304"/>
      <c r="AC339" s="304"/>
      <c r="AD339" s="304"/>
      <c r="AE339" s="304"/>
      <c r="AF339" s="304"/>
      <c r="AG339" s="304"/>
      <c r="AH339" s="304"/>
      <c r="AI339" s="304"/>
      <c r="AJ339" s="304"/>
      <c r="AK339" s="304"/>
      <c r="AL339" s="304"/>
      <c r="AM339" s="304"/>
      <c r="AN339" s="304"/>
      <c r="AO339" s="304"/>
      <c r="AP339" s="304"/>
      <c r="AQ339" s="304"/>
      <c r="AR339" s="304"/>
      <c r="AS339" s="304"/>
      <c r="AT339" s="304"/>
      <c r="AU339" s="304"/>
      <c r="AV339" s="304"/>
      <c r="AW339" s="304"/>
      <c r="AX339" s="304"/>
      <c r="AY339" s="304"/>
      <c r="AZ339" s="304"/>
      <c r="BA339" s="304"/>
      <c r="BB339" s="304"/>
      <c r="BC339" s="304"/>
      <c r="BD339" s="304"/>
      <c r="BE339" s="304"/>
      <c r="BF339" s="304"/>
      <c r="BG339" s="304"/>
      <c r="BH339" s="304"/>
      <c r="BI339" s="304"/>
      <c r="BJ339" s="304"/>
      <c r="BK339" s="304"/>
      <c r="BL339" s="304"/>
      <c r="BM339" s="304"/>
      <c r="BN339" s="304"/>
      <c r="BO339" s="304"/>
      <c r="BP339" s="304"/>
      <c r="BQ339" s="304"/>
      <c r="BR339" s="304"/>
      <c r="BS339" s="304"/>
      <c r="BT339" s="304"/>
      <c r="BU339" s="304"/>
      <c r="BV339" s="304"/>
      <c r="BW339" s="304"/>
      <c r="BX339" s="304"/>
      <c r="BY339" s="304"/>
      <c r="BZ339" s="304"/>
      <c r="CA339" s="304"/>
      <c r="CB339" s="304"/>
      <c r="CC339" s="304"/>
      <c r="CD339" s="304"/>
      <c r="CE339" s="304"/>
      <c r="CF339" s="304"/>
      <c r="CG339" s="304"/>
      <c r="CH339" s="304"/>
      <c r="CI339" s="304"/>
      <c r="CJ339" s="304"/>
      <c r="CK339" s="304"/>
      <c r="CL339" s="304"/>
      <c r="CM339" s="304"/>
      <c r="CN339" s="304"/>
      <c r="CO339" s="304"/>
      <c r="CP339" s="304"/>
    </row>
    <row r="340" spans="1:94" s="87" customFormat="1">
      <c r="A340" s="81"/>
      <c r="B340" s="83"/>
      <c r="C340" s="82"/>
      <c r="D340" s="102"/>
      <c r="E340" s="102"/>
      <c r="F340" s="102"/>
      <c r="G340" s="225"/>
      <c r="H340" s="102"/>
      <c r="I340" s="218"/>
      <c r="J340" s="102"/>
      <c r="K340" s="102" t="str">
        <f t="shared" si="30"/>
        <v/>
      </c>
      <c r="L340" s="221"/>
      <c r="M340" s="325"/>
      <c r="N340" s="94"/>
      <c r="O340" s="326"/>
      <c r="P340" s="84"/>
      <c r="Q340" s="88"/>
      <c r="R340" s="102">
        <f t="shared" si="29"/>
        <v>0</v>
      </c>
      <c r="S340" s="89"/>
      <c r="T340" s="100"/>
      <c r="U340" s="100"/>
      <c r="V340" s="100"/>
      <c r="W340" s="100"/>
      <c r="X340" s="100"/>
      <c r="Y340" s="83"/>
      <c r="Z340" s="304"/>
      <c r="AA340" s="304"/>
      <c r="AB340" s="304"/>
      <c r="AC340" s="304"/>
      <c r="AD340" s="304"/>
      <c r="AE340" s="304"/>
      <c r="AF340" s="304"/>
      <c r="AG340" s="304"/>
      <c r="AH340" s="304"/>
      <c r="AI340" s="304"/>
      <c r="AJ340" s="304"/>
      <c r="AK340" s="304"/>
      <c r="AL340" s="304"/>
      <c r="AM340" s="304"/>
      <c r="AN340" s="304"/>
      <c r="AO340" s="304"/>
      <c r="AP340" s="304"/>
      <c r="AQ340" s="304"/>
      <c r="AR340" s="304"/>
      <c r="AS340" s="304"/>
      <c r="AT340" s="304"/>
      <c r="AU340" s="304"/>
      <c r="AV340" s="304"/>
      <c r="AW340" s="304"/>
      <c r="AX340" s="304"/>
      <c r="AY340" s="304"/>
      <c r="AZ340" s="304"/>
      <c r="BA340" s="304"/>
      <c r="BB340" s="304"/>
      <c r="BC340" s="304"/>
      <c r="BD340" s="304"/>
      <c r="BE340" s="304"/>
      <c r="BF340" s="304"/>
      <c r="BG340" s="304"/>
      <c r="BH340" s="304"/>
      <c r="BI340" s="304"/>
      <c r="BJ340" s="304"/>
      <c r="BK340" s="304"/>
      <c r="BL340" s="304"/>
      <c r="BM340" s="304"/>
      <c r="BN340" s="304"/>
      <c r="BO340" s="304"/>
      <c r="BP340" s="304"/>
      <c r="BQ340" s="304"/>
      <c r="BR340" s="304"/>
      <c r="BS340" s="304"/>
      <c r="BT340" s="304"/>
      <c r="BU340" s="304"/>
      <c r="BV340" s="304"/>
      <c r="BW340" s="304"/>
      <c r="BX340" s="304"/>
      <c r="BY340" s="304"/>
      <c r="BZ340" s="304"/>
      <c r="CA340" s="304"/>
      <c r="CB340" s="304"/>
      <c r="CC340" s="304"/>
      <c r="CD340" s="304"/>
      <c r="CE340" s="304"/>
      <c r="CF340" s="304"/>
      <c r="CG340" s="304"/>
      <c r="CH340" s="304"/>
      <c r="CI340" s="304"/>
      <c r="CJ340" s="304"/>
      <c r="CK340" s="304"/>
      <c r="CL340" s="304"/>
      <c r="CM340" s="304"/>
      <c r="CN340" s="304"/>
      <c r="CO340" s="304"/>
      <c r="CP340" s="304"/>
    </row>
    <row r="341" spans="1:94" s="87" customFormat="1">
      <c r="A341" s="81"/>
      <c r="B341" s="83"/>
      <c r="C341" s="82"/>
      <c r="D341" s="102"/>
      <c r="E341" s="102"/>
      <c r="F341" s="102"/>
      <c r="G341" s="225"/>
      <c r="H341" s="102"/>
      <c r="I341" s="218"/>
      <c r="J341" s="102"/>
      <c r="K341" s="102" t="str">
        <f t="shared" si="30"/>
        <v/>
      </c>
      <c r="L341" s="221"/>
      <c r="M341" s="325"/>
      <c r="N341" s="94"/>
      <c r="O341" s="326"/>
      <c r="P341" s="84"/>
      <c r="Q341" s="88"/>
      <c r="R341" s="102">
        <f t="shared" si="29"/>
        <v>0</v>
      </c>
      <c r="S341" s="89"/>
      <c r="T341" s="100"/>
      <c r="U341" s="100"/>
      <c r="V341" s="100"/>
      <c r="W341" s="100"/>
      <c r="X341" s="100"/>
      <c r="Y341" s="83"/>
      <c r="Z341" s="304"/>
      <c r="AA341" s="304"/>
      <c r="AB341" s="304"/>
      <c r="AC341" s="304"/>
      <c r="AD341" s="304"/>
      <c r="AE341" s="304"/>
      <c r="AF341" s="304"/>
      <c r="AG341" s="304"/>
      <c r="AH341" s="304"/>
      <c r="AI341" s="304"/>
      <c r="AJ341" s="304"/>
      <c r="AK341" s="304"/>
      <c r="AL341" s="304"/>
      <c r="AM341" s="304"/>
      <c r="AN341" s="304"/>
      <c r="AO341" s="304"/>
      <c r="AP341" s="304"/>
      <c r="AQ341" s="304"/>
      <c r="AR341" s="304"/>
      <c r="AS341" s="304"/>
      <c r="AT341" s="304"/>
      <c r="AU341" s="304"/>
      <c r="AV341" s="304"/>
      <c r="AW341" s="304"/>
      <c r="AX341" s="304"/>
      <c r="AY341" s="304"/>
      <c r="AZ341" s="304"/>
      <c r="BA341" s="304"/>
      <c r="BB341" s="304"/>
      <c r="BC341" s="304"/>
      <c r="BD341" s="304"/>
      <c r="BE341" s="304"/>
      <c r="BF341" s="304"/>
      <c r="BG341" s="304"/>
      <c r="BH341" s="304"/>
      <c r="BI341" s="304"/>
      <c r="BJ341" s="304"/>
      <c r="BK341" s="304"/>
      <c r="BL341" s="304"/>
      <c r="BM341" s="304"/>
      <c r="BN341" s="304"/>
      <c r="BO341" s="304"/>
      <c r="BP341" s="304"/>
      <c r="BQ341" s="304"/>
      <c r="BR341" s="304"/>
      <c r="BS341" s="304"/>
      <c r="BT341" s="304"/>
      <c r="BU341" s="304"/>
      <c r="BV341" s="304"/>
      <c r="BW341" s="304"/>
      <c r="BX341" s="304"/>
      <c r="BY341" s="304"/>
      <c r="BZ341" s="304"/>
      <c r="CA341" s="304"/>
      <c r="CB341" s="304"/>
      <c r="CC341" s="304"/>
      <c r="CD341" s="304"/>
      <c r="CE341" s="304"/>
      <c r="CF341" s="304"/>
      <c r="CG341" s="304"/>
      <c r="CH341" s="304"/>
      <c r="CI341" s="304"/>
      <c r="CJ341" s="304"/>
      <c r="CK341" s="304"/>
      <c r="CL341" s="304"/>
      <c r="CM341" s="304"/>
      <c r="CN341" s="304"/>
      <c r="CO341" s="304"/>
      <c r="CP341" s="304"/>
    </row>
    <row r="342" spans="1:94" s="87" customFormat="1">
      <c r="A342" s="81"/>
      <c r="B342" s="83"/>
      <c r="C342" s="82"/>
      <c r="D342" s="102"/>
      <c r="E342" s="102"/>
      <c r="F342" s="102"/>
      <c r="G342" s="225"/>
      <c r="H342" s="102"/>
      <c r="I342" s="218"/>
      <c r="J342" s="102"/>
      <c r="K342" s="102" t="str">
        <f t="shared" si="30"/>
        <v/>
      </c>
      <c r="L342" s="221"/>
      <c r="M342" s="325"/>
      <c r="N342" s="94"/>
      <c r="O342" s="326"/>
      <c r="P342" s="84"/>
      <c r="Q342" s="88"/>
      <c r="R342" s="102">
        <f t="shared" si="29"/>
        <v>0</v>
      </c>
      <c r="S342" s="89"/>
      <c r="T342" s="100"/>
      <c r="U342" s="100"/>
      <c r="V342" s="100"/>
      <c r="W342" s="100"/>
      <c r="X342" s="100"/>
      <c r="Y342" s="83"/>
      <c r="Z342" s="304"/>
      <c r="AA342" s="304"/>
      <c r="AB342" s="304"/>
      <c r="AC342" s="304"/>
      <c r="AD342" s="304"/>
      <c r="AE342" s="304"/>
      <c r="AF342" s="304"/>
      <c r="AG342" s="304"/>
      <c r="AH342" s="304"/>
      <c r="AI342" s="304"/>
      <c r="AJ342" s="304"/>
      <c r="AK342" s="304"/>
      <c r="AL342" s="304"/>
      <c r="AM342" s="304"/>
      <c r="AN342" s="304"/>
      <c r="AO342" s="304"/>
      <c r="AP342" s="304"/>
      <c r="AQ342" s="304"/>
      <c r="AR342" s="304"/>
      <c r="AS342" s="304"/>
      <c r="AT342" s="304"/>
      <c r="AU342" s="304"/>
      <c r="AV342" s="304"/>
      <c r="AW342" s="304"/>
      <c r="AX342" s="304"/>
      <c r="AY342" s="304"/>
      <c r="AZ342" s="304"/>
      <c r="BA342" s="304"/>
      <c r="BB342" s="304"/>
      <c r="BC342" s="304"/>
      <c r="BD342" s="304"/>
      <c r="BE342" s="304"/>
      <c r="BF342" s="304"/>
      <c r="BG342" s="304"/>
      <c r="BH342" s="304"/>
      <c r="BI342" s="304"/>
      <c r="BJ342" s="304"/>
      <c r="BK342" s="304"/>
      <c r="BL342" s="304"/>
      <c r="BM342" s="304"/>
      <c r="BN342" s="304"/>
      <c r="BO342" s="304"/>
      <c r="BP342" s="304"/>
      <c r="BQ342" s="304"/>
      <c r="BR342" s="304"/>
      <c r="BS342" s="304"/>
      <c r="BT342" s="304"/>
      <c r="BU342" s="304"/>
      <c r="BV342" s="304"/>
      <c r="BW342" s="304"/>
      <c r="BX342" s="304"/>
      <c r="BY342" s="304"/>
      <c r="BZ342" s="304"/>
      <c r="CA342" s="304"/>
      <c r="CB342" s="304"/>
      <c r="CC342" s="304"/>
      <c r="CD342" s="304"/>
      <c r="CE342" s="304"/>
      <c r="CF342" s="304"/>
      <c r="CG342" s="304"/>
      <c r="CH342" s="304"/>
      <c r="CI342" s="304"/>
      <c r="CJ342" s="304"/>
      <c r="CK342" s="304"/>
      <c r="CL342" s="304"/>
      <c r="CM342" s="304"/>
      <c r="CN342" s="304"/>
      <c r="CO342" s="304"/>
      <c r="CP342" s="304"/>
    </row>
    <row r="343" spans="1:94" s="87" customFormat="1">
      <c r="A343" s="81"/>
      <c r="B343" s="83"/>
      <c r="C343" s="82"/>
      <c r="D343" s="102"/>
      <c r="E343" s="102"/>
      <c r="F343" s="102"/>
      <c r="G343" s="225"/>
      <c r="H343" s="102"/>
      <c r="I343" s="218"/>
      <c r="J343" s="102"/>
      <c r="K343" s="102" t="str">
        <f t="shared" si="30"/>
        <v/>
      </c>
      <c r="L343" s="221"/>
      <c r="M343" s="325"/>
      <c r="N343" s="94"/>
      <c r="O343" s="326"/>
      <c r="P343" s="84"/>
      <c r="Q343" s="88"/>
      <c r="R343" s="102">
        <f t="shared" si="29"/>
        <v>0</v>
      </c>
      <c r="S343" s="89"/>
      <c r="T343" s="100"/>
      <c r="U343" s="100"/>
      <c r="V343" s="100"/>
      <c r="W343" s="100"/>
      <c r="X343" s="100"/>
      <c r="Y343" s="83"/>
      <c r="Z343" s="304"/>
      <c r="AA343" s="304"/>
      <c r="AB343" s="304"/>
      <c r="AC343" s="304"/>
      <c r="AD343" s="304"/>
      <c r="AE343" s="304"/>
      <c r="AF343" s="304"/>
      <c r="AG343" s="304"/>
      <c r="AH343" s="304"/>
      <c r="AI343" s="304"/>
      <c r="AJ343" s="304"/>
      <c r="AK343" s="304"/>
      <c r="AL343" s="304"/>
      <c r="AM343" s="304"/>
      <c r="AN343" s="304"/>
      <c r="AO343" s="304"/>
      <c r="AP343" s="304"/>
      <c r="AQ343" s="304"/>
      <c r="AR343" s="304"/>
      <c r="AS343" s="304"/>
      <c r="AT343" s="304"/>
      <c r="AU343" s="304"/>
      <c r="AV343" s="304"/>
      <c r="AW343" s="304"/>
      <c r="AX343" s="304"/>
      <c r="AY343" s="304"/>
      <c r="AZ343" s="304"/>
      <c r="BA343" s="304"/>
      <c r="BB343" s="304"/>
      <c r="BC343" s="304"/>
      <c r="BD343" s="304"/>
      <c r="BE343" s="304"/>
      <c r="BF343" s="304"/>
      <c r="BG343" s="304"/>
      <c r="BH343" s="304"/>
      <c r="BI343" s="304"/>
      <c r="BJ343" s="304"/>
      <c r="BK343" s="304"/>
      <c r="BL343" s="304"/>
      <c r="BM343" s="304"/>
      <c r="BN343" s="304"/>
      <c r="BO343" s="304"/>
      <c r="BP343" s="304"/>
      <c r="BQ343" s="304"/>
      <c r="BR343" s="304"/>
      <c r="BS343" s="304"/>
      <c r="BT343" s="304"/>
      <c r="BU343" s="304"/>
      <c r="BV343" s="304"/>
      <c r="BW343" s="304"/>
      <c r="BX343" s="304"/>
      <c r="BY343" s="304"/>
      <c r="BZ343" s="304"/>
      <c r="CA343" s="304"/>
      <c r="CB343" s="304"/>
      <c r="CC343" s="304"/>
      <c r="CD343" s="304"/>
      <c r="CE343" s="304"/>
      <c r="CF343" s="304"/>
      <c r="CG343" s="304"/>
      <c r="CH343" s="304"/>
      <c r="CI343" s="304"/>
      <c r="CJ343" s="304"/>
      <c r="CK343" s="304"/>
      <c r="CL343" s="304"/>
      <c r="CM343" s="304"/>
      <c r="CN343" s="304"/>
      <c r="CO343" s="304"/>
      <c r="CP343" s="304"/>
    </row>
    <row r="344" spans="1:94" s="87" customFormat="1">
      <c r="A344" s="81"/>
      <c r="B344" s="83"/>
      <c r="C344" s="82"/>
      <c r="D344" s="102"/>
      <c r="E344" s="102"/>
      <c r="F344" s="102"/>
      <c r="G344" s="225"/>
      <c r="H344" s="102"/>
      <c r="I344" s="218"/>
      <c r="J344" s="102"/>
      <c r="K344" s="102" t="str">
        <f t="shared" si="30"/>
        <v/>
      </c>
      <c r="L344" s="221"/>
      <c r="M344" s="325"/>
      <c r="N344" s="94"/>
      <c r="O344" s="326"/>
      <c r="P344" s="84"/>
      <c r="Q344" s="88"/>
      <c r="R344" s="102">
        <f t="shared" si="29"/>
        <v>0</v>
      </c>
      <c r="S344" s="89"/>
      <c r="T344" s="100"/>
      <c r="U344" s="100"/>
      <c r="V344" s="100"/>
      <c r="W344" s="100"/>
      <c r="X344" s="100"/>
      <c r="Y344" s="83"/>
      <c r="Z344" s="304"/>
      <c r="AA344" s="304"/>
      <c r="AB344" s="304"/>
      <c r="AC344" s="304"/>
      <c r="AD344" s="304"/>
      <c r="AE344" s="304"/>
      <c r="AF344" s="304"/>
      <c r="AG344" s="304"/>
      <c r="AH344" s="304"/>
      <c r="AI344" s="304"/>
      <c r="AJ344" s="304"/>
      <c r="AK344" s="304"/>
      <c r="AL344" s="304"/>
      <c r="AM344" s="304"/>
      <c r="AN344" s="304"/>
      <c r="AO344" s="304"/>
      <c r="AP344" s="304"/>
      <c r="AQ344" s="304"/>
      <c r="AR344" s="304"/>
      <c r="AS344" s="304"/>
      <c r="AT344" s="304"/>
      <c r="AU344" s="304"/>
      <c r="AV344" s="304"/>
      <c r="AW344" s="304"/>
      <c r="AX344" s="304"/>
      <c r="AY344" s="304"/>
      <c r="AZ344" s="304"/>
      <c r="BA344" s="304"/>
      <c r="BB344" s="304"/>
      <c r="BC344" s="304"/>
      <c r="BD344" s="304"/>
      <c r="BE344" s="304"/>
      <c r="BF344" s="304"/>
      <c r="BG344" s="304"/>
      <c r="BH344" s="304"/>
      <c r="BI344" s="304"/>
      <c r="BJ344" s="304"/>
      <c r="BK344" s="304"/>
      <c r="BL344" s="304"/>
      <c r="BM344" s="304"/>
      <c r="BN344" s="304"/>
      <c r="BO344" s="304"/>
      <c r="BP344" s="304"/>
      <c r="BQ344" s="304"/>
      <c r="BR344" s="304"/>
      <c r="BS344" s="304"/>
      <c r="BT344" s="304"/>
      <c r="BU344" s="304"/>
      <c r="BV344" s="304"/>
      <c r="BW344" s="304"/>
      <c r="BX344" s="304"/>
      <c r="BY344" s="304"/>
      <c r="BZ344" s="304"/>
      <c r="CA344" s="304"/>
      <c r="CB344" s="304"/>
      <c r="CC344" s="304"/>
      <c r="CD344" s="304"/>
      <c r="CE344" s="304"/>
      <c r="CF344" s="304"/>
      <c r="CG344" s="304"/>
      <c r="CH344" s="304"/>
      <c r="CI344" s="304"/>
      <c r="CJ344" s="304"/>
      <c r="CK344" s="304"/>
      <c r="CL344" s="304"/>
      <c r="CM344" s="304"/>
      <c r="CN344" s="304"/>
      <c r="CO344" s="304"/>
      <c r="CP344" s="304"/>
    </row>
    <row r="345" spans="1:94" s="87" customFormat="1">
      <c r="A345" s="81"/>
      <c r="B345" s="83"/>
      <c r="C345" s="82"/>
      <c r="D345" s="102"/>
      <c r="E345" s="102"/>
      <c r="F345" s="102"/>
      <c r="G345" s="225"/>
      <c r="H345" s="102"/>
      <c r="I345" s="218"/>
      <c r="J345" s="102"/>
      <c r="K345" s="102" t="str">
        <f t="shared" si="30"/>
        <v/>
      </c>
      <c r="L345" s="221"/>
      <c r="M345" s="325"/>
      <c r="N345" s="94"/>
      <c r="O345" s="326"/>
      <c r="P345" s="84"/>
      <c r="Q345" s="88"/>
      <c r="R345" s="102">
        <f t="shared" si="29"/>
        <v>0</v>
      </c>
      <c r="S345" s="89"/>
      <c r="T345" s="100"/>
      <c r="U345" s="100"/>
      <c r="V345" s="100"/>
      <c r="W345" s="100"/>
      <c r="X345" s="100"/>
      <c r="Y345" s="83"/>
      <c r="Z345" s="304"/>
      <c r="AA345" s="304"/>
      <c r="AB345" s="304"/>
      <c r="AC345" s="304"/>
      <c r="AD345" s="304"/>
      <c r="AE345" s="304"/>
      <c r="AF345" s="304"/>
      <c r="AG345" s="304"/>
      <c r="AH345" s="304"/>
      <c r="AI345" s="304"/>
      <c r="AJ345" s="304"/>
      <c r="AK345" s="304"/>
      <c r="AL345" s="304"/>
      <c r="AM345" s="304"/>
      <c r="AN345" s="304"/>
      <c r="AO345" s="304"/>
      <c r="AP345" s="304"/>
      <c r="AQ345" s="304"/>
      <c r="AR345" s="304"/>
      <c r="AS345" s="304"/>
      <c r="AT345" s="304"/>
      <c r="AU345" s="304"/>
      <c r="AV345" s="304"/>
      <c r="AW345" s="304"/>
      <c r="AX345" s="304"/>
      <c r="AY345" s="304"/>
      <c r="AZ345" s="304"/>
      <c r="BA345" s="304"/>
      <c r="BB345" s="304"/>
      <c r="BC345" s="304"/>
      <c r="BD345" s="304"/>
      <c r="BE345" s="304"/>
      <c r="BF345" s="304"/>
      <c r="BG345" s="304"/>
      <c r="BH345" s="304"/>
      <c r="BI345" s="304"/>
      <c r="BJ345" s="304"/>
      <c r="BK345" s="304"/>
      <c r="BL345" s="304"/>
      <c r="BM345" s="304"/>
      <c r="BN345" s="304"/>
      <c r="BO345" s="304"/>
      <c r="BP345" s="304"/>
      <c r="BQ345" s="304"/>
      <c r="BR345" s="304"/>
      <c r="BS345" s="304"/>
      <c r="BT345" s="304"/>
      <c r="BU345" s="304"/>
      <c r="BV345" s="304"/>
      <c r="BW345" s="304"/>
      <c r="BX345" s="304"/>
      <c r="BY345" s="304"/>
      <c r="BZ345" s="304"/>
      <c r="CA345" s="304"/>
      <c r="CB345" s="304"/>
      <c r="CC345" s="304"/>
      <c r="CD345" s="304"/>
      <c r="CE345" s="304"/>
      <c r="CF345" s="304"/>
      <c r="CG345" s="304"/>
      <c r="CH345" s="304"/>
      <c r="CI345" s="304"/>
      <c r="CJ345" s="304"/>
      <c r="CK345" s="304"/>
      <c r="CL345" s="304"/>
      <c r="CM345" s="304"/>
      <c r="CN345" s="304"/>
      <c r="CO345" s="304"/>
      <c r="CP345" s="304"/>
    </row>
    <row r="346" spans="1:94" s="87" customFormat="1">
      <c r="A346" s="81"/>
      <c r="B346" s="83"/>
      <c r="C346" s="82"/>
      <c r="D346" s="102"/>
      <c r="E346" s="102"/>
      <c r="F346" s="102"/>
      <c r="G346" s="225"/>
      <c r="H346" s="102"/>
      <c r="I346" s="218"/>
      <c r="J346" s="102"/>
      <c r="K346" s="102" t="str">
        <f t="shared" si="30"/>
        <v/>
      </c>
      <c r="L346" s="221"/>
      <c r="M346" s="325"/>
      <c r="N346" s="94"/>
      <c r="O346" s="326"/>
      <c r="P346" s="84"/>
      <c r="Q346" s="88"/>
      <c r="R346" s="102">
        <f t="shared" si="29"/>
        <v>0</v>
      </c>
      <c r="S346" s="89"/>
      <c r="T346" s="100"/>
      <c r="U346" s="100"/>
      <c r="V346" s="100"/>
      <c r="W346" s="100"/>
      <c r="X346" s="100"/>
      <c r="Y346" s="83"/>
      <c r="Z346" s="304"/>
      <c r="AA346" s="304"/>
      <c r="AB346" s="304"/>
      <c r="AC346" s="304"/>
      <c r="AD346" s="304"/>
      <c r="AE346" s="304"/>
      <c r="AF346" s="304"/>
      <c r="AG346" s="304"/>
      <c r="AH346" s="304"/>
      <c r="AI346" s="304"/>
      <c r="AJ346" s="304"/>
      <c r="AK346" s="304"/>
      <c r="AL346" s="304"/>
      <c r="AM346" s="304"/>
      <c r="AN346" s="304"/>
      <c r="AO346" s="304"/>
      <c r="AP346" s="304"/>
      <c r="AQ346" s="304"/>
      <c r="AR346" s="304"/>
      <c r="AS346" s="304"/>
      <c r="AT346" s="304"/>
      <c r="AU346" s="304"/>
      <c r="AV346" s="304"/>
      <c r="AW346" s="304"/>
      <c r="AX346" s="304"/>
      <c r="AY346" s="304"/>
      <c r="AZ346" s="304"/>
      <c r="BA346" s="304"/>
      <c r="BB346" s="304"/>
      <c r="BC346" s="304"/>
      <c r="BD346" s="304"/>
      <c r="BE346" s="304"/>
      <c r="BF346" s="304"/>
      <c r="BG346" s="304"/>
      <c r="BH346" s="304"/>
      <c r="BI346" s="304"/>
      <c r="BJ346" s="304"/>
      <c r="BK346" s="304"/>
      <c r="BL346" s="304"/>
      <c r="BM346" s="304"/>
      <c r="BN346" s="304"/>
      <c r="BO346" s="304"/>
      <c r="BP346" s="304"/>
      <c r="BQ346" s="304"/>
      <c r="BR346" s="304"/>
      <c r="BS346" s="304"/>
      <c r="BT346" s="304"/>
      <c r="BU346" s="304"/>
      <c r="BV346" s="304"/>
      <c r="BW346" s="304"/>
      <c r="BX346" s="304"/>
      <c r="BY346" s="304"/>
      <c r="BZ346" s="304"/>
      <c r="CA346" s="304"/>
      <c r="CB346" s="304"/>
      <c r="CC346" s="304"/>
      <c r="CD346" s="304"/>
      <c r="CE346" s="304"/>
      <c r="CF346" s="304"/>
      <c r="CG346" s="304"/>
      <c r="CH346" s="304"/>
      <c r="CI346" s="304"/>
      <c r="CJ346" s="304"/>
      <c r="CK346" s="304"/>
      <c r="CL346" s="304"/>
      <c r="CM346" s="304"/>
      <c r="CN346" s="304"/>
      <c r="CO346" s="304"/>
      <c r="CP346" s="304"/>
    </row>
    <row r="347" spans="1:94" s="87" customFormat="1">
      <c r="A347" s="81"/>
      <c r="B347" s="83"/>
      <c r="C347" s="82"/>
      <c r="D347" s="102"/>
      <c r="E347" s="102"/>
      <c r="F347" s="102"/>
      <c r="G347" s="225"/>
      <c r="H347" s="102"/>
      <c r="I347" s="218"/>
      <c r="J347" s="102"/>
      <c r="K347" s="102" t="str">
        <f t="shared" si="30"/>
        <v/>
      </c>
      <c r="L347" s="221"/>
      <c r="M347" s="325"/>
      <c r="N347" s="94"/>
      <c r="O347" s="326"/>
      <c r="P347" s="84"/>
      <c r="Q347" s="88"/>
      <c r="R347" s="102">
        <f t="shared" si="29"/>
        <v>0</v>
      </c>
      <c r="S347" s="89"/>
      <c r="T347" s="100"/>
      <c r="U347" s="100"/>
      <c r="V347" s="100"/>
      <c r="W347" s="100"/>
      <c r="X347" s="100"/>
      <c r="Y347" s="83"/>
      <c r="Z347" s="304"/>
      <c r="AA347" s="304"/>
      <c r="AB347" s="304"/>
      <c r="AC347" s="304"/>
      <c r="AD347" s="304"/>
      <c r="AE347" s="304"/>
      <c r="AF347" s="304"/>
      <c r="AG347" s="304"/>
      <c r="AH347" s="304"/>
      <c r="AI347" s="304"/>
      <c r="AJ347" s="304"/>
      <c r="AK347" s="304"/>
      <c r="AL347" s="304"/>
      <c r="AM347" s="304"/>
      <c r="AN347" s="304"/>
      <c r="AO347" s="304"/>
      <c r="AP347" s="304"/>
      <c r="AQ347" s="304"/>
      <c r="AR347" s="304"/>
      <c r="AS347" s="304"/>
      <c r="AT347" s="304"/>
      <c r="AU347" s="304"/>
      <c r="AV347" s="304"/>
      <c r="AW347" s="304"/>
      <c r="AX347" s="304"/>
      <c r="AY347" s="304"/>
      <c r="AZ347" s="304"/>
      <c r="BA347" s="304"/>
      <c r="BB347" s="304"/>
      <c r="BC347" s="304"/>
      <c r="BD347" s="304"/>
      <c r="BE347" s="304"/>
      <c r="BF347" s="304"/>
      <c r="BG347" s="304"/>
      <c r="BH347" s="304"/>
      <c r="BI347" s="304"/>
      <c r="BJ347" s="304"/>
      <c r="BK347" s="304"/>
      <c r="BL347" s="304"/>
      <c r="BM347" s="304"/>
      <c r="BN347" s="304"/>
      <c r="BO347" s="304"/>
      <c r="BP347" s="304"/>
      <c r="BQ347" s="304"/>
      <c r="BR347" s="304"/>
      <c r="BS347" s="304"/>
      <c r="BT347" s="304"/>
      <c r="BU347" s="304"/>
      <c r="BV347" s="304"/>
      <c r="BW347" s="304"/>
      <c r="BX347" s="304"/>
      <c r="BY347" s="304"/>
      <c r="BZ347" s="304"/>
      <c r="CA347" s="304"/>
      <c r="CB347" s="304"/>
      <c r="CC347" s="304"/>
      <c r="CD347" s="304"/>
      <c r="CE347" s="304"/>
      <c r="CF347" s="304"/>
      <c r="CG347" s="304"/>
      <c r="CH347" s="304"/>
      <c r="CI347" s="304"/>
      <c r="CJ347" s="304"/>
      <c r="CK347" s="304"/>
      <c r="CL347" s="304"/>
      <c r="CM347" s="304"/>
      <c r="CN347" s="304"/>
      <c r="CO347" s="304"/>
      <c r="CP347" s="304"/>
    </row>
    <row r="348" spans="1:94" s="87" customFormat="1">
      <c r="A348" s="81"/>
      <c r="B348" s="83"/>
      <c r="C348" s="82"/>
      <c r="D348" s="102"/>
      <c r="E348" s="102"/>
      <c r="F348" s="102"/>
      <c r="G348" s="225"/>
      <c r="H348" s="102"/>
      <c r="I348" s="218"/>
      <c r="J348" s="102"/>
      <c r="K348" s="102" t="str">
        <f t="shared" si="30"/>
        <v/>
      </c>
      <c r="L348" s="221"/>
      <c r="M348" s="325"/>
      <c r="N348" s="94"/>
      <c r="O348" s="326"/>
      <c r="P348" s="84"/>
      <c r="Q348" s="88"/>
      <c r="R348" s="102">
        <f t="shared" si="29"/>
        <v>0</v>
      </c>
      <c r="S348" s="89"/>
      <c r="T348" s="100"/>
      <c r="U348" s="100"/>
      <c r="V348" s="100"/>
      <c r="W348" s="100"/>
      <c r="X348" s="100"/>
      <c r="Y348" s="83"/>
      <c r="Z348" s="304"/>
      <c r="AA348" s="304"/>
      <c r="AB348" s="304"/>
      <c r="AC348" s="304"/>
      <c r="AD348" s="304"/>
      <c r="AE348" s="304"/>
      <c r="AF348" s="304"/>
      <c r="AG348" s="304"/>
      <c r="AH348" s="304"/>
      <c r="AI348" s="304"/>
      <c r="AJ348" s="304"/>
      <c r="AK348" s="304"/>
      <c r="AL348" s="304"/>
      <c r="AM348" s="304"/>
      <c r="AN348" s="304"/>
      <c r="AO348" s="304"/>
      <c r="AP348" s="304"/>
      <c r="AQ348" s="304"/>
      <c r="AR348" s="304"/>
      <c r="AS348" s="304"/>
      <c r="AT348" s="304"/>
      <c r="AU348" s="304"/>
      <c r="AV348" s="304"/>
      <c r="AW348" s="304"/>
      <c r="AX348" s="304"/>
      <c r="AY348" s="304"/>
      <c r="AZ348" s="304"/>
      <c r="BA348" s="304"/>
      <c r="BB348" s="304"/>
      <c r="BC348" s="304"/>
      <c r="BD348" s="304"/>
      <c r="BE348" s="304"/>
      <c r="BF348" s="304"/>
      <c r="BG348" s="304"/>
      <c r="BH348" s="304"/>
      <c r="BI348" s="304"/>
      <c r="BJ348" s="304"/>
      <c r="BK348" s="304"/>
      <c r="BL348" s="304"/>
      <c r="BM348" s="304"/>
      <c r="BN348" s="304"/>
      <c r="BO348" s="304"/>
      <c r="BP348" s="304"/>
      <c r="BQ348" s="304"/>
      <c r="BR348" s="304"/>
      <c r="BS348" s="304"/>
      <c r="BT348" s="304"/>
      <c r="BU348" s="304"/>
      <c r="BV348" s="304"/>
      <c r="BW348" s="304"/>
      <c r="BX348" s="304"/>
      <c r="BY348" s="304"/>
      <c r="BZ348" s="304"/>
      <c r="CA348" s="304"/>
      <c r="CB348" s="304"/>
      <c r="CC348" s="304"/>
      <c r="CD348" s="304"/>
      <c r="CE348" s="304"/>
      <c r="CF348" s="304"/>
      <c r="CG348" s="304"/>
      <c r="CH348" s="304"/>
      <c r="CI348" s="304"/>
      <c r="CJ348" s="304"/>
      <c r="CK348" s="304"/>
      <c r="CL348" s="304"/>
      <c r="CM348" s="304"/>
      <c r="CN348" s="304"/>
      <c r="CO348" s="304"/>
      <c r="CP348" s="304"/>
    </row>
    <row r="349" spans="1:94" s="87" customFormat="1">
      <c r="A349" s="81"/>
      <c r="B349" s="83"/>
      <c r="C349" s="82"/>
      <c r="D349" s="102"/>
      <c r="E349" s="102"/>
      <c r="F349" s="102"/>
      <c r="G349" s="225"/>
      <c r="H349" s="102"/>
      <c r="I349" s="218"/>
      <c r="J349" s="102"/>
      <c r="K349" s="102" t="str">
        <f t="shared" si="30"/>
        <v/>
      </c>
      <c r="L349" s="221"/>
      <c r="M349" s="325"/>
      <c r="N349" s="94"/>
      <c r="O349" s="326"/>
      <c r="P349" s="84"/>
      <c r="Q349" s="88"/>
      <c r="R349" s="102">
        <f t="shared" si="29"/>
        <v>0</v>
      </c>
      <c r="S349" s="89"/>
      <c r="T349" s="100"/>
      <c r="U349" s="100"/>
      <c r="V349" s="100"/>
      <c r="W349" s="100"/>
      <c r="X349" s="100"/>
      <c r="Y349" s="83"/>
      <c r="Z349" s="304"/>
      <c r="AA349" s="304"/>
      <c r="AB349" s="304"/>
      <c r="AC349" s="304"/>
      <c r="AD349" s="304"/>
      <c r="AE349" s="304"/>
      <c r="AF349" s="304"/>
      <c r="AG349" s="304"/>
      <c r="AH349" s="304"/>
      <c r="AI349" s="304"/>
      <c r="AJ349" s="304"/>
      <c r="AK349" s="304"/>
      <c r="AL349" s="304"/>
      <c r="AM349" s="304"/>
      <c r="AN349" s="304"/>
      <c r="AO349" s="304"/>
      <c r="AP349" s="304"/>
      <c r="AQ349" s="304"/>
      <c r="AR349" s="304"/>
      <c r="AS349" s="304"/>
      <c r="AT349" s="304"/>
      <c r="AU349" s="304"/>
      <c r="AV349" s="304"/>
      <c r="AW349" s="304"/>
      <c r="AX349" s="304"/>
      <c r="AY349" s="304"/>
      <c r="AZ349" s="304"/>
      <c r="BA349" s="304"/>
      <c r="BB349" s="304"/>
      <c r="BC349" s="304"/>
      <c r="BD349" s="304"/>
      <c r="BE349" s="304"/>
      <c r="BF349" s="304"/>
      <c r="BG349" s="304"/>
      <c r="BH349" s="304"/>
      <c r="BI349" s="304"/>
      <c r="BJ349" s="304"/>
      <c r="BK349" s="304"/>
      <c r="BL349" s="304"/>
      <c r="BM349" s="304"/>
      <c r="BN349" s="304"/>
      <c r="BO349" s="304"/>
      <c r="BP349" s="304"/>
      <c r="BQ349" s="304"/>
      <c r="BR349" s="304"/>
      <c r="BS349" s="304"/>
      <c r="BT349" s="304"/>
      <c r="BU349" s="304"/>
      <c r="BV349" s="304"/>
      <c r="BW349" s="304"/>
      <c r="BX349" s="304"/>
      <c r="BY349" s="304"/>
      <c r="BZ349" s="304"/>
      <c r="CA349" s="304"/>
      <c r="CB349" s="304"/>
      <c r="CC349" s="304"/>
      <c r="CD349" s="304"/>
      <c r="CE349" s="304"/>
      <c r="CF349" s="304"/>
      <c r="CG349" s="304"/>
      <c r="CH349" s="304"/>
      <c r="CI349" s="304"/>
      <c r="CJ349" s="304"/>
      <c r="CK349" s="304"/>
      <c r="CL349" s="304"/>
      <c r="CM349" s="304"/>
      <c r="CN349" s="304"/>
      <c r="CO349" s="304"/>
      <c r="CP349" s="304"/>
    </row>
    <row r="350" spans="1:94" s="87" customFormat="1">
      <c r="A350" s="81"/>
      <c r="B350" s="83"/>
      <c r="C350" s="82"/>
      <c r="D350" s="102"/>
      <c r="E350" s="102"/>
      <c r="F350" s="102"/>
      <c r="G350" s="225"/>
      <c r="H350" s="102"/>
      <c r="I350" s="218"/>
      <c r="J350" s="102"/>
      <c r="K350" s="102" t="str">
        <f t="shared" si="30"/>
        <v/>
      </c>
      <c r="L350" s="221"/>
      <c r="M350" s="325"/>
      <c r="N350" s="94"/>
      <c r="O350" s="326"/>
      <c r="P350" s="84"/>
      <c r="Q350" s="88"/>
      <c r="R350" s="102">
        <f t="shared" si="29"/>
        <v>0</v>
      </c>
      <c r="S350" s="89"/>
      <c r="T350" s="100"/>
      <c r="U350" s="100"/>
      <c r="V350" s="100"/>
      <c r="W350" s="100"/>
      <c r="X350" s="100"/>
      <c r="Y350" s="83"/>
      <c r="Z350" s="304"/>
      <c r="AA350" s="304"/>
      <c r="AB350" s="304"/>
      <c r="AC350" s="304"/>
      <c r="AD350" s="304"/>
      <c r="AE350" s="304"/>
      <c r="AF350" s="304"/>
      <c r="AG350" s="304"/>
      <c r="AH350" s="304"/>
      <c r="AI350" s="304"/>
      <c r="AJ350" s="304"/>
      <c r="AK350" s="304"/>
      <c r="AL350" s="304"/>
      <c r="AM350" s="304"/>
      <c r="AN350" s="304"/>
      <c r="AO350" s="304"/>
      <c r="AP350" s="304"/>
      <c r="AQ350" s="304"/>
      <c r="AR350" s="304"/>
      <c r="AS350" s="304"/>
      <c r="AT350" s="304"/>
      <c r="AU350" s="304"/>
      <c r="AV350" s="304"/>
      <c r="AW350" s="304"/>
      <c r="AX350" s="304"/>
      <c r="AY350" s="304"/>
      <c r="AZ350" s="304"/>
      <c r="BA350" s="304"/>
      <c r="BB350" s="304"/>
      <c r="BC350" s="304"/>
      <c r="BD350" s="304"/>
      <c r="BE350" s="304"/>
      <c r="BF350" s="304"/>
      <c r="BG350" s="304"/>
      <c r="BH350" s="304"/>
      <c r="BI350" s="304"/>
      <c r="BJ350" s="304"/>
      <c r="BK350" s="304"/>
      <c r="BL350" s="304"/>
      <c r="BM350" s="304"/>
      <c r="BN350" s="304"/>
      <c r="BO350" s="304"/>
      <c r="BP350" s="304"/>
      <c r="BQ350" s="304"/>
      <c r="BR350" s="304"/>
      <c r="BS350" s="304"/>
      <c r="BT350" s="304"/>
      <c r="BU350" s="304"/>
      <c r="BV350" s="304"/>
      <c r="BW350" s="304"/>
      <c r="BX350" s="304"/>
      <c r="BY350" s="304"/>
      <c r="BZ350" s="304"/>
      <c r="CA350" s="304"/>
      <c r="CB350" s="304"/>
      <c r="CC350" s="304"/>
      <c r="CD350" s="304"/>
      <c r="CE350" s="304"/>
      <c r="CF350" s="304"/>
      <c r="CG350" s="304"/>
      <c r="CH350" s="304"/>
      <c r="CI350" s="304"/>
      <c r="CJ350" s="304"/>
      <c r="CK350" s="304"/>
      <c r="CL350" s="304"/>
      <c r="CM350" s="304"/>
      <c r="CN350" s="304"/>
      <c r="CO350" s="304"/>
      <c r="CP350" s="304"/>
    </row>
    <row r="351" spans="1:94" s="87" customFormat="1">
      <c r="A351" s="81"/>
      <c r="B351" s="83"/>
      <c r="C351" s="82"/>
      <c r="D351" s="102"/>
      <c r="E351" s="102"/>
      <c r="F351" s="102"/>
      <c r="G351" s="225"/>
      <c r="H351" s="102"/>
      <c r="I351" s="218"/>
      <c r="J351" s="102"/>
      <c r="K351" s="102" t="str">
        <f t="shared" si="30"/>
        <v/>
      </c>
      <c r="L351" s="221"/>
      <c r="M351" s="325"/>
      <c r="N351" s="94"/>
      <c r="O351" s="326"/>
      <c r="P351" s="84"/>
      <c r="Q351" s="88"/>
      <c r="R351" s="102">
        <f t="shared" si="29"/>
        <v>0</v>
      </c>
      <c r="S351" s="89"/>
      <c r="T351" s="100"/>
      <c r="U351" s="100"/>
      <c r="V351" s="100"/>
      <c r="W351" s="100"/>
      <c r="X351" s="100"/>
      <c r="Y351" s="83"/>
      <c r="Z351" s="304"/>
      <c r="AA351" s="304"/>
      <c r="AB351" s="304"/>
      <c r="AC351" s="304"/>
      <c r="AD351" s="304"/>
      <c r="AE351" s="304"/>
      <c r="AF351" s="304"/>
      <c r="AG351" s="304"/>
      <c r="AH351" s="304"/>
      <c r="AI351" s="304"/>
      <c r="AJ351" s="304"/>
      <c r="AK351" s="304"/>
      <c r="AL351" s="304"/>
      <c r="AM351" s="304"/>
      <c r="AN351" s="304"/>
      <c r="AO351" s="304"/>
      <c r="AP351" s="304"/>
      <c r="AQ351" s="304"/>
      <c r="AR351" s="304"/>
      <c r="AS351" s="304"/>
      <c r="AT351" s="304"/>
      <c r="AU351" s="304"/>
      <c r="AV351" s="304"/>
      <c r="AW351" s="304"/>
      <c r="AX351" s="304"/>
      <c r="AY351" s="304"/>
      <c r="AZ351" s="304"/>
      <c r="BA351" s="304"/>
      <c r="BB351" s="304"/>
      <c r="BC351" s="304"/>
      <c r="BD351" s="304"/>
      <c r="BE351" s="304"/>
      <c r="BF351" s="304"/>
      <c r="BG351" s="304"/>
      <c r="BH351" s="304"/>
      <c r="BI351" s="304"/>
      <c r="BJ351" s="304"/>
      <c r="BK351" s="304"/>
      <c r="BL351" s="304"/>
      <c r="BM351" s="304"/>
      <c r="BN351" s="304"/>
      <c r="BO351" s="304"/>
      <c r="BP351" s="304"/>
      <c r="BQ351" s="304"/>
      <c r="BR351" s="304"/>
      <c r="BS351" s="304"/>
      <c r="BT351" s="304"/>
      <c r="BU351" s="304"/>
      <c r="BV351" s="304"/>
      <c r="BW351" s="304"/>
      <c r="BX351" s="304"/>
      <c r="BY351" s="304"/>
      <c r="BZ351" s="304"/>
      <c r="CA351" s="304"/>
      <c r="CB351" s="304"/>
      <c r="CC351" s="304"/>
      <c r="CD351" s="304"/>
      <c r="CE351" s="304"/>
      <c r="CF351" s="304"/>
      <c r="CG351" s="304"/>
      <c r="CH351" s="304"/>
      <c r="CI351" s="304"/>
      <c r="CJ351" s="304"/>
      <c r="CK351" s="304"/>
      <c r="CL351" s="304"/>
      <c r="CM351" s="304"/>
      <c r="CN351" s="304"/>
      <c r="CO351" s="304"/>
      <c r="CP351" s="304"/>
    </row>
    <row r="352" spans="1:94" s="87" customFormat="1">
      <c r="A352" s="81"/>
      <c r="B352" s="83"/>
      <c r="C352" s="82"/>
      <c r="D352" s="102"/>
      <c r="E352" s="102"/>
      <c r="F352" s="102"/>
      <c r="G352" s="225"/>
      <c r="H352" s="102"/>
      <c r="I352" s="218"/>
      <c r="J352" s="102"/>
      <c r="K352" s="102" t="str">
        <f t="shared" si="30"/>
        <v/>
      </c>
      <c r="L352" s="221"/>
      <c r="M352" s="325"/>
      <c r="N352" s="94"/>
      <c r="O352" s="326"/>
      <c r="P352" s="84"/>
      <c r="Q352" s="88"/>
      <c r="R352" s="102">
        <f t="shared" si="29"/>
        <v>0</v>
      </c>
      <c r="S352" s="89"/>
      <c r="T352" s="100"/>
      <c r="U352" s="100"/>
      <c r="V352" s="100"/>
      <c r="W352" s="100"/>
      <c r="X352" s="100"/>
      <c r="Y352" s="83"/>
      <c r="Z352" s="304"/>
      <c r="AA352" s="304"/>
      <c r="AB352" s="304"/>
      <c r="AC352" s="304"/>
      <c r="AD352" s="304"/>
      <c r="AE352" s="304"/>
      <c r="AF352" s="304"/>
      <c r="AG352" s="304"/>
      <c r="AH352" s="304"/>
      <c r="AI352" s="304"/>
      <c r="AJ352" s="304"/>
      <c r="AK352" s="304"/>
      <c r="AL352" s="304"/>
      <c r="AM352" s="304"/>
      <c r="AN352" s="304"/>
      <c r="AO352" s="304"/>
      <c r="AP352" s="304"/>
      <c r="AQ352" s="304"/>
      <c r="AR352" s="304"/>
      <c r="AS352" s="304"/>
      <c r="AT352" s="304"/>
      <c r="AU352" s="304"/>
      <c r="AV352" s="304"/>
      <c r="AW352" s="304"/>
      <c r="AX352" s="304"/>
      <c r="AY352" s="304"/>
      <c r="AZ352" s="304"/>
      <c r="BA352" s="304"/>
      <c r="BB352" s="304"/>
      <c r="BC352" s="304"/>
      <c r="BD352" s="304"/>
      <c r="BE352" s="304"/>
      <c r="BF352" s="304"/>
      <c r="BG352" s="304"/>
      <c r="BH352" s="304"/>
      <c r="BI352" s="304"/>
      <c r="BJ352" s="304"/>
      <c r="BK352" s="304"/>
      <c r="BL352" s="304"/>
      <c r="BM352" s="304"/>
      <c r="BN352" s="304"/>
      <c r="BO352" s="304"/>
      <c r="BP352" s="304"/>
      <c r="BQ352" s="304"/>
      <c r="BR352" s="304"/>
      <c r="BS352" s="304"/>
      <c r="BT352" s="304"/>
      <c r="BU352" s="304"/>
      <c r="BV352" s="304"/>
      <c r="BW352" s="304"/>
      <c r="BX352" s="304"/>
      <c r="BY352" s="304"/>
      <c r="BZ352" s="304"/>
      <c r="CA352" s="304"/>
      <c r="CB352" s="304"/>
      <c r="CC352" s="304"/>
      <c r="CD352" s="304"/>
      <c r="CE352" s="304"/>
      <c r="CF352" s="304"/>
      <c r="CG352" s="304"/>
      <c r="CH352" s="304"/>
      <c r="CI352" s="304"/>
      <c r="CJ352" s="304"/>
      <c r="CK352" s="304"/>
      <c r="CL352" s="304"/>
      <c r="CM352" s="304"/>
      <c r="CN352" s="304"/>
      <c r="CO352" s="304"/>
      <c r="CP352" s="304"/>
    </row>
    <row r="353" spans="1:94" s="87" customFormat="1">
      <c r="A353" s="81"/>
      <c r="B353" s="83"/>
      <c r="C353" s="82"/>
      <c r="D353" s="102"/>
      <c r="E353" s="102"/>
      <c r="F353" s="102"/>
      <c r="G353" s="225"/>
      <c r="H353" s="102"/>
      <c r="I353" s="218"/>
      <c r="J353" s="102"/>
      <c r="K353" s="102" t="str">
        <f t="shared" si="30"/>
        <v/>
      </c>
      <c r="L353" s="221"/>
      <c r="M353" s="325"/>
      <c r="N353" s="94"/>
      <c r="O353" s="326"/>
      <c r="P353" s="84"/>
      <c r="Q353" s="88"/>
      <c r="R353" s="102">
        <f t="shared" si="29"/>
        <v>0</v>
      </c>
      <c r="S353" s="89"/>
      <c r="T353" s="100"/>
      <c r="U353" s="100"/>
      <c r="V353" s="100"/>
      <c r="W353" s="100"/>
      <c r="X353" s="100"/>
      <c r="Y353" s="83"/>
      <c r="Z353" s="304"/>
      <c r="AA353" s="304"/>
      <c r="AB353" s="304"/>
      <c r="AC353" s="304"/>
      <c r="AD353" s="304"/>
      <c r="AE353" s="304"/>
      <c r="AF353" s="304"/>
      <c r="AG353" s="304"/>
      <c r="AH353" s="304"/>
      <c r="AI353" s="304"/>
      <c r="AJ353" s="304"/>
      <c r="AK353" s="304"/>
      <c r="AL353" s="304"/>
      <c r="AM353" s="304"/>
      <c r="AN353" s="304"/>
      <c r="AO353" s="304"/>
      <c r="AP353" s="304"/>
      <c r="AQ353" s="304"/>
      <c r="AR353" s="304"/>
      <c r="AS353" s="304"/>
      <c r="AT353" s="304"/>
      <c r="AU353" s="304"/>
      <c r="AV353" s="304"/>
      <c r="AW353" s="304"/>
      <c r="AX353" s="304"/>
      <c r="AY353" s="304"/>
      <c r="AZ353" s="304"/>
      <c r="BA353" s="304"/>
      <c r="BB353" s="304"/>
      <c r="BC353" s="304"/>
      <c r="BD353" s="304"/>
      <c r="BE353" s="304"/>
      <c r="BF353" s="304"/>
      <c r="BG353" s="304"/>
      <c r="BH353" s="304"/>
      <c r="BI353" s="304"/>
      <c r="BJ353" s="304"/>
      <c r="BK353" s="304"/>
      <c r="BL353" s="304"/>
      <c r="BM353" s="304"/>
      <c r="BN353" s="304"/>
      <c r="BO353" s="304"/>
      <c r="BP353" s="304"/>
      <c r="BQ353" s="304"/>
      <c r="BR353" s="304"/>
      <c r="BS353" s="304"/>
      <c r="BT353" s="304"/>
      <c r="BU353" s="304"/>
      <c r="BV353" s="304"/>
      <c r="BW353" s="304"/>
      <c r="BX353" s="304"/>
      <c r="BY353" s="304"/>
      <c r="BZ353" s="304"/>
      <c r="CA353" s="304"/>
      <c r="CB353" s="304"/>
      <c r="CC353" s="304"/>
      <c r="CD353" s="304"/>
      <c r="CE353" s="304"/>
      <c r="CF353" s="304"/>
      <c r="CG353" s="304"/>
      <c r="CH353" s="304"/>
      <c r="CI353" s="304"/>
      <c r="CJ353" s="304"/>
      <c r="CK353" s="304"/>
      <c r="CL353" s="304"/>
      <c r="CM353" s="304"/>
      <c r="CN353" s="304"/>
      <c r="CO353" s="304"/>
      <c r="CP353" s="304"/>
    </row>
    <row r="354" spans="1:94" s="87" customFormat="1">
      <c r="A354" s="81"/>
      <c r="B354" s="83"/>
      <c r="C354" s="82"/>
      <c r="D354" s="102"/>
      <c r="E354" s="102"/>
      <c r="F354" s="102"/>
      <c r="G354" s="225"/>
      <c r="H354" s="102"/>
      <c r="I354" s="218"/>
      <c r="J354" s="102"/>
      <c r="K354" s="102" t="str">
        <f t="shared" si="30"/>
        <v/>
      </c>
      <c r="L354" s="221"/>
      <c r="M354" s="325"/>
      <c r="N354" s="94"/>
      <c r="O354" s="326"/>
      <c r="P354" s="84"/>
      <c r="Q354" s="88"/>
      <c r="R354" s="102">
        <f t="shared" si="29"/>
        <v>0</v>
      </c>
      <c r="S354" s="89"/>
      <c r="T354" s="100"/>
      <c r="U354" s="100"/>
      <c r="V354" s="100"/>
      <c r="W354" s="100"/>
      <c r="X354" s="100"/>
      <c r="Y354" s="83"/>
      <c r="Z354" s="304"/>
      <c r="AA354" s="304"/>
      <c r="AB354" s="304"/>
      <c r="AC354" s="304"/>
      <c r="AD354" s="304"/>
      <c r="AE354" s="304"/>
      <c r="AF354" s="304"/>
      <c r="AG354" s="304"/>
      <c r="AH354" s="304"/>
      <c r="AI354" s="304"/>
      <c r="AJ354" s="304"/>
      <c r="AK354" s="304"/>
      <c r="AL354" s="304"/>
      <c r="AM354" s="304"/>
      <c r="AN354" s="304"/>
      <c r="AO354" s="304"/>
      <c r="AP354" s="304"/>
      <c r="AQ354" s="304"/>
      <c r="AR354" s="304"/>
      <c r="AS354" s="304"/>
      <c r="AT354" s="304"/>
      <c r="AU354" s="304"/>
      <c r="AV354" s="304"/>
      <c r="AW354" s="304"/>
      <c r="AX354" s="304"/>
      <c r="AY354" s="304"/>
      <c r="AZ354" s="304"/>
      <c r="BA354" s="304"/>
      <c r="BB354" s="304"/>
      <c r="BC354" s="304"/>
      <c r="BD354" s="304"/>
      <c r="BE354" s="304"/>
      <c r="BF354" s="304"/>
      <c r="BG354" s="304"/>
      <c r="BH354" s="304"/>
      <c r="BI354" s="304"/>
      <c r="BJ354" s="304"/>
      <c r="BK354" s="304"/>
      <c r="BL354" s="304"/>
      <c r="BM354" s="304"/>
      <c r="BN354" s="304"/>
      <c r="BO354" s="304"/>
      <c r="BP354" s="304"/>
      <c r="BQ354" s="304"/>
      <c r="BR354" s="304"/>
      <c r="BS354" s="304"/>
      <c r="BT354" s="304"/>
      <c r="BU354" s="304"/>
      <c r="BV354" s="304"/>
      <c r="BW354" s="304"/>
      <c r="BX354" s="304"/>
      <c r="BY354" s="304"/>
      <c r="BZ354" s="304"/>
      <c r="CA354" s="304"/>
      <c r="CB354" s="304"/>
      <c r="CC354" s="304"/>
      <c r="CD354" s="304"/>
      <c r="CE354" s="304"/>
      <c r="CF354" s="304"/>
      <c r="CG354" s="304"/>
      <c r="CH354" s="304"/>
      <c r="CI354" s="304"/>
      <c r="CJ354" s="304"/>
      <c r="CK354" s="304"/>
      <c r="CL354" s="304"/>
      <c r="CM354" s="304"/>
      <c r="CN354" s="304"/>
      <c r="CO354" s="304"/>
      <c r="CP354" s="304"/>
    </row>
    <row r="355" spans="1:94" s="87" customFormat="1">
      <c r="A355" s="81"/>
      <c r="B355" s="83"/>
      <c r="C355" s="82"/>
      <c r="D355" s="102"/>
      <c r="E355" s="102"/>
      <c r="F355" s="102"/>
      <c r="G355" s="225"/>
      <c r="H355" s="102"/>
      <c r="I355" s="218"/>
      <c r="J355" s="102"/>
      <c r="K355" s="102" t="str">
        <f t="shared" si="30"/>
        <v/>
      </c>
      <c r="L355" s="221"/>
      <c r="M355" s="325"/>
      <c r="N355" s="94"/>
      <c r="O355" s="326"/>
      <c r="P355" s="84"/>
      <c r="Q355" s="88"/>
      <c r="R355" s="102">
        <f t="shared" si="29"/>
        <v>0</v>
      </c>
      <c r="S355" s="89"/>
      <c r="T355" s="100"/>
      <c r="U355" s="100"/>
      <c r="V355" s="100"/>
      <c r="W355" s="100"/>
      <c r="X355" s="100"/>
      <c r="Y355" s="83"/>
      <c r="Z355" s="304"/>
      <c r="AA355" s="304"/>
      <c r="AB355" s="304"/>
      <c r="AC355" s="304"/>
      <c r="AD355" s="304"/>
      <c r="AE355" s="304"/>
      <c r="AF355" s="304"/>
      <c r="AG355" s="304"/>
      <c r="AH355" s="304"/>
      <c r="AI355" s="304"/>
      <c r="AJ355" s="304"/>
      <c r="AK355" s="304"/>
      <c r="AL355" s="304"/>
      <c r="AM355" s="304"/>
      <c r="AN355" s="304"/>
      <c r="AO355" s="304"/>
      <c r="AP355" s="304"/>
      <c r="AQ355" s="304"/>
      <c r="AR355" s="304"/>
      <c r="AS355" s="304"/>
      <c r="AT355" s="304"/>
      <c r="AU355" s="304"/>
      <c r="AV355" s="304"/>
      <c r="AW355" s="304"/>
      <c r="AX355" s="304"/>
      <c r="AY355" s="304"/>
      <c r="AZ355" s="304"/>
      <c r="BA355" s="304"/>
      <c r="BB355" s="304"/>
      <c r="BC355" s="304"/>
      <c r="BD355" s="304"/>
      <c r="BE355" s="304"/>
      <c r="BF355" s="304"/>
      <c r="BG355" s="304"/>
      <c r="BH355" s="304"/>
      <c r="BI355" s="304"/>
      <c r="BJ355" s="304"/>
      <c r="BK355" s="304"/>
      <c r="BL355" s="304"/>
      <c r="BM355" s="304"/>
      <c r="BN355" s="304"/>
      <c r="BO355" s="304"/>
      <c r="BP355" s="304"/>
      <c r="BQ355" s="304"/>
      <c r="BR355" s="304"/>
      <c r="BS355" s="304"/>
      <c r="BT355" s="304"/>
      <c r="BU355" s="304"/>
      <c r="BV355" s="304"/>
      <c r="BW355" s="304"/>
      <c r="BX355" s="304"/>
      <c r="BY355" s="304"/>
      <c r="BZ355" s="304"/>
      <c r="CA355" s="304"/>
      <c r="CB355" s="304"/>
      <c r="CC355" s="304"/>
      <c r="CD355" s="304"/>
      <c r="CE355" s="304"/>
      <c r="CF355" s="304"/>
      <c r="CG355" s="304"/>
      <c r="CH355" s="304"/>
      <c r="CI355" s="304"/>
      <c r="CJ355" s="304"/>
      <c r="CK355" s="304"/>
      <c r="CL355" s="304"/>
      <c r="CM355" s="304"/>
      <c r="CN355" s="304"/>
      <c r="CO355" s="304"/>
      <c r="CP355" s="304"/>
    </row>
    <row r="356" spans="1:94" s="87" customFormat="1">
      <c r="A356" s="81"/>
      <c r="B356" s="83"/>
      <c r="C356" s="82"/>
      <c r="D356" s="102"/>
      <c r="E356" s="102"/>
      <c r="F356" s="102"/>
      <c r="G356" s="225"/>
      <c r="H356" s="102"/>
      <c r="I356" s="218"/>
      <c r="J356" s="102"/>
      <c r="K356" s="102" t="str">
        <f t="shared" si="30"/>
        <v/>
      </c>
      <c r="L356" s="221"/>
      <c r="M356" s="325"/>
      <c r="N356" s="94"/>
      <c r="O356" s="326"/>
      <c r="P356" s="84"/>
      <c r="Q356" s="88"/>
      <c r="R356" s="102">
        <f t="shared" si="29"/>
        <v>0</v>
      </c>
      <c r="S356" s="89"/>
      <c r="T356" s="100"/>
      <c r="U356" s="100"/>
      <c r="V356" s="100"/>
      <c r="W356" s="100"/>
      <c r="X356" s="100"/>
      <c r="Y356" s="83"/>
      <c r="Z356" s="304"/>
      <c r="AA356" s="304"/>
      <c r="AB356" s="304"/>
      <c r="AC356" s="304"/>
      <c r="AD356" s="304"/>
      <c r="AE356" s="304"/>
      <c r="AF356" s="304"/>
      <c r="AG356" s="304"/>
      <c r="AH356" s="304"/>
      <c r="AI356" s="304"/>
      <c r="AJ356" s="304"/>
      <c r="AK356" s="304"/>
      <c r="AL356" s="304"/>
      <c r="AM356" s="304"/>
      <c r="AN356" s="304"/>
      <c r="AO356" s="304"/>
      <c r="AP356" s="304"/>
      <c r="AQ356" s="304"/>
      <c r="AR356" s="304"/>
      <c r="AS356" s="304"/>
      <c r="AT356" s="304"/>
      <c r="AU356" s="304"/>
      <c r="AV356" s="304"/>
      <c r="AW356" s="304"/>
      <c r="AX356" s="304"/>
      <c r="AY356" s="304"/>
      <c r="AZ356" s="304"/>
      <c r="BA356" s="304"/>
      <c r="BB356" s="304"/>
      <c r="BC356" s="304"/>
      <c r="BD356" s="304"/>
      <c r="BE356" s="304"/>
      <c r="BF356" s="304"/>
      <c r="BG356" s="304"/>
      <c r="BH356" s="304"/>
      <c r="BI356" s="304"/>
      <c r="BJ356" s="304"/>
      <c r="BK356" s="304"/>
      <c r="BL356" s="304"/>
      <c r="BM356" s="304"/>
      <c r="BN356" s="304"/>
      <c r="BO356" s="304"/>
      <c r="BP356" s="304"/>
      <c r="BQ356" s="304"/>
      <c r="BR356" s="304"/>
      <c r="BS356" s="304"/>
      <c r="BT356" s="304"/>
      <c r="BU356" s="304"/>
      <c r="BV356" s="304"/>
      <c r="BW356" s="304"/>
      <c r="BX356" s="304"/>
      <c r="BY356" s="304"/>
      <c r="BZ356" s="304"/>
      <c r="CA356" s="304"/>
      <c r="CB356" s="304"/>
      <c r="CC356" s="304"/>
      <c r="CD356" s="304"/>
      <c r="CE356" s="304"/>
      <c r="CF356" s="304"/>
      <c r="CG356" s="304"/>
      <c r="CH356" s="304"/>
      <c r="CI356" s="304"/>
      <c r="CJ356" s="304"/>
      <c r="CK356" s="304"/>
      <c r="CL356" s="304"/>
      <c r="CM356" s="304"/>
      <c r="CN356" s="304"/>
      <c r="CO356" s="304"/>
      <c r="CP356" s="304"/>
    </row>
    <row r="357" spans="1:94" s="87" customFormat="1">
      <c r="A357" s="81"/>
      <c r="B357" s="83"/>
      <c r="C357" s="82"/>
      <c r="D357" s="102"/>
      <c r="E357" s="102"/>
      <c r="F357" s="102"/>
      <c r="G357" s="225"/>
      <c r="H357" s="102"/>
      <c r="I357" s="218"/>
      <c r="J357" s="102"/>
      <c r="K357" s="102" t="str">
        <f t="shared" si="30"/>
        <v/>
      </c>
      <c r="L357" s="221"/>
      <c r="M357" s="325"/>
      <c r="N357" s="94"/>
      <c r="O357" s="326"/>
      <c r="P357" s="84"/>
      <c r="Q357" s="88"/>
      <c r="R357" s="102">
        <f t="shared" si="29"/>
        <v>0</v>
      </c>
      <c r="S357" s="89"/>
      <c r="T357" s="100"/>
      <c r="U357" s="100"/>
      <c r="V357" s="100"/>
      <c r="W357" s="100"/>
      <c r="X357" s="100"/>
      <c r="Y357" s="83"/>
      <c r="Z357" s="304"/>
      <c r="AA357" s="304"/>
      <c r="AB357" s="304"/>
      <c r="AC357" s="304"/>
      <c r="AD357" s="304"/>
      <c r="AE357" s="304"/>
      <c r="AF357" s="304"/>
      <c r="AG357" s="304"/>
      <c r="AH357" s="304"/>
      <c r="AI357" s="304"/>
      <c r="AJ357" s="304"/>
      <c r="AK357" s="304"/>
      <c r="AL357" s="304"/>
      <c r="AM357" s="304"/>
      <c r="AN357" s="304"/>
      <c r="AO357" s="304"/>
      <c r="AP357" s="304"/>
      <c r="AQ357" s="304"/>
      <c r="AR357" s="304"/>
      <c r="AS357" s="304"/>
      <c r="AT357" s="304"/>
      <c r="AU357" s="304"/>
      <c r="AV357" s="304"/>
      <c r="AW357" s="304"/>
      <c r="AX357" s="304"/>
      <c r="AY357" s="304"/>
      <c r="AZ357" s="304"/>
      <c r="BA357" s="304"/>
      <c r="BB357" s="304"/>
      <c r="BC357" s="304"/>
      <c r="BD357" s="304"/>
      <c r="BE357" s="304"/>
      <c r="BF357" s="304"/>
      <c r="BG357" s="304"/>
      <c r="BH357" s="304"/>
      <c r="BI357" s="304"/>
      <c r="BJ357" s="304"/>
      <c r="BK357" s="304"/>
      <c r="BL357" s="304"/>
      <c r="BM357" s="304"/>
      <c r="BN357" s="304"/>
      <c r="BO357" s="304"/>
      <c r="BP357" s="304"/>
      <c r="BQ357" s="304"/>
      <c r="BR357" s="304"/>
      <c r="BS357" s="304"/>
      <c r="BT357" s="304"/>
      <c r="BU357" s="304"/>
      <c r="BV357" s="304"/>
      <c r="BW357" s="304"/>
      <c r="BX357" s="304"/>
      <c r="BY357" s="304"/>
      <c r="BZ357" s="304"/>
      <c r="CA357" s="304"/>
      <c r="CB357" s="304"/>
      <c r="CC357" s="304"/>
      <c r="CD357" s="304"/>
      <c r="CE357" s="304"/>
      <c r="CF357" s="304"/>
      <c r="CG357" s="304"/>
      <c r="CH357" s="304"/>
      <c r="CI357" s="304"/>
      <c r="CJ357" s="304"/>
      <c r="CK357" s="304"/>
      <c r="CL357" s="304"/>
      <c r="CM357" s="304"/>
      <c r="CN357" s="304"/>
      <c r="CO357" s="304"/>
      <c r="CP357" s="304"/>
    </row>
    <row r="358" spans="1:94" s="87" customFormat="1">
      <c r="A358" s="81"/>
      <c r="B358" s="83"/>
      <c r="C358" s="82"/>
      <c r="D358" s="102"/>
      <c r="E358" s="102"/>
      <c r="F358" s="102"/>
      <c r="G358" s="225"/>
      <c r="H358" s="102"/>
      <c r="I358" s="218"/>
      <c r="J358" s="102"/>
      <c r="K358" s="102" t="str">
        <f t="shared" si="30"/>
        <v/>
      </c>
      <c r="L358" s="221"/>
      <c r="M358" s="325"/>
      <c r="N358" s="94"/>
      <c r="O358" s="326"/>
      <c r="P358" s="84"/>
      <c r="Q358" s="88"/>
      <c r="R358" s="102">
        <f t="shared" si="29"/>
        <v>0</v>
      </c>
      <c r="S358" s="89"/>
      <c r="T358" s="100"/>
      <c r="U358" s="100"/>
      <c r="V358" s="100"/>
      <c r="W358" s="100"/>
      <c r="X358" s="100"/>
      <c r="Y358" s="83"/>
      <c r="Z358" s="304"/>
      <c r="AA358" s="304"/>
      <c r="AB358" s="304"/>
      <c r="AC358" s="304"/>
      <c r="AD358" s="304"/>
      <c r="AE358" s="304"/>
      <c r="AF358" s="304"/>
      <c r="AG358" s="304"/>
      <c r="AH358" s="304"/>
      <c r="AI358" s="304"/>
      <c r="AJ358" s="304"/>
      <c r="AK358" s="304"/>
      <c r="AL358" s="304"/>
      <c r="AM358" s="304"/>
      <c r="AN358" s="304"/>
      <c r="AO358" s="304"/>
      <c r="AP358" s="304"/>
      <c r="AQ358" s="304"/>
      <c r="AR358" s="304"/>
      <c r="AS358" s="304"/>
      <c r="AT358" s="304"/>
      <c r="AU358" s="304"/>
      <c r="AV358" s="304"/>
      <c r="AW358" s="304"/>
      <c r="AX358" s="304"/>
      <c r="AY358" s="304"/>
      <c r="AZ358" s="304"/>
      <c r="BA358" s="304"/>
      <c r="BB358" s="304"/>
      <c r="BC358" s="304"/>
      <c r="BD358" s="304"/>
      <c r="BE358" s="304"/>
      <c r="BF358" s="304"/>
      <c r="BG358" s="304"/>
      <c r="BH358" s="304"/>
      <c r="BI358" s="304"/>
      <c r="BJ358" s="304"/>
      <c r="BK358" s="304"/>
      <c r="BL358" s="304"/>
      <c r="BM358" s="304"/>
      <c r="BN358" s="304"/>
      <c r="BO358" s="304"/>
      <c r="BP358" s="304"/>
      <c r="BQ358" s="304"/>
      <c r="BR358" s="304"/>
      <c r="BS358" s="304"/>
      <c r="BT358" s="304"/>
      <c r="BU358" s="304"/>
      <c r="BV358" s="304"/>
      <c r="BW358" s="304"/>
      <c r="BX358" s="304"/>
      <c r="BY358" s="304"/>
      <c r="BZ358" s="304"/>
      <c r="CA358" s="304"/>
      <c r="CB358" s="304"/>
      <c r="CC358" s="304"/>
      <c r="CD358" s="304"/>
      <c r="CE358" s="304"/>
      <c r="CF358" s="304"/>
      <c r="CG358" s="304"/>
      <c r="CH358" s="304"/>
      <c r="CI358" s="304"/>
      <c r="CJ358" s="304"/>
      <c r="CK358" s="304"/>
      <c r="CL358" s="304"/>
      <c r="CM358" s="304"/>
      <c r="CN358" s="304"/>
      <c r="CO358" s="304"/>
      <c r="CP358" s="304"/>
    </row>
    <row r="359" spans="1:94" s="87" customFormat="1">
      <c r="A359" s="81"/>
      <c r="B359" s="83"/>
      <c r="C359" s="82"/>
      <c r="D359" s="102"/>
      <c r="E359" s="102"/>
      <c r="F359" s="102"/>
      <c r="G359" s="225"/>
      <c r="H359" s="102"/>
      <c r="I359" s="218"/>
      <c r="J359" s="102"/>
      <c r="K359" s="102" t="str">
        <f t="shared" si="30"/>
        <v/>
      </c>
      <c r="L359" s="221"/>
      <c r="M359" s="325"/>
      <c r="N359" s="94"/>
      <c r="O359" s="326"/>
      <c r="P359" s="84"/>
      <c r="Q359" s="88"/>
      <c r="R359" s="102">
        <f t="shared" si="29"/>
        <v>0</v>
      </c>
      <c r="S359" s="89"/>
      <c r="T359" s="100"/>
      <c r="U359" s="100"/>
      <c r="V359" s="100"/>
      <c r="W359" s="100"/>
      <c r="X359" s="100"/>
      <c r="Y359" s="83"/>
      <c r="Z359" s="304"/>
      <c r="AA359" s="304"/>
      <c r="AB359" s="304"/>
      <c r="AC359" s="304"/>
      <c r="AD359" s="304"/>
      <c r="AE359" s="304"/>
      <c r="AF359" s="304"/>
      <c r="AG359" s="304"/>
      <c r="AH359" s="304"/>
      <c r="AI359" s="304"/>
      <c r="AJ359" s="304"/>
      <c r="AK359" s="304"/>
      <c r="AL359" s="304"/>
      <c r="AM359" s="304"/>
      <c r="AN359" s="304"/>
      <c r="AO359" s="304"/>
      <c r="AP359" s="304"/>
      <c r="AQ359" s="304"/>
      <c r="AR359" s="304"/>
      <c r="AS359" s="304"/>
      <c r="AT359" s="304"/>
      <c r="AU359" s="304"/>
      <c r="AV359" s="304"/>
      <c r="AW359" s="304"/>
      <c r="AX359" s="304"/>
      <c r="AY359" s="304"/>
      <c r="AZ359" s="304"/>
      <c r="BA359" s="304"/>
      <c r="BB359" s="304"/>
      <c r="BC359" s="304"/>
      <c r="BD359" s="304"/>
      <c r="BE359" s="304"/>
      <c r="BF359" s="304"/>
      <c r="BG359" s="304"/>
      <c r="BH359" s="304"/>
      <c r="BI359" s="304"/>
      <c r="BJ359" s="304"/>
      <c r="BK359" s="304"/>
      <c r="BL359" s="304"/>
      <c r="BM359" s="304"/>
      <c r="BN359" s="304"/>
      <c r="BO359" s="304"/>
      <c r="BP359" s="304"/>
      <c r="BQ359" s="304"/>
      <c r="BR359" s="304"/>
      <c r="BS359" s="304"/>
      <c r="BT359" s="304"/>
      <c r="BU359" s="304"/>
      <c r="BV359" s="304"/>
      <c r="BW359" s="304"/>
      <c r="BX359" s="304"/>
      <c r="BY359" s="304"/>
      <c r="BZ359" s="304"/>
      <c r="CA359" s="304"/>
      <c r="CB359" s="304"/>
      <c r="CC359" s="304"/>
      <c r="CD359" s="304"/>
      <c r="CE359" s="304"/>
      <c r="CF359" s="304"/>
      <c r="CG359" s="304"/>
      <c r="CH359" s="304"/>
      <c r="CI359" s="304"/>
      <c r="CJ359" s="304"/>
      <c r="CK359" s="304"/>
      <c r="CL359" s="304"/>
      <c r="CM359" s="304"/>
      <c r="CN359" s="304"/>
      <c r="CO359" s="304"/>
      <c r="CP359" s="304"/>
    </row>
    <row r="360" spans="1:94" s="87" customFormat="1">
      <c r="A360" s="81"/>
      <c r="B360" s="83"/>
      <c r="C360" s="82"/>
      <c r="D360" s="102"/>
      <c r="E360" s="102"/>
      <c r="F360" s="102"/>
      <c r="G360" s="225"/>
      <c r="H360" s="102"/>
      <c r="I360" s="218"/>
      <c r="J360" s="102"/>
      <c r="K360" s="102" t="str">
        <f t="shared" si="30"/>
        <v/>
      </c>
      <c r="L360" s="221"/>
      <c r="M360" s="325"/>
      <c r="N360" s="94"/>
      <c r="O360" s="326"/>
      <c r="P360" s="84"/>
      <c r="Q360" s="88"/>
      <c r="R360" s="102">
        <f t="shared" si="29"/>
        <v>0</v>
      </c>
      <c r="S360" s="89"/>
      <c r="T360" s="100"/>
      <c r="U360" s="100"/>
      <c r="V360" s="100"/>
      <c r="W360" s="100"/>
      <c r="X360" s="100"/>
      <c r="Y360" s="83"/>
      <c r="Z360" s="304"/>
      <c r="AA360" s="304"/>
      <c r="AB360" s="304"/>
      <c r="AC360" s="304"/>
      <c r="AD360" s="304"/>
      <c r="AE360" s="304"/>
      <c r="AF360" s="304"/>
      <c r="AG360" s="304"/>
      <c r="AH360" s="304"/>
      <c r="AI360" s="304"/>
      <c r="AJ360" s="304"/>
      <c r="AK360" s="304"/>
      <c r="AL360" s="304"/>
      <c r="AM360" s="304"/>
      <c r="AN360" s="304"/>
      <c r="AO360" s="304"/>
      <c r="AP360" s="304"/>
      <c r="AQ360" s="304"/>
      <c r="AR360" s="304"/>
      <c r="AS360" s="304"/>
      <c r="AT360" s="304"/>
      <c r="AU360" s="304"/>
      <c r="AV360" s="304"/>
      <c r="AW360" s="304"/>
      <c r="AX360" s="304"/>
      <c r="AY360" s="304"/>
      <c r="AZ360" s="304"/>
      <c r="BA360" s="304"/>
      <c r="BB360" s="304"/>
      <c r="BC360" s="304"/>
      <c r="BD360" s="304"/>
      <c r="BE360" s="304"/>
      <c r="BF360" s="304"/>
      <c r="BG360" s="304"/>
      <c r="BH360" s="304"/>
      <c r="BI360" s="304"/>
      <c r="BJ360" s="304"/>
      <c r="BK360" s="304"/>
      <c r="BL360" s="304"/>
      <c r="BM360" s="304"/>
      <c r="BN360" s="304"/>
      <c r="BO360" s="304"/>
      <c r="BP360" s="304"/>
      <c r="BQ360" s="304"/>
      <c r="BR360" s="304"/>
      <c r="BS360" s="304"/>
      <c r="BT360" s="304"/>
      <c r="BU360" s="304"/>
      <c r="BV360" s="304"/>
      <c r="BW360" s="304"/>
      <c r="BX360" s="304"/>
      <c r="BY360" s="304"/>
      <c r="BZ360" s="304"/>
      <c r="CA360" s="304"/>
      <c r="CB360" s="304"/>
      <c r="CC360" s="304"/>
      <c r="CD360" s="304"/>
      <c r="CE360" s="304"/>
      <c r="CF360" s="304"/>
      <c r="CG360" s="304"/>
      <c r="CH360" s="304"/>
      <c r="CI360" s="304"/>
      <c r="CJ360" s="304"/>
      <c r="CK360" s="304"/>
      <c r="CL360" s="304"/>
      <c r="CM360" s="304"/>
      <c r="CN360" s="304"/>
      <c r="CO360" s="304"/>
      <c r="CP360" s="304"/>
    </row>
    <row r="361" spans="1:94" s="87" customFormat="1">
      <c r="A361" s="81"/>
      <c r="B361" s="83"/>
      <c r="C361" s="82"/>
      <c r="D361" s="102"/>
      <c r="E361" s="102"/>
      <c r="F361" s="102"/>
      <c r="G361" s="225"/>
      <c r="H361" s="102"/>
      <c r="I361" s="218"/>
      <c r="J361" s="102"/>
      <c r="K361" s="102" t="str">
        <f t="shared" si="30"/>
        <v/>
      </c>
      <c r="L361" s="221"/>
      <c r="M361" s="325"/>
      <c r="N361" s="94"/>
      <c r="O361" s="326"/>
      <c r="P361" s="84"/>
      <c r="Q361" s="88"/>
      <c r="R361" s="102">
        <f t="shared" si="29"/>
        <v>0</v>
      </c>
      <c r="S361" s="89"/>
      <c r="T361" s="100"/>
      <c r="U361" s="100"/>
      <c r="V361" s="100"/>
      <c r="W361" s="100"/>
      <c r="X361" s="100"/>
      <c r="Y361" s="83"/>
      <c r="Z361" s="304"/>
      <c r="AA361" s="304"/>
      <c r="AB361" s="304"/>
      <c r="AC361" s="304"/>
      <c r="AD361" s="304"/>
      <c r="AE361" s="304"/>
      <c r="AF361" s="304"/>
      <c r="AG361" s="304"/>
      <c r="AH361" s="304"/>
      <c r="AI361" s="304"/>
      <c r="AJ361" s="304"/>
      <c r="AK361" s="304"/>
      <c r="AL361" s="304"/>
      <c r="AM361" s="304"/>
      <c r="AN361" s="304"/>
      <c r="AO361" s="304"/>
      <c r="AP361" s="304"/>
      <c r="AQ361" s="304"/>
      <c r="AR361" s="304"/>
      <c r="AS361" s="304"/>
      <c r="AT361" s="304"/>
      <c r="AU361" s="304"/>
      <c r="AV361" s="304"/>
      <c r="AW361" s="304"/>
      <c r="AX361" s="304"/>
      <c r="AY361" s="304"/>
      <c r="AZ361" s="304"/>
      <c r="BA361" s="304"/>
      <c r="BB361" s="304"/>
      <c r="BC361" s="304"/>
      <c r="BD361" s="304"/>
      <c r="BE361" s="304"/>
      <c r="BF361" s="304"/>
      <c r="BG361" s="304"/>
      <c r="BH361" s="304"/>
      <c r="BI361" s="304"/>
      <c r="BJ361" s="304"/>
      <c r="BK361" s="304"/>
      <c r="BL361" s="304"/>
      <c r="BM361" s="304"/>
      <c r="BN361" s="304"/>
      <c r="BO361" s="304"/>
      <c r="BP361" s="304"/>
      <c r="BQ361" s="304"/>
      <c r="BR361" s="304"/>
      <c r="BS361" s="304"/>
      <c r="BT361" s="304"/>
      <c r="BU361" s="304"/>
      <c r="BV361" s="304"/>
      <c r="BW361" s="304"/>
      <c r="BX361" s="304"/>
      <c r="BY361" s="304"/>
      <c r="BZ361" s="304"/>
      <c r="CA361" s="304"/>
      <c r="CB361" s="304"/>
      <c r="CC361" s="304"/>
      <c r="CD361" s="304"/>
      <c r="CE361" s="304"/>
      <c r="CF361" s="304"/>
      <c r="CG361" s="304"/>
      <c r="CH361" s="304"/>
      <c r="CI361" s="304"/>
      <c r="CJ361" s="304"/>
      <c r="CK361" s="304"/>
      <c r="CL361" s="304"/>
      <c r="CM361" s="304"/>
      <c r="CN361" s="304"/>
      <c r="CO361" s="304"/>
      <c r="CP361" s="304"/>
    </row>
    <row r="362" spans="1:94" s="87" customFormat="1">
      <c r="A362" s="81"/>
      <c r="B362" s="83"/>
      <c r="C362" s="82"/>
      <c r="D362" s="102"/>
      <c r="E362" s="102"/>
      <c r="F362" s="102"/>
      <c r="G362" s="225"/>
      <c r="H362" s="102"/>
      <c r="I362" s="218"/>
      <c r="J362" s="102"/>
      <c r="K362" s="102" t="str">
        <f t="shared" si="30"/>
        <v/>
      </c>
      <c r="L362" s="221"/>
      <c r="M362" s="325"/>
      <c r="N362" s="94"/>
      <c r="O362" s="326"/>
      <c r="P362" s="84"/>
      <c r="Q362" s="88"/>
      <c r="R362" s="102">
        <f t="shared" si="29"/>
        <v>0</v>
      </c>
      <c r="S362" s="89"/>
      <c r="T362" s="100"/>
      <c r="U362" s="100"/>
      <c r="V362" s="100"/>
      <c r="W362" s="100"/>
      <c r="X362" s="100"/>
      <c r="Y362" s="83"/>
      <c r="Z362" s="304"/>
      <c r="AA362" s="304"/>
      <c r="AB362" s="304"/>
      <c r="AC362" s="304"/>
      <c r="AD362" s="304"/>
      <c r="AE362" s="304"/>
      <c r="AF362" s="304"/>
      <c r="AG362" s="304"/>
      <c r="AH362" s="304"/>
      <c r="AI362" s="304"/>
      <c r="AJ362" s="304"/>
      <c r="AK362" s="304"/>
      <c r="AL362" s="304"/>
      <c r="AM362" s="304"/>
      <c r="AN362" s="304"/>
      <c r="AO362" s="304"/>
      <c r="AP362" s="304"/>
      <c r="AQ362" s="304"/>
      <c r="AR362" s="304"/>
      <c r="AS362" s="304"/>
      <c r="AT362" s="304"/>
      <c r="AU362" s="304"/>
      <c r="AV362" s="304"/>
      <c r="AW362" s="304"/>
      <c r="AX362" s="304"/>
      <c r="AY362" s="304"/>
      <c r="AZ362" s="304"/>
      <c r="BA362" s="304"/>
      <c r="BB362" s="304"/>
      <c r="BC362" s="304"/>
      <c r="BD362" s="304"/>
      <c r="BE362" s="304"/>
      <c r="BF362" s="304"/>
      <c r="BG362" s="304"/>
      <c r="BH362" s="304"/>
      <c r="BI362" s="304"/>
      <c r="BJ362" s="304"/>
      <c r="BK362" s="304"/>
      <c r="BL362" s="304"/>
      <c r="BM362" s="304"/>
      <c r="BN362" s="304"/>
      <c r="BO362" s="304"/>
      <c r="BP362" s="304"/>
      <c r="BQ362" s="304"/>
      <c r="BR362" s="304"/>
      <c r="BS362" s="304"/>
      <c r="BT362" s="304"/>
      <c r="BU362" s="304"/>
      <c r="BV362" s="304"/>
      <c r="BW362" s="304"/>
      <c r="BX362" s="304"/>
      <c r="BY362" s="304"/>
      <c r="BZ362" s="304"/>
      <c r="CA362" s="304"/>
      <c r="CB362" s="304"/>
      <c r="CC362" s="304"/>
      <c r="CD362" s="304"/>
      <c r="CE362" s="304"/>
      <c r="CF362" s="304"/>
      <c r="CG362" s="304"/>
      <c r="CH362" s="304"/>
      <c r="CI362" s="304"/>
      <c r="CJ362" s="304"/>
      <c r="CK362" s="304"/>
      <c r="CL362" s="304"/>
      <c r="CM362" s="304"/>
      <c r="CN362" s="304"/>
      <c r="CO362" s="304"/>
      <c r="CP362" s="304"/>
    </row>
    <row r="363" spans="1:94" s="87" customFormat="1">
      <c r="A363" s="81"/>
      <c r="B363" s="83"/>
      <c r="C363" s="82"/>
      <c r="D363" s="102"/>
      <c r="E363" s="102"/>
      <c r="F363" s="102"/>
      <c r="G363" s="225"/>
      <c r="H363" s="102"/>
      <c r="I363" s="218"/>
      <c r="J363" s="102"/>
      <c r="K363" s="102" t="str">
        <f t="shared" si="30"/>
        <v/>
      </c>
      <c r="L363" s="221"/>
      <c r="M363" s="325"/>
      <c r="N363" s="94"/>
      <c r="O363" s="326"/>
      <c r="P363" s="84"/>
      <c r="Q363" s="88"/>
      <c r="R363" s="102">
        <f t="shared" si="29"/>
        <v>0</v>
      </c>
      <c r="S363" s="89"/>
      <c r="T363" s="100"/>
      <c r="U363" s="100"/>
      <c r="V363" s="100"/>
      <c r="W363" s="100"/>
      <c r="X363" s="100"/>
      <c r="Y363" s="83"/>
      <c r="Z363" s="304"/>
      <c r="AA363" s="304"/>
      <c r="AB363" s="304"/>
      <c r="AC363" s="304"/>
      <c r="AD363" s="304"/>
      <c r="AE363" s="304"/>
      <c r="AF363" s="304"/>
      <c r="AG363" s="304"/>
      <c r="AH363" s="304"/>
      <c r="AI363" s="304"/>
      <c r="AJ363" s="304"/>
      <c r="AK363" s="304"/>
      <c r="AL363" s="304"/>
      <c r="AM363" s="304"/>
      <c r="AN363" s="304"/>
      <c r="AO363" s="304"/>
      <c r="AP363" s="304"/>
      <c r="AQ363" s="304"/>
      <c r="AR363" s="304"/>
      <c r="AS363" s="304"/>
      <c r="AT363" s="304"/>
      <c r="AU363" s="304"/>
      <c r="AV363" s="304"/>
      <c r="AW363" s="304"/>
      <c r="AX363" s="304"/>
      <c r="AY363" s="304"/>
      <c r="AZ363" s="304"/>
      <c r="BA363" s="304"/>
      <c r="BB363" s="304"/>
      <c r="BC363" s="304"/>
      <c r="BD363" s="304"/>
      <c r="BE363" s="304"/>
      <c r="BF363" s="304"/>
      <c r="BG363" s="304"/>
      <c r="BH363" s="304"/>
      <c r="BI363" s="304"/>
      <c r="BJ363" s="304"/>
      <c r="BK363" s="304"/>
      <c r="BL363" s="304"/>
      <c r="BM363" s="304"/>
      <c r="BN363" s="304"/>
      <c r="BO363" s="304"/>
      <c r="BP363" s="304"/>
      <c r="BQ363" s="304"/>
      <c r="BR363" s="304"/>
      <c r="BS363" s="304"/>
      <c r="BT363" s="304"/>
      <c r="BU363" s="304"/>
      <c r="BV363" s="304"/>
      <c r="BW363" s="304"/>
      <c r="BX363" s="304"/>
      <c r="BY363" s="304"/>
      <c r="BZ363" s="304"/>
      <c r="CA363" s="304"/>
      <c r="CB363" s="304"/>
      <c r="CC363" s="304"/>
      <c r="CD363" s="304"/>
      <c r="CE363" s="304"/>
      <c r="CF363" s="304"/>
      <c r="CG363" s="304"/>
      <c r="CH363" s="304"/>
      <c r="CI363" s="304"/>
      <c r="CJ363" s="304"/>
      <c r="CK363" s="304"/>
      <c r="CL363" s="304"/>
      <c r="CM363" s="304"/>
      <c r="CN363" s="304"/>
      <c r="CO363" s="304"/>
      <c r="CP363" s="304"/>
    </row>
    <row r="364" spans="1:94" s="87" customFormat="1">
      <c r="A364" s="81"/>
      <c r="B364" s="83"/>
      <c r="C364" s="82"/>
      <c r="D364" s="102"/>
      <c r="E364" s="102"/>
      <c r="F364" s="102"/>
      <c r="G364" s="225"/>
      <c r="H364" s="102"/>
      <c r="I364" s="218"/>
      <c r="J364" s="102"/>
      <c r="K364" s="102" t="str">
        <f t="shared" si="30"/>
        <v/>
      </c>
      <c r="L364" s="221"/>
      <c r="M364" s="325"/>
      <c r="N364" s="94"/>
      <c r="O364" s="326"/>
      <c r="P364" s="84"/>
      <c r="Q364" s="88"/>
      <c r="R364" s="102">
        <f t="shared" si="29"/>
        <v>0</v>
      </c>
      <c r="S364" s="89"/>
      <c r="T364" s="100"/>
      <c r="U364" s="100"/>
      <c r="V364" s="100"/>
      <c r="W364" s="100"/>
      <c r="X364" s="100"/>
      <c r="Y364" s="83"/>
      <c r="Z364" s="304"/>
      <c r="AA364" s="304"/>
      <c r="AB364" s="304"/>
      <c r="AC364" s="304"/>
      <c r="AD364" s="304"/>
      <c r="AE364" s="304"/>
      <c r="AF364" s="304"/>
      <c r="AG364" s="304"/>
      <c r="AH364" s="304"/>
      <c r="AI364" s="304"/>
      <c r="AJ364" s="304"/>
      <c r="AK364" s="304"/>
      <c r="AL364" s="304"/>
      <c r="AM364" s="304"/>
      <c r="AN364" s="304"/>
      <c r="AO364" s="304"/>
      <c r="AP364" s="304"/>
      <c r="AQ364" s="304"/>
      <c r="AR364" s="304"/>
      <c r="AS364" s="304"/>
      <c r="AT364" s="304"/>
      <c r="AU364" s="304"/>
      <c r="AV364" s="304"/>
      <c r="AW364" s="304"/>
      <c r="AX364" s="304"/>
      <c r="AY364" s="304"/>
      <c r="AZ364" s="304"/>
      <c r="BA364" s="304"/>
      <c r="BB364" s="304"/>
      <c r="BC364" s="304"/>
      <c r="BD364" s="304"/>
      <c r="BE364" s="304"/>
      <c r="BF364" s="304"/>
      <c r="BG364" s="304"/>
      <c r="BH364" s="304"/>
      <c r="BI364" s="304"/>
      <c r="BJ364" s="304"/>
      <c r="BK364" s="304"/>
      <c r="BL364" s="304"/>
      <c r="BM364" s="304"/>
      <c r="BN364" s="304"/>
      <c r="BO364" s="304"/>
      <c r="BP364" s="304"/>
      <c r="BQ364" s="304"/>
      <c r="BR364" s="304"/>
      <c r="BS364" s="304"/>
      <c r="BT364" s="304"/>
      <c r="BU364" s="304"/>
      <c r="BV364" s="304"/>
      <c r="BW364" s="304"/>
      <c r="BX364" s="304"/>
      <c r="BY364" s="304"/>
      <c r="BZ364" s="304"/>
      <c r="CA364" s="304"/>
      <c r="CB364" s="304"/>
      <c r="CC364" s="304"/>
      <c r="CD364" s="304"/>
      <c r="CE364" s="304"/>
      <c r="CF364" s="304"/>
      <c r="CG364" s="304"/>
      <c r="CH364" s="304"/>
      <c r="CI364" s="304"/>
      <c r="CJ364" s="304"/>
      <c r="CK364" s="304"/>
      <c r="CL364" s="304"/>
      <c r="CM364" s="304"/>
      <c r="CN364" s="304"/>
      <c r="CO364" s="304"/>
      <c r="CP364" s="304"/>
    </row>
    <row r="365" spans="1:94" s="87" customFormat="1">
      <c r="A365" s="81"/>
      <c r="B365" s="83"/>
      <c r="C365" s="82"/>
      <c r="D365" s="102"/>
      <c r="E365" s="102"/>
      <c r="F365" s="102"/>
      <c r="G365" s="225"/>
      <c r="H365" s="102"/>
      <c r="I365" s="218"/>
      <c r="J365" s="102"/>
      <c r="K365" s="102" t="str">
        <f t="shared" si="30"/>
        <v/>
      </c>
      <c r="L365" s="221"/>
      <c r="M365" s="325"/>
      <c r="N365" s="94"/>
      <c r="O365" s="326"/>
      <c r="P365" s="84"/>
      <c r="Q365" s="88"/>
      <c r="R365" s="102">
        <f t="shared" si="29"/>
        <v>0</v>
      </c>
      <c r="S365" s="89"/>
      <c r="T365" s="100"/>
      <c r="U365" s="100"/>
      <c r="V365" s="100"/>
      <c r="W365" s="100"/>
      <c r="X365" s="100"/>
      <c r="Y365" s="83"/>
      <c r="Z365" s="304"/>
      <c r="AA365" s="304"/>
      <c r="AB365" s="304"/>
      <c r="AC365" s="304"/>
      <c r="AD365" s="304"/>
      <c r="AE365" s="304"/>
      <c r="AF365" s="304"/>
      <c r="AG365" s="304"/>
      <c r="AH365" s="304"/>
      <c r="AI365" s="304"/>
      <c r="AJ365" s="304"/>
      <c r="AK365" s="304"/>
      <c r="AL365" s="304"/>
      <c r="AM365" s="304"/>
      <c r="AN365" s="304"/>
      <c r="AO365" s="304"/>
      <c r="AP365" s="304"/>
      <c r="AQ365" s="304"/>
      <c r="AR365" s="304"/>
      <c r="AS365" s="304"/>
      <c r="AT365" s="304"/>
      <c r="AU365" s="304"/>
      <c r="AV365" s="304"/>
      <c r="AW365" s="304"/>
      <c r="AX365" s="304"/>
      <c r="AY365" s="304"/>
      <c r="AZ365" s="304"/>
      <c r="BA365" s="304"/>
      <c r="BB365" s="304"/>
      <c r="BC365" s="304"/>
      <c r="BD365" s="304"/>
      <c r="BE365" s="304"/>
      <c r="BF365" s="304"/>
      <c r="BG365" s="304"/>
      <c r="BH365" s="304"/>
      <c r="BI365" s="304"/>
      <c r="BJ365" s="304"/>
      <c r="BK365" s="304"/>
      <c r="BL365" s="304"/>
      <c r="BM365" s="304"/>
      <c r="BN365" s="304"/>
      <c r="BO365" s="304"/>
      <c r="BP365" s="304"/>
      <c r="BQ365" s="304"/>
      <c r="BR365" s="304"/>
      <c r="BS365" s="304"/>
      <c r="BT365" s="304"/>
      <c r="BU365" s="304"/>
      <c r="BV365" s="304"/>
      <c r="BW365" s="304"/>
      <c r="BX365" s="304"/>
      <c r="BY365" s="304"/>
      <c r="BZ365" s="304"/>
      <c r="CA365" s="304"/>
      <c r="CB365" s="304"/>
      <c r="CC365" s="304"/>
      <c r="CD365" s="304"/>
      <c r="CE365" s="304"/>
      <c r="CF365" s="304"/>
      <c r="CG365" s="304"/>
      <c r="CH365" s="304"/>
      <c r="CI365" s="304"/>
      <c r="CJ365" s="304"/>
      <c r="CK365" s="304"/>
      <c r="CL365" s="304"/>
      <c r="CM365" s="304"/>
      <c r="CN365" s="304"/>
      <c r="CO365" s="304"/>
      <c r="CP365" s="304"/>
    </row>
    <row r="366" spans="1:94" s="87" customFormat="1">
      <c r="A366" s="81"/>
      <c r="B366" s="83"/>
      <c r="C366" s="82"/>
      <c r="D366" s="102"/>
      <c r="E366" s="102"/>
      <c r="F366" s="102"/>
      <c r="G366" s="225"/>
      <c r="H366" s="102"/>
      <c r="I366" s="218"/>
      <c r="J366" s="102"/>
      <c r="K366" s="102" t="str">
        <f t="shared" si="30"/>
        <v/>
      </c>
      <c r="L366" s="221"/>
      <c r="M366" s="325"/>
      <c r="N366" s="94"/>
      <c r="O366" s="326"/>
      <c r="P366" s="84"/>
      <c r="Q366" s="88"/>
      <c r="R366" s="102">
        <f t="shared" si="29"/>
        <v>0</v>
      </c>
      <c r="S366" s="89"/>
      <c r="T366" s="100"/>
      <c r="U366" s="100"/>
      <c r="V366" s="100"/>
      <c r="W366" s="100"/>
      <c r="X366" s="100"/>
      <c r="Y366" s="83"/>
      <c r="Z366" s="304"/>
      <c r="AA366" s="304"/>
      <c r="AB366" s="304"/>
      <c r="AC366" s="304"/>
      <c r="AD366" s="304"/>
      <c r="AE366" s="304"/>
      <c r="AF366" s="304"/>
      <c r="AG366" s="304"/>
      <c r="AH366" s="304"/>
      <c r="AI366" s="304"/>
      <c r="AJ366" s="304"/>
      <c r="AK366" s="304"/>
      <c r="AL366" s="304"/>
      <c r="AM366" s="304"/>
      <c r="AN366" s="304"/>
      <c r="AO366" s="304"/>
      <c r="AP366" s="304"/>
      <c r="AQ366" s="304"/>
      <c r="AR366" s="304"/>
      <c r="AS366" s="304"/>
      <c r="AT366" s="304"/>
      <c r="AU366" s="304"/>
      <c r="AV366" s="304"/>
      <c r="AW366" s="304"/>
      <c r="AX366" s="304"/>
      <c r="AY366" s="304"/>
      <c r="AZ366" s="304"/>
      <c r="BA366" s="304"/>
      <c r="BB366" s="304"/>
      <c r="BC366" s="304"/>
      <c r="BD366" s="304"/>
      <c r="BE366" s="304"/>
      <c r="BF366" s="304"/>
      <c r="BG366" s="304"/>
      <c r="BH366" s="304"/>
      <c r="BI366" s="304"/>
      <c r="BJ366" s="304"/>
      <c r="BK366" s="304"/>
      <c r="BL366" s="304"/>
      <c r="BM366" s="304"/>
      <c r="BN366" s="304"/>
      <c r="BO366" s="304"/>
      <c r="BP366" s="304"/>
      <c r="BQ366" s="304"/>
      <c r="BR366" s="304"/>
      <c r="BS366" s="304"/>
      <c r="BT366" s="304"/>
      <c r="BU366" s="304"/>
      <c r="BV366" s="304"/>
      <c r="BW366" s="304"/>
      <c r="BX366" s="304"/>
      <c r="BY366" s="304"/>
      <c r="BZ366" s="304"/>
      <c r="CA366" s="304"/>
      <c r="CB366" s="304"/>
      <c r="CC366" s="304"/>
      <c r="CD366" s="304"/>
      <c r="CE366" s="304"/>
      <c r="CF366" s="304"/>
      <c r="CG366" s="304"/>
      <c r="CH366" s="304"/>
      <c r="CI366" s="304"/>
      <c r="CJ366" s="304"/>
      <c r="CK366" s="304"/>
      <c r="CL366" s="304"/>
      <c r="CM366" s="304"/>
      <c r="CN366" s="304"/>
      <c r="CO366" s="304"/>
      <c r="CP366" s="304"/>
    </row>
    <row r="367" spans="1:94" s="87" customFormat="1">
      <c r="A367" s="81"/>
      <c r="B367" s="83"/>
      <c r="C367" s="82"/>
      <c r="D367" s="102"/>
      <c r="E367" s="102"/>
      <c r="F367" s="102"/>
      <c r="G367" s="225"/>
      <c r="H367" s="102"/>
      <c r="I367" s="218"/>
      <c r="J367" s="102"/>
      <c r="K367" s="102" t="str">
        <f t="shared" si="30"/>
        <v/>
      </c>
      <c r="L367" s="221"/>
      <c r="M367" s="325"/>
      <c r="N367" s="94"/>
      <c r="O367" s="326"/>
      <c r="P367" s="84"/>
      <c r="Q367" s="88"/>
      <c r="R367" s="102">
        <f t="shared" si="29"/>
        <v>0</v>
      </c>
      <c r="S367" s="89"/>
      <c r="T367" s="100"/>
      <c r="U367" s="100"/>
      <c r="V367" s="100"/>
      <c r="W367" s="100"/>
      <c r="X367" s="100"/>
      <c r="Y367" s="83"/>
      <c r="Z367" s="304"/>
      <c r="AA367" s="304"/>
      <c r="AB367" s="304"/>
      <c r="AC367" s="304"/>
      <c r="AD367" s="304"/>
      <c r="AE367" s="304"/>
      <c r="AF367" s="304"/>
      <c r="AG367" s="304"/>
      <c r="AH367" s="304"/>
      <c r="AI367" s="304"/>
      <c r="AJ367" s="304"/>
      <c r="AK367" s="304"/>
      <c r="AL367" s="304"/>
      <c r="AM367" s="304"/>
      <c r="AN367" s="304"/>
      <c r="AO367" s="304"/>
      <c r="AP367" s="304"/>
      <c r="AQ367" s="304"/>
      <c r="AR367" s="304"/>
      <c r="AS367" s="304"/>
      <c r="AT367" s="304"/>
      <c r="AU367" s="304"/>
      <c r="AV367" s="304"/>
      <c r="AW367" s="304"/>
      <c r="AX367" s="304"/>
      <c r="AY367" s="304"/>
      <c r="AZ367" s="304"/>
      <c r="BA367" s="304"/>
      <c r="BB367" s="304"/>
      <c r="BC367" s="304"/>
      <c r="BD367" s="304"/>
      <c r="BE367" s="304"/>
      <c r="BF367" s="304"/>
      <c r="BG367" s="304"/>
      <c r="BH367" s="304"/>
      <c r="BI367" s="304"/>
      <c r="BJ367" s="304"/>
      <c r="BK367" s="304"/>
      <c r="BL367" s="304"/>
      <c r="BM367" s="304"/>
      <c r="BN367" s="304"/>
      <c r="BO367" s="304"/>
      <c r="BP367" s="304"/>
      <c r="BQ367" s="304"/>
      <c r="BR367" s="304"/>
      <c r="BS367" s="304"/>
      <c r="BT367" s="304"/>
      <c r="BU367" s="304"/>
      <c r="BV367" s="304"/>
      <c r="BW367" s="304"/>
      <c r="BX367" s="304"/>
      <c r="BY367" s="304"/>
      <c r="BZ367" s="304"/>
      <c r="CA367" s="304"/>
      <c r="CB367" s="304"/>
      <c r="CC367" s="304"/>
      <c r="CD367" s="304"/>
      <c r="CE367" s="304"/>
      <c r="CF367" s="304"/>
      <c r="CG367" s="304"/>
      <c r="CH367" s="304"/>
      <c r="CI367" s="304"/>
      <c r="CJ367" s="304"/>
      <c r="CK367" s="304"/>
      <c r="CL367" s="304"/>
      <c r="CM367" s="304"/>
      <c r="CN367" s="304"/>
      <c r="CO367" s="304"/>
      <c r="CP367" s="304"/>
    </row>
    <row r="368" spans="1:94" s="87" customFormat="1">
      <c r="A368" s="81"/>
      <c r="B368" s="83"/>
      <c r="C368" s="82"/>
      <c r="D368" s="102"/>
      <c r="E368" s="102"/>
      <c r="F368" s="102"/>
      <c r="G368" s="225"/>
      <c r="H368" s="102"/>
      <c r="I368" s="218"/>
      <c r="J368" s="102"/>
      <c r="K368" s="102" t="str">
        <f t="shared" si="30"/>
        <v/>
      </c>
      <c r="L368" s="221"/>
      <c r="M368" s="325"/>
      <c r="N368" s="94"/>
      <c r="O368" s="326"/>
      <c r="P368" s="84"/>
      <c r="Q368" s="88"/>
      <c r="R368" s="102">
        <f t="shared" si="29"/>
        <v>0</v>
      </c>
      <c r="S368" s="89"/>
      <c r="T368" s="100"/>
      <c r="U368" s="100"/>
      <c r="V368" s="100"/>
      <c r="W368" s="100"/>
      <c r="X368" s="100"/>
      <c r="Y368" s="83"/>
      <c r="Z368" s="304"/>
      <c r="AA368" s="304"/>
      <c r="AB368" s="304"/>
      <c r="AC368" s="304"/>
      <c r="AD368" s="304"/>
      <c r="AE368" s="304"/>
      <c r="AF368" s="304"/>
      <c r="AG368" s="304"/>
      <c r="AH368" s="304"/>
      <c r="AI368" s="304"/>
      <c r="AJ368" s="304"/>
      <c r="AK368" s="304"/>
      <c r="AL368" s="304"/>
      <c r="AM368" s="304"/>
      <c r="AN368" s="304"/>
      <c r="AO368" s="304"/>
      <c r="AP368" s="304"/>
      <c r="AQ368" s="304"/>
      <c r="AR368" s="304"/>
      <c r="AS368" s="304"/>
      <c r="AT368" s="304"/>
      <c r="AU368" s="304"/>
      <c r="AV368" s="304"/>
      <c r="AW368" s="304"/>
      <c r="AX368" s="304"/>
      <c r="AY368" s="304"/>
      <c r="AZ368" s="304"/>
      <c r="BA368" s="304"/>
      <c r="BB368" s="304"/>
      <c r="BC368" s="304"/>
      <c r="BD368" s="304"/>
      <c r="BE368" s="304"/>
      <c r="BF368" s="304"/>
      <c r="BG368" s="304"/>
      <c r="BH368" s="304"/>
      <c r="BI368" s="304"/>
      <c r="BJ368" s="304"/>
      <c r="BK368" s="304"/>
      <c r="BL368" s="304"/>
      <c r="BM368" s="304"/>
      <c r="BN368" s="304"/>
      <c r="BO368" s="304"/>
      <c r="BP368" s="304"/>
      <c r="BQ368" s="304"/>
      <c r="BR368" s="304"/>
      <c r="BS368" s="304"/>
      <c r="BT368" s="304"/>
      <c r="BU368" s="304"/>
      <c r="BV368" s="304"/>
      <c r="BW368" s="304"/>
      <c r="BX368" s="304"/>
      <c r="BY368" s="304"/>
      <c r="BZ368" s="304"/>
      <c r="CA368" s="304"/>
      <c r="CB368" s="304"/>
      <c r="CC368" s="304"/>
      <c r="CD368" s="304"/>
      <c r="CE368" s="304"/>
      <c r="CF368" s="304"/>
      <c r="CG368" s="304"/>
      <c r="CH368" s="304"/>
      <c r="CI368" s="304"/>
      <c r="CJ368" s="304"/>
      <c r="CK368" s="304"/>
      <c r="CL368" s="304"/>
      <c r="CM368" s="304"/>
      <c r="CN368" s="304"/>
      <c r="CO368" s="304"/>
      <c r="CP368" s="304"/>
    </row>
    <row r="369" spans="1:94" s="87" customFormat="1">
      <c r="A369" s="81"/>
      <c r="B369" s="83"/>
      <c r="C369" s="82"/>
      <c r="D369" s="102"/>
      <c r="E369" s="102"/>
      <c r="F369" s="102"/>
      <c r="G369" s="225"/>
      <c r="H369" s="102"/>
      <c r="I369" s="218"/>
      <c r="J369" s="102"/>
      <c r="K369" s="102" t="str">
        <f t="shared" si="30"/>
        <v/>
      </c>
      <c r="L369" s="221"/>
      <c r="M369" s="325"/>
      <c r="N369" s="94"/>
      <c r="O369" s="326"/>
      <c r="P369" s="84"/>
      <c r="Q369" s="88"/>
      <c r="R369" s="102">
        <f t="shared" si="29"/>
        <v>0</v>
      </c>
      <c r="S369" s="89"/>
      <c r="T369" s="100"/>
      <c r="U369" s="100"/>
      <c r="V369" s="100"/>
      <c r="W369" s="100"/>
      <c r="X369" s="100"/>
      <c r="Y369" s="83"/>
      <c r="Z369" s="304"/>
      <c r="AA369" s="304"/>
      <c r="AB369" s="304"/>
      <c r="AC369" s="304"/>
      <c r="AD369" s="304"/>
      <c r="AE369" s="304"/>
      <c r="AF369" s="304"/>
      <c r="AG369" s="304"/>
      <c r="AH369" s="304"/>
      <c r="AI369" s="304"/>
      <c r="AJ369" s="304"/>
      <c r="AK369" s="304"/>
      <c r="AL369" s="304"/>
      <c r="AM369" s="304"/>
      <c r="AN369" s="304"/>
      <c r="AO369" s="304"/>
      <c r="AP369" s="304"/>
      <c r="AQ369" s="304"/>
      <c r="AR369" s="304"/>
      <c r="AS369" s="304"/>
      <c r="AT369" s="304"/>
      <c r="AU369" s="304"/>
      <c r="AV369" s="304"/>
      <c r="AW369" s="304"/>
      <c r="AX369" s="304"/>
      <c r="AY369" s="304"/>
      <c r="AZ369" s="304"/>
      <c r="BA369" s="304"/>
      <c r="BB369" s="304"/>
      <c r="BC369" s="304"/>
      <c r="BD369" s="304"/>
      <c r="BE369" s="304"/>
      <c r="BF369" s="304"/>
      <c r="BG369" s="304"/>
      <c r="BH369" s="304"/>
      <c r="BI369" s="304"/>
      <c r="BJ369" s="304"/>
      <c r="BK369" s="304"/>
      <c r="BL369" s="304"/>
      <c r="BM369" s="304"/>
      <c r="BN369" s="304"/>
      <c r="BO369" s="304"/>
      <c r="BP369" s="304"/>
      <c r="BQ369" s="304"/>
      <c r="BR369" s="304"/>
      <c r="BS369" s="304"/>
      <c r="BT369" s="304"/>
      <c r="BU369" s="304"/>
      <c r="BV369" s="304"/>
      <c r="BW369" s="304"/>
      <c r="BX369" s="304"/>
      <c r="BY369" s="304"/>
      <c r="BZ369" s="304"/>
      <c r="CA369" s="304"/>
      <c r="CB369" s="304"/>
      <c r="CC369" s="304"/>
      <c r="CD369" s="304"/>
      <c r="CE369" s="304"/>
      <c r="CF369" s="304"/>
      <c r="CG369" s="304"/>
      <c r="CH369" s="304"/>
      <c r="CI369" s="304"/>
      <c r="CJ369" s="304"/>
      <c r="CK369" s="304"/>
      <c r="CL369" s="304"/>
      <c r="CM369" s="304"/>
      <c r="CN369" s="304"/>
      <c r="CO369" s="304"/>
      <c r="CP369" s="304"/>
    </row>
    <row r="370" spans="1:94" s="87" customFormat="1">
      <c r="A370" s="81"/>
      <c r="B370" s="83"/>
      <c r="C370" s="82"/>
      <c r="D370" s="102"/>
      <c r="E370" s="102"/>
      <c r="F370" s="102"/>
      <c r="G370" s="225"/>
      <c r="H370" s="102"/>
      <c r="I370" s="218"/>
      <c r="J370" s="102"/>
      <c r="K370" s="102" t="str">
        <f t="shared" si="30"/>
        <v/>
      </c>
      <c r="L370" s="221"/>
      <c r="M370" s="325"/>
      <c r="N370" s="94"/>
      <c r="O370" s="326"/>
      <c r="P370" s="84"/>
      <c r="Q370" s="88"/>
      <c r="R370" s="102">
        <f t="shared" si="29"/>
        <v>0</v>
      </c>
      <c r="S370" s="89"/>
      <c r="T370" s="100"/>
      <c r="U370" s="100"/>
      <c r="V370" s="100"/>
      <c r="W370" s="100"/>
      <c r="X370" s="100"/>
      <c r="Y370" s="83"/>
      <c r="Z370" s="304"/>
      <c r="AA370" s="304"/>
      <c r="AB370" s="304"/>
      <c r="AC370" s="304"/>
      <c r="AD370" s="304"/>
      <c r="AE370" s="304"/>
      <c r="AF370" s="304"/>
      <c r="AG370" s="304"/>
      <c r="AH370" s="304"/>
      <c r="AI370" s="304"/>
      <c r="AJ370" s="304"/>
      <c r="AK370" s="304"/>
      <c r="AL370" s="304"/>
      <c r="AM370" s="304"/>
      <c r="AN370" s="304"/>
      <c r="AO370" s="304"/>
      <c r="AP370" s="304"/>
      <c r="AQ370" s="304"/>
      <c r="AR370" s="304"/>
      <c r="AS370" s="304"/>
      <c r="AT370" s="304"/>
      <c r="AU370" s="304"/>
      <c r="AV370" s="304"/>
      <c r="AW370" s="304"/>
      <c r="AX370" s="304"/>
      <c r="AY370" s="304"/>
      <c r="AZ370" s="304"/>
      <c r="BA370" s="304"/>
      <c r="BB370" s="304"/>
      <c r="BC370" s="304"/>
      <c r="BD370" s="304"/>
      <c r="BE370" s="304"/>
      <c r="BF370" s="304"/>
      <c r="BG370" s="304"/>
      <c r="BH370" s="304"/>
      <c r="BI370" s="304"/>
      <c r="BJ370" s="304"/>
      <c r="BK370" s="304"/>
      <c r="BL370" s="304"/>
      <c r="BM370" s="304"/>
      <c r="BN370" s="304"/>
      <c r="BO370" s="304"/>
      <c r="BP370" s="304"/>
      <c r="BQ370" s="304"/>
      <c r="BR370" s="304"/>
      <c r="BS370" s="304"/>
      <c r="BT370" s="304"/>
      <c r="BU370" s="304"/>
      <c r="BV370" s="304"/>
      <c r="BW370" s="304"/>
      <c r="BX370" s="304"/>
      <c r="BY370" s="304"/>
      <c r="BZ370" s="304"/>
      <c r="CA370" s="304"/>
      <c r="CB370" s="304"/>
      <c r="CC370" s="304"/>
      <c r="CD370" s="304"/>
      <c r="CE370" s="304"/>
      <c r="CF370" s="304"/>
      <c r="CG370" s="304"/>
      <c r="CH370" s="304"/>
      <c r="CI370" s="304"/>
      <c r="CJ370" s="304"/>
      <c r="CK370" s="304"/>
      <c r="CL370" s="304"/>
      <c r="CM370" s="304"/>
      <c r="CN370" s="304"/>
      <c r="CO370" s="304"/>
      <c r="CP370" s="304"/>
    </row>
    <row r="371" spans="1:94" s="87" customFormat="1">
      <c r="A371" s="81"/>
      <c r="B371" s="83"/>
      <c r="C371" s="82"/>
      <c r="D371" s="102"/>
      <c r="E371" s="102"/>
      <c r="F371" s="102"/>
      <c r="G371" s="225"/>
      <c r="H371" s="102"/>
      <c r="I371" s="218"/>
      <c r="J371" s="102"/>
      <c r="K371" s="102" t="str">
        <f t="shared" si="30"/>
        <v/>
      </c>
      <c r="L371" s="221"/>
      <c r="M371" s="325"/>
      <c r="N371" s="94"/>
      <c r="O371" s="326"/>
      <c r="P371" s="84"/>
      <c r="Q371" s="88"/>
      <c r="R371" s="102">
        <f t="shared" si="29"/>
        <v>0</v>
      </c>
      <c r="S371" s="89"/>
      <c r="T371" s="100"/>
      <c r="U371" s="100"/>
      <c r="V371" s="100"/>
      <c r="W371" s="100"/>
      <c r="X371" s="100"/>
      <c r="Y371" s="83"/>
      <c r="Z371" s="304"/>
      <c r="AA371" s="304"/>
      <c r="AB371" s="304"/>
      <c r="AC371" s="304"/>
      <c r="AD371" s="304"/>
      <c r="AE371" s="304"/>
      <c r="AF371" s="304"/>
      <c r="AG371" s="304"/>
      <c r="AH371" s="304"/>
      <c r="AI371" s="304"/>
      <c r="AJ371" s="304"/>
      <c r="AK371" s="304"/>
      <c r="AL371" s="304"/>
      <c r="AM371" s="304"/>
      <c r="AN371" s="304"/>
      <c r="AO371" s="304"/>
      <c r="AP371" s="304"/>
      <c r="AQ371" s="304"/>
      <c r="AR371" s="304"/>
      <c r="AS371" s="304"/>
      <c r="AT371" s="304"/>
      <c r="AU371" s="304"/>
      <c r="AV371" s="304"/>
      <c r="AW371" s="304"/>
      <c r="AX371" s="304"/>
      <c r="AY371" s="304"/>
      <c r="AZ371" s="304"/>
      <c r="BA371" s="304"/>
      <c r="BB371" s="304"/>
      <c r="BC371" s="304"/>
      <c r="BD371" s="304"/>
      <c r="BE371" s="304"/>
      <c r="BF371" s="304"/>
      <c r="BG371" s="304"/>
      <c r="BH371" s="304"/>
      <c r="BI371" s="304"/>
      <c r="BJ371" s="304"/>
      <c r="BK371" s="304"/>
      <c r="BL371" s="304"/>
      <c r="BM371" s="304"/>
      <c r="BN371" s="304"/>
      <c r="BO371" s="304"/>
      <c r="BP371" s="304"/>
      <c r="BQ371" s="304"/>
      <c r="BR371" s="304"/>
      <c r="BS371" s="304"/>
      <c r="BT371" s="304"/>
      <c r="BU371" s="304"/>
      <c r="BV371" s="304"/>
      <c r="BW371" s="304"/>
      <c r="BX371" s="304"/>
      <c r="BY371" s="304"/>
      <c r="BZ371" s="304"/>
      <c r="CA371" s="304"/>
      <c r="CB371" s="304"/>
      <c r="CC371" s="304"/>
      <c r="CD371" s="304"/>
      <c r="CE371" s="304"/>
      <c r="CF371" s="304"/>
      <c r="CG371" s="304"/>
      <c r="CH371" s="304"/>
      <c r="CI371" s="304"/>
      <c r="CJ371" s="304"/>
      <c r="CK371" s="304"/>
      <c r="CL371" s="304"/>
      <c r="CM371" s="304"/>
      <c r="CN371" s="304"/>
      <c r="CO371" s="304"/>
      <c r="CP371" s="304"/>
    </row>
    <row r="372" spans="1:94" s="87" customFormat="1">
      <c r="A372" s="81"/>
      <c r="B372" s="83"/>
      <c r="C372" s="82"/>
      <c r="D372" s="102"/>
      <c r="E372" s="102"/>
      <c r="F372" s="102"/>
      <c r="G372" s="225"/>
      <c r="H372" s="102"/>
      <c r="I372" s="218"/>
      <c r="J372" s="102"/>
      <c r="K372" s="102" t="str">
        <f t="shared" si="30"/>
        <v/>
      </c>
      <c r="L372" s="221"/>
      <c r="M372" s="325"/>
      <c r="N372" s="94"/>
      <c r="O372" s="326"/>
      <c r="P372" s="84"/>
      <c r="Q372" s="88"/>
      <c r="R372" s="102">
        <f t="shared" si="29"/>
        <v>0</v>
      </c>
      <c r="S372" s="89"/>
      <c r="T372" s="100"/>
      <c r="U372" s="100"/>
      <c r="V372" s="100"/>
      <c r="W372" s="100"/>
      <c r="X372" s="100"/>
      <c r="Y372" s="83"/>
      <c r="Z372" s="304"/>
      <c r="AA372" s="304"/>
      <c r="AB372" s="304"/>
      <c r="AC372" s="304"/>
      <c r="AD372" s="304"/>
      <c r="AE372" s="304"/>
      <c r="AF372" s="304"/>
      <c r="AG372" s="304"/>
      <c r="AH372" s="304"/>
      <c r="AI372" s="304"/>
      <c r="AJ372" s="304"/>
      <c r="AK372" s="304"/>
      <c r="AL372" s="304"/>
      <c r="AM372" s="304"/>
      <c r="AN372" s="304"/>
      <c r="AO372" s="304"/>
      <c r="AP372" s="304"/>
      <c r="AQ372" s="304"/>
      <c r="AR372" s="304"/>
      <c r="AS372" s="304"/>
      <c r="AT372" s="304"/>
      <c r="AU372" s="304"/>
      <c r="AV372" s="304"/>
      <c r="AW372" s="304"/>
      <c r="AX372" s="304"/>
      <c r="AY372" s="304"/>
      <c r="AZ372" s="304"/>
      <c r="BA372" s="304"/>
      <c r="BB372" s="304"/>
      <c r="BC372" s="304"/>
      <c r="BD372" s="304"/>
      <c r="BE372" s="304"/>
      <c r="BF372" s="304"/>
      <c r="BG372" s="304"/>
      <c r="BH372" s="304"/>
      <c r="BI372" s="304"/>
      <c r="BJ372" s="304"/>
      <c r="BK372" s="304"/>
      <c r="BL372" s="304"/>
      <c r="BM372" s="304"/>
      <c r="BN372" s="304"/>
      <c r="BO372" s="304"/>
      <c r="BP372" s="304"/>
      <c r="BQ372" s="304"/>
      <c r="BR372" s="304"/>
      <c r="BS372" s="304"/>
      <c r="BT372" s="304"/>
      <c r="BU372" s="304"/>
      <c r="BV372" s="304"/>
      <c r="BW372" s="304"/>
      <c r="BX372" s="304"/>
      <c r="BY372" s="304"/>
      <c r="BZ372" s="304"/>
      <c r="CA372" s="304"/>
      <c r="CB372" s="304"/>
      <c r="CC372" s="304"/>
      <c r="CD372" s="304"/>
      <c r="CE372" s="304"/>
      <c r="CF372" s="304"/>
      <c r="CG372" s="304"/>
      <c r="CH372" s="304"/>
      <c r="CI372" s="304"/>
      <c r="CJ372" s="304"/>
      <c r="CK372" s="304"/>
      <c r="CL372" s="304"/>
      <c r="CM372" s="304"/>
      <c r="CN372" s="304"/>
      <c r="CO372" s="304"/>
      <c r="CP372" s="304"/>
    </row>
    <row r="373" spans="1:94" s="87" customFormat="1">
      <c r="A373" s="81"/>
      <c r="B373" s="83"/>
      <c r="C373" s="82"/>
      <c r="D373" s="102"/>
      <c r="E373" s="102"/>
      <c r="F373" s="102"/>
      <c r="G373" s="225"/>
      <c r="H373" s="102"/>
      <c r="I373" s="218"/>
      <c r="J373" s="102"/>
      <c r="K373" s="102" t="str">
        <f t="shared" si="30"/>
        <v/>
      </c>
      <c r="L373" s="221"/>
      <c r="M373" s="325"/>
      <c r="N373" s="94"/>
      <c r="O373" s="326"/>
      <c r="P373" s="84"/>
      <c r="Q373" s="88"/>
      <c r="R373" s="102">
        <f t="shared" si="29"/>
        <v>0</v>
      </c>
      <c r="S373" s="89"/>
      <c r="T373" s="100"/>
      <c r="U373" s="100"/>
      <c r="V373" s="100"/>
      <c r="W373" s="100"/>
      <c r="X373" s="100"/>
      <c r="Y373" s="83"/>
      <c r="Z373" s="304"/>
      <c r="AA373" s="304"/>
      <c r="AB373" s="304"/>
      <c r="AC373" s="304"/>
      <c r="AD373" s="304"/>
      <c r="AE373" s="304"/>
      <c r="AF373" s="304"/>
      <c r="AG373" s="304"/>
      <c r="AH373" s="304"/>
      <c r="AI373" s="304"/>
      <c r="AJ373" s="304"/>
      <c r="AK373" s="304"/>
      <c r="AL373" s="304"/>
      <c r="AM373" s="304"/>
      <c r="AN373" s="304"/>
      <c r="AO373" s="304"/>
      <c r="AP373" s="304"/>
      <c r="AQ373" s="304"/>
      <c r="AR373" s="304"/>
      <c r="AS373" s="304"/>
      <c r="AT373" s="304"/>
      <c r="AU373" s="304"/>
      <c r="AV373" s="304"/>
      <c r="AW373" s="304"/>
      <c r="AX373" s="304"/>
      <c r="AY373" s="304"/>
      <c r="AZ373" s="304"/>
      <c r="BA373" s="304"/>
      <c r="BB373" s="304"/>
      <c r="BC373" s="304"/>
      <c r="BD373" s="304"/>
      <c r="BE373" s="304"/>
      <c r="BF373" s="304"/>
      <c r="BG373" s="304"/>
      <c r="BH373" s="304"/>
      <c r="BI373" s="304"/>
      <c r="BJ373" s="304"/>
      <c r="BK373" s="304"/>
      <c r="BL373" s="304"/>
      <c r="BM373" s="304"/>
      <c r="BN373" s="304"/>
      <c r="BO373" s="304"/>
      <c r="BP373" s="304"/>
      <c r="BQ373" s="304"/>
      <c r="BR373" s="304"/>
      <c r="BS373" s="304"/>
      <c r="BT373" s="304"/>
      <c r="BU373" s="304"/>
      <c r="BV373" s="304"/>
      <c r="BW373" s="304"/>
      <c r="BX373" s="304"/>
      <c r="BY373" s="304"/>
      <c r="BZ373" s="304"/>
      <c r="CA373" s="304"/>
      <c r="CB373" s="304"/>
      <c r="CC373" s="304"/>
      <c r="CD373" s="304"/>
      <c r="CE373" s="304"/>
      <c r="CF373" s="304"/>
      <c r="CG373" s="304"/>
      <c r="CH373" s="304"/>
      <c r="CI373" s="304"/>
      <c r="CJ373" s="304"/>
      <c r="CK373" s="304"/>
      <c r="CL373" s="304"/>
      <c r="CM373" s="304"/>
      <c r="CN373" s="304"/>
      <c r="CO373" s="304"/>
      <c r="CP373" s="304"/>
    </row>
    <row r="374" spans="1:94" s="87" customFormat="1">
      <c r="A374" s="81"/>
      <c r="B374" s="83"/>
      <c r="C374" s="82"/>
      <c r="D374" s="102"/>
      <c r="E374" s="102"/>
      <c r="F374" s="102"/>
      <c r="G374" s="225"/>
      <c r="H374" s="102"/>
      <c r="I374" s="218"/>
      <c r="J374" s="102"/>
      <c r="K374" s="102" t="str">
        <f t="shared" si="30"/>
        <v/>
      </c>
      <c r="L374" s="221"/>
      <c r="M374" s="325"/>
      <c r="N374" s="94"/>
      <c r="O374" s="326"/>
      <c r="P374" s="84"/>
      <c r="Q374" s="88"/>
      <c r="R374" s="102">
        <f t="shared" si="29"/>
        <v>0</v>
      </c>
      <c r="S374" s="89"/>
      <c r="T374" s="100"/>
      <c r="U374" s="100"/>
      <c r="V374" s="100"/>
      <c r="W374" s="100"/>
      <c r="X374" s="100"/>
      <c r="Y374" s="83"/>
      <c r="Z374" s="304"/>
      <c r="AA374" s="304"/>
      <c r="AB374" s="304"/>
      <c r="AC374" s="304"/>
      <c r="AD374" s="304"/>
      <c r="AE374" s="304"/>
      <c r="AF374" s="304"/>
      <c r="AG374" s="304"/>
      <c r="AH374" s="304"/>
      <c r="AI374" s="304"/>
      <c r="AJ374" s="304"/>
      <c r="AK374" s="304"/>
      <c r="AL374" s="304"/>
      <c r="AM374" s="304"/>
      <c r="AN374" s="304"/>
      <c r="AO374" s="304"/>
      <c r="AP374" s="304"/>
      <c r="AQ374" s="304"/>
      <c r="AR374" s="304"/>
      <c r="AS374" s="304"/>
      <c r="AT374" s="304"/>
      <c r="AU374" s="304"/>
      <c r="AV374" s="304"/>
      <c r="AW374" s="304"/>
      <c r="AX374" s="304"/>
      <c r="AY374" s="304"/>
      <c r="AZ374" s="304"/>
      <c r="BA374" s="304"/>
      <c r="BB374" s="304"/>
      <c r="BC374" s="304"/>
      <c r="BD374" s="304"/>
      <c r="BE374" s="304"/>
      <c r="BF374" s="304"/>
      <c r="BG374" s="304"/>
      <c r="BH374" s="304"/>
      <c r="BI374" s="304"/>
      <c r="BJ374" s="304"/>
      <c r="BK374" s="304"/>
      <c r="BL374" s="304"/>
      <c r="BM374" s="304"/>
      <c r="BN374" s="304"/>
      <c r="BO374" s="304"/>
      <c r="BP374" s="304"/>
      <c r="BQ374" s="304"/>
      <c r="BR374" s="304"/>
      <c r="BS374" s="304"/>
      <c r="BT374" s="304"/>
      <c r="BU374" s="304"/>
      <c r="BV374" s="304"/>
      <c r="BW374" s="304"/>
      <c r="BX374" s="304"/>
      <c r="BY374" s="304"/>
      <c r="BZ374" s="304"/>
      <c r="CA374" s="304"/>
      <c r="CB374" s="304"/>
      <c r="CC374" s="304"/>
      <c r="CD374" s="304"/>
      <c r="CE374" s="304"/>
      <c r="CF374" s="304"/>
      <c r="CG374" s="304"/>
      <c r="CH374" s="304"/>
      <c r="CI374" s="304"/>
      <c r="CJ374" s="304"/>
      <c r="CK374" s="304"/>
      <c r="CL374" s="304"/>
      <c r="CM374" s="304"/>
      <c r="CN374" s="304"/>
      <c r="CO374" s="304"/>
      <c r="CP374" s="304"/>
    </row>
    <row r="375" spans="1:94" s="87" customFormat="1">
      <c r="A375" s="81"/>
      <c r="B375" s="83"/>
      <c r="C375" s="82"/>
      <c r="D375" s="102"/>
      <c r="E375" s="102"/>
      <c r="F375" s="102"/>
      <c r="G375" s="225"/>
      <c r="H375" s="102"/>
      <c r="I375" s="218"/>
      <c r="J375" s="102"/>
      <c r="K375" s="102" t="str">
        <f t="shared" si="30"/>
        <v/>
      </c>
      <c r="L375" s="221"/>
      <c r="M375" s="325"/>
      <c r="N375" s="94"/>
      <c r="O375" s="326"/>
      <c r="P375" s="84"/>
      <c r="Q375" s="88"/>
      <c r="R375" s="102">
        <f t="shared" si="29"/>
        <v>0</v>
      </c>
      <c r="S375" s="89"/>
      <c r="T375" s="100"/>
      <c r="U375" s="100"/>
      <c r="V375" s="100"/>
      <c r="W375" s="100"/>
      <c r="X375" s="100"/>
      <c r="Y375" s="83"/>
      <c r="Z375" s="304"/>
      <c r="AA375" s="304"/>
      <c r="AB375" s="304"/>
      <c r="AC375" s="304"/>
      <c r="AD375" s="304"/>
      <c r="AE375" s="304"/>
      <c r="AF375" s="304"/>
      <c r="AG375" s="304"/>
      <c r="AH375" s="304"/>
      <c r="AI375" s="304"/>
      <c r="AJ375" s="304"/>
      <c r="AK375" s="304"/>
      <c r="AL375" s="304"/>
      <c r="AM375" s="304"/>
      <c r="AN375" s="304"/>
      <c r="AO375" s="304"/>
      <c r="AP375" s="304"/>
      <c r="AQ375" s="304"/>
      <c r="AR375" s="304"/>
      <c r="AS375" s="304"/>
      <c r="AT375" s="304"/>
      <c r="AU375" s="304"/>
      <c r="AV375" s="304"/>
      <c r="AW375" s="304"/>
      <c r="AX375" s="304"/>
      <c r="AY375" s="304"/>
      <c r="AZ375" s="304"/>
      <c r="BA375" s="304"/>
      <c r="BB375" s="304"/>
      <c r="BC375" s="304"/>
      <c r="BD375" s="304"/>
      <c r="BE375" s="304"/>
      <c r="BF375" s="304"/>
      <c r="BG375" s="304"/>
      <c r="BH375" s="304"/>
      <c r="BI375" s="304"/>
      <c r="BJ375" s="304"/>
      <c r="BK375" s="304"/>
      <c r="BL375" s="304"/>
      <c r="BM375" s="304"/>
      <c r="BN375" s="304"/>
      <c r="BO375" s="304"/>
      <c r="BP375" s="304"/>
      <c r="BQ375" s="304"/>
      <c r="BR375" s="304"/>
      <c r="BS375" s="304"/>
      <c r="BT375" s="304"/>
      <c r="BU375" s="304"/>
      <c r="BV375" s="304"/>
      <c r="BW375" s="304"/>
      <c r="BX375" s="304"/>
      <c r="BY375" s="304"/>
      <c r="BZ375" s="304"/>
      <c r="CA375" s="304"/>
      <c r="CB375" s="304"/>
      <c r="CC375" s="304"/>
      <c r="CD375" s="304"/>
      <c r="CE375" s="304"/>
      <c r="CF375" s="304"/>
      <c r="CG375" s="304"/>
      <c r="CH375" s="304"/>
      <c r="CI375" s="304"/>
      <c r="CJ375" s="304"/>
      <c r="CK375" s="304"/>
      <c r="CL375" s="304"/>
      <c r="CM375" s="304"/>
      <c r="CN375" s="304"/>
      <c r="CO375" s="304"/>
      <c r="CP375" s="304"/>
    </row>
    <row r="376" spans="1:94" s="87" customFormat="1">
      <c r="A376" s="81"/>
      <c r="B376" s="83"/>
      <c r="C376" s="82"/>
      <c r="D376" s="102"/>
      <c r="E376" s="102"/>
      <c r="F376" s="102"/>
      <c r="G376" s="225"/>
      <c r="H376" s="102"/>
      <c r="I376" s="218"/>
      <c r="J376" s="102"/>
      <c r="K376" s="102" t="str">
        <f t="shared" si="30"/>
        <v/>
      </c>
      <c r="L376" s="221"/>
      <c r="M376" s="325"/>
      <c r="N376" s="94"/>
      <c r="O376" s="326"/>
      <c r="P376" s="84"/>
      <c r="Q376" s="88"/>
      <c r="R376" s="102">
        <f t="shared" si="29"/>
        <v>0</v>
      </c>
      <c r="S376" s="89"/>
      <c r="T376" s="100"/>
      <c r="U376" s="100"/>
      <c r="V376" s="100"/>
      <c r="W376" s="100"/>
      <c r="X376" s="100"/>
      <c r="Y376" s="83"/>
      <c r="Z376" s="304"/>
      <c r="AA376" s="304"/>
      <c r="AB376" s="304"/>
      <c r="AC376" s="304"/>
      <c r="AD376" s="304"/>
      <c r="AE376" s="304"/>
      <c r="AF376" s="304"/>
      <c r="AG376" s="304"/>
      <c r="AH376" s="304"/>
      <c r="AI376" s="304"/>
      <c r="AJ376" s="304"/>
      <c r="AK376" s="304"/>
      <c r="AL376" s="304"/>
      <c r="AM376" s="304"/>
      <c r="AN376" s="304"/>
      <c r="AO376" s="304"/>
      <c r="AP376" s="304"/>
      <c r="AQ376" s="304"/>
      <c r="AR376" s="304"/>
      <c r="AS376" s="304"/>
      <c r="AT376" s="304"/>
      <c r="AU376" s="304"/>
      <c r="AV376" s="304"/>
      <c r="AW376" s="304"/>
      <c r="AX376" s="304"/>
      <c r="AY376" s="304"/>
      <c r="AZ376" s="304"/>
      <c r="BA376" s="304"/>
      <c r="BB376" s="304"/>
      <c r="BC376" s="304"/>
      <c r="BD376" s="304"/>
      <c r="BE376" s="304"/>
      <c r="BF376" s="304"/>
      <c r="BG376" s="304"/>
      <c r="BH376" s="304"/>
      <c r="BI376" s="304"/>
      <c r="BJ376" s="304"/>
      <c r="BK376" s="304"/>
      <c r="BL376" s="304"/>
      <c r="BM376" s="304"/>
      <c r="BN376" s="304"/>
      <c r="BO376" s="304"/>
      <c r="BP376" s="304"/>
      <c r="BQ376" s="304"/>
      <c r="BR376" s="304"/>
      <c r="BS376" s="304"/>
      <c r="BT376" s="304"/>
      <c r="BU376" s="304"/>
      <c r="BV376" s="304"/>
      <c r="BW376" s="304"/>
      <c r="BX376" s="304"/>
      <c r="BY376" s="304"/>
      <c r="BZ376" s="304"/>
      <c r="CA376" s="304"/>
      <c r="CB376" s="304"/>
      <c r="CC376" s="304"/>
      <c r="CD376" s="304"/>
      <c r="CE376" s="304"/>
      <c r="CF376" s="304"/>
      <c r="CG376" s="304"/>
      <c r="CH376" s="304"/>
      <c r="CI376" s="304"/>
      <c r="CJ376" s="304"/>
      <c r="CK376" s="304"/>
      <c r="CL376" s="304"/>
      <c r="CM376" s="304"/>
      <c r="CN376" s="304"/>
      <c r="CO376" s="304"/>
      <c r="CP376" s="304"/>
    </row>
    <row r="377" spans="1:94" s="87" customFormat="1">
      <c r="A377" s="81"/>
      <c r="B377" s="83"/>
      <c r="C377" s="82"/>
      <c r="D377" s="102"/>
      <c r="E377" s="102"/>
      <c r="F377" s="102"/>
      <c r="G377" s="225"/>
      <c r="H377" s="102"/>
      <c r="I377" s="218"/>
      <c r="J377" s="102"/>
      <c r="K377" s="102" t="str">
        <f t="shared" si="30"/>
        <v/>
      </c>
      <c r="L377" s="221"/>
      <c r="M377" s="325"/>
      <c r="N377" s="94"/>
      <c r="O377" s="326"/>
      <c r="P377" s="84"/>
      <c r="Q377" s="88"/>
      <c r="R377" s="102">
        <f t="shared" si="29"/>
        <v>0</v>
      </c>
      <c r="S377" s="89"/>
      <c r="T377" s="100"/>
      <c r="U377" s="100"/>
      <c r="V377" s="100"/>
      <c r="W377" s="100"/>
      <c r="X377" s="100"/>
      <c r="Y377" s="83"/>
      <c r="Z377" s="304"/>
      <c r="AA377" s="304"/>
      <c r="AB377" s="304"/>
      <c r="AC377" s="304"/>
      <c r="AD377" s="304"/>
      <c r="AE377" s="304"/>
      <c r="AF377" s="304"/>
      <c r="AG377" s="304"/>
      <c r="AH377" s="304"/>
      <c r="AI377" s="304"/>
      <c r="AJ377" s="304"/>
      <c r="AK377" s="304"/>
      <c r="AL377" s="304"/>
      <c r="AM377" s="304"/>
      <c r="AN377" s="304"/>
      <c r="AO377" s="304"/>
      <c r="AP377" s="304"/>
      <c r="AQ377" s="304"/>
      <c r="AR377" s="304"/>
      <c r="AS377" s="304"/>
      <c r="AT377" s="304"/>
      <c r="AU377" s="304"/>
      <c r="AV377" s="304"/>
      <c r="AW377" s="304"/>
      <c r="AX377" s="304"/>
      <c r="AY377" s="304"/>
      <c r="AZ377" s="304"/>
      <c r="BA377" s="304"/>
      <c r="BB377" s="304"/>
      <c r="BC377" s="304"/>
      <c r="BD377" s="304"/>
      <c r="BE377" s="304"/>
      <c r="BF377" s="304"/>
      <c r="BG377" s="304"/>
      <c r="BH377" s="304"/>
      <c r="BI377" s="304"/>
      <c r="BJ377" s="304"/>
      <c r="BK377" s="304"/>
      <c r="BL377" s="304"/>
      <c r="BM377" s="304"/>
      <c r="BN377" s="304"/>
      <c r="BO377" s="304"/>
      <c r="BP377" s="304"/>
      <c r="BQ377" s="304"/>
      <c r="BR377" s="304"/>
      <c r="BS377" s="304"/>
      <c r="BT377" s="304"/>
      <c r="BU377" s="304"/>
      <c r="BV377" s="304"/>
      <c r="BW377" s="304"/>
      <c r="BX377" s="304"/>
      <c r="BY377" s="304"/>
      <c r="BZ377" s="304"/>
      <c r="CA377" s="304"/>
      <c r="CB377" s="304"/>
      <c r="CC377" s="304"/>
      <c r="CD377" s="304"/>
      <c r="CE377" s="304"/>
      <c r="CF377" s="304"/>
      <c r="CG377" s="304"/>
      <c r="CH377" s="304"/>
      <c r="CI377" s="304"/>
      <c r="CJ377" s="304"/>
      <c r="CK377" s="304"/>
      <c r="CL377" s="304"/>
      <c r="CM377" s="304"/>
      <c r="CN377" s="304"/>
      <c r="CO377" s="304"/>
      <c r="CP377" s="304"/>
    </row>
    <row r="378" spans="1:94" s="87" customFormat="1">
      <c r="A378" s="81"/>
      <c r="B378" s="83"/>
      <c r="C378" s="82"/>
      <c r="D378" s="102"/>
      <c r="E378" s="102"/>
      <c r="F378" s="102"/>
      <c r="G378" s="225"/>
      <c r="H378" s="102"/>
      <c r="I378" s="218"/>
      <c r="J378" s="102"/>
      <c r="K378" s="102" t="str">
        <f t="shared" si="30"/>
        <v/>
      </c>
      <c r="L378" s="221"/>
      <c r="M378" s="325"/>
      <c r="N378" s="94"/>
      <c r="O378" s="326"/>
      <c r="P378" s="84"/>
      <c r="Q378" s="88"/>
      <c r="R378" s="102">
        <f t="shared" si="29"/>
        <v>0</v>
      </c>
      <c r="S378" s="89"/>
      <c r="T378" s="100"/>
      <c r="U378" s="100"/>
      <c r="V378" s="100"/>
      <c r="W378" s="100"/>
      <c r="X378" s="100"/>
      <c r="Y378" s="83"/>
      <c r="Z378" s="304"/>
      <c r="AA378" s="304"/>
      <c r="AB378" s="304"/>
      <c r="AC378" s="304"/>
      <c r="AD378" s="304"/>
      <c r="AE378" s="304"/>
      <c r="AF378" s="304"/>
      <c r="AG378" s="304"/>
      <c r="AH378" s="304"/>
      <c r="AI378" s="304"/>
      <c r="AJ378" s="304"/>
      <c r="AK378" s="304"/>
      <c r="AL378" s="304"/>
      <c r="AM378" s="304"/>
      <c r="AN378" s="304"/>
      <c r="AO378" s="304"/>
      <c r="AP378" s="304"/>
      <c r="AQ378" s="304"/>
      <c r="AR378" s="304"/>
      <c r="AS378" s="304"/>
      <c r="AT378" s="304"/>
      <c r="AU378" s="304"/>
      <c r="AV378" s="304"/>
      <c r="AW378" s="304"/>
      <c r="AX378" s="304"/>
      <c r="AY378" s="304"/>
      <c r="AZ378" s="304"/>
      <c r="BA378" s="304"/>
      <c r="BB378" s="304"/>
      <c r="BC378" s="304"/>
      <c r="BD378" s="304"/>
      <c r="BE378" s="304"/>
      <c r="BF378" s="304"/>
      <c r="BG378" s="304"/>
      <c r="BH378" s="304"/>
      <c r="BI378" s="304"/>
      <c r="BJ378" s="304"/>
      <c r="BK378" s="304"/>
      <c r="BL378" s="304"/>
      <c r="BM378" s="304"/>
      <c r="BN378" s="304"/>
      <c r="BO378" s="304"/>
      <c r="BP378" s="304"/>
      <c r="BQ378" s="304"/>
      <c r="BR378" s="304"/>
      <c r="BS378" s="304"/>
      <c r="BT378" s="304"/>
      <c r="BU378" s="304"/>
      <c r="BV378" s="304"/>
      <c r="BW378" s="304"/>
      <c r="BX378" s="304"/>
      <c r="BY378" s="304"/>
      <c r="BZ378" s="304"/>
      <c r="CA378" s="304"/>
      <c r="CB378" s="304"/>
      <c r="CC378" s="304"/>
      <c r="CD378" s="304"/>
      <c r="CE378" s="304"/>
      <c r="CF378" s="304"/>
      <c r="CG378" s="304"/>
      <c r="CH378" s="304"/>
      <c r="CI378" s="304"/>
      <c r="CJ378" s="304"/>
      <c r="CK378" s="304"/>
      <c r="CL378" s="304"/>
      <c r="CM378" s="304"/>
      <c r="CN378" s="304"/>
      <c r="CO378" s="304"/>
      <c r="CP378" s="304"/>
    </row>
    <row r="379" spans="1:94" s="87" customFormat="1">
      <c r="A379" s="81"/>
      <c r="B379" s="83"/>
      <c r="C379" s="82"/>
      <c r="D379" s="102"/>
      <c r="E379" s="102"/>
      <c r="F379" s="102"/>
      <c r="G379" s="225"/>
      <c r="H379" s="102"/>
      <c r="I379" s="218"/>
      <c r="J379" s="102"/>
      <c r="K379" s="102" t="str">
        <f t="shared" si="30"/>
        <v/>
      </c>
      <c r="L379" s="221"/>
      <c r="M379" s="325"/>
      <c r="N379" s="94"/>
      <c r="O379" s="326"/>
      <c r="P379" s="84"/>
      <c r="Q379" s="88"/>
      <c r="R379" s="102">
        <f t="shared" si="29"/>
        <v>0</v>
      </c>
      <c r="S379" s="89"/>
      <c r="T379" s="100"/>
      <c r="U379" s="100"/>
      <c r="V379" s="100"/>
      <c r="W379" s="100"/>
      <c r="X379" s="100"/>
      <c r="Y379" s="83"/>
      <c r="Z379" s="304"/>
      <c r="AA379" s="304"/>
      <c r="AB379" s="304"/>
      <c r="AC379" s="304"/>
      <c r="AD379" s="304"/>
      <c r="AE379" s="304"/>
      <c r="AF379" s="304"/>
      <c r="AG379" s="304"/>
      <c r="AH379" s="304"/>
      <c r="AI379" s="304"/>
      <c r="AJ379" s="304"/>
      <c r="AK379" s="304"/>
      <c r="AL379" s="304"/>
      <c r="AM379" s="304"/>
      <c r="AN379" s="304"/>
      <c r="AO379" s="304"/>
      <c r="AP379" s="304"/>
      <c r="AQ379" s="304"/>
      <c r="AR379" s="304"/>
      <c r="AS379" s="304"/>
      <c r="AT379" s="304"/>
      <c r="AU379" s="304"/>
      <c r="AV379" s="304"/>
      <c r="AW379" s="304"/>
      <c r="AX379" s="304"/>
      <c r="AY379" s="304"/>
      <c r="AZ379" s="304"/>
      <c r="BA379" s="304"/>
      <c r="BB379" s="304"/>
      <c r="BC379" s="304"/>
      <c r="BD379" s="304"/>
      <c r="BE379" s="304"/>
      <c r="BF379" s="304"/>
      <c r="BG379" s="304"/>
      <c r="BH379" s="304"/>
      <c r="BI379" s="304"/>
      <c r="BJ379" s="304"/>
      <c r="BK379" s="304"/>
      <c r="BL379" s="304"/>
      <c r="BM379" s="304"/>
      <c r="BN379" s="304"/>
      <c r="BO379" s="304"/>
      <c r="BP379" s="304"/>
      <c r="BQ379" s="304"/>
      <c r="BR379" s="304"/>
      <c r="BS379" s="304"/>
      <c r="BT379" s="304"/>
      <c r="BU379" s="304"/>
      <c r="BV379" s="304"/>
      <c r="BW379" s="304"/>
      <c r="BX379" s="304"/>
      <c r="BY379" s="304"/>
      <c r="BZ379" s="304"/>
      <c r="CA379" s="304"/>
      <c r="CB379" s="304"/>
      <c r="CC379" s="304"/>
      <c r="CD379" s="304"/>
      <c r="CE379" s="304"/>
      <c r="CF379" s="304"/>
      <c r="CG379" s="304"/>
      <c r="CH379" s="304"/>
      <c r="CI379" s="304"/>
      <c r="CJ379" s="304"/>
      <c r="CK379" s="304"/>
      <c r="CL379" s="304"/>
      <c r="CM379" s="304"/>
      <c r="CN379" s="304"/>
      <c r="CO379" s="304"/>
      <c r="CP379" s="304"/>
    </row>
    <row r="380" spans="1:94" s="87" customFormat="1">
      <c r="A380" s="81"/>
      <c r="B380" s="83"/>
      <c r="C380" s="82"/>
      <c r="D380" s="102"/>
      <c r="E380" s="102"/>
      <c r="F380" s="102"/>
      <c r="G380" s="225"/>
      <c r="H380" s="102"/>
      <c r="I380" s="218"/>
      <c r="J380" s="102"/>
      <c r="K380" s="102" t="str">
        <f t="shared" si="30"/>
        <v/>
      </c>
      <c r="L380" s="221"/>
      <c r="M380" s="325"/>
      <c r="N380" s="94"/>
      <c r="O380" s="326"/>
      <c r="P380" s="84"/>
      <c r="Q380" s="88"/>
      <c r="R380" s="102">
        <f t="shared" si="29"/>
        <v>0</v>
      </c>
      <c r="S380" s="89"/>
      <c r="T380" s="100"/>
      <c r="U380" s="100"/>
      <c r="V380" s="100"/>
      <c r="W380" s="100"/>
      <c r="X380" s="100"/>
      <c r="Y380" s="83"/>
      <c r="Z380" s="304"/>
      <c r="AA380" s="304"/>
      <c r="AB380" s="304"/>
      <c r="AC380" s="304"/>
      <c r="AD380" s="304"/>
      <c r="AE380" s="304"/>
      <c r="AF380" s="304"/>
      <c r="AG380" s="304"/>
      <c r="AH380" s="304"/>
      <c r="AI380" s="304"/>
      <c r="AJ380" s="304"/>
      <c r="AK380" s="304"/>
      <c r="AL380" s="304"/>
      <c r="AM380" s="304"/>
      <c r="AN380" s="304"/>
      <c r="AO380" s="304"/>
      <c r="AP380" s="304"/>
      <c r="AQ380" s="304"/>
      <c r="AR380" s="304"/>
      <c r="AS380" s="304"/>
      <c r="AT380" s="304"/>
      <c r="AU380" s="304"/>
      <c r="AV380" s="304"/>
      <c r="AW380" s="304"/>
      <c r="AX380" s="304"/>
      <c r="AY380" s="304"/>
      <c r="AZ380" s="304"/>
      <c r="BA380" s="304"/>
      <c r="BB380" s="304"/>
      <c r="BC380" s="304"/>
      <c r="BD380" s="304"/>
      <c r="BE380" s="304"/>
      <c r="BF380" s="304"/>
      <c r="BG380" s="304"/>
      <c r="BH380" s="304"/>
      <c r="BI380" s="304"/>
      <c r="BJ380" s="304"/>
      <c r="BK380" s="304"/>
      <c r="BL380" s="304"/>
      <c r="BM380" s="304"/>
      <c r="BN380" s="304"/>
      <c r="BO380" s="304"/>
      <c r="BP380" s="304"/>
      <c r="BQ380" s="304"/>
      <c r="BR380" s="304"/>
      <c r="BS380" s="304"/>
      <c r="BT380" s="304"/>
      <c r="BU380" s="304"/>
      <c r="BV380" s="304"/>
      <c r="BW380" s="304"/>
      <c r="BX380" s="304"/>
      <c r="BY380" s="304"/>
      <c r="BZ380" s="304"/>
      <c r="CA380" s="304"/>
      <c r="CB380" s="304"/>
      <c r="CC380" s="304"/>
      <c r="CD380" s="304"/>
      <c r="CE380" s="304"/>
      <c r="CF380" s="304"/>
      <c r="CG380" s="304"/>
      <c r="CH380" s="304"/>
      <c r="CI380" s="304"/>
      <c r="CJ380" s="304"/>
      <c r="CK380" s="304"/>
      <c r="CL380" s="304"/>
      <c r="CM380" s="304"/>
      <c r="CN380" s="304"/>
      <c r="CO380" s="304"/>
      <c r="CP380" s="304"/>
    </row>
    <row r="381" spans="1:94" s="87" customFormat="1">
      <c r="A381" s="81"/>
      <c r="B381" s="83"/>
      <c r="C381" s="82"/>
      <c r="D381" s="102"/>
      <c r="E381" s="102"/>
      <c r="F381" s="102"/>
      <c r="G381" s="225"/>
      <c r="H381" s="102"/>
      <c r="I381" s="218"/>
      <c r="J381" s="102"/>
      <c r="K381" s="102" t="str">
        <f t="shared" si="30"/>
        <v/>
      </c>
      <c r="L381" s="221"/>
      <c r="M381" s="325"/>
      <c r="N381" s="94"/>
      <c r="O381" s="326"/>
      <c r="P381" s="84"/>
      <c r="Q381" s="88"/>
      <c r="R381" s="102">
        <f t="shared" si="29"/>
        <v>0</v>
      </c>
      <c r="S381" s="89"/>
      <c r="T381" s="100"/>
      <c r="U381" s="100"/>
      <c r="V381" s="100"/>
      <c r="W381" s="100"/>
      <c r="X381" s="100"/>
      <c r="Y381" s="83"/>
      <c r="Z381" s="304"/>
      <c r="AA381" s="304"/>
      <c r="AB381" s="304"/>
      <c r="AC381" s="304"/>
      <c r="AD381" s="304"/>
      <c r="AE381" s="304"/>
      <c r="AF381" s="304"/>
      <c r="AG381" s="304"/>
      <c r="AH381" s="304"/>
      <c r="AI381" s="304"/>
      <c r="AJ381" s="304"/>
      <c r="AK381" s="304"/>
      <c r="AL381" s="304"/>
      <c r="AM381" s="304"/>
      <c r="AN381" s="304"/>
      <c r="AO381" s="304"/>
      <c r="AP381" s="304"/>
      <c r="AQ381" s="304"/>
      <c r="AR381" s="304"/>
      <c r="AS381" s="304"/>
      <c r="AT381" s="304"/>
      <c r="AU381" s="304"/>
      <c r="AV381" s="304"/>
      <c r="AW381" s="304"/>
      <c r="AX381" s="304"/>
      <c r="AY381" s="304"/>
      <c r="AZ381" s="304"/>
      <c r="BA381" s="304"/>
      <c r="BB381" s="304"/>
      <c r="BC381" s="304"/>
      <c r="BD381" s="304"/>
      <c r="BE381" s="304"/>
      <c r="BF381" s="304"/>
      <c r="BG381" s="304"/>
      <c r="BH381" s="304"/>
      <c r="BI381" s="304"/>
      <c r="BJ381" s="304"/>
      <c r="BK381" s="304"/>
      <c r="BL381" s="304"/>
      <c r="BM381" s="304"/>
      <c r="BN381" s="304"/>
      <c r="BO381" s="304"/>
      <c r="BP381" s="304"/>
      <c r="BQ381" s="304"/>
      <c r="BR381" s="304"/>
      <c r="BS381" s="304"/>
      <c r="BT381" s="304"/>
      <c r="BU381" s="304"/>
      <c r="BV381" s="304"/>
      <c r="BW381" s="304"/>
      <c r="BX381" s="304"/>
      <c r="BY381" s="304"/>
      <c r="BZ381" s="304"/>
      <c r="CA381" s="304"/>
      <c r="CB381" s="304"/>
      <c r="CC381" s="304"/>
      <c r="CD381" s="304"/>
      <c r="CE381" s="304"/>
      <c r="CF381" s="304"/>
      <c r="CG381" s="304"/>
      <c r="CH381" s="304"/>
      <c r="CI381" s="304"/>
      <c r="CJ381" s="304"/>
      <c r="CK381" s="304"/>
      <c r="CL381" s="304"/>
      <c r="CM381" s="304"/>
      <c r="CN381" s="304"/>
      <c r="CO381" s="304"/>
      <c r="CP381" s="304"/>
    </row>
    <row r="382" spans="1:94" s="87" customFormat="1">
      <c r="A382" s="81"/>
      <c r="B382" s="83"/>
      <c r="C382" s="82"/>
      <c r="D382" s="102"/>
      <c r="E382" s="102"/>
      <c r="F382" s="102"/>
      <c r="G382" s="225"/>
      <c r="H382" s="102"/>
      <c r="I382" s="218"/>
      <c r="J382" s="102"/>
      <c r="K382" s="102" t="str">
        <f t="shared" si="30"/>
        <v/>
      </c>
      <c r="L382" s="221"/>
      <c r="M382" s="325"/>
      <c r="N382" s="94"/>
      <c r="O382" s="326"/>
      <c r="P382" s="84"/>
      <c r="Q382" s="88"/>
      <c r="R382" s="102">
        <f t="shared" si="29"/>
        <v>0</v>
      </c>
      <c r="S382" s="89"/>
      <c r="T382" s="100"/>
      <c r="U382" s="100"/>
      <c r="V382" s="100"/>
      <c r="W382" s="100"/>
      <c r="X382" s="100"/>
      <c r="Y382" s="83"/>
      <c r="Z382" s="304"/>
      <c r="AA382" s="304"/>
      <c r="AB382" s="304"/>
      <c r="AC382" s="304"/>
      <c r="AD382" s="304"/>
      <c r="AE382" s="304"/>
      <c r="AF382" s="304"/>
      <c r="AG382" s="304"/>
      <c r="AH382" s="304"/>
      <c r="AI382" s="304"/>
      <c r="AJ382" s="304"/>
      <c r="AK382" s="304"/>
      <c r="AL382" s="304"/>
      <c r="AM382" s="304"/>
      <c r="AN382" s="304"/>
      <c r="AO382" s="304"/>
      <c r="AP382" s="304"/>
      <c r="AQ382" s="304"/>
      <c r="AR382" s="304"/>
      <c r="AS382" s="304"/>
      <c r="AT382" s="304"/>
      <c r="AU382" s="304"/>
      <c r="AV382" s="304"/>
      <c r="AW382" s="304"/>
      <c r="AX382" s="304"/>
      <c r="AY382" s="304"/>
      <c r="AZ382" s="304"/>
      <c r="BA382" s="304"/>
      <c r="BB382" s="304"/>
      <c r="BC382" s="304"/>
      <c r="BD382" s="304"/>
      <c r="BE382" s="304"/>
      <c r="BF382" s="304"/>
      <c r="BG382" s="304"/>
      <c r="BH382" s="304"/>
      <c r="BI382" s="304"/>
      <c r="BJ382" s="304"/>
      <c r="BK382" s="304"/>
      <c r="BL382" s="304"/>
      <c r="BM382" s="304"/>
      <c r="BN382" s="304"/>
      <c r="BO382" s="304"/>
      <c r="BP382" s="304"/>
      <c r="BQ382" s="304"/>
      <c r="BR382" s="304"/>
      <c r="BS382" s="304"/>
      <c r="BT382" s="304"/>
      <c r="BU382" s="304"/>
      <c r="BV382" s="304"/>
      <c r="BW382" s="304"/>
      <c r="BX382" s="304"/>
      <c r="BY382" s="304"/>
      <c r="BZ382" s="304"/>
      <c r="CA382" s="304"/>
      <c r="CB382" s="304"/>
      <c r="CC382" s="304"/>
      <c r="CD382" s="304"/>
      <c r="CE382" s="304"/>
      <c r="CF382" s="304"/>
      <c r="CG382" s="304"/>
      <c r="CH382" s="304"/>
      <c r="CI382" s="304"/>
      <c r="CJ382" s="304"/>
      <c r="CK382" s="304"/>
      <c r="CL382" s="304"/>
      <c r="CM382" s="304"/>
      <c r="CN382" s="304"/>
      <c r="CO382" s="304"/>
      <c r="CP382" s="304"/>
    </row>
    <row r="383" spans="1:94" s="87" customFormat="1">
      <c r="A383" s="81"/>
      <c r="B383" s="83"/>
      <c r="C383" s="82"/>
      <c r="D383" s="102"/>
      <c r="E383" s="102"/>
      <c r="F383" s="102"/>
      <c r="G383" s="225"/>
      <c r="H383" s="102"/>
      <c r="I383" s="218"/>
      <c r="J383" s="102"/>
      <c r="K383" s="102" t="str">
        <f t="shared" si="30"/>
        <v/>
      </c>
      <c r="L383" s="221"/>
      <c r="M383" s="325"/>
      <c r="N383" s="94"/>
      <c r="O383" s="326"/>
      <c r="P383" s="84"/>
      <c r="Q383" s="88"/>
      <c r="R383" s="102">
        <f t="shared" si="29"/>
        <v>0</v>
      </c>
      <c r="S383" s="89"/>
      <c r="T383" s="100"/>
      <c r="U383" s="100"/>
      <c r="V383" s="100"/>
      <c r="W383" s="100"/>
      <c r="X383" s="100"/>
      <c r="Y383" s="83"/>
      <c r="Z383" s="304"/>
      <c r="AA383" s="304"/>
      <c r="AB383" s="304"/>
      <c r="AC383" s="304"/>
      <c r="AD383" s="304"/>
      <c r="AE383" s="304"/>
      <c r="AF383" s="304"/>
      <c r="AG383" s="304"/>
      <c r="AH383" s="304"/>
      <c r="AI383" s="304"/>
      <c r="AJ383" s="304"/>
      <c r="AK383" s="304"/>
      <c r="AL383" s="304"/>
      <c r="AM383" s="304"/>
      <c r="AN383" s="304"/>
      <c r="AO383" s="304"/>
      <c r="AP383" s="304"/>
      <c r="AQ383" s="304"/>
      <c r="AR383" s="304"/>
      <c r="AS383" s="304"/>
      <c r="AT383" s="304"/>
      <c r="AU383" s="304"/>
      <c r="AV383" s="304"/>
      <c r="AW383" s="304"/>
      <c r="AX383" s="304"/>
      <c r="AY383" s="304"/>
      <c r="AZ383" s="304"/>
      <c r="BA383" s="304"/>
      <c r="BB383" s="304"/>
      <c r="BC383" s="304"/>
      <c r="BD383" s="304"/>
      <c r="BE383" s="304"/>
      <c r="BF383" s="304"/>
      <c r="BG383" s="304"/>
      <c r="BH383" s="304"/>
      <c r="BI383" s="304"/>
      <c r="BJ383" s="304"/>
      <c r="BK383" s="304"/>
      <c r="BL383" s="304"/>
      <c r="BM383" s="304"/>
      <c r="BN383" s="304"/>
      <c r="BO383" s="304"/>
      <c r="BP383" s="304"/>
      <c r="BQ383" s="304"/>
      <c r="BR383" s="304"/>
      <c r="BS383" s="304"/>
      <c r="BT383" s="304"/>
      <c r="BU383" s="304"/>
      <c r="BV383" s="304"/>
      <c r="BW383" s="304"/>
      <c r="BX383" s="304"/>
      <c r="BY383" s="304"/>
      <c r="BZ383" s="304"/>
      <c r="CA383" s="304"/>
      <c r="CB383" s="304"/>
      <c r="CC383" s="304"/>
      <c r="CD383" s="304"/>
      <c r="CE383" s="304"/>
      <c r="CF383" s="304"/>
      <c r="CG383" s="304"/>
      <c r="CH383" s="304"/>
      <c r="CI383" s="304"/>
      <c r="CJ383" s="304"/>
      <c r="CK383" s="304"/>
      <c r="CL383" s="304"/>
      <c r="CM383" s="304"/>
      <c r="CN383" s="304"/>
      <c r="CO383" s="304"/>
      <c r="CP383" s="304"/>
    </row>
    <row r="384" spans="1:94" s="87" customFormat="1">
      <c r="A384" s="81"/>
      <c r="B384" s="83"/>
      <c r="C384" s="82"/>
      <c r="D384" s="102"/>
      <c r="E384" s="102"/>
      <c r="F384" s="102"/>
      <c r="G384" s="225"/>
      <c r="H384" s="102"/>
      <c r="I384" s="218"/>
      <c r="J384" s="102"/>
      <c r="K384" s="102" t="str">
        <f t="shared" si="30"/>
        <v/>
      </c>
      <c r="L384" s="221"/>
      <c r="M384" s="325"/>
      <c r="N384" s="94"/>
      <c r="O384" s="326"/>
      <c r="P384" s="84"/>
      <c r="Q384" s="88"/>
      <c r="R384" s="102">
        <f t="shared" si="29"/>
        <v>0</v>
      </c>
      <c r="S384" s="89"/>
      <c r="T384" s="100"/>
      <c r="U384" s="100"/>
      <c r="V384" s="100"/>
      <c r="W384" s="100"/>
      <c r="X384" s="100"/>
      <c r="Y384" s="83"/>
      <c r="Z384" s="304"/>
      <c r="AA384" s="304"/>
      <c r="AB384" s="304"/>
      <c r="AC384" s="304"/>
      <c r="AD384" s="304"/>
      <c r="AE384" s="304"/>
      <c r="AF384" s="304"/>
      <c r="AG384" s="304"/>
      <c r="AH384" s="304"/>
      <c r="AI384" s="304"/>
      <c r="AJ384" s="304"/>
      <c r="AK384" s="304"/>
      <c r="AL384" s="304"/>
      <c r="AM384" s="304"/>
      <c r="AN384" s="304"/>
      <c r="AO384" s="304"/>
      <c r="AP384" s="304"/>
      <c r="AQ384" s="304"/>
      <c r="AR384" s="304"/>
      <c r="AS384" s="304"/>
      <c r="AT384" s="304"/>
      <c r="AU384" s="304"/>
      <c r="AV384" s="304"/>
      <c r="AW384" s="304"/>
      <c r="AX384" s="304"/>
      <c r="AY384" s="304"/>
      <c r="AZ384" s="304"/>
      <c r="BA384" s="304"/>
      <c r="BB384" s="304"/>
      <c r="BC384" s="304"/>
      <c r="BD384" s="304"/>
      <c r="BE384" s="304"/>
      <c r="BF384" s="304"/>
      <c r="BG384" s="304"/>
      <c r="BH384" s="304"/>
      <c r="BI384" s="304"/>
      <c r="BJ384" s="304"/>
      <c r="BK384" s="304"/>
      <c r="BL384" s="304"/>
      <c r="BM384" s="304"/>
      <c r="BN384" s="304"/>
      <c r="BO384" s="304"/>
      <c r="BP384" s="304"/>
      <c r="BQ384" s="304"/>
      <c r="BR384" s="304"/>
      <c r="BS384" s="304"/>
      <c r="BT384" s="304"/>
      <c r="BU384" s="304"/>
      <c r="BV384" s="304"/>
      <c r="BW384" s="304"/>
      <c r="BX384" s="304"/>
      <c r="BY384" s="304"/>
      <c r="BZ384" s="304"/>
      <c r="CA384" s="304"/>
      <c r="CB384" s="304"/>
      <c r="CC384" s="304"/>
      <c r="CD384" s="304"/>
      <c r="CE384" s="304"/>
      <c r="CF384" s="304"/>
      <c r="CG384" s="304"/>
      <c r="CH384" s="304"/>
      <c r="CI384" s="304"/>
      <c r="CJ384" s="304"/>
      <c r="CK384" s="304"/>
      <c r="CL384" s="304"/>
      <c r="CM384" s="304"/>
      <c r="CN384" s="304"/>
      <c r="CO384" s="304"/>
      <c r="CP384" s="304"/>
    </row>
    <row r="385" spans="1:94" s="87" customFormat="1">
      <c r="A385" s="81"/>
      <c r="B385" s="83"/>
      <c r="C385" s="82"/>
      <c r="D385" s="102"/>
      <c r="E385" s="102"/>
      <c r="F385" s="102"/>
      <c r="G385" s="225"/>
      <c r="H385" s="102"/>
      <c r="I385" s="218"/>
      <c r="J385" s="102"/>
      <c r="K385" s="102" t="str">
        <f t="shared" si="30"/>
        <v/>
      </c>
      <c r="L385" s="221"/>
      <c r="M385" s="325"/>
      <c r="N385" s="94"/>
      <c r="O385" s="326"/>
      <c r="P385" s="84"/>
      <c r="Q385" s="88"/>
      <c r="R385" s="102">
        <f t="shared" si="29"/>
        <v>0</v>
      </c>
      <c r="S385" s="89"/>
      <c r="T385" s="100"/>
      <c r="U385" s="100"/>
      <c r="V385" s="100"/>
      <c r="W385" s="100"/>
      <c r="X385" s="100"/>
      <c r="Y385" s="83"/>
      <c r="Z385" s="304"/>
      <c r="AA385" s="304"/>
      <c r="AB385" s="304"/>
      <c r="AC385" s="304"/>
      <c r="AD385" s="304"/>
      <c r="AE385" s="304"/>
      <c r="AF385" s="304"/>
      <c r="AG385" s="304"/>
      <c r="AH385" s="304"/>
      <c r="AI385" s="304"/>
      <c r="AJ385" s="304"/>
      <c r="AK385" s="304"/>
      <c r="AL385" s="304"/>
      <c r="AM385" s="304"/>
      <c r="AN385" s="304"/>
      <c r="AO385" s="304"/>
      <c r="AP385" s="304"/>
      <c r="AQ385" s="304"/>
      <c r="AR385" s="304"/>
      <c r="AS385" s="304"/>
      <c r="AT385" s="304"/>
      <c r="AU385" s="304"/>
      <c r="AV385" s="304"/>
      <c r="AW385" s="304"/>
      <c r="AX385" s="304"/>
      <c r="AY385" s="304"/>
      <c r="AZ385" s="304"/>
      <c r="BA385" s="304"/>
      <c r="BB385" s="304"/>
      <c r="BC385" s="304"/>
      <c r="BD385" s="304"/>
      <c r="BE385" s="304"/>
      <c r="BF385" s="304"/>
      <c r="BG385" s="304"/>
      <c r="BH385" s="304"/>
      <c r="BI385" s="304"/>
      <c r="BJ385" s="304"/>
      <c r="BK385" s="304"/>
      <c r="BL385" s="304"/>
      <c r="BM385" s="304"/>
      <c r="BN385" s="304"/>
      <c r="BO385" s="304"/>
      <c r="BP385" s="304"/>
      <c r="BQ385" s="304"/>
      <c r="BR385" s="304"/>
      <c r="BS385" s="304"/>
      <c r="BT385" s="304"/>
      <c r="BU385" s="304"/>
      <c r="BV385" s="304"/>
      <c r="BW385" s="304"/>
      <c r="BX385" s="304"/>
      <c r="BY385" s="304"/>
      <c r="BZ385" s="304"/>
      <c r="CA385" s="304"/>
      <c r="CB385" s="304"/>
      <c r="CC385" s="304"/>
      <c r="CD385" s="304"/>
      <c r="CE385" s="304"/>
      <c r="CF385" s="304"/>
      <c r="CG385" s="304"/>
      <c r="CH385" s="304"/>
      <c r="CI385" s="304"/>
      <c r="CJ385" s="304"/>
      <c r="CK385" s="304"/>
      <c r="CL385" s="304"/>
      <c r="CM385" s="304"/>
      <c r="CN385" s="304"/>
      <c r="CO385" s="304"/>
      <c r="CP385" s="304"/>
    </row>
    <row r="386" spans="1:94" s="87" customFormat="1">
      <c r="A386" s="81"/>
      <c r="B386" s="83"/>
      <c r="C386" s="82"/>
      <c r="D386" s="102"/>
      <c r="E386" s="102"/>
      <c r="F386" s="102"/>
      <c r="G386" s="225"/>
      <c r="H386" s="102"/>
      <c r="I386" s="218"/>
      <c r="J386" s="102"/>
      <c r="K386" s="102" t="str">
        <f t="shared" si="30"/>
        <v/>
      </c>
      <c r="L386" s="221"/>
      <c r="M386" s="325"/>
      <c r="N386" s="94"/>
      <c r="O386" s="326"/>
      <c r="P386" s="84"/>
      <c r="Q386" s="88"/>
      <c r="R386" s="102">
        <f t="shared" si="29"/>
        <v>0</v>
      </c>
      <c r="S386" s="89"/>
      <c r="T386" s="100"/>
      <c r="U386" s="100"/>
      <c r="V386" s="100"/>
      <c r="W386" s="100"/>
      <c r="X386" s="100"/>
      <c r="Y386" s="83"/>
      <c r="Z386" s="304"/>
      <c r="AA386" s="304"/>
      <c r="AB386" s="304"/>
      <c r="AC386" s="304"/>
      <c r="AD386" s="304"/>
      <c r="AE386" s="304"/>
      <c r="AF386" s="304"/>
      <c r="AG386" s="304"/>
      <c r="AH386" s="304"/>
      <c r="AI386" s="304"/>
      <c r="AJ386" s="304"/>
      <c r="AK386" s="304"/>
      <c r="AL386" s="304"/>
      <c r="AM386" s="304"/>
      <c r="AN386" s="304"/>
      <c r="AO386" s="304"/>
      <c r="AP386" s="304"/>
      <c r="AQ386" s="304"/>
      <c r="AR386" s="304"/>
      <c r="AS386" s="304"/>
      <c r="AT386" s="304"/>
      <c r="AU386" s="304"/>
      <c r="AV386" s="304"/>
      <c r="AW386" s="304"/>
      <c r="AX386" s="304"/>
      <c r="AY386" s="304"/>
      <c r="AZ386" s="304"/>
      <c r="BA386" s="304"/>
      <c r="BB386" s="304"/>
      <c r="BC386" s="304"/>
      <c r="BD386" s="304"/>
      <c r="BE386" s="304"/>
      <c r="BF386" s="304"/>
      <c r="BG386" s="304"/>
      <c r="BH386" s="304"/>
      <c r="BI386" s="304"/>
      <c r="BJ386" s="304"/>
      <c r="BK386" s="304"/>
      <c r="BL386" s="304"/>
      <c r="BM386" s="304"/>
      <c r="BN386" s="304"/>
      <c r="BO386" s="304"/>
      <c r="BP386" s="304"/>
      <c r="BQ386" s="304"/>
      <c r="BR386" s="304"/>
      <c r="BS386" s="304"/>
      <c r="BT386" s="304"/>
      <c r="BU386" s="304"/>
      <c r="BV386" s="304"/>
      <c r="BW386" s="304"/>
      <c r="BX386" s="304"/>
      <c r="BY386" s="304"/>
      <c r="BZ386" s="304"/>
      <c r="CA386" s="304"/>
      <c r="CB386" s="304"/>
      <c r="CC386" s="304"/>
      <c r="CD386" s="304"/>
      <c r="CE386" s="304"/>
      <c r="CF386" s="304"/>
      <c r="CG386" s="304"/>
      <c r="CH386" s="304"/>
      <c r="CI386" s="304"/>
      <c r="CJ386" s="304"/>
      <c r="CK386" s="304"/>
      <c r="CL386" s="304"/>
      <c r="CM386" s="304"/>
      <c r="CN386" s="304"/>
      <c r="CO386" s="304"/>
      <c r="CP386" s="304"/>
    </row>
    <row r="387" spans="1:94" s="87" customFormat="1">
      <c r="A387" s="81"/>
      <c r="B387" s="83"/>
      <c r="C387" s="82"/>
      <c r="D387" s="102"/>
      <c r="E387" s="102"/>
      <c r="F387" s="102"/>
      <c r="G387" s="225"/>
      <c r="H387" s="102"/>
      <c r="I387" s="218"/>
      <c r="J387" s="102"/>
      <c r="K387" s="102" t="str">
        <f t="shared" si="30"/>
        <v/>
      </c>
      <c r="L387" s="221"/>
      <c r="M387" s="325"/>
      <c r="N387" s="94"/>
      <c r="O387" s="326"/>
      <c r="P387" s="84"/>
      <c r="Q387" s="88"/>
      <c r="R387" s="102">
        <f t="shared" si="29"/>
        <v>0</v>
      </c>
      <c r="S387" s="89"/>
      <c r="T387" s="100"/>
      <c r="U387" s="100"/>
      <c r="V387" s="100"/>
      <c r="W387" s="100"/>
      <c r="X387" s="100"/>
      <c r="Y387" s="83"/>
      <c r="Z387" s="304"/>
      <c r="AA387" s="304"/>
      <c r="AB387" s="304"/>
      <c r="AC387" s="304"/>
      <c r="AD387" s="304"/>
      <c r="AE387" s="304"/>
      <c r="AF387" s="304"/>
      <c r="AG387" s="304"/>
      <c r="AH387" s="304"/>
      <c r="AI387" s="304"/>
      <c r="AJ387" s="304"/>
      <c r="AK387" s="304"/>
      <c r="AL387" s="304"/>
      <c r="AM387" s="304"/>
      <c r="AN387" s="304"/>
      <c r="AO387" s="304"/>
      <c r="AP387" s="304"/>
      <c r="AQ387" s="304"/>
      <c r="AR387" s="304"/>
      <c r="AS387" s="304"/>
      <c r="AT387" s="304"/>
      <c r="AU387" s="304"/>
      <c r="AV387" s="304"/>
      <c r="AW387" s="304"/>
      <c r="AX387" s="304"/>
      <c r="AY387" s="304"/>
      <c r="AZ387" s="304"/>
      <c r="BA387" s="304"/>
      <c r="BB387" s="304"/>
      <c r="BC387" s="304"/>
      <c r="BD387" s="304"/>
      <c r="BE387" s="304"/>
      <c r="BF387" s="304"/>
      <c r="BG387" s="304"/>
      <c r="BH387" s="304"/>
      <c r="BI387" s="304"/>
      <c r="BJ387" s="304"/>
      <c r="BK387" s="304"/>
      <c r="BL387" s="304"/>
      <c r="BM387" s="304"/>
      <c r="BN387" s="304"/>
      <c r="BO387" s="304"/>
      <c r="BP387" s="304"/>
      <c r="BQ387" s="304"/>
      <c r="BR387" s="304"/>
      <c r="BS387" s="304"/>
      <c r="BT387" s="304"/>
      <c r="BU387" s="304"/>
      <c r="BV387" s="304"/>
      <c r="BW387" s="304"/>
      <c r="BX387" s="304"/>
      <c r="BY387" s="304"/>
      <c r="BZ387" s="304"/>
      <c r="CA387" s="304"/>
      <c r="CB387" s="304"/>
      <c r="CC387" s="304"/>
      <c r="CD387" s="304"/>
      <c r="CE387" s="304"/>
      <c r="CF387" s="304"/>
      <c r="CG387" s="304"/>
      <c r="CH387" s="304"/>
      <c r="CI387" s="304"/>
      <c r="CJ387" s="304"/>
      <c r="CK387" s="304"/>
      <c r="CL387" s="304"/>
      <c r="CM387" s="304"/>
      <c r="CN387" s="304"/>
      <c r="CO387" s="304"/>
      <c r="CP387" s="304"/>
    </row>
    <row r="388" spans="1:94" s="87" customFormat="1">
      <c r="A388" s="81"/>
      <c r="B388" s="83"/>
      <c r="C388" s="82"/>
      <c r="D388" s="102"/>
      <c r="E388" s="102"/>
      <c r="F388" s="102"/>
      <c r="G388" s="225"/>
      <c r="H388" s="102"/>
      <c r="I388" s="218"/>
      <c r="J388" s="102"/>
      <c r="K388" s="102" t="str">
        <f t="shared" si="30"/>
        <v/>
      </c>
      <c r="L388" s="221"/>
      <c r="M388" s="325"/>
      <c r="N388" s="94"/>
      <c r="O388" s="326"/>
      <c r="P388" s="84"/>
      <c r="Q388" s="88"/>
      <c r="R388" s="102">
        <f t="shared" si="29"/>
        <v>0</v>
      </c>
      <c r="S388" s="89"/>
      <c r="T388" s="100"/>
      <c r="U388" s="100"/>
      <c r="V388" s="100"/>
      <c r="W388" s="100"/>
      <c r="X388" s="100"/>
      <c r="Y388" s="83"/>
      <c r="Z388" s="304"/>
      <c r="AA388" s="304"/>
      <c r="AB388" s="304"/>
      <c r="AC388" s="304"/>
      <c r="AD388" s="304"/>
      <c r="AE388" s="304"/>
      <c r="AF388" s="304"/>
      <c r="AG388" s="304"/>
      <c r="AH388" s="304"/>
      <c r="AI388" s="304"/>
      <c r="AJ388" s="304"/>
      <c r="AK388" s="304"/>
      <c r="AL388" s="304"/>
      <c r="AM388" s="304"/>
      <c r="AN388" s="304"/>
      <c r="AO388" s="304"/>
      <c r="AP388" s="304"/>
      <c r="AQ388" s="304"/>
      <c r="AR388" s="304"/>
      <c r="AS388" s="304"/>
      <c r="AT388" s="304"/>
      <c r="AU388" s="304"/>
      <c r="AV388" s="304"/>
      <c r="AW388" s="304"/>
      <c r="AX388" s="304"/>
      <c r="AY388" s="304"/>
      <c r="AZ388" s="304"/>
      <c r="BA388" s="304"/>
      <c r="BB388" s="304"/>
      <c r="BC388" s="304"/>
      <c r="BD388" s="304"/>
      <c r="BE388" s="304"/>
      <c r="BF388" s="304"/>
      <c r="BG388" s="304"/>
      <c r="BH388" s="304"/>
      <c r="BI388" s="304"/>
      <c r="BJ388" s="304"/>
      <c r="BK388" s="304"/>
      <c r="BL388" s="304"/>
      <c r="BM388" s="304"/>
      <c r="BN388" s="304"/>
      <c r="BO388" s="304"/>
      <c r="BP388" s="304"/>
      <c r="BQ388" s="304"/>
      <c r="BR388" s="304"/>
      <c r="BS388" s="304"/>
      <c r="BT388" s="304"/>
      <c r="BU388" s="304"/>
      <c r="BV388" s="304"/>
      <c r="BW388" s="304"/>
      <c r="BX388" s="304"/>
      <c r="BY388" s="304"/>
      <c r="BZ388" s="304"/>
      <c r="CA388" s="304"/>
      <c r="CB388" s="304"/>
      <c r="CC388" s="304"/>
      <c r="CD388" s="304"/>
      <c r="CE388" s="304"/>
      <c r="CF388" s="304"/>
      <c r="CG388" s="304"/>
      <c r="CH388" s="304"/>
      <c r="CI388" s="304"/>
      <c r="CJ388" s="304"/>
      <c r="CK388" s="304"/>
      <c r="CL388" s="304"/>
      <c r="CM388" s="304"/>
      <c r="CN388" s="304"/>
      <c r="CO388" s="304"/>
      <c r="CP388" s="304"/>
    </row>
    <row r="389" spans="1:94" s="87" customFormat="1">
      <c r="A389" s="81"/>
      <c r="B389" s="83"/>
      <c r="C389" s="82"/>
      <c r="D389" s="102"/>
      <c r="E389" s="102"/>
      <c r="F389" s="102"/>
      <c r="G389" s="225"/>
      <c r="H389" s="102"/>
      <c r="I389" s="218"/>
      <c r="J389" s="102"/>
      <c r="K389" s="102" t="str">
        <f t="shared" si="30"/>
        <v/>
      </c>
      <c r="L389" s="221"/>
      <c r="M389" s="325"/>
      <c r="N389" s="94"/>
      <c r="O389" s="326"/>
      <c r="P389" s="84"/>
      <c r="Q389" s="88"/>
      <c r="R389" s="102">
        <f t="shared" ref="R389:R452" si="31">IFERROR(SUM(F389-D389),"NA")</f>
        <v>0</v>
      </c>
      <c r="S389" s="89"/>
      <c r="T389" s="100"/>
      <c r="U389" s="100"/>
      <c r="V389" s="100"/>
      <c r="W389" s="100"/>
      <c r="X389" s="100"/>
      <c r="Y389" s="83"/>
      <c r="Z389" s="304"/>
      <c r="AA389" s="304"/>
      <c r="AB389" s="304"/>
      <c r="AC389" s="304"/>
      <c r="AD389" s="304"/>
      <c r="AE389" s="304"/>
      <c r="AF389" s="304"/>
      <c r="AG389" s="304"/>
      <c r="AH389" s="304"/>
      <c r="AI389" s="304"/>
      <c r="AJ389" s="304"/>
      <c r="AK389" s="304"/>
      <c r="AL389" s="304"/>
      <c r="AM389" s="304"/>
      <c r="AN389" s="304"/>
      <c r="AO389" s="304"/>
      <c r="AP389" s="304"/>
      <c r="AQ389" s="304"/>
      <c r="AR389" s="304"/>
      <c r="AS389" s="304"/>
      <c r="AT389" s="304"/>
      <c r="AU389" s="304"/>
      <c r="AV389" s="304"/>
      <c r="AW389" s="304"/>
      <c r="AX389" s="304"/>
      <c r="AY389" s="304"/>
      <c r="AZ389" s="304"/>
      <c r="BA389" s="304"/>
      <c r="BB389" s="304"/>
      <c r="BC389" s="304"/>
      <c r="BD389" s="304"/>
      <c r="BE389" s="304"/>
      <c r="BF389" s="304"/>
      <c r="BG389" s="304"/>
      <c r="BH389" s="304"/>
      <c r="BI389" s="304"/>
      <c r="BJ389" s="304"/>
      <c r="BK389" s="304"/>
      <c r="BL389" s="304"/>
      <c r="BM389" s="304"/>
      <c r="BN389" s="304"/>
      <c r="BO389" s="304"/>
      <c r="BP389" s="304"/>
      <c r="BQ389" s="304"/>
      <c r="BR389" s="304"/>
      <c r="BS389" s="304"/>
      <c r="BT389" s="304"/>
      <c r="BU389" s="304"/>
      <c r="BV389" s="304"/>
      <c r="BW389" s="304"/>
      <c r="BX389" s="304"/>
      <c r="BY389" s="304"/>
      <c r="BZ389" s="304"/>
      <c r="CA389" s="304"/>
      <c r="CB389" s="304"/>
      <c r="CC389" s="304"/>
      <c r="CD389" s="304"/>
      <c r="CE389" s="304"/>
      <c r="CF389" s="304"/>
      <c r="CG389" s="304"/>
      <c r="CH389" s="304"/>
      <c r="CI389" s="304"/>
      <c r="CJ389" s="304"/>
      <c r="CK389" s="304"/>
      <c r="CL389" s="304"/>
      <c r="CM389" s="304"/>
      <c r="CN389" s="304"/>
      <c r="CO389" s="304"/>
      <c r="CP389" s="304"/>
    </row>
    <row r="390" spans="1:94" s="87" customFormat="1">
      <c r="A390" s="81"/>
      <c r="B390" s="83"/>
      <c r="C390" s="82"/>
      <c r="D390" s="102"/>
      <c r="E390" s="102"/>
      <c r="F390" s="102"/>
      <c r="G390" s="225"/>
      <c r="H390" s="102"/>
      <c r="I390" s="218"/>
      <c r="J390" s="102"/>
      <c r="K390" s="102" t="str">
        <f t="shared" si="30"/>
        <v/>
      </c>
      <c r="L390" s="221"/>
      <c r="M390" s="325"/>
      <c r="N390" s="94"/>
      <c r="O390" s="326"/>
      <c r="P390" s="84"/>
      <c r="Q390" s="88"/>
      <c r="R390" s="102">
        <f t="shared" si="31"/>
        <v>0</v>
      </c>
      <c r="S390" s="89"/>
      <c r="T390" s="100"/>
      <c r="U390" s="100"/>
      <c r="V390" s="100"/>
      <c r="W390" s="100"/>
      <c r="X390" s="100"/>
      <c r="Y390" s="83"/>
      <c r="Z390" s="304"/>
      <c r="AA390" s="304"/>
      <c r="AB390" s="304"/>
      <c r="AC390" s="304"/>
      <c r="AD390" s="304"/>
      <c r="AE390" s="304"/>
      <c r="AF390" s="304"/>
      <c r="AG390" s="304"/>
      <c r="AH390" s="304"/>
      <c r="AI390" s="304"/>
      <c r="AJ390" s="304"/>
      <c r="AK390" s="304"/>
      <c r="AL390" s="304"/>
      <c r="AM390" s="304"/>
      <c r="AN390" s="304"/>
      <c r="AO390" s="304"/>
      <c r="AP390" s="304"/>
      <c r="AQ390" s="304"/>
      <c r="AR390" s="304"/>
      <c r="AS390" s="304"/>
      <c r="AT390" s="304"/>
      <c r="AU390" s="304"/>
      <c r="AV390" s="304"/>
      <c r="AW390" s="304"/>
      <c r="AX390" s="304"/>
      <c r="AY390" s="304"/>
      <c r="AZ390" s="304"/>
      <c r="BA390" s="304"/>
      <c r="BB390" s="304"/>
      <c r="BC390" s="304"/>
      <c r="BD390" s="304"/>
      <c r="BE390" s="304"/>
      <c r="BF390" s="304"/>
      <c r="BG390" s="304"/>
      <c r="BH390" s="304"/>
      <c r="BI390" s="304"/>
      <c r="BJ390" s="304"/>
      <c r="BK390" s="304"/>
      <c r="BL390" s="304"/>
      <c r="BM390" s="304"/>
      <c r="BN390" s="304"/>
      <c r="BO390" s="304"/>
      <c r="BP390" s="304"/>
      <c r="BQ390" s="304"/>
      <c r="BR390" s="304"/>
      <c r="BS390" s="304"/>
      <c r="BT390" s="304"/>
      <c r="BU390" s="304"/>
      <c r="BV390" s="304"/>
      <c r="BW390" s="304"/>
      <c r="BX390" s="304"/>
      <c r="BY390" s="304"/>
      <c r="BZ390" s="304"/>
      <c r="CA390" s="304"/>
      <c r="CB390" s="304"/>
      <c r="CC390" s="304"/>
      <c r="CD390" s="304"/>
      <c r="CE390" s="304"/>
      <c r="CF390" s="304"/>
      <c r="CG390" s="304"/>
      <c r="CH390" s="304"/>
      <c r="CI390" s="304"/>
      <c r="CJ390" s="304"/>
      <c r="CK390" s="304"/>
      <c r="CL390" s="304"/>
      <c r="CM390" s="304"/>
      <c r="CN390" s="304"/>
      <c r="CO390" s="304"/>
      <c r="CP390" s="304"/>
    </row>
    <row r="391" spans="1:94" s="87" customFormat="1">
      <c r="A391" s="81"/>
      <c r="B391" s="83"/>
      <c r="C391" s="82"/>
      <c r="D391" s="102"/>
      <c r="E391" s="102"/>
      <c r="F391" s="102"/>
      <c r="G391" s="225"/>
      <c r="H391" s="102"/>
      <c r="I391" s="218"/>
      <c r="J391" s="102"/>
      <c r="K391" s="102" t="str">
        <f t="shared" si="30"/>
        <v/>
      </c>
      <c r="L391" s="221"/>
      <c r="M391" s="325"/>
      <c r="N391" s="94"/>
      <c r="O391" s="326"/>
      <c r="P391" s="84"/>
      <c r="Q391" s="88"/>
      <c r="R391" s="102">
        <f t="shared" si="31"/>
        <v>0</v>
      </c>
      <c r="S391" s="89"/>
      <c r="T391" s="100"/>
      <c r="U391" s="100"/>
      <c r="V391" s="100"/>
      <c r="W391" s="100"/>
      <c r="X391" s="100"/>
      <c r="Y391" s="83"/>
      <c r="Z391" s="304"/>
      <c r="AA391" s="304"/>
      <c r="AB391" s="304"/>
      <c r="AC391" s="304"/>
      <c r="AD391" s="304"/>
      <c r="AE391" s="304"/>
      <c r="AF391" s="304"/>
      <c r="AG391" s="304"/>
      <c r="AH391" s="304"/>
      <c r="AI391" s="304"/>
      <c r="AJ391" s="304"/>
      <c r="AK391" s="304"/>
      <c r="AL391" s="304"/>
      <c r="AM391" s="304"/>
      <c r="AN391" s="304"/>
      <c r="AO391" s="304"/>
      <c r="AP391" s="304"/>
      <c r="AQ391" s="304"/>
      <c r="AR391" s="304"/>
      <c r="AS391" s="304"/>
      <c r="AT391" s="304"/>
      <c r="AU391" s="304"/>
      <c r="AV391" s="304"/>
      <c r="AW391" s="304"/>
      <c r="AX391" s="304"/>
      <c r="AY391" s="304"/>
      <c r="AZ391" s="304"/>
      <c r="BA391" s="304"/>
      <c r="BB391" s="304"/>
      <c r="BC391" s="304"/>
      <c r="BD391" s="304"/>
      <c r="BE391" s="304"/>
      <c r="BF391" s="304"/>
      <c r="BG391" s="304"/>
      <c r="BH391" s="304"/>
      <c r="BI391" s="304"/>
      <c r="BJ391" s="304"/>
      <c r="BK391" s="304"/>
      <c r="BL391" s="304"/>
      <c r="BM391" s="304"/>
      <c r="BN391" s="304"/>
      <c r="BO391" s="304"/>
      <c r="BP391" s="304"/>
      <c r="BQ391" s="304"/>
      <c r="BR391" s="304"/>
      <c r="BS391" s="304"/>
      <c r="BT391" s="304"/>
      <c r="BU391" s="304"/>
      <c r="BV391" s="304"/>
      <c r="BW391" s="304"/>
      <c r="BX391" s="304"/>
      <c r="BY391" s="304"/>
      <c r="BZ391" s="304"/>
      <c r="CA391" s="304"/>
      <c r="CB391" s="304"/>
      <c r="CC391" s="304"/>
      <c r="CD391" s="304"/>
      <c r="CE391" s="304"/>
      <c r="CF391" s="304"/>
      <c r="CG391" s="304"/>
      <c r="CH391" s="304"/>
      <c r="CI391" s="304"/>
      <c r="CJ391" s="304"/>
      <c r="CK391" s="304"/>
      <c r="CL391" s="304"/>
      <c r="CM391" s="304"/>
      <c r="CN391" s="304"/>
      <c r="CO391" s="304"/>
      <c r="CP391" s="304"/>
    </row>
    <row r="392" spans="1:94" s="87" customFormat="1">
      <c r="A392" s="81"/>
      <c r="B392" s="83"/>
      <c r="C392" s="82"/>
      <c r="D392" s="102"/>
      <c r="E392" s="102"/>
      <c r="F392" s="102"/>
      <c r="G392" s="225"/>
      <c r="H392" s="102"/>
      <c r="I392" s="218"/>
      <c r="J392" s="102"/>
      <c r="K392" s="102" t="str">
        <f t="shared" si="30"/>
        <v/>
      </c>
      <c r="L392" s="221"/>
      <c r="M392" s="325"/>
      <c r="N392" s="94"/>
      <c r="O392" s="326"/>
      <c r="P392" s="84"/>
      <c r="Q392" s="88"/>
      <c r="R392" s="102">
        <f t="shared" si="31"/>
        <v>0</v>
      </c>
      <c r="S392" s="89"/>
      <c r="T392" s="100"/>
      <c r="U392" s="100"/>
      <c r="V392" s="100"/>
      <c r="W392" s="100"/>
      <c r="X392" s="100"/>
      <c r="Y392" s="83"/>
      <c r="Z392" s="304"/>
      <c r="AA392" s="304"/>
      <c r="AB392" s="304"/>
      <c r="AC392" s="304"/>
      <c r="AD392" s="304"/>
      <c r="AE392" s="304"/>
      <c r="AF392" s="304"/>
      <c r="AG392" s="304"/>
      <c r="AH392" s="304"/>
      <c r="AI392" s="304"/>
      <c r="AJ392" s="304"/>
      <c r="AK392" s="304"/>
      <c r="AL392" s="304"/>
      <c r="AM392" s="304"/>
      <c r="AN392" s="304"/>
      <c r="AO392" s="304"/>
      <c r="AP392" s="304"/>
      <c r="AQ392" s="304"/>
      <c r="AR392" s="304"/>
      <c r="AS392" s="304"/>
      <c r="AT392" s="304"/>
      <c r="AU392" s="304"/>
      <c r="AV392" s="304"/>
      <c r="AW392" s="304"/>
      <c r="AX392" s="304"/>
      <c r="AY392" s="304"/>
      <c r="AZ392" s="304"/>
      <c r="BA392" s="304"/>
      <c r="BB392" s="304"/>
      <c r="BC392" s="304"/>
      <c r="BD392" s="304"/>
      <c r="BE392" s="304"/>
      <c r="BF392" s="304"/>
      <c r="BG392" s="304"/>
      <c r="BH392" s="304"/>
      <c r="BI392" s="304"/>
      <c r="BJ392" s="304"/>
      <c r="BK392" s="304"/>
      <c r="BL392" s="304"/>
      <c r="BM392" s="304"/>
      <c r="BN392" s="304"/>
      <c r="BO392" s="304"/>
      <c r="BP392" s="304"/>
      <c r="BQ392" s="304"/>
      <c r="BR392" s="304"/>
      <c r="BS392" s="304"/>
      <c r="BT392" s="304"/>
      <c r="BU392" s="304"/>
      <c r="BV392" s="304"/>
      <c r="BW392" s="304"/>
      <c r="BX392" s="304"/>
      <c r="BY392" s="304"/>
      <c r="BZ392" s="304"/>
      <c r="CA392" s="304"/>
      <c r="CB392" s="304"/>
      <c r="CC392" s="304"/>
      <c r="CD392" s="304"/>
      <c r="CE392" s="304"/>
      <c r="CF392" s="304"/>
      <c r="CG392" s="304"/>
      <c r="CH392" s="304"/>
      <c r="CI392" s="304"/>
      <c r="CJ392" s="304"/>
      <c r="CK392" s="304"/>
      <c r="CL392" s="304"/>
      <c r="CM392" s="304"/>
      <c r="CN392" s="304"/>
      <c r="CO392" s="304"/>
      <c r="CP392" s="304"/>
    </row>
    <row r="393" spans="1:94" s="87" customFormat="1">
      <c r="A393" s="81"/>
      <c r="B393" s="83"/>
      <c r="C393" s="82"/>
      <c r="D393" s="102"/>
      <c r="E393" s="102"/>
      <c r="F393" s="102"/>
      <c r="G393" s="225"/>
      <c r="H393" s="102"/>
      <c r="I393" s="218"/>
      <c r="J393" s="102"/>
      <c r="K393" s="102" t="str">
        <f t="shared" si="30"/>
        <v/>
      </c>
      <c r="L393" s="221"/>
      <c r="M393" s="325"/>
      <c r="N393" s="94"/>
      <c r="O393" s="326"/>
      <c r="P393" s="84"/>
      <c r="Q393" s="88"/>
      <c r="R393" s="102">
        <f t="shared" si="31"/>
        <v>0</v>
      </c>
      <c r="S393" s="89"/>
      <c r="T393" s="100"/>
      <c r="U393" s="100"/>
      <c r="V393" s="100"/>
      <c r="W393" s="100"/>
      <c r="X393" s="100"/>
      <c r="Y393" s="83"/>
      <c r="Z393" s="304"/>
      <c r="AA393" s="304"/>
      <c r="AB393" s="304"/>
      <c r="AC393" s="304"/>
      <c r="AD393" s="304"/>
      <c r="AE393" s="304"/>
      <c r="AF393" s="304"/>
      <c r="AG393" s="304"/>
      <c r="AH393" s="304"/>
      <c r="AI393" s="304"/>
      <c r="AJ393" s="304"/>
      <c r="AK393" s="304"/>
      <c r="AL393" s="304"/>
      <c r="AM393" s="304"/>
      <c r="AN393" s="304"/>
      <c r="AO393" s="304"/>
      <c r="AP393" s="304"/>
      <c r="AQ393" s="304"/>
      <c r="AR393" s="304"/>
      <c r="AS393" s="304"/>
      <c r="AT393" s="304"/>
      <c r="AU393" s="304"/>
      <c r="AV393" s="304"/>
      <c r="AW393" s="304"/>
      <c r="AX393" s="304"/>
      <c r="AY393" s="304"/>
      <c r="AZ393" s="304"/>
      <c r="BA393" s="304"/>
      <c r="BB393" s="304"/>
      <c r="BC393" s="304"/>
      <c r="BD393" s="304"/>
      <c r="BE393" s="304"/>
      <c r="BF393" s="304"/>
      <c r="BG393" s="304"/>
      <c r="BH393" s="304"/>
      <c r="BI393" s="304"/>
      <c r="BJ393" s="304"/>
      <c r="BK393" s="304"/>
      <c r="BL393" s="304"/>
      <c r="BM393" s="304"/>
      <c r="BN393" s="304"/>
      <c r="BO393" s="304"/>
      <c r="BP393" s="304"/>
      <c r="BQ393" s="304"/>
      <c r="BR393" s="304"/>
      <c r="BS393" s="304"/>
      <c r="BT393" s="304"/>
      <c r="BU393" s="304"/>
      <c r="BV393" s="304"/>
      <c r="BW393" s="304"/>
      <c r="BX393" s="304"/>
      <c r="BY393" s="304"/>
      <c r="BZ393" s="304"/>
      <c r="CA393" s="304"/>
      <c r="CB393" s="304"/>
      <c r="CC393" s="304"/>
      <c r="CD393" s="304"/>
      <c r="CE393" s="304"/>
      <c r="CF393" s="304"/>
      <c r="CG393" s="304"/>
      <c r="CH393" s="304"/>
      <c r="CI393" s="304"/>
      <c r="CJ393" s="304"/>
      <c r="CK393" s="304"/>
      <c r="CL393" s="304"/>
      <c r="CM393" s="304"/>
      <c r="CN393" s="304"/>
      <c r="CO393" s="304"/>
      <c r="CP393" s="304"/>
    </row>
    <row r="394" spans="1:94" s="87" customFormat="1">
      <c r="A394" s="81"/>
      <c r="B394" s="83"/>
      <c r="C394" s="82"/>
      <c r="D394" s="102"/>
      <c r="E394" s="102"/>
      <c r="F394" s="102"/>
      <c r="G394" s="225"/>
      <c r="H394" s="102"/>
      <c r="I394" s="218"/>
      <c r="J394" s="102"/>
      <c r="K394" s="102" t="str">
        <f t="shared" ref="K394:K457" si="32">IF(RIGHT(IF(LEFT(SUBSTITUTE(SUBSTITUTE(IF(ISERROR(LEFT(SUBSTITUTE(SUBSTITUTE(C394,"(",""),")",""),1)*1),SUBSTITUTE(SUBSTITUTE(C394,"(",""),")",""),SUBSTITUTE(SUBSTITUTE(SUBSTITUTE(C394,"(",""),")",""),"_","",1)),"00",""),"_0","_"),1)="0",RIGHT(SUBSTITUTE(SUBSTITUTE(IF(ISERROR(LEFT(SUBSTITUTE(SUBSTITUTE(C394,"(",""),")",""),1)*1),SUBSTITUTE(SUBSTITUTE(C394,"(",""),")",""),SUBSTITUTE(SUBSTITUTE(SUBSTITUTE(C394,"(",""),")",""),"_","",1)),"00",""),"_0","_"),LEN(SUBSTITUTE(SUBSTITUTE(IF(ISERROR(LEFT(SUBSTITUTE(SUBSTITUTE(C394,"(",""),")",""),1)*1),SUBSTITUTE(SUBSTITUTE(C394,"(",""),")",""),SUBSTITUTE(SUBSTITUTE(SUBSTITUTE(C394,"(",""),")",""),"_","",1)),"00",""),"_0","_"))-1),SUBSTITUTE(SUBSTITUTE(IF(ISERROR(LEFT(SUBSTITUTE(SUBSTITUTE(C394,"(",""),")",""),1)*1),SUBSTITUTE(SUBSTITUTE(C394,"(",""),")",""),SUBSTITUTE(SUBSTITUTE(SUBSTITUTE(C394,"(",""),")",""),"_","",1)),"00",""),"_0","_")),1)="_",LEFT(IF(LEFT(SUBSTITUTE(SUBSTITUTE(IF(ISERROR(LEFT(SUBSTITUTE(SUBSTITUTE(C394,"(",""),")",""),1)*1),SUBSTITUTE(SUBSTITUTE(C394,"(",""),")",""),SUBSTITUTE(SUBSTITUTE(SUBSTITUTE(C394,"(",""),")",""),"_","",1)),"00",""),"_0","_"),1)="0",RIGHT(SUBSTITUTE(SUBSTITUTE(IF(ISERROR(LEFT(SUBSTITUTE(SUBSTITUTE(C394,"(",""),")",""),1)*1),SUBSTITUTE(SUBSTITUTE(C394,"(",""),")",""),SUBSTITUTE(SUBSTITUTE(SUBSTITUTE(C394,"(",""),")",""),"_","",1)),"00",""),"_0","_"),LEN(SUBSTITUTE(SUBSTITUTE(IF(ISERROR(LEFT(SUBSTITUTE(SUBSTITUTE(C394,"(",""),")",""),1)*1),SUBSTITUTE(SUBSTITUTE(C394,"(",""),")",""),SUBSTITUTE(SUBSTITUTE(SUBSTITUTE(C394,"(",""),")",""),"_","",1)),"00",""),"_0","_"))-1),SUBSTITUTE(SUBSTITUTE(IF(ISERROR(LEFT(SUBSTITUTE(SUBSTITUTE(C394,"(",""),")",""),1)*1),SUBSTITUTE(SUBSTITUTE(C394,"(",""),")",""),SUBSTITUTE(SUBSTITUTE(SUBSTITUTE(C394,"(",""),")",""),"_","",1)),"00",""),"_0","_")),LEN(IF(LEFT(SUBSTITUTE(SUBSTITUTE(IF(ISERROR(LEFT(SUBSTITUTE(SUBSTITUTE(C394,"(",""),")",""),1)*1),SUBSTITUTE(SUBSTITUTE(C394,"(",""),")",""),SUBSTITUTE(SUBSTITUTE(SUBSTITUTE(C394,"(",""),")",""),"_","",1)),"00",""),"_0","_"),1)="0",RIGHT(SUBSTITUTE(SUBSTITUTE(IF(ISERROR(LEFT(SUBSTITUTE(SUBSTITUTE(C394,"(",""),")",""),1)*1),SUBSTITUTE(SUBSTITUTE(C394,"(",""),")",""),SUBSTITUTE(SUBSTITUTE(SUBSTITUTE(C394,"(",""),")",""),"_","",1)),"00",""),"_0","_"),LEN(SUBSTITUTE(SUBSTITUTE(IF(ISERROR(LEFT(SUBSTITUTE(SUBSTITUTE(C394,"(",""),")",""),1)*1),SUBSTITUTE(SUBSTITUTE(C394,"(",""),")",""),SUBSTITUTE(SUBSTITUTE(SUBSTITUTE(C394,"(",""),")",""),"_","",1)),"00",""),"_0","_"))-1),SUBSTITUTE(SUBSTITUTE(IF(ISERROR(LEFT(SUBSTITUTE(SUBSTITUTE(C394,"(",""),")",""),1)*1),SUBSTITUTE(SUBSTITUTE(C394,"(",""),")",""),SUBSTITUTE(SUBSTITUTE(SUBSTITUTE(C394,"(",""),")",""),"_","",1)),"00",""),"_0","_")))-1),IF(LEFT(SUBSTITUTE(SUBSTITUTE(IF(ISERROR(LEFT(SUBSTITUTE(SUBSTITUTE(C394,"(",""),")",""),1)*1),SUBSTITUTE(SUBSTITUTE(C394,"(",""),")",""),SUBSTITUTE(SUBSTITUTE(SUBSTITUTE(C394,"(",""),")",""),"_","",1)),"00",""),"_0","_"),1)="0",RIGHT(SUBSTITUTE(SUBSTITUTE(IF(ISERROR(LEFT(SUBSTITUTE(SUBSTITUTE(C394,"(",""),")",""),1)*1),SUBSTITUTE(SUBSTITUTE(C394,"(",""),")",""),SUBSTITUTE(SUBSTITUTE(SUBSTITUTE(C394,"(",""),")",""),"_","",1)),"00",""),"_0","_"),LEN(SUBSTITUTE(SUBSTITUTE(IF(ISERROR(LEFT(SUBSTITUTE(SUBSTITUTE(C394,"(",""),")",""),1)*1),SUBSTITUTE(SUBSTITUTE(C394,"(",""),")",""),SUBSTITUTE(SUBSTITUTE(SUBSTITUTE(C394,"(",""),")",""),"_","",1)),"00",""),"_0","_"))-1),SUBSTITUTE(SUBSTITUTE(IF(ISERROR(LEFT(SUBSTITUTE(SUBSTITUTE(C394,"(",""),")",""),1)*1),SUBSTITUTE(SUBSTITUTE(C394,"(",""),")",""),SUBSTITUTE(SUBSTITUTE(SUBSTITUTE(C394,"(",""),")",""),"_","",1)),"00",""),"_0","_")))</f>
        <v/>
      </c>
      <c r="L394" s="221"/>
      <c r="M394" s="325"/>
      <c r="N394" s="94"/>
      <c r="O394" s="326"/>
      <c r="P394" s="84"/>
      <c r="Q394" s="88"/>
      <c r="R394" s="102">
        <f t="shared" si="31"/>
        <v>0</v>
      </c>
      <c r="S394" s="89"/>
      <c r="T394" s="100"/>
      <c r="U394" s="100"/>
      <c r="V394" s="100"/>
      <c r="W394" s="100"/>
      <c r="X394" s="100"/>
      <c r="Y394" s="83"/>
      <c r="Z394" s="304"/>
      <c r="AA394" s="304"/>
      <c r="AB394" s="304"/>
      <c r="AC394" s="304"/>
      <c r="AD394" s="304"/>
      <c r="AE394" s="304"/>
      <c r="AF394" s="304"/>
      <c r="AG394" s="304"/>
      <c r="AH394" s="304"/>
      <c r="AI394" s="304"/>
      <c r="AJ394" s="304"/>
      <c r="AK394" s="304"/>
      <c r="AL394" s="304"/>
      <c r="AM394" s="304"/>
      <c r="AN394" s="304"/>
      <c r="AO394" s="304"/>
      <c r="AP394" s="304"/>
      <c r="AQ394" s="304"/>
      <c r="AR394" s="304"/>
      <c r="AS394" s="304"/>
      <c r="AT394" s="304"/>
      <c r="AU394" s="304"/>
      <c r="AV394" s="304"/>
      <c r="AW394" s="304"/>
      <c r="AX394" s="304"/>
      <c r="AY394" s="304"/>
      <c r="AZ394" s="304"/>
      <c r="BA394" s="304"/>
      <c r="BB394" s="304"/>
      <c r="BC394" s="304"/>
      <c r="BD394" s="304"/>
      <c r="BE394" s="304"/>
      <c r="BF394" s="304"/>
      <c r="BG394" s="304"/>
      <c r="BH394" s="304"/>
      <c r="BI394" s="304"/>
      <c r="BJ394" s="304"/>
      <c r="BK394" s="304"/>
      <c r="BL394" s="304"/>
      <c r="BM394" s="304"/>
      <c r="BN394" s="304"/>
      <c r="BO394" s="304"/>
      <c r="BP394" s="304"/>
      <c r="BQ394" s="304"/>
      <c r="BR394" s="304"/>
      <c r="BS394" s="304"/>
      <c r="BT394" s="304"/>
      <c r="BU394" s="304"/>
      <c r="BV394" s="304"/>
      <c r="BW394" s="304"/>
      <c r="BX394" s="304"/>
      <c r="BY394" s="304"/>
      <c r="BZ394" s="304"/>
      <c r="CA394" s="304"/>
      <c r="CB394" s="304"/>
      <c r="CC394" s="304"/>
      <c r="CD394" s="304"/>
      <c r="CE394" s="304"/>
      <c r="CF394" s="304"/>
      <c r="CG394" s="304"/>
      <c r="CH394" s="304"/>
      <c r="CI394" s="304"/>
      <c r="CJ394" s="304"/>
      <c r="CK394" s="304"/>
      <c r="CL394" s="304"/>
      <c r="CM394" s="304"/>
      <c r="CN394" s="304"/>
      <c r="CO394" s="304"/>
      <c r="CP394" s="304"/>
    </row>
    <row r="395" spans="1:94" s="87" customFormat="1">
      <c r="A395" s="81"/>
      <c r="B395" s="83"/>
      <c r="C395" s="82"/>
      <c r="D395" s="102"/>
      <c r="E395" s="102"/>
      <c r="F395" s="102"/>
      <c r="G395" s="225"/>
      <c r="H395" s="102"/>
      <c r="I395" s="218"/>
      <c r="J395" s="102"/>
      <c r="K395" s="102" t="str">
        <f t="shared" si="32"/>
        <v/>
      </c>
      <c r="L395" s="221"/>
      <c r="M395" s="325"/>
      <c r="N395" s="94"/>
      <c r="O395" s="326"/>
      <c r="P395" s="84"/>
      <c r="Q395" s="88"/>
      <c r="R395" s="102">
        <f t="shared" si="31"/>
        <v>0</v>
      </c>
      <c r="S395" s="89"/>
      <c r="T395" s="100"/>
      <c r="U395" s="100"/>
      <c r="V395" s="100"/>
      <c r="W395" s="100"/>
      <c r="X395" s="100"/>
      <c r="Y395" s="83"/>
      <c r="Z395" s="304"/>
      <c r="AA395" s="304"/>
      <c r="AB395" s="304"/>
      <c r="AC395" s="304"/>
      <c r="AD395" s="304"/>
      <c r="AE395" s="304"/>
      <c r="AF395" s="304"/>
      <c r="AG395" s="304"/>
      <c r="AH395" s="304"/>
      <c r="AI395" s="304"/>
      <c r="AJ395" s="304"/>
      <c r="AK395" s="304"/>
      <c r="AL395" s="304"/>
      <c r="AM395" s="304"/>
      <c r="AN395" s="304"/>
      <c r="AO395" s="304"/>
      <c r="AP395" s="304"/>
      <c r="AQ395" s="304"/>
      <c r="AR395" s="304"/>
      <c r="AS395" s="304"/>
      <c r="AT395" s="304"/>
      <c r="AU395" s="304"/>
      <c r="AV395" s="304"/>
      <c r="AW395" s="304"/>
      <c r="AX395" s="304"/>
      <c r="AY395" s="304"/>
      <c r="AZ395" s="304"/>
      <c r="BA395" s="304"/>
      <c r="BB395" s="304"/>
      <c r="BC395" s="304"/>
      <c r="BD395" s="304"/>
      <c r="BE395" s="304"/>
      <c r="BF395" s="304"/>
      <c r="BG395" s="304"/>
      <c r="BH395" s="304"/>
      <c r="BI395" s="304"/>
      <c r="BJ395" s="304"/>
      <c r="BK395" s="304"/>
      <c r="BL395" s="304"/>
      <c r="BM395" s="304"/>
      <c r="BN395" s="304"/>
      <c r="BO395" s="304"/>
      <c r="BP395" s="304"/>
      <c r="BQ395" s="304"/>
      <c r="BR395" s="304"/>
      <c r="BS395" s="304"/>
      <c r="BT395" s="304"/>
      <c r="BU395" s="304"/>
      <c r="BV395" s="304"/>
      <c r="BW395" s="304"/>
      <c r="BX395" s="304"/>
      <c r="BY395" s="304"/>
      <c r="BZ395" s="304"/>
      <c r="CA395" s="304"/>
      <c r="CB395" s="304"/>
      <c r="CC395" s="304"/>
      <c r="CD395" s="304"/>
      <c r="CE395" s="304"/>
      <c r="CF395" s="304"/>
      <c r="CG395" s="304"/>
      <c r="CH395" s="304"/>
      <c r="CI395" s="304"/>
      <c r="CJ395" s="304"/>
      <c r="CK395" s="304"/>
      <c r="CL395" s="304"/>
      <c r="CM395" s="304"/>
      <c r="CN395" s="304"/>
      <c r="CO395" s="304"/>
      <c r="CP395" s="304"/>
    </row>
    <row r="396" spans="1:94" s="87" customFormat="1">
      <c r="A396" s="81"/>
      <c r="B396" s="83"/>
      <c r="C396" s="82"/>
      <c r="D396" s="102"/>
      <c r="E396" s="102"/>
      <c r="F396" s="102"/>
      <c r="G396" s="225"/>
      <c r="H396" s="102"/>
      <c r="I396" s="218"/>
      <c r="J396" s="102"/>
      <c r="K396" s="102" t="str">
        <f t="shared" si="32"/>
        <v/>
      </c>
      <c r="L396" s="221"/>
      <c r="M396" s="325"/>
      <c r="N396" s="94"/>
      <c r="O396" s="326"/>
      <c r="P396" s="84"/>
      <c r="Q396" s="88"/>
      <c r="R396" s="102">
        <f t="shared" si="31"/>
        <v>0</v>
      </c>
      <c r="S396" s="89"/>
      <c r="T396" s="100"/>
      <c r="U396" s="100"/>
      <c r="V396" s="100"/>
      <c r="W396" s="100"/>
      <c r="X396" s="100"/>
      <c r="Y396" s="83"/>
      <c r="Z396" s="304"/>
      <c r="AA396" s="304"/>
      <c r="AB396" s="304"/>
      <c r="AC396" s="304"/>
      <c r="AD396" s="304"/>
      <c r="AE396" s="304"/>
      <c r="AF396" s="304"/>
      <c r="AG396" s="304"/>
      <c r="AH396" s="304"/>
      <c r="AI396" s="304"/>
      <c r="AJ396" s="304"/>
      <c r="AK396" s="304"/>
      <c r="AL396" s="304"/>
      <c r="AM396" s="304"/>
      <c r="AN396" s="304"/>
      <c r="AO396" s="304"/>
      <c r="AP396" s="304"/>
      <c r="AQ396" s="304"/>
      <c r="AR396" s="304"/>
      <c r="AS396" s="304"/>
      <c r="AT396" s="304"/>
      <c r="AU396" s="304"/>
      <c r="AV396" s="304"/>
      <c r="AW396" s="304"/>
      <c r="AX396" s="304"/>
      <c r="AY396" s="304"/>
      <c r="AZ396" s="304"/>
      <c r="BA396" s="304"/>
      <c r="BB396" s="304"/>
      <c r="BC396" s="304"/>
      <c r="BD396" s="304"/>
      <c r="BE396" s="304"/>
      <c r="BF396" s="304"/>
      <c r="BG396" s="304"/>
      <c r="BH396" s="304"/>
      <c r="BI396" s="304"/>
      <c r="BJ396" s="304"/>
      <c r="BK396" s="304"/>
      <c r="BL396" s="304"/>
      <c r="BM396" s="304"/>
      <c r="BN396" s="304"/>
      <c r="BO396" s="304"/>
      <c r="BP396" s="304"/>
      <c r="BQ396" s="304"/>
      <c r="BR396" s="304"/>
      <c r="BS396" s="304"/>
      <c r="BT396" s="304"/>
      <c r="BU396" s="304"/>
      <c r="BV396" s="304"/>
      <c r="BW396" s="304"/>
      <c r="BX396" s="304"/>
      <c r="BY396" s="304"/>
      <c r="BZ396" s="304"/>
      <c r="CA396" s="304"/>
      <c r="CB396" s="304"/>
      <c r="CC396" s="304"/>
      <c r="CD396" s="304"/>
      <c r="CE396" s="304"/>
      <c r="CF396" s="304"/>
      <c r="CG396" s="304"/>
      <c r="CH396" s="304"/>
      <c r="CI396" s="304"/>
      <c r="CJ396" s="304"/>
      <c r="CK396" s="304"/>
      <c r="CL396" s="304"/>
      <c r="CM396" s="304"/>
      <c r="CN396" s="304"/>
      <c r="CO396" s="304"/>
      <c r="CP396" s="304"/>
    </row>
    <row r="397" spans="1:94" s="87" customFormat="1">
      <c r="A397" s="81"/>
      <c r="B397" s="83"/>
      <c r="C397" s="82"/>
      <c r="D397" s="102"/>
      <c r="E397" s="102"/>
      <c r="F397" s="102"/>
      <c r="G397" s="225"/>
      <c r="H397" s="102"/>
      <c r="I397" s="218"/>
      <c r="J397" s="102"/>
      <c r="K397" s="102" t="str">
        <f t="shared" si="32"/>
        <v/>
      </c>
      <c r="L397" s="221"/>
      <c r="M397" s="325"/>
      <c r="N397" s="94"/>
      <c r="O397" s="326"/>
      <c r="P397" s="84"/>
      <c r="Q397" s="88"/>
      <c r="R397" s="102">
        <f t="shared" si="31"/>
        <v>0</v>
      </c>
      <c r="S397" s="89"/>
      <c r="T397" s="100"/>
      <c r="U397" s="100"/>
      <c r="V397" s="100"/>
      <c r="W397" s="100"/>
      <c r="X397" s="100"/>
      <c r="Y397" s="83"/>
      <c r="Z397" s="304"/>
      <c r="AA397" s="304"/>
      <c r="AB397" s="304"/>
      <c r="AC397" s="304"/>
      <c r="AD397" s="304"/>
      <c r="AE397" s="304"/>
      <c r="AF397" s="304"/>
      <c r="AG397" s="304"/>
      <c r="AH397" s="304"/>
      <c r="AI397" s="304"/>
      <c r="AJ397" s="304"/>
      <c r="AK397" s="304"/>
      <c r="AL397" s="304"/>
      <c r="AM397" s="304"/>
      <c r="AN397" s="304"/>
      <c r="AO397" s="304"/>
      <c r="AP397" s="304"/>
      <c r="AQ397" s="304"/>
      <c r="AR397" s="304"/>
      <c r="AS397" s="304"/>
      <c r="AT397" s="304"/>
      <c r="AU397" s="304"/>
      <c r="AV397" s="304"/>
      <c r="AW397" s="304"/>
      <c r="AX397" s="304"/>
      <c r="AY397" s="304"/>
      <c r="AZ397" s="304"/>
      <c r="BA397" s="304"/>
      <c r="BB397" s="304"/>
      <c r="BC397" s="304"/>
      <c r="BD397" s="304"/>
      <c r="BE397" s="304"/>
      <c r="BF397" s="304"/>
      <c r="BG397" s="304"/>
      <c r="BH397" s="304"/>
      <c r="BI397" s="304"/>
      <c r="BJ397" s="304"/>
      <c r="BK397" s="304"/>
      <c r="BL397" s="304"/>
      <c r="BM397" s="304"/>
      <c r="BN397" s="304"/>
      <c r="BO397" s="304"/>
      <c r="BP397" s="304"/>
      <c r="BQ397" s="304"/>
      <c r="BR397" s="304"/>
      <c r="BS397" s="304"/>
      <c r="BT397" s="304"/>
      <c r="BU397" s="304"/>
      <c r="BV397" s="304"/>
      <c r="BW397" s="304"/>
      <c r="BX397" s="304"/>
      <c r="BY397" s="304"/>
      <c r="BZ397" s="304"/>
      <c r="CA397" s="304"/>
      <c r="CB397" s="304"/>
      <c r="CC397" s="304"/>
      <c r="CD397" s="304"/>
      <c r="CE397" s="304"/>
      <c r="CF397" s="304"/>
      <c r="CG397" s="304"/>
      <c r="CH397" s="304"/>
      <c r="CI397" s="304"/>
      <c r="CJ397" s="304"/>
      <c r="CK397" s="304"/>
      <c r="CL397" s="304"/>
      <c r="CM397" s="304"/>
      <c r="CN397" s="304"/>
      <c r="CO397" s="304"/>
      <c r="CP397" s="304"/>
    </row>
    <row r="398" spans="1:94" s="87" customFormat="1">
      <c r="A398" s="81"/>
      <c r="B398" s="83"/>
      <c r="C398" s="82"/>
      <c r="D398" s="102"/>
      <c r="E398" s="102"/>
      <c r="F398" s="102"/>
      <c r="G398" s="225"/>
      <c r="H398" s="102"/>
      <c r="I398" s="218"/>
      <c r="J398" s="102"/>
      <c r="K398" s="102" t="str">
        <f t="shared" si="32"/>
        <v/>
      </c>
      <c r="L398" s="221"/>
      <c r="M398" s="325"/>
      <c r="N398" s="94"/>
      <c r="O398" s="326"/>
      <c r="P398" s="84"/>
      <c r="Q398" s="88"/>
      <c r="R398" s="102">
        <f t="shared" si="31"/>
        <v>0</v>
      </c>
      <c r="S398" s="89"/>
      <c r="T398" s="100"/>
      <c r="U398" s="100"/>
      <c r="V398" s="100"/>
      <c r="W398" s="100"/>
      <c r="X398" s="100"/>
      <c r="Y398" s="83"/>
      <c r="Z398" s="304"/>
      <c r="AA398" s="304"/>
      <c r="AB398" s="304"/>
      <c r="AC398" s="304"/>
      <c r="AD398" s="304"/>
      <c r="AE398" s="304"/>
      <c r="AF398" s="304"/>
      <c r="AG398" s="304"/>
      <c r="AH398" s="304"/>
      <c r="AI398" s="304"/>
      <c r="AJ398" s="304"/>
      <c r="AK398" s="304"/>
      <c r="AL398" s="304"/>
      <c r="AM398" s="304"/>
      <c r="AN398" s="304"/>
      <c r="AO398" s="304"/>
      <c r="AP398" s="304"/>
      <c r="AQ398" s="304"/>
      <c r="AR398" s="304"/>
      <c r="AS398" s="304"/>
      <c r="AT398" s="304"/>
      <c r="AU398" s="304"/>
      <c r="AV398" s="304"/>
      <c r="AW398" s="304"/>
      <c r="AX398" s="304"/>
      <c r="AY398" s="304"/>
      <c r="AZ398" s="304"/>
      <c r="BA398" s="304"/>
      <c r="BB398" s="304"/>
      <c r="BC398" s="304"/>
      <c r="BD398" s="304"/>
      <c r="BE398" s="304"/>
      <c r="BF398" s="304"/>
      <c r="BG398" s="304"/>
      <c r="BH398" s="304"/>
      <c r="BI398" s="304"/>
      <c r="BJ398" s="304"/>
      <c r="BK398" s="304"/>
      <c r="BL398" s="304"/>
      <c r="BM398" s="304"/>
      <c r="BN398" s="304"/>
      <c r="BO398" s="304"/>
      <c r="BP398" s="304"/>
      <c r="BQ398" s="304"/>
      <c r="BR398" s="304"/>
      <c r="BS398" s="304"/>
      <c r="BT398" s="304"/>
      <c r="BU398" s="304"/>
      <c r="BV398" s="304"/>
      <c r="BW398" s="304"/>
      <c r="BX398" s="304"/>
      <c r="BY398" s="304"/>
      <c r="BZ398" s="304"/>
      <c r="CA398" s="304"/>
      <c r="CB398" s="304"/>
      <c r="CC398" s="304"/>
      <c r="CD398" s="304"/>
      <c r="CE398" s="304"/>
      <c r="CF398" s="304"/>
      <c r="CG398" s="304"/>
      <c r="CH398" s="304"/>
      <c r="CI398" s="304"/>
      <c r="CJ398" s="304"/>
      <c r="CK398" s="304"/>
      <c r="CL398" s="304"/>
      <c r="CM398" s="304"/>
      <c r="CN398" s="304"/>
      <c r="CO398" s="304"/>
      <c r="CP398" s="304"/>
    </row>
    <row r="399" spans="1:94" s="87" customFormat="1">
      <c r="A399" s="81"/>
      <c r="B399" s="83"/>
      <c r="C399" s="82"/>
      <c r="D399" s="102"/>
      <c r="E399" s="102"/>
      <c r="F399" s="102"/>
      <c r="G399" s="225"/>
      <c r="H399" s="102"/>
      <c r="I399" s="218"/>
      <c r="J399" s="102"/>
      <c r="K399" s="102" t="str">
        <f t="shared" si="32"/>
        <v/>
      </c>
      <c r="L399" s="221"/>
      <c r="M399" s="325"/>
      <c r="N399" s="94"/>
      <c r="O399" s="326"/>
      <c r="P399" s="84"/>
      <c r="Q399" s="88"/>
      <c r="R399" s="102">
        <f t="shared" si="31"/>
        <v>0</v>
      </c>
      <c r="S399" s="89"/>
      <c r="T399" s="100"/>
      <c r="U399" s="100"/>
      <c r="V399" s="100"/>
      <c r="W399" s="100"/>
      <c r="X399" s="100"/>
      <c r="Y399" s="83"/>
      <c r="Z399" s="304"/>
      <c r="AA399" s="304"/>
      <c r="AB399" s="304"/>
      <c r="AC399" s="304"/>
      <c r="AD399" s="304"/>
      <c r="AE399" s="304"/>
      <c r="AF399" s="304"/>
      <c r="AG399" s="304"/>
      <c r="AH399" s="304"/>
      <c r="AI399" s="304"/>
      <c r="AJ399" s="304"/>
      <c r="AK399" s="304"/>
      <c r="AL399" s="304"/>
      <c r="AM399" s="304"/>
      <c r="AN399" s="304"/>
      <c r="AO399" s="304"/>
      <c r="AP399" s="304"/>
      <c r="AQ399" s="304"/>
      <c r="AR399" s="304"/>
      <c r="AS399" s="304"/>
      <c r="AT399" s="304"/>
      <c r="AU399" s="304"/>
      <c r="AV399" s="304"/>
      <c r="AW399" s="304"/>
      <c r="AX399" s="304"/>
      <c r="AY399" s="304"/>
      <c r="AZ399" s="304"/>
      <c r="BA399" s="304"/>
      <c r="BB399" s="304"/>
      <c r="BC399" s="304"/>
      <c r="BD399" s="304"/>
      <c r="BE399" s="304"/>
      <c r="BF399" s="304"/>
      <c r="BG399" s="304"/>
      <c r="BH399" s="304"/>
      <c r="BI399" s="304"/>
      <c r="BJ399" s="304"/>
      <c r="BK399" s="304"/>
      <c r="BL399" s="304"/>
      <c r="BM399" s="304"/>
      <c r="BN399" s="304"/>
      <c r="BO399" s="304"/>
      <c r="BP399" s="304"/>
      <c r="BQ399" s="304"/>
      <c r="BR399" s="304"/>
      <c r="BS399" s="304"/>
      <c r="BT399" s="304"/>
      <c r="BU399" s="304"/>
      <c r="BV399" s="304"/>
      <c r="BW399" s="304"/>
      <c r="BX399" s="304"/>
      <c r="BY399" s="304"/>
      <c r="BZ399" s="304"/>
      <c r="CA399" s="304"/>
      <c r="CB399" s="304"/>
      <c r="CC399" s="304"/>
      <c r="CD399" s="304"/>
      <c r="CE399" s="304"/>
      <c r="CF399" s="304"/>
      <c r="CG399" s="304"/>
      <c r="CH399" s="304"/>
      <c r="CI399" s="304"/>
      <c r="CJ399" s="304"/>
      <c r="CK399" s="304"/>
      <c r="CL399" s="304"/>
      <c r="CM399" s="304"/>
      <c r="CN399" s="304"/>
      <c r="CO399" s="304"/>
      <c r="CP399" s="304"/>
    </row>
    <row r="400" spans="1:94" s="87" customFormat="1">
      <c r="A400" s="81"/>
      <c r="B400" s="83"/>
      <c r="C400" s="82"/>
      <c r="D400" s="102"/>
      <c r="E400" s="102"/>
      <c r="F400" s="102"/>
      <c r="G400" s="225"/>
      <c r="H400" s="102"/>
      <c r="I400" s="218"/>
      <c r="J400" s="102"/>
      <c r="K400" s="102" t="str">
        <f t="shared" si="32"/>
        <v/>
      </c>
      <c r="L400" s="221"/>
      <c r="M400" s="325"/>
      <c r="N400" s="94"/>
      <c r="O400" s="326"/>
      <c r="P400" s="84"/>
      <c r="Q400" s="88"/>
      <c r="R400" s="102">
        <f t="shared" si="31"/>
        <v>0</v>
      </c>
      <c r="S400" s="89"/>
      <c r="T400" s="100"/>
      <c r="U400" s="100"/>
      <c r="V400" s="100"/>
      <c r="W400" s="100"/>
      <c r="X400" s="100"/>
      <c r="Y400" s="83"/>
      <c r="Z400" s="304"/>
      <c r="AA400" s="304"/>
      <c r="AB400" s="304"/>
      <c r="AC400" s="304"/>
      <c r="AD400" s="304"/>
      <c r="AE400" s="304"/>
      <c r="AF400" s="304"/>
      <c r="AG400" s="304"/>
      <c r="AH400" s="304"/>
      <c r="AI400" s="304"/>
      <c r="AJ400" s="304"/>
      <c r="AK400" s="304"/>
      <c r="AL400" s="304"/>
      <c r="AM400" s="304"/>
      <c r="AN400" s="304"/>
      <c r="AO400" s="304"/>
      <c r="AP400" s="304"/>
      <c r="AQ400" s="304"/>
      <c r="AR400" s="304"/>
      <c r="AS400" s="304"/>
      <c r="AT400" s="304"/>
      <c r="AU400" s="304"/>
      <c r="AV400" s="304"/>
      <c r="AW400" s="304"/>
      <c r="AX400" s="304"/>
      <c r="AY400" s="304"/>
      <c r="AZ400" s="304"/>
      <c r="BA400" s="304"/>
      <c r="BB400" s="304"/>
      <c r="BC400" s="304"/>
      <c r="BD400" s="304"/>
      <c r="BE400" s="304"/>
      <c r="BF400" s="304"/>
      <c r="BG400" s="304"/>
      <c r="BH400" s="304"/>
      <c r="BI400" s="304"/>
      <c r="BJ400" s="304"/>
      <c r="BK400" s="304"/>
      <c r="BL400" s="304"/>
      <c r="BM400" s="304"/>
      <c r="BN400" s="304"/>
      <c r="BO400" s="304"/>
      <c r="BP400" s="304"/>
      <c r="BQ400" s="304"/>
      <c r="BR400" s="304"/>
      <c r="BS400" s="304"/>
      <c r="BT400" s="304"/>
      <c r="BU400" s="304"/>
      <c r="BV400" s="304"/>
      <c r="BW400" s="304"/>
      <c r="BX400" s="304"/>
      <c r="BY400" s="304"/>
      <c r="BZ400" s="304"/>
      <c r="CA400" s="304"/>
      <c r="CB400" s="304"/>
      <c r="CC400" s="304"/>
      <c r="CD400" s="304"/>
      <c r="CE400" s="304"/>
      <c r="CF400" s="304"/>
      <c r="CG400" s="304"/>
      <c r="CH400" s="304"/>
      <c r="CI400" s="304"/>
      <c r="CJ400" s="304"/>
      <c r="CK400" s="304"/>
      <c r="CL400" s="304"/>
      <c r="CM400" s="304"/>
      <c r="CN400" s="304"/>
      <c r="CO400" s="304"/>
      <c r="CP400" s="304"/>
    </row>
    <row r="401" spans="1:94" s="87" customFormat="1">
      <c r="A401" s="81"/>
      <c r="B401" s="83"/>
      <c r="C401" s="82"/>
      <c r="D401" s="102"/>
      <c r="E401" s="102"/>
      <c r="F401" s="102"/>
      <c r="G401" s="225"/>
      <c r="H401" s="102"/>
      <c r="I401" s="218"/>
      <c r="J401" s="102"/>
      <c r="K401" s="102" t="str">
        <f t="shared" si="32"/>
        <v/>
      </c>
      <c r="L401" s="221"/>
      <c r="M401" s="325"/>
      <c r="N401" s="85"/>
      <c r="O401" s="327"/>
      <c r="P401" s="84"/>
      <c r="Q401" s="88"/>
      <c r="R401" s="102">
        <f t="shared" si="31"/>
        <v>0</v>
      </c>
      <c r="S401" s="89"/>
      <c r="T401" s="100"/>
      <c r="U401" s="86"/>
      <c r="V401" s="86"/>
      <c r="W401" s="86"/>
      <c r="X401" s="86"/>
      <c r="Y401" s="83"/>
      <c r="Z401" s="304"/>
      <c r="AA401" s="304"/>
      <c r="AB401" s="304"/>
      <c r="AC401" s="304"/>
      <c r="AD401" s="304"/>
      <c r="AE401" s="304"/>
      <c r="AF401" s="304"/>
      <c r="AG401" s="304"/>
      <c r="AH401" s="304"/>
      <c r="AI401" s="304"/>
      <c r="AJ401" s="304"/>
      <c r="AK401" s="304"/>
      <c r="AL401" s="304"/>
      <c r="AM401" s="304"/>
      <c r="AN401" s="304"/>
      <c r="AO401" s="304"/>
      <c r="AP401" s="304"/>
      <c r="AQ401" s="304"/>
      <c r="AR401" s="304"/>
      <c r="AS401" s="304"/>
      <c r="AT401" s="304"/>
      <c r="AU401" s="304"/>
      <c r="AV401" s="304"/>
      <c r="AW401" s="304"/>
      <c r="AX401" s="304"/>
      <c r="AY401" s="304"/>
      <c r="AZ401" s="304"/>
      <c r="BA401" s="304"/>
      <c r="BB401" s="304"/>
      <c r="BC401" s="304"/>
      <c r="BD401" s="304"/>
      <c r="BE401" s="304"/>
      <c r="BF401" s="304"/>
      <c r="BG401" s="304"/>
      <c r="BH401" s="304"/>
      <c r="BI401" s="304"/>
      <c r="BJ401" s="304"/>
      <c r="BK401" s="304"/>
      <c r="BL401" s="304"/>
      <c r="BM401" s="304"/>
      <c r="BN401" s="304"/>
      <c r="BO401" s="304"/>
      <c r="BP401" s="304"/>
      <c r="BQ401" s="304"/>
      <c r="BR401" s="304"/>
      <c r="BS401" s="304"/>
      <c r="BT401" s="304"/>
      <c r="BU401" s="304"/>
      <c r="BV401" s="304"/>
      <c r="BW401" s="304"/>
      <c r="BX401" s="304"/>
      <c r="BY401" s="304"/>
      <c r="BZ401" s="304"/>
      <c r="CA401" s="304"/>
      <c r="CB401" s="304"/>
      <c r="CC401" s="304"/>
      <c r="CD401" s="304"/>
      <c r="CE401" s="304"/>
      <c r="CF401" s="304"/>
      <c r="CG401" s="304"/>
      <c r="CH401" s="304"/>
      <c r="CI401" s="304"/>
      <c r="CJ401" s="304"/>
      <c r="CK401" s="304"/>
      <c r="CL401" s="304"/>
      <c r="CM401" s="304"/>
      <c r="CN401" s="304"/>
      <c r="CO401" s="304"/>
      <c r="CP401" s="304"/>
    </row>
    <row r="402" spans="1:94" s="87" customFormat="1">
      <c r="A402" s="81"/>
      <c r="B402" s="83"/>
      <c r="C402" s="82"/>
      <c r="D402" s="102"/>
      <c r="E402" s="102"/>
      <c r="F402" s="102"/>
      <c r="G402" s="225"/>
      <c r="H402" s="102"/>
      <c r="I402" s="218"/>
      <c r="J402" s="102"/>
      <c r="K402" s="102" t="str">
        <f t="shared" si="32"/>
        <v/>
      </c>
      <c r="L402" s="221"/>
      <c r="M402" s="325"/>
      <c r="N402" s="85"/>
      <c r="O402" s="327"/>
      <c r="P402" s="84"/>
      <c r="Q402" s="88"/>
      <c r="R402" s="102">
        <f t="shared" si="31"/>
        <v>0</v>
      </c>
      <c r="S402" s="89"/>
      <c r="T402" s="100"/>
      <c r="U402" s="86"/>
      <c r="V402" s="86"/>
      <c r="W402" s="86"/>
      <c r="X402" s="86"/>
      <c r="Y402" s="83"/>
      <c r="Z402" s="304"/>
      <c r="AA402" s="304"/>
      <c r="AB402" s="304"/>
      <c r="AC402" s="304"/>
      <c r="AD402" s="304"/>
      <c r="AE402" s="304"/>
      <c r="AF402" s="304"/>
      <c r="AG402" s="304"/>
      <c r="AH402" s="304"/>
      <c r="AI402" s="304"/>
      <c r="AJ402" s="304"/>
      <c r="AK402" s="304"/>
      <c r="AL402" s="304"/>
      <c r="AM402" s="304"/>
      <c r="AN402" s="304"/>
      <c r="AO402" s="304"/>
      <c r="AP402" s="304"/>
      <c r="AQ402" s="304"/>
      <c r="AR402" s="304"/>
      <c r="AS402" s="304"/>
      <c r="AT402" s="304"/>
      <c r="AU402" s="304"/>
      <c r="AV402" s="304"/>
      <c r="AW402" s="304"/>
      <c r="AX402" s="304"/>
      <c r="AY402" s="304"/>
      <c r="AZ402" s="304"/>
      <c r="BA402" s="304"/>
      <c r="BB402" s="304"/>
      <c r="BC402" s="304"/>
      <c r="BD402" s="304"/>
      <c r="BE402" s="304"/>
      <c r="BF402" s="304"/>
      <c r="BG402" s="304"/>
      <c r="BH402" s="304"/>
      <c r="BI402" s="304"/>
      <c r="BJ402" s="304"/>
      <c r="BK402" s="304"/>
      <c r="BL402" s="304"/>
      <c r="BM402" s="304"/>
      <c r="BN402" s="304"/>
      <c r="BO402" s="304"/>
      <c r="BP402" s="304"/>
      <c r="BQ402" s="304"/>
      <c r="BR402" s="304"/>
      <c r="BS402" s="304"/>
      <c r="BT402" s="304"/>
      <c r="BU402" s="304"/>
      <c r="BV402" s="304"/>
      <c r="BW402" s="304"/>
      <c r="BX402" s="304"/>
      <c r="BY402" s="304"/>
      <c r="BZ402" s="304"/>
      <c r="CA402" s="304"/>
      <c r="CB402" s="304"/>
      <c r="CC402" s="304"/>
      <c r="CD402" s="304"/>
      <c r="CE402" s="304"/>
      <c r="CF402" s="304"/>
      <c r="CG402" s="304"/>
      <c r="CH402" s="304"/>
      <c r="CI402" s="304"/>
      <c r="CJ402" s="304"/>
      <c r="CK402" s="304"/>
      <c r="CL402" s="304"/>
      <c r="CM402" s="304"/>
      <c r="CN402" s="304"/>
      <c r="CO402" s="304"/>
      <c r="CP402" s="304"/>
    </row>
    <row r="403" spans="1:94" s="87" customFormat="1">
      <c r="A403" s="81"/>
      <c r="B403" s="83"/>
      <c r="C403" s="82"/>
      <c r="D403" s="102"/>
      <c r="E403" s="102"/>
      <c r="F403" s="102"/>
      <c r="G403" s="225"/>
      <c r="H403" s="102"/>
      <c r="I403" s="218"/>
      <c r="J403" s="102"/>
      <c r="K403" s="102" t="str">
        <f t="shared" si="32"/>
        <v/>
      </c>
      <c r="L403" s="221"/>
      <c r="M403" s="325"/>
      <c r="N403" s="85"/>
      <c r="O403" s="327"/>
      <c r="P403" s="84"/>
      <c r="Q403" s="88"/>
      <c r="R403" s="102">
        <f t="shared" si="31"/>
        <v>0</v>
      </c>
      <c r="S403" s="89"/>
      <c r="T403" s="100"/>
      <c r="U403" s="86"/>
      <c r="V403" s="86"/>
      <c r="W403" s="86"/>
      <c r="X403" s="86"/>
      <c r="Y403" s="83"/>
      <c r="Z403" s="304"/>
      <c r="AA403" s="304"/>
      <c r="AB403" s="304"/>
      <c r="AC403" s="304"/>
      <c r="AD403" s="304"/>
      <c r="AE403" s="304"/>
      <c r="AF403" s="304"/>
      <c r="AG403" s="304"/>
      <c r="AH403" s="304"/>
      <c r="AI403" s="304"/>
      <c r="AJ403" s="304"/>
      <c r="AK403" s="304"/>
      <c r="AL403" s="304"/>
      <c r="AM403" s="304"/>
      <c r="AN403" s="304"/>
      <c r="AO403" s="304"/>
      <c r="AP403" s="304"/>
      <c r="AQ403" s="304"/>
      <c r="AR403" s="304"/>
      <c r="AS403" s="304"/>
      <c r="AT403" s="304"/>
      <c r="AU403" s="304"/>
      <c r="AV403" s="304"/>
      <c r="AW403" s="304"/>
      <c r="AX403" s="304"/>
      <c r="AY403" s="304"/>
      <c r="AZ403" s="304"/>
      <c r="BA403" s="304"/>
      <c r="BB403" s="304"/>
      <c r="BC403" s="304"/>
      <c r="BD403" s="304"/>
      <c r="BE403" s="304"/>
      <c r="BF403" s="304"/>
      <c r="BG403" s="304"/>
      <c r="BH403" s="304"/>
      <c r="BI403" s="304"/>
      <c r="BJ403" s="304"/>
      <c r="BK403" s="304"/>
      <c r="BL403" s="304"/>
      <c r="BM403" s="304"/>
      <c r="BN403" s="304"/>
      <c r="BO403" s="304"/>
      <c r="BP403" s="304"/>
      <c r="BQ403" s="304"/>
      <c r="BR403" s="304"/>
      <c r="BS403" s="304"/>
      <c r="BT403" s="304"/>
      <c r="BU403" s="304"/>
      <c r="BV403" s="304"/>
      <c r="BW403" s="304"/>
      <c r="BX403" s="304"/>
      <c r="BY403" s="304"/>
      <c r="BZ403" s="304"/>
      <c r="CA403" s="304"/>
      <c r="CB403" s="304"/>
      <c r="CC403" s="304"/>
      <c r="CD403" s="304"/>
      <c r="CE403" s="304"/>
      <c r="CF403" s="304"/>
      <c r="CG403" s="304"/>
      <c r="CH403" s="304"/>
      <c r="CI403" s="304"/>
      <c r="CJ403" s="304"/>
      <c r="CK403" s="304"/>
      <c r="CL403" s="304"/>
      <c r="CM403" s="304"/>
      <c r="CN403" s="304"/>
      <c r="CO403" s="304"/>
      <c r="CP403" s="304"/>
    </row>
    <row r="404" spans="1:94" s="87" customFormat="1">
      <c r="A404" s="81"/>
      <c r="B404" s="83"/>
      <c r="C404" s="82"/>
      <c r="D404" s="102"/>
      <c r="E404" s="102"/>
      <c r="F404" s="102"/>
      <c r="G404" s="225"/>
      <c r="H404" s="102"/>
      <c r="I404" s="218"/>
      <c r="J404" s="102"/>
      <c r="K404" s="102" t="str">
        <f t="shared" si="32"/>
        <v/>
      </c>
      <c r="L404" s="221"/>
      <c r="M404" s="325"/>
      <c r="N404" s="85"/>
      <c r="O404" s="327"/>
      <c r="P404" s="84"/>
      <c r="Q404" s="88"/>
      <c r="R404" s="102">
        <f t="shared" si="31"/>
        <v>0</v>
      </c>
      <c r="S404" s="89"/>
      <c r="T404" s="100"/>
      <c r="U404" s="86"/>
      <c r="V404" s="86"/>
      <c r="W404" s="86"/>
      <c r="X404" s="86"/>
      <c r="Y404" s="83"/>
      <c r="Z404" s="304"/>
      <c r="AA404" s="304"/>
      <c r="AB404" s="304"/>
      <c r="AC404" s="304"/>
      <c r="AD404" s="304"/>
      <c r="AE404" s="304"/>
      <c r="AF404" s="304"/>
      <c r="AG404" s="304"/>
      <c r="AH404" s="304"/>
      <c r="AI404" s="304"/>
      <c r="AJ404" s="304"/>
      <c r="AK404" s="304"/>
      <c r="AL404" s="304"/>
      <c r="AM404" s="304"/>
      <c r="AN404" s="304"/>
      <c r="AO404" s="304"/>
      <c r="AP404" s="304"/>
      <c r="AQ404" s="304"/>
      <c r="AR404" s="304"/>
      <c r="AS404" s="304"/>
      <c r="AT404" s="304"/>
      <c r="AU404" s="304"/>
      <c r="AV404" s="304"/>
      <c r="AW404" s="304"/>
      <c r="AX404" s="304"/>
      <c r="AY404" s="304"/>
      <c r="AZ404" s="304"/>
      <c r="BA404" s="304"/>
      <c r="BB404" s="304"/>
      <c r="BC404" s="304"/>
      <c r="BD404" s="304"/>
      <c r="BE404" s="304"/>
      <c r="BF404" s="304"/>
      <c r="BG404" s="304"/>
      <c r="BH404" s="304"/>
      <c r="BI404" s="304"/>
      <c r="BJ404" s="304"/>
      <c r="BK404" s="304"/>
      <c r="BL404" s="304"/>
      <c r="BM404" s="304"/>
      <c r="BN404" s="304"/>
      <c r="BO404" s="304"/>
      <c r="BP404" s="304"/>
      <c r="BQ404" s="304"/>
      <c r="BR404" s="304"/>
      <c r="BS404" s="304"/>
      <c r="BT404" s="304"/>
      <c r="BU404" s="304"/>
      <c r="BV404" s="304"/>
      <c r="BW404" s="304"/>
      <c r="BX404" s="304"/>
      <c r="BY404" s="304"/>
      <c r="BZ404" s="304"/>
      <c r="CA404" s="304"/>
      <c r="CB404" s="304"/>
      <c r="CC404" s="304"/>
      <c r="CD404" s="304"/>
      <c r="CE404" s="304"/>
      <c r="CF404" s="304"/>
      <c r="CG404" s="304"/>
      <c r="CH404" s="304"/>
      <c r="CI404" s="304"/>
      <c r="CJ404" s="304"/>
      <c r="CK404" s="304"/>
      <c r="CL404" s="304"/>
      <c r="CM404" s="304"/>
      <c r="CN404" s="304"/>
      <c r="CO404" s="304"/>
      <c r="CP404" s="304"/>
    </row>
    <row r="405" spans="1:94" s="87" customFormat="1">
      <c r="A405" s="81"/>
      <c r="B405" s="83"/>
      <c r="C405" s="82"/>
      <c r="D405" s="102"/>
      <c r="E405" s="102"/>
      <c r="F405" s="102"/>
      <c r="G405" s="225"/>
      <c r="H405" s="102"/>
      <c r="I405" s="218"/>
      <c r="J405" s="102"/>
      <c r="K405" s="102" t="str">
        <f t="shared" si="32"/>
        <v/>
      </c>
      <c r="L405" s="221"/>
      <c r="M405" s="325"/>
      <c r="N405" s="85"/>
      <c r="O405" s="327"/>
      <c r="P405" s="84"/>
      <c r="Q405" s="88"/>
      <c r="R405" s="102">
        <f t="shared" si="31"/>
        <v>0</v>
      </c>
      <c r="S405" s="89"/>
      <c r="T405" s="100"/>
      <c r="U405" s="86"/>
      <c r="V405" s="86"/>
      <c r="W405" s="86"/>
      <c r="X405" s="86"/>
      <c r="Y405" s="83"/>
      <c r="Z405" s="304"/>
      <c r="AA405" s="304"/>
      <c r="AB405" s="304"/>
      <c r="AC405" s="304"/>
      <c r="AD405" s="304"/>
      <c r="AE405" s="304"/>
      <c r="AF405" s="304"/>
      <c r="AG405" s="304"/>
      <c r="AH405" s="304"/>
      <c r="AI405" s="304"/>
      <c r="AJ405" s="304"/>
      <c r="AK405" s="304"/>
      <c r="AL405" s="304"/>
      <c r="AM405" s="304"/>
      <c r="AN405" s="304"/>
      <c r="AO405" s="304"/>
      <c r="AP405" s="304"/>
      <c r="AQ405" s="304"/>
      <c r="AR405" s="304"/>
      <c r="AS405" s="304"/>
      <c r="AT405" s="304"/>
      <c r="AU405" s="304"/>
      <c r="AV405" s="304"/>
      <c r="AW405" s="304"/>
      <c r="AX405" s="304"/>
      <c r="AY405" s="304"/>
      <c r="AZ405" s="304"/>
      <c r="BA405" s="304"/>
      <c r="BB405" s="304"/>
      <c r="BC405" s="304"/>
      <c r="BD405" s="304"/>
      <c r="BE405" s="304"/>
      <c r="BF405" s="304"/>
      <c r="BG405" s="304"/>
      <c r="BH405" s="304"/>
      <c r="BI405" s="304"/>
      <c r="BJ405" s="304"/>
      <c r="BK405" s="304"/>
      <c r="BL405" s="304"/>
      <c r="BM405" s="304"/>
      <c r="BN405" s="304"/>
      <c r="BO405" s="304"/>
      <c r="BP405" s="304"/>
      <c r="BQ405" s="304"/>
      <c r="BR405" s="304"/>
      <c r="BS405" s="304"/>
      <c r="BT405" s="304"/>
      <c r="BU405" s="304"/>
      <c r="BV405" s="304"/>
      <c r="BW405" s="304"/>
      <c r="BX405" s="304"/>
      <c r="BY405" s="304"/>
      <c r="BZ405" s="304"/>
      <c r="CA405" s="304"/>
      <c r="CB405" s="304"/>
      <c r="CC405" s="304"/>
      <c r="CD405" s="304"/>
      <c r="CE405" s="304"/>
      <c r="CF405" s="304"/>
      <c r="CG405" s="304"/>
      <c r="CH405" s="304"/>
      <c r="CI405" s="304"/>
      <c r="CJ405" s="304"/>
      <c r="CK405" s="304"/>
      <c r="CL405" s="304"/>
      <c r="CM405" s="304"/>
      <c r="CN405" s="304"/>
      <c r="CO405" s="304"/>
      <c r="CP405" s="304"/>
    </row>
    <row r="406" spans="1:94" s="87" customFormat="1">
      <c r="A406" s="81"/>
      <c r="B406" s="83"/>
      <c r="C406" s="82"/>
      <c r="D406" s="102"/>
      <c r="E406" s="102"/>
      <c r="F406" s="102"/>
      <c r="G406" s="225"/>
      <c r="H406" s="102"/>
      <c r="I406" s="218"/>
      <c r="J406" s="102"/>
      <c r="K406" s="102" t="str">
        <f t="shared" si="32"/>
        <v/>
      </c>
      <c r="L406" s="221"/>
      <c r="M406" s="325"/>
      <c r="N406" s="85"/>
      <c r="O406" s="327"/>
      <c r="P406" s="84"/>
      <c r="Q406" s="88"/>
      <c r="R406" s="102">
        <f t="shared" si="31"/>
        <v>0</v>
      </c>
      <c r="S406" s="89"/>
      <c r="T406" s="100"/>
      <c r="U406" s="86"/>
      <c r="V406" s="86"/>
      <c r="W406" s="86"/>
      <c r="X406" s="86"/>
      <c r="Y406" s="83"/>
      <c r="Z406" s="304"/>
      <c r="AA406" s="304"/>
      <c r="AB406" s="304"/>
      <c r="AC406" s="304"/>
      <c r="AD406" s="304"/>
      <c r="AE406" s="304"/>
      <c r="AF406" s="304"/>
      <c r="AG406" s="304"/>
      <c r="AH406" s="304"/>
      <c r="AI406" s="304"/>
      <c r="AJ406" s="304"/>
      <c r="AK406" s="304"/>
      <c r="AL406" s="304"/>
      <c r="AM406" s="304"/>
      <c r="AN406" s="304"/>
      <c r="AO406" s="304"/>
      <c r="AP406" s="304"/>
      <c r="AQ406" s="304"/>
      <c r="AR406" s="304"/>
      <c r="AS406" s="304"/>
      <c r="AT406" s="304"/>
      <c r="AU406" s="304"/>
      <c r="AV406" s="304"/>
      <c r="AW406" s="304"/>
      <c r="AX406" s="304"/>
      <c r="AY406" s="304"/>
      <c r="AZ406" s="304"/>
      <c r="BA406" s="304"/>
      <c r="BB406" s="304"/>
      <c r="BC406" s="304"/>
      <c r="BD406" s="304"/>
      <c r="BE406" s="304"/>
      <c r="BF406" s="304"/>
      <c r="BG406" s="304"/>
      <c r="BH406" s="304"/>
      <c r="BI406" s="304"/>
      <c r="BJ406" s="304"/>
      <c r="BK406" s="304"/>
      <c r="BL406" s="304"/>
      <c r="BM406" s="304"/>
      <c r="BN406" s="304"/>
      <c r="BO406" s="304"/>
      <c r="BP406" s="304"/>
      <c r="BQ406" s="304"/>
      <c r="BR406" s="304"/>
      <c r="BS406" s="304"/>
      <c r="BT406" s="304"/>
      <c r="BU406" s="304"/>
      <c r="BV406" s="304"/>
      <c r="BW406" s="304"/>
      <c r="BX406" s="304"/>
      <c r="BY406" s="304"/>
      <c r="BZ406" s="304"/>
      <c r="CA406" s="304"/>
      <c r="CB406" s="304"/>
      <c r="CC406" s="304"/>
      <c r="CD406" s="304"/>
      <c r="CE406" s="304"/>
      <c r="CF406" s="304"/>
      <c r="CG406" s="304"/>
      <c r="CH406" s="304"/>
      <c r="CI406" s="304"/>
      <c r="CJ406" s="304"/>
      <c r="CK406" s="304"/>
      <c r="CL406" s="304"/>
      <c r="CM406" s="304"/>
      <c r="CN406" s="304"/>
      <c r="CO406" s="304"/>
      <c r="CP406" s="304"/>
    </row>
    <row r="407" spans="1:94" s="87" customFormat="1">
      <c r="A407" s="81"/>
      <c r="B407" s="83"/>
      <c r="C407" s="82"/>
      <c r="D407" s="102"/>
      <c r="E407" s="102"/>
      <c r="F407" s="102"/>
      <c r="G407" s="225"/>
      <c r="H407" s="102"/>
      <c r="I407" s="218"/>
      <c r="J407" s="102"/>
      <c r="K407" s="102" t="str">
        <f t="shared" si="32"/>
        <v/>
      </c>
      <c r="L407" s="221"/>
      <c r="M407" s="325"/>
      <c r="N407" s="85"/>
      <c r="O407" s="327"/>
      <c r="P407" s="84"/>
      <c r="Q407" s="88"/>
      <c r="R407" s="102">
        <f t="shared" si="31"/>
        <v>0</v>
      </c>
      <c r="S407" s="89"/>
      <c r="T407" s="100"/>
      <c r="U407" s="86"/>
      <c r="V407" s="86"/>
      <c r="W407" s="86"/>
      <c r="X407" s="86"/>
      <c r="Y407" s="83"/>
      <c r="Z407" s="304"/>
      <c r="AA407" s="304"/>
      <c r="AB407" s="304"/>
      <c r="AC407" s="304"/>
      <c r="AD407" s="304"/>
      <c r="AE407" s="304"/>
      <c r="AF407" s="304"/>
      <c r="AG407" s="304"/>
      <c r="AH407" s="304"/>
      <c r="AI407" s="304"/>
      <c r="AJ407" s="304"/>
      <c r="AK407" s="304"/>
      <c r="AL407" s="304"/>
      <c r="AM407" s="304"/>
      <c r="AN407" s="304"/>
      <c r="AO407" s="304"/>
      <c r="AP407" s="304"/>
      <c r="AQ407" s="304"/>
      <c r="AR407" s="304"/>
      <c r="AS407" s="304"/>
      <c r="AT407" s="304"/>
      <c r="AU407" s="304"/>
      <c r="AV407" s="304"/>
      <c r="AW407" s="304"/>
      <c r="AX407" s="304"/>
      <c r="AY407" s="304"/>
      <c r="AZ407" s="304"/>
      <c r="BA407" s="304"/>
      <c r="BB407" s="304"/>
      <c r="BC407" s="304"/>
      <c r="BD407" s="304"/>
      <c r="BE407" s="304"/>
      <c r="BF407" s="304"/>
      <c r="BG407" s="304"/>
      <c r="BH407" s="304"/>
      <c r="BI407" s="304"/>
      <c r="BJ407" s="304"/>
      <c r="BK407" s="304"/>
      <c r="BL407" s="304"/>
      <c r="BM407" s="304"/>
      <c r="BN407" s="304"/>
      <c r="BO407" s="304"/>
      <c r="BP407" s="304"/>
      <c r="BQ407" s="304"/>
      <c r="BR407" s="304"/>
      <c r="BS407" s="304"/>
      <c r="BT407" s="304"/>
      <c r="BU407" s="304"/>
      <c r="BV407" s="304"/>
      <c r="BW407" s="304"/>
      <c r="BX407" s="304"/>
      <c r="BY407" s="304"/>
      <c r="BZ407" s="304"/>
      <c r="CA407" s="304"/>
      <c r="CB407" s="304"/>
      <c r="CC407" s="304"/>
      <c r="CD407" s="304"/>
      <c r="CE407" s="304"/>
      <c r="CF407" s="304"/>
      <c r="CG407" s="304"/>
      <c r="CH407" s="304"/>
      <c r="CI407" s="304"/>
      <c r="CJ407" s="304"/>
      <c r="CK407" s="304"/>
      <c r="CL407" s="304"/>
      <c r="CM407" s="304"/>
      <c r="CN407" s="304"/>
      <c r="CO407" s="304"/>
      <c r="CP407" s="304"/>
    </row>
    <row r="408" spans="1:94" s="87" customFormat="1">
      <c r="A408" s="81"/>
      <c r="B408" s="83"/>
      <c r="C408" s="82"/>
      <c r="D408" s="102"/>
      <c r="E408" s="102"/>
      <c r="F408" s="102"/>
      <c r="G408" s="83"/>
      <c r="H408" s="102"/>
      <c r="I408" s="218"/>
      <c r="J408" s="102"/>
      <c r="K408" s="102" t="str">
        <f t="shared" si="32"/>
        <v/>
      </c>
      <c r="L408" s="221"/>
      <c r="M408" s="325"/>
      <c r="N408" s="85"/>
      <c r="O408" s="327"/>
      <c r="P408" s="84"/>
      <c r="Q408" s="88"/>
      <c r="R408" s="102">
        <f t="shared" si="31"/>
        <v>0</v>
      </c>
      <c r="S408" s="89"/>
      <c r="T408" s="100"/>
      <c r="U408" s="86"/>
      <c r="V408" s="86"/>
      <c r="W408" s="86"/>
      <c r="X408" s="86"/>
      <c r="Y408" s="83"/>
      <c r="Z408" s="304"/>
      <c r="AA408" s="304"/>
      <c r="AB408" s="304"/>
      <c r="AC408" s="304"/>
      <c r="AD408" s="304"/>
      <c r="AE408" s="304"/>
      <c r="AF408" s="304"/>
      <c r="AG408" s="304"/>
      <c r="AH408" s="304"/>
      <c r="AI408" s="304"/>
      <c r="AJ408" s="304"/>
      <c r="AK408" s="304"/>
      <c r="AL408" s="304"/>
      <c r="AM408" s="304"/>
      <c r="AN408" s="304"/>
      <c r="AO408" s="304"/>
      <c r="AP408" s="304"/>
      <c r="AQ408" s="304"/>
      <c r="AR408" s="304"/>
      <c r="AS408" s="304"/>
      <c r="AT408" s="304"/>
      <c r="AU408" s="304"/>
      <c r="AV408" s="304"/>
      <c r="AW408" s="304"/>
      <c r="AX408" s="304"/>
      <c r="AY408" s="304"/>
      <c r="AZ408" s="304"/>
      <c r="BA408" s="304"/>
      <c r="BB408" s="304"/>
      <c r="BC408" s="304"/>
      <c r="BD408" s="304"/>
      <c r="BE408" s="304"/>
      <c r="BF408" s="304"/>
      <c r="BG408" s="304"/>
      <c r="BH408" s="304"/>
      <c r="BI408" s="304"/>
      <c r="BJ408" s="304"/>
      <c r="BK408" s="304"/>
      <c r="BL408" s="304"/>
      <c r="BM408" s="304"/>
      <c r="BN408" s="304"/>
      <c r="BO408" s="304"/>
      <c r="BP408" s="304"/>
      <c r="BQ408" s="304"/>
      <c r="BR408" s="304"/>
      <c r="BS408" s="304"/>
      <c r="BT408" s="304"/>
      <c r="BU408" s="304"/>
      <c r="BV408" s="304"/>
      <c r="BW408" s="304"/>
      <c r="BX408" s="304"/>
      <c r="BY408" s="304"/>
      <c r="BZ408" s="304"/>
      <c r="CA408" s="304"/>
      <c r="CB408" s="304"/>
      <c r="CC408" s="304"/>
      <c r="CD408" s="304"/>
      <c r="CE408" s="304"/>
      <c r="CF408" s="304"/>
      <c r="CG408" s="304"/>
      <c r="CH408" s="304"/>
      <c r="CI408" s="304"/>
      <c r="CJ408" s="304"/>
      <c r="CK408" s="304"/>
      <c r="CL408" s="304"/>
      <c r="CM408" s="304"/>
      <c r="CN408" s="304"/>
      <c r="CO408" s="304"/>
      <c r="CP408" s="304"/>
    </row>
    <row r="409" spans="1:94" s="87" customFormat="1">
      <c r="A409" s="81"/>
      <c r="B409" s="83"/>
      <c r="C409" s="82"/>
      <c r="D409" s="102"/>
      <c r="E409" s="102"/>
      <c r="F409" s="102"/>
      <c r="G409" s="83"/>
      <c r="H409" s="102"/>
      <c r="I409" s="218"/>
      <c r="J409" s="102"/>
      <c r="K409" s="102" t="str">
        <f t="shared" si="32"/>
        <v/>
      </c>
      <c r="L409" s="221"/>
      <c r="M409" s="325"/>
      <c r="N409" s="85"/>
      <c r="O409" s="327"/>
      <c r="P409" s="84"/>
      <c r="Q409" s="88"/>
      <c r="R409" s="102">
        <f t="shared" si="31"/>
        <v>0</v>
      </c>
      <c r="S409" s="89"/>
      <c r="T409" s="100"/>
      <c r="U409" s="86"/>
      <c r="V409" s="86"/>
      <c r="W409" s="86"/>
      <c r="X409" s="86"/>
      <c r="Y409" s="83"/>
      <c r="Z409" s="304"/>
      <c r="AA409" s="304"/>
      <c r="AB409" s="304"/>
      <c r="AC409" s="304"/>
      <c r="AD409" s="304"/>
      <c r="AE409" s="304"/>
      <c r="AF409" s="304"/>
      <c r="AG409" s="304"/>
      <c r="AH409" s="304"/>
      <c r="AI409" s="304"/>
      <c r="AJ409" s="304"/>
      <c r="AK409" s="304"/>
      <c r="AL409" s="304"/>
      <c r="AM409" s="304"/>
      <c r="AN409" s="304"/>
      <c r="AO409" s="304"/>
      <c r="AP409" s="304"/>
      <c r="AQ409" s="304"/>
      <c r="AR409" s="304"/>
      <c r="AS409" s="304"/>
      <c r="AT409" s="304"/>
      <c r="AU409" s="304"/>
      <c r="AV409" s="304"/>
      <c r="AW409" s="304"/>
      <c r="AX409" s="304"/>
      <c r="AY409" s="304"/>
      <c r="AZ409" s="304"/>
      <c r="BA409" s="304"/>
      <c r="BB409" s="304"/>
      <c r="BC409" s="304"/>
      <c r="BD409" s="304"/>
      <c r="BE409" s="304"/>
      <c r="BF409" s="304"/>
      <c r="BG409" s="304"/>
      <c r="BH409" s="304"/>
      <c r="BI409" s="304"/>
      <c r="BJ409" s="304"/>
      <c r="BK409" s="304"/>
      <c r="BL409" s="304"/>
      <c r="BM409" s="304"/>
      <c r="BN409" s="304"/>
      <c r="BO409" s="304"/>
      <c r="BP409" s="304"/>
      <c r="BQ409" s="304"/>
      <c r="BR409" s="304"/>
      <c r="BS409" s="304"/>
      <c r="BT409" s="304"/>
      <c r="BU409" s="304"/>
      <c r="BV409" s="304"/>
      <c r="BW409" s="304"/>
      <c r="BX409" s="304"/>
      <c r="BY409" s="304"/>
      <c r="BZ409" s="304"/>
      <c r="CA409" s="304"/>
      <c r="CB409" s="304"/>
      <c r="CC409" s="304"/>
      <c r="CD409" s="304"/>
      <c r="CE409" s="304"/>
      <c r="CF409" s="304"/>
      <c r="CG409" s="304"/>
      <c r="CH409" s="304"/>
      <c r="CI409" s="304"/>
      <c r="CJ409" s="304"/>
      <c r="CK409" s="304"/>
      <c r="CL409" s="304"/>
      <c r="CM409" s="304"/>
      <c r="CN409" s="304"/>
      <c r="CO409" s="304"/>
      <c r="CP409" s="304"/>
    </row>
    <row r="410" spans="1:94" s="87" customFormat="1">
      <c r="A410" s="81"/>
      <c r="B410" s="83"/>
      <c r="C410" s="82"/>
      <c r="D410" s="102"/>
      <c r="E410" s="102"/>
      <c r="F410" s="102"/>
      <c r="G410" s="83"/>
      <c r="H410" s="102"/>
      <c r="I410" s="218"/>
      <c r="J410" s="102"/>
      <c r="K410" s="102" t="str">
        <f t="shared" si="32"/>
        <v/>
      </c>
      <c r="L410" s="221"/>
      <c r="M410" s="325"/>
      <c r="N410" s="85"/>
      <c r="O410" s="327"/>
      <c r="P410" s="84"/>
      <c r="Q410" s="88"/>
      <c r="R410" s="102">
        <f t="shared" si="31"/>
        <v>0</v>
      </c>
      <c r="S410" s="89"/>
      <c r="T410" s="100"/>
      <c r="U410" s="86"/>
      <c r="V410" s="86"/>
      <c r="W410" s="86"/>
      <c r="X410" s="86"/>
      <c r="Y410" s="83"/>
      <c r="Z410" s="304"/>
      <c r="AA410" s="304"/>
      <c r="AB410" s="304"/>
      <c r="AC410" s="304"/>
      <c r="AD410" s="304"/>
      <c r="AE410" s="304"/>
      <c r="AF410" s="304"/>
      <c r="AG410" s="304"/>
      <c r="AH410" s="304"/>
      <c r="AI410" s="304"/>
      <c r="AJ410" s="304"/>
      <c r="AK410" s="304"/>
      <c r="AL410" s="304"/>
      <c r="AM410" s="304"/>
      <c r="AN410" s="304"/>
      <c r="AO410" s="304"/>
      <c r="AP410" s="304"/>
      <c r="AQ410" s="304"/>
      <c r="AR410" s="304"/>
      <c r="AS410" s="304"/>
      <c r="AT410" s="304"/>
      <c r="AU410" s="304"/>
      <c r="AV410" s="304"/>
      <c r="AW410" s="304"/>
      <c r="AX410" s="304"/>
      <c r="AY410" s="304"/>
      <c r="AZ410" s="304"/>
      <c r="BA410" s="304"/>
      <c r="BB410" s="304"/>
      <c r="BC410" s="304"/>
      <c r="BD410" s="304"/>
      <c r="BE410" s="304"/>
      <c r="BF410" s="304"/>
      <c r="BG410" s="304"/>
      <c r="BH410" s="304"/>
      <c r="BI410" s="304"/>
      <c r="BJ410" s="304"/>
      <c r="BK410" s="304"/>
      <c r="BL410" s="304"/>
      <c r="BM410" s="304"/>
      <c r="BN410" s="304"/>
      <c r="BO410" s="304"/>
      <c r="BP410" s="304"/>
      <c r="BQ410" s="304"/>
      <c r="BR410" s="304"/>
      <c r="BS410" s="304"/>
      <c r="BT410" s="304"/>
      <c r="BU410" s="304"/>
      <c r="BV410" s="304"/>
      <c r="BW410" s="304"/>
      <c r="BX410" s="304"/>
      <c r="BY410" s="304"/>
      <c r="BZ410" s="304"/>
      <c r="CA410" s="304"/>
      <c r="CB410" s="304"/>
      <c r="CC410" s="304"/>
      <c r="CD410" s="304"/>
      <c r="CE410" s="304"/>
      <c r="CF410" s="304"/>
      <c r="CG410" s="304"/>
      <c r="CH410" s="304"/>
      <c r="CI410" s="304"/>
      <c r="CJ410" s="304"/>
      <c r="CK410" s="304"/>
      <c r="CL410" s="304"/>
      <c r="CM410" s="304"/>
      <c r="CN410" s="304"/>
      <c r="CO410" s="304"/>
      <c r="CP410" s="304"/>
    </row>
    <row r="411" spans="1:94" s="87" customFormat="1">
      <c r="A411" s="81"/>
      <c r="B411" s="83"/>
      <c r="C411" s="82"/>
      <c r="D411" s="102"/>
      <c r="E411" s="102"/>
      <c r="F411" s="102"/>
      <c r="G411" s="83"/>
      <c r="H411" s="102"/>
      <c r="I411" s="218"/>
      <c r="J411" s="102"/>
      <c r="K411" s="102" t="str">
        <f t="shared" si="32"/>
        <v/>
      </c>
      <c r="L411" s="221"/>
      <c r="M411" s="325"/>
      <c r="N411" s="85"/>
      <c r="O411" s="327"/>
      <c r="P411" s="84"/>
      <c r="Q411" s="88"/>
      <c r="R411" s="102">
        <f t="shared" si="31"/>
        <v>0</v>
      </c>
      <c r="S411" s="89"/>
      <c r="T411" s="100"/>
      <c r="U411" s="86"/>
      <c r="V411" s="86"/>
      <c r="W411" s="86"/>
      <c r="X411" s="86"/>
      <c r="Y411" s="83"/>
      <c r="Z411" s="304"/>
      <c r="AA411" s="304"/>
      <c r="AB411" s="304"/>
      <c r="AC411" s="304"/>
      <c r="AD411" s="304"/>
      <c r="AE411" s="304"/>
      <c r="AF411" s="304"/>
      <c r="AG411" s="304"/>
      <c r="AH411" s="304"/>
      <c r="AI411" s="304"/>
      <c r="AJ411" s="304"/>
      <c r="AK411" s="304"/>
      <c r="AL411" s="304"/>
      <c r="AM411" s="304"/>
      <c r="AN411" s="304"/>
      <c r="AO411" s="304"/>
      <c r="AP411" s="304"/>
      <c r="AQ411" s="304"/>
      <c r="AR411" s="304"/>
      <c r="AS411" s="304"/>
      <c r="AT411" s="304"/>
      <c r="AU411" s="304"/>
      <c r="AV411" s="304"/>
      <c r="AW411" s="304"/>
      <c r="AX411" s="304"/>
      <c r="AY411" s="304"/>
      <c r="AZ411" s="304"/>
      <c r="BA411" s="304"/>
      <c r="BB411" s="304"/>
      <c r="BC411" s="304"/>
      <c r="BD411" s="304"/>
      <c r="BE411" s="304"/>
      <c r="BF411" s="304"/>
      <c r="BG411" s="304"/>
      <c r="BH411" s="304"/>
      <c r="BI411" s="304"/>
      <c r="BJ411" s="304"/>
      <c r="BK411" s="304"/>
      <c r="BL411" s="304"/>
      <c r="BM411" s="304"/>
      <c r="BN411" s="304"/>
      <c r="BO411" s="304"/>
      <c r="BP411" s="304"/>
      <c r="BQ411" s="304"/>
      <c r="BR411" s="304"/>
      <c r="BS411" s="304"/>
      <c r="BT411" s="304"/>
      <c r="BU411" s="304"/>
      <c r="BV411" s="304"/>
      <c r="BW411" s="304"/>
      <c r="BX411" s="304"/>
      <c r="BY411" s="304"/>
      <c r="BZ411" s="304"/>
      <c r="CA411" s="304"/>
      <c r="CB411" s="304"/>
      <c r="CC411" s="304"/>
      <c r="CD411" s="304"/>
      <c r="CE411" s="304"/>
      <c r="CF411" s="304"/>
      <c r="CG411" s="304"/>
      <c r="CH411" s="304"/>
      <c r="CI411" s="304"/>
      <c r="CJ411" s="304"/>
      <c r="CK411" s="304"/>
      <c r="CL411" s="304"/>
      <c r="CM411" s="304"/>
      <c r="CN411" s="304"/>
      <c r="CO411" s="304"/>
      <c r="CP411" s="304"/>
    </row>
    <row r="412" spans="1:94" s="87" customFormat="1">
      <c r="A412" s="81"/>
      <c r="B412" s="83"/>
      <c r="C412" s="82"/>
      <c r="D412" s="102"/>
      <c r="E412" s="102"/>
      <c r="F412" s="102"/>
      <c r="G412" s="83"/>
      <c r="H412" s="102"/>
      <c r="I412" s="218"/>
      <c r="J412" s="102"/>
      <c r="K412" s="102" t="str">
        <f t="shared" si="32"/>
        <v/>
      </c>
      <c r="L412" s="221"/>
      <c r="M412" s="325"/>
      <c r="N412" s="85"/>
      <c r="O412" s="327"/>
      <c r="P412" s="84"/>
      <c r="Q412" s="88"/>
      <c r="R412" s="102">
        <f t="shared" si="31"/>
        <v>0</v>
      </c>
      <c r="S412" s="89"/>
      <c r="T412" s="100"/>
      <c r="U412" s="86"/>
      <c r="V412" s="86"/>
      <c r="W412" s="86"/>
      <c r="X412" s="86"/>
      <c r="Y412" s="83"/>
      <c r="Z412" s="304"/>
      <c r="AA412" s="304"/>
      <c r="AB412" s="304"/>
      <c r="AC412" s="304"/>
      <c r="AD412" s="304"/>
      <c r="AE412" s="304"/>
      <c r="AF412" s="304"/>
      <c r="AG412" s="304"/>
      <c r="AH412" s="304"/>
      <c r="AI412" s="304"/>
      <c r="AJ412" s="304"/>
      <c r="AK412" s="304"/>
      <c r="AL412" s="304"/>
      <c r="AM412" s="304"/>
      <c r="AN412" s="304"/>
      <c r="AO412" s="304"/>
      <c r="AP412" s="304"/>
      <c r="AQ412" s="304"/>
      <c r="AR412" s="304"/>
      <c r="AS412" s="304"/>
      <c r="AT412" s="304"/>
      <c r="AU412" s="304"/>
      <c r="AV412" s="304"/>
      <c r="AW412" s="304"/>
      <c r="AX412" s="304"/>
      <c r="AY412" s="304"/>
      <c r="AZ412" s="304"/>
      <c r="BA412" s="304"/>
      <c r="BB412" s="304"/>
      <c r="BC412" s="304"/>
      <c r="BD412" s="304"/>
      <c r="BE412" s="304"/>
      <c r="BF412" s="304"/>
      <c r="BG412" s="304"/>
      <c r="BH412" s="304"/>
      <c r="BI412" s="304"/>
      <c r="BJ412" s="304"/>
      <c r="BK412" s="304"/>
      <c r="BL412" s="304"/>
      <c r="BM412" s="304"/>
      <c r="BN412" s="304"/>
      <c r="BO412" s="304"/>
      <c r="BP412" s="304"/>
      <c r="BQ412" s="304"/>
      <c r="BR412" s="304"/>
      <c r="BS412" s="304"/>
      <c r="BT412" s="304"/>
      <c r="BU412" s="304"/>
      <c r="BV412" s="304"/>
      <c r="BW412" s="304"/>
      <c r="BX412" s="304"/>
      <c r="BY412" s="304"/>
      <c r="BZ412" s="304"/>
      <c r="CA412" s="304"/>
      <c r="CB412" s="304"/>
      <c r="CC412" s="304"/>
      <c r="CD412" s="304"/>
      <c r="CE412" s="304"/>
      <c r="CF412" s="304"/>
      <c r="CG412" s="304"/>
      <c r="CH412" s="304"/>
      <c r="CI412" s="304"/>
      <c r="CJ412" s="304"/>
      <c r="CK412" s="304"/>
      <c r="CL412" s="304"/>
      <c r="CM412" s="304"/>
      <c r="CN412" s="304"/>
      <c r="CO412" s="304"/>
      <c r="CP412" s="304"/>
    </row>
    <row r="413" spans="1:94" s="87" customFormat="1">
      <c r="A413" s="81"/>
      <c r="B413" s="83"/>
      <c r="C413" s="82"/>
      <c r="D413" s="102"/>
      <c r="E413" s="102"/>
      <c r="F413" s="102"/>
      <c r="G413" s="83"/>
      <c r="H413" s="102"/>
      <c r="I413" s="218"/>
      <c r="J413" s="102"/>
      <c r="K413" s="102" t="str">
        <f t="shared" si="32"/>
        <v/>
      </c>
      <c r="L413" s="221"/>
      <c r="M413" s="325"/>
      <c r="N413" s="85"/>
      <c r="O413" s="327"/>
      <c r="P413" s="84"/>
      <c r="Q413" s="88"/>
      <c r="R413" s="102">
        <f t="shared" si="31"/>
        <v>0</v>
      </c>
      <c r="S413" s="89"/>
      <c r="T413" s="100"/>
      <c r="U413" s="86"/>
      <c r="V413" s="86"/>
      <c r="W413" s="86"/>
      <c r="X413" s="86"/>
      <c r="Y413" s="83"/>
      <c r="Z413" s="304"/>
      <c r="AA413" s="304"/>
      <c r="AB413" s="304"/>
      <c r="AC413" s="304"/>
      <c r="AD413" s="304"/>
      <c r="AE413" s="304"/>
      <c r="AF413" s="304"/>
      <c r="AG413" s="304"/>
      <c r="AH413" s="304"/>
      <c r="AI413" s="304"/>
      <c r="AJ413" s="304"/>
      <c r="AK413" s="304"/>
      <c r="AL413" s="304"/>
      <c r="AM413" s="304"/>
      <c r="AN413" s="304"/>
      <c r="AO413" s="304"/>
      <c r="AP413" s="304"/>
      <c r="AQ413" s="304"/>
      <c r="AR413" s="304"/>
      <c r="AS413" s="304"/>
      <c r="AT413" s="304"/>
      <c r="AU413" s="304"/>
      <c r="AV413" s="304"/>
      <c r="AW413" s="304"/>
      <c r="AX413" s="304"/>
      <c r="AY413" s="304"/>
      <c r="AZ413" s="304"/>
      <c r="BA413" s="304"/>
      <c r="BB413" s="304"/>
      <c r="BC413" s="304"/>
      <c r="BD413" s="304"/>
      <c r="BE413" s="304"/>
      <c r="BF413" s="304"/>
      <c r="BG413" s="304"/>
      <c r="BH413" s="304"/>
      <c r="BI413" s="304"/>
      <c r="BJ413" s="304"/>
      <c r="BK413" s="304"/>
      <c r="BL413" s="304"/>
      <c r="BM413" s="304"/>
      <c r="BN413" s="304"/>
      <c r="BO413" s="304"/>
      <c r="BP413" s="304"/>
      <c r="BQ413" s="304"/>
      <c r="BR413" s="304"/>
      <c r="BS413" s="304"/>
      <c r="BT413" s="304"/>
      <c r="BU413" s="304"/>
      <c r="BV413" s="304"/>
      <c r="BW413" s="304"/>
      <c r="BX413" s="304"/>
      <c r="BY413" s="304"/>
      <c r="BZ413" s="304"/>
      <c r="CA413" s="304"/>
      <c r="CB413" s="304"/>
      <c r="CC413" s="304"/>
      <c r="CD413" s="304"/>
      <c r="CE413" s="304"/>
      <c r="CF413" s="304"/>
      <c r="CG413" s="304"/>
      <c r="CH413" s="304"/>
      <c r="CI413" s="304"/>
      <c r="CJ413" s="304"/>
      <c r="CK413" s="304"/>
      <c r="CL413" s="304"/>
      <c r="CM413" s="304"/>
      <c r="CN413" s="304"/>
      <c r="CO413" s="304"/>
      <c r="CP413" s="304"/>
    </row>
    <row r="414" spans="1:94" s="87" customFormat="1">
      <c r="A414" s="81"/>
      <c r="B414" s="83"/>
      <c r="C414" s="82"/>
      <c r="D414" s="102"/>
      <c r="E414" s="102"/>
      <c r="F414" s="102"/>
      <c r="G414" s="83"/>
      <c r="H414" s="102"/>
      <c r="I414" s="218"/>
      <c r="J414" s="102"/>
      <c r="K414" s="102" t="str">
        <f t="shared" si="32"/>
        <v/>
      </c>
      <c r="L414" s="221"/>
      <c r="M414" s="325"/>
      <c r="N414" s="85"/>
      <c r="O414" s="327"/>
      <c r="P414" s="84"/>
      <c r="Q414" s="88"/>
      <c r="R414" s="102">
        <f t="shared" si="31"/>
        <v>0</v>
      </c>
      <c r="S414" s="89"/>
      <c r="T414" s="100"/>
      <c r="U414" s="86"/>
      <c r="V414" s="86"/>
      <c r="W414" s="86"/>
      <c r="X414" s="86"/>
      <c r="Y414" s="83"/>
      <c r="Z414" s="304"/>
      <c r="AA414" s="304"/>
      <c r="AB414" s="304"/>
      <c r="AC414" s="304"/>
      <c r="AD414" s="304"/>
      <c r="AE414" s="304"/>
      <c r="AF414" s="304"/>
      <c r="AG414" s="304"/>
      <c r="AH414" s="304"/>
      <c r="AI414" s="304"/>
      <c r="AJ414" s="304"/>
      <c r="AK414" s="304"/>
      <c r="AL414" s="304"/>
      <c r="AM414" s="304"/>
      <c r="AN414" s="304"/>
      <c r="AO414" s="304"/>
      <c r="AP414" s="304"/>
      <c r="AQ414" s="304"/>
      <c r="AR414" s="304"/>
      <c r="AS414" s="304"/>
      <c r="AT414" s="304"/>
      <c r="AU414" s="304"/>
      <c r="AV414" s="304"/>
      <c r="AW414" s="304"/>
      <c r="AX414" s="304"/>
      <c r="AY414" s="304"/>
      <c r="AZ414" s="304"/>
      <c r="BA414" s="304"/>
      <c r="BB414" s="304"/>
      <c r="BC414" s="304"/>
      <c r="BD414" s="304"/>
      <c r="BE414" s="304"/>
      <c r="BF414" s="304"/>
      <c r="BG414" s="304"/>
      <c r="BH414" s="304"/>
      <c r="BI414" s="304"/>
      <c r="BJ414" s="304"/>
      <c r="BK414" s="304"/>
      <c r="BL414" s="304"/>
      <c r="BM414" s="304"/>
      <c r="BN414" s="304"/>
      <c r="BO414" s="304"/>
      <c r="BP414" s="304"/>
      <c r="BQ414" s="304"/>
      <c r="BR414" s="304"/>
      <c r="BS414" s="304"/>
      <c r="BT414" s="304"/>
      <c r="BU414" s="304"/>
      <c r="BV414" s="304"/>
      <c r="BW414" s="304"/>
      <c r="BX414" s="304"/>
      <c r="BY414" s="304"/>
      <c r="BZ414" s="304"/>
      <c r="CA414" s="304"/>
      <c r="CB414" s="304"/>
      <c r="CC414" s="304"/>
      <c r="CD414" s="304"/>
      <c r="CE414" s="304"/>
      <c r="CF414" s="304"/>
      <c r="CG414" s="304"/>
      <c r="CH414" s="304"/>
      <c r="CI414" s="304"/>
      <c r="CJ414" s="304"/>
      <c r="CK414" s="304"/>
      <c r="CL414" s="304"/>
      <c r="CM414" s="304"/>
      <c r="CN414" s="304"/>
      <c r="CO414" s="304"/>
      <c r="CP414" s="304"/>
    </row>
    <row r="415" spans="1:94" s="87" customFormat="1">
      <c r="A415" s="81"/>
      <c r="B415" s="83"/>
      <c r="C415" s="82"/>
      <c r="D415" s="102"/>
      <c r="E415" s="102"/>
      <c r="F415" s="102"/>
      <c r="G415" s="83"/>
      <c r="H415" s="102"/>
      <c r="I415" s="218"/>
      <c r="J415" s="102"/>
      <c r="K415" s="102" t="str">
        <f t="shared" si="32"/>
        <v/>
      </c>
      <c r="L415" s="221"/>
      <c r="M415" s="325"/>
      <c r="N415" s="85"/>
      <c r="O415" s="327"/>
      <c r="P415" s="84"/>
      <c r="Q415" s="88"/>
      <c r="R415" s="102">
        <f t="shared" si="31"/>
        <v>0</v>
      </c>
      <c r="S415" s="89"/>
      <c r="T415" s="100"/>
      <c r="U415" s="86"/>
      <c r="V415" s="86"/>
      <c r="W415" s="86"/>
      <c r="X415" s="86"/>
      <c r="Y415" s="83"/>
      <c r="Z415" s="304"/>
      <c r="AA415" s="304"/>
      <c r="AB415" s="304"/>
      <c r="AC415" s="304"/>
      <c r="AD415" s="304"/>
      <c r="AE415" s="304"/>
      <c r="AF415" s="304"/>
      <c r="AG415" s="304"/>
      <c r="AH415" s="304"/>
      <c r="AI415" s="304"/>
      <c r="AJ415" s="304"/>
      <c r="AK415" s="304"/>
      <c r="AL415" s="304"/>
      <c r="AM415" s="304"/>
      <c r="AN415" s="304"/>
      <c r="AO415" s="304"/>
      <c r="AP415" s="304"/>
      <c r="AQ415" s="304"/>
      <c r="AR415" s="304"/>
      <c r="AS415" s="304"/>
      <c r="AT415" s="304"/>
      <c r="AU415" s="304"/>
      <c r="AV415" s="304"/>
      <c r="AW415" s="304"/>
      <c r="AX415" s="304"/>
      <c r="AY415" s="304"/>
      <c r="AZ415" s="304"/>
      <c r="BA415" s="304"/>
      <c r="BB415" s="304"/>
      <c r="BC415" s="304"/>
      <c r="BD415" s="304"/>
      <c r="BE415" s="304"/>
      <c r="BF415" s="304"/>
      <c r="BG415" s="304"/>
      <c r="BH415" s="304"/>
      <c r="BI415" s="304"/>
      <c r="BJ415" s="304"/>
      <c r="BK415" s="304"/>
      <c r="BL415" s="304"/>
      <c r="BM415" s="304"/>
      <c r="BN415" s="304"/>
      <c r="BO415" s="304"/>
      <c r="BP415" s="304"/>
      <c r="BQ415" s="304"/>
      <c r="BR415" s="304"/>
      <c r="BS415" s="304"/>
      <c r="BT415" s="304"/>
      <c r="BU415" s="304"/>
      <c r="BV415" s="304"/>
      <c r="BW415" s="304"/>
      <c r="BX415" s="304"/>
      <c r="BY415" s="304"/>
      <c r="BZ415" s="304"/>
      <c r="CA415" s="304"/>
      <c r="CB415" s="304"/>
      <c r="CC415" s="304"/>
      <c r="CD415" s="304"/>
      <c r="CE415" s="304"/>
      <c r="CF415" s="304"/>
      <c r="CG415" s="304"/>
      <c r="CH415" s="304"/>
      <c r="CI415" s="304"/>
      <c r="CJ415" s="304"/>
      <c r="CK415" s="304"/>
      <c r="CL415" s="304"/>
      <c r="CM415" s="304"/>
      <c r="CN415" s="304"/>
      <c r="CO415" s="304"/>
      <c r="CP415" s="304"/>
    </row>
    <row r="416" spans="1:94" s="87" customFormat="1">
      <c r="A416" s="81"/>
      <c r="B416" s="83"/>
      <c r="C416" s="82"/>
      <c r="D416" s="102"/>
      <c r="E416" s="102"/>
      <c r="F416" s="102"/>
      <c r="G416" s="83"/>
      <c r="H416" s="102"/>
      <c r="I416" s="218"/>
      <c r="J416" s="102"/>
      <c r="K416" s="102" t="str">
        <f t="shared" si="32"/>
        <v/>
      </c>
      <c r="L416" s="221"/>
      <c r="M416" s="325"/>
      <c r="N416" s="85"/>
      <c r="O416" s="327"/>
      <c r="P416" s="84"/>
      <c r="Q416" s="88"/>
      <c r="R416" s="102">
        <f t="shared" si="31"/>
        <v>0</v>
      </c>
      <c r="S416" s="89"/>
      <c r="T416" s="100"/>
      <c r="U416" s="86"/>
      <c r="V416" s="86"/>
      <c r="W416" s="86"/>
      <c r="X416" s="86"/>
      <c r="Y416" s="83"/>
      <c r="Z416" s="304"/>
      <c r="AA416" s="304"/>
      <c r="AB416" s="304"/>
      <c r="AC416" s="304"/>
      <c r="AD416" s="304"/>
      <c r="AE416" s="304"/>
      <c r="AF416" s="304"/>
      <c r="AG416" s="304"/>
      <c r="AH416" s="304"/>
      <c r="AI416" s="304"/>
      <c r="AJ416" s="304"/>
      <c r="AK416" s="304"/>
      <c r="AL416" s="304"/>
      <c r="AM416" s="304"/>
      <c r="AN416" s="304"/>
      <c r="AO416" s="304"/>
      <c r="AP416" s="304"/>
      <c r="AQ416" s="304"/>
      <c r="AR416" s="304"/>
      <c r="AS416" s="304"/>
      <c r="AT416" s="304"/>
      <c r="AU416" s="304"/>
      <c r="AV416" s="304"/>
      <c r="AW416" s="304"/>
      <c r="AX416" s="304"/>
      <c r="AY416" s="304"/>
      <c r="AZ416" s="304"/>
      <c r="BA416" s="304"/>
      <c r="BB416" s="304"/>
      <c r="BC416" s="304"/>
      <c r="BD416" s="304"/>
      <c r="BE416" s="304"/>
      <c r="BF416" s="304"/>
      <c r="BG416" s="304"/>
      <c r="BH416" s="304"/>
      <c r="BI416" s="304"/>
      <c r="BJ416" s="304"/>
      <c r="BK416" s="304"/>
      <c r="BL416" s="304"/>
      <c r="BM416" s="304"/>
      <c r="BN416" s="304"/>
      <c r="BO416" s="304"/>
      <c r="BP416" s="304"/>
      <c r="BQ416" s="304"/>
      <c r="BR416" s="304"/>
      <c r="BS416" s="304"/>
      <c r="BT416" s="304"/>
      <c r="BU416" s="304"/>
      <c r="BV416" s="304"/>
      <c r="BW416" s="304"/>
      <c r="BX416" s="304"/>
      <c r="BY416" s="304"/>
      <c r="BZ416" s="304"/>
      <c r="CA416" s="304"/>
      <c r="CB416" s="304"/>
      <c r="CC416" s="304"/>
      <c r="CD416" s="304"/>
      <c r="CE416" s="304"/>
      <c r="CF416" s="304"/>
      <c r="CG416" s="304"/>
      <c r="CH416" s="304"/>
      <c r="CI416" s="304"/>
      <c r="CJ416" s="304"/>
      <c r="CK416" s="304"/>
      <c r="CL416" s="304"/>
      <c r="CM416" s="304"/>
      <c r="CN416" s="304"/>
      <c r="CO416" s="304"/>
      <c r="CP416" s="304"/>
    </row>
    <row r="417" spans="1:94" s="87" customFormat="1">
      <c r="A417" s="81"/>
      <c r="B417" s="83"/>
      <c r="C417" s="82"/>
      <c r="D417" s="102"/>
      <c r="E417" s="102"/>
      <c r="F417" s="102"/>
      <c r="G417" s="83"/>
      <c r="H417" s="102"/>
      <c r="I417" s="218"/>
      <c r="J417" s="102"/>
      <c r="K417" s="102" t="str">
        <f t="shared" si="32"/>
        <v/>
      </c>
      <c r="L417" s="221"/>
      <c r="M417" s="325"/>
      <c r="N417" s="85"/>
      <c r="O417" s="327"/>
      <c r="P417" s="84"/>
      <c r="Q417" s="88"/>
      <c r="R417" s="102">
        <f t="shared" si="31"/>
        <v>0</v>
      </c>
      <c r="S417" s="89"/>
      <c r="T417" s="100"/>
      <c r="U417" s="86"/>
      <c r="V417" s="86"/>
      <c r="W417" s="86"/>
      <c r="X417" s="86"/>
      <c r="Y417" s="83"/>
      <c r="Z417" s="304"/>
      <c r="AA417" s="304"/>
      <c r="AB417" s="304"/>
      <c r="AC417" s="304"/>
      <c r="AD417" s="304"/>
      <c r="AE417" s="304"/>
      <c r="AF417" s="304"/>
      <c r="AG417" s="304"/>
      <c r="AH417" s="304"/>
      <c r="AI417" s="304"/>
      <c r="AJ417" s="304"/>
      <c r="AK417" s="304"/>
      <c r="AL417" s="304"/>
      <c r="AM417" s="304"/>
      <c r="AN417" s="304"/>
      <c r="AO417" s="304"/>
      <c r="AP417" s="304"/>
      <c r="AQ417" s="304"/>
      <c r="AR417" s="304"/>
      <c r="AS417" s="304"/>
      <c r="AT417" s="304"/>
      <c r="AU417" s="304"/>
      <c r="AV417" s="304"/>
      <c r="AW417" s="304"/>
      <c r="AX417" s="304"/>
      <c r="AY417" s="304"/>
      <c r="AZ417" s="304"/>
      <c r="BA417" s="304"/>
      <c r="BB417" s="304"/>
      <c r="BC417" s="304"/>
      <c r="BD417" s="304"/>
      <c r="BE417" s="304"/>
      <c r="BF417" s="304"/>
      <c r="BG417" s="304"/>
      <c r="BH417" s="304"/>
      <c r="BI417" s="304"/>
      <c r="BJ417" s="304"/>
      <c r="BK417" s="304"/>
      <c r="BL417" s="304"/>
      <c r="BM417" s="304"/>
      <c r="BN417" s="304"/>
      <c r="BO417" s="304"/>
      <c r="BP417" s="304"/>
      <c r="BQ417" s="304"/>
      <c r="BR417" s="304"/>
      <c r="BS417" s="304"/>
      <c r="BT417" s="304"/>
      <c r="BU417" s="304"/>
      <c r="BV417" s="304"/>
      <c r="BW417" s="304"/>
      <c r="BX417" s="304"/>
      <c r="BY417" s="304"/>
      <c r="BZ417" s="304"/>
      <c r="CA417" s="304"/>
      <c r="CB417" s="304"/>
      <c r="CC417" s="304"/>
      <c r="CD417" s="304"/>
      <c r="CE417" s="304"/>
      <c r="CF417" s="304"/>
      <c r="CG417" s="304"/>
      <c r="CH417" s="304"/>
      <c r="CI417" s="304"/>
      <c r="CJ417" s="304"/>
      <c r="CK417" s="304"/>
      <c r="CL417" s="304"/>
      <c r="CM417" s="304"/>
      <c r="CN417" s="304"/>
      <c r="CO417" s="304"/>
      <c r="CP417" s="304"/>
    </row>
    <row r="418" spans="1:94" s="87" customFormat="1">
      <c r="A418" s="81"/>
      <c r="B418" s="83"/>
      <c r="C418" s="82"/>
      <c r="D418" s="102"/>
      <c r="E418" s="102"/>
      <c r="F418" s="102"/>
      <c r="G418" s="83"/>
      <c r="H418" s="102"/>
      <c r="I418" s="218"/>
      <c r="J418" s="102"/>
      <c r="K418" s="102" t="str">
        <f t="shared" si="32"/>
        <v/>
      </c>
      <c r="L418" s="221"/>
      <c r="M418" s="325"/>
      <c r="N418" s="85"/>
      <c r="O418" s="327"/>
      <c r="P418" s="84"/>
      <c r="Q418" s="88"/>
      <c r="R418" s="102">
        <f t="shared" si="31"/>
        <v>0</v>
      </c>
      <c r="S418" s="89"/>
      <c r="T418" s="100"/>
      <c r="U418" s="86"/>
      <c r="V418" s="86"/>
      <c r="W418" s="86"/>
      <c r="X418" s="86"/>
      <c r="Y418" s="83"/>
      <c r="Z418" s="304"/>
      <c r="AA418" s="304"/>
      <c r="AB418" s="304"/>
      <c r="AC418" s="304"/>
      <c r="AD418" s="304"/>
      <c r="AE418" s="304"/>
      <c r="AF418" s="304"/>
      <c r="AG418" s="304"/>
      <c r="AH418" s="304"/>
      <c r="AI418" s="304"/>
      <c r="AJ418" s="304"/>
      <c r="AK418" s="304"/>
      <c r="AL418" s="304"/>
      <c r="AM418" s="304"/>
      <c r="AN418" s="304"/>
      <c r="AO418" s="304"/>
      <c r="AP418" s="304"/>
      <c r="AQ418" s="304"/>
      <c r="AR418" s="304"/>
      <c r="AS418" s="304"/>
      <c r="AT418" s="304"/>
      <c r="AU418" s="304"/>
      <c r="AV418" s="304"/>
      <c r="AW418" s="304"/>
      <c r="AX418" s="304"/>
      <c r="AY418" s="304"/>
      <c r="AZ418" s="304"/>
      <c r="BA418" s="304"/>
      <c r="BB418" s="304"/>
      <c r="BC418" s="304"/>
      <c r="BD418" s="304"/>
      <c r="BE418" s="304"/>
      <c r="BF418" s="304"/>
      <c r="BG418" s="304"/>
      <c r="BH418" s="304"/>
      <c r="BI418" s="304"/>
      <c r="BJ418" s="304"/>
      <c r="BK418" s="304"/>
      <c r="BL418" s="304"/>
      <c r="BM418" s="304"/>
      <c r="BN418" s="304"/>
      <c r="BO418" s="304"/>
      <c r="BP418" s="304"/>
      <c r="BQ418" s="304"/>
      <c r="BR418" s="304"/>
      <c r="BS418" s="304"/>
      <c r="BT418" s="304"/>
      <c r="BU418" s="304"/>
      <c r="BV418" s="304"/>
      <c r="BW418" s="304"/>
      <c r="BX418" s="304"/>
      <c r="BY418" s="304"/>
      <c r="BZ418" s="304"/>
      <c r="CA418" s="304"/>
      <c r="CB418" s="304"/>
      <c r="CC418" s="304"/>
      <c r="CD418" s="304"/>
      <c r="CE418" s="304"/>
      <c r="CF418" s="304"/>
      <c r="CG418" s="304"/>
      <c r="CH418" s="304"/>
      <c r="CI418" s="304"/>
      <c r="CJ418" s="304"/>
      <c r="CK418" s="304"/>
      <c r="CL418" s="304"/>
      <c r="CM418" s="304"/>
      <c r="CN418" s="304"/>
      <c r="CO418" s="304"/>
      <c r="CP418" s="304"/>
    </row>
    <row r="419" spans="1:94" s="87" customFormat="1">
      <c r="A419" s="81"/>
      <c r="B419" s="83"/>
      <c r="C419" s="82"/>
      <c r="D419" s="102"/>
      <c r="E419" s="102"/>
      <c r="F419" s="102"/>
      <c r="G419" s="83"/>
      <c r="H419" s="102"/>
      <c r="I419" s="218"/>
      <c r="J419" s="102"/>
      <c r="K419" s="102" t="str">
        <f t="shared" si="32"/>
        <v/>
      </c>
      <c r="L419" s="221"/>
      <c r="M419" s="325"/>
      <c r="N419" s="85"/>
      <c r="O419" s="327"/>
      <c r="P419" s="84"/>
      <c r="Q419" s="88"/>
      <c r="R419" s="102">
        <f t="shared" si="31"/>
        <v>0</v>
      </c>
      <c r="S419" s="89"/>
      <c r="T419" s="100"/>
      <c r="U419" s="86"/>
      <c r="V419" s="86"/>
      <c r="W419" s="86"/>
      <c r="X419" s="86"/>
      <c r="Y419" s="83"/>
      <c r="Z419" s="304"/>
      <c r="AA419" s="304"/>
      <c r="AB419" s="304"/>
      <c r="AC419" s="304"/>
      <c r="AD419" s="304"/>
      <c r="AE419" s="304"/>
      <c r="AF419" s="304"/>
      <c r="AG419" s="304"/>
      <c r="AH419" s="304"/>
      <c r="AI419" s="304"/>
      <c r="AJ419" s="304"/>
      <c r="AK419" s="304"/>
      <c r="AL419" s="304"/>
      <c r="AM419" s="304"/>
      <c r="AN419" s="304"/>
      <c r="AO419" s="304"/>
      <c r="AP419" s="304"/>
      <c r="AQ419" s="304"/>
      <c r="AR419" s="304"/>
      <c r="AS419" s="304"/>
      <c r="AT419" s="304"/>
      <c r="AU419" s="304"/>
      <c r="AV419" s="304"/>
      <c r="AW419" s="304"/>
      <c r="AX419" s="304"/>
      <c r="AY419" s="304"/>
      <c r="AZ419" s="304"/>
      <c r="BA419" s="304"/>
      <c r="BB419" s="304"/>
      <c r="BC419" s="304"/>
      <c r="BD419" s="304"/>
      <c r="BE419" s="304"/>
      <c r="BF419" s="304"/>
      <c r="BG419" s="304"/>
      <c r="BH419" s="304"/>
      <c r="BI419" s="304"/>
      <c r="BJ419" s="304"/>
      <c r="BK419" s="304"/>
      <c r="BL419" s="304"/>
      <c r="BM419" s="304"/>
      <c r="BN419" s="304"/>
      <c r="BO419" s="304"/>
      <c r="BP419" s="304"/>
      <c r="BQ419" s="304"/>
      <c r="BR419" s="304"/>
      <c r="BS419" s="304"/>
      <c r="BT419" s="304"/>
      <c r="BU419" s="304"/>
      <c r="BV419" s="304"/>
      <c r="BW419" s="304"/>
      <c r="BX419" s="304"/>
      <c r="BY419" s="304"/>
      <c r="BZ419" s="304"/>
      <c r="CA419" s="304"/>
      <c r="CB419" s="304"/>
      <c r="CC419" s="304"/>
      <c r="CD419" s="304"/>
      <c r="CE419" s="304"/>
      <c r="CF419" s="304"/>
      <c r="CG419" s="304"/>
      <c r="CH419" s="304"/>
      <c r="CI419" s="304"/>
      <c r="CJ419" s="304"/>
      <c r="CK419" s="304"/>
      <c r="CL419" s="304"/>
      <c r="CM419" s="304"/>
      <c r="CN419" s="304"/>
      <c r="CO419" s="304"/>
      <c r="CP419" s="304"/>
    </row>
    <row r="420" spans="1:94" s="87" customFormat="1">
      <c r="A420" s="81"/>
      <c r="B420" s="83"/>
      <c r="C420" s="82"/>
      <c r="D420" s="102"/>
      <c r="E420" s="102"/>
      <c r="F420" s="102"/>
      <c r="G420" s="83"/>
      <c r="H420" s="102"/>
      <c r="I420" s="218"/>
      <c r="J420" s="102"/>
      <c r="K420" s="102" t="str">
        <f t="shared" si="32"/>
        <v/>
      </c>
      <c r="L420" s="221"/>
      <c r="M420" s="325"/>
      <c r="N420" s="85"/>
      <c r="O420" s="327"/>
      <c r="P420" s="84"/>
      <c r="Q420" s="88"/>
      <c r="R420" s="102">
        <f t="shared" si="31"/>
        <v>0</v>
      </c>
      <c r="S420" s="89"/>
      <c r="T420" s="100"/>
      <c r="U420" s="86"/>
      <c r="V420" s="86"/>
      <c r="W420" s="86"/>
      <c r="X420" s="86"/>
      <c r="Y420" s="83"/>
      <c r="Z420" s="304"/>
      <c r="AA420" s="304"/>
      <c r="AB420" s="304"/>
      <c r="AC420" s="304"/>
      <c r="AD420" s="304"/>
      <c r="AE420" s="304"/>
      <c r="AF420" s="304"/>
      <c r="AG420" s="304"/>
      <c r="AH420" s="304"/>
      <c r="AI420" s="304"/>
      <c r="AJ420" s="304"/>
      <c r="AK420" s="304"/>
      <c r="AL420" s="304"/>
      <c r="AM420" s="304"/>
      <c r="AN420" s="304"/>
      <c r="AO420" s="304"/>
      <c r="AP420" s="304"/>
      <c r="AQ420" s="304"/>
      <c r="AR420" s="304"/>
      <c r="AS420" s="304"/>
      <c r="AT420" s="304"/>
      <c r="AU420" s="304"/>
      <c r="AV420" s="304"/>
      <c r="AW420" s="304"/>
      <c r="AX420" s="304"/>
      <c r="AY420" s="304"/>
      <c r="AZ420" s="304"/>
      <c r="BA420" s="304"/>
      <c r="BB420" s="304"/>
      <c r="BC420" s="304"/>
      <c r="BD420" s="304"/>
      <c r="BE420" s="304"/>
      <c r="BF420" s="304"/>
      <c r="BG420" s="304"/>
      <c r="BH420" s="304"/>
      <c r="BI420" s="304"/>
      <c r="BJ420" s="304"/>
      <c r="BK420" s="304"/>
      <c r="BL420" s="304"/>
      <c r="BM420" s="304"/>
      <c r="BN420" s="304"/>
      <c r="BO420" s="304"/>
      <c r="BP420" s="304"/>
      <c r="BQ420" s="304"/>
      <c r="BR420" s="304"/>
      <c r="BS420" s="304"/>
      <c r="BT420" s="304"/>
      <c r="BU420" s="304"/>
      <c r="BV420" s="304"/>
      <c r="BW420" s="304"/>
      <c r="BX420" s="304"/>
      <c r="BY420" s="304"/>
      <c r="BZ420" s="304"/>
      <c r="CA420" s="304"/>
      <c r="CB420" s="304"/>
      <c r="CC420" s="304"/>
      <c r="CD420" s="304"/>
      <c r="CE420" s="304"/>
      <c r="CF420" s="304"/>
      <c r="CG420" s="304"/>
      <c r="CH420" s="304"/>
      <c r="CI420" s="304"/>
      <c r="CJ420" s="304"/>
      <c r="CK420" s="304"/>
      <c r="CL420" s="304"/>
      <c r="CM420" s="304"/>
      <c r="CN420" s="304"/>
      <c r="CO420" s="304"/>
      <c r="CP420" s="304"/>
    </row>
    <row r="421" spans="1:94" s="87" customFormat="1">
      <c r="A421" s="81"/>
      <c r="B421" s="83"/>
      <c r="C421" s="82"/>
      <c r="D421" s="102"/>
      <c r="E421" s="102"/>
      <c r="F421" s="102"/>
      <c r="G421" s="83"/>
      <c r="H421" s="102"/>
      <c r="I421" s="218"/>
      <c r="J421" s="102"/>
      <c r="K421" s="102" t="str">
        <f t="shared" si="32"/>
        <v/>
      </c>
      <c r="L421" s="221"/>
      <c r="M421" s="325"/>
      <c r="N421" s="85"/>
      <c r="O421" s="327"/>
      <c r="P421" s="84"/>
      <c r="Q421" s="88"/>
      <c r="R421" s="102">
        <f t="shared" si="31"/>
        <v>0</v>
      </c>
      <c r="S421" s="89"/>
      <c r="T421" s="100"/>
      <c r="U421" s="86"/>
      <c r="V421" s="86"/>
      <c r="W421" s="86"/>
      <c r="X421" s="86"/>
      <c r="Y421" s="83"/>
      <c r="Z421" s="304"/>
      <c r="AA421" s="304"/>
      <c r="AB421" s="304"/>
      <c r="AC421" s="304"/>
      <c r="AD421" s="304"/>
      <c r="AE421" s="304"/>
      <c r="AF421" s="304"/>
      <c r="AG421" s="304"/>
      <c r="AH421" s="304"/>
      <c r="AI421" s="304"/>
      <c r="AJ421" s="304"/>
      <c r="AK421" s="304"/>
      <c r="AL421" s="304"/>
      <c r="AM421" s="304"/>
      <c r="AN421" s="304"/>
      <c r="AO421" s="304"/>
      <c r="AP421" s="304"/>
      <c r="AQ421" s="304"/>
      <c r="AR421" s="304"/>
      <c r="AS421" s="304"/>
      <c r="AT421" s="304"/>
      <c r="AU421" s="304"/>
      <c r="AV421" s="304"/>
      <c r="AW421" s="304"/>
      <c r="AX421" s="304"/>
      <c r="AY421" s="304"/>
      <c r="AZ421" s="304"/>
      <c r="BA421" s="304"/>
      <c r="BB421" s="304"/>
      <c r="BC421" s="304"/>
      <c r="BD421" s="304"/>
      <c r="BE421" s="304"/>
      <c r="BF421" s="304"/>
      <c r="BG421" s="304"/>
      <c r="BH421" s="304"/>
      <c r="BI421" s="304"/>
      <c r="BJ421" s="304"/>
      <c r="BK421" s="304"/>
      <c r="BL421" s="304"/>
      <c r="BM421" s="304"/>
      <c r="BN421" s="304"/>
      <c r="BO421" s="304"/>
      <c r="BP421" s="304"/>
      <c r="BQ421" s="304"/>
      <c r="BR421" s="304"/>
      <c r="BS421" s="304"/>
      <c r="BT421" s="304"/>
      <c r="BU421" s="304"/>
      <c r="BV421" s="304"/>
      <c r="BW421" s="304"/>
      <c r="BX421" s="304"/>
      <c r="BY421" s="304"/>
      <c r="BZ421" s="304"/>
      <c r="CA421" s="304"/>
      <c r="CB421" s="304"/>
      <c r="CC421" s="304"/>
      <c r="CD421" s="304"/>
      <c r="CE421" s="304"/>
      <c r="CF421" s="304"/>
      <c r="CG421" s="304"/>
      <c r="CH421" s="304"/>
      <c r="CI421" s="304"/>
      <c r="CJ421" s="304"/>
      <c r="CK421" s="304"/>
      <c r="CL421" s="304"/>
      <c r="CM421" s="304"/>
      <c r="CN421" s="304"/>
      <c r="CO421" s="304"/>
      <c r="CP421" s="304"/>
    </row>
    <row r="422" spans="1:94" s="87" customFormat="1">
      <c r="A422" s="81"/>
      <c r="B422" s="83"/>
      <c r="C422" s="82"/>
      <c r="D422" s="102"/>
      <c r="E422" s="102"/>
      <c r="F422" s="102"/>
      <c r="G422" s="83"/>
      <c r="H422" s="102"/>
      <c r="I422" s="218"/>
      <c r="J422" s="102"/>
      <c r="K422" s="102" t="str">
        <f t="shared" si="32"/>
        <v/>
      </c>
      <c r="L422" s="221"/>
      <c r="M422" s="325"/>
      <c r="N422" s="85"/>
      <c r="O422" s="327"/>
      <c r="P422" s="84"/>
      <c r="Q422" s="88"/>
      <c r="R422" s="102">
        <f t="shared" si="31"/>
        <v>0</v>
      </c>
      <c r="S422" s="89"/>
      <c r="T422" s="100"/>
      <c r="U422" s="86"/>
      <c r="V422" s="86"/>
      <c r="W422" s="86"/>
      <c r="X422" s="86"/>
      <c r="Y422" s="83"/>
      <c r="Z422" s="304"/>
      <c r="AA422" s="304"/>
      <c r="AB422" s="304"/>
      <c r="AC422" s="304"/>
      <c r="AD422" s="304"/>
      <c r="AE422" s="304"/>
      <c r="AF422" s="304"/>
      <c r="AG422" s="304"/>
      <c r="AH422" s="304"/>
      <c r="AI422" s="304"/>
      <c r="AJ422" s="304"/>
      <c r="AK422" s="304"/>
      <c r="AL422" s="304"/>
      <c r="AM422" s="304"/>
      <c r="AN422" s="304"/>
      <c r="AO422" s="304"/>
      <c r="AP422" s="304"/>
      <c r="AQ422" s="304"/>
      <c r="AR422" s="304"/>
      <c r="AS422" s="304"/>
      <c r="AT422" s="304"/>
      <c r="AU422" s="304"/>
      <c r="AV422" s="304"/>
      <c r="AW422" s="304"/>
      <c r="AX422" s="304"/>
      <c r="AY422" s="304"/>
      <c r="AZ422" s="304"/>
      <c r="BA422" s="304"/>
      <c r="BB422" s="304"/>
      <c r="BC422" s="304"/>
      <c r="BD422" s="304"/>
      <c r="BE422" s="304"/>
      <c r="BF422" s="304"/>
      <c r="BG422" s="304"/>
      <c r="BH422" s="304"/>
      <c r="BI422" s="304"/>
      <c r="BJ422" s="304"/>
      <c r="BK422" s="304"/>
      <c r="BL422" s="304"/>
      <c r="BM422" s="304"/>
      <c r="BN422" s="304"/>
      <c r="BO422" s="304"/>
      <c r="BP422" s="304"/>
      <c r="BQ422" s="304"/>
      <c r="BR422" s="304"/>
      <c r="BS422" s="304"/>
      <c r="BT422" s="304"/>
      <c r="BU422" s="304"/>
      <c r="BV422" s="304"/>
      <c r="BW422" s="304"/>
      <c r="BX422" s="304"/>
      <c r="BY422" s="304"/>
      <c r="BZ422" s="304"/>
      <c r="CA422" s="304"/>
      <c r="CB422" s="304"/>
      <c r="CC422" s="304"/>
      <c r="CD422" s="304"/>
      <c r="CE422" s="304"/>
      <c r="CF422" s="304"/>
      <c r="CG422" s="304"/>
      <c r="CH422" s="304"/>
      <c r="CI422" s="304"/>
      <c r="CJ422" s="304"/>
      <c r="CK422" s="304"/>
      <c r="CL422" s="304"/>
      <c r="CM422" s="304"/>
      <c r="CN422" s="304"/>
      <c r="CO422" s="304"/>
      <c r="CP422" s="304"/>
    </row>
    <row r="423" spans="1:94" s="87" customFormat="1">
      <c r="A423" s="81"/>
      <c r="B423" s="83"/>
      <c r="C423" s="82"/>
      <c r="D423" s="102"/>
      <c r="E423" s="102"/>
      <c r="F423" s="102"/>
      <c r="G423" s="83"/>
      <c r="H423" s="102"/>
      <c r="I423" s="218"/>
      <c r="J423" s="102"/>
      <c r="K423" s="102" t="str">
        <f t="shared" si="32"/>
        <v/>
      </c>
      <c r="L423" s="221"/>
      <c r="M423" s="325"/>
      <c r="N423" s="85"/>
      <c r="O423" s="327"/>
      <c r="P423" s="84"/>
      <c r="Q423" s="88"/>
      <c r="R423" s="102">
        <f t="shared" si="31"/>
        <v>0</v>
      </c>
      <c r="S423" s="89"/>
      <c r="T423" s="100"/>
      <c r="U423" s="86"/>
      <c r="V423" s="86"/>
      <c r="W423" s="86"/>
      <c r="X423" s="86"/>
      <c r="Y423" s="83"/>
      <c r="Z423" s="304"/>
      <c r="AA423" s="304"/>
      <c r="AB423" s="304"/>
      <c r="AC423" s="304"/>
      <c r="AD423" s="304"/>
      <c r="AE423" s="304"/>
      <c r="AF423" s="304"/>
      <c r="AG423" s="304"/>
      <c r="AH423" s="304"/>
      <c r="AI423" s="304"/>
      <c r="AJ423" s="304"/>
      <c r="AK423" s="304"/>
      <c r="AL423" s="304"/>
      <c r="AM423" s="304"/>
      <c r="AN423" s="304"/>
      <c r="AO423" s="304"/>
      <c r="AP423" s="304"/>
      <c r="AQ423" s="304"/>
      <c r="AR423" s="304"/>
      <c r="AS423" s="304"/>
      <c r="AT423" s="304"/>
      <c r="AU423" s="304"/>
      <c r="AV423" s="304"/>
      <c r="AW423" s="304"/>
      <c r="AX423" s="304"/>
      <c r="AY423" s="304"/>
      <c r="AZ423" s="304"/>
      <c r="BA423" s="304"/>
      <c r="BB423" s="304"/>
      <c r="BC423" s="304"/>
      <c r="BD423" s="304"/>
      <c r="BE423" s="304"/>
      <c r="BF423" s="304"/>
      <c r="BG423" s="304"/>
      <c r="BH423" s="304"/>
      <c r="BI423" s="304"/>
      <c r="BJ423" s="304"/>
      <c r="BK423" s="304"/>
      <c r="BL423" s="304"/>
      <c r="BM423" s="304"/>
      <c r="BN423" s="304"/>
      <c r="BO423" s="304"/>
      <c r="BP423" s="304"/>
      <c r="BQ423" s="304"/>
      <c r="BR423" s="304"/>
      <c r="BS423" s="304"/>
      <c r="BT423" s="304"/>
      <c r="BU423" s="304"/>
      <c r="BV423" s="304"/>
      <c r="BW423" s="304"/>
      <c r="BX423" s="304"/>
      <c r="BY423" s="304"/>
      <c r="BZ423" s="304"/>
      <c r="CA423" s="304"/>
      <c r="CB423" s="304"/>
      <c r="CC423" s="304"/>
      <c r="CD423" s="304"/>
      <c r="CE423" s="304"/>
      <c r="CF423" s="304"/>
      <c r="CG423" s="304"/>
      <c r="CH423" s="304"/>
      <c r="CI423" s="304"/>
      <c r="CJ423" s="304"/>
      <c r="CK423" s="304"/>
      <c r="CL423" s="304"/>
      <c r="CM423" s="304"/>
      <c r="CN423" s="304"/>
      <c r="CO423" s="304"/>
      <c r="CP423" s="304"/>
    </row>
    <row r="424" spans="1:94" s="87" customFormat="1">
      <c r="A424" s="81"/>
      <c r="B424" s="83"/>
      <c r="C424" s="82"/>
      <c r="D424" s="102"/>
      <c r="E424" s="102"/>
      <c r="F424" s="102"/>
      <c r="G424" s="83"/>
      <c r="H424" s="102"/>
      <c r="I424" s="218"/>
      <c r="J424" s="102"/>
      <c r="K424" s="102" t="str">
        <f t="shared" si="32"/>
        <v/>
      </c>
      <c r="L424" s="221"/>
      <c r="M424" s="325"/>
      <c r="N424" s="85"/>
      <c r="O424" s="327"/>
      <c r="P424" s="84"/>
      <c r="Q424" s="88"/>
      <c r="R424" s="102">
        <f t="shared" si="31"/>
        <v>0</v>
      </c>
      <c r="S424" s="89"/>
      <c r="T424" s="100"/>
      <c r="U424" s="86"/>
      <c r="V424" s="86"/>
      <c r="W424" s="86"/>
      <c r="X424" s="86"/>
      <c r="Y424" s="83"/>
      <c r="Z424" s="304"/>
      <c r="AA424" s="304"/>
      <c r="AB424" s="304"/>
      <c r="AC424" s="304"/>
      <c r="AD424" s="304"/>
      <c r="AE424" s="304"/>
      <c r="AF424" s="304"/>
      <c r="AG424" s="304"/>
      <c r="AH424" s="304"/>
      <c r="AI424" s="304"/>
      <c r="AJ424" s="304"/>
      <c r="AK424" s="304"/>
      <c r="AL424" s="304"/>
      <c r="AM424" s="304"/>
      <c r="AN424" s="304"/>
      <c r="AO424" s="304"/>
      <c r="AP424" s="304"/>
      <c r="AQ424" s="304"/>
      <c r="AR424" s="304"/>
      <c r="AS424" s="304"/>
      <c r="AT424" s="304"/>
      <c r="AU424" s="304"/>
      <c r="AV424" s="304"/>
      <c r="AW424" s="304"/>
      <c r="AX424" s="304"/>
      <c r="AY424" s="304"/>
      <c r="AZ424" s="304"/>
      <c r="BA424" s="304"/>
      <c r="BB424" s="304"/>
      <c r="BC424" s="304"/>
      <c r="BD424" s="304"/>
      <c r="BE424" s="304"/>
      <c r="BF424" s="304"/>
      <c r="BG424" s="304"/>
      <c r="BH424" s="304"/>
      <c r="BI424" s="304"/>
      <c r="BJ424" s="304"/>
      <c r="BK424" s="304"/>
      <c r="BL424" s="304"/>
      <c r="BM424" s="304"/>
      <c r="BN424" s="304"/>
      <c r="BO424" s="304"/>
      <c r="BP424" s="304"/>
      <c r="BQ424" s="304"/>
      <c r="BR424" s="304"/>
      <c r="BS424" s="304"/>
      <c r="BT424" s="304"/>
      <c r="BU424" s="304"/>
      <c r="BV424" s="304"/>
      <c r="BW424" s="304"/>
      <c r="BX424" s="304"/>
      <c r="BY424" s="304"/>
      <c r="BZ424" s="304"/>
      <c r="CA424" s="304"/>
      <c r="CB424" s="304"/>
      <c r="CC424" s="304"/>
      <c r="CD424" s="304"/>
      <c r="CE424" s="304"/>
      <c r="CF424" s="304"/>
      <c r="CG424" s="304"/>
      <c r="CH424" s="304"/>
      <c r="CI424" s="304"/>
      <c r="CJ424" s="304"/>
      <c r="CK424" s="304"/>
      <c r="CL424" s="304"/>
      <c r="CM424" s="304"/>
      <c r="CN424" s="304"/>
      <c r="CO424" s="304"/>
      <c r="CP424" s="304"/>
    </row>
    <row r="425" spans="1:94" s="87" customFormat="1">
      <c r="A425" s="81"/>
      <c r="B425" s="83"/>
      <c r="C425" s="82"/>
      <c r="D425" s="102"/>
      <c r="E425" s="102"/>
      <c r="F425" s="102"/>
      <c r="G425" s="83"/>
      <c r="H425" s="102"/>
      <c r="I425" s="218"/>
      <c r="J425" s="102"/>
      <c r="K425" s="102" t="str">
        <f t="shared" si="32"/>
        <v/>
      </c>
      <c r="L425" s="221"/>
      <c r="M425" s="325"/>
      <c r="N425" s="85"/>
      <c r="O425" s="327"/>
      <c r="P425" s="84"/>
      <c r="Q425" s="88"/>
      <c r="R425" s="102">
        <f t="shared" si="31"/>
        <v>0</v>
      </c>
      <c r="S425" s="89"/>
      <c r="T425" s="100"/>
      <c r="U425" s="86"/>
      <c r="V425" s="86"/>
      <c r="W425" s="86"/>
      <c r="X425" s="86"/>
      <c r="Y425" s="83"/>
      <c r="Z425" s="304"/>
      <c r="AA425" s="304"/>
      <c r="AB425" s="304"/>
      <c r="AC425" s="304"/>
      <c r="AD425" s="304"/>
      <c r="AE425" s="304"/>
      <c r="AF425" s="304"/>
      <c r="AG425" s="304"/>
      <c r="AH425" s="304"/>
      <c r="AI425" s="304"/>
      <c r="AJ425" s="304"/>
      <c r="AK425" s="304"/>
      <c r="AL425" s="304"/>
      <c r="AM425" s="304"/>
      <c r="AN425" s="304"/>
      <c r="AO425" s="304"/>
      <c r="AP425" s="304"/>
      <c r="AQ425" s="304"/>
      <c r="AR425" s="304"/>
      <c r="AS425" s="304"/>
      <c r="AT425" s="304"/>
      <c r="AU425" s="304"/>
      <c r="AV425" s="304"/>
      <c r="AW425" s="304"/>
      <c r="AX425" s="304"/>
      <c r="AY425" s="304"/>
      <c r="AZ425" s="304"/>
      <c r="BA425" s="304"/>
      <c r="BB425" s="304"/>
      <c r="BC425" s="304"/>
      <c r="BD425" s="304"/>
      <c r="BE425" s="304"/>
      <c r="BF425" s="304"/>
      <c r="BG425" s="304"/>
      <c r="BH425" s="304"/>
      <c r="BI425" s="304"/>
      <c r="BJ425" s="304"/>
      <c r="BK425" s="304"/>
      <c r="BL425" s="304"/>
      <c r="BM425" s="304"/>
      <c r="BN425" s="304"/>
      <c r="BO425" s="304"/>
      <c r="BP425" s="304"/>
      <c r="BQ425" s="304"/>
      <c r="BR425" s="304"/>
      <c r="BS425" s="304"/>
      <c r="BT425" s="304"/>
      <c r="BU425" s="304"/>
      <c r="BV425" s="304"/>
      <c r="BW425" s="304"/>
      <c r="BX425" s="304"/>
      <c r="BY425" s="304"/>
      <c r="BZ425" s="304"/>
      <c r="CA425" s="304"/>
      <c r="CB425" s="304"/>
      <c r="CC425" s="304"/>
      <c r="CD425" s="304"/>
      <c r="CE425" s="304"/>
      <c r="CF425" s="304"/>
      <c r="CG425" s="304"/>
      <c r="CH425" s="304"/>
      <c r="CI425" s="304"/>
      <c r="CJ425" s="304"/>
      <c r="CK425" s="304"/>
      <c r="CL425" s="304"/>
      <c r="CM425" s="304"/>
      <c r="CN425" s="304"/>
      <c r="CO425" s="304"/>
      <c r="CP425" s="304"/>
    </row>
    <row r="426" spans="1:94" s="87" customFormat="1">
      <c r="A426" s="81"/>
      <c r="B426" s="83"/>
      <c r="C426" s="82"/>
      <c r="D426" s="102"/>
      <c r="E426" s="102"/>
      <c r="F426" s="102"/>
      <c r="G426" s="83"/>
      <c r="H426" s="102"/>
      <c r="I426" s="218"/>
      <c r="J426" s="102"/>
      <c r="K426" s="102" t="str">
        <f t="shared" si="32"/>
        <v/>
      </c>
      <c r="L426" s="221"/>
      <c r="M426" s="325"/>
      <c r="N426" s="85"/>
      <c r="O426" s="327"/>
      <c r="P426" s="84"/>
      <c r="Q426" s="88"/>
      <c r="R426" s="102">
        <f t="shared" si="31"/>
        <v>0</v>
      </c>
      <c r="S426" s="89"/>
      <c r="T426" s="100"/>
      <c r="U426" s="86"/>
      <c r="V426" s="86"/>
      <c r="W426" s="86"/>
      <c r="X426" s="86"/>
      <c r="Y426" s="83"/>
      <c r="Z426" s="304"/>
      <c r="AA426" s="304"/>
      <c r="AB426" s="304"/>
      <c r="AC426" s="304"/>
      <c r="AD426" s="304"/>
      <c r="AE426" s="304"/>
      <c r="AF426" s="304"/>
      <c r="AG426" s="304"/>
      <c r="AH426" s="304"/>
      <c r="AI426" s="304"/>
      <c r="AJ426" s="304"/>
      <c r="AK426" s="304"/>
      <c r="AL426" s="304"/>
      <c r="AM426" s="304"/>
      <c r="AN426" s="304"/>
      <c r="AO426" s="304"/>
      <c r="AP426" s="304"/>
      <c r="AQ426" s="304"/>
      <c r="AR426" s="304"/>
      <c r="AS426" s="304"/>
      <c r="AT426" s="304"/>
      <c r="AU426" s="304"/>
      <c r="AV426" s="304"/>
      <c r="AW426" s="304"/>
      <c r="AX426" s="304"/>
      <c r="AY426" s="304"/>
      <c r="AZ426" s="304"/>
      <c r="BA426" s="304"/>
      <c r="BB426" s="304"/>
      <c r="BC426" s="304"/>
      <c r="BD426" s="304"/>
      <c r="BE426" s="304"/>
      <c r="BF426" s="304"/>
      <c r="BG426" s="304"/>
      <c r="BH426" s="304"/>
      <c r="BI426" s="304"/>
      <c r="BJ426" s="304"/>
      <c r="BK426" s="304"/>
      <c r="BL426" s="304"/>
      <c r="BM426" s="304"/>
      <c r="BN426" s="304"/>
      <c r="BO426" s="304"/>
      <c r="BP426" s="304"/>
      <c r="BQ426" s="304"/>
      <c r="BR426" s="304"/>
      <c r="BS426" s="304"/>
      <c r="BT426" s="304"/>
      <c r="BU426" s="304"/>
      <c r="BV426" s="304"/>
      <c r="BW426" s="304"/>
      <c r="BX426" s="304"/>
      <c r="BY426" s="304"/>
      <c r="BZ426" s="304"/>
      <c r="CA426" s="304"/>
      <c r="CB426" s="304"/>
      <c r="CC426" s="304"/>
      <c r="CD426" s="304"/>
      <c r="CE426" s="304"/>
      <c r="CF426" s="304"/>
      <c r="CG426" s="304"/>
      <c r="CH426" s="304"/>
      <c r="CI426" s="304"/>
      <c r="CJ426" s="304"/>
      <c r="CK426" s="304"/>
      <c r="CL426" s="304"/>
      <c r="CM426" s="304"/>
      <c r="CN426" s="304"/>
      <c r="CO426" s="304"/>
      <c r="CP426" s="304"/>
    </row>
    <row r="427" spans="1:94" s="87" customFormat="1">
      <c r="A427" s="81"/>
      <c r="B427" s="83"/>
      <c r="C427" s="82"/>
      <c r="D427" s="102"/>
      <c r="E427" s="102"/>
      <c r="F427" s="102"/>
      <c r="G427" s="83"/>
      <c r="H427" s="102"/>
      <c r="I427" s="218"/>
      <c r="J427" s="102"/>
      <c r="K427" s="102" t="str">
        <f t="shared" si="32"/>
        <v/>
      </c>
      <c r="L427" s="221"/>
      <c r="M427" s="325"/>
      <c r="N427" s="85"/>
      <c r="O427" s="327"/>
      <c r="P427" s="84"/>
      <c r="Q427" s="88"/>
      <c r="R427" s="102">
        <f t="shared" si="31"/>
        <v>0</v>
      </c>
      <c r="S427" s="89"/>
      <c r="T427" s="100"/>
      <c r="U427" s="86"/>
      <c r="V427" s="86"/>
      <c r="W427" s="86"/>
      <c r="X427" s="86"/>
      <c r="Y427" s="83"/>
      <c r="Z427" s="304"/>
      <c r="AA427" s="304"/>
      <c r="AB427" s="304"/>
      <c r="AC427" s="304"/>
      <c r="AD427" s="304"/>
      <c r="AE427" s="304"/>
      <c r="AF427" s="304"/>
      <c r="AG427" s="304"/>
      <c r="AH427" s="304"/>
      <c r="AI427" s="304"/>
      <c r="AJ427" s="304"/>
      <c r="AK427" s="304"/>
      <c r="AL427" s="304"/>
      <c r="AM427" s="304"/>
      <c r="AN427" s="304"/>
      <c r="AO427" s="304"/>
      <c r="AP427" s="304"/>
      <c r="AQ427" s="304"/>
      <c r="AR427" s="304"/>
      <c r="AS427" s="304"/>
      <c r="AT427" s="304"/>
      <c r="AU427" s="304"/>
      <c r="AV427" s="304"/>
      <c r="AW427" s="304"/>
      <c r="AX427" s="304"/>
      <c r="AY427" s="304"/>
      <c r="AZ427" s="304"/>
      <c r="BA427" s="304"/>
      <c r="BB427" s="304"/>
      <c r="BC427" s="304"/>
      <c r="BD427" s="304"/>
      <c r="BE427" s="304"/>
      <c r="BF427" s="304"/>
      <c r="BG427" s="304"/>
      <c r="BH427" s="304"/>
      <c r="BI427" s="304"/>
      <c r="BJ427" s="304"/>
      <c r="BK427" s="304"/>
      <c r="BL427" s="304"/>
      <c r="BM427" s="304"/>
      <c r="BN427" s="304"/>
      <c r="BO427" s="304"/>
      <c r="BP427" s="304"/>
      <c r="BQ427" s="304"/>
      <c r="BR427" s="304"/>
      <c r="BS427" s="304"/>
      <c r="BT427" s="304"/>
      <c r="BU427" s="304"/>
      <c r="BV427" s="304"/>
      <c r="BW427" s="304"/>
      <c r="BX427" s="304"/>
      <c r="BY427" s="304"/>
      <c r="BZ427" s="304"/>
      <c r="CA427" s="304"/>
      <c r="CB427" s="304"/>
      <c r="CC427" s="304"/>
      <c r="CD427" s="304"/>
      <c r="CE427" s="304"/>
      <c r="CF427" s="304"/>
      <c r="CG427" s="304"/>
      <c r="CH427" s="304"/>
      <c r="CI427" s="304"/>
      <c r="CJ427" s="304"/>
      <c r="CK427" s="304"/>
      <c r="CL427" s="304"/>
      <c r="CM427" s="304"/>
      <c r="CN427" s="304"/>
      <c r="CO427" s="304"/>
      <c r="CP427" s="304"/>
    </row>
    <row r="428" spans="1:94" s="87" customFormat="1">
      <c r="A428" s="81"/>
      <c r="B428" s="83"/>
      <c r="C428" s="82"/>
      <c r="D428" s="102"/>
      <c r="E428" s="102"/>
      <c r="F428" s="102"/>
      <c r="G428" s="83"/>
      <c r="H428" s="102"/>
      <c r="I428" s="218"/>
      <c r="J428" s="102"/>
      <c r="K428" s="102" t="str">
        <f t="shared" si="32"/>
        <v/>
      </c>
      <c r="L428" s="221"/>
      <c r="M428" s="325"/>
      <c r="N428" s="85"/>
      <c r="O428" s="327"/>
      <c r="P428" s="84"/>
      <c r="Q428" s="88"/>
      <c r="R428" s="102">
        <f t="shared" si="31"/>
        <v>0</v>
      </c>
      <c r="S428" s="89"/>
      <c r="T428" s="100"/>
      <c r="U428" s="86"/>
      <c r="V428" s="86"/>
      <c r="W428" s="86"/>
      <c r="X428" s="86"/>
      <c r="Y428" s="83"/>
      <c r="Z428" s="304"/>
      <c r="AA428" s="304"/>
      <c r="AB428" s="304"/>
      <c r="AC428" s="304"/>
      <c r="AD428" s="304"/>
      <c r="AE428" s="304"/>
      <c r="AF428" s="304"/>
      <c r="AG428" s="304"/>
      <c r="AH428" s="304"/>
      <c r="AI428" s="304"/>
      <c r="AJ428" s="304"/>
      <c r="AK428" s="304"/>
      <c r="AL428" s="304"/>
      <c r="AM428" s="304"/>
      <c r="AN428" s="304"/>
      <c r="AO428" s="304"/>
      <c r="AP428" s="304"/>
      <c r="AQ428" s="304"/>
      <c r="AR428" s="304"/>
      <c r="AS428" s="304"/>
      <c r="AT428" s="304"/>
      <c r="AU428" s="304"/>
      <c r="AV428" s="304"/>
      <c r="AW428" s="304"/>
      <c r="AX428" s="304"/>
      <c r="AY428" s="304"/>
      <c r="AZ428" s="304"/>
      <c r="BA428" s="304"/>
      <c r="BB428" s="304"/>
      <c r="BC428" s="304"/>
      <c r="BD428" s="304"/>
      <c r="BE428" s="304"/>
      <c r="BF428" s="304"/>
      <c r="BG428" s="304"/>
      <c r="BH428" s="304"/>
      <c r="BI428" s="304"/>
      <c r="BJ428" s="304"/>
      <c r="BK428" s="304"/>
      <c r="BL428" s="304"/>
      <c r="BM428" s="304"/>
      <c r="BN428" s="304"/>
      <c r="BO428" s="304"/>
      <c r="BP428" s="304"/>
      <c r="BQ428" s="304"/>
      <c r="BR428" s="304"/>
      <c r="BS428" s="304"/>
      <c r="BT428" s="304"/>
      <c r="BU428" s="304"/>
      <c r="BV428" s="304"/>
      <c r="BW428" s="304"/>
      <c r="BX428" s="304"/>
      <c r="BY428" s="304"/>
      <c r="BZ428" s="304"/>
      <c r="CA428" s="304"/>
      <c r="CB428" s="304"/>
      <c r="CC428" s="304"/>
      <c r="CD428" s="304"/>
      <c r="CE428" s="304"/>
      <c r="CF428" s="304"/>
      <c r="CG428" s="304"/>
      <c r="CH428" s="304"/>
      <c r="CI428" s="304"/>
      <c r="CJ428" s="304"/>
      <c r="CK428" s="304"/>
      <c r="CL428" s="304"/>
      <c r="CM428" s="304"/>
      <c r="CN428" s="304"/>
      <c r="CO428" s="304"/>
      <c r="CP428" s="304"/>
    </row>
    <row r="429" spans="1:94" s="87" customFormat="1">
      <c r="A429" s="81"/>
      <c r="B429" s="83"/>
      <c r="C429" s="82"/>
      <c r="D429" s="102"/>
      <c r="E429" s="102"/>
      <c r="F429" s="102"/>
      <c r="G429" s="83"/>
      <c r="H429" s="102"/>
      <c r="I429" s="218"/>
      <c r="J429" s="102"/>
      <c r="K429" s="102" t="str">
        <f t="shared" si="32"/>
        <v/>
      </c>
      <c r="L429" s="221"/>
      <c r="M429" s="325"/>
      <c r="N429" s="85"/>
      <c r="O429" s="327"/>
      <c r="P429" s="84"/>
      <c r="Q429" s="88"/>
      <c r="R429" s="102">
        <f t="shared" si="31"/>
        <v>0</v>
      </c>
      <c r="S429" s="89"/>
      <c r="T429" s="100"/>
      <c r="U429" s="86"/>
      <c r="V429" s="86"/>
      <c r="W429" s="86"/>
      <c r="X429" s="86"/>
      <c r="Y429" s="83"/>
      <c r="Z429" s="304"/>
      <c r="AA429" s="304"/>
      <c r="AB429" s="304"/>
      <c r="AC429" s="304"/>
      <c r="AD429" s="304"/>
      <c r="AE429" s="304"/>
      <c r="AF429" s="304"/>
      <c r="AG429" s="304"/>
      <c r="AH429" s="304"/>
      <c r="AI429" s="304"/>
      <c r="AJ429" s="304"/>
      <c r="AK429" s="304"/>
      <c r="AL429" s="304"/>
      <c r="AM429" s="304"/>
      <c r="AN429" s="304"/>
      <c r="AO429" s="304"/>
      <c r="AP429" s="304"/>
      <c r="AQ429" s="304"/>
      <c r="AR429" s="304"/>
      <c r="AS429" s="304"/>
      <c r="AT429" s="304"/>
      <c r="AU429" s="304"/>
      <c r="AV429" s="304"/>
      <c r="AW429" s="304"/>
      <c r="AX429" s="304"/>
      <c r="AY429" s="304"/>
      <c r="AZ429" s="304"/>
      <c r="BA429" s="304"/>
      <c r="BB429" s="304"/>
      <c r="BC429" s="304"/>
      <c r="BD429" s="304"/>
      <c r="BE429" s="304"/>
      <c r="BF429" s="304"/>
      <c r="BG429" s="304"/>
      <c r="BH429" s="304"/>
      <c r="BI429" s="304"/>
      <c r="BJ429" s="304"/>
      <c r="BK429" s="304"/>
      <c r="BL429" s="304"/>
      <c r="BM429" s="304"/>
      <c r="BN429" s="304"/>
      <c r="BO429" s="304"/>
      <c r="BP429" s="304"/>
      <c r="BQ429" s="304"/>
      <c r="BR429" s="304"/>
      <c r="BS429" s="304"/>
      <c r="BT429" s="304"/>
      <c r="BU429" s="304"/>
      <c r="BV429" s="304"/>
      <c r="BW429" s="304"/>
      <c r="BX429" s="304"/>
      <c r="BY429" s="304"/>
      <c r="BZ429" s="304"/>
      <c r="CA429" s="304"/>
      <c r="CB429" s="304"/>
      <c r="CC429" s="304"/>
      <c r="CD429" s="304"/>
      <c r="CE429" s="304"/>
      <c r="CF429" s="304"/>
      <c r="CG429" s="304"/>
      <c r="CH429" s="304"/>
      <c r="CI429" s="304"/>
      <c r="CJ429" s="304"/>
      <c r="CK429" s="304"/>
      <c r="CL429" s="304"/>
      <c r="CM429" s="304"/>
      <c r="CN429" s="304"/>
      <c r="CO429" s="304"/>
      <c r="CP429" s="304"/>
    </row>
    <row r="430" spans="1:94" s="87" customFormat="1">
      <c r="A430" s="81"/>
      <c r="B430" s="83"/>
      <c r="C430" s="82"/>
      <c r="D430" s="102"/>
      <c r="E430" s="102"/>
      <c r="F430" s="102"/>
      <c r="G430" s="83"/>
      <c r="H430" s="102"/>
      <c r="I430" s="218"/>
      <c r="J430" s="102"/>
      <c r="K430" s="102" t="str">
        <f t="shared" si="32"/>
        <v/>
      </c>
      <c r="L430" s="221"/>
      <c r="M430" s="325"/>
      <c r="N430" s="85"/>
      <c r="O430" s="327"/>
      <c r="P430" s="84"/>
      <c r="Q430" s="88"/>
      <c r="R430" s="102">
        <f t="shared" si="31"/>
        <v>0</v>
      </c>
      <c r="S430" s="89"/>
      <c r="T430" s="100"/>
      <c r="U430" s="86"/>
      <c r="V430" s="86"/>
      <c r="W430" s="86"/>
      <c r="X430" s="86"/>
      <c r="Y430" s="83"/>
      <c r="Z430" s="304"/>
      <c r="AA430" s="304"/>
      <c r="AB430" s="304"/>
      <c r="AC430" s="304"/>
      <c r="AD430" s="304"/>
      <c r="AE430" s="304"/>
      <c r="AF430" s="304"/>
      <c r="AG430" s="304"/>
      <c r="AH430" s="304"/>
      <c r="AI430" s="304"/>
      <c r="AJ430" s="304"/>
      <c r="AK430" s="304"/>
      <c r="AL430" s="304"/>
      <c r="AM430" s="304"/>
      <c r="AN430" s="304"/>
      <c r="AO430" s="304"/>
      <c r="AP430" s="304"/>
      <c r="AQ430" s="304"/>
      <c r="AR430" s="304"/>
      <c r="AS430" s="304"/>
      <c r="AT430" s="304"/>
      <c r="AU430" s="304"/>
      <c r="AV430" s="304"/>
      <c r="AW430" s="304"/>
      <c r="AX430" s="304"/>
      <c r="AY430" s="304"/>
      <c r="AZ430" s="304"/>
      <c r="BA430" s="304"/>
      <c r="BB430" s="304"/>
      <c r="BC430" s="304"/>
      <c r="BD430" s="304"/>
      <c r="BE430" s="304"/>
      <c r="BF430" s="304"/>
      <c r="BG430" s="304"/>
      <c r="BH430" s="304"/>
      <c r="BI430" s="304"/>
      <c r="BJ430" s="304"/>
      <c r="BK430" s="304"/>
      <c r="BL430" s="304"/>
      <c r="BM430" s="304"/>
      <c r="BN430" s="304"/>
      <c r="BO430" s="304"/>
      <c r="BP430" s="304"/>
      <c r="BQ430" s="304"/>
      <c r="BR430" s="304"/>
      <c r="BS430" s="304"/>
      <c r="BT430" s="304"/>
      <c r="BU430" s="304"/>
      <c r="BV430" s="304"/>
      <c r="BW430" s="304"/>
      <c r="BX430" s="304"/>
      <c r="BY430" s="304"/>
      <c r="BZ430" s="304"/>
      <c r="CA430" s="304"/>
      <c r="CB430" s="304"/>
      <c r="CC430" s="304"/>
      <c r="CD430" s="304"/>
      <c r="CE430" s="304"/>
      <c r="CF430" s="304"/>
      <c r="CG430" s="304"/>
      <c r="CH430" s="304"/>
      <c r="CI430" s="304"/>
      <c r="CJ430" s="304"/>
      <c r="CK430" s="304"/>
      <c r="CL430" s="304"/>
      <c r="CM430" s="304"/>
      <c r="CN430" s="304"/>
      <c r="CO430" s="304"/>
      <c r="CP430" s="304"/>
    </row>
    <row r="431" spans="1:94" s="87" customFormat="1">
      <c r="A431" s="81"/>
      <c r="B431" s="83"/>
      <c r="C431" s="82"/>
      <c r="D431" s="102"/>
      <c r="E431" s="102"/>
      <c r="F431" s="102"/>
      <c r="G431" s="83"/>
      <c r="H431" s="102"/>
      <c r="I431" s="218"/>
      <c r="J431" s="102"/>
      <c r="K431" s="102" t="str">
        <f t="shared" si="32"/>
        <v/>
      </c>
      <c r="L431" s="221"/>
      <c r="M431" s="325"/>
      <c r="N431" s="85"/>
      <c r="O431" s="327"/>
      <c r="P431" s="84"/>
      <c r="Q431" s="88"/>
      <c r="R431" s="102">
        <f t="shared" si="31"/>
        <v>0</v>
      </c>
      <c r="S431" s="89"/>
      <c r="T431" s="100"/>
      <c r="U431" s="86"/>
      <c r="V431" s="86"/>
      <c r="W431" s="86"/>
      <c r="X431" s="86"/>
      <c r="Y431" s="83"/>
      <c r="Z431" s="304"/>
      <c r="AA431" s="304"/>
      <c r="AB431" s="304"/>
      <c r="AC431" s="304"/>
      <c r="AD431" s="304"/>
      <c r="AE431" s="304"/>
      <c r="AF431" s="304"/>
      <c r="AG431" s="304"/>
      <c r="AH431" s="304"/>
      <c r="AI431" s="304"/>
      <c r="AJ431" s="304"/>
      <c r="AK431" s="304"/>
      <c r="AL431" s="304"/>
      <c r="AM431" s="304"/>
      <c r="AN431" s="304"/>
      <c r="AO431" s="304"/>
      <c r="AP431" s="304"/>
      <c r="AQ431" s="304"/>
      <c r="AR431" s="304"/>
      <c r="AS431" s="304"/>
      <c r="AT431" s="304"/>
      <c r="AU431" s="304"/>
      <c r="AV431" s="304"/>
      <c r="AW431" s="304"/>
      <c r="AX431" s="304"/>
      <c r="AY431" s="304"/>
      <c r="AZ431" s="304"/>
      <c r="BA431" s="304"/>
      <c r="BB431" s="304"/>
      <c r="BC431" s="304"/>
      <c r="BD431" s="304"/>
      <c r="BE431" s="304"/>
      <c r="BF431" s="304"/>
      <c r="BG431" s="304"/>
      <c r="BH431" s="304"/>
      <c r="BI431" s="304"/>
      <c r="BJ431" s="304"/>
      <c r="BK431" s="304"/>
      <c r="BL431" s="304"/>
      <c r="BM431" s="304"/>
      <c r="BN431" s="304"/>
      <c r="BO431" s="304"/>
      <c r="BP431" s="304"/>
      <c r="BQ431" s="304"/>
      <c r="BR431" s="304"/>
      <c r="BS431" s="304"/>
      <c r="BT431" s="304"/>
      <c r="BU431" s="304"/>
      <c r="BV431" s="304"/>
      <c r="BW431" s="304"/>
      <c r="BX431" s="304"/>
      <c r="BY431" s="304"/>
      <c r="BZ431" s="304"/>
      <c r="CA431" s="304"/>
      <c r="CB431" s="304"/>
      <c r="CC431" s="304"/>
      <c r="CD431" s="304"/>
      <c r="CE431" s="304"/>
      <c r="CF431" s="304"/>
      <c r="CG431" s="304"/>
      <c r="CH431" s="304"/>
      <c r="CI431" s="304"/>
      <c r="CJ431" s="304"/>
      <c r="CK431" s="304"/>
      <c r="CL431" s="304"/>
      <c r="CM431" s="304"/>
      <c r="CN431" s="304"/>
      <c r="CO431" s="304"/>
      <c r="CP431" s="304"/>
    </row>
    <row r="432" spans="1:94" s="87" customFormat="1">
      <c r="A432" s="81"/>
      <c r="B432" s="83"/>
      <c r="C432" s="82"/>
      <c r="D432" s="102"/>
      <c r="E432" s="102"/>
      <c r="F432" s="102"/>
      <c r="G432" s="83"/>
      <c r="H432" s="102"/>
      <c r="I432" s="218"/>
      <c r="J432" s="102"/>
      <c r="K432" s="102" t="str">
        <f t="shared" si="32"/>
        <v/>
      </c>
      <c r="L432" s="221"/>
      <c r="M432" s="325"/>
      <c r="N432" s="85"/>
      <c r="O432" s="327"/>
      <c r="P432" s="84"/>
      <c r="Q432" s="88"/>
      <c r="R432" s="102">
        <f t="shared" si="31"/>
        <v>0</v>
      </c>
      <c r="S432" s="89"/>
      <c r="T432" s="100"/>
      <c r="U432" s="86"/>
      <c r="V432" s="86"/>
      <c r="W432" s="86"/>
      <c r="X432" s="86"/>
      <c r="Y432" s="83"/>
      <c r="Z432" s="304"/>
      <c r="AA432" s="304"/>
      <c r="AB432" s="304"/>
      <c r="AC432" s="304"/>
      <c r="AD432" s="304"/>
      <c r="AE432" s="304"/>
      <c r="AF432" s="304"/>
      <c r="AG432" s="304"/>
      <c r="AH432" s="304"/>
      <c r="AI432" s="304"/>
      <c r="AJ432" s="304"/>
      <c r="AK432" s="304"/>
      <c r="AL432" s="304"/>
      <c r="AM432" s="304"/>
      <c r="AN432" s="304"/>
      <c r="AO432" s="304"/>
      <c r="AP432" s="304"/>
      <c r="AQ432" s="304"/>
      <c r="AR432" s="304"/>
      <c r="AS432" s="304"/>
      <c r="AT432" s="304"/>
      <c r="AU432" s="304"/>
      <c r="AV432" s="304"/>
      <c r="AW432" s="304"/>
      <c r="AX432" s="304"/>
      <c r="AY432" s="304"/>
      <c r="AZ432" s="304"/>
      <c r="BA432" s="304"/>
      <c r="BB432" s="304"/>
      <c r="BC432" s="304"/>
      <c r="BD432" s="304"/>
      <c r="BE432" s="304"/>
      <c r="BF432" s="304"/>
      <c r="BG432" s="304"/>
      <c r="BH432" s="304"/>
      <c r="BI432" s="304"/>
      <c r="BJ432" s="304"/>
      <c r="BK432" s="304"/>
      <c r="BL432" s="304"/>
      <c r="BM432" s="304"/>
      <c r="BN432" s="304"/>
      <c r="BO432" s="304"/>
      <c r="BP432" s="304"/>
      <c r="BQ432" s="304"/>
      <c r="BR432" s="304"/>
      <c r="BS432" s="304"/>
      <c r="BT432" s="304"/>
      <c r="BU432" s="304"/>
      <c r="BV432" s="304"/>
      <c r="BW432" s="304"/>
      <c r="BX432" s="304"/>
      <c r="BY432" s="304"/>
      <c r="BZ432" s="304"/>
      <c r="CA432" s="304"/>
      <c r="CB432" s="304"/>
      <c r="CC432" s="304"/>
      <c r="CD432" s="304"/>
      <c r="CE432" s="304"/>
      <c r="CF432" s="304"/>
      <c r="CG432" s="304"/>
      <c r="CH432" s="304"/>
      <c r="CI432" s="304"/>
      <c r="CJ432" s="304"/>
      <c r="CK432" s="304"/>
      <c r="CL432" s="304"/>
      <c r="CM432" s="304"/>
      <c r="CN432" s="304"/>
      <c r="CO432" s="304"/>
      <c r="CP432" s="304"/>
    </row>
    <row r="433" spans="1:94" s="87" customFormat="1">
      <c r="A433" s="81"/>
      <c r="B433" s="83"/>
      <c r="C433" s="82"/>
      <c r="D433" s="102"/>
      <c r="E433" s="102"/>
      <c r="F433" s="102"/>
      <c r="G433" s="83"/>
      <c r="H433" s="102"/>
      <c r="I433" s="218"/>
      <c r="J433" s="102"/>
      <c r="K433" s="102" t="str">
        <f t="shared" si="32"/>
        <v/>
      </c>
      <c r="L433" s="221"/>
      <c r="M433" s="325"/>
      <c r="N433" s="85"/>
      <c r="O433" s="327"/>
      <c r="P433" s="84"/>
      <c r="Q433" s="88"/>
      <c r="R433" s="102">
        <f t="shared" si="31"/>
        <v>0</v>
      </c>
      <c r="S433" s="89"/>
      <c r="T433" s="100"/>
      <c r="U433" s="86"/>
      <c r="V433" s="86"/>
      <c r="W433" s="86"/>
      <c r="X433" s="86"/>
      <c r="Y433" s="83"/>
      <c r="Z433" s="304"/>
      <c r="AA433" s="304"/>
      <c r="AB433" s="304"/>
      <c r="AC433" s="304"/>
      <c r="AD433" s="304"/>
      <c r="AE433" s="304"/>
      <c r="AF433" s="304"/>
      <c r="AG433" s="304"/>
      <c r="AH433" s="304"/>
      <c r="AI433" s="304"/>
      <c r="AJ433" s="304"/>
      <c r="AK433" s="304"/>
      <c r="AL433" s="304"/>
      <c r="AM433" s="304"/>
      <c r="AN433" s="304"/>
      <c r="AO433" s="304"/>
      <c r="AP433" s="304"/>
      <c r="AQ433" s="304"/>
      <c r="AR433" s="304"/>
      <c r="AS433" s="304"/>
      <c r="AT433" s="304"/>
      <c r="AU433" s="304"/>
      <c r="AV433" s="304"/>
      <c r="AW433" s="304"/>
      <c r="AX433" s="304"/>
      <c r="AY433" s="304"/>
      <c r="AZ433" s="304"/>
      <c r="BA433" s="304"/>
      <c r="BB433" s="304"/>
      <c r="BC433" s="304"/>
      <c r="BD433" s="304"/>
      <c r="BE433" s="304"/>
      <c r="BF433" s="304"/>
      <c r="BG433" s="304"/>
      <c r="BH433" s="304"/>
      <c r="BI433" s="304"/>
      <c r="BJ433" s="304"/>
      <c r="BK433" s="304"/>
      <c r="BL433" s="304"/>
      <c r="BM433" s="304"/>
      <c r="BN433" s="304"/>
      <c r="BO433" s="304"/>
      <c r="BP433" s="304"/>
      <c r="BQ433" s="304"/>
      <c r="BR433" s="304"/>
      <c r="BS433" s="304"/>
      <c r="BT433" s="304"/>
      <c r="BU433" s="304"/>
      <c r="BV433" s="304"/>
      <c r="BW433" s="304"/>
      <c r="BX433" s="304"/>
      <c r="BY433" s="304"/>
      <c r="BZ433" s="304"/>
      <c r="CA433" s="304"/>
      <c r="CB433" s="304"/>
      <c r="CC433" s="304"/>
      <c r="CD433" s="304"/>
      <c r="CE433" s="304"/>
      <c r="CF433" s="304"/>
      <c r="CG433" s="304"/>
      <c r="CH433" s="304"/>
      <c r="CI433" s="304"/>
      <c r="CJ433" s="304"/>
      <c r="CK433" s="304"/>
      <c r="CL433" s="304"/>
      <c r="CM433" s="304"/>
      <c r="CN433" s="304"/>
      <c r="CO433" s="304"/>
      <c r="CP433" s="304"/>
    </row>
    <row r="434" spans="1:94" s="87" customFormat="1">
      <c r="A434" s="81"/>
      <c r="B434" s="83"/>
      <c r="C434" s="82"/>
      <c r="D434" s="102"/>
      <c r="E434" s="102"/>
      <c r="F434" s="102"/>
      <c r="G434" s="83"/>
      <c r="H434" s="102"/>
      <c r="I434" s="218"/>
      <c r="J434" s="102"/>
      <c r="K434" s="102" t="str">
        <f t="shared" si="32"/>
        <v/>
      </c>
      <c r="L434" s="221"/>
      <c r="M434" s="325"/>
      <c r="N434" s="85"/>
      <c r="O434" s="327"/>
      <c r="P434" s="84"/>
      <c r="Q434" s="88"/>
      <c r="R434" s="102">
        <f t="shared" si="31"/>
        <v>0</v>
      </c>
      <c r="S434" s="89"/>
      <c r="T434" s="100"/>
      <c r="U434" s="86"/>
      <c r="V434" s="86"/>
      <c r="W434" s="86"/>
      <c r="X434" s="86"/>
      <c r="Y434" s="83"/>
      <c r="Z434" s="304"/>
      <c r="AA434" s="304"/>
      <c r="AB434" s="304"/>
      <c r="AC434" s="304"/>
      <c r="AD434" s="304"/>
      <c r="AE434" s="304"/>
      <c r="AF434" s="304"/>
      <c r="AG434" s="304"/>
      <c r="AH434" s="304"/>
      <c r="AI434" s="304"/>
      <c r="AJ434" s="304"/>
      <c r="AK434" s="304"/>
      <c r="AL434" s="304"/>
      <c r="AM434" s="304"/>
      <c r="AN434" s="304"/>
      <c r="AO434" s="304"/>
      <c r="AP434" s="304"/>
      <c r="AQ434" s="304"/>
      <c r="AR434" s="304"/>
      <c r="AS434" s="304"/>
      <c r="AT434" s="304"/>
      <c r="AU434" s="304"/>
      <c r="AV434" s="304"/>
      <c r="AW434" s="304"/>
      <c r="AX434" s="304"/>
      <c r="AY434" s="304"/>
      <c r="AZ434" s="304"/>
      <c r="BA434" s="304"/>
      <c r="BB434" s="304"/>
      <c r="BC434" s="304"/>
      <c r="BD434" s="304"/>
      <c r="BE434" s="304"/>
      <c r="BF434" s="304"/>
      <c r="BG434" s="304"/>
      <c r="BH434" s="304"/>
      <c r="BI434" s="304"/>
      <c r="BJ434" s="304"/>
      <c r="BK434" s="304"/>
      <c r="BL434" s="304"/>
      <c r="BM434" s="304"/>
      <c r="BN434" s="304"/>
      <c r="BO434" s="304"/>
      <c r="BP434" s="304"/>
      <c r="BQ434" s="304"/>
      <c r="BR434" s="304"/>
      <c r="BS434" s="304"/>
      <c r="BT434" s="304"/>
      <c r="BU434" s="304"/>
      <c r="BV434" s="304"/>
      <c r="BW434" s="304"/>
      <c r="BX434" s="304"/>
      <c r="BY434" s="304"/>
      <c r="BZ434" s="304"/>
      <c r="CA434" s="304"/>
      <c r="CB434" s="304"/>
      <c r="CC434" s="304"/>
      <c r="CD434" s="304"/>
      <c r="CE434" s="304"/>
      <c r="CF434" s="304"/>
      <c r="CG434" s="304"/>
      <c r="CH434" s="304"/>
      <c r="CI434" s="304"/>
      <c r="CJ434" s="304"/>
      <c r="CK434" s="304"/>
      <c r="CL434" s="304"/>
      <c r="CM434" s="304"/>
      <c r="CN434" s="304"/>
      <c r="CO434" s="304"/>
      <c r="CP434" s="304"/>
    </row>
    <row r="435" spans="1:94" s="87" customFormat="1">
      <c r="A435" s="81"/>
      <c r="B435" s="83"/>
      <c r="C435" s="82"/>
      <c r="D435" s="102"/>
      <c r="E435" s="102"/>
      <c r="F435" s="102"/>
      <c r="G435" s="83"/>
      <c r="H435" s="102"/>
      <c r="I435" s="218"/>
      <c r="J435" s="102"/>
      <c r="K435" s="102" t="str">
        <f t="shared" si="32"/>
        <v/>
      </c>
      <c r="L435" s="221"/>
      <c r="M435" s="325"/>
      <c r="N435" s="85"/>
      <c r="O435" s="327"/>
      <c r="P435" s="84"/>
      <c r="Q435" s="88"/>
      <c r="R435" s="102">
        <f t="shared" si="31"/>
        <v>0</v>
      </c>
      <c r="S435" s="89"/>
      <c r="T435" s="100"/>
      <c r="U435" s="86"/>
      <c r="V435" s="86"/>
      <c r="W435" s="86"/>
      <c r="X435" s="86"/>
      <c r="Y435" s="83"/>
      <c r="Z435" s="304"/>
      <c r="AA435" s="304"/>
      <c r="AB435" s="304"/>
      <c r="AC435" s="304"/>
      <c r="AD435" s="304"/>
      <c r="AE435" s="304"/>
      <c r="AF435" s="304"/>
      <c r="AG435" s="304"/>
      <c r="AH435" s="304"/>
      <c r="AI435" s="304"/>
      <c r="AJ435" s="304"/>
      <c r="AK435" s="304"/>
      <c r="AL435" s="304"/>
      <c r="AM435" s="304"/>
      <c r="AN435" s="304"/>
      <c r="AO435" s="304"/>
      <c r="AP435" s="304"/>
      <c r="AQ435" s="304"/>
      <c r="AR435" s="304"/>
      <c r="AS435" s="304"/>
      <c r="AT435" s="304"/>
      <c r="AU435" s="304"/>
      <c r="AV435" s="304"/>
      <c r="AW435" s="304"/>
      <c r="AX435" s="304"/>
      <c r="AY435" s="304"/>
      <c r="AZ435" s="304"/>
      <c r="BA435" s="304"/>
      <c r="BB435" s="304"/>
      <c r="BC435" s="304"/>
      <c r="BD435" s="304"/>
      <c r="BE435" s="304"/>
      <c r="BF435" s="304"/>
      <c r="BG435" s="304"/>
      <c r="BH435" s="304"/>
      <c r="BI435" s="304"/>
      <c r="BJ435" s="304"/>
      <c r="BK435" s="304"/>
      <c r="BL435" s="304"/>
      <c r="BM435" s="304"/>
      <c r="BN435" s="304"/>
      <c r="BO435" s="304"/>
      <c r="BP435" s="304"/>
      <c r="BQ435" s="304"/>
      <c r="BR435" s="304"/>
      <c r="BS435" s="304"/>
      <c r="BT435" s="304"/>
      <c r="BU435" s="304"/>
      <c r="BV435" s="304"/>
      <c r="BW435" s="304"/>
      <c r="BX435" s="304"/>
      <c r="BY435" s="304"/>
      <c r="BZ435" s="304"/>
      <c r="CA435" s="304"/>
      <c r="CB435" s="304"/>
      <c r="CC435" s="304"/>
      <c r="CD435" s="304"/>
      <c r="CE435" s="304"/>
      <c r="CF435" s="304"/>
      <c r="CG435" s="304"/>
      <c r="CH435" s="304"/>
      <c r="CI435" s="304"/>
      <c r="CJ435" s="304"/>
      <c r="CK435" s="304"/>
      <c r="CL435" s="304"/>
      <c r="CM435" s="304"/>
      <c r="CN435" s="304"/>
      <c r="CO435" s="304"/>
      <c r="CP435" s="304"/>
    </row>
    <row r="436" spans="1:94" s="87" customFormat="1">
      <c r="A436" s="81"/>
      <c r="B436" s="83"/>
      <c r="C436" s="82"/>
      <c r="D436" s="102"/>
      <c r="E436" s="102"/>
      <c r="F436" s="102"/>
      <c r="G436" s="83"/>
      <c r="H436" s="102"/>
      <c r="I436" s="218"/>
      <c r="J436" s="102"/>
      <c r="K436" s="102" t="str">
        <f t="shared" si="32"/>
        <v/>
      </c>
      <c r="L436" s="221"/>
      <c r="M436" s="325"/>
      <c r="N436" s="85"/>
      <c r="O436" s="327"/>
      <c r="P436" s="84"/>
      <c r="Q436" s="88"/>
      <c r="R436" s="102">
        <f t="shared" si="31"/>
        <v>0</v>
      </c>
      <c r="S436" s="89"/>
      <c r="T436" s="100"/>
      <c r="U436" s="86"/>
      <c r="V436" s="86"/>
      <c r="W436" s="86"/>
      <c r="X436" s="86"/>
      <c r="Y436" s="83"/>
      <c r="Z436" s="304"/>
      <c r="AA436" s="304"/>
      <c r="AB436" s="304"/>
      <c r="AC436" s="304"/>
      <c r="AD436" s="304"/>
      <c r="AE436" s="304"/>
      <c r="AF436" s="304"/>
      <c r="AG436" s="304"/>
      <c r="AH436" s="304"/>
      <c r="AI436" s="304"/>
      <c r="AJ436" s="304"/>
      <c r="AK436" s="304"/>
      <c r="AL436" s="304"/>
      <c r="AM436" s="304"/>
      <c r="AN436" s="304"/>
      <c r="AO436" s="304"/>
      <c r="AP436" s="304"/>
      <c r="AQ436" s="304"/>
      <c r="AR436" s="304"/>
      <c r="AS436" s="304"/>
      <c r="AT436" s="304"/>
      <c r="AU436" s="304"/>
      <c r="AV436" s="304"/>
      <c r="AW436" s="304"/>
      <c r="AX436" s="304"/>
      <c r="AY436" s="304"/>
      <c r="AZ436" s="304"/>
      <c r="BA436" s="304"/>
      <c r="BB436" s="304"/>
      <c r="BC436" s="304"/>
      <c r="BD436" s="304"/>
      <c r="BE436" s="304"/>
      <c r="BF436" s="304"/>
      <c r="BG436" s="304"/>
      <c r="BH436" s="304"/>
      <c r="BI436" s="304"/>
      <c r="BJ436" s="304"/>
      <c r="BK436" s="304"/>
      <c r="BL436" s="304"/>
      <c r="BM436" s="304"/>
      <c r="BN436" s="304"/>
      <c r="BO436" s="304"/>
      <c r="BP436" s="304"/>
      <c r="BQ436" s="304"/>
      <c r="BR436" s="304"/>
      <c r="BS436" s="304"/>
      <c r="BT436" s="304"/>
      <c r="BU436" s="304"/>
      <c r="BV436" s="304"/>
      <c r="BW436" s="304"/>
      <c r="BX436" s="304"/>
      <c r="BY436" s="304"/>
      <c r="BZ436" s="304"/>
      <c r="CA436" s="304"/>
      <c r="CB436" s="304"/>
      <c r="CC436" s="304"/>
      <c r="CD436" s="304"/>
      <c r="CE436" s="304"/>
      <c r="CF436" s="304"/>
      <c r="CG436" s="304"/>
      <c r="CH436" s="304"/>
      <c r="CI436" s="304"/>
      <c r="CJ436" s="304"/>
      <c r="CK436" s="304"/>
      <c r="CL436" s="304"/>
      <c r="CM436" s="304"/>
      <c r="CN436" s="304"/>
      <c r="CO436" s="304"/>
      <c r="CP436" s="304"/>
    </row>
    <row r="437" spans="1:94" s="87" customFormat="1">
      <c r="A437" s="81"/>
      <c r="B437" s="83"/>
      <c r="C437" s="82"/>
      <c r="D437" s="102"/>
      <c r="E437" s="102"/>
      <c r="F437" s="102"/>
      <c r="G437" s="83"/>
      <c r="H437" s="102"/>
      <c r="I437" s="218"/>
      <c r="J437" s="102"/>
      <c r="K437" s="102" t="str">
        <f t="shared" si="32"/>
        <v/>
      </c>
      <c r="L437" s="221"/>
      <c r="M437" s="325"/>
      <c r="N437" s="85"/>
      <c r="O437" s="327"/>
      <c r="P437" s="84"/>
      <c r="Q437" s="88"/>
      <c r="R437" s="102">
        <f t="shared" si="31"/>
        <v>0</v>
      </c>
      <c r="S437" s="89"/>
      <c r="T437" s="100"/>
      <c r="U437" s="86"/>
      <c r="V437" s="86"/>
      <c r="W437" s="86"/>
      <c r="X437" s="86"/>
      <c r="Y437" s="83"/>
      <c r="Z437" s="304"/>
      <c r="AA437" s="304"/>
      <c r="AB437" s="304"/>
      <c r="AC437" s="304"/>
      <c r="AD437" s="304"/>
      <c r="AE437" s="304"/>
      <c r="AF437" s="304"/>
      <c r="AG437" s="304"/>
      <c r="AH437" s="304"/>
      <c r="AI437" s="304"/>
      <c r="AJ437" s="304"/>
      <c r="AK437" s="304"/>
      <c r="AL437" s="304"/>
      <c r="AM437" s="304"/>
      <c r="AN437" s="304"/>
      <c r="AO437" s="304"/>
      <c r="AP437" s="304"/>
      <c r="AQ437" s="304"/>
      <c r="AR437" s="304"/>
      <c r="AS437" s="304"/>
      <c r="AT437" s="304"/>
      <c r="AU437" s="304"/>
      <c r="AV437" s="304"/>
      <c r="AW437" s="304"/>
      <c r="AX437" s="304"/>
      <c r="AY437" s="304"/>
      <c r="AZ437" s="304"/>
      <c r="BA437" s="304"/>
      <c r="BB437" s="304"/>
      <c r="BC437" s="304"/>
      <c r="BD437" s="304"/>
      <c r="BE437" s="304"/>
      <c r="BF437" s="304"/>
      <c r="BG437" s="304"/>
      <c r="BH437" s="304"/>
      <c r="BI437" s="304"/>
      <c r="BJ437" s="304"/>
      <c r="BK437" s="304"/>
      <c r="BL437" s="304"/>
      <c r="BM437" s="304"/>
      <c r="BN437" s="304"/>
      <c r="BO437" s="304"/>
      <c r="BP437" s="304"/>
      <c r="BQ437" s="304"/>
      <c r="BR437" s="304"/>
      <c r="BS437" s="304"/>
      <c r="BT437" s="304"/>
      <c r="BU437" s="304"/>
      <c r="BV437" s="304"/>
      <c r="BW437" s="304"/>
      <c r="BX437" s="304"/>
      <c r="BY437" s="304"/>
      <c r="BZ437" s="304"/>
      <c r="CA437" s="304"/>
      <c r="CB437" s="304"/>
      <c r="CC437" s="304"/>
      <c r="CD437" s="304"/>
      <c r="CE437" s="304"/>
      <c r="CF437" s="304"/>
      <c r="CG437" s="304"/>
      <c r="CH437" s="304"/>
      <c r="CI437" s="304"/>
      <c r="CJ437" s="304"/>
      <c r="CK437" s="304"/>
      <c r="CL437" s="304"/>
      <c r="CM437" s="304"/>
      <c r="CN437" s="304"/>
      <c r="CO437" s="304"/>
      <c r="CP437" s="304"/>
    </row>
    <row r="438" spans="1:94" s="87" customFormat="1">
      <c r="A438" s="81"/>
      <c r="B438" s="83"/>
      <c r="C438" s="82"/>
      <c r="D438" s="102"/>
      <c r="E438" s="102"/>
      <c r="F438" s="102"/>
      <c r="G438" s="83"/>
      <c r="H438" s="102"/>
      <c r="I438" s="218"/>
      <c r="J438" s="102"/>
      <c r="K438" s="102" t="str">
        <f t="shared" si="32"/>
        <v/>
      </c>
      <c r="L438" s="221"/>
      <c r="M438" s="325"/>
      <c r="N438" s="85"/>
      <c r="O438" s="327"/>
      <c r="P438" s="84"/>
      <c r="Q438" s="88"/>
      <c r="R438" s="102">
        <f t="shared" si="31"/>
        <v>0</v>
      </c>
      <c r="S438" s="89"/>
      <c r="T438" s="100"/>
      <c r="U438" s="86"/>
      <c r="V438" s="86"/>
      <c r="W438" s="86"/>
      <c r="X438" s="86"/>
      <c r="Y438" s="83"/>
      <c r="Z438" s="304"/>
      <c r="AA438" s="304"/>
      <c r="AB438" s="304"/>
      <c r="AC438" s="304"/>
      <c r="AD438" s="304"/>
      <c r="AE438" s="304"/>
      <c r="AF438" s="304"/>
      <c r="AG438" s="304"/>
      <c r="AH438" s="304"/>
      <c r="AI438" s="304"/>
      <c r="AJ438" s="304"/>
      <c r="AK438" s="304"/>
      <c r="AL438" s="304"/>
      <c r="AM438" s="304"/>
      <c r="AN438" s="304"/>
      <c r="AO438" s="304"/>
      <c r="AP438" s="304"/>
      <c r="AQ438" s="304"/>
      <c r="AR438" s="304"/>
      <c r="AS438" s="304"/>
      <c r="AT438" s="304"/>
      <c r="AU438" s="304"/>
      <c r="AV438" s="304"/>
      <c r="AW438" s="304"/>
      <c r="AX438" s="304"/>
      <c r="AY438" s="304"/>
      <c r="AZ438" s="304"/>
      <c r="BA438" s="304"/>
      <c r="BB438" s="304"/>
      <c r="BC438" s="304"/>
      <c r="BD438" s="304"/>
      <c r="BE438" s="304"/>
      <c r="BF438" s="304"/>
      <c r="BG438" s="304"/>
      <c r="BH438" s="304"/>
      <c r="BI438" s="304"/>
      <c r="BJ438" s="304"/>
      <c r="BK438" s="304"/>
      <c r="BL438" s="304"/>
      <c r="BM438" s="304"/>
      <c r="BN438" s="304"/>
      <c r="BO438" s="304"/>
      <c r="BP438" s="304"/>
      <c r="BQ438" s="304"/>
      <c r="BR438" s="304"/>
      <c r="BS438" s="304"/>
      <c r="BT438" s="304"/>
      <c r="BU438" s="304"/>
      <c r="BV438" s="304"/>
      <c r="BW438" s="304"/>
      <c r="BX438" s="304"/>
      <c r="BY438" s="304"/>
      <c r="BZ438" s="304"/>
      <c r="CA438" s="304"/>
      <c r="CB438" s="304"/>
      <c r="CC438" s="304"/>
      <c r="CD438" s="304"/>
      <c r="CE438" s="304"/>
      <c r="CF438" s="304"/>
      <c r="CG438" s="304"/>
      <c r="CH438" s="304"/>
      <c r="CI438" s="304"/>
      <c r="CJ438" s="304"/>
      <c r="CK438" s="304"/>
      <c r="CL438" s="304"/>
      <c r="CM438" s="304"/>
      <c r="CN438" s="304"/>
      <c r="CO438" s="304"/>
      <c r="CP438" s="304"/>
    </row>
    <row r="439" spans="1:94" s="87" customFormat="1">
      <c r="A439" s="81"/>
      <c r="B439" s="83"/>
      <c r="C439" s="82"/>
      <c r="D439" s="102"/>
      <c r="E439" s="102"/>
      <c r="F439" s="102"/>
      <c r="G439" s="83"/>
      <c r="H439" s="102"/>
      <c r="I439" s="218"/>
      <c r="J439" s="102"/>
      <c r="K439" s="102" t="str">
        <f t="shared" si="32"/>
        <v/>
      </c>
      <c r="L439" s="221"/>
      <c r="M439" s="325"/>
      <c r="N439" s="85"/>
      <c r="O439" s="327"/>
      <c r="P439" s="84"/>
      <c r="Q439" s="88"/>
      <c r="R439" s="102">
        <f t="shared" si="31"/>
        <v>0</v>
      </c>
      <c r="S439" s="89"/>
      <c r="T439" s="100"/>
      <c r="U439" s="86"/>
      <c r="V439" s="86"/>
      <c r="W439" s="86"/>
      <c r="X439" s="86"/>
      <c r="Y439" s="83"/>
      <c r="Z439" s="304"/>
      <c r="AA439" s="304"/>
      <c r="AB439" s="304"/>
      <c r="AC439" s="304"/>
      <c r="AD439" s="304"/>
      <c r="AE439" s="304"/>
      <c r="AF439" s="304"/>
      <c r="AG439" s="304"/>
      <c r="AH439" s="304"/>
      <c r="AI439" s="304"/>
      <c r="AJ439" s="304"/>
      <c r="AK439" s="304"/>
      <c r="AL439" s="304"/>
      <c r="AM439" s="304"/>
      <c r="AN439" s="304"/>
      <c r="AO439" s="304"/>
      <c r="AP439" s="304"/>
      <c r="AQ439" s="304"/>
      <c r="AR439" s="304"/>
      <c r="AS439" s="304"/>
      <c r="AT439" s="304"/>
      <c r="AU439" s="304"/>
      <c r="AV439" s="304"/>
      <c r="AW439" s="304"/>
      <c r="AX439" s="304"/>
      <c r="AY439" s="304"/>
      <c r="AZ439" s="304"/>
      <c r="BA439" s="304"/>
      <c r="BB439" s="304"/>
      <c r="BC439" s="304"/>
      <c r="BD439" s="304"/>
      <c r="BE439" s="304"/>
      <c r="BF439" s="304"/>
      <c r="BG439" s="304"/>
      <c r="BH439" s="304"/>
      <c r="BI439" s="304"/>
      <c r="BJ439" s="304"/>
      <c r="BK439" s="304"/>
      <c r="BL439" s="304"/>
      <c r="BM439" s="304"/>
      <c r="BN439" s="304"/>
      <c r="BO439" s="304"/>
      <c r="BP439" s="304"/>
      <c r="BQ439" s="304"/>
      <c r="BR439" s="304"/>
      <c r="BS439" s="304"/>
      <c r="BT439" s="304"/>
      <c r="BU439" s="304"/>
      <c r="BV439" s="304"/>
      <c r="BW439" s="304"/>
      <c r="BX439" s="304"/>
      <c r="BY439" s="304"/>
      <c r="BZ439" s="304"/>
      <c r="CA439" s="304"/>
      <c r="CB439" s="304"/>
      <c r="CC439" s="304"/>
      <c r="CD439" s="304"/>
      <c r="CE439" s="304"/>
      <c r="CF439" s="304"/>
      <c r="CG439" s="304"/>
      <c r="CH439" s="304"/>
      <c r="CI439" s="304"/>
      <c r="CJ439" s="304"/>
      <c r="CK439" s="304"/>
      <c r="CL439" s="304"/>
      <c r="CM439" s="304"/>
      <c r="CN439" s="304"/>
      <c r="CO439" s="304"/>
      <c r="CP439" s="304"/>
    </row>
    <row r="440" spans="1:94" s="87" customFormat="1">
      <c r="A440" s="81"/>
      <c r="B440" s="83"/>
      <c r="C440" s="82"/>
      <c r="D440" s="102"/>
      <c r="E440" s="102"/>
      <c r="F440" s="102"/>
      <c r="G440" s="83"/>
      <c r="H440" s="102"/>
      <c r="I440" s="218"/>
      <c r="J440" s="102"/>
      <c r="K440" s="102" t="str">
        <f t="shared" si="32"/>
        <v/>
      </c>
      <c r="L440" s="221"/>
      <c r="M440" s="325"/>
      <c r="N440" s="85"/>
      <c r="O440" s="327"/>
      <c r="P440" s="84"/>
      <c r="Q440" s="88"/>
      <c r="R440" s="102">
        <f t="shared" si="31"/>
        <v>0</v>
      </c>
      <c r="S440" s="89"/>
      <c r="T440" s="100"/>
      <c r="U440" s="86"/>
      <c r="V440" s="86"/>
      <c r="W440" s="86"/>
      <c r="X440" s="86"/>
      <c r="Y440" s="83"/>
      <c r="Z440" s="304"/>
      <c r="AA440" s="304"/>
      <c r="AB440" s="304"/>
      <c r="AC440" s="304"/>
      <c r="AD440" s="304"/>
      <c r="AE440" s="304"/>
      <c r="AF440" s="304"/>
      <c r="AG440" s="304"/>
      <c r="AH440" s="304"/>
      <c r="AI440" s="304"/>
      <c r="AJ440" s="304"/>
      <c r="AK440" s="304"/>
      <c r="AL440" s="304"/>
      <c r="AM440" s="304"/>
      <c r="AN440" s="304"/>
      <c r="AO440" s="304"/>
      <c r="AP440" s="304"/>
      <c r="AQ440" s="304"/>
      <c r="AR440" s="304"/>
      <c r="AS440" s="304"/>
      <c r="AT440" s="304"/>
      <c r="AU440" s="304"/>
      <c r="AV440" s="304"/>
      <c r="AW440" s="304"/>
      <c r="AX440" s="304"/>
      <c r="AY440" s="304"/>
      <c r="AZ440" s="304"/>
      <c r="BA440" s="304"/>
      <c r="BB440" s="304"/>
      <c r="BC440" s="304"/>
      <c r="BD440" s="304"/>
      <c r="BE440" s="304"/>
      <c r="BF440" s="304"/>
      <c r="BG440" s="304"/>
      <c r="BH440" s="304"/>
      <c r="BI440" s="304"/>
      <c r="BJ440" s="304"/>
      <c r="BK440" s="304"/>
      <c r="BL440" s="304"/>
      <c r="BM440" s="304"/>
      <c r="BN440" s="304"/>
      <c r="BO440" s="304"/>
      <c r="BP440" s="304"/>
      <c r="BQ440" s="304"/>
      <c r="BR440" s="304"/>
      <c r="BS440" s="304"/>
      <c r="BT440" s="304"/>
      <c r="BU440" s="304"/>
      <c r="BV440" s="304"/>
      <c r="BW440" s="304"/>
      <c r="BX440" s="304"/>
      <c r="BY440" s="304"/>
      <c r="BZ440" s="304"/>
      <c r="CA440" s="304"/>
      <c r="CB440" s="304"/>
      <c r="CC440" s="304"/>
      <c r="CD440" s="304"/>
      <c r="CE440" s="304"/>
      <c r="CF440" s="304"/>
      <c r="CG440" s="304"/>
      <c r="CH440" s="304"/>
      <c r="CI440" s="304"/>
      <c r="CJ440" s="304"/>
      <c r="CK440" s="304"/>
      <c r="CL440" s="304"/>
      <c r="CM440" s="304"/>
      <c r="CN440" s="304"/>
      <c r="CO440" s="304"/>
      <c r="CP440" s="304"/>
    </row>
    <row r="441" spans="1:94" s="87" customFormat="1">
      <c r="A441" s="81"/>
      <c r="B441" s="83"/>
      <c r="C441" s="82"/>
      <c r="D441" s="102"/>
      <c r="E441" s="102"/>
      <c r="F441" s="102"/>
      <c r="G441" s="83"/>
      <c r="H441" s="102"/>
      <c r="I441" s="218"/>
      <c r="J441" s="102"/>
      <c r="K441" s="102" t="str">
        <f t="shared" si="32"/>
        <v/>
      </c>
      <c r="L441" s="221"/>
      <c r="M441" s="325"/>
      <c r="N441" s="85"/>
      <c r="O441" s="327"/>
      <c r="P441" s="84"/>
      <c r="Q441" s="88"/>
      <c r="R441" s="102">
        <f t="shared" si="31"/>
        <v>0</v>
      </c>
      <c r="S441" s="89"/>
      <c r="T441" s="100"/>
      <c r="U441" s="86"/>
      <c r="V441" s="86"/>
      <c r="W441" s="86"/>
      <c r="X441" s="86"/>
      <c r="Y441" s="83"/>
      <c r="Z441" s="304"/>
      <c r="AA441" s="304"/>
      <c r="AB441" s="304"/>
      <c r="AC441" s="304"/>
      <c r="AD441" s="304"/>
      <c r="AE441" s="304"/>
      <c r="AF441" s="304"/>
      <c r="AG441" s="304"/>
      <c r="AH441" s="304"/>
      <c r="AI441" s="304"/>
      <c r="AJ441" s="304"/>
      <c r="AK441" s="304"/>
      <c r="AL441" s="304"/>
      <c r="AM441" s="304"/>
      <c r="AN441" s="304"/>
      <c r="AO441" s="304"/>
      <c r="AP441" s="304"/>
      <c r="AQ441" s="304"/>
      <c r="AR441" s="304"/>
      <c r="AS441" s="304"/>
      <c r="AT441" s="304"/>
      <c r="AU441" s="304"/>
      <c r="AV441" s="304"/>
      <c r="AW441" s="304"/>
      <c r="AX441" s="304"/>
      <c r="AY441" s="304"/>
      <c r="AZ441" s="304"/>
      <c r="BA441" s="304"/>
      <c r="BB441" s="304"/>
      <c r="BC441" s="304"/>
      <c r="BD441" s="304"/>
      <c r="BE441" s="304"/>
      <c r="BF441" s="304"/>
      <c r="BG441" s="304"/>
      <c r="BH441" s="304"/>
      <c r="BI441" s="304"/>
      <c r="BJ441" s="304"/>
      <c r="BK441" s="304"/>
      <c r="BL441" s="304"/>
      <c r="BM441" s="304"/>
      <c r="BN441" s="304"/>
      <c r="BO441" s="304"/>
      <c r="BP441" s="304"/>
      <c r="BQ441" s="304"/>
      <c r="BR441" s="304"/>
      <c r="BS441" s="304"/>
      <c r="BT441" s="304"/>
      <c r="BU441" s="304"/>
      <c r="BV441" s="304"/>
      <c r="BW441" s="304"/>
      <c r="BX441" s="304"/>
      <c r="BY441" s="304"/>
      <c r="BZ441" s="304"/>
      <c r="CA441" s="304"/>
      <c r="CB441" s="304"/>
      <c r="CC441" s="304"/>
      <c r="CD441" s="304"/>
      <c r="CE441" s="304"/>
      <c r="CF441" s="304"/>
      <c r="CG441" s="304"/>
      <c r="CH441" s="304"/>
      <c r="CI441" s="304"/>
      <c r="CJ441" s="304"/>
      <c r="CK441" s="304"/>
      <c r="CL441" s="304"/>
      <c r="CM441" s="304"/>
      <c r="CN441" s="304"/>
      <c r="CO441" s="304"/>
      <c r="CP441" s="304"/>
    </row>
    <row r="442" spans="1:94" s="87" customFormat="1">
      <c r="A442" s="81"/>
      <c r="B442" s="83"/>
      <c r="C442" s="82"/>
      <c r="D442" s="102"/>
      <c r="E442" s="102"/>
      <c r="F442" s="102"/>
      <c r="G442" s="83"/>
      <c r="H442" s="102"/>
      <c r="I442" s="218"/>
      <c r="J442" s="102"/>
      <c r="K442" s="102" t="str">
        <f t="shared" si="32"/>
        <v/>
      </c>
      <c r="L442" s="221"/>
      <c r="M442" s="325"/>
      <c r="N442" s="85"/>
      <c r="O442" s="327"/>
      <c r="P442" s="84"/>
      <c r="Q442" s="88"/>
      <c r="R442" s="102">
        <f t="shared" si="31"/>
        <v>0</v>
      </c>
      <c r="S442" s="89"/>
      <c r="T442" s="100"/>
      <c r="U442" s="86"/>
      <c r="V442" s="86"/>
      <c r="W442" s="86"/>
      <c r="X442" s="86"/>
      <c r="Y442" s="83"/>
      <c r="Z442" s="304"/>
      <c r="AA442" s="304"/>
      <c r="AB442" s="304"/>
      <c r="AC442" s="304"/>
      <c r="AD442" s="304"/>
      <c r="AE442" s="304"/>
      <c r="AF442" s="304"/>
      <c r="AG442" s="304"/>
      <c r="AH442" s="304"/>
      <c r="AI442" s="304"/>
      <c r="AJ442" s="304"/>
      <c r="AK442" s="304"/>
      <c r="AL442" s="304"/>
      <c r="AM442" s="304"/>
      <c r="AN442" s="304"/>
      <c r="AO442" s="304"/>
      <c r="AP442" s="304"/>
      <c r="AQ442" s="304"/>
      <c r="AR442" s="304"/>
      <c r="AS442" s="304"/>
      <c r="AT442" s="304"/>
      <c r="AU442" s="304"/>
      <c r="AV442" s="304"/>
      <c r="AW442" s="304"/>
      <c r="AX442" s="304"/>
      <c r="AY442" s="304"/>
      <c r="AZ442" s="304"/>
      <c r="BA442" s="304"/>
      <c r="BB442" s="304"/>
      <c r="BC442" s="304"/>
      <c r="BD442" s="304"/>
      <c r="BE442" s="304"/>
      <c r="BF442" s="304"/>
      <c r="BG442" s="304"/>
      <c r="BH442" s="304"/>
      <c r="BI442" s="304"/>
      <c r="BJ442" s="304"/>
      <c r="BK442" s="304"/>
      <c r="BL442" s="304"/>
      <c r="BM442" s="304"/>
      <c r="BN442" s="304"/>
      <c r="BO442" s="304"/>
      <c r="BP442" s="304"/>
      <c r="BQ442" s="304"/>
      <c r="BR442" s="304"/>
      <c r="BS442" s="304"/>
      <c r="BT442" s="304"/>
      <c r="BU442" s="304"/>
      <c r="BV442" s="304"/>
      <c r="BW442" s="304"/>
      <c r="BX442" s="304"/>
      <c r="BY442" s="304"/>
      <c r="BZ442" s="304"/>
      <c r="CA442" s="304"/>
      <c r="CB442" s="304"/>
      <c r="CC442" s="304"/>
      <c r="CD442" s="304"/>
      <c r="CE442" s="304"/>
      <c r="CF442" s="304"/>
      <c r="CG442" s="304"/>
      <c r="CH442" s="304"/>
      <c r="CI442" s="304"/>
      <c r="CJ442" s="304"/>
      <c r="CK442" s="304"/>
      <c r="CL442" s="304"/>
      <c r="CM442" s="304"/>
      <c r="CN442" s="304"/>
      <c r="CO442" s="304"/>
      <c r="CP442" s="304"/>
    </row>
    <row r="443" spans="1:94" s="87" customFormat="1">
      <c r="A443" s="81"/>
      <c r="B443" s="83"/>
      <c r="C443" s="82"/>
      <c r="D443" s="102"/>
      <c r="E443" s="102"/>
      <c r="F443" s="102"/>
      <c r="G443" s="83"/>
      <c r="H443" s="102"/>
      <c r="I443" s="218"/>
      <c r="J443" s="102"/>
      <c r="K443" s="102" t="str">
        <f t="shared" si="32"/>
        <v/>
      </c>
      <c r="L443" s="221"/>
      <c r="M443" s="325"/>
      <c r="N443" s="85"/>
      <c r="O443" s="327"/>
      <c r="P443" s="84"/>
      <c r="Q443" s="88"/>
      <c r="R443" s="102">
        <f t="shared" si="31"/>
        <v>0</v>
      </c>
      <c r="S443" s="89"/>
      <c r="T443" s="100"/>
      <c r="U443" s="86"/>
      <c r="V443" s="86"/>
      <c r="W443" s="86"/>
      <c r="X443" s="86"/>
      <c r="Y443" s="83"/>
      <c r="Z443" s="304"/>
      <c r="AA443" s="304"/>
      <c r="AB443" s="304"/>
      <c r="AC443" s="304"/>
      <c r="AD443" s="304"/>
      <c r="AE443" s="304"/>
      <c r="AF443" s="304"/>
      <c r="AG443" s="304"/>
      <c r="AH443" s="304"/>
      <c r="AI443" s="304"/>
      <c r="AJ443" s="304"/>
      <c r="AK443" s="304"/>
      <c r="AL443" s="304"/>
      <c r="AM443" s="304"/>
      <c r="AN443" s="304"/>
      <c r="AO443" s="304"/>
      <c r="AP443" s="304"/>
      <c r="AQ443" s="304"/>
      <c r="AR443" s="304"/>
      <c r="AS443" s="304"/>
      <c r="AT443" s="304"/>
      <c r="AU443" s="304"/>
      <c r="AV443" s="304"/>
      <c r="AW443" s="304"/>
      <c r="AX443" s="304"/>
      <c r="AY443" s="304"/>
      <c r="AZ443" s="304"/>
      <c r="BA443" s="304"/>
      <c r="BB443" s="304"/>
      <c r="BC443" s="304"/>
      <c r="BD443" s="304"/>
      <c r="BE443" s="304"/>
      <c r="BF443" s="304"/>
      <c r="BG443" s="304"/>
      <c r="BH443" s="304"/>
      <c r="BI443" s="304"/>
      <c r="BJ443" s="304"/>
      <c r="BK443" s="304"/>
      <c r="BL443" s="304"/>
      <c r="BM443" s="304"/>
      <c r="BN443" s="304"/>
      <c r="BO443" s="304"/>
      <c r="BP443" s="304"/>
      <c r="BQ443" s="304"/>
      <c r="BR443" s="304"/>
      <c r="BS443" s="304"/>
      <c r="BT443" s="304"/>
      <c r="BU443" s="304"/>
      <c r="BV443" s="304"/>
      <c r="BW443" s="304"/>
      <c r="BX443" s="304"/>
      <c r="BY443" s="304"/>
      <c r="BZ443" s="304"/>
      <c r="CA443" s="304"/>
      <c r="CB443" s="304"/>
      <c r="CC443" s="304"/>
      <c r="CD443" s="304"/>
      <c r="CE443" s="304"/>
      <c r="CF443" s="304"/>
      <c r="CG443" s="304"/>
      <c r="CH443" s="304"/>
      <c r="CI443" s="304"/>
      <c r="CJ443" s="304"/>
      <c r="CK443" s="304"/>
      <c r="CL443" s="304"/>
      <c r="CM443" s="304"/>
      <c r="CN443" s="304"/>
      <c r="CO443" s="304"/>
      <c r="CP443" s="304"/>
    </row>
    <row r="444" spans="1:94" s="87" customFormat="1">
      <c r="A444" s="81"/>
      <c r="B444" s="83"/>
      <c r="C444" s="82"/>
      <c r="D444" s="102"/>
      <c r="E444" s="102"/>
      <c r="F444" s="102"/>
      <c r="G444" s="83"/>
      <c r="H444" s="102"/>
      <c r="I444" s="218"/>
      <c r="J444" s="102"/>
      <c r="K444" s="102" t="str">
        <f t="shared" si="32"/>
        <v/>
      </c>
      <c r="L444" s="221"/>
      <c r="M444" s="325"/>
      <c r="N444" s="85"/>
      <c r="O444" s="327"/>
      <c r="P444" s="84"/>
      <c r="Q444" s="88"/>
      <c r="R444" s="102">
        <f t="shared" si="31"/>
        <v>0</v>
      </c>
      <c r="S444" s="89"/>
      <c r="T444" s="100"/>
      <c r="U444" s="86"/>
      <c r="V444" s="86"/>
      <c r="W444" s="86"/>
      <c r="X444" s="86"/>
      <c r="Y444" s="83"/>
      <c r="Z444" s="304"/>
      <c r="AA444" s="304"/>
      <c r="AB444" s="304"/>
      <c r="AC444" s="304"/>
      <c r="AD444" s="304"/>
      <c r="AE444" s="304"/>
      <c r="AF444" s="304"/>
      <c r="AG444" s="304"/>
      <c r="AH444" s="304"/>
      <c r="AI444" s="304"/>
      <c r="AJ444" s="304"/>
      <c r="AK444" s="304"/>
      <c r="AL444" s="304"/>
      <c r="AM444" s="304"/>
      <c r="AN444" s="304"/>
      <c r="AO444" s="304"/>
      <c r="AP444" s="304"/>
      <c r="AQ444" s="304"/>
      <c r="AR444" s="304"/>
      <c r="AS444" s="304"/>
      <c r="AT444" s="304"/>
      <c r="AU444" s="304"/>
      <c r="AV444" s="304"/>
      <c r="AW444" s="304"/>
      <c r="AX444" s="304"/>
      <c r="AY444" s="304"/>
      <c r="AZ444" s="304"/>
      <c r="BA444" s="304"/>
      <c r="BB444" s="304"/>
      <c r="BC444" s="304"/>
      <c r="BD444" s="304"/>
      <c r="BE444" s="304"/>
      <c r="BF444" s="304"/>
      <c r="BG444" s="304"/>
      <c r="BH444" s="304"/>
      <c r="BI444" s="304"/>
      <c r="BJ444" s="304"/>
      <c r="BK444" s="304"/>
      <c r="BL444" s="304"/>
      <c r="BM444" s="304"/>
      <c r="BN444" s="304"/>
      <c r="BO444" s="304"/>
      <c r="BP444" s="304"/>
      <c r="BQ444" s="304"/>
      <c r="BR444" s="304"/>
      <c r="BS444" s="304"/>
      <c r="BT444" s="304"/>
      <c r="BU444" s="304"/>
      <c r="BV444" s="304"/>
      <c r="BW444" s="304"/>
      <c r="BX444" s="304"/>
      <c r="BY444" s="304"/>
      <c r="BZ444" s="304"/>
      <c r="CA444" s="304"/>
      <c r="CB444" s="304"/>
      <c r="CC444" s="304"/>
      <c r="CD444" s="304"/>
      <c r="CE444" s="304"/>
      <c r="CF444" s="304"/>
      <c r="CG444" s="304"/>
      <c r="CH444" s="304"/>
      <c r="CI444" s="304"/>
      <c r="CJ444" s="304"/>
      <c r="CK444" s="304"/>
      <c r="CL444" s="304"/>
      <c r="CM444" s="304"/>
      <c r="CN444" s="304"/>
      <c r="CO444" s="304"/>
      <c r="CP444" s="304"/>
    </row>
    <row r="445" spans="1:94" s="87" customFormat="1">
      <c r="A445" s="81"/>
      <c r="B445" s="83"/>
      <c r="C445" s="82"/>
      <c r="D445" s="102"/>
      <c r="E445" s="102"/>
      <c r="F445" s="102"/>
      <c r="G445" s="83"/>
      <c r="H445" s="102"/>
      <c r="I445" s="218"/>
      <c r="J445" s="102"/>
      <c r="K445" s="102" t="str">
        <f t="shared" si="32"/>
        <v/>
      </c>
      <c r="L445" s="221"/>
      <c r="M445" s="325"/>
      <c r="N445" s="85"/>
      <c r="O445" s="327"/>
      <c r="P445" s="84"/>
      <c r="Q445" s="88"/>
      <c r="R445" s="102">
        <f t="shared" si="31"/>
        <v>0</v>
      </c>
      <c r="S445" s="89"/>
      <c r="T445" s="100"/>
      <c r="U445" s="86"/>
      <c r="V445" s="86"/>
      <c r="W445" s="86"/>
      <c r="X445" s="86"/>
      <c r="Y445" s="83"/>
      <c r="Z445" s="304"/>
      <c r="AA445" s="304"/>
      <c r="AB445" s="304"/>
      <c r="AC445" s="304"/>
      <c r="AD445" s="304"/>
      <c r="AE445" s="304"/>
      <c r="AF445" s="304"/>
      <c r="AG445" s="304"/>
      <c r="AH445" s="304"/>
      <c r="AI445" s="304"/>
      <c r="AJ445" s="304"/>
      <c r="AK445" s="304"/>
      <c r="AL445" s="304"/>
      <c r="AM445" s="304"/>
      <c r="AN445" s="304"/>
      <c r="AO445" s="304"/>
      <c r="AP445" s="304"/>
      <c r="AQ445" s="304"/>
      <c r="AR445" s="304"/>
      <c r="AS445" s="304"/>
      <c r="AT445" s="304"/>
      <c r="AU445" s="304"/>
      <c r="AV445" s="304"/>
      <c r="AW445" s="304"/>
      <c r="AX445" s="304"/>
      <c r="AY445" s="304"/>
      <c r="AZ445" s="304"/>
      <c r="BA445" s="304"/>
      <c r="BB445" s="304"/>
      <c r="BC445" s="304"/>
      <c r="BD445" s="304"/>
      <c r="BE445" s="304"/>
      <c r="BF445" s="304"/>
      <c r="BG445" s="304"/>
      <c r="BH445" s="304"/>
      <c r="BI445" s="304"/>
      <c r="BJ445" s="304"/>
      <c r="BK445" s="304"/>
      <c r="BL445" s="304"/>
      <c r="BM445" s="304"/>
      <c r="BN445" s="304"/>
      <c r="BO445" s="304"/>
      <c r="BP445" s="304"/>
      <c r="BQ445" s="304"/>
      <c r="BR445" s="304"/>
      <c r="BS445" s="304"/>
      <c r="BT445" s="304"/>
      <c r="BU445" s="304"/>
      <c r="BV445" s="304"/>
      <c r="BW445" s="304"/>
      <c r="BX445" s="304"/>
      <c r="BY445" s="304"/>
      <c r="BZ445" s="304"/>
      <c r="CA445" s="304"/>
      <c r="CB445" s="304"/>
      <c r="CC445" s="304"/>
      <c r="CD445" s="304"/>
      <c r="CE445" s="304"/>
      <c r="CF445" s="304"/>
      <c r="CG445" s="304"/>
      <c r="CH445" s="304"/>
      <c r="CI445" s="304"/>
      <c r="CJ445" s="304"/>
      <c r="CK445" s="304"/>
      <c r="CL445" s="304"/>
      <c r="CM445" s="304"/>
      <c r="CN445" s="304"/>
      <c r="CO445" s="304"/>
      <c r="CP445" s="304"/>
    </row>
    <row r="446" spans="1:94" s="87" customFormat="1">
      <c r="A446" s="81"/>
      <c r="B446" s="83"/>
      <c r="C446" s="82"/>
      <c r="D446" s="102"/>
      <c r="E446" s="102"/>
      <c r="F446" s="102"/>
      <c r="G446" s="83"/>
      <c r="H446" s="102"/>
      <c r="I446" s="218"/>
      <c r="J446" s="102"/>
      <c r="K446" s="102" t="str">
        <f t="shared" si="32"/>
        <v/>
      </c>
      <c r="L446" s="221"/>
      <c r="M446" s="325"/>
      <c r="N446" s="85"/>
      <c r="O446" s="327"/>
      <c r="P446" s="84"/>
      <c r="Q446" s="88"/>
      <c r="R446" s="102">
        <f t="shared" si="31"/>
        <v>0</v>
      </c>
      <c r="S446" s="89"/>
      <c r="T446" s="100"/>
      <c r="U446" s="86"/>
      <c r="V446" s="86"/>
      <c r="W446" s="86"/>
      <c r="X446" s="86"/>
      <c r="Y446" s="83"/>
      <c r="Z446" s="304"/>
      <c r="AA446" s="304"/>
      <c r="AB446" s="304"/>
      <c r="AC446" s="304"/>
      <c r="AD446" s="304"/>
      <c r="AE446" s="304"/>
      <c r="AF446" s="304"/>
      <c r="AG446" s="304"/>
      <c r="AH446" s="304"/>
      <c r="AI446" s="304"/>
      <c r="AJ446" s="304"/>
      <c r="AK446" s="304"/>
      <c r="AL446" s="304"/>
      <c r="AM446" s="304"/>
      <c r="AN446" s="304"/>
      <c r="AO446" s="304"/>
      <c r="AP446" s="304"/>
      <c r="AQ446" s="304"/>
      <c r="AR446" s="304"/>
      <c r="AS446" s="304"/>
      <c r="AT446" s="304"/>
      <c r="AU446" s="304"/>
      <c r="AV446" s="304"/>
      <c r="AW446" s="304"/>
      <c r="AX446" s="304"/>
      <c r="AY446" s="304"/>
      <c r="AZ446" s="304"/>
      <c r="BA446" s="304"/>
      <c r="BB446" s="304"/>
      <c r="BC446" s="304"/>
      <c r="BD446" s="304"/>
      <c r="BE446" s="304"/>
      <c r="BF446" s="304"/>
      <c r="BG446" s="304"/>
      <c r="BH446" s="304"/>
      <c r="BI446" s="304"/>
      <c r="BJ446" s="304"/>
      <c r="BK446" s="304"/>
      <c r="BL446" s="304"/>
      <c r="BM446" s="304"/>
      <c r="BN446" s="304"/>
      <c r="BO446" s="304"/>
      <c r="BP446" s="304"/>
      <c r="BQ446" s="304"/>
      <c r="BR446" s="304"/>
      <c r="BS446" s="304"/>
      <c r="BT446" s="304"/>
      <c r="BU446" s="304"/>
      <c r="BV446" s="304"/>
      <c r="BW446" s="304"/>
      <c r="BX446" s="304"/>
      <c r="BY446" s="304"/>
      <c r="BZ446" s="304"/>
      <c r="CA446" s="304"/>
      <c r="CB446" s="304"/>
      <c r="CC446" s="304"/>
      <c r="CD446" s="304"/>
      <c r="CE446" s="304"/>
      <c r="CF446" s="304"/>
      <c r="CG446" s="304"/>
      <c r="CH446" s="304"/>
      <c r="CI446" s="304"/>
      <c r="CJ446" s="304"/>
      <c r="CK446" s="304"/>
      <c r="CL446" s="304"/>
      <c r="CM446" s="304"/>
      <c r="CN446" s="304"/>
      <c r="CO446" s="304"/>
      <c r="CP446" s="304"/>
    </row>
    <row r="447" spans="1:94" s="87" customFormat="1">
      <c r="A447" s="81"/>
      <c r="B447" s="83"/>
      <c r="C447" s="82"/>
      <c r="D447" s="102"/>
      <c r="E447" s="102"/>
      <c r="F447" s="102"/>
      <c r="G447" s="83"/>
      <c r="H447" s="102"/>
      <c r="I447" s="218"/>
      <c r="J447" s="102"/>
      <c r="K447" s="102" t="str">
        <f t="shared" si="32"/>
        <v/>
      </c>
      <c r="L447" s="221"/>
      <c r="M447" s="325"/>
      <c r="N447" s="85"/>
      <c r="O447" s="327"/>
      <c r="P447" s="84"/>
      <c r="Q447" s="88"/>
      <c r="R447" s="102">
        <f t="shared" si="31"/>
        <v>0</v>
      </c>
      <c r="S447" s="89"/>
      <c r="T447" s="100"/>
      <c r="U447" s="86"/>
      <c r="V447" s="86"/>
      <c r="W447" s="86"/>
      <c r="X447" s="86"/>
      <c r="Y447" s="83"/>
      <c r="Z447" s="304"/>
      <c r="AA447" s="304"/>
      <c r="AB447" s="304"/>
      <c r="AC447" s="304"/>
      <c r="AD447" s="304"/>
      <c r="AE447" s="304"/>
      <c r="AF447" s="304"/>
      <c r="AG447" s="304"/>
      <c r="AH447" s="304"/>
      <c r="AI447" s="304"/>
      <c r="AJ447" s="304"/>
      <c r="AK447" s="304"/>
      <c r="AL447" s="304"/>
      <c r="AM447" s="304"/>
      <c r="AN447" s="304"/>
      <c r="AO447" s="304"/>
      <c r="AP447" s="304"/>
      <c r="AQ447" s="304"/>
      <c r="AR447" s="304"/>
      <c r="AS447" s="304"/>
      <c r="AT447" s="304"/>
      <c r="AU447" s="304"/>
      <c r="AV447" s="304"/>
      <c r="AW447" s="304"/>
      <c r="AX447" s="304"/>
      <c r="AY447" s="304"/>
      <c r="AZ447" s="304"/>
      <c r="BA447" s="304"/>
      <c r="BB447" s="304"/>
      <c r="BC447" s="304"/>
      <c r="BD447" s="304"/>
      <c r="BE447" s="304"/>
      <c r="BF447" s="304"/>
      <c r="BG447" s="304"/>
      <c r="BH447" s="304"/>
      <c r="BI447" s="304"/>
      <c r="BJ447" s="304"/>
      <c r="BK447" s="304"/>
      <c r="BL447" s="304"/>
      <c r="BM447" s="304"/>
      <c r="BN447" s="304"/>
      <c r="BO447" s="304"/>
      <c r="BP447" s="304"/>
      <c r="BQ447" s="304"/>
      <c r="BR447" s="304"/>
      <c r="BS447" s="304"/>
      <c r="BT447" s="304"/>
      <c r="BU447" s="304"/>
      <c r="BV447" s="304"/>
      <c r="BW447" s="304"/>
      <c r="BX447" s="304"/>
      <c r="BY447" s="304"/>
      <c r="BZ447" s="304"/>
      <c r="CA447" s="304"/>
      <c r="CB447" s="304"/>
      <c r="CC447" s="304"/>
      <c r="CD447" s="304"/>
      <c r="CE447" s="304"/>
      <c r="CF447" s="304"/>
      <c r="CG447" s="304"/>
      <c r="CH447" s="304"/>
      <c r="CI447" s="304"/>
      <c r="CJ447" s="304"/>
      <c r="CK447" s="304"/>
      <c r="CL447" s="304"/>
      <c r="CM447" s="304"/>
      <c r="CN447" s="304"/>
      <c r="CO447" s="304"/>
      <c r="CP447" s="304"/>
    </row>
    <row r="448" spans="1:94" s="87" customFormat="1">
      <c r="A448" s="81"/>
      <c r="B448" s="83"/>
      <c r="C448" s="82"/>
      <c r="D448" s="102"/>
      <c r="E448" s="102"/>
      <c r="F448" s="102"/>
      <c r="G448" s="83"/>
      <c r="H448" s="102"/>
      <c r="I448" s="218"/>
      <c r="J448" s="102"/>
      <c r="K448" s="102" t="str">
        <f t="shared" si="32"/>
        <v/>
      </c>
      <c r="L448" s="221"/>
      <c r="M448" s="325"/>
      <c r="N448" s="85"/>
      <c r="O448" s="327"/>
      <c r="P448" s="84"/>
      <c r="Q448" s="88"/>
      <c r="R448" s="102">
        <f t="shared" si="31"/>
        <v>0</v>
      </c>
      <c r="S448" s="89"/>
      <c r="T448" s="100"/>
      <c r="U448" s="86"/>
      <c r="V448" s="86"/>
      <c r="W448" s="86"/>
      <c r="X448" s="86"/>
      <c r="Y448" s="83"/>
      <c r="Z448" s="304"/>
      <c r="AA448" s="304"/>
      <c r="AB448" s="304"/>
      <c r="AC448" s="304"/>
      <c r="AD448" s="304"/>
      <c r="AE448" s="304"/>
      <c r="AF448" s="304"/>
      <c r="AG448" s="304"/>
      <c r="AH448" s="304"/>
      <c r="AI448" s="304"/>
      <c r="AJ448" s="304"/>
      <c r="AK448" s="304"/>
      <c r="AL448" s="304"/>
      <c r="AM448" s="304"/>
      <c r="AN448" s="304"/>
      <c r="AO448" s="304"/>
      <c r="AP448" s="304"/>
      <c r="AQ448" s="304"/>
      <c r="AR448" s="304"/>
      <c r="AS448" s="304"/>
      <c r="AT448" s="304"/>
      <c r="AU448" s="304"/>
      <c r="AV448" s="304"/>
      <c r="AW448" s="304"/>
      <c r="AX448" s="304"/>
      <c r="AY448" s="304"/>
      <c r="AZ448" s="304"/>
      <c r="BA448" s="304"/>
      <c r="BB448" s="304"/>
      <c r="BC448" s="304"/>
      <c r="BD448" s="304"/>
      <c r="BE448" s="304"/>
      <c r="BF448" s="304"/>
      <c r="BG448" s="304"/>
      <c r="BH448" s="304"/>
      <c r="BI448" s="304"/>
      <c r="BJ448" s="304"/>
      <c r="BK448" s="304"/>
      <c r="BL448" s="304"/>
      <c r="BM448" s="304"/>
      <c r="BN448" s="304"/>
      <c r="BO448" s="304"/>
      <c r="BP448" s="304"/>
      <c r="BQ448" s="304"/>
      <c r="BR448" s="304"/>
      <c r="BS448" s="304"/>
      <c r="BT448" s="304"/>
      <c r="BU448" s="304"/>
      <c r="BV448" s="304"/>
      <c r="BW448" s="304"/>
      <c r="BX448" s="304"/>
      <c r="BY448" s="304"/>
      <c r="BZ448" s="304"/>
      <c r="CA448" s="304"/>
      <c r="CB448" s="304"/>
      <c r="CC448" s="304"/>
      <c r="CD448" s="304"/>
      <c r="CE448" s="304"/>
      <c r="CF448" s="304"/>
      <c r="CG448" s="304"/>
      <c r="CH448" s="304"/>
      <c r="CI448" s="304"/>
      <c r="CJ448" s="304"/>
      <c r="CK448" s="304"/>
      <c r="CL448" s="304"/>
      <c r="CM448" s="304"/>
      <c r="CN448" s="304"/>
      <c r="CO448" s="304"/>
      <c r="CP448" s="304"/>
    </row>
    <row r="449" spans="1:94" s="87" customFormat="1">
      <c r="A449" s="81"/>
      <c r="B449" s="83"/>
      <c r="C449" s="82"/>
      <c r="D449" s="102"/>
      <c r="E449" s="102"/>
      <c r="F449" s="102"/>
      <c r="G449" s="83"/>
      <c r="H449" s="102"/>
      <c r="I449" s="218"/>
      <c r="J449" s="102"/>
      <c r="K449" s="102" t="str">
        <f t="shared" si="32"/>
        <v/>
      </c>
      <c r="L449" s="221"/>
      <c r="M449" s="325"/>
      <c r="N449" s="85"/>
      <c r="O449" s="327"/>
      <c r="P449" s="84"/>
      <c r="Q449" s="88"/>
      <c r="R449" s="102">
        <f t="shared" si="31"/>
        <v>0</v>
      </c>
      <c r="S449" s="89"/>
      <c r="T449" s="100"/>
      <c r="U449" s="86"/>
      <c r="V449" s="86"/>
      <c r="W449" s="86"/>
      <c r="X449" s="86"/>
      <c r="Y449" s="83"/>
      <c r="Z449" s="304"/>
      <c r="AA449" s="304"/>
      <c r="AB449" s="304"/>
      <c r="AC449" s="304"/>
      <c r="AD449" s="304"/>
      <c r="AE449" s="304"/>
      <c r="AF449" s="304"/>
      <c r="AG449" s="304"/>
      <c r="AH449" s="304"/>
      <c r="AI449" s="304"/>
      <c r="AJ449" s="304"/>
      <c r="AK449" s="304"/>
      <c r="AL449" s="304"/>
      <c r="AM449" s="304"/>
      <c r="AN449" s="304"/>
      <c r="AO449" s="304"/>
      <c r="AP449" s="304"/>
      <c r="AQ449" s="304"/>
      <c r="AR449" s="304"/>
      <c r="AS449" s="304"/>
      <c r="AT449" s="304"/>
      <c r="AU449" s="304"/>
      <c r="AV449" s="304"/>
      <c r="AW449" s="304"/>
      <c r="AX449" s="304"/>
      <c r="AY449" s="304"/>
      <c r="AZ449" s="304"/>
      <c r="BA449" s="304"/>
      <c r="BB449" s="304"/>
      <c r="BC449" s="304"/>
      <c r="BD449" s="304"/>
      <c r="BE449" s="304"/>
      <c r="BF449" s="304"/>
      <c r="BG449" s="304"/>
      <c r="BH449" s="304"/>
      <c r="BI449" s="304"/>
      <c r="BJ449" s="304"/>
      <c r="BK449" s="304"/>
      <c r="BL449" s="304"/>
      <c r="BM449" s="304"/>
      <c r="BN449" s="304"/>
      <c r="BO449" s="304"/>
      <c r="BP449" s="304"/>
      <c r="BQ449" s="304"/>
      <c r="BR449" s="304"/>
      <c r="BS449" s="304"/>
      <c r="BT449" s="304"/>
      <c r="BU449" s="304"/>
      <c r="BV449" s="304"/>
      <c r="BW449" s="304"/>
      <c r="BX449" s="304"/>
      <c r="BY449" s="304"/>
      <c r="BZ449" s="304"/>
      <c r="CA449" s="304"/>
      <c r="CB449" s="304"/>
      <c r="CC449" s="304"/>
      <c r="CD449" s="304"/>
      <c r="CE449" s="304"/>
      <c r="CF449" s="304"/>
      <c r="CG449" s="304"/>
      <c r="CH449" s="304"/>
      <c r="CI449" s="304"/>
      <c r="CJ449" s="304"/>
      <c r="CK449" s="304"/>
      <c r="CL449" s="304"/>
      <c r="CM449" s="304"/>
      <c r="CN449" s="304"/>
      <c r="CO449" s="304"/>
      <c r="CP449" s="304"/>
    </row>
    <row r="450" spans="1:94" s="87" customFormat="1">
      <c r="A450" s="81"/>
      <c r="B450" s="83"/>
      <c r="C450" s="82"/>
      <c r="D450" s="102"/>
      <c r="E450" s="102"/>
      <c r="F450" s="102"/>
      <c r="G450" s="83"/>
      <c r="H450" s="102"/>
      <c r="I450" s="218"/>
      <c r="J450" s="102"/>
      <c r="K450" s="102" t="str">
        <f t="shared" si="32"/>
        <v/>
      </c>
      <c r="L450" s="221"/>
      <c r="M450" s="325"/>
      <c r="N450" s="85"/>
      <c r="O450" s="327"/>
      <c r="P450" s="84"/>
      <c r="Q450" s="88"/>
      <c r="R450" s="102">
        <f t="shared" si="31"/>
        <v>0</v>
      </c>
      <c r="S450" s="89"/>
      <c r="T450" s="100"/>
      <c r="U450" s="86"/>
      <c r="V450" s="86"/>
      <c r="W450" s="86"/>
      <c r="X450" s="86"/>
      <c r="Y450" s="83"/>
      <c r="Z450" s="304"/>
      <c r="AA450" s="304"/>
      <c r="AB450" s="304"/>
      <c r="AC450" s="304"/>
      <c r="AD450" s="304"/>
      <c r="AE450" s="304"/>
      <c r="AF450" s="304"/>
      <c r="AG450" s="304"/>
      <c r="AH450" s="304"/>
      <c r="AI450" s="304"/>
      <c r="AJ450" s="304"/>
      <c r="AK450" s="304"/>
      <c r="AL450" s="304"/>
      <c r="AM450" s="304"/>
      <c r="AN450" s="304"/>
      <c r="AO450" s="304"/>
      <c r="AP450" s="304"/>
      <c r="AQ450" s="304"/>
      <c r="AR450" s="304"/>
      <c r="AS450" s="304"/>
      <c r="AT450" s="304"/>
      <c r="AU450" s="304"/>
      <c r="AV450" s="304"/>
      <c r="AW450" s="304"/>
      <c r="AX450" s="304"/>
      <c r="AY450" s="304"/>
      <c r="AZ450" s="304"/>
      <c r="BA450" s="304"/>
      <c r="BB450" s="304"/>
      <c r="BC450" s="304"/>
      <c r="BD450" s="304"/>
      <c r="BE450" s="304"/>
      <c r="BF450" s="304"/>
      <c r="BG450" s="304"/>
      <c r="BH450" s="304"/>
      <c r="BI450" s="304"/>
      <c r="BJ450" s="304"/>
      <c r="BK450" s="304"/>
      <c r="BL450" s="304"/>
      <c r="BM450" s="304"/>
      <c r="BN450" s="304"/>
      <c r="BO450" s="304"/>
      <c r="BP450" s="304"/>
      <c r="BQ450" s="304"/>
      <c r="BR450" s="304"/>
      <c r="BS450" s="304"/>
      <c r="BT450" s="304"/>
      <c r="BU450" s="304"/>
      <c r="BV450" s="304"/>
      <c r="BW450" s="304"/>
      <c r="BX450" s="304"/>
      <c r="BY450" s="304"/>
      <c r="BZ450" s="304"/>
      <c r="CA450" s="304"/>
      <c r="CB450" s="304"/>
      <c r="CC450" s="304"/>
      <c r="CD450" s="304"/>
      <c r="CE450" s="304"/>
      <c r="CF450" s="304"/>
      <c r="CG450" s="304"/>
      <c r="CH450" s="304"/>
      <c r="CI450" s="304"/>
      <c r="CJ450" s="304"/>
      <c r="CK450" s="304"/>
      <c r="CL450" s="304"/>
      <c r="CM450" s="304"/>
      <c r="CN450" s="304"/>
      <c r="CO450" s="304"/>
      <c r="CP450" s="304"/>
    </row>
    <row r="451" spans="1:94" s="87" customFormat="1">
      <c r="A451" s="81"/>
      <c r="B451" s="83"/>
      <c r="C451" s="82"/>
      <c r="D451" s="102"/>
      <c r="E451" s="102"/>
      <c r="F451" s="102"/>
      <c r="G451" s="83"/>
      <c r="H451" s="102"/>
      <c r="I451" s="218"/>
      <c r="J451" s="102"/>
      <c r="K451" s="102" t="str">
        <f t="shared" si="32"/>
        <v/>
      </c>
      <c r="L451" s="221"/>
      <c r="M451" s="325"/>
      <c r="N451" s="85"/>
      <c r="O451" s="327"/>
      <c r="P451" s="84"/>
      <c r="Q451" s="88"/>
      <c r="R451" s="102">
        <f t="shared" si="31"/>
        <v>0</v>
      </c>
      <c r="S451" s="89"/>
      <c r="T451" s="100"/>
      <c r="U451" s="86"/>
      <c r="V451" s="86"/>
      <c r="W451" s="86"/>
      <c r="X451" s="86"/>
      <c r="Y451" s="83"/>
      <c r="Z451" s="304"/>
      <c r="AA451" s="304"/>
      <c r="AB451" s="304"/>
      <c r="AC451" s="304"/>
      <c r="AD451" s="304"/>
      <c r="AE451" s="304"/>
      <c r="AF451" s="304"/>
      <c r="AG451" s="304"/>
      <c r="AH451" s="304"/>
      <c r="AI451" s="304"/>
      <c r="AJ451" s="304"/>
      <c r="AK451" s="304"/>
      <c r="AL451" s="304"/>
      <c r="AM451" s="304"/>
      <c r="AN451" s="304"/>
      <c r="AO451" s="304"/>
      <c r="AP451" s="304"/>
      <c r="AQ451" s="304"/>
      <c r="AR451" s="304"/>
      <c r="AS451" s="304"/>
      <c r="AT451" s="304"/>
      <c r="AU451" s="304"/>
      <c r="AV451" s="304"/>
      <c r="AW451" s="304"/>
      <c r="AX451" s="304"/>
      <c r="AY451" s="304"/>
      <c r="AZ451" s="304"/>
      <c r="BA451" s="304"/>
      <c r="BB451" s="304"/>
      <c r="BC451" s="304"/>
      <c r="BD451" s="304"/>
      <c r="BE451" s="304"/>
      <c r="BF451" s="304"/>
      <c r="BG451" s="304"/>
      <c r="BH451" s="304"/>
      <c r="BI451" s="304"/>
      <c r="BJ451" s="304"/>
      <c r="BK451" s="304"/>
      <c r="BL451" s="304"/>
      <c r="BM451" s="304"/>
      <c r="BN451" s="304"/>
      <c r="BO451" s="304"/>
      <c r="BP451" s="304"/>
      <c r="BQ451" s="304"/>
      <c r="BR451" s="304"/>
      <c r="BS451" s="304"/>
      <c r="BT451" s="304"/>
      <c r="BU451" s="304"/>
      <c r="BV451" s="304"/>
      <c r="BW451" s="304"/>
      <c r="BX451" s="304"/>
      <c r="BY451" s="304"/>
      <c r="BZ451" s="304"/>
      <c r="CA451" s="304"/>
      <c r="CB451" s="304"/>
      <c r="CC451" s="304"/>
      <c r="CD451" s="304"/>
      <c r="CE451" s="304"/>
      <c r="CF451" s="304"/>
      <c r="CG451" s="304"/>
      <c r="CH451" s="304"/>
      <c r="CI451" s="304"/>
      <c r="CJ451" s="304"/>
      <c r="CK451" s="304"/>
      <c r="CL451" s="304"/>
      <c r="CM451" s="304"/>
      <c r="CN451" s="304"/>
      <c r="CO451" s="304"/>
      <c r="CP451" s="304"/>
    </row>
    <row r="452" spans="1:94" s="87" customFormat="1">
      <c r="A452" s="81"/>
      <c r="B452" s="83"/>
      <c r="C452" s="82"/>
      <c r="D452" s="102"/>
      <c r="E452" s="102"/>
      <c r="F452" s="102"/>
      <c r="G452" s="83"/>
      <c r="H452" s="102"/>
      <c r="I452" s="218"/>
      <c r="J452" s="102"/>
      <c r="K452" s="102" t="str">
        <f t="shared" si="32"/>
        <v/>
      </c>
      <c r="L452" s="221"/>
      <c r="M452" s="325"/>
      <c r="N452" s="85"/>
      <c r="O452" s="327"/>
      <c r="P452" s="84"/>
      <c r="Q452" s="88"/>
      <c r="R452" s="102">
        <f t="shared" si="31"/>
        <v>0</v>
      </c>
      <c r="S452" s="89"/>
      <c r="T452" s="100"/>
      <c r="U452" s="86"/>
      <c r="V452" s="86"/>
      <c r="W452" s="86"/>
      <c r="X452" s="86"/>
      <c r="Y452" s="83"/>
      <c r="Z452" s="304"/>
      <c r="AA452" s="304"/>
      <c r="AB452" s="304"/>
      <c r="AC452" s="304"/>
      <c r="AD452" s="304"/>
      <c r="AE452" s="304"/>
      <c r="AF452" s="304"/>
      <c r="AG452" s="304"/>
      <c r="AH452" s="304"/>
      <c r="AI452" s="304"/>
      <c r="AJ452" s="304"/>
      <c r="AK452" s="304"/>
      <c r="AL452" s="304"/>
      <c r="AM452" s="304"/>
      <c r="AN452" s="304"/>
      <c r="AO452" s="304"/>
      <c r="AP452" s="304"/>
      <c r="AQ452" s="304"/>
      <c r="AR452" s="304"/>
      <c r="AS452" s="304"/>
      <c r="AT452" s="304"/>
      <c r="AU452" s="304"/>
      <c r="AV452" s="304"/>
      <c r="AW452" s="304"/>
      <c r="AX452" s="304"/>
      <c r="AY452" s="304"/>
      <c r="AZ452" s="304"/>
      <c r="BA452" s="304"/>
      <c r="BB452" s="304"/>
      <c r="BC452" s="304"/>
      <c r="BD452" s="304"/>
      <c r="BE452" s="304"/>
      <c r="BF452" s="304"/>
      <c r="BG452" s="304"/>
      <c r="BH452" s="304"/>
      <c r="BI452" s="304"/>
      <c r="BJ452" s="304"/>
      <c r="BK452" s="304"/>
      <c r="BL452" s="304"/>
      <c r="BM452" s="304"/>
      <c r="BN452" s="304"/>
      <c r="BO452" s="304"/>
      <c r="BP452" s="304"/>
      <c r="BQ452" s="304"/>
      <c r="BR452" s="304"/>
      <c r="BS452" s="304"/>
      <c r="BT452" s="304"/>
      <c r="BU452" s="304"/>
      <c r="BV452" s="304"/>
      <c r="BW452" s="304"/>
      <c r="BX452" s="304"/>
      <c r="BY452" s="304"/>
      <c r="BZ452" s="304"/>
      <c r="CA452" s="304"/>
      <c r="CB452" s="304"/>
      <c r="CC452" s="304"/>
      <c r="CD452" s="304"/>
      <c r="CE452" s="304"/>
      <c r="CF452" s="304"/>
      <c r="CG452" s="304"/>
      <c r="CH452" s="304"/>
      <c r="CI452" s="304"/>
      <c r="CJ452" s="304"/>
      <c r="CK452" s="304"/>
      <c r="CL452" s="304"/>
      <c r="CM452" s="304"/>
      <c r="CN452" s="304"/>
      <c r="CO452" s="304"/>
      <c r="CP452" s="304"/>
    </row>
    <row r="453" spans="1:94" s="87" customFormat="1">
      <c r="A453" s="81"/>
      <c r="B453" s="83"/>
      <c r="C453" s="82"/>
      <c r="D453" s="102"/>
      <c r="E453" s="102"/>
      <c r="F453" s="102"/>
      <c r="G453" s="83"/>
      <c r="H453" s="102"/>
      <c r="I453" s="218"/>
      <c r="J453" s="102"/>
      <c r="K453" s="102" t="str">
        <f t="shared" si="32"/>
        <v/>
      </c>
      <c r="L453" s="221"/>
      <c r="M453" s="325"/>
      <c r="N453" s="85"/>
      <c r="O453" s="327"/>
      <c r="P453" s="84"/>
      <c r="Q453" s="88"/>
      <c r="R453" s="102">
        <f t="shared" ref="R453:R500" si="33">IFERROR(SUM(F453-D453),"NA")</f>
        <v>0</v>
      </c>
      <c r="S453" s="89"/>
      <c r="T453" s="100"/>
      <c r="U453" s="86"/>
      <c r="V453" s="86"/>
      <c r="W453" s="86"/>
      <c r="X453" s="86"/>
      <c r="Y453" s="83"/>
      <c r="Z453" s="304"/>
      <c r="AA453" s="304"/>
      <c r="AB453" s="304"/>
      <c r="AC453" s="304"/>
      <c r="AD453" s="304"/>
      <c r="AE453" s="304"/>
      <c r="AF453" s="304"/>
      <c r="AG453" s="304"/>
      <c r="AH453" s="304"/>
      <c r="AI453" s="304"/>
      <c r="AJ453" s="304"/>
      <c r="AK453" s="304"/>
      <c r="AL453" s="304"/>
      <c r="AM453" s="304"/>
      <c r="AN453" s="304"/>
      <c r="AO453" s="304"/>
      <c r="AP453" s="304"/>
      <c r="AQ453" s="304"/>
      <c r="AR453" s="304"/>
      <c r="AS453" s="304"/>
      <c r="AT453" s="304"/>
      <c r="AU453" s="304"/>
      <c r="AV453" s="304"/>
      <c r="AW453" s="304"/>
      <c r="AX453" s="304"/>
      <c r="AY453" s="304"/>
      <c r="AZ453" s="304"/>
      <c r="BA453" s="304"/>
      <c r="BB453" s="304"/>
      <c r="BC453" s="304"/>
      <c r="BD453" s="304"/>
      <c r="BE453" s="304"/>
      <c r="BF453" s="304"/>
      <c r="BG453" s="304"/>
      <c r="BH453" s="304"/>
      <c r="BI453" s="304"/>
      <c r="BJ453" s="304"/>
      <c r="BK453" s="304"/>
      <c r="BL453" s="304"/>
      <c r="BM453" s="304"/>
      <c r="BN453" s="304"/>
      <c r="BO453" s="304"/>
      <c r="BP453" s="304"/>
      <c r="BQ453" s="304"/>
      <c r="BR453" s="304"/>
      <c r="BS453" s="304"/>
      <c r="BT453" s="304"/>
      <c r="BU453" s="304"/>
      <c r="BV453" s="304"/>
      <c r="BW453" s="304"/>
      <c r="BX453" s="304"/>
      <c r="BY453" s="304"/>
      <c r="BZ453" s="304"/>
      <c r="CA453" s="304"/>
      <c r="CB453" s="304"/>
      <c r="CC453" s="304"/>
      <c r="CD453" s="304"/>
      <c r="CE453" s="304"/>
      <c r="CF453" s="304"/>
      <c r="CG453" s="304"/>
      <c r="CH453" s="304"/>
      <c r="CI453" s="304"/>
      <c r="CJ453" s="304"/>
      <c r="CK453" s="304"/>
      <c r="CL453" s="304"/>
      <c r="CM453" s="304"/>
      <c r="CN453" s="304"/>
      <c r="CO453" s="304"/>
      <c r="CP453" s="304"/>
    </row>
    <row r="454" spans="1:94" s="87" customFormat="1">
      <c r="A454" s="81"/>
      <c r="B454" s="83"/>
      <c r="C454" s="82"/>
      <c r="D454" s="102"/>
      <c r="E454" s="102"/>
      <c r="F454" s="102"/>
      <c r="G454" s="83"/>
      <c r="H454" s="102"/>
      <c r="I454" s="218"/>
      <c r="J454" s="102"/>
      <c r="K454" s="102" t="str">
        <f t="shared" si="32"/>
        <v/>
      </c>
      <c r="L454" s="221"/>
      <c r="M454" s="325"/>
      <c r="N454" s="85"/>
      <c r="O454" s="327"/>
      <c r="P454" s="84"/>
      <c r="Q454" s="88"/>
      <c r="R454" s="102">
        <f t="shared" si="33"/>
        <v>0</v>
      </c>
      <c r="S454" s="89"/>
      <c r="T454" s="100"/>
      <c r="U454" s="86"/>
      <c r="V454" s="86"/>
      <c r="W454" s="86"/>
      <c r="X454" s="86"/>
      <c r="Y454" s="83"/>
      <c r="Z454" s="304"/>
      <c r="AA454" s="304"/>
      <c r="AB454" s="304"/>
      <c r="AC454" s="304"/>
      <c r="AD454" s="304"/>
      <c r="AE454" s="304"/>
      <c r="AF454" s="304"/>
      <c r="AG454" s="304"/>
      <c r="AH454" s="304"/>
      <c r="AI454" s="304"/>
      <c r="AJ454" s="304"/>
      <c r="AK454" s="304"/>
      <c r="AL454" s="304"/>
      <c r="AM454" s="304"/>
      <c r="AN454" s="304"/>
      <c r="AO454" s="304"/>
      <c r="AP454" s="304"/>
      <c r="AQ454" s="304"/>
      <c r="AR454" s="304"/>
      <c r="AS454" s="304"/>
      <c r="AT454" s="304"/>
      <c r="AU454" s="304"/>
      <c r="AV454" s="304"/>
      <c r="AW454" s="304"/>
      <c r="AX454" s="304"/>
      <c r="AY454" s="304"/>
      <c r="AZ454" s="304"/>
      <c r="BA454" s="304"/>
      <c r="BB454" s="304"/>
      <c r="BC454" s="304"/>
      <c r="BD454" s="304"/>
      <c r="BE454" s="304"/>
      <c r="BF454" s="304"/>
      <c r="BG454" s="304"/>
      <c r="BH454" s="304"/>
      <c r="BI454" s="304"/>
      <c r="BJ454" s="304"/>
      <c r="BK454" s="304"/>
      <c r="BL454" s="304"/>
      <c r="BM454" s="304"/>
      <c r="BN454" s="304"/>
      <c r="BO454" s="304"/>
      <c r="BP454" s="304"/>
      <c r="BQ454" s="304"/>
      <c r="BR454" s="304"/>
      <c r="BS454" s="304"/>
      <c r="BT454" s="304"/>
      <c r="BU454" s="304"/>
      <c r="BV454" s="304"/>
      <c r="BW454" s="304"/>
      <c r="BX454" s="304"/>
      <c r="BY454" s="304"/>
      <c r="BZ454" s="304"/>
      <c r="CA454" s="304"/>
      <c r="CB454" s="304"/>
      <c r="CC454" s="304"/>
      <c r="CD454" s="304"/>
      <c r="CE454" s="304"/>
      <c r="CF454" s="304"/>
      <c r="CG454" s="304"/>
      <c r="CH454" s="304"/>
      <c r="CI454" s="304"/>
      <c r="CJ454" s="304"/>
      <c r="CK454" s="304"/>
      <c r="CL454" s="304"/>
      <c r="CM454" s="304"/>
      <c r="CN454" s="304"/>
      <c r="CO454" s="304"/>
      <c r="CP454" s="304"/>
    </row>
    <row r="455" spans="1:94" s="87" customFormat="1">
      <c r="A455" s="81"/>
      <c r="B455" s="83"/>
      <c r="C455" s="82"/>
      <c r="D455" s="102"/>
      <c r="E455" s="102"/>
      <c r="F455" s="102"/>
      <c r="G455" s="83"/>
      <c r="H455" s="102"/>
      <c r="I455" s="218"/>
      <c r="J455" s="102"/>
      <c r="K455" s="102" t="str">
        <f t="shared" si="32"/>
        <v/>
      </c>
      <c r="L455" s="221"/>
      <c r="M455" s="325"/>
      <c r="N455" s="85"/>
      <c r="O455" s="327"/>
      <c r="P455" s="84"/>
      <c r="Q455" s="88"/>
      <c r="R455" s="102">
        <f t="shared" si="33"/>
        <v>0</v>
      </c>
      <c r="S455" s="89"/>
      <c r="T455" s="100"/>
      <c r="U455" s="86"/>
      <c r="V455" s="86"/>
      <c r="W455" s="86"/>
      <c r="X455" s="86"/>
      <c r="Y455" s="83"/>
      <c r="Z455" s="304"/>
      <c r="AA455" s="304"/>
      <c r="AB455" s="304"/>
      <c r="AC455" s="304"/>
      <c r="AD455" s="304"/>
      <c r="AE455" s="304"/>
      <c r="AF455" s="304"/>
      <c r="AG455" s="304"/>
      <c r="AH455" s="304"/>
      <c r="AI455" s="304"/>
      <c r="AJ455" s="304"/>
      <c r="AK455" s="304"/>
      <c r="AL455" s="304"/>
      <c r="AM455" s="304"/>
      <c r="AN455" s="304"/>
      <c r="AO455" s="304"/>
      <c r="AP455" s="304"/>
      <c r="AQ455" s="304"/>
      <c r="AR455" s="304"/>
      <c r="AS455" s="304"/>
      <c r="AT455" s="304"/>
      <c r="AU455" s="304"/>
      <c r="AV455" s="304"/>
      <c r="AW455" s="304"/>
      <c r="AX455" s="304"/>
      <c r="AY455" s="304"/>
      <c r="AZ455" s="304"/>
      <c r="BA455" s="304"/>
      <c r="BB455" s="304"/>
      <c r="BC455" s="304"/>
      <c r="BD455" s="304"/>
      <c r="BE455" s="304"/>
      <c r="BF455" s="304"/>
      <c r="BG455" s="304"/>
      <c r="BH455" s="304"/>
      <c r="BI455" s="304"/>
      <c r="BJ455" s="304"/>
      <c r="BK455" s="304"/>
      <c r="BL455" s="304"/>
      <c r="BM455" s="304"/>
      <c r="BN455" s="304"/>
      <c r="BO455" s="304"/>
      <c r="BP455" s="304"/>
      <c r="BQ455" s="304"/>
      <c r="BR455" s="304"/>
      <c r="BS455" s="304"/>
      <c r="BT455" s="304"/>
      <c r="BU455" s="304"/>
      <c r="BV455" s="304"/>
      <c r="BW455" s="304"/>
      <c r="BX455" s="304"/>
      <c r="BY455" s="304"/>
      <c r="BZ455" s="304"/>
      <c r="CA455" s="304"/>
      <c r="CB455" s="304"/>
      <c r="CC455" s="304"/>
      <c r="CD455" s="304"/>
      <c r="CE455" s="304"/>
      <c r="CF455" s="304"/>
      <c r="CG455" s="304"/>
      <c r="CH455" s="304"/>
      <c r="CI455" s="304"/>
      <c r="CJ455" s="304"/>
      <c r="CK455" s="304"/>
      <c r="CL455" s="304"/>
      <c r="CM455" s="304"/>
      <c r="CN455" s="304"/>
      <c r="CO455" s="304"/>
      <c r="CP455" s="304"/>
    </row>
    <row r="456" spans="1:94" s="87" customFormat="1">
      <c r="A456" s="81"/>
      <c r="B456" s="83"/>
      <c r="C456" s="82"/>
      <c r="D456" s="102"/>
      <c r="E456" s="102"/>
      <c r="F456" s="102"/>
      <c r="G456" s="83"/>
      <c r="H456" s="102"/>
      <c r="I456" s="218"/>
      <c r="J456" s="102"/>
      <c r="K456" s="102" t="str">
        <f t="shared" si="32"/>
        <v/>
      </c>
      <c r="L456" s="221"/>
      <c r="M456" s="325"/>
      <c r="N456" s="85"/>
      <c r="O456" s="327"/>
      <c r="P456" s="84"/>
      <c r="Q456" s="88"/>
      <c r="R456" s="102">
        <f t="shared" si="33"/>
        <v>0</v>
      </c>
      <c r="S456" s="89"/>
      <c r="T456" s="100"/>
      <c r="U456" s="86"/>
      <c r="V456" s="86"/>
      <c r="W456" s="86"/>
      <c r="X456" s="86"/>
      <c r="Y456" s="83"/>
      <c r="Z456" s="304"/>
      <c r="AA456" s="304"/>
      <c r="AB456" s="304"/>
      <c r="AC456" s="304"/>
      <c r="AD456" s="304"/>
      <c r="AE456" s="304"/>
      <c r="AF456" s="304"/>
      <c r="AG456" s="304"/>
      <c r="AH456" s="304"/>
      <c r="AI456" s="304"/>
      <c r="AJ456" s="304"/>
      <c r="AK456" s="304"/>
      <c r="AL456" s="304"/>
      <c r="AM456" s="304"/>
      <c r="AN456" s="304"/>
      <c r="AO456" s="304"/>
      <c r="AP456" s="304"/>
      <c r="AQ456" s="304"/>
      <c r="AR456" s="304"/>
      <c r="AS456" s="304"/>
      <c r="AT456" s="304"/>
      <c r="AU456" s="304"/>
      <c r="AV456" s="304"/>
      <c r="AW456" s="304"/>
      <c r="AX456" s="304"/>
      <c r="AY456" s="304"/>
      <c r="AZ456" s="304"/>
      <c r="BA456" s="304"/>
      <c r="BB456" s="304"/>
      <c r="BC456" s="304"/>
      <c r="BD456" s="304"/>
      <c r="BE456" s="304"/>
      <c r="BF456" s="304"/>
      <c r="BG456" s="304"/>
      <c r="BH456" s="304"/>
      <c r="BI456" s="304"/>
      <c r="BJ456" s="304"/>
      <c r="BK456" s="304"/>
      <c r="BL456" s="304"/>
      <c r="BM456" s="304"/>
      <c r="BN456" s="304"/>
      <c r="BO456" s="304"/>
      <c r="BP456" s="304"/>
      <c r="BQ456" s="304"/>
      <c r="BR456" s="304"/>
      <c r="BS456" s="304"/>
      <c r="BT456" s="304"/>
      <c r="BU456" s="304"/>
      <c r="BV456" s="304"/>
      <c r="BW456" s="304"/>
      <c r="BX456" s="304"/>
      <c r="BY456" s="304"/>
      <c r="BZ456" s="304"/>
      <c r="CA456" s="304"/>
      <c r="CB456" s="304"/>
      <c r="CC456" s="304"/>
      <c r="CD456" s="304"/>
      <c r="CE456" s="304"/>
      <c r="CF456" s="304"/>
      <c r="CG456" s="304"/>
      <c r="CH456" s="304"/>
      <c r="CI456" s="304"/>
      <c r="CJ456" s="304"/>
      <c r="CK456" s="304"/>
      <c r="CL456" s="304"/>
      <c r="CM456" s="304"/>
      <c r="CN456" s="304"/>
      <c r="CO456" s="304"/>
      <c r="CP456" s="304"/>
    </row>
    <row r="457" spans="1:94" s="87" customFormat="1">
      <c r="A457" s="81"/>
      <c r="B457" s="83"/>
      <c r="C457" s="82"/>
      <c r="D457" s="102"/>
      <c r="E457" s="102"/>
      <c r="F457" s="102"/>
      <c r="G457" s="83"/>
      <c r="H457" s="102"/>
      <c r="I457" s="218"/>
      <c r="J457" s="102"/>
      <c r="K457" s="102" t="str">
        <f t="shared" si="32"/>
        <v/>
      </c>
      <c r="L457" s="221"/>
      <c r="M457" s="325"/>
      <c r="N457" s="85"/>
      <c r="O457" s="327"/>
      <c r="P457" s="84"/>
      <c r="Q457" s="88"/>
      <c r="R457" s="102">
        <f t="shared" si="33"/>
        <v>0</v>
      </c>
      <c r="S457" s="89"/>
      <c r="T457" s="100"/>
      <c r="U457" s="86"/>
      <c r="V457" s="86"/>
      <c r="W457" s="86"/>
      <c r="X457" s="86"/>
      <c r="Y457" s="83"/>
      <c r="Z457" s="304"/>
      <c r="AA457" s="304"/>
      <c r="AB457" s="304"/>
      <c r="AC457" s="304"/>
      <c r="AD457" s="304"/>
      <c r="AE457" s="304"/>
      <c r="AF457" s="304"/>
      <c r="AG457" s="304"/>
      <c r="AH457" s="304"/>
      <c r="AI457" s="304"/>
      <c r="AJ457" s="304"/>
      <c r="AK457" s="304"/>
      <c r="AL457" s="304"/>
      <c r="AM457" s="304"/>
      <c r="AN457" s="304"/>
      <c r="AO457" s="304"/>
      <c r="AP457" s="304"/>
      <c r="AQ457" s="304"/>
      <c r="AR457" s="304"/>
      <c r="AS457" s="304"/>
      <c r="AT457" s="304"/>
      <c r="AU457" s="304"/>
      <c r="AV457" s="304"/>
      <c r="AW457" s="304"/>
      <c r="AX457" s="304"/>
      <c r="AY457" s="304"/>
      <c r="AZ457" s="304"/>
      <c r="BA457" s="304"/>
      <c r="BB457" s="304"/>
      <c r="BC457" s="304"/>
      <c r="BD457" s="304"/>
      <c r="BE457" s="304"/>
      <c r="BF457" s="304"/>
      <c r="BG457" s="304"/>
      <c r="BH457" s="304"/>
      <c r="BI457" s="304"/>
      <c r="BJ457" s="304"/>
      <c r="BK457" s="304"/>
      <c r="BL457" s="304"/>
      <c r="BM457" s="304"/>
      <c r="BN457" s="304"/>
      <c r="BO457" s="304"/>
      <c r="BP457" s="304"/>
      <c r="BQ457" s="304"/>
      <c r="BR457" s="304"/>
      <c r="BS457" s="304"/>
      <c r="BT457" s="304"/>
      <c r="BU457" s="304"/>
      <c r="BV457" s="304"/>
      <c r="BW457" s="304"/>
      <c r="BX457" s="304"/>
      <c r="BY457" s="304"/>
      <c r="BZ457" s="304"/>
      <c r="CA457" s="304"/>
      <c r="CB457" s="304"/>
      <c r="CC457" s="304"/>
      <c r="CD457" s="304"/>
      <c r="CE457" s="304"/>
      <c r="CF457" s="304"/>
      <c r="CG457" s="304"/>
      <c r="CH457" s="304"/>
      <c r="CI457" s="304"/>
      <c r="CJ457" s="304"/>
      <c r="CK457" s="304"/>
      <c r="CL457" s="304"/>
      <c r="CM457" s="304"/>
      <c r="CN457" s="304"/>
      <c r="CO457" s="304"/>
      <c r="CP457" s="304"/>
    </row>
    <row r="458" spans="1:94" s="87" customFormat="1">
      <c r="A458" s="81"/>
      <c r="B458" s="83"/>
      <c r="C458" s="82"/>
      <c r="D458" s="102"/>
      <c r="E458" s="102"/>
      <c r="F458" s="102"/>
      <c r="G458" s="83"/>
      <c r="H458" s="102"/>
      <c r="I458" s="218"/>
      <c r="J458" s="102"/>
      <c r="K458" s="102" t="str">
        <f t="shared" ref="K458:K485" si="34">IF(RIGHT(IF(LEFT(SUBSTITUTE(SUBSTITUTE(IF(ISERROR(LEFT(SUBSTITUTE(SUBSTITUTE(C458,"(",""),")",""),1)*1),SUBSTITUTE(SUBSTITUTE(C458,"(",""),")",""),SUBSTITUTE(SUBSTITUTE(SUBSTITUTE(C458,"(",""),")",""),"_","",1)),"00",""),"_0","_"),1)="0",RIGHT(SUBSTITUTE(SUBSTITUTE(IF(ISERROR(LEFT(SUBSTITUTE(SUBSTITUTE(C458,"(",""),")",""),1)*1),SUBSTITUTE(SUBSTITUTE(C458,"(",""),")",""),SUBSTITUTE(SUBSTITUTE(SUBSTITUTE(C458,"(",""),")",""),"_","",1)),"00",""),"_0","_"),LEN(SUBSTITUTE(SUBSTITUTE(IF(ISERROR(LEFT(SUBSTITUTE(SUBSTITUTE(C458,"(",""),")",""),1)*1),SUBSTITUTE(SUBSTITUTE(C458,"(",""),")",""),SUBSTITUTE(SUBSTITUTE(SUBSTITUTE(C458,"(",""),")",""),"_","",1)),"00",""),"_0","_"))-1),SUBSTITUTE(SUBSTITUTE(IF(ISERROR(LEFT(SUBSTITUTE(SUBSTITUTE(C458,"(",""),")",""),1)*1),SUBSTITUTE(SUBSTITUTE(C458,"(",""),")",""),SUBSTITUTE(SUBSTITUTE(SUBSTITUTE(C458,"(",""),")",""),"_","",1)),"00",""),"_0","_")),1)="_",LEFT(IF(LEFT(SUBSTITUTE(SUBSTITUTE(IF(ISERROR(LEFT(SUBSTITUTE(SUBSTITUTE(C458,"(",""),")",""),1)*1),SUBSTITUTE(SUBSTITUTE(C458,"(",""),")",""),SUBSTITUTE(SUBSTITUTE(SUBSTITUTE(C458,"(",""),")",""),"_","",1)),"00",""),"_0","_"),1)="0",RIGHT(SUBSTITUTE(SUBSTITUTE(IF(ISERROR(LEFT(SUBSTITUTE(SUBSTITUTE(C458,"(",""),")",""),1)*1),SUBSTITUTE(SUBSTITUTE(C458,"(",""),")",""),SUBSTITUTE(SUBSTITUTE(SUBSTITUTE(C458,"(",""),")",""),"_","",1)),"00",""),"_0","_"),LEN(SUBSTITUTE(SUBSTITUTE(IF(ISERROR(LEFT(SUBSTITUTE(SUBSTITUTE(C458,"(",""),")",""),1)*1),SUBSTITUTE(SUBSTITUTE(C458,"(",""),")",""),SUBSTITUTE(SUBSTITUTE(SUBSTITUTE(C458,"(",""),")",""),"_","",1)),"00",""),"_0","_"))-1),SUBSTITUTE(SUBSTITUTE(IF(ISERROR(LEFT(SUBSTITUTE(SUBSTITUTE(C458,"(",""),")",""),1)*1),SUBSTITUTE(SUBSTITUTE(C458,"(",""),")",""),SUBSTITUTE(SUBSTITUTE(SUBSTITUTE(C458,"(",""),")",""),"_","",1)),"00",""),"_0","_")),LEN(IF(LEFT(SUBSTITUTE(SUBSTITUTE(IF(ISERROR(LEFT(SUBSTITUTE(SUBSTITUTE(C458,"(",""),")",""),1)*1),SUBSTITUTE(SUBSTITUTE(C458,"(",""),")",""),SUBSTITUTE(SUBSTITUTE(SUBSTITUTE(C458,"(",""),")",""),"_","",1)),"00",""),"_0","_"),1)="0",RIGHT(SUBSTITUTE(SUBSTITUTE(IF(ISERROR(LEFT(SUBSTITUTE(SUBSTITUTE(C458,"(",""),")",""),1)*1),SUBSTITUTE(SUBSTITUTE(C458,"(",""),")",""),SUBSTITUTE(SUBSTITUTE(SUBSTITUTE(C458,"(",""),")",""),"_","",1)),"00",""),"_0","_"),LEN(SUBSTITUTE(SUBSTITUTE(IF(ISERROR(LEFT(SUBSTITUTE(SUBSTITUTE(C458,"(",""),")",""),1)*1),SUBSTITUTE(SUBSTITUTE(C458,"(",""),")",""),SUBSTITUTE(SUBSTITUTE(SUBSTITUTE(C458,"(",""),")",""),"_","",1)),"00",""),"_0","_"))-1),SUBSTITUTE(SUBSTITUTE(IF(ISERROR(LEFT(SUBSTITUTE(SUBSTITUTE(C458,"(",""),")",""),1)*1),SUBSTITUTE(SUBSTITUTE(C458,"(",""),")",""),SUBSTITUTE(SUBSTITUTE(SUBSTITUTE(C458,"(",""),")",""),"_","",1)),"00",""),"_0","_")))-1),IF(LEFT(SUBSTITUTE(SUBSTITUTE(IF(ISERROR(LEFT(SUBSTITUTE(SUBSTITUTE(C458,"(",""),")",""),1)*1),SUBSTITUTE(SUBSTITUTE(C458,"(",""),")",""),SUBSTITUTE(SUBSTITUTE(SUBSTITUTE(C458,"(",""),")",""),"_","",1)),"00",""),"_0","_"),1)="0",RIGHT(SUBSTITUTE(SUBSTITUTE(IF(ISERROR(LEFT(SUBSTITUTE(SUBSTITUTE(C458,"(",""),")",""),1)*1),SUBSTITUTE(SUBSTITUTE(C458,"(",""),")",""),SUBSTITUTE(SUBSTITUTE(SUBSTITUTE(C458,"(",""),")",""),"_","",1)),"00",""),"_0","_"),LEN(SUBSTITUTE(SUBSTITUTE(IF(ISERROR(LEFT(SUBSTITUTE(SUBSTITUTE(C458,"(",""),")",""),1)*1),SUBSTITUTE(SUBSTITUTE(C458,"(",""),")",""),SUBSTITUTE(SUBSTITUTE(SUBSTITUTE(C458,"(",""),")",""),"_","",1)),"00",""),"_0","_"))-1),SUBSTITUTE(SUBSTITUTE(IF(ISERROR(LEFT(SUBSTITUTE(SUBSTITUTE(C458,"(",""),")",""),1)*1),SUBSTITUTE(SUBSTITUTE(C458,"(",""),")",""),SUBSTITUTE(SUBSTITUTE(SUBSTITUTE(C458,"(",""),")",""),"_","",1)),"00",""),"_0","_")))</f>
        <v/>
      </c>
      <c r="L458" s="221"/>
      <c r="M458" s="325"/>
      <c r="N458" s="85"/>
      <c r="O458" s="327"/>
      <c r="P458" s="84"/>
      <c r="Q458" s="88"/>
      <c r="R458" s="102">
        <f t="shared" si="33"/>
        <v>0</v>
      </c>
      <c r="S458" s="89"/>
      <c r="T458" s="100"/>
      <c r="U458" s="86"/>
      <c r="V458" s="86"/>
      <c r="W458" s="86"/>
      <c r="X458" s="86"/>
      <c r="Y458" s="83"/>
      <c r="Z458" s="304"/>
      <c r="AA458" s="304"/>
      <c r="AB458" s="304"/>
      <c r="AC458" s="304"/>
      <c r="AD458" s="304"/>
      <c r="AE458" s="304"/>
      <c r="AF458" s="304"/>
      <c r="AG458" s="304"/>
      <c r="AH458" s="304"/>
      <c r="AI458" s="304"/>
      <c r="AJ458" s="304"/>
      <c r="AK458" s="304"/>
      <c r="AL458" s="304"/>
      <c r="AM458" s="304"/>
      <c r="AN458" s="304"/>
      <c r="AO458" s="304"/>
      <c r="AP458" s="304"/>
      <c r="AQ458" s="304"/>
      <c r="AR458" s="304"/>
      <c r="AS458" s="304"/>
      <c r="AT458" s="304"/>
      <c r="AU458" s="304"/>
      <c r="AV458" s="304"/>
      <c r="AW458" s="304"/>
      <c r="AX458" s="304"/>
      <c r="AY458" s="304"/>
      <c r="AZ458" s="304"/>
      <c r="BA458" s="304"/>
      <c r="BB458" s="304"/>
      <c r="BC458" s="304"/>
      <c r="BD458" s="304"/>
      <c r="BE458" s="304"/>
      <c r="BF458" s="304"/>
      <c r="BG458" s="304"/>
      <c r="BH458" s="304"/>
      <c r="BI458" s="304"/>
      <c r="BJ458" s="304"/>
      <c r="BK458" s="304"/>
      <c r="BL458" s="304"/>
      <c r="BM458" s="304"/>
      <c r="BN458" s="304"/>
      <c r="BO458" s="304"/>
      <c r="BP458" s="304"/>
      <c r="BQ458" s="304"/>
      <c r="BR458" s="304"/>
      <c r="BS458" s="304"/>
      <c r="BT458" s="304"/>
      <c r="BU458" s="304"/>
      <c r="BV458" s="304"/>
      <c r="BW458" s="304"/>
      <c r="BX458" s="304"/>
      <c r="BY458" s="304"/>
      <c r="BZ458" s="304"/>
      <c r="CA458" s="304"/>
      <c r="CB458" s="304"/>
      <c r="CC458" s="304"/>
      <c r="CD458" s="304"/>
      <c r="CE458" s="304"/>
      <c r="CF458" s="304"/>
      <c r="CG458" s="304"/>
      <c r="CH458" s="304"/>
      <c r="CI458" s="304"/>
      <c r="CJ458" s="304"/>
      <c r="CK458" s="304"/>
      <c r="CL458" s="304"/>
      <c r="CM458" s="304"/>
      <c r="CN458" s="304"/>
      <c r="CO458" s="304"/>
      <c r="CP458" s="304"/>
    </row>
    <row r="459" spans="1:94" s="87" customFormat="1">
      <c r="A459" s="81"/>
      <c r="B459" s="83"/>
      <c r="C459" s="82"/>
      <c r="D459" s="102"/>
      <c r="E459" s="102"/>
      <c r="F459" s="102"/>
      <c r="G459" s="83"/>
      <c r="H459" s="102"/>
      <c r="I459" s="218"/>
      <c r="J459" s="102"/>
      <c r="K459" s="102" t="str">
        <f t="shared" si="34"/>
        <v/>
      </c>
      <c r="L459" s="221"/>
      <c r="M459" s="325"/>
      <c r="N459" s="85"/>
      <c r="O459" s="327"/>
      <c r="P459" s="84"/>
      <c r="Q459" s="88"/>
      <c r="R459" s="102">
        <f t="shared" si="33"/>
        <v>0</v>
      </c>
      <c r="S459" s="89"/>
      <c r="T459" s="100"/>
      <c r="U459" s="86"/>
      <c r="V459" s="86"/>
      <c r="W459" s="86"/>
      <c r="X459" s="86"/>
      <c r="Y459" s="83"/>
      <c r="Z459" s="304"/>
      <c r="AA459" s="304"/>
      <c r="AB459" s="304"/>
      <c r="AC459" s="304"/>
      <c r="AD459" s="304"/>
      <c r="AE459" s="304"/>
      <c r="AF459" s="304"/>
      <c r="AG459" s="304"/>
      <c r="AH459" s="304"/>
      <c r="AI459" s="304"/>
      <c r="AJ459" s="304"/>
      <c r="AK459" s="304"/>
      <c r="AL459" s="304"/>
      <c r="AM459" s="304"/>
      <c r="AN459" s="304"/>
      <c r="AO459" s="304"/>
      <c r="AP459" s="304"/>
      <c r="AQ459" s="304"/>
      <c r="AR459" s="304"/>
      <c r="AS459" s="304"/>
      <c r="AT459" s="304"/>
      <c r="AU459" s="304"/>
      <c r="AV459" s="304"/>
      <c r="AW459" s="304"/>
      <c r="AX459" s="304"/>
      <c r="AY459" s="304"/>
      <c r="AZ459" s="304"/>
      <c r="BA459" s="304"/>
      <c r="BB459" s="304"/>
      <c r="BC459" s="304"/>
      <c r="BD459" s="304"/>
      <c r="BE459" s="304"/>
      <c r="BF459" s="304"/>
      <c r="BG459" s="304"/>
      <c r="BH459" s="304"/>
      <c r="BI459" s="304"/>
      <c r="BJ459" s="304"/>
      <c r="BK459" s="304"/>
      <c r="BL459" s="304"/>
      <c r="BM459" s="304"/>
      <c r="BN459" s="304"/>
      <c r="BO459" s="304"/>
      <c r="BP459" s="304"/>
      <c r="BQ459" s="304"/>
      <c r="BR459" s="304"/>
      <c r="BS459" s="304"/>
      <c r="BT459" s="304"/>
      <c r="BU459" s="304"/>
      <c r="BV459" s="304"/>
      <c r="BW459" s="304"/>
      <c r="BX459" s="304"/>
      <c r="BY459" s="304"/>
      <c r="BZ459" s="304"/>
      <c r="CA459" s="304"/>
      <c r="CB459" s="304"/>
      <c r="CC459" s="304"/>
      <c r="CD459" s="304"/>
      <c r="CE459" s="304"/>
      <c r="CF459" s="304"/>
      <c r="CG459" s="304"/>
      <c r="CH459" s="304"/>
      <c r="CI459" s="304"/>
      <c r="CJ459" s="304"/>
      <c r="CK459" s="304"/>
      <c r="CL459" s="304"/>
      <c r="CM459" s="304"/>
      <c r="CN459" s="304"/>
      <c r="CO459" s="304"/>
      <c r="CP459" s="304"/>
    </row>
    <row r="460" spans="1:94" s="87" customFormat="1">
      <c r="A460" s="81"/>
      <c r="B460" s="83"/>
      <c r="C460" s="82"/>
      <c r="D460" s="102"/>
      <c r="E460" s="102"/>
      <c r="F460" s="102"/>
      <c r="G460" s="83"/>
      <c r="H460" s="102"/>
      <c r="I460" s="218"/>
      <c r="J460" s="102"/>
      <c r="K460" s="102" t="str">
        <f t="shared" si="34"/>
        <v/>
      </c>
      <c r="L460" s="221"/>
      <c r="M460" s="325"/>
      <c r="N460" s="85"/>
      <c r="O460" s="327"/>
      <c r="P460" s="84"/>
      <c r="Q460" s="88"/>
      <c r="R460" s="102">
        <f t="shared" si="33"/>
        <v>0</v>
      </c>
      <c r="S460" s="89"/>
      <c r="T460" s="100"/>
      <c r="U460" s="86"/>
      <c r="V460" s="86"/>
      <c r="W460" s="86"/>
      <c r="X460" s="86"/>
      <c r="Y460" s="83"/>
      <c r="Z460" s="304"/>
      <c r="AA460" s="304"/>
      <c r="AB460" s="304"/>
      <c r="AC460" s="304"/>
      <c r="AD460" s="304"/>
      <c r="AE460" s="304"/>
      <c r="AF460" s="304"/>
      <c r="AG460" s="304"/>
      <c r="AH460" s="304"/>
      <c r="AI460" s="304"/>
      <c r="AJ460" s="304"/>
      <c r="AK460" s="304"/>
      <c r="AL460" s="304"/>
      <c r="AM460" s="304"/>
      <c r="AN460" s="304"/>
      <c r="AO460" s="304"/>
      <c r="AP460" s="304"/>
      <c r="AQ460" s="304"/>
      <c r="AR460" s="304"/>
      <c r="AS460" s="304"/>
      <c r="AT460" s="304"/>
      <c r="AU460" s="304"/>
      <c r="AV460" s="304"/>
      <c r="AW460" s="304"/>
      <c r="AX460" s="304"/>
      <c r="AY460" s="304"/>
      <c r="AZ460" s="304"/>
      <c r="BA460" s="304"/>
      <c r="BB460" s="304"/>
      <c r="BC460" s="304"/>
      <c r="BD460" s="304"/>
      <c r="BE460" s="304"/>
      <c r="BF460" s="304"/>
      <c r="BG460" s="304"/>
      <c r="BH460" s="304"/>
      <c r="BI460" s="304"/>
      <c r="BJ460" s="304"/>
      <c r="BK460" s="304"/>
      <c r="BL460" s="304"/>
      <c r="BM460" s="304"/>
      <c r="BN460" s="304"/>
      <c r="BO460" s="304"/>
      <c r="BP460" s="304"/>
      <c r="BQ460" s="304"/>
      <c r="BR460" s="304"/>
      <c r="BS460" s="304"/>
      <c r="BT460" s="304"/>
      <c r="BU460" s="304"/>
      <c r="BV460" s="304"/>
      <c r="BW460" s="304"/>
      <c r="BX460" s="304"/>
      <c r="BY460" s="304"/>
      <c r="BZ460" s="304"/>
      <c r="CA460" s="304"/>
      <c r="CB460" s="304"/>
      <c r="CC460" s="304"/>
      <c r="CD460" s="304"/>
      <c r="CE460" s="304"/>
      <c r="CF460" s="304"/>
      <c r="CG460" s="304"/>
      <c r="CH460" s="304"/>
      <c r="CI460" s="304"/>
      <c r="CJ460" s="304"/>
      <c r="CK460" s="304"/>
      <c r="CL460" s="304"/>
      <c r="CM460" s="304"/>
      <c r="CN460" s="304"/>
      <c r="CO460" s="304"/>
      <c r="CP460" s="304"/>
    </row>
    <row r="461" spans="1:94" s="87" customFormat="1">
      <c r="A461" s="81"/>
      <c r="B461" s="83"/>
      <c r="C461" s="82"/>
      <c r="D461" s="102"/>
      <c r="E461" s="102"/>
      <c r="F461" s="102"/>
      <c r="G461" s="83"/>
      <c r="H461" s="102"/>
      <c r="I461" s="218"/>
      <c r="J461" s="102"/>
      <c r="K461" s="102" t="str">
        <f t="shared" si="34"/>
        <v/>
      </c>
      <c r="L461" s="221"/>
      <c r="M461" s="325"/>
      <c r="N461" s="85"/>
      <c r="O461" s="327"/>
      <c r="P461" s="84"/>
      <c r="Q461" s="88"/>
      <c r="R461" s="102">
        <f t="shared" si="33"/>
        <v>0</v>
      </c>
      <c r="S461" s="89"/>
      <c r="T461" s="100"/>
      <c r="U461" s="86"/>
      <c r="V461" s="86"/>
      <c r="W461" s="86"/>
      <c r="X461" s="86"/>
      <c r="Y461" s="83"/>
      <c r="Z461" s="304"/>
      <c r="AA461" s="304"/>
      <c r="AB461" s="304"/>
      <c r="AC461" s="304"/>
      <c r="AD461" s="304"/>
      <c r="AE461" s="304"/>
      <c r="AF461" s="304"/>
      <c r="AG461" s="304"/>
      <c r="AH461" s="304"/>
      <c r="AI461" s="304"/>
      <c r="AJ461" s="304"/>
      <c r="AK461" s="304"/>
      <c r="AL461" s="304"/>
      <c r="AM461" s="304"/>
      <c r="AN461" s="304"/>
      <c r="AO461" s="304"/>
      <c r="AP461" s="304"/>
      <c r="AQ461" s="304"/>
      <c r="AR461" s="304"/>
      <c r="AS461" s="304"/>
      <c r="AT461" s="304"/>
      <c r="AU461" s="304"/>
      <c r="AV461" s="304"/>
      <c r="AW461" s="304"/>
      <c r="AX461" s="304"/>
      <c r="AY461" s="304"/>
      <c r="AZ461" s="304"/>
      <c r="BA461" s="304"/>
      <c r="BB461" s="304"/>
      <c r="BC461" s="304"/>
      <c r="BD461" s="304"/>
      <c r="BE461" s="304"/>
      <c r="BF461" s="304"/>
      <c r="BG461" s="304"/>
      <c r="BH461" s="304"/>
      <c r="BI461" s="304"/>
      <c r="BJ461" s="304"/>
      <c r="BK461" s="304"/>
      <c r="BL461" s="304"/>
      <c r="BM461" s="304"/>
      <c r="BN461" s="304"/>
      <c r="BO461" s="304"/>
      <c r="BP461" s="304"/>
      <c r="BQ461" s="304"/>
      <c r="BR461" s="304"/>
      <c r="BS461" s="304"/>
      <c r="BT461" s="304"/>
      <c r="BU461" s="304"/>
      <c r="BV461" s="304"/>
      <c r="BW461" s="304"/>
      <c r="BX461" s="304"/>
      <c r="BY461" s="304"/>
      <c r="BZ461" s="304"/>
      <c r="CA461" s="304"/>
      <c r="CB461" s="304"/>
      <c r="CC461" s="304"/>
      <c r="CD461" s="304"/>
      <c r="CE461" s="304"/>
      <c r="CF461" s="304"/>
      <c r="CG461" s="304"/>
      <c r="CH461" s="304"/>
      <c r="CI461" s="304"/>
      <c r="CJ461" s="304"/>
      <c r="CK461" s="304"/>
      <c r="CL461" s="304"/>
      <c r="CM461" s="304"/>
      <c r="CN461" s="304"/>
      <c r="CO461" s="304"/>
      <c r="CP461" s="304"/>
    </row>
    <row r="462" spans="1:94" s="87" customFormat="1">
      <c r="A462" s="81"/>
      <c r="B462" s="83"/>
      <c r="C462" s="82"/>
      <c r="D462" s="102"/>
      <c r="E462" s="102"/>
      <c r="F462" s="102"/>
      <c r="G462" s="83"/>
      <c r="H462" s="102"/>
      <c r="I462" s="218"/>
      <c r="J462" s="102"/>
      <c r="K462" s="102" t="str">
        <f t="shared" si="34"/>
        <v/>
      </c>
      <c r="L462" s="221"/>
      <c r="M462" s="325"/>
      <c r="N462" s="85"/>
      <c r="O462" s="327"/>
      <c r="P462" s="84"/>
      <c r="Q462" s="88"/>
      <c r="R462" s="102">
        <f t="shared" si="33"/>
        <v>0</v>
      </c>
      <c r="S462" s="89"/>
      <c r="T462" s="100"/>
      <c r="U462" s="86"/>
      <c r="V462" s="86"/>
      <c r="W462" s="86"/>
      <c r="X462" s="86"/>
      <c r="Y462" s="83"/>
      <c r="Z462" s="304"/>
      <c r="AA462" s="304"/>
      <c r="AB462" s="304"/>
      <c r="AC462" s="304"/>
      <c r="AD462" s="304"/>
      <c r="AE462" s="304"/>
      <c r="AF462" s="304"/>
      <c r="AG462" s="304"/>
      <c r="AH462" s="304"/>
      <c r="AI462" s="304"/>
      <c r="AJ462" s="304"/>
      <c r="AK462" s="304"/>
      <c r="AL462" s="304"/>
      <c r="AM462" s="304"/>
      <c r="AN462" s="304"/>
      <c r="AO462" s="304"/>
      <c r="AP462" s="304"/>
      <c r="AQ462" s="304"/>
      <c r="AR462" s="304"/>
      <c r="AS462" s="304"/>
      <c r="AT462" s="304"/>
      <c r="AU462" s="304"/>
      <c r="AV462" s="304"/>
      <c r="AW462" s="304"/>
      <c r="AX462" s="304"/>
      <c r="AY462" s="304"/>
      <c r="AZ462" s="304"/>
      <c r="BA462" s="304"/>
      <c r="BB462" s="304"/>
      <c r="BC462" s="304"/>
      <c r="BD462" s="304"/>
      <c r="BE462" s="304"/>
      <c r="BF462" s="304"/>
      <c r="BG462" s="304"/>
      <c r="BH462" s="304"/>
      <c r="BI462" s="304"/>
      <c r="BJ462" s="304"/>
      <c r="BK462" s="304"/>
      <c r="BL462" s="304"/>
      <c r="BM462" s="304"/>
      <c r="BN462" s="304"/>
      <c r="BO462" s="304"/>
      <c r="BP462" s="304"/>
      <c r="BQ462" s="304"/>
      <c r="BR462" s="304"/>
      <c r="BS462" s="304"/>
      <c r="BT462" s="304"/>
      <c r="BU462" s="304"/>
      <c r="BV462" s="304"/>
      <c r="BW462" s="304"/>
      <c r="BX462" s="304"/>
      <c r="BY462" s="304"/>
      <c r="BZ462" s="304"/>
      <c r="CA462" s="304"/>
      <c r="CB462" s="304"/>
      <c r="CC462" s="304"/>
      <c r="CD462" s="304"/>
      <c r="CE462" s="304"/>
      <c r="CF462" s="304"/>
      <c r="CG462" s="304"/>
      <c r="CH462" s="304"/>
      <c r="CI462" s="304"/>
      <c r="CJ462" s="304"/>
      <c r="CK462" s="304"/>
      <c r="CL462" s="304"/>
      <c r="CM462" s="304"/>
      <c r="CN462" s="304"/>
      <c r="CO462" s="304"/>
      <c r="CP462" s="304"/>
    </row>
    <row r="463" spans="1:94" s="87" customFormat="1">
      <c r="A463" s="81"/>
      <c r="B463" s="83"/>
      <c r="C463" s="82"/>
      <c r="D463" s="102"/>
      <c r="E463" s="102"/>
      <c r="F463" s="102"/>
      <c r="G463" s="83"/>
      <c r="H463" s="102"/>
      <c r="I463" s="218"/>
      <c r="J463" s="102"/>
      <c r="K463" s="102" t="str">
        <f t="shared" si="34"/>
        <v/>
      </c>
      <c r="L463" s="221"/>
      <c r="M463" s="325"/>
      <c r="N463" s="85"/>
      <c r="O463" s="327"/>
      <c r="P463" s="84"/>
      <c r="Q463" s="88"/>
      <c r="R463" s="102">
        <f t="shared" si="33"/>
        <v>0</v>
      </c>
      <c r="S463" s="89"/>
      <c r="T463" s="100"/>
      <c r="U463" s="86"/>
      <c r="V463" s="86"/>
      <c r="W463" s="86"/>
      <c r="X463" s="86"/>
      <c r="Y463" s="83"/>
      <c r="Z463" s="304"/>
      <c r="AA463" s="304"/>
      <c r="AB463" s="304"/>
      <c r="AC463" s="304"/>
      <c r="AD463" s="304"/>
      <c r="AE463" s="304"/>
      <c r="AF463" s="304"/>
      <c r="AG463" s="304"/>
      <c r="AH463" s="304"/>
      <c r="AI463" s="304"/>
      <c r="AJ463" s="304"/>
      <c r="AK463" s="304"/>
      <c r="AL463" s="304"/>
      <c r="AM463" s="304"/>
      <c r="AN463" s="304"/>
      <c r="AO463" s="304"/>
      <c r="AP463" s="304"/>
      <c r="AQ463" s="304"/>
      <c r="AR463" s="304"/>
      <c r="AS463" s="304"/>
      <c r="AT463" s="304"/>
      <c r="AU463" s="304"/>
      <c r="AV463" s="304"/>
      <c r="AW463" s="304"/>
      <c r="AX463" s="304"/>
      <c r="AY463" s="304"/>
      <c r="AZ463" s="304"/>
      <c r="BA463" s="304"/>
      <c r="BB463" s="304"/>
      <c r="BC463" s="304"/>
      <c r="BD463" s="304"/>
      <c r="BE463" s="304"/>
      <c r="BF463" s="304"/>
      <c r="BG463" s="304"/>
      <c r="BH463" s="304"/>
      <c r="BI463" s="304"/>
      <c r="BJ463" s="304"/>
      <c r="BK463" s="304"/>
      <c r="BL463" s="304"/>
      <c r="BM463" s="304"/>
      <c r="BN463" s="304"/>
      <c r="BO463" s="304"/>
      <c r="BP463" s="304"/>
      <c r="BQ463" s="304"/>
      <c r="BR463" s="304"/>
      <c r="BS463" s="304"/>
      <c r="BT463" s="304"/>
      <c r="BU463" s="304"/>
      <c r="BV463" s="304"/>
      <c r="BW463" s="304"/>
      <c r="BX463" s="304"/>
      <c r="BY463" s="304"/>
      <c r="BZ463" s="304"/>
      <c r="CA463" s="304"/>
      <c r="CB463" s="304"/>
      <c r="CC463" s="304"/>
      <c r="CD463" s="304"/>
      <c r="CE463" s="304"/>
      <c r="CF463" s="304"/>
      <c r="CG463" s="304"/>
      <c r="CH463" s="304"/>
      <c r="CI463" s="304"/>
      <c r="CJ463" s="304"/>
      <c r="CK463" s="304"/>
      <c r="CL463" s="304"/>
      <c r="CM463" s="304"/>
      <c r="CN463" s="304"/>
      <c r="CO463" s="304"/>
      <c r="CP463" s="304"/>
    </row>
    <row r="464" spans="1:94" s="87" customFormat="1">
      <c r="A464" s="81"/>
      <c r="B464" s="83"/>
      <c r="C464" s="82"/>
      <c r="D464" s="102"/>
      <c r="E464" s="102"/>
      <c r="F464" s="102"/>
      <c r="G464" s="83"/>
      <c r="H464" s="102"/>
      <c r="I464" s="218"/>
      <c r="J464" s="102"/>
      <c r="K464" s="102" t="str">
        <f t="shared" si="34"/>
        <v/>
      </c>
      <c r="L464" s="221"/>
      <c r="M464" s="325"/>
      <c r="N464" s="85"/>
      <c r="O464" s="327"/>
      <c r="P464" s="84"/>
      <c r="Q464" s="88"/>
      <c r="R464" s="102">
        <f t="shared" si="33"/>
        <v>0</v>
      </c>
      <c r="S464" s="89"/>
      <c r="T464" s="100"/>
      <c r="U464" s="86"/>
      <c r="V464" s="86"/>
      <c r="W464" s="86"/>
      <c r="X464" s="86"/>
      <c r="Y464" s="83"/>
      <c r="Z464" s="304"/>
      <c r="AA464" s="304"/>
      <c r="AB464" s="304"/>
      <c r="AC464" s="304"/>
      <c r="AD464" s="304"/>
      <c r="AE464" s="304"/>
      <c r="AF464" s="304"/>
      <c r="AG464" s="304"/>
      <c r="AH464" s="304"/>
      <c r="AI464" s="304"/>
      <c r="AJ464" s="304"/>
      <c r="AK464" s="304"/>
      <c r="AL464" s="304"/>
      <c r="AM464" s="304"/>
      <c r="AN464" s="304"/>
      <c r="AO464" s="304"/>
      <c r="AP464" s="304"/>
      <c r="AQ464" s="304"/>
      <c r="AR464" s="304"/>
      <c r="AS464" s="304"/>
      <c r="AT464" s="304"/>
      <c r="AU464" s="304"/>
      <c r="AV464" s="304"/>
      <c r="AW464" s="304"/>
      <c r="AX464" s="304"/>
      <c r="AY464" s="304"/>
      <c r="AZ464" s="304"/>
      <c r="BA464" s="304"/>
      <c r="BB464" s="304"/>
      <c r="BC464" s="304"/>
      <c r="BD464" s="304"/>
      <c r="BE464" s="304"/>
      <c r="BF464" s="304"/>
      <c r="BG464" s="304"/>
      <c r="BH464" s="304"/>
      <c r="BI464" s="304"/>
      <c r="BJ464" s="304"/>
      <c r="BK464" s="304"/>
      <c r="BL464" s="304"/>
      <c r="BM464" s="304"/>
      <c r="BN464" s="304"/>
      <c r="BO464" s="304"/>
      <c r="BP464" s="304"/>
      <c r="BQ464" s="304"/>
      <c r="BR464" s="304"/>
      <c r="BS464" s="304"/>
      <c r="BT464" s="304"/>
      <c r="BU464" s="304"/>
      <c r="BV464" s="304"/>
      <c r="BW464" s="304"/>
      <c r="BX464" s="304"/>
      <c r="BY464" s="304"/>
      <c r="BZ464" s="304"/>
      <c r="CA464" s="304"/>
      <c r="CB464" s="304"/>
      <c r="CC464" s="304"/>
      <c r="CD464" s="304"/>
      <c r="CE464" s="304"/>
      <c r="CF464" s="304"/>
      <c r="CG464" s="304"/>
      <c r="CH464" s="304"/>
      <c r="CI464" s="304"/>
      <c r="CJ464" s="304"/>
      <c r="CK464" s="304"/>
      <c r="CL464" s="304"/>
      <c r="CM464" s="304"/>
      <c r="CN464" s="304"/>
      <c r="CO464" s="304"/>
      <c r="CP464" s="304"/>
    </row>
    <row r="465" spans="1:94" s="87" customFormat="1">
      <c r="A465" s="81"/>
      <c r="B465" s="83"/>
      <c r="C465" s="82"/>
      <c r="D465" s="102"/>
      <c r="E465" s="102"/>
      <c r="F465" s="102"/>
      <c r="G465" s="83"/>
      <c r="H465" s="102"/>
      <c r="I465" s="218"/>
      <c r="J465" s="102"/>
      <c r="K465" s="102" t="str">
        <f t="shared" si="34"/>
        <v/>
      </c>
      <c r="L465" s="221"/>
      <c r="M465" s="325"/>
      <c r="N465" s="85"/>
      <c r="O465" s="327"/>
      <c r="P465" s="84"/>
      <c r="Q465" s="88"/>
      <c r="R465" s="102">
        <f t="shared" si="33"/>
        <v>0</v>
      </c>
      <c r="S465" s="89"/>
      <c r="T465" s="100"/>
      <c r="U465" s="86"/>
      <c r="V465" s="86"/>
      <c r="W465" s="86"/>
      <c r="X465" s="86"/>
      <c r="Y465" s="83"/>
      <c r="Z465" s="304"/>
      <c r="AA465" s="304"/>
      <c r="AB465" s="304"/>
      <c r="AC465" s="304"/>
      <c r="AD465" s="304"/>
      <c r="AE465" s="304"/>
      <c r="AF465" s="304"/>
      <c r="AG465" s="304"/>
      <c r="AH465" s="304"/>
      <c r="AI465" s="304"/>
      <c r="AJ465" s="304"/>
      <c r="AK465" s="304"/>
      <c r="AL465" s="304"/>
      <c r="AM465" s="304"/>
      <c r="AN465" s="304"/>
      <c r="AO465" s="304"/>
      <c r="AP465" s="304"/>
      <c r="AQ465" s="304"/>
      <c r="AR465" s="304"/>
      <c r="AS465" s="304"/>
      <c r="AT465" s="304"/>
      <c r="AU465" s="304"/>
      <c r="AV465" s="304"/>
      <c r="AW465" s="304"/>
      <c r="AX465" s="304"/>
      <c r="AY465" s="304"/>
      <c r="AZ465" s="304"/>
      <c r="BA465" s="304"/>
      <c r="BB465" s="304"/>
      <c r="BC465" s="304"/>
      <c r="BD465" s="304"/>
      <c r="BE465" s="304"/>
      <c r="BF465" s="304"/>
      <c r="BG465" s="304"/>
      <c r="BH465" s="304"/>
      <c r="BI465" s="304"/>
      <c r="BJ465" s="304"/>
      <c r="BK465" s="304"/>
      <c r="BL465" s="304"/>
      <c r="BM465" s="304"/>
      <c r="BN465" s="304"/>
      <c r="BO465" s="304"/>
      <c r="BP465" s="304"/>
      <c r="BQ465" s="304"/>
      <c r="BR465" s="304"/>
      <c r="BS465" s="304"/>
      <c r="BT465" s="304"/>
      <c r="BU465" s="304"/>
      <c r="BV465" s="304"/>
      <c r="BW465" s="304"/>
      <c r="BX465" s="304"/>
      <c r="BY465" s="304"/>
      <c r="BZ465" s="304"/>
      <c r="CA465" s="304"/>
      <c r="CB465" s="304"/>
      <c r="CC465" s="304"/>
      <c r="CD465" s="304"/>
      <c r="CE465" s="304"/>
      <c r="CF465" s="304"/>
      <c r="CG465" s="304"/>
      <c r="CH465" s="304"/>
      <c r="CI465" s="304"/>
      <c r="CJ465" s="304"/>
      <c r="CK465" s="304"/>
      <c r="CL465" s="304"/>
      <c r="CM465" s="304"/>
      <c r="CN465" s="304"/>
      <c r="CO465" s="304"/>
      <c r="CP465" s="304"/>
    </row>
    <row r="466" spans="1:94" s="87" customFormat="1">
      <c r="A466" s="81"/>
      <c r="B466" s="83"/>
      <c r="C466" s="82"/>
      <c r="D466" s="102"/>
      <c r="E466" s="102"/>
      <c r="F466" s="102"/>
      <c r="G466" s="83"/>
      <c r="H466" s="102"/>
      <c r="I466" s="218"/>
      <c r="J466" s="102"/>
      <c r="K466" s="102" t="str">
        <f t="shared" si="34"/>
        <v/>
      </c>
      <c r="L466" s="221"/>
      <c r="M466" s="325"/>
      <c r="N466" s="85"/>
      <c r="O466" s="327"/>
      <c r="P466" s="84"/>
      <c r="Q466" s="88"/>
      <c r="R466" s="102">
        <f t="shared" si="33"/>
        <v>0</v>
      </c>
      <c r="S466" s="89"/>
      <c r="T466" s="100"/>
      <c r="U466" s="86"/>
      <c r="V466" s="86"/>
      <c r="W466" s="86"/>
      <c r="X466" s="86"/>
      <c r="Y466" s="83"/>
      <c r="Z466" s="304"/>
      <c r="AA466" s="304"/>
      <c r="AB466" s="304"/>
      <c r="AC466" s="304"/>
      <c r="AD466" s="304"/>
      <c r="AE466" s="304"/>
      <c r="AF466" s="304"/>
      <c r="AG466" s="304"/>
      <c r="AH466" s="304"/>
      <c r="AI466" s="304"/>
      <c r="AJ466" s="304"/>
      <c r="AK466" s="304"/>
      <c r="AL466" s="304"/>
      <c r="AM466" s="304"/>
      <c r="AN466" s="304"/>
      <c r="AO466" s="304"/>
      <c r="AP466" s="304"/>
      <c r="AQ466" s="304"/>
      <c r="AR466" s="304"/>
      <c r="AS466" s="304"/>
      <c r="AT466" s="304"/>
      <c r="AU466" s="304"/>
      <c r="AV466" s="304"/>
      <c r="AW466" s="304"/>
      <c r="AX466" s="304"/>
      <c r="AY466" s="304"/>
      <c r="AZ466" s="304"/>
      <c r="BA466" s="304"/>
      <c r="BB466" s="304"/>
      <c r="BC466" s="304"/>
      <c r="BD466" s="304"/>
      <c r="BE466" s="304"/>
      <c r="BF466" s="304"/>
      <c r="BG466" s="304"/>
      <c r="BH466" s="304"/>
      <c r="BI466" s="304"/>
      <c r="BJ466" s="304"/>
      <c r="BK466" s="304"/>
      <c r="BL466" s="304"/>
      <c r="BM466" s="304"/>
      <c r="BN466" s="304"/>
      <c r="BO466" s="304"/>
      <c r="BP466" s="304"/>
      <c r="BQ466" s="304"/>
      <c r="BR466" s="304"/>
      <c r="BS466" s="304"/>
      <c r="BT466" s="304"/>
      <c r="BU466" s="304"/>
      <c r="BV466" s="304"/>
      <c r="BW466" s="304"/>
      <c r="BX466" s="304"/>
      <c r="BY466" s="304"/>
      <c r="BZ466" s="304"/>
      <c r="CA466" s="304"/>
      <c r="CB466" s="304"/>
      <c r="CC466" s="304"/>
      <c r="CD466" s="304"/>
      <c r="CE466" s="304"/>
      <c r="CF466" s="304"/>
      <c r="CG466" s="304"/>
      <c r="CH466" s="304"/>
      <c r="CI466" s="304"/>
      <c r="CJ466" s="304"/>
      <c r="CK466" s="304"/>
      <c r="CL466" s="304"/>
      <c r="CM466" s="304"/>
      <c r="CN466" s="304"/>
      <c r="CO466" s="304"/>
      <c r="CP466" s="304"/>
    </row>
    <row r="467" spans="1:94" s="87" customFormat="1">
      <c r="A467" s="81"/>
      <c r="B467" s="83"/>
      <c r="C467" s="82"/>
      <c r="D467" s="102"/>
      <c r="E467" s="102"/>
      <c r="F467" s="102"/>
      <c r="G467" s="83"/>
      <c r="H467" s="102"/>
      <c r="I467" s="218"/>
      <c r="J467" s="102"/>
      <c r="K467" s="102" t="str">
        <f t="shared" si="34"/>
        <v/>
      </c>
      <c r="L467" s="221"/>
      <c r="M467" s="325"/>
      <c r="N467" s="85"/>
      <c r="O467" s="327"/>
      <c r="P467" s="84"/>
      <c r="Q467" s="88"/>
      <c r="R467" s="102">
        <f t="shared" si="33"/>
        <v>0</v>
      </c>
      <c r="S467" s="89"/>
      <c r="T467" s="100"/>
      <c r="U467" s="86"/>
      <c r="V467" s="86"/>
      <c r="W467" s="86"/>
      <c r="X467" s="86"/>
      <c r="Y467" s="83"/>
      <c r="Z467" s="304"/>
      <c r="AA467" s="304"/>
      <c r="AB467" s="304"/>
      <c r="AC467" s="304"/>
      <c r="AD467" s="304"/>
      <c r="AE467" s="304"/>
      <c r="AF467" s="304"/>
      <c r="AG467" s="304"/>
      <c r="AH467" s="304"/>
      <c r="AI467" s="304"/>
      <c r="AJ467" s="304"/>
      <c r="AK467" s="304"/>
      <c r="AL467" s="304"/>
      <c r="AM467" s="304"/>
      <c r="AN467" s="304"/>
      <c r="AO467" s="304"/>
      <c r="AP467" s="304"/>
      <c r="AQ467" s="304"/>
      <c r="AR467" s="304"/>
      <c r="AS467" s="304"/>
      <c r="AT467" s="304"/>
      <c r="AU467" s="304"/>
      <c r="AV467" s="304"/>
      <c r="AW467" s="304"/>
      <c r="AX467" s="304"/>
      <c r="AY467" s="304"/>
      <c r="AZ467" s="304"/>
      <c r="BA467" s="304"/>
      <c r="BB467" s="304"/>
      <c r="BC467" s="304"/>
      <c r="BD467" s="304"/>
      <c r="BE467" s="304"/>
      <c r="BF467" s="304"/>
      <c r="BG467" s="304"/>
      <c r="BH467" s="304"/>
      <c r="BI467" s="304"/>
      <c r="BJ467" s="304"/>
      <c r="BK467" s="304"/>
      <c r="BL467" s="304"/>
      <c r="BM467" s="304"/>
      <c r="BN467" s="304"/>
      <c r="BO467" s="304"/>
      <c r="BP467" s="304"/>
      <c r="BQ467" s="304"/>
      <c r="BR467" s="304"/>
      <c r="BS467" s="304"/>
      <c r="BT467" s="304"/>
      <c r="BU467" s="304"/>
      <c r="BV467" s="304"/>
      <c r="BW467" s="304"/>
      <c r="BX467" s="304"/>
      <c r="BY467" s="304"/>
      <c r="BZ467" s="304"/>
      <c r="CA467" s="304"/>
      <c r="CB467" s="304"/>
      <c r="CC467" s="304"/>
      <c r="CD467" s="304"/>
      <c r="CE467" s="304"/>
      <c r="CF467" s="304"/>
      <c r="CG467" s="304"/>
      <c r="CH467" s="304"/>
      <c r="CI467" s="304"/>
      <c r="CJ467" s="304"/>
      <c r="CK467" s="304"/>
      <c r="CL467" s="304"/>
      <c r="CM467" s="304"/>
      <c r="CN467" s="304"/>
      <c r="CO467" s="304"/>
      <c r="CP467" s="304"/>
    </row>
    <row r="468" spans="1:94" s="87" customFormat="1">
      <c r="A468" s="81"/>
      <c r="B468" s="83"/>
      <c r="C468" s="82"/>
      <c r="D468" s="102"/>
      <c r="E468" s="102"/>
      <c r="F468" s="102"/>
      <c r="G468" s="83"/>
      <c r="H468" s="102"/>
      <c r="I468" s="218"/>
      <c r="J468" s="102"/>
      <c r="K468" s="102" t="str">
        <f t="shared" si="34"/>
        <v/>
      </c>
      <c r="L468" s="221"/>
      <c r="M468" s="325"/>
      <c r="N468" s="85"/>
      <c r="O468" s="327"/>
      <c r="P468" s="84"/>
      <c r="Q468" s="88"/>
      <c r="R468" s="102">
        <f t="shared" si="33"/>
        <v>0</v>
      </c>
      <c r="S468" s="89"/>
      <c r="T468" s="100"/>
      <c r="U468" s="86"/>
      <c r="V468" s="86"/>
      <c r="W468" s="86"/>
      <c r="X468" s="86"/>
      <c r="Y468" s="83"/>
      <c r="Z468" s="304"/>
      <c r="AA468" s="304"/>
      <c r="AB468" s="304"/>
      <c r="AC468" s="304"/>
      <c r="AD468" s="304"/>
      <c r="AE468" s="304"/>
      <c r="AF468" s="304"/>
      <c r="AG468" s="304"/>
      <c r="AH468" s="304"/>
      <c r="AI468" s="304"/>
      <c r="AJ468" s="304"/>
      <c r="AK468" s="304"/>
      <c r="AL468" s="304"/>
      <c r="AM468" s="304"/>
      <c r="AN468" s="304"/>
      <c r="AO468" s="304"/>
      <c r="AP468" s="304"/>
      <c r="AQ468" s="304"/>
      <c r="AR468" s="304"/>
      <c r="AS468" s="304"/>
      <c r="AT468" s="304"/>
      <c r="AU468" s="304"/>
      <c r="AV468" s="304"/>
      <c r="AW468" s="304"/>
      <c r="AX468" s="304"/>
      <c r="AY468" s="304"/>
      <c r="AZ468" s="304"/>
      <c r="BA468" s="304"/>
      <c r="BB468" s="304"/>
      <c r="BC468" s="304"/>
      <c r="BD468" s="304"/>
      <c r="BE468" s="304"/>
      <c r="BF468" s="304"/>
      <c r="BG468" s="304"/>
      <c r="BH468" s="304"/>
      <c r="BI468" s="304"/>
      <c r="BJ468" s="304"/>
      <c r="BK468" s="304"/>
      <c r="BL468" s="304"/>
      <c r="BM468" s="304"/>
      <c r="BN468" s="304"/>
      <c r="BO468" s="304"/>
      <c r="BP468" s="304"/>
      <c r="BQ468" s="304"/>
      <c r="BR468" s="304"/>
      <c r="BS468" s="304"/>
      <c r="BT468" s="304"/>
      <c r="BU468" s="304"/>
      <c r="BV468" s="304"/>
      <c r="BW468" s="304"/>
      <c r="BX468" s="304"/>
      <c r="BY468" s="304"/>
      <c r="BZ468" s="304"/>
      <c r="CA468" s="304"/>
      <c r="CB468" s="304"/>
      <c r="CC468" s="304"/>
      <c r="CD468" s="304"/>
      <c r="CE468" s="304"/>
      <c r="CF468" s="304"/>
      <c r="CG468" s="304"/>
      <c r="CH468" s="304"/>
      <c r="CI468" s="304"/>
      <c r="CJ468" s="304"/>
      <c r="CK468" s="304"/>
      <c r="CL468" s="304"/>
      <c r="CM468" s="304"/>
      <c r="CN468" s="304"/>
      <c r="CO468" s="304"/>
      <c r="CP468" s="304"/>
    </row>
    <row r="469" spans="1:94" s="87" customFormat="1">
      <c r="A469" s="81"/>
      <c r="B469" s="83"/>
      <c r="C469" s="82"/>
      <c r="D469" s="102"/>
      <c r="E469" s="102"/>
      <c r="F469" s="102"/>
      <c r="G469" s="83"/>
      <c r="H469" s="102"/>
      <c r="I469" s="218"/>
      <c r="J469" s="102"/>
      <c r="K469" s="102" t="str">
        <f t="shared" si="34"/>
        <v/>
      </c>
      <c r="L469" s="221"/>
      <c r="M469" s="325"/>
      <c r="N469" s="85"/>
      <c r="O469" s="327"/>
      <c r="P469" s="84"/>
      <c r="Q469" s="88"/>
      <c r="R469" s="102">
        <f t="shared" si="33"/>
        <v>0</v>
      </c>
      <c r="S469" s="89"/>
      <c r="T469" s="100"/>
      <c r="U469" s="86"/>
      <c r="V469" s="86"/>
      <c r="W469" s="86"/>
      <c r="X469" s="86"/>
      <c r="Y469" s="83"/>
      <c r="Z469" s="304"/>
      <c r="AA469" s="304"/>
      <c r="AB469" s="304"/>
      <c r="AC469" s="304"/>
      <c r="AD469" s="304"/>
      <c r="AE469" s="304"/>
      <c r="AF469" s="304"/>
      <c r="AG469" s="304"/>
      <c r="AH469" s="304"/>
      <c r="AI469" s="304"/>
      <c r="AJ469" s="304"/>
      <c r="AK469" s="304"/>
      <c r="AL469" s="304"/>
      <c r="AM469" s="304"/>
      <c r="AN469" s="304"/>
      <c r="AO469" s="304"/>
      <c r="AP469" s="304"/>
      <c r="AQ469" s="304"/>
      <c r="AR469" s="304"/>
      <c r="AS469" s="304"/>
      <c r="AT469" s="304"/>
      <c r="AU469" s="304"/>
      <c r="AV469" s="304"/>
      <c r="AW469" s="304"/>
      <c r="AX469" s="304"/>
      <c r="AY469" s="304"/>
      <c r="AZ469" s="304"/>
      <c r="BA469" s="304"/>
      <c r="BB469" s="304"/>
      <c r="BC469" s="304"/>
      <c r="BD469" s="304"/>
      <c r="BE469" s="304"/>
      <c r="BF469" s="304"/>
      <c r="BG469" s="304"/>
      <c r="BH469" s="304"/>
      <c r="BI469" s="304"/>
      <c r="BJ469" s="304"/>
      <c r="BK469" s="304"/>
      <c r="BL469" s="304"/>
      <c r="BM469" s="304"/>
      <c r="BN469" s="304"/>
      <c r="BO469" s="304"/>
      <c r="BP469" s="304"/>
      <c r="BQ469" s="304"/>
      <c r="BR469" s="304"/>
      <c r="BS469" s="304"/>
      <c r="BT469" s="304"/>
      <c r="BU469" s="304"/>
      <c r="BV469" s="304"/>
      <c r="BW469" s="304"/>
      <c r="BX469" s="304"/>
      <c r="BY469" s="304"/>
      <c r="BZ469" s="304"/>
      <c r="CA469" s="304"/>
      <c r="CB469" s="304"/>
      <c r="CC469" s="304"/>
      <c r="CD469" s="304"/>
      <c r="CE469" s="304"/>
      <c r="CF469" s="304"/>
      <c r="CG469" s="304"/>
      <c r="CH469" s="304"/>
      <c r="CI469" s="304"/>
      <c r="CJ469" s="304"/>
      <c r="CK469" s="304"/>
      <c r="CL469" s="304"/>
      <c r="CM469" s="304"/>
      <c r="CN469" s="304"/>
      <c r="CO469" s="304"/>
      <c r="CP469" s="304"/>
    </row>
    <row r="470" spans="1:94" s="87" customFormat="1">
      <c r="A470" s="81"/>
      <c r="B470" s="83"/>
      <c r="C470" s="82"/>
      <c r="D470" s="102"/>
      <c r="E470" s="102"/>
      <c r="F470" s="102"/>
      <c r="G470" s="83"/>
      <c r="H470" s="102"/>
      <c r="I470" s="218"/>
      <c r="J470" s="102"/>
      <c r="K470" s="102" t="str">
        <f t="shared" si="34"/>
        <v/>
      </c>
      <c r="L470" s="221"/>
      <c r="M470" s="325"/>
      <c r="N470" s="85"/>
      <c r="O470" s="327"/>
      <c r="P470" s="84"/>
      <c r="Q470" s="88"/>
      <c r="R470" s="102">
        <f t="shared" si="33"/>
        <v>0</v>
      </c>
      <c r="S470" s="89"/>
      <c r="T470" s="100"/>
      <c r="U470" s="86"/>
      <c r="V470" s="86"/>
      <c r="W470" s="86"/>
      <c r="X470" s="86"/>
      <c r="Y470" s="83"/>
      <c r="Z470" s="304"/>
      <c r="AA470" s="304"/>
      <c r="AB470" s="304"/>
      <c r="AC470" s="304"/>
      <c r="AD470" s="304"/>
      <c r="AE470" s="304"/>
      <c r="AF470" s="304"/>
      <c r="AG470" s="304"/>
      <c r="AH470" s="304"/>
      <c r="AI470" s="304"/>
      <c r="AJ470" s="304"/>
      <c r="AK470" s="304"/>
      <c r="AL470" s="304"/>
      <c r="AM470" s="304"/>
      <c r="AN470" s="304"/>
      <c r="AO470" s="304"/>
      <c r="AP470" s="304"/>
      <c r="AQ470" s="304"/>
      <c r="AR470" s="304"/>
      <c r="AS470" s="304"/>
      <c r="AT470" s="304"/>
      <c r="AU470" s="304"/>
      <c r="AV470" s="304"/>
      <c r="AW470" s="304"/>
      <c r="AX470" s="304"/>
      <c r="AY470" s="304"/>
      <c r="AZ470" s="304"/>
      <c r="BA470" s="304"/>
      <c r="BB470" s="304"/>
      <c r="BC470" s="304"/>
      <c r="BD470" s="304"/>
      <c r="BE470" s="304"/>
      <c r="BF470" s="304"/>
      <c r="BG470" s="304"/>
      <c r="BH470" s="304"/>
      <c r="BI470" s="304"/>
      <c r="BJ470" s="304"/>
      <c r="BK470" s="304"/>
      <c r="BL470" s="304"/>
      <c r="BM470" s="304"/>
      <c r="BN470" s="304"/>
      <c r="BO470" s="304"/>
      <c r="BP470" s="304"/>
      <c r="BQ470" s="304"/>
      <c r="BR470" s="304"/>
      <c r="BS470" s="304"/>
      <c r="BT470" s="304"/>
      <c r="BU470" s="304"/>
      <c r="BV470" s="304"/>
      <c r="BW470" s="304"/>
      <c r="BX470" s="304"/>
      <c r="BY470" s="304"/>
      <c r="BZ470" s="304"/>
      <c r="CA470" s="304"/>
      <c r="CB470" s="304"/>
      <c r="CC470" s="304"/>
      <c r="CD470" s="304"/>
      <c r="CE470" s="304"/>
      <c r="CF470" s="304"/>
      <c r="CG470" s="304"/>
      <c r="CH470" s="304"/>
      <c r="CI470" s="304"/>
      <c r="CJ470" s="304"/>
      <c r="CK470" s="304"/>
      <c r="CL470" s="304"/>
      <c r="CM470" s="304"/>
      <c r="CN470" s="304"/>
      <c r="CO470" s="304"/>
      <c r="CP470" s="304"/>
    </row>
    <row r="471" spans="1:94" s="87" customFormat="1">
      <c r="A471" s="81"/>
      <c r="B471" s="83"/>
      <c r="C471" s="82"/>
      <c r="D471" s="102"/>
      <c r="E471" s="102"/>
      <c r="F471" s="102"/>
      <c r="G471" s="83"/>
      <c r="H471" s="102"/>
      <c r="I471" s="218"/>
      <c r="J471" s="102"/>
      <c r="K471" s="102" t="str">
        <f t="shared" si="34"/>
        <v/>
      </c>
      <c r="L471" s="221"/>
      <c r="M471" s="325"/>
      <c r="N471" s="85"/>
      <c r="O471" s="327"/>
      <c r="P471" s="84"/>
      <c r="Q471" s="88"/>
      <c r="R471" s="102">
        <f t="shared" si="33"/>
        <v>0</v>
      </c>
      <c r="S471" s="89"/>
      <c r="T471" s="100"/>
      <c r="U471" s="86"/>
      <c r="V471" s="86"/>
      <c r="W471" s="86"/>
      <c r="X471" s="86"/>
      <c r="Y471" s="83"/>
      <c r="Z471" s="304"/>
      <c r="AA471" s="304"/>
      <c r="AB471" s="304"/>
      <c r="AC471" s="304"/>
      <c r="AD471" s="304"/>
      <c r="AE471" s="304"/>
      <c r="AF471" s="304"/>
      <c r="AG471" s="304"/>
      <c r="AH471" s="304"/>
      <c r="AI471" s="304"/>
      <c r="AJ471" s="304"/>
      <c r="AK471" s="304"/>
      <c r="AL471" s="304"/>
      <c r="AM471" s="304"/>
      <c r="AN471" s="304"/>
      <c r="AO471" s="304"/>
      <c r="AP471" s="304"/>
      <c r="AQ471" s="304"/>
      <c r="AR471" s="304"/>
      <c r="AS471" s="304"/>
      <c r="AT471" s="304"/>
      <c r="AU471" s="304"/>
      <c r="AV471" s="304"/>
      <c r="AW471" s="304"/>
      <c r="AX471" s="304"/>
      <c r="AY471" s="304"/>
      <c r="AZ471" s="304"/>
      <c r="BA471" s="304"/>
      <c r="BB471" s="304"/>
      <c r="BC471" s="304"/>
      <c r="BD471" s="304"/>
      <c r="BE471" s="304"/>
      <c r="BF471" s="304"/>
      <c r="BG471" s="304"/>
      <c r="BH471" s="304"/>
      <c r="BI471" s="304"/>
      <c r="BJ471" s="304"/>
      <c r="BK471" s="304"/>
      <c r="BL471" s="304"/>
      <c r="BM471" s="304"/>
      <c r="BN471" s="304"/>
      <c r="BO471" s="304"/>
      <c r="BP471" s="304"/>
      <c r="BQ471" s="304"/>
      <c r="BR471" s="304"/>
      <c r="BS471" s="304"/>
      <c r="BT471" s="304"/>
      <c r="BU471" s="304"/>
      <c r="BV471" s="304"/>
      <c r="BW471" s="304"/>
      <c r="BX471" s="304"/>
      <c r="BY471" s="304"/>
      <c r="BZ471" s="304"/>
      <c r="CA471" s="304"/>
      <c r="CB471" s="304"/>
      <c r="CC471" s="304"/>
      <c r="CD471" s="304"/>
      <c r="CE471" s="304"/>
      <c r="CF471" s="304"/>
      <c r="CG471" s="304"/>
      <c r="CH471" s="304"/>
      <c r="CI471" s="304"/>
      <c r="CJ471" s="304"/>
      <c r="CK471" s="304"/>
      <c r="CL471" s="304"/>
      <c r="CM471" s="304"/>
      <c r="CN471" s="304"/>
      <c r="CO471" s="304"/>
      <c r="CP471" s="304"/>
    </row>
    <row r="472" spans="1:94" s="87" customFormat="1">
      <c r="A472" s="81"/>
      <c r="B472" s="83"/>
      <c r="C472" s="82"/>
      <c r="D472" s="102"/>
      <c r="E472" s="102"/>
      <c r="F472" s="102"/>
      <c r="G472" s="83"/>
      <c r="H472" s="102"/>
      <c r="I472" s="218"/>
      <c r="J472" s="102"/>
      <c r="K472" s="102" t="str">
        <f t="shared" si="34"/>
        <v/>
      </c>
      <c r="L472" s="221"/>
      <c r="M472" s="325"/>
      <c r="N472" s="85"/>
      <c r="O472" s="327"/>
      <c r="P472" s="84"/>
      <c r="Q472" s="88"/>
      <c r="R472" s="102">
        <f t="shared" si="33"/>
        <v>0</v>
      </c>
      <c r="S472" s="89"/>
      <c r="T472" s="100"/>
      <c r="U472" s="86"/>
      <c r="V472" s="86"/>
      <c r="W472" s="86"/>
      <c r="X472" s="86"/>
      <c r="Y472" s="83"/>
      <c r="Z472" s="304"/>
      <c r="AA472" s="304"/>
      <c r="AB472" s="304"/>
      <c r="AC472" s="304"/>
      <c r="AD472" s="304"/>
      <c r="AE472" s="304"/>
      <c r="AF472" s="304"/>
      <c r="AG472" s="304"/>
      <c r="AH472" s="304"/>
      <c r="AI472" s="304"/>
      <c r="AJ472" s="304"/>
      <c r="AK472" s="304"/>
      <c r="AL472" s="304"/>
      <c r="AM472" s="304"/>
      <c r="AN472" s="304"/>
      <c r="AO472" s="304"/>
      <c r="AP472" s="304"/>
      <c r="AQ472" s="304"/>
      <c r="AR472" s="304"/>
      <c r="AS472" s="304"/>
      <c r="AT472" s="304"/>
      <c r="AU472" s="304"/>
      <c r="AV472" s="304"/>
      <c r="AW472" s="304"/>
      <c r="AX472" s="304"/>
      <c r="AY472" s="304"/>
      <c r="AZ472" s="304"/>
      <c r="BA472" s="304"/>
      <c r="BB472" s="304"/>
      <c r="BC472" s="304"/>
      <c r="BD472" s="304"/>
      <c r="BE472" s="304"/>
      <c r="BF472" s="304"/>
      <c r="BG472" s="304"/>
      <c r="BH472" s="304"/>
      <c r="BI472" s="304"/>
      <c r="BJ472" s="304"/>
      <c r="BK472" s="304"/>
      <c r="BL472" s="304"/>
      <c r="BM472" s="304"/>
      <c r="BN472" s="304"/>
      <c r="BO472" s="304"/>
      <c r="BP472" s="304"/>
      <c r="BQ472" s="304"/>
      <c r="BR472" s="304"/>
      <c r="BS472" s="304"/>
      <c r="BT472" s="304"/>
      <c r="BU472" s="304"/>
      <c r="BV472" s="304"/>
      <c r="BW472" s="304"/>
      <c r="BX472" s="304"/>
      <c r="BY472" s="304"/>
      <c r="BZ472" s="304"/>
      <c r="CA472" s="304"/>
      <c r="CB472" s="304"/>
      <c r="CC472" s="304"/>
      <c r="CD472" s="304"/>
      <c r="CE472" s="304"/>
      <c r="CF472" s="304"/>
      <c r="CG472" s="304"/>
      <c r="CH472" s="304"/>
      <c r="CI472" s="304"/>
      <c r="CJ472" s="304"/>
      <c r="CK472" s="304"/>
      <c r="CL472" s="304"/>
      <c r="CM472" s="304"/>
      <c r="CN472" s="304"/>
      <c r="CO472" s="304"/>
      <c r="CP472" s="304"/>
    </row>
    <row r="473" spans="1:94" s="87" customFormat="1">
      <c r="A473" s="81"/>
      <c r="B473" s="83"/>
      <c r="C473" s="82"/>
      <c r="D473" s="102"/>
      <c r="E473" s="102"/>
      <c r="F473" s="102"/>
      <c r="G473" s="83"/>
      <c r="H473" s="102"/>
      <c r="I473" s="218"/>
      <c r="J473" s="102"/>
      <c r="K473" s="102" t="str">
        <f t="shared" si="34"/>
        <v/>
      </c>
      <c r="L473" s="221"/>
      <c r="M473" s="325"/>
      <c r="N473" s="85"/>
      <c r="O473" s="327"/>
      <c r="P473" s="84"/>
      <c r="Q473" s="88"/>
      <c r="R473" s="102">
        <f t="shared" si="33"/>
        <v>0</v>
      </c>
      <c r="S473" s="89"/>
      <c r="T473" s="100"/>
      <c r="U473" s="86"/>
      <c r="V473" s="86"/>
      <c r="W473" s="86"/>
      <c r="X473" s="86"/>
      <c r="Y473" s="83"/>
      <c r="Z473" s="304"/>
      <c r="AA473" s="304"/>
      <c r="AB473" s="304"/>
      <c r="AC473" s="304"/>
      <c r="AD473" s="304"/>
      <c r="AE473" s="304"/>
      <c r="AF473" s="304"/>
      <c r="AG473" s="304"/>
      <c r="AH473" s="304"/>
      <c r="AI473" s="304"/>
      <c r="AJ473" s="304"/>
      <c r="AK473" s="304"/>
      <c r="AL473" s="304"/>
      <c r="AM473" s="304"/>
      <c r="AN473" s="304"/>
      <c r="AO473" s="304"/>
      <c r="AP473" s="304"/>
      <c r="AQ473" s="304"/>
      <c r="AR473" s="304"/>
      <c r="AS473" s="304"/>
      <c r="AT473" s="304"/>
      <c r="AU473" s="304"/>
      <c r="AV473" s="304"/>
      <c r="AW473" s="304"/>
      <c r="AX473" s="304"/>
      <c r="AY473" s="304"/>
      <c r="AZ473" s="304"/>
      <c r="BA473" s="304"/>
      <c r="BB473" s="304"/>
      <c r="BC473" s="304"/>
      <c r="BD473" s="304"/>
      <c r="BE473" s="304"/>
      <c r="BF473" s="304"/>
      <c r="BG473" s="304"/>
      <c r="BH473" s="304"/>
      <c r="BI473" s="304"/>
      <c r="BJ473" s="304"/>
      <c r="BK473" s="304"/>
      <c r="BL473" s="304"/>
      <c r="BM473" s="304"/>
      <c r="BN473" s="304"/>
      <c r="BO473" s="304"/>
      <c r="BP473" s="304"/>
      <c r="BQ473" s="304"/>
      <c r="BR473" s="304"/>
      <c r="BS473" s="304"/>
      <c r="BT473" s="304"/>
      <c r="BU473" s="304"/>
      <c r="BV473" s="304"/>
      <c r="BW473" s="304"/>
      <c r="BX473" s="304"/>
      <c r="BY473" s="304"/>
      <c r="BZ473" s="304"/>
      <c r="CA473" s="304"/>
      <c r="CB473" s="304"/>
      <c r="CC473" s="304"/>
      <c r="CD473" s="304"/>
      <c r="CE473" s="304"/>
      <c r="CF473" s="304"/>
      <c r="CG473" s="304"/>
      <c r="CH473" s="304"/>
      <c r="CI473" s="304"/>
      <c r="CJ473" s="304"/>
      <c r="CK473" s="304"/>
      <c r="CL473" s="304"/>
      <c r="CM473" s="304"/>
      <c r="CN473" s="304"/>
      <c r="CO473" s="304"/>
      <c r="CP473" s="304"/>
    </row>
    <row r="474" spans="1:94" s="87" customFormat="1">
      <c r="A474" s="81"/>
      <c r="B474" s="83"/>
      <c r="C474" s="82"/>
      <c r="D474" s="102"/>
      <c r="E474" s="102"/>
      <c r="F474" s="102"/>
      <c r="G474" s="83"/>
      <c r="H474" s="102"/>
      <c r="I474" s="218"/>
      <c r="J474" s="102"/>
      <c r="K474" s="102" t="str">
        <f t="shared" si="34"/>
        <v/>
      </c>
      <c r="L474" s="221"/>
      <c r="M474" s="325"/>
      <c r="N474" s="85"/>
      <c r="O474" s="327"/>
      <c r="P474" s="84"/>
      <c r="Q474" s="88"/>
      <c r="R474" s="102">
        <f t="shared" si="33"/>
        <v>0</v>
      </c>
      <c r="S474" s="89"/>
      <c r="T474" s="100"/>
      <c r="U474" s="86"/>
      <c r="V474" s="86"/>
      <c r="W474" s="86"/>
      <c r="X474" s="86"/>
      <c r="Y474" s="83"/>
      <c r="Z474" s="304"/>
      <c r="AA474" s="304"/>
      <c r="AB474" s="304"/>
      <c r="AC474" s="304"/>
      <c r="AD474" s="304"/>
      <c r="AE474" s="304"/>
      <c r="AF474" s="304"/>
      <c r="AG474" s="304"/>
      <c r="AH474" s="304"/>
      <c r="AI474" s="304"/>
      <c r="AJ474" s="304"/>
      <c r="AK474" s="304"/>
      <c r="AL474" s="304"/>
      <c r="AM474" s="304"/>
      <c r="AN474" s="304"/>
      <c r="AO474" s="304"/>
      <c r="AP474" s="304"/>
      <c r="AQ474" s="304"/>
      <c r="AR474" s="304"/>
      <c r="AS474" s="304"/>
      <c r="AT474" s="304"/>
      <c r="AU474" s="304"/>
      <c r="AV474" s="304"/>
      <c r="AW474" s="304"/>
      <c r="AX474" s="304"/>
      <c r="AY474" s="304"/>
      <c r="AZ474" s="304"/>
      <c r="BA474" s="304"/>
      <c r="BB474" s="304"/>
      <c r="BC474" s="304"/>
      <c r="BD474" s="304"/>
      <c r="BE474" s="304"/>
      <c r="BF474" s="304"/>
      <c r="BG474" s="304"/>
      <c r="BH474" s="304"/>
      <c r="BI474" s="304"/>
      <c r="BJ474" s="304"/>
      <c r="BK474" s="304"/>
      <c r="BL474" s="304"/>
      <c r="BM474" s="304"/>
      <c r="BN474" s="304"/>
      <c r="BO474" s="304"/>
      <c r="BP474" s="304"/>
      <c r="BQ474" s="304"/>
      <c r="BR474" s="304"/>
      <c r="BS474" s="304"/>
      <c r="BT474" s="304"/>
      <c r="BU474" s="304"/>
      <c r="BV474" s="304"/>
      <c r="BW474" s="304"/>
      <c r="BX474" s="304"/>
      <c r="BY474" s="304"/>
      <c r="BZ474" s="304"/>
      <c r="CA474" s="304"/>
      <c r="CB474" s="304"/>
      <c r="CC474" s="304"/>
      <c r="CD474" s="304"/>
      <c r="CE474" s="304"/>
      <c r="CF474" s="304"/>
      <c r="CG474" s="304"/>
      <c r="CH474" s="304"/>
      <c r="CI474" s="304"/>
      <c r="CJ474" s="304"/>
      <c r="CK474" s="304"/>
      <c r="CL474" s="304"/>
      <c r="CM474" s="304"/>
      <c r="CN474" s="304"/>
      <c r="CO474" s="304"/>
      <c r="CP474" s="304"/>
    </row>
    <row r="475" spans="1:94" s="87" customFormat="1">
      <c r="A475" s="81"/>
      <c r="B475" s="83"/>
      <c r="C475" s="82"/>
      <c r="D475" s="102"/>
      <c r="E475" s="102"/>
      <c r="F475" s="102"/>
      <c r="G475" s="83"/>
      <c r="H475" s="102"/>
      <c r="I475" s="218"/>
      <c r="J475" s="102"/>
      <c r="K475" s="102" t="str">
        <f t="shared" si="34"/>
        <v/>
      </c>
      <c r="L475" s="221"/>
      <c r="M475" s="325"/>
      <c r="N475" s="85"/>
      <c r="O475" s="327"/>
      <c r="P475" s="84"/>
      <c r="Q475" s="88"/>
      <c r="R475" s="102">
        <f t="shared" si="33"/>
        <v>0</v>
      </c>
      <c r="S475" s="89"/>
      <c r="T475" s="100"/>
      <c r="U475" s="86"/>
      <c r="V475" s="86"/>
      <c r="W475" s="86"/>
      <c r="X475" s="86"/>
      <c r="Y475" s="83"/>
      <c r="Z475" s="304"/>
      <c r="AA475" s="304"/>
      <c r="AB475" s="304"/>
      <c r="AC475" s="304"/>
      <c r="AD475" s="304"/>
      <c r="AE475" s="304"/>
      <c r="AF475" s="304"/>
      <c r="AG475" s="304"/>
      <c r="AH475" s="304"/>
      <c r="AI475" s="304"/>
      <c r="AJ475" s="304"/>
      <c r="AK475" s="304"/>
      <c r="AL475" s="304"/>
      <c r="AM475" s="304"/>
      <c r="AN475" s="304"/>
      <c r="AO475" s="304"/>
      <c r="AP475" s="304"/>
      <c r="AQ475" s="304"/>
      <c r="AR475" s="304"/>
      <c r="AS475" s="304"/>
      <c r="AT475" s="304"/>
      <c r="AU475" s="304"/>
      <c r="AV475" s="304"/>
      <c r="AW475" s="304"/>
      <c r="AX475" s="304"/>
      <c r="AY475" s="304"/>
      <c r="AZ475" s="304"/>
      <c r="BA475" s="304"/>
      <c r="BB475" s="304"/>
      <c r="BC475" s="304"/>
      <c r="BD475" s="304"/>
      <c r="BE475" s="304"/>
      <c r="BF475" s="304"/>
      <c r="BG475" s="304"/>
      <c r="BH475" s="304"/>
      <c r="BI475" s="304"/>
      <c r="BJ475" s="304"/>
      <c r="BK475" s="304"/>
      <c r="BL475" s="304"/>
      <c r="BM475" s="304"/>
      <c r="BN475" s="304"/>
      <c r="BO475" s="304"/>
      <c r="BP475" s="304"/>
      <c r="BQ475" s="304"/>
      <c r="BR475" s="304"/>
      <c r="BS475" s="304"/>
      <c r="BT475" s="304"/>
      <c r="BU475" s="304"/>
      <c r="BV475" s="304"/>
      <c r="BW475" s="304"/>
      <c r="BX475" s="304"/>
      <c r="BY475" s="304"/>
      <c r="BZ475" s="304"/>
      <c r="CA475" s="304"/>
      <c r="CB475" s="304"/>
      <c r="CC475" s="304"/>
      <c r="CD475" s="304"/>
      <c r="CE475" s="304"/>
      <c r="CF475" s="304"/>
      <c r="CG475" s="304"/>
      <c r="CH475" s="304"/>
      <c r="CI475" s="304"/>
      <c r="CJ475" s="304"/>
      <c r="CK475" s="304"/>
      <c r="CL475" s="304"/>
      <c r="CM475" s="304"/>
      <c r="CN475" s="304"/>
      <c r="CO475" s="304"/>
      <c r="CP475" s="304"/>
    </row>
    <row r="476" spans="1:94" s="87" customFormat="1">
      <c r="A476" s="81"/>
      <c r="B476" s="83"/>
      <c r="C476" s="82"/>
      <c r="D476" s="102"/>
      <c r="E476" s="102"/>
      <c r="F476" s="102"/>
      <c r="G476" s="83"/>
      <c r="H476" s="102"/>
      <c r="I476" s="218"/>
      <c r="J476" s="102"/>
      <c r="K476" s="102" t="str">
        <f t="shared" si="34"/>
        <v/>
      </c>
      <c r="L476" s="221"/>
      <c r="M476" s="325"/>
      <c r="N476" s="85"/>
      <c r="O476" s="327"/>
      <c r="P476" s="84"/>
      <c r="Q476" s="88"/>
      <c r="R476" s="102">
        <f t="shared" si="33"/>
        <v>0</v>
      </c>
      <c r="S476" s="89"/>
      <c r="T476" s="100"/>
      <c r="U476" s="86"/>
      <c r="V476" s="86"/>
      <c r="W476" s="86"/>
      <c r="X476" s="86"/>
      <c r="Y476" s="83"/>
      <c r="Z476" s="304"/>
      <c r="AA476" s="304"/>
      <c r="AB476" s="304"/>
      <c r="AC476" s="304"/>
      <c r="AD476" s="304"/>
      <c r="AE476" s="304"/>
      <c r="AF476" s="304"/>
      <c r="AG476" s="304"/>
      <c r="AH476" s="304"/>
      <c r="AI476" s="304"/>
      <c r="AJ476" s="304"/>
      <c r="AK476" s="304"/>
      <c r="AL476" s="304"/>
      <c r="AM476" s="304"/>
      <c r="AN476" s="304"/>
      <c r="AO476" s="304"/>
      <c r="AP476" s="304"/>
      <c r="AQ476" s="304"/>
      <c r="AR476" s="304"/>
      <c r="AS476" s="304"/>
      <c r="AT476" s="304"/>
      <c r="AU476" s="304"/>
      <c r="AV476" s="304"/>
      <c r="AW476" s="304"/>
      <c r="AX476" s="304"/>
      <c r="AY476" s="304"/>
      <c r="AZ476" s="304"/>
      <c r="BA476" s="304"/>
      <c r="BB476" s="304"/>
      <c r="BC476" s="304"/>
      <c r="BD476" s="304"/>
      <c r="BE476" s="304"/>
      <c r="BF476" s="304"/>
      <c r="BG476" s="304"/>
      <c r="BH476" s="304"/>
      <c r="BI476" s="304"/>
      <c r="BJ476" s="304"/>
      <c r="BK476" s="304"/>
      <c r="BL476" s="304"/>
      <c r="BM476" s="304"/>
      <c r="BN476" s="304"/>
      <c r="BO476" s="304"/>
      <c r="BP476" s="304"/>
      <c r="BQ476" s="304"/>
      <c r="BR476" s="304"/>
      <c r="BS476" s="304"/>
      <c r="BT476" s="304"/>
      <c r="BU476" s="304"/>
      <c r="BV476" s="304"/>
      <c r="BW476" s="304"/>
      <c r="BX476" s="304"/>
      <c r="BY476" s="304"/>
      <c r="BZ476" s="304"/>
      <c r="CA476" s="304"/>
      <c r="CB476" s="304"/>
      <c r="CC476" s="304"/>
      <c r="CD476" s="304"/>
      <c r="CE476" s="304"/>
      <c r="CF476" s="304"/>
      <c r="CG476" s="304"/>
      <c r="CH476" s="304"/>
      <c r="CI476" s="304"/>
      <c r="CJ476" s="304"/>
      <c r="CK476" s="304"/>
      <c r="CL476" s="304"/>
      <c r="CM476" s="304"/>
      <c r="CN476" s="304"/>
      <c r="CO476" s="304"/>
      <c r="CP476" s="304"/>
    </row>
    <row r="477" spans="1:94" s="87" customFormat="1">
      <c r="A477" s="81"/>
      <c r="B477" s="83"/>
      <c r="C477" s="82"/>
      <c r="D477" s="102"/>
      <c r="E477" s="102"/>
      <c r="F477" s="102"/>
      <c r="G477" s="83"/>
      <c r="H477" s="102"/>
      <c r="I477" s="218"/>
      <c r="J477" s="102"/>
      <c r="K477" s="102" t="str">
        <f t="shared" si="34"/>
        <v/>
      </c>
      <c r="L477" s="221"/>
      <c r="M477" s="325"/>
      <c r="N477" s="85"/>
      <c r="O477" s="327"/>
      <c r="P477" s="84"/>
      <c r="Q477" s="88"/>
      <c r="R477" s="102">
        <f t="shared" si="33"/>
        <v>0</v>
      </c>
      <c r="S477" s="89"/>
      <c r="T477" s="100"/>
      <c r="U477" s="86"/>
      <c r="V477" s="86"/>
      <c r="W477" s="86"/>
      <c r="X477" s="86"/>
      <c r="Y477" s="83"/>
      <c r="Z477" s="304"/>
      <c r="AA477" s="304"/>
      <c r="AB477" s="304"/>
      <c r="AC477" s="304"/>
      <c r="AD477" s="304"/>
      <c r="AE477" s="304"/>
      <c r="AF477" s="304"/>
      <c r="AG477" s="304"/>
      <c r="AH477" s="304"/>
      <c r="AI477" s="304"/>
      <c r="AJ477" s="304"/>
      <c r="AK477" s="304"/>
      <c r="AL477" s="304"/>
      <c r="AM477" s="304"/>
      <c r="AN477" s="304"/>
      <c r="AO477" s="304"/>
      <c r="AP477" s="304"/>
      <c r="AQ477" s="304"/>
      <c r="AR477" s="304"/>
      <c r="AS477" s="304"/>
      <c r="AT477" s="304"/>
      <c r="AU477" s="304"/>
      <c r="AV477" s="304"/>
      <c r="AW477" s="304"/>
      <c r="AX477" s="304"/>
      <c r="AY477" s="304"/>
      <c r="AZ477" s="304"/>
      <c r="BA477" s="304"/>
      <c r="BB477" s="304"/>
      <c r="BC477" s="304"/>
      <c r="BD477" s="304"/>
      <c r="BE477" s="304"/>
      <c r="BF477" s="304"/>
      <c r="BG477" s="304"/>
      <c r="BH477" s="304"/>
      <c r="BI477" s="304"/>
      <c r="BJ477" s="304"/>
      <c r="BK477" s="304"/>
      <c r="BL477" s="304"/>
      <c r="BM477" s="304"/>
      <c r="BN477" s="304"/>
      <c r="BO477" s="304"/>
      <c r="BP477" s="304"/>
      <c r="BQ477" s="304"/>
      <c r="BR477" s="304"/>
      <c r="BS477" s="304"/>
      <c r="BT477" s="304"/>
      <c r="BU477" s="304"/>
      <c r="BV477" s="304"/>
      <c r="BW477" s="304"/>
      <c r="BX477" s="304"/>
      <c r="BY477" s="304"/>
      <c r="BZ477" s="304"/>
      <c r="CA477" s="304"/>
      <c r="CB477" s="304"/>
      <c r="CC477" s="304"/>
      <c r="CD477" s="304"/>
      <c r="CE477" s="304"/>
      <c r="CF477" s="304"/>
      <c r="CG477" s="304"/>
      <c r="CH477" s="304"/>
      <c r="CI477" s="304"/>
      <c r="CJ477" s="304"/>
      <c r="CK477" s="304"/>
      <c r="CL477" s="304"/>
      <c r="CM477" s="304"/>
      <c r="CN477" s="304"/>
      <c r="CO477" s="304"/>
      <c r="CP477" s="304"/>
    </row>
    <row r="478" spans="1:94" s="87" customFormat="1">
      <c r="A478" s="81"/>
      <c r="B478" s="83"/>
      <c r="C478" s="82"/>
      <c r="D478" s="102"/>
      <c r="E478" s="102"/>
      <c r="F478" s="102"/>
      <c r="G478" s="83"/>
      <c r="H478" s="102"/>
      <c r="I478" s="218"/>
      <c r="J478" s="102"/>
      <c r="K478" s="102" t="str">
        <f t="shared" si="34"/>
        <v/>
      </c>
      <c r="L478" s="221"/>
      <c r="M478" s="325"/>
      <c r="N478" s="85"/>
      <c r="O478" s="327"/>
      <c r="P478" s="84"/>
      <c r="Q478" s="88"/>
      <c r="R478" s="102">
        <f t="shared" si="33"/>
        <v>0</v>
      </c>
      <c r="S478" s="89"/>
      <c r="T478" s="100"/>
      <c r="U478" s="86"/>
      <c r="V478" s="86"/>
      <c r="W478" s="86"/>
      <c r="X478" s="86"/>
      <c r="Y478" s="83"/>
      <c r="Z478" s="304"/>
      <c r="AA478" s="304"/>
      <c r="AB478" s="304"/>
      <c r="AC478" s="304"/>
      <c r="AD478" s="304"/>
      <c r="AE478" s="304"/>
      <c r="AF478" s="304"/>
      <c r="AG478" s="304"/>
      <c r="AH478" s="304"/>
      <c r="AI478" s="304"/>
      <c r="AJ478" s="304"/>
      <c r="AK478" s="304"/>
      <c r="AL478" s="304"/>
      <c r="AM478" s="304"/>
      <c r="AN478" s="304"/>
      <c r="AO478" s="304"/>
      <c r="AP478" s="304"/>
      <c r="AQ478" s="304"/>
      <c r="AR478" s="304"/>
      <c r="AS478" s="304"/>
      <c r="AT478" s="304"/>
      <c r="AU478" s="304"/>
      <c r="AV478" s="304"/>
      <c r="AW478" s="304"/>
      <c r="AX478" s="304"/>
      <c r="AY478" s="304"/>
      <c r="AZ478" s="304"/>
      <c r="BA478" s="304"/>
      <c r="BB478" s="304"/>
      <c r="BC478" s="304"/>
      <c r="BD478" s="304"/>
      <c r="BE478" s="304"/>
      <c r="BF478" s="304"/>
      <c r="BG478" s="304"/>
      <c r="BH478" s="304"/>
      <c r="BI478" s="304"/>
      <c r="BJ478" s="304"/>
      <c r="BK478" s="304"/>
      <c r="BL478" s="304"/>
      <c r="BM478" s="304"/>
      <c r="BN478" s="304"/>
      <c r="BO478" s="304"/>
      <c r="BP478" s="304"/>
      <c r="BQ478" s="304"/>
      <c r="BR478" s="304"/>
      <c r="BS478" s="304"/>
      <c r="BT478" s="304"/>
      <c r="BU478" s="304"/>
      <c r="BV478" s="304"/>
      <c r="BW478" s="304"/>
      <c r="BX478" s="304"/>
      <c r="BY478" s="304"/>
      <c r="BZ478" s="304"/>
      <c r="CA478" s="304"/>
      <c r="CB478" s="304"/>
      <c r="CC478" s="304"/>
      <c r="CD478" s="304"/>
      <c r="CE478" s="304"/>
      <c r="CF478" s="304"/>
      <c r="CG478" s="304"/>
      <c r="CH478" s="304"/>
      <c r="CI478" s="304"/>
      <c r="CJ478" s="304"/>
      <c r="CK478" s="304"/>
      <c r="CL478" s="304"/>
      <c r="CM478" s="304"/>
      <c r="CN478" s="304"/>
      <c r="CO478" s="304"/>
      <c r="CP478" s="304"/>
    </row>
    <row r="479" spans="1:94" s="87" customFormat="1">
      <c r="A479" s="81"/>
      <c r="B479" s="83"/>
      <c r="C479" s="82"/>
      <c r="D479" s="102"/>
      <c r="E479" s="102"/>
      <c r="F479" s="102"/>
      <c r="G479" s="83"/>
      <c r="H479" s="102"/>
      <c r="I479" s="218"/>
      <c r="J479" s="102"/>
      <c r="K479" s="102" t="str">
        <f t="shared" si="34"/>
        <v/>
      </c>
      <c r="L479" s="221"/>
      <c r="M479" s="325"/>
      <c r="N479" s="85"/>
      <c r="O479" s="327"/>
      <c r="P479" s="84"/>
      <c r="Q479" s="88"/>
      <c r="R479" s="102">
        <f t="shared" si="33"/>
        <v>0</v>
      </c>
      <c r="S479" s="89"/>
      <c r="T479" s="100"/>
      <c r="U479" s="86"/>
      <c r="V479" s="86"/>
      <c r="W479" s="86"/>
      <c r="X479" s="86"/>
      <c r="Y479" s="83"/>
      <c r="Z479" s="304"/>
      <c r="AA479" s="304"/>
      <c r="AB479" s="304"/>
      <c r="AC479" s="304"/>
      <c r="AD479" s="304"/>
      <c r="AE479" s="304"/>
      <c r="AF479" s="304"/>
      <c r="AG479" s="304"/>
      <c r="AH479" s="304"/>
      <c r="AI479" s="304"/>
      <c r="AJ479" s="304"/>
      <c r="AK479" s="304"/>
      <c r="AL479" s="304"/>
      <c r="AM479" s="304"/>
      <c r="AN479" s="304"/>
      <c r="AO479" s="304"/>
      <c r="AP479" s="304"/>
      <c r="AQ479" s="304"/>
      <c r="AR479" s="304"/>
      <c r="AS479" s="304"/>
      <c r="AT479" s="304"/>
      <c r="AU479" s="304"/>
      <c r="AV479" s="304"/>
      <c r="AW479" s="304"/>
      <c r="AX479" s="304"/>
      <c r="AY479" s="304"/>
      <c r="AZ479" s="304"/>
      <c r="BA479" s="304"/>
      <c r="BB479" s="304"/>
      <c r="BC479" s="304"/>
      <c r="BD479" s="304"/>
      <c r="BE479" s="304"/>
      <c r="BF479" s="304"/>
      <c r="BG479" s="304"/>
      <c r="BH479" s="304"/>
      <c r="BI479" s="304"/>
      <c r="BJ479" s="304"/>
      <c r="BK479" s="304"/>
      <c r="BL479" s="304"/>
      <c r="BM479" s="304"/>
      <c r="BN479" s="304"/>
      <c r="BO479" s="304"/>
      <c r="BP479" s="304"/>
      <c r="BQ479" s="304"/>
      <c r="BR479" s="304"/>
      <c r="BS479" s="304"/>
      <c r="BT479" s="304"/>
      <c r="BU479" s="304"/>
      <c r="BV479" s="304"/>
      <c r="BW479" s="304"/>
      <c r="BX479" s="304"/>
      <c r="BY479" s="304"/>
      <c r="BZ479" s="304"/>
      <c r="CA479" s="304"/>
      <c r="CB479" s="304"/>
      <c r="CC479" s="304"/>
      <c r="CD479" s="304"/>
      <c r="CE479" s="304"/>
      <c r="CF479" s="304"/>
      <c r="CG479" s="304"/>
      <c r="CH479" s="304"/>
      <c r="CI479" s="304"/>
      <c r="CJ479" s="304"/>
      <c r="CK479" s="304"/>
      <c r="CL479" s="304"/>
      <c r="CM479" s="304"/>
      <c r="CN479" s="304"/>
      <c r="CO479" s="304"/>
      <c r="CP479" s="304"/>
    </row>
    <row r="480" spans="1:94" s="87" customFormat="1">
      <c r="A480" s="81"/>
      <c r="B480" s="83"/>
      <c r="C480" s="82"/>
      <c r="D480" s="102"/>
      <c r="E480" s="102"/>
      <c r="F480" s="102"/>
      <c r="G480" s="83"/>
      <c r="H480" s="102"/>
      <c r="I480" s="218"/>
      <c r="J480" s="102"/>
      <c r="K480" s="102" t="str">
        <f t="shared" si="34"/>
        <v/>
      </c>
      <c r="L480" s="221"/>
      <c r="M480" s="325"/>
      <c r="N480" s="85"/>
      <c r="O480" s="327"/>
      <c r="P480" s="84"/>
      <c r="Q480" s="88"/>
      <c r="R480" s="102">
        <f t="shared" si="33"/>
        <v>0</v>
      </c>
      <c r="S480" s="89"/>
      <c r="T480" s="100"/>
      <c r="U480" s="86"/>
      <c r="V480" s="86"/>
      <c r="W480" s="86"/>
      <c r="X480" s="86"/>
      <c r="Y480" s="83"/>
      <c r="Z480" s="304"/>
      <c r="AA480" s="304"/>
      <c r="AB480" s="304"/>
      <c r="AC480" s="304"/>
      <c r="AD480" s="304"/>
      <c r="AE480" s="304"/>
      <c r="AF480" s="304"/>
      <c r="AG480" s="304"/>
      <c r="AH480" s="304"/>
      <c r="AI480" s="304"/>
      <c r="AJ480" s="304"/>
      <c r="AK480" s="304"/>
      <c r="AL480" s="304"/>
      <c r="AM480" s="304"/>
      <c r="AN480" s="304"/>
      <c r="AO480" s="304"/>
      <c r="AP480" s="304"/>
      <c r="AQ480" s="304"/>
      <c r="AR480" s="304"/>
      <c r="AS480" s="304"/>
      <c r="AT480" s="304"/>
      <c r="AU480" s="304"/>
      <c r="AV480" s="304"/>
      <c r="AW480" s="304"/>
      <c r="AX480" s="304"/>
      <c r="AY480" s="304"/>
      <c r="AZ480" s="304"/>
      <c r="BA480" s="304"/>
      <c r="BB480" s="304"/>
      <c r="BC480" s="304"/>
      <c r="BD480" s="304"/>
      <c r="BE480" s="304"/>
      <c r="BF480" s="304"/>
      <c r="BG480" s="304"/>
      <c r="BH480" s="304"/>
      <c r="BI480" s="304"/>
      <c r="BJ480" s="304"/>
      <c r="BK480" s="304"/>
      <c r="BL480" s="304"/>
      <c r="BM480" s="304"/>
      <c r="BN480" s="304"/>
      <c r="BO480" s="304"/>
      <c r="BP480" s="304"/>
      <c r="BQ480" s="304"/>
      <c r="BR480" s="304"/>
      <c r="BS480" s="304"/>
      <c r="BT480" s="304"/>
      <c r="BU480" s="304"/>
      <c r="BV480" s="304"/>
      <c r="BW480" s="304"/>
      <c r="BX480" s="304"/>
      <c r="BY480" s="304"/>
      <c r="BZ480" s="304"/>
      <c r="CA480" s="304"/>
      <c r="CB480" s="304"/>
      <c r="CC480" s="304"/>
      <c r="CD480" s="304"/>
      <c r="CE480" s="304"/>
      <c r="CF480" s="304"/>
      <c r="CG480" s="304"/>
      <c r="CH480" s="304"/>
      <c r="CI480" s="304"/>
      <c r="CJ480" s="304"/>
      <c r="CK480" s="304"/>
      <c r="CL480" s="304"/>
      <c r="CM480" s="304"/>
      <c r="CN480" s="304"/>
      <c r="CO480" s="304"/>
      <c r="CP480" s="304"/>
    </row>
    <row r="481" spans="1:94" s="87" customFormat="1">
      <c r="A481" s="81"/>
      <c r="B481" s="83"/>
      <c r="C481" s="82"/>
      <c r="D481" s="102"/>
      <c r="E481" s="102"/>
      <c r="F481" s="102"/>
      <c r="G481" s="83"/>
      <c r="H481" s="102"/>
      <c r="I481" s="218"/>
      <c r="J481" s="102"/>
      <c r="K481" s="102" t="str">
        <f t="shared" si="34"/>
        <v/>
      </c>
      <c r="L481" s="221"/>
      <c r="M481" s="325"/>
      <c r="N481" s="85"/>
      <c r="O481" s="327"/>
      <c r="P481" s="84"/>
      <c r="Q481" s="88"/>
      <c r="R481" s="102">
        <f t="shared" si="33"/>
        <v>0</v>
      </c>
      <c r="S481" s="89"/>
      <c r="T481" s="100"/>
      <c r="U481" s="86"/>
      <c r="V481" s="86"/>
      <c r="W481" s="86"/>
      <c r="X481" s="86"/>
      <c r="Y481" s="83"/>
      <c r="Z481" s="304"/>
      <c r="AA481" s="304"/>
      <c r="AB481" s="304"/>
      <c r="AC481" s="304"/>
      <c r="AD481" s="304"/>
      <c r="AE481" s="304"/>
      <c r="AF481" s="304"/>
      <c r="AG481" s="304"/>
      <c r="AH481" s="304"/>
      <c r="AI481" s="304"/>
      <c r="AJ481" s="304"/>
      <c r="AK481" s="304"/>
      <c r="AL481" s="304"/>
      <c r="AM481" s="304"/>
      <c r="AN481" s="304"/>
      <c r="AO481" s="304"/>
      <c r="AP481" s="304"/>
      <c r="AQ481" s="304"/>
      <c r="AR481" s="304"/>
      <c r="AS481" s="304"/>
      <c r="AT481" s="304"/>
      <c r="AU481" s="304"/>
      <c r="AV481" s="304"/>
      <c r="AW481" s="304"/>
      <c r="AX481" s="304"/>
      <c r="AY481" s="304"/>
      <c r="AZ481" s="304"/>
      <c r="BA481" s="304"/>
      <c r="BB481" s="304"/>
      <c r="BC481" s="304"/>
      <c r="BD481" s="304"/>
      <c r="BE481" s="304"/>
      <c r="BF481" s="304"/>
      <c r="BG481" s="304"/>
      <c r="BH481" s="304"/>
      <c r="BI481" s="304"/>
      <c r="BJ481" s="304"/>
      <c r="BK481" s="304"/>
      <c r="BL481" s="304"/>
      <c r="BM481" s="304"/>
      <c r="BN481" s="304"/>
      <c r="BO481" s="304"/>
      <c r="BP481" s="304"/>
      <c r="BQ481" s="304"/>
      <c r="BR481" s="304"/>
      <c r="BS481" s="304"/>
      <c r="BT481" s="304"/>
      <c r="BU481" s="304"/>
      <c r="BV481" s="304"/>
      <c r="BW481" s="304"/>
      <c r="BX481" s="304"/>
      <c r="BY481" s="304"/>
      <c r="BZ481" s="304"/>
      <c r="CA481" s="304"/>
      <c r="CB481" s="304"/>
      <c r="CC481" s="304"/>
      <c r="CD481" s="304"/>
      <c r="CE481" s="304"/>
      <c r="CF481" s="304"/>
      <c r="CG481" s="304"/>
      <c r="CH481" s="304"/>
      <c r="CI481" s="304"/>
      <c r="CJ481" s="304"/>
      <c r="CK481" s="304"/>
      <c r="CL481" s="304"/>
      <c r="CM481" s="304"/>
      <c r="CN481" s="304"/>
      <c r="CO481" s="304"/>
      <c r="CP481" s="304"/>
    </row>
    <row r="482" spans="1:94" s="87" customFormat="1">
      <c r="A482" s="81"/>
      <c r="B482" s="83"/>
      <c r="C482" s="82"/>
      <c r="D482" s="102"/>
      <c r="E482" s="102"/>
      <c r="F482" s="102"/>
      <c r="G482" s="83"/>
      <c r="H482" s="102"/>
      <c r="I482" s="218"/>
      <c r="J482" s="102"/>
      <c r="K482" s="102" t="str">
        <f t="shared" si="34"/>
        <v/>
      </c>
      <c r="L482" s="221"/>
      <c r="M482" s="325"/>
      <c r="N482" s="85"/>
      <c r="O482" s="327"/>
      <c r="P482" s="84"/>
      <c r="Q482" s="88"/>
      <c r="R482" s="102">
        <f t="shared" si="33"/>
        <v>0</v>
      </c>
      <c r="S482" s="89"/>
      <c r="T482" s="100"/>
      <c r="U482" s="86"/>
      <c r="V482" s="86"/>
      <c r="W482" s="86"/>
      <c r="X482" s="86"/>
      <c r="Y482" s="83"/>
      <c r="Z482" s="304"/>
      <c r="AA482" s="304"/>
      <c r="AB482" s="304"/>
      <c r="AC482" s="304"/>
      <c r="AD482" s="304"/>
      <c r="AE482" s="304"/>
      <c r="AF482" s="304"/>
      <c r="AG482" s="304"/>
      <c r="AH482" s="304"/>
      <c r="AI482" s="304"/>
      <c r="AJ482" s="304"/>
      <c r="AK482" s="304"/>
      <c r="AL482" s="304"/>
      <c r="AM482" s="304"/>
      <c r="AN482" s="304"/>
      <c r="AO482" s="304"/>
      <c r="AP482" s="304"/>
      <c r="AQ482" s="304"/>
      <c r="AR482" s="304"/>
      <c r="AS482" s="304"/>
      <c r="AT482" s="304"/>
      <c r="AU482" s="304"/>
      <c r="AV482" s="304"/>
      <c r="AW482" s="304"/>
      <c r="AX482" s="304"/>
      <c r="AY482" s="304"/>
      <c r="AZ482" s="304"/>
      <c r="BA482" s="304"/>
      <c r="BB482" s="304"/>
      <c r="BC482" s="304"/>
      <c r="BD482" s="304"/>
      <c r="BE482" s="304"/>
      <c r="BF482" s="304"/>
      <c r="BG482" s="304"/>
      <c r="BH482" s="304"/>
      <c r="BI482" s="304"/>
      <c r="BJ482" s="304"/>
      <c r="BK482" s="304"/>
      <c r="BL482" s="304"/>
      <c r="BM482" s="304"/>
      <c r="BN482" s="304"/>
      <c r="BO482" s="304"/>
      <c r="BP482" s="304"/>
      <c r="BQ482" s="304"/>
      <c r="BR482" s="304"/>
      <c r="BS482" s="304"/>
      <c r="BT482" s="304"/>
      <c r="BU482" s="304"/>
      <c r="BV482" s="304"/>
      <c r="BW482" s="304"/>
      <c r="BX482" s="304"/>
      <c r="BY482" s="304"/>
      <c r="BZ482" s="304"/>
      <c r="CA482" s="304"/>
      <c r="CB482" s="304"/>
      <c r="CC482" s="304"/>
      <c r="CD482" s="304"/>
      <c r="CE482" s="304"/>
      <c r="CF482" s="304"/>
      <c r="CG482" s="304"/>
      <c r="CH482" s="304"/>
      <c r="CI482" s="304"/>
      <c r="CJ482" s="304"/>
      <c r="CK482" s="304"/>
      <c r="CL482" s="304"/>
      <c r="CM482" s="304"/>
      <c r="CN482" s="304"/>
      <c r="CO482" s="304"/>
      <c r="CP482" s="304"/>
    </row>
    <row r="483" spans="1:94" s="87" customFormat="1">
      <c r="A483" s="81"/>
      <c r="B483" s="83"/>
      <c r="C483" s="82"/>
      <c r="D483" s="102"/>
      <c r="E483" s="102"/>
      <c r="F483" s="102"/>
      <c r="G483" s="83"/>
      <c r="H483" s="102"/>
      <c r="I483" s="218"/>
      <c r="J483" s="102"/>
      <c r="K483" s="102" t="str">
        <f t="shared" si="34"/>
        <v/>
      </c>
      <c r="L483" s="221"/>
      <c r="M483" s="325"/>
      <c r="N483" s="85"/>
      <c r="O483" s="327"/>
      <c r="P483" s="84"/>
      <c r="Q483" s="88"/>
      <c r="R483" s="102">
        <f t="shared" si="33"/>
        <v>0</v>
      </c>
      <c r="S483" s="89"/>
      <c r="T483" s="100"/>
      <c r="U483" s="86"/>
      <c r="V483" s="86"/>
      <c r="W483" s="86"/>
      <c r="X483" s="86"/>
      <c r="Y483" s="83"/>
      <c r="Z483" s="304"/>
      <c r="AA483" s="304"/>
      <c r="AB483" s="304"/>
      <c r="AC483" s="304"/>
      <c r="AD483" s="304"/>
      <c r="AE483" s="304"/>
      <c r="AF483" s="304"/>
      <c r="AG483" s="304"/>
      <c r="AH483" s="304"/>
      <c r="AI483" s="304"/>
      <c r="AJ483" s="304"/>
      <c r="AK483" s="304"/>
      <c r="AL483" s="304"/>
      <c r="AM483" s="304"/>
      <c r="AN483" s="304"/>
      <c r="AO483" s="304"/>
      <c r="AP483" s="304"/>
      <c r="AQ483" s="304"/>
      <c r="AR483" s="304"/>
      <c r="AS483" s="304"/>
      <c r="AT483" s="304"/>
      <c r="AU483" s="304"/>
      <c r="AV483" s="304"/>
      <c r="AW483" s="304"/>
      <c r="AX483" s="304"/>
      <c r="AY483" s="304"/>
      <c r="AZ483" s="304"/>
      <c r="BA483" s="304"/>
      <c r="BB483" s="304"/>
      <c r="BC483" s="304"/>
      <c r="BD483" s="304"/>
      <c r="BE483" s="304"/>
      <c r="BF483" s="304"/>
      <c r="BG483" s="304"/>
      <c r="BH483" s="304"/>
      <c r="BI483" s="304"/>
      <c r="BJ483" s="304"/>
      <c r="BK483" s="304"/>
      <c r="BL483" s="304"/>
      <c r="BM483" s="304"/>
      <c r="BN483" s="304"/>
      <c r="BO483" s="304"/>
      <c r="BP483" s="304"/>
      <c r="BQ483" s="304"/>
      <c r="BR483" s="304"/>
      <c r="BS483" s="304"/>
      <c r="BT483" s="304"/>
      <c r="BU483" s="304"/>
      <c r="BV483" s="304"/>
      <c r="BW483" s="304"/>
      <c r="BX483" s="304"/>
      <c r="BY483" s="304"/>
      <c r="BZ483" s="304"/>
      <c r="CA483" s="304"/>
      <c r="CB483" s="304"/>
      <c r="CC483" s="304"/>
      <c r="CD483" s="304"/>
      <c r="CE483" s="304"/>
      <c r="CF483" s="304"/>
      <c r="CG483" s="304"/>
      <c r="CH483" s="304"/>
      <c r="CI483" s="304"/>
      <c r="CJ483" s="304"/>
      <c r="CK483" s="304"/>
      <c r="CL483" s="304"/>
      <c r="CM483" s="304"/>
      <c r="CN483" s="304"/>
      <c r="CO483" s="304"/>
      <c r="CP483" s="304"/>
    </row>
    <row r="484" spans="1:94" s="87" customFormat="1">
      <c r="A484" s="81"/>
      <c r="B484" s="83"/>
      <c r="C484" s="82"/>
      <c r="D484" s="102"/>
      <c r="E484" s="102"/>
      <c r="F484" s="102"/>
      <c r="G484" s="83"/>
      <c r="H484" s="102"/>
      <c r="I484" s="218"/>
      <c r="J484" s="102"/>
      <c r="K484" s="102" t="str">
        <f t="shared" si="34"/>
        <v/>
      </c>
      <c r="L484" s="221"/>
      <c r="M484" s="325"/>
      <c r="N484" s="85"/>
      <c r="O484" s="327"/>
      <c r="P484" s="84"/>
      <c r="Q484" s="88"/>
      <c r="R484" s="102">
        <f t="shared" si="33"/>
        <v>0</v>
      </c>
      <c r="S484" s="89"/>
      <c r="T484" s="100"/>
      <c r="U484" s="86"/>
      <c r="V484" s="86"/>
      <c r="W484" s="86"/>
      <c r="X484" s="86"/>
      <c r="Y484" s="83"/>
      <c r="Z484" s="304"/>
      <c r="AA484" s="304"/>
      <c r="AB484" s="304"/>
      <c r="AC484" s="304"/>
      <c r="AD484" s="304"/>
      <c r="AE484" s="304"/>
      <c r="AF484" s="304"/>
      <c r="AG484" s="304"/>
      <c r="AH484" s="304"/>
      <c r="AI484" s="304"/>
      <c r="AJ484" s="304"/>
      <c r="AK484" s="304"/>
      <c r="AL484" s="304"/>
      <c r="AM484" s="304"/>
      <c r="AN484" s="304"/>
      <c r="AO484" s="304"/>
      <c r="AP484" s="304"/>
      <c r="AQ484" s="304"/>
      <c r="AR484" s="304"/>
      <c r="AS484" s="304"/>
      <c r="AT484" s="304"/>
      <c r="AU484" s="304"/>
      <c r="AV484" s="304"/>
      <c r="AW484" s="304"/>
      <c r="AX484" s="304"/>
      <c r="AY484" s="304"/>
      <c r="AZ484" s="304"/>
      <c r="BA484" s="304"/>
      <c r="BB484" s="304"/>
      <c r="BC484" s="304"/>
      <c r="BD484" s="304"/>
      <c r="BE484" s="304"/>
      <c r="BF484" s="304"/>
      <c r="BG484" s="304"/>
      <c r="BH484" s="304"/>
      <c r="BI484" s="304"/>
      <c r="BJ484" s="304"/>
      <c r="BK484" s="304"/>
      <c r="BL484" s="304"/>
      <c r="BM484" s="304"/>
      <c r="BN484" s="304"/>
      <c r="BO484" s="304"/>
      <c r="BP484" s="304"/>
      <c r="BQ484" s="304"/>
      <c r="BR484" s="304"/>
      <c r="BS484" s="304"/>
      <c r="BT484" s="304"/>
      <c r="BU484" s="304"/>
      <c r="BV484" s="304"/>
      <c r="BW484" s="304"/>
      <c r="BX484" s="304"/>
      <c r="BY484" s="304"/>
      <c r="BZ484" s="304"/>
      <c r="CA484" s="304"/>
      <c r="CB484" s="304"/>
      <c r="CC484" s="304"/>
      <c r="CD484" s="304"/>
      <c r="CE484" s="304"/>
      <c r="CF484" s="304"/>
      <c r="CG484" s="304"/>
      <c r="CH484" s="304"/>
      <c r="CI484" s="304"/>
      <c r="CJ484" s="304"/>
      <c r="CK484" s="304"/>
      <c r="CL484" s="304"/>
      <c r="CM484" s="304"/>
      <c r="CN484" s="304"/>
      <c r="CO484" s="304"/>
      <c r="CP484" s="304"/>
    </row>
    <row r="485" spans="1:94" s="87" customFormat="1">
      <c r="A485" s="81"/>
      <c r="B485" s="83"/>
      <c r="C485" s="82"/>
      <c r="D485" s="102"/>
      <c r="E485" s="102"/>
      <c r="F485" s="102"/>
      <c r="G485" s="83"/>
      <c r="H485" s="102"/>
      <c r="I485" s="218"/>
      <c r="J485" s="102"/>
      <c r="K485" s="102" t="str">
        <f t="shared" si="34"/>
        <v/>
      </c>
      <c r="L485" s="221"/>
      <c r="M485" s="325"/>
      <c r="N485" s="85"/>
      <c r="O485" s="327"/>
      <c r="P485" s="84"/>
      <c r="Q485" s="88"/>
      <c r="R485" s="102">
        <f t="shared" si="33"/>
        <v>0</v>
      </c>
      <c r="S485" s="89"/>
      <c r="T485" s="100"/>
      <c r="U485" s="86"/>
      <c r="V485" s="86"/>
      <c r="W485" s="86"/>
      <c r="X485" s="86"/>
      <c r="Y485" s="83"/>
      <c r="Z485" s="304"/>
      <c r="AA485" s="304"/>
      <c r="AB485" s="304"/>
      <c r="AC485" s="304"/>
      <c r="AD485" s="304"/>
      <c r="AE485" s="304"/>
      <c r="AF485" s="304"/>
      <c r="AG485" s="304"/>
      <c r="AH485" s="304"/>
      <c r="AI485" s="304"/>
      <c r="AJ485" s="304"/>
      <c r="AK485" s="304"/>
      <c r="AL485" s="304"/>
      <c r="AM485" s="304"/>
      <c r="AN485" s="304"/>
      <c r="AO485" s="304"/>
      <c r="AP485" s="304"/>
      <c r="AQ485" s="304"/>
      <c r="AR485" s="304"/>
      <c r="AS485" s="304"/>
      <c r="AT485" s="304"/>
      <c r="AU485" s="304"/>
      <c r="AV485" s="304"/>
      <c r="AW485" s="304"/>
      <c r="AX485" s="304"/>
      <c r="AY485" s="304"/>
      <c r="AZ485" s="304"/>
      <c r="BA485" s="304"/>
      <c r="BB485" s="304"/>
      <c r="BC485" s="304"/>
      <c r="BD485" s="304"/>
      <c r="BE485" s="304"/>
      <c r="BF485" s="304"/>
      <c r="BG485" s="304"/>
      <c r="BH485" s="304"/>
      <c r="BI485" s="304"/>
      <c r="BJ485" s="304"/>
      <c r="BK485" s="304"/>
      <c r="BL485" s="304"/>
      <c r="BM485" s="304"/>
      <c r="BN485" s="304"/>
      <c r="BO485" s="304"/>
      <c r="BP485" s="304"/>
      <c r="BQ485" s="304"/>
      <c r="BR485" s="304"/>
      <c r="BS485" s="304"/>
      <c r="BT485" s="304"/>
      <c r="BU485" s="304"/>
      <c r="BV485" s="304"/>
      <c r="BW485" s="304"/>
      <c r="BX485" s="304"/>
      <c r="BY485" s="304"/>
      <c r="BZ485" s="304"/>
      <c r="CA485" s="304"/>
      <c r="CB485" s="304"/>
      <c r="CC485" s="304"/>
      <c r="CD485" s="304"/>
      <c r="CE485" s="304"/>
      <c r="CF485" s="304"/>
      <c r="CG485" s="304"/>
      <c r="CH485" s="304"/>
      <c r="CI485" s="304"/>
      <c r="CJ485" s="304"/>
      <c r="CK485" s="304"/>
      <c r="CL485" s="304"/>
      <c r="CM485" s="304"/>
      <c r="CN485" s="304"/>
      <c r="CO485" s="304"/>
      <c r="CP485" s="304"/>
    </row>
    <row r="486" spans="1:94" s="87" customFormat="1">
      <c r="A486" s="81"/>
      <c r="B486" s="83"/>
      <c r="C486" s="82"/>
      <c r="D486" s="102"/>
      <c r="E486" s="102"/>
      <c r="F486" s="102"/>
      <c r="G486" s="83"/>
      <c r="H486" s="102"/>
      <c r="I486" s="218"/>
      <c r="J486" s="102"/>
      <c r="K486" s="102" t="str">
        <f t="shared" ref="K486:K500" si="35">IF(RIGHT(IF(LEFT(SUBSTITUTE(SUBSTITUTE(IF(ISERROR(LEFT(SUBSTITUTE(SUBSTITUTE(C486,"(",""),")",""),1)*1),SUBSTITUTE(SUBSTITUTE(C486,"(",""),")",""),SUBSTITUTE(SUBSTITUTE(SUBSTITUTE(C486,"(",""),")",""),"_","",1)),"00",""),"_0","_"),1)="0",RIGHT(SUBSTITUTE(SUBSTITUTE(IF(ISERROR(LEFT(SUBSTITUTE(SUBSTITUTE(C486,"(",""),")",""),1)*1),SUBSTITUTE(SUBSTITUTE(C486,"(",""),")",""),SUBSTITUTE(SUBSTITUTE(SUBSTITUTE(C486,"(",""),")",""),"_","",1)),"00",""),"_0","_"),LEN(SUBSTITUTE(SUBSTITUTE(IF(ISERROR(LEFT(SUBSTITUTE(SUBSTITUTE(C486,"(",""),")",""),1)*1),SUBSTITUTE(SUBSTITUTE(C486,"(",""),")",""),SUBSTITUTE(SUBSTITUTE(SUBSTITUTE(C486,"(",""),")",""),"_","",1)),"00",""),"_0","_"))-1),SUBSTITUTE(SUBSTITUTE(IF(ISERROR(LEFT(SUBSTITUTE(SUBSTITUTE(C486,"(",""),")",""),1)*1),SUBSTITUTE(SUBSTITUTE(C486,"(",""),")",""),SUBSTITUTE(SUBSTITUTE(SUBSTITUTE(C486,"(",""),")",""),"_","",1)),"00",""),"_0","_")),1)="_",LEFT(IF(LEFT(SUBSTITUTE(SUBSTITUTE(IF(ISERROR(LEFT(SUBSTITUTE(SUBSTITUTE(C486,"(",""),")",""),1)*1),SUBSTITUTE(SUBSTITUTE(C486,"(",""),")",""),SUBSTITUTE(SUBSTITUTE(SUBSTITUTE(C486,"(",""),")",""),"_","",1)),"00",""),"_0","_"),1)="0",RIGHT(SUBSTITUTE(SUBSTITUTE(IF(ISERROR(LEFT(SUBSTITUTE(SUBSTITUTE(C486,"(",""),")",""),1)*1),SUBSTITUTE(SUBSTITUTE(C486,"(",""),")",""),SUBSTITUTE(SUBSTITUTE(SUBSTITUTE(C486,"(",""),")",""),"_","",1)),"00",""),"_0","_"),LEN(SUBSTITUTE(SUBSTITUTE(IF(ISERROR(LEFT(SUBSTITUTE(SUBSTITUTE(C486,"(",""),")",""),1)*1),SUBSTITUTE(SUBSTITUTE(C486,"(",""),")",""),SUBSTITUTE(SUBSTITUTE(SUBSTITUTE(C486,"(",""),")",""),"_","",1)),"00",""),"_0","_"))-1),SUBSTITUTE(SUBSTITUTE(IF(ISERROR(LEFT(SUBSTITUTE(SUBSTITUTE(C486,"(",""),")",""),1)*1),SUBSTITUTE(SUBSTITUTE(C486,"(",""),")",""),SUBSTITUTE(SUBSTITUTE(SUBSTITUTE(C486,"(",""),")",""),"_","",1)),"00",""),"_0","_")),LEN(IF(LEFT(SUBSTITUTE(SUBSTITUTE(IF(ISERROR(LEFT(SUBSTITUTE(SUBSTITUTE(C486,"(",""),")",""),1)*1),SUBSTITUTE(SUBSTITUTE(C486,"(",""),")",""),SUBSTITUTE(SUBSTITUTE(SUBSTITUTE(C486,"(",""),")",""),"_","",1)),"00",""),"_0","_"),1)="0",RIGHT(SUBSTITUTE(SUBSTITUTE(IF(ISERROR(LEFT(SUBSTITUTE(SUBSTITUTE(C486,"(",""),")",""),1)*1),SUBSTITUTE(SUBSTITUTE(C486,"(",""),")",""),SUBSTITUTE(SUBSTITUTE(SUBSTITUTE(C486,"(",""),")",""),"_","",1)),"00",""),"_0","_"),LEN(SUBSTITUTE(SUBSTITUTE(IF(ISERROR(LEFT(SUBSTITUTE(SUBSTITUTE(C486,"(",""),")",""),1)*1),SUBSTITUTE(SUBSTITUTE(C486,"(",""),")",""),SUBSTITUTE(SUBSTITUTE(SUBSTITUTE(C486,"(",""),")",""),"_","",1)),"00",""),"_0","_"))-1),SUBSTITUTE(SUBSTITUTE(IF(ISERROR(LEFT(SUBSTITUTE(SUBSTITUTE(C486,"(",""),")",""),1)*1),SUBSTITUTE(SUBSTITUTE(C486,"(",""),")",""),SUBSTITUTE(SUBSTITUTE(SUBSTITUTE(C486,"(",""),")",""),"_","",1)),"00",""),"_0","_")))-1),IF(LEFT(SUBSTITUTE(SUBSTITUTE(IF(ISERROR(LEFT(SUBSTITUTE(SUBSTITUTE(C486,"(",""),")",""),1)*1),SUBSTITUTE(SUBSTITUTE(C486,"(",""),")",""),SUBSTITUTE(SUBSTITUTE(SUBSTITUTE(C486,"(",""),")",""),"_","",1)),"00",""),"_0","_"),1)="0",RIGHT(SUBSTITUTE(SUBSTITUTE(IF(ISERROR(LEFT(SUBSTITUTE(SUBSTITUTE(C486,"(",""),")",""),1)*1),SUBSTITUTE(SUBSTITUTE(C486,"(",""),")",""),SUBSTITUTE(SUBSTITUTE(SUBSTITUTE(C486,"(",""),")",""),"_","",1)),"00",""),"_0","_"),LEN(SUBSTITUTE(SUBSTITUTE(IF(ISERROR(LEFT(SUBSTITUTE(SUBSTITUTE(C486,"(",""),")",""),1)*1),SUBSTITUTE(SUBSTITUTE(C486,"(",""),")",""),SUBSTITUTE(SUBSTITUTE(SUBSTITUTE(C486,"(",""),")",""),"_","",1)),"00",""),"_0","_"))-1),SUBSTITUTE(SUBSTITUTE(IF(ISERROR(LEFT(SUBSTITUTE(SUBSTITUTE(C486,"(",""),")",""),1)*1),SUBSTITUTE(SUBSTITUTE(C486,"(",""),")",""),SUBSTITUTE(SUBSTITUTE(SUBSTITUTE(C486,"(",""),")",""),"_","",1)),"00",""),"_0","_")))</f>
        <v/>
      </c>
      <c r="L486" s="221"/>
      <c r="M486" s="325"/>
      <c r="N486" s="85"/>
      <c r="O486" s="327"/>
      <c r="P486" s="84"/>
      <c r="Q486" s="88"/>
      <c r="R486" s="102">
        <f t="shared" si="33"/>
        <v>0</v>
      </c>
      <c r="S486" s="89"/>
      <c r="T486" s="100"/>
      <c r="U486" s="86"/>
      <c r="V486" s="86"/>
      <c r="W486" s="86"/>
      <c r="X486" s="86"/>
      <c r="Y486" s="83"/>
      <c r="Z486" s="304"/>
      <c r="AA486" s="304"/>
      <c r="AB486" s="304"/>
      <c r="AC486" s="304"/>
      <c r="AD486" s="304"/>
      <c r="AE486" s="304"/>
      <c r="AF486" s="304"/>
      <c r="AG486" s="304"/>
      <c r="AH486" s="304"/>
      <c r="AI486" s="304"/>
      <c r="AJ486" s="304"/>
      <c r="AK486" s="304"/>
      <c r="AL486" s="304"/>
      <c r="AM486" s="304"/>
      <c r="AN486" s="304"/>
      <c r="AO486" s="304"/>
      <c r="AP486" s="304"/>
      <c r="AQ486" s="304"/>
      <c r="AR486" s="304"/>
      <c r="AS486" s="304"/>
      <c r="AT486" s="304"/>
      <c r="AU486" s="304"/>
      <c r="AV486" s="304"/>
      <c r="AW486" s="304"/>
      <c r="AX486" s="304"/>
      <c r="AY486" s="304"/>
      <c r="AZ486" s="304"/>
      <c r="BA486" s="304"/>
      <c r="BB486" s="304"/>
      <c r="BC486" s="304"/>
      <c r="BD486" s="304"/>
      <c r="BE486" s="304"/>
      <c r="BF486" s="304"/>
      <c r="BG486" s="304"/>
      <c r="BH486" s="304"/>
      <c r="BI486" s="304"/>
      <c r="BJ486" s="304"/>
      <c r="BK486" s="304"/>
      <c r="BL486" s="304"/>
      <c r="BM486" s="304"/>
      <c r="BN486" s="304"/>
      <c r="BO486" s="304"/>
      <c r="BP486" s="304"/>
      <c r="BQ486" s="304"/>
      <c r="BR486" s="304"/>
      <c r="BS486" s="304"/>
      <c r="BT486" s="304"/>
      <c r="BU486" s="304"/>
      <c r="BV486" s="304"/>
      <c r="BW486" s="304"/>
      <c r="BX486" s="304"/>
      <c r="BY486" s="304"/>
      <c r="BZ486" s="304"/>
      <c r="CA486" s="304"/>
      <c r="CB486" s="304"/>
      <c r="CC486" s="304"/>
      <c r="CD486" s="304"/>
      <c r="CE486" s="304"/>
      <c r="CF486" s="304"/>
      <c r="CG486" s="304"/>
      <c r="CH486" s="304"/>
      <c r="CI486" s="304"/>
      <c r="CJ486" s="304"/>
      <c r="CK486" s="304"/>
      <c r="CL486" s="304"/>
      <c r="CM486" s="304"/>
      <c r="CN486" s="304"/>
      <c r="CO486" s="304"/>
      <c r="CP486" s="304"/>
    </row>
    <row r="487" spans="1:94" s="87" customFormat="1">
      <c r="A487" s="81"/>
      <c r="B487" s="83"/>
      <c r="C487" s="82"/>
      <c r="D487" s="102"/>
      <c r="E487" s="102"/>
      <c r="F487" s="102"/>
      <c r="G487" s="83"/>
      <c r="H487" s="102"/>
      <c r="I487" s="218"/>
      <c r="J487" s="102"/>
      <c r="K487" s="102" t="str">
        <f t="shared" si="35"/>
        <v/>
      </c>
      <c r="L487" s="221"/>
      <c r="M487" s="325"/>
      <c r="N487" s="85"/>
      <c r="O487" s="327"/>
      <c r="P487" s="84"/>
      <c r="Q487" s="88"/>
      <c r="R487" s="102">
        <f t="shared" si="33"/>
        <v>0</v>
      </c>
      <c r="S487" s="89"/>
      <c r="T487" s="100"/>
      <c r="U487" s="86"/>
      <c r="V487" s="86"/>
      <c r="W487" s="86"/>
      <c r="X487" s="86"/>
      <c r="Y487" s="83"/>
      <c r="Z487" s="304"/>
      <c r="AA487" s="304"/>
      <c r="AB487" s="304"/>
      <c r="AC487" s="304"/>
      <c r="AD487" s="304"/>
      <c r="AE487" s="304"/>
      <c r="AF487" s="304"/>
      <c r="AG487" s="304"/>
      <c r="AH487" s="304"/>
      <c r="AI487" s="304"/>
      <c r="AJ487" s="304"/>
      <c r="AK487" s="304"/>
      <c r="AL487" s="304"/>
      <c r="AM487" s="304"/>
      <c r="AN487" s="304"/>
      <c r="AO487" s="304"/>
      <c r="AP487" s="304"/>
      <c r="AQ487" s="304"/>
      <c r="AR487" s="304"/>
      <c r="AS487" s="304"/>
      <c r="AT487" s="304"/>
      <c r="AU487" s="304"/>
      <c r="AV487" s="304"/>
      <c r="AW487" s="304"/>
      <c r="AX487" s="304"/>
      <c r="AY487" s="304"/>
      <c r="AZ487" s="304"/>
      <c r="BA487" s="304"/>
      <c r="BB487" s="304"/>
      <c r="BC487" s="304"/>
      <c r="BD487" s="304"/>
      <c r="BE487" s="304"/>
      <c r="BF487" s="304"/>
      <c r="BG487" s="304"/>
      <c r="BH487" s="304"/>
      <c r="BI487" s="304"/>
      <c r="BJ487" s="304"/>
      <c r="BK487" s="304"/>
      <c r="BL487" s="304"/>
      <c r="BM487" s="304"/>
      <c r="BN487" s="304"/>
      <c r="BO487" s="304"/>
      <c r="BP487" s="304"/>
      <c r="BQ487" s="304"/>
      <c r="BR487" s="304"/>
      <c r="BS487" s="304"/>
      <c r="BT487" s="304"/>
      <c r="BU487" s="304"/>
      <c r="BV487" s="304"/>
      <c r="BW487" s="304"/>
      <c r="BX487" s="304"/>
      <c r="BY487" s="304"/>
      <c r="BZ487" s="304"/>
      <c r="CA487" s="304"/>
      <c r="CB487" s="304"/>
      <c r="CC487" s="304"/>
      <c r="CD487" s="304"/>
      <c r="CE487" s="304"/>
      <c r="CF487" s="304"/>
      <c r="CG487" s="304"/>
      <c r="CH487" s="304"/>
      <c r="CI487" s="304"/>
      <c r="CJ487" s="304"/>
      <c r="CK487" s="304"/>
      <c r="CL487" s="304"/>
      <c r="CM487" s="304"/>
      <c r="CN487" s="304"/>
      <c r="CO487" s="304"/>
      <c r="CP487" s="304"/>
    </row>
    <row r="488" spans="1:94" s="87" customFormat="1">
      <c r="A488" s="81"/>
      <c r="B488" s="83"/>
      <c r="C488" s="82"/>
      <c r="D488" s="102"/>
      <c r="E488" s="102"/>
      <c r="F488" s="102"/>
      <c r="G488" s="83"/>
      <c r="H488" s="102"/>
      <c r="I488" s="218"/>
      <c r="J488" s="102"/>
      <c r="K488" s="102" t="str">
        <f t="shared" si="35"/>
        <v/>
      </c>
      <c r="L488" s="221"/>
      <c r="M488" s="325"/>
      <c r="N488" s="85"/>
      <c r="O488" s="327"/>
      <c r="P488" s="84"/>
      <c r="Q488" s="88"/>
      <c r="R488" s="102">
        <f t="shared" si="33"/>
        <v>0</v>
      </c>
      <c r="S488" s="89"/>
      <c r="T488" s="100"/>
      <c r="U488" s="86"/>
      <c r="V488" s="86"/>
      <c r="W488" s="86"/>
      <c r="X488" s="86"/>
      <c r="Y488" s="83"/>
      <c r="Z488" s="304"/>
      <c r="AA488" s="304"/>
      <c r="AB488" s="304"/>
      <c r="AC488" s="304"/>
      <c r="AD488" s="304"/>
      <c r="AE488" s="304"/>
      <c r="AF488" s="304"/>
      <c r="AG488" s="304"/>
      <c r="AH488" s="304"/>
      <c r="AI488" s="304"/>
      <c r="AJ488" s="304"/>
      <c r="AK488" s="304"/>
      <c r="AL488" s="304"/>
      <c r="AM488" s="304"/>
      <c r="AN488" s="304"/>
      <c r="AO488" s="304"/>
      <c r="AP488" s="304"/>
      <c r="AQ488" s="304"/>
      <c r="AR488" s="304"/>
      <c r="AS488" s="304"/>
      <c r="AT488" s="304"/>
      <c r="AU488" s="304"/>
      <c r="AV488" s="304"/>
      <c r="AW488" s="304"/>
      <c r="AX488" s="304"/>
      <c r="AY488" s="304"/>
      <c r="AZ488" s="304"/>
      <c r="BA488" s="304"/>
      <c r="BB488" s="304"/>
      <c r="BC488" s="304"/>
      <c r="BD488" s="304"/>
      <c r="BE488" s="304"/>
      <c r="BF488" s="304"/>
      <c r="BG488" s="304"/>
      <c r="BH488" s="304"/>
      <c r="BI488" s="304"/>
      <c r="BJ488" s="304"/>
      <c r="BK488" s="304"/>
      <c r="BL488" s="304"/>
      <c r="BM488" s="304"/>
      <c r="BN488" s="304"/>
      <c r="BO488" s="304"/>
      <c r="BP488" s="304"/>
      <c r="BQ488" s="304"/>
      <c r="BR488" s="304"/>
      <c r="BS488" s="304"/>
      <c r="BT488" s="304"/>
      <c r="BU488" s="304"/>
      <c r="BV488" s="304"/>
      <c r="BW488" s="304"/>
      <c r="BX488" s="304"/>
      <c r="BY488" s="304"/>
      <c r="BZ488" s="304"/>
      <c r="CA488" s="304"/>
      <c r="CB488" s="304"/>
      <c r="CC488" s="304"/>
      <c r="CD488" s="304"/>
      <c r="CE488" s="304"/>
      <c r="CF488" s="304"/>
      <c r="CG488" s="304"/>
      <c r="CH488" s="304"/>
      <c r="CI488" s="304"/>
      <c r="CJ488" s="304"/>
      <c r="CK488" s="304"/>
      <c r="CL488" s="304"/>
      <c r="CM488" s="304"/>
      <c r="CN488" s="304"/>
      <c r="CO488" s="304"/>
      <c r="CP488" s="304"/>
    </row>
    <row r="489" spans="1:94" s="87" customFormat="1">
      <c r="A489" s="81"/>
      <c r="B489" s="83"/>
      <c r="C489" s="82"/>
      <c r="D489" s="102"/>
      <c r="E489" s="102"/>
      <c r="F489" s="102"/>
      <c r="G489" s="83"/>
      <c r="H489" s="102"/>
      <c r="I489" s="218"/>
      <c r="J489" s="102"/>
      <c r="K489" s="102" t="str">
        <f t="shared" si="35"/>
        <v/>
      </c>
      <c r="L489" s="221"/>
      <c r="M489" s="325"/>
      <c r="N489" s="85"/>
      <c r="O489" s="327"/>
      <c r="P489" s="84"/>
      <c r="Q489" s="88"/>
      <c r="R489" s="102">
        <f t="shared" si="33"/>
        <v>0</v>
      </c>
      <c r="S489" s="89"/>
      <c r="T489" s="100"/>
      <c r="U489" s="86"/>
      <c r="V489" s="86"/>
      <c r="W489" s="86"/>
      <c r="X489" s="86"/>
      <c r="Y489" s="83"/>
      <c r="Z489" s="304"/>
      <c r="AA489" s="304"/>
      <c r="AB489" s="304"/>
      <c r="AC489" s="304"/>
      <c r="AD489" s="304"/>
      <c r="AE489" s="304"/>
      <c r="AF489" s="304"/>
      <c r="AG489" s="304"/>
      <c r="AH489" s="304"/>
      <c r="AI489" s="304"/>
      <c r="AJ489" s="304"/>
      <c r="AK489" s="304"/>
      <c r="AL489" s="304"/>
      <c r="AM489" s="304"/>
      <c r="AN489" s="304"/>
      <c r="AO489" s="304"/>
      <c r="AP489" s="304"/>
      <c r="AQ489" s="304"/>
      <c r="AR489" s="304"/>
      <c r="AS489" s="304"/>
      <c r="AT489" s="304"/>
      <c r="AU489" s="304"/>
      <c r="AV489" s="304"/>
      <c r="AW489" s="304"/>
      <c r="AX489" s="304"/>
      <c r="AY489" s="304"/>
      <c r="AZ489" s="304"/>
      <c r="BA489" s="304"/>
      <c r="BB489" s="304"/>
      <c r="BC489" s="304"/>
      <c r="BD489" s="304"/>
      <c r="BE489" s="304"/>
      <c r="BF489" s="304"/>
      <c r="BG489" s="304"/>
      <c r="BH489" s="304"/>
      <c r="BI489" s="304"/>
      <c r="BJ489" s="304"/>
      <c r="BK489" s="304"/>
      <c r="BL489" s="304"/>
      <c r="BM489" s="304"/>
      <c r="BN489" s="304"/>
      <c r="BO489" s="304"/>
      <c r="BP489" s="304"/>
      <c r="BQ489" s="304"/>
      <c r="BR489" s="304"/>
      <c r="BS489" s="304"/>
      <c r="BT489" s="304"/>
      <c r="BU489" s="304"/>
      <c r="BV489" s="304"/>
      <c r="BW489" s="304"/>
      <c r="BX489" s="304"/>
      <c r="BY489" s="304"/>
      <c r="BZ489" s="304"/>
      <c r="CA489" s="304"/>
      <c r="CB489" s="304"/>
      <c r="CC489" s="304"/>
      <c r="CD489" s="304"/>
      <c r="CE489" s="304"/>
      <c r="CF489" s="304"/>
      <c r="CG489" s="304"/>
      <c r="CH489" s="304"/>
      <c r="CI489" s="304"/>
      <c r="CJ489" s="304"/>
      <c r="CK489" s="304"/>
      <c r="CL489" s="304"/>
      <c r="CM489" s="304"/>
      <c r="CN489" s="304"/>
      <c r="CO489" s="304"/>
      <c r="CP489" s="304"/>
    </row>
    <row r="490" spans="1:94" s="87" customFormat="1">
      <c r="A490" s="81"/>
      <c r="B490" s="83"/>
      <c r="C490" s="82"/>
      <c r="D490" s="102"/>
      <c r="E490" s="102"/>
      <c r="F490" s="102"/>
      <c r="G490" s="83"/>
      <c r="H490" s="102"/>
      <c r="I490" s="218"/>
      <c r="J490" s="102"/>
      <c r="K490" s="102" t="str">
        <f t="shared" si="35"/>
        <v/>
      </c>
      <c r="L490" s="221"/>
      <c r="M490" s="325"/>
      <c r="N490" s="85"/>
      <c r="O490" s="327"/>
      <c r="P490" s="84"/>
      <c r="Q490" s="88"/>
      <c r="R490" s="102">
        <f t="shared" si="33"/>
        <v>0</v>
      </c>
      <c r="S490" s="89"/>
      <c r="T490" s="100"/>
      <c r="U490" s="86"/>
      <c r="V490" s="86"/>
      <c r="W490" s="86"/>
      <c r="X490" s="86"/>
      <c r="Y490" s="83"/>
      <c r="Z490" s="304"/>
      <c r="AA490" s="304"/>
      <c r="AB490" s="304"/>
      <c r="AC490" s="304"/>
      <c r="AD490" s="304"/>
      <c r="AE490" s="304"/>
      <c r="AF490" s="304"/>
      <c r="AG490" s="304"/>
      <c r="AH490" s="304"/>
      <c r="AI490" s="304"/>
      <c r="AJ490" s="304"/>
      <c r="AK490" s="304"/>
      <c r="AL490" s="304"/>
      <c r="AM490" s="304"/>
      <c r="AN490" s="304"/>
      <c r="AO490" s="304"/>
      <c r="AP490" s="304"/>
      <c r="AQ490" s="304"/>
      <c r="AR490" s="304"/>
      <c r="AS490" s="304"/>
      <c r="AT490" s="304"/>
      <c r="AU490" s="304"/>
      <c r="AV490" s="304"/>
      <c r="AW490" s="304"/>
      <c r="AX490" s="304"/>
      <c r="AY490" s="304"/>
      <c r="AZ490" s="304"/>
      <c r="BA490" s="304"/>
      <c r="BB490" s="304"/>
      <c r="BC490" s="304"/>
      <c r="BD490" s="304"/>
      <c r="BE490" s="304"/>
      <c r="BF490" s="304"/>
      <c r="BG490" s="304"/>
      <c r="BH490" s="304"/>
      <c r="BI490" s="304"/>
      <c r="BJ490" s="304"/>
      <c r="BK490" s="304"/>
      <c r="BL490" s="304"/>
      <c r="BM490" s="304"/>
      <c r="BN490" s="304"/>
      <c r="BO490" s="304"/>
      <c r="BP490" s="304"/>
      <c r="BQ490" s="304"/>
      <c r="BR490" s="304"/>
      <c r="BS490" s="304"/>
      <c r="BT490" s="304"/>
      <c r="BU490" s="304"/>
      <c r="BV490" s="304"/>
      <c r="BW490" s="304"/>
      <c r="BX490" s="304"/>
      <c r="BY490" s="304"/>
      <c r="BZ490" s="304"/>
      <c r="CA490" s="304"/>
      <c r="CB490" s="304"/>
      <c r="CC490" s="304"/>
      <c r="CD490" s="304"/>
      <c r="CE490" s="304"/>
      <c r="CF490" s="304"/>
      <c r="CG490" s="304"/>
      <c r="CH490" s="304"/>
      <c r="CI490" s="304"/>
      <c r="CJ490" s="304"/>
      <c r="CK490" s="304"/>
      <c r="CL490" s="304"/>
      <c r="CM490" s="304"/>
      <c r="CN490" s="304"/>
      <c r="CO490" s="304"/>
      <c r="CP490" s="304"/>
    </row>
    <row r="491" spans="1:94" s="87" customFormat="1">
      <c r="A491" s="81"/>
      <c r="B491" s="83"/>
      <c r="C491" s="82"/>
      <c r="D491" s="102"/>
      <c r="E491" s="102"/>
      <c r="F491" s="102"/>
      <c r="G491" s="83"/>
      <c r="H491" s="102"/>
      <c r="I491" s="218"/>
      <c r="J491" s="102"/>
      <c r="K491" s="102" t="str">
        <f t="shared" si="35"/>
        <v/>
      </c>
      <c r="L491" s="221"/>
      <c r="M491" s="325"/>
      <c r="N491" s="85"/>
      <c r="O491" s="327"/>
      <c r="P491" s="84"/>
      <c r="Q491" s="88"/>
      <c r="R491" s="102">
        <f t="shared" si="33"/>
        <v>0</v>
      </c>
      <c r="S491" s="89"/>
      <c r="T491" s="100"/>
      <c r="U491" s="86"/>
      <c r="V491" s="86"/>
      <c r="W491" s="86"/>
      <c r="X491" s="86"/>
      <c r="Y491" s="83"/>
      <c r="Z491" s="304"/>
      <c r="AA491" s="304"/>
      <c r="AB491" s="304"/>
      <c r="AC491" s="304"/>
      <c r="AD491" s="304"/>
      <c r="AE491" s="304"/>
      <c r="AF491" s="304"/>
      <c r="AG491" s="304"/>
      <c r="AH491" s="304"/>
      <c r="AI491" s="304"/>
      <c r="AJ491" s="304"/>
      <c r="AK491" s="304"/>
      <c r="AL491" s="304"/>
      <c r="AM491" s="304"/>
      <c r="AN491" s="304"/>
      <c r="AO491" s="304"/>
      <c r="AP491" s="304"/>
      <c r="AQ491" s="304"/>
      <c r="AR491" s="304"/>
      <c r="AS491" s="304"/>
      <c r="AT491" s="304"/>
      <c r="AU491" s="304"/>
      <c r="AV491" s="304"/>
      <c r="AW491" s="304"/>
      <c r="AX491" s="304"/>
      <c r="AY491" s="304"/>
      <c r="AZ491" s="304"/>
      <c r="BA491" s="304"/>
      <c r="BB491" s="304"/>
      <c r="BC491" s="304"/>
      <c r="BD491" s="304"/>
      <c r="BE491" s="304"/>
      <c r="BF491" s="304"/>
      <c r="BG491" s="304"/>
      <c r="BH491" s="304"/>
      <c r="BI491" s="304"/>
      <c r="BJ491" s="304"/>
      <c r="BK491" s="304"/>
      <c r="BL491" s="304"/>
      <c r="BM491" s="304"/>
      <c r="BN491" s="304"/>
      <c r="BO491" s="304"/>
      <c r="BP491" s="304"/>
      <c r="BQ491" s="304"/>
      <c r="BR491" s="304"/>
      <c r="BS491" s="304"/>
      <c r="BT491" s="304"/>
      <c r="BU491" s="304"/>
      <c r="BV491" s="304"/>
      <c r="BW491" s="304"/>
      <c r="BX491" s="304"/>
      <c r="BY491" s="304"/>
      <c r="BZ491" s="304"/>
      <c r="CA491" s="304"/>
      <c r="CB491" s="304"/>
      <c r="CC491" s="304"/>
      <c r="CD491" s="304"/>
      <c r="CE491" s="304"/>
      <c r="CF491" s="304"/>
      <c r="CG491" s="304"/>
      <c r="CH491" s="304"/>
      <c r="CI491" s="304"/>
      <c r="CJ491" s="304"/>
      <c r="CK491" s="304"/>
      <c r="CL491" s="304"/>
      <c r="CM491" s="304"/>
      <c r="CN491" s="304"/>
      <c r="CO491" s="304"/>
      <c r="CP491" s="304"/>
    </row>
    <row r="492" spans="1:94" s="87" customFormat="1">
      <c r="A492" s="81"/>
      <c r="B492" s="83"/>
      <c r="C492" s="82"/>
      <c r="D492" s="102"/>
      <c r="E492" s="102"/>
      <c r="F492" s="102"/>
      <c r="G492" s="83"/>
      <c r="H492" s="102"/>
      <c r="I492" s="218"/>
      <c r="J492" s="102"/>
      <c r="K492" s="102" t="str">
        <f t="shared" si="35"/>
        <v/>
      </c>
      <c r="L492" s="221"/>
      <c r="M492" s="325"/>
      <c r="N492" s="85"/>
      <c r="O492" s="327"/>
      <c r="P492" s="84"/>
      <c r="Q492" s="88"/>
      <c r="R492" s="102">
        <f t="shared" si="33"/>
        <v>0</v>
      </c>
      <c r="S492" s="89"/>
      <c r="T492" s="100"/>
      <c r="U492" s="86"/>
      <c r="V492" s="86"/>
      <c r="W492" s="86"/>
      <c r="X492" s="86"/>
      <c r="Y492" s="83"/>
      <c r="Z492" s="304"/>
      <c r="AA492" s="304"/>
      <c r="AB492" s="304"/>
      <c r="AC492" s="304"/>
      <c r="AD492" s="304"/>
      <c r="AE492" s="304"/>
      <c r="AF492" s="304"/>
      <c r="AG492" s="304"/>
      <c r="AH492" s="304"/>
      <c r="AI492" s="304"/>
      <c r="AJ492" s="304"/>
      <c r="AK492" s="304"/>
      <c r="AL492" s="304"/>
      <c r="AM492" s="304"/>
      <c r="AN492" s="304"/>
      <c r="AO492" s="304"/>
      <c r="AP492" s="304"/>
      <c r="AQ492" s="304"/>
      <c r="AR492" s="304"/>
      <c r="AS492" s="304"/>
      <c r="AT492" s="304"/>
      <c r="AU492" s="304"/>
      <c r="AV492" s="304"/>
      <c r="AW492" s="304"/>
      <c r="AX492" s="304"/>
      <c r="AY492" s="304"/>
      <c r="AZ492" s="304"/>
      <c r="BA492" s="304"/>
      <c r="BB492" s="304"/>
      <c r="BC492" s="304"/>
      <c r="BD492" s="304"/>
      <c r="BE492" s="304"/>
      <c r="BF492" s="304"/>
      <c r="BG492" s="304"/>
      <c r="BH492" s="304"/>
      <c r="BI492" s="304"/>
      <c r="BJ492" s="304"/>
      <c r="BK492" s="304"/>
      <c r="BL492" s="304"/>
      <c r="BM492" s="304"/>
      <c r="BN492" s="304"/>
      <c r="BO492" s="304"/>
      <c r="BP492" s="304"/>
      <c r="BQ492" s="304"/>
      <c r="BR492" s="304"/>
      <c r="BS492" s="304"/>
      <c r="BT492" s="304"/>
      <c r="BU492" s="304"/>
      <c r="BV492" s="304"/>
      <c r="BW492" s="304"/>
      <c r="BX492" s="304"/>
      <c r="BY492" s="304"/>
      <c r="BZ492" s="304"/>
      <c r="CA492" s="304"/>
      <c r="CB492" s="304"/>
      <c r="CC492" s="304"/>
      <c r="CD492" s="304"/>
      <c r="CE492" s="304"/>
      <c r="CF492" s="304"/>
      <c r="CG492" s="304"/>
      <c r="CH492" s="304"/>
      <c r="CI492" s="304"/>
      <c r="CJ492" s="304"/>
      <c r="CK492" s="304"/>
      <c r="CL492" s="304"/>
      <c r="CM492" s="304"/>
      <c r="CN492" s="304"/>
      <c r="CO492" s="304"/>
      <c r="CP492" s="304"/>
    </row>
    <row r="493" spans="1:94" s="87" customFormat="1">
      <c r="A493" s="81"/>
      <c r="B493" s="83"/>
      <c r="C493" s="82"/>
      <c r="D493" s="102"/>
      <c r="E493" s="102"/>
      <c r="F493" s="102"/>
      <c r="G493" s="83"/>
      <c r="H493" s="102"/>
      <c r="I493" s="218"/>
      <c r="J493" s="102"/>
      <c r="K493" s="102" t="str">
        <f t="shared" si="35"/>
        <v/>
      </c>
      <c r="L493" s="221"/>
      <c r="M493" s="325"/>
      <c r="N493" s="85"/>
      <c r="O493" s="327"/>
      <c r="P493" s="84"/>
      <c r="Q493" s="88"/>
      <c r="R493" s="102">
        <f t="shared" si="33"/>
        <v>0</v>
      </c>
      <c r="S493" s="89"/>
      <c r="T493" s="100"/>
      <c r="U493" s="86"/>
      <c r="V493" s="86"/>
      <c r="W493" s="86"/>
      <c r="X493" s="86"/>
      <c r="Y493" s="83"/>
      <c r="Z493" s="304"/>
      <c r="AA493" s="304"/>
      <c r="AB493" s="304"/>
      <c r="AC493" s="304"/>
      <c r="AD493" s="304"/>
      <c r="AE493" s="304"/>
      <c r="AF493" s="304"/>
      <c r="AG493" s="304"/>
      <c r="AH493" s="304"/>
      <c r="AI493" s="304"/>
      <c r="AJ493" s="304"/>
      <c r="AK493" s="304"/>
      <c r="AL493" s="304"/>
      <c r="AM493" s="304"/>
      <c r="AN493" s="304"/>
      <c r="AO493" s="304"/>
      <c r="AP493" s="304"/>
      <c r="AQ493" s="304"/>
      <c r="AR493" s="304"/>
      <c r="AS493" s="304"/>
      <c r="AT493" s="304"/>
      <c r="AU493" s="304"/>
      <c r="AV493" s="304"/>
      <c r="AW493" s="304"/>
      <c r="AX493" s="304"/>
      <c r="AY493" s="304"/>
      <c r="AZ493" s="304"/>
      <c r="BA493" s="304"/>
      <c r="BB493" s="304"/>
      <c r="BC493" s="304"/>
      <c r="BD493" s="304"/>
      <c r="BE493" s="304"/>
      <c r="BF493" s="304"/>
      <c r="BG493" s="304"/>
      <c r="BH493" s="304"/>
      <c r="BI493" s="304"/>
      <c r="BJ493" s="304"/>
      <c r="BK493" s="304"/>
      <c r="BL493" s="304"/>
      <c r="BM493" s="304"/>
      <c r="BN493" s="304"/>
      <c r="BO493" s="304"/>
      <c r="BP493" s="304"/>
      <c r="BQ493" s="304"/>
      <c r="BR493" s="304"/>
      <c r="BS493" s="304"/>
      <c r="BT493" s="304"/>
      <c r="BU493" s="304"/>
      <c r="BV493" s="304"/>
      <c r="BW493" s="304"/>
      <c r="BX493" s="304"/>
      <c r="BY493" s="304"/>
      <c r="BZ493" s="304"/>
      <c r="CA493" s="304"/>
      <c r="CB493" s="304"/>
      <c r="CC493" s="304"/>
      <c r="CD493" s="304"/>
      <c r="CE493" s="304"/>
      <c r="CF493" s="304"/>
      <c r="CG493" s="304"/>
      <c r="CH493" s="304"/>
      <c r="CI493" s="304"/>
      <c r="CJ493" s="304"/>
      <c r="CK493" s="304"/>
      <c r="CL493" s="304"/>
      <c r="CM493" s="304"/>
      <c r="CN493" s="304"/>
      <c r="CO493" s="304"/>
      <c r="CP493" s="304"/>
    </row>
    <row r="494" spans="1:94" s="87" customFormat="1">
      <c r="A494" s="81"/>
      <c r="B494" s="83"/>
      <c r="C494" s="82"/>
      <c r="D494" s="102"/>
      <c r="E494" s="102"/>
      <c r="F494" s="102"/>
      <c r="G494" s="83"/>
      <c r="H494" s="102"/>
      <c r="I494" s="218"/>
      <c r="J494" s="102"/>
      <c r="K494" s="102" t="str">
        <f t="shared" si="35"/>
        <v/>
      </c>
      <c r="L494" s="221"/>
      <c r="M494" s="325"/>
      <c r="N494" s="85"/>
      <c r="O494" s="327"/>
      <c r="P494" s="84"/>
      <c r="Q494" s="88"/>
      <c r="R494" s="102">
        <f t="shared" si="33"/>
        <v>0</v>
      </c>
      <c r="S494" s="89"/>
      <c r="T494" s="100"/>
      <c r="U494" s="86"/>
      <c r="V494" s="86"/>
      <c r="W494" s="86"/>
      <c r="X494" s="86"/>
      <c r="Y494" s="83"/>
      <c r="Z494" s="304"/>
      <c r="AA494" s="304"/>
      <c r="AB494" s="304"/>
      <c r="AC494" s="304"/>
      <c r="AD494" s="304"/>
      <c r="AE494" s="304"/>
      <c r="AF494" s="304"/>
      <c r="AG494" s="304"/>
      <c r="AH494" s="304"/>
      <c r="AI494" s="304"/>
      <c r="AJ494" s="304"/>
      <c r="AK494" s="304"/>
      <c r="AL494" s="304"/>
      <c r="AM494" s="304"/>
      <c r="AN494" s="304"/>
      <c r="AO494" s="304"/>
      <c r="AP494" s="304"/>
      <c r="AQ494" s="304"/>
      <c r="AR494" s="304"/>
      <c r="AS494" s="304"/>
      <c r="AT494" s="304"/>
      <c r="AU494" s="304"/>
      <c r="AV494" s="304"/>
      <c r="AW494" s="304"/>
      <c r="AX494" s="304"/>
      <c r="AY494" s="304"/>
      <c r="AZ494" s="304"/>
      <c r="BA494" s="304"/>
      <c r="BB494" s="304"/>
      <c r="BC494" s="304"/>
      <c r="BD494" s="304"/>
      <c r="BE494" s="304"/>
      <c r="BF494" s="304"/>
      <c r="BG494" s="304"/>
      <c r="BH494" s="304"/>
      <c r="BI494" s="304"/>
      <c r="BJ494" s="304"/>
      <c r="BK494" s="304"/>
      <c r="BL494" s="304"/>
      <c r="BM494" s="304"/>
      <c r="BN494" s="304"/>
      <c r="BO494" s="304"/>
      <c r="BP494" s="304"/>
      <c r="BQ494" s="304"/>
      <c r="BR494" s="304"/>
      <c r="BS494" s="304"/>
      <c r="BT494" s="304"/>
      <c r="BU494" s="304"/>
      <c r="BV494" s="304"/>
      <c r="BW494" s="304"/>
      <c r="BX494" s="304"/>
      <c r="BY494" s="304"/>
      <c r="BZ494" s="304"/>
      <c r="CA494" s="304"/>
      <c r="CB494" s="304"/>
      <c r="CC494" s="304"/>
      <c r="CD494" s="304"/>
      <c r="CE494" s="304"/>
      <c r="CF494" s="304"/>
      <c r="CG494" s="304"/>
      <c r="CH494" s="304"/>
      <c r="CI494" s="304"/>
      <c r="CJ494" s="304"/>
      <c r="CK494" s="304"/>
      <c r="CL494" s="304"/>
      <c r="CM494" s="304"/>
      <c r="CN494" s="304"/>
      <c r="CO494" s="304"/>
      <c r="CP494" s="304"/>
    </row>
    <row r="495" spans="1:94" s="87" customFormat="1">
      <c r="A495" s="81"/>
      <c r="B495" s="83"/>
      <c r="C495" s="82"/>
      <c r="D495" s="102"/>
      <c r="E495" s="102"/>
      <c r="F495" s="102"/>
      <c r="G495" s="83"/>
      <c r="H495" s="102"/>
      <c r="I495" s="218"/>
      <c r="J495" s="102"/>
      <c r="K495" s="102" t="str">
        <f t="shared" si="35"/>
        <v/>
      </c>
      <c r="L495" s="221"/>
      <c r="M495" s="325"/>
      <c r="N495" s="85"/>
      <c r="O495" s="327"/>
      <c r="P495" s="84"/>
      <c r="Q495" s="88"/>
      <c r="R495" s="102">
        <f t="shared" si="33"/>
        <v>0</v>
      </c>
      <c r="S495" s="89"/>
      <c r="T495" s="100"/>
      <c r="U495" s="86"/>
      <c r="V495" s="86"/>
      <c r="W495" s="86"/>
      <c r="X495" s="86"/>
      <c r="Y495" s="83"/>
      <c r="Z495" s="304"/>
      <c r="AA495" s="304"/>
      <c r="AB495" s="304"/>
      <c r="AC495" s="304"/>
      <c r="AD495" s="304"/>
      <c r="AE495" s="304"/>
      <c r="AF495" s="304"/>
      <c r="AG495" s="304"/>
      <c r="AH495" s="304"/>
      <c r="AI495" s="304"/>
      <c r="AJ495" s="304"/>
      <c r="AK495" s="304"/>
      <c r="AL495" s="304"/>
      <c r="AM495" s="304"/>
      <c r="AN495" s="304"/>
      <c r="AO495" s="304"/>
      <c r="AP495" s="304"/>
      <c r="AQ495" s="304"/>
      <c r="AR495" s="304"/>
      <c r="AS495" s="304"/>
      <c r="AT495" s="304"/>
      <c r="AU495" s="304"/>
      <c r="AV495" s="304"/>
      <c r="AW495" s="304"/>
      <c r="AX495" s="304"/>
      <c r="AY495" s="304"/>
      <c r="AZ495" s="304"/>
      <c r="BA495" s="304"/>
      <c r="BB495" s="304"/>
      <c r="BC495" s="304"/>
      <c r="BD495" s="304"/>
      <c r="BE495" s="304"/>
      <c r="BF495" s="304"/>
      <c r="BG495" s="304"/>
      <c r="BH495" s="304"/>
      <c r="BI495" s="304"/>
      <c r="BJ495" s="304"/>
      <c r="BK495" s="304"/>
      <c r="BL495" s="304"/>
      <c r="BM495" s="304"/>
      <c r="BN495" s="304"/>
      <c r="BO495" s="304"/>
      <c r="BP495" s="304"/>
      <c r="BQ495" s="304"/>
      <c r="BR495" s="304"/>
      <c r="BS495" s="304"/>
      <c r="BT495" s="304"/>
      <c r="BU495" s="304"/>
      <c r="BV495" s="304"/>
      <c r="BW495" s="304"/>
      <c r="BX495" s="304"/>
      <c r="BY495" s="304"/>
      <c r="BZ495" s="304"/>
      <c r="CA495" s="304"/>
      <c r="CB495" s="304"/>
      <c r="CC495" s="304"/>
      <c r="CD495" s="304"/>
      <c r="CE495" s="304"/>
      <c r="CF495" s="304"/>
      <c r="CG495" s="304"/>
      <c r="CH495" s="304"/>
      <c r="CI495" s="304"/>
      <c r="CJ495" s="304"/>
      <c r="CK495" s="304"/>
      <c r="CL495" s="304"/>
      <c r="CM495" s="304"/>
      <c r="CN495" s="304"/>
      <c r="CO495" s="304"/>
      <c r="CP495" s="304"/>
    </row>
    <row r="496" spans="1:94" s="87" customFormat="1">
      <c r="A496" s="81"/>
      <c r="B496" s="83"/>
      <c r="C496" s="82"/>
      <c r="D496" s="102"/>
      <c r="E496" s="102"/>
      <c r="F496" s="102"/>
      <c r="G496" s="83"/>
      <c r="H496" s="102"/>
      <c r="I496" s="218"/>
      <c r="J496" s="102"/>
      <c r="K496" s="102" t="str">
        <f t="shared" si="35"/>
        <v/>
      </c>
      <c r="L496" s="221"/>
      <c r="M496" s="325"/>
      <c r="N496" s="85"/>
      <c r="O496" s="327"/>
      <c r="P496" s="84"/>
      <c r="Q496" s="88"/>
      <c r="R496" s="102">
        <f t="shared" si="33"/>
        <v>0</v>
      </c>
      <c r="S496" s="89"/>
      <c r="T496" s="100"/>
      <c r="U496" s="86"/>
      <c r="V496" s="86"/>
      <c r="W496" s="86"/>
      <c r="X496" s="86"/>
      <c r="Y496" s="83"/>
      <c r="Z496" s="304"/>
      <c r="AA496" s="304"/>
      <c r="AB496" s="304"/>
      <c r="AC496" s="304"/>
      <c r="AD496" s="304"/>
      <c r="AE496" s="304"/>
      <c r="AF496" s="304"/>
      <c r="AG496" s="304"/>
      <c r="AH496" s="304"/>
      <c r="AI496" s="304"/>
      <c r="AJ496" s="304"/>
      <c r="AK496" s="304"/>
      <c r="AL496" s="304"/>
      <c r="AM496" s="304"/>
      <c r="AN496" s="304"/>
      <c r="AO496" s="304"/>
      <c r="AP496" s="304"/>
      <c r="AQ496" s="304"/>
      <c r="AR496" s="304"/>
      <c r="AS496" s="304"/>
      <c r="AT496" s="304"/>
      <c r="AU496" s="304"/>
      <c r="AV496" s="304"/>
      <c r="AW496" s="304"/>
      <c r="AX496" s="304"/>
      <c r="AY496" s="304"/>
      <c r="AZ496" s="304"/>
      <c r="BA496" s="304"/>
      <c r="BB496" s="304"/>
      <c r="BC496" s="304"/>
      <c r="BD496" s="304"/>
      <c r="BE496" s="304"/>
      <c r="BF496" s="304"/>
      <c r="BG496" s="304"/>
      <c r="BH496" s="304"/>
      <c r="BI496" s="304"/>
      <c r="BJ496" s="304"/>
      <c r="BK496" s="304"/>
      <c r="BL496" s="304"/>
      <c r="BM496" s="304"/>
      <c r="BN496" s="304"/>
      <c r="BO496" s="304"/>
      <c r="BP496" s="304"/>
      <c r="BQ496" s="304"/>
      <c r="BR496" s="304"/>
      <c r="BS496" s="304"/>
      <c r="BT496" s="304"/>
      <c r="BU496" s="304"/>
      <c r="BV496" s="304"/>
      <c r="BW496" s="304"/>
      <c r="BX496" s="304"/>
      <c r="BY496" s="304"/>
      <c r="BZ496" s="304"/>
      <c r="CA496" s="304"/>
      <c r="CB496" s="304"/>
      <c r="CC496" s="304"/>
      <c r="CD496" s="304"/>
      <c r="CE496" s="304"/>
      <c r="CF496" s="304"/>
      <c r="CG496" s="304"/>
      <c r="CH496" s="304"/>
      <c r="CI496" s="304"/>
      <c r="CJ496" s="304"/>
      <c r="CK496" s="304"/>
      <c r="CL496" s="304"/>
      <c r="CM496" s="304"/>
      <c r="CN496" s="304"/>
      <c r="CO496" s="304"/>
      <c r="CP496" s="304"/>
    </row>
    <row r="497" spans="1:94" s="87" customFormat="1">
      <c r="A497" s="81"/>
      <c r="B497" s="83"/>
      <c r="C497" s="82"/>
      <c r="D497" s="102"/>
      <c r="E497" s="102"/>
      <c r="F497" s="102"/>
      <c r="G497" s="83"/>
      <c r="H497" s="102"/>
      <c r="I497" s="218"/>
      <c r="J497" s="102"/>
      <c r="K497" s="102" t="str">
        <f t="shared" si="35"/>
        <v/>
      </c>
      <c r="L497" s="221"/>
      <c r="M497" s="325"/>
      <c r="N497" s="85"/>
      <c r="O497" s="327"/>
      <c r="P497" s="84"/>
      <c r="Q497" s="88"/>
      <c r="R497" s="102">
        <f t="shared" si="33"/>
        <v>0</v>
      </c>
      <c r="S497" s="89"/>
      <c r="T497" s="100"/>
      <c r="U497" s="86"/>
      <c r="V497" s="86"/>
      <c r="W497" s="86"/>
      <c r="X497" s="86"/>
      <c r="Y497" s="83"/>
      <c r="Z497" s="304"/>
      <c r="AA497" s="304"/>
      <c r="AB497" s="304"/>
      <c r="AC497" s="304"/>
      <c r="AD497" s="304"/>
      <c r="AE497" s="304"/>
      <c r="AF497" s="304"/>
      <c r="AG497" s="304"/>
      <c r="AH497" s="304"/>
      <c r="AI497" s="304"/>
      <c r="AJ497" s="304"/>
      <c r="AK497" s="304"/>
      <c r="AL497" s="304"/>
      <c r="AM497" s="304"/>
      <c r="AN497" s="304"/>
      <c r="AO497" s="304"/>
      <c r="AP497" s="304"/>
      <c r="AQ497" s="304"/>
      <c r="AR497" s="304"/>
      <c r="AS497" s="304"/>
      <c r="AT497" s="304"/>
      <c r="AU497" s="304"/>
      <c r="AV497" s="304"/>
      <c r="AW497" s="304"/>
      <c r="AX497" s="304"/>
      <c r="AY497" s="304"/>
      <c r="AZ497" s="304"/>
      <c r="BA497" s="304"/>
      <c r="BB497" s="304"/>
      <c r="BC497" s="304"/>
      <c r="BD497" s="304"/>
      <c r="BE497" s="304"/>
      <c r="BF497" s="304"/>
      <c r="BG497" s="304"/>
      <c r="BH497" s="304"/>
      <c r="BI497" s="304"/>
      <c r="BJ497" s="304"/>
      <c r="BK497" s="304"/>
      <c r="BL497" s="304"/>
      <c r="BM497" s="304"/>
      <c r="BN497" s="304"/>
      <c r="BO497" s="304"/>
      <c r="BP497" s="304"/>
      <c r="BQ497" s="304"/>
      <c r="BR497" s="304"/>
      <c r="BS497" s="304"/>
      <c r="BT497" s="304"/>
      <c r="BU497" s="304"/>
      <c r="BV497" s="304"/>
      <c r="BW497" s="304"/>
      <c r="BX497" s="304"/>
      <c r="BY497" s="304"/>
      <c r="BZ497" s="304"/>
      <c r="CA497" s="304"/>
      <c r="CB497" s="304"/>
      <c r="CC497" s="304"/>
      <c r="CD497" s="304"/>
      <c r="CE497" s="304"/>
      <c r="CF497" s="304"/>
      <c r="CG497" s="304"/>
      <c r="CH497" s="304"/>
      <c r="CI497" s="304"/>
      <c r="CJ497" s="304"/>
      <c r="CK497" s="304"/>
      <c r="CL497" s="304"/>
      <c r="CM497" s="304"/>
      <c r="CN497" s="304"/>
      <c r="CO497" s="304"/>
      <c r="CP497" s="304"/>
    </row>
    <row r="498" spans="1:94" s="87" customFormat="1">
      <c r="A498" s="81"/>
      <c r="B498" s="83"/>
      <c r="C498" s="82"/>
      <c r="D498" s="102"/>
      <c r="E498" s="102"/>
      <c r="F498" s="102"/>
      <c r="G498" s="83"/>
      <c r="H498" s="102"/>
      <c r="I498" s="218"/>
      <c r="J498" s="102"/>
      <c r="K498" s="102" t="str">
        <f t="shared" si="35"/>
        <v/>
      </c>
      <c r="L498" s="221"/>
      <c r="M498" s="325"/>
      <c r="N498" s="85"/>
      <c r="O498" s="327"/>
      <c r="P498" s="84"/>
      <c r="Q498" s="88"/>
      <c r="R498" s="102">
        <f t="shared" si="33"/>
        <v>0</v>
      </c>
      <c r="S498" s="89"/>
      <c r="T498" s="100"/>
      <c r="U498" s="86"/>
      <c r="V498" s="86"/>
      <c r="W498" s="86"/>
      <c r="X498" s="86"/>
      <c r="Y498" s="83"/>
      <c r="Z498" s="304"/>
      <c r="AA498" s="304"/>
      <c r="AB498" s="304"/>
      <c r="AC498" s="304"/>
      <c r="AD498" s="304"/>
      <c r="AE498" s="304"/>
      <c r="AF498" s="304"/>
      <c r="AG498" s="304"/>
      <c r="AH498" s="304"/>
      <c r="AI498" s="304"/>
      <c r="AJ498" s="304"/>
      <c r="AK498" s="304"/>
      <c r="AL498" s="304"/>
      <c r="AM498" s="304"/>
      <c r="AN498" s="304"/>
      <c r="AO498" s="304"/>
      <c r="AP498" s="304"/>
      <c r="AQ498" s="304"/>
      <c r="AR498" s="304"/>
      <c r="AS498" s="304"/>
      <c r="AT498" s="304"/>
      <c r="AU498" s="304"/>
      <c r="AV498" s="304"/>
      <c r="AW498" s="304"/>
      <c r="AX498" s="304"/>
      <c r="AY498" s="304"/>
      <c r="AZ498" s="304"/>
      <c r="BA498" s="304"/>
      <c r="BB498" s="304"/>
      <c r="BC498" s="304"/>
      <c r="BD498" s="304"/>
      <c r="BE498" s="304"/>
      <c r="BF498" s="304"/>
      <c r="BG498" s="304"/>
      <c r="BH498" s="304"/>
      <c r="BI498" s="304"/>
      <c r="BJ498" s="304"/>
      <c r="BK498" s="304"/>
      <c r="BL498" s="304"/>
      <c r="BM498" s="304"/>
      <c r="BN498" s="304"/>
      <c r="BO498" s="304"/>
      <c r="BP498" s="304"/>
      <c r="BQ498" s="304"/>
      <c r="BR498" s="304"/>
      <c r="BS498" s="304"/>
      <c r="BT498" s="304"/>
      <c r="BU498" s="304"/>
      <c r="BV498" s="304"/>
      <c r="BW498" s="304"/>
      <c r="BX498" s="304"/>
      <c r="BY498" s="304"/>
      <c r="BZ498" s="304"/>
      <c r="CA498" s="304"/>
      <c r="CB498" s="304"/>
      <c r="CC498" s="304"/>
      <c r="CD498" s="304"/>
      <c r="CE498" s="304"/>
      <c r="CF498" s="304"/>
      <c r="CG498" s="304"/>
      <c r="CH498" s="304"/>
      <c r="CI498" s="304"/>
      <c r="CJ498" s="304"/>
      <c r="CK498" s="304"/>
      <c r="CL498" s="304"/>
      <c r="CM498" s="304"/>
      <c r="CN498" s="304"/>
      <c r="CO498" s="304"/>
      <c r="CP498" s="304"/>
    </row>
    <row r="499" spans="1:94" s="87" customFormat="1">
      <c r="A499" s="81"/>
      <c r="B499" s="83"/>
      <c r="C499" s="82"/>
      <c r="D499" s="102"/>
      <c r="E499" s="102"/>
      <c r="F499" s="102"/>
      <c r="G499" s="83"/>
      <c r="H499" s="102"/>
      <c r="I499" s="218"/>
      <c r="J499" s="102"/>
      <c r="K499" s="102" t="str">
        <f t="shared" si="35"/>
        <v/>
      </c>
      <c r="L499" s="221"/>
      <c r="M499" s="325"/>
      <c r="N499" s="85"/>
      <c r="O499" s="327"/>
      <c r="P499" s="84"/>
      <c r="Q499" s="88"/>
      <c r="R499" s="102">
        <f t="shared" si="33"/>
        <v>0</v>
      </c>
      <c r="S499" s="89"/>
      <c r="T499" s="100"/>
      <c r="U499" s="86"/>
      <c r="V499" s="86"/>
      <c r="W499" s="86"/>
      <c r="X499" s="86"/>
      <c r="Y499" s="83"/>
      <c r="Z499" s="304"/>
      <c r="AA499" s="304"/>
      <c r="AB499" s="304"/>
      <c r="AC499" s="304"/>
      <c r="AD499" s="304"/>
      <c r="AE499" s="304"/>
      <c r="AF499" s="304"/>
      <c r="AG499" s="304"/>
      <c r="AH499" s="304"/>
      <c r="AI499" s="304"/>
      <c r="AJ499" s="304"/>
      <c r="AK499" s="304"/>
      <c r="AL499" s="304"/>
      <c r="AM499" s="304"/>
      <c r="AN499" s="304"/>
      <c r="AO499" s="304"/>
      <c r="AP499" s="304"/>
      <c r="AQ499" s="304"/>
      <c r="AR499" s="304"/>
      <c r="AS499" s="304"/>
      <c r="AT499" s="304"/>
      <c r="AU499" s="304"/>
      <c r="AV499" s="304"/>
      <c r="AW499" s="304"/>
      <c r="AX499" s="304"/>
      <c r="AY499" s="304"/>
      <c r="AZ499" s="304"/>
      <c r="BA499" s="304"/>
      <c r="BB499" s="304"/>
      <c r="BC499" s="304"/>
      <c r="BD499" s="304"/>
      <c r="BE499" s="304"/>
      <c r="BF499" s="304"/>
      <c r="BG499" s="304"/>
      <c r="BH499" s="304"/>
      <c r="BI499" s="304"/>
      <c r="BJ499" s="304"/>
      <c r="BK499" s="304"/>
      <c r="BL499" s="304"/>
      <c r="BM499" s="304"/>
      <c r="BN499" s="304"/>
      <c r="BO499" s="304"/>
      <c r="BP499" s="304"/>
      <c r="BQ499" s="304"/>
      <c r="BR499" s="304"/>
      <c r="BS499" s="304"/>
      <c r="BT499" s="304"/>
      <c r="BU499" s="304"/>
      <c r="BV499" s="304"/>
      <c r="BW499" s="304"/>
      <c r="BX499" s="304"/>
      <c r="BY499" s="304"/>
      <c r="BZ499" s="304"/>
      <c r="CA499" s="304"/>
      <c r="CB499" s="304"/>
      <c r="CC499" s="304"/>
      <c r="CD499" s="304"/>
      <c r="CE499" s="304"/>
      <c r="CF499" s="304"/>
      <c r="CG499" s="304"/>
      <c r="CH499" s="304"/>
      <c r="CI499" s="304"/>
      <c r="CJ499" s="304"/>
      <c r="CK499" s="304"/>
      <c r="CL499" s="304"/>
      <c r="CM499" s="304"/>
      <c r="CN499" s="304"/>
      <c r="CO499" s="304"/>
      <c r="CP499" s="304"/>
    </row>
    <row r="500" spans="1:94" s="87" customFormat="1">
      <c r="A500" s="81"/>
      <c r="B500" s="83"/>
      <c r="C500" s="82"/>
      <c r="D500" s="102"/>
      <c r="E500" s="102"/>
      <c r="F500" s="102"/>
      <c r="G500" s="83"/>
      <c r="H500" s="102"/>
      <c r="I500" s="218"/>
      <c r="J500" s="102"/>
      <c r="K500" s="102" t="str">
        <f t="shared" si="35"/>
        <v/>
      </c>
      <c r="L500" s="221"/>
      <c r="M500" s="325"/>
      <c r="N500" s="85"/>
      <c r="O500" s="327"/>
      <c r="P500" s="84"/>
      <c r="Q500" s="88"/>
      <c r="R500" s="102">
        <f t="shared" si="33"/>
        <v>0</v>
      </c>
      <c r="S500" s="89"/>
      <c r="T500" s="89"/>
      <c r="U500" s="86"/>
      <c r="V500" s="86"/>
      <c r="W500" s="86"/>
      <c r="X500" s="86"/>
      <c r="Y500" s="83"/>
      <c r="Z500" s="304"/>
      <c r="AA500" s="304"/>
      <c r="AB500" s="304"/>
      <c r="AC500" s="304"/>
      <c r="AD500" s="304"/>
      <c r="AE500" s="304"/>
      <c r="AF500" s="304"/>
      <c r="AG500" s="304"/>
      <c r="AH500" s="304"/>
      <c r="AI500" s="304"/>
      <c r="AJ500" s="304"/>
      <c r="AK500" s="304"/>
      <c r="AL500" s="304"/>
      <c r="AM500" s="304"/>
      <c r="AN500" s="304"/>
      <c r="AO500" s="304"/>
      <c r="AP500" s="304"/>
      <c r="AQ500" s="304"/>
      <c r="AR500" s="304"/>
      <c r="AS500" s="304"/>
      <c r="AT500" s="304"/>
      <c r="AU500" s="304"/>
      <c r="AV500" s="304"/>
      <c r="AW500" s="304"/>
      <c r="AX500" s="304"/>
      <c r="AY500" s="304"/>
      <c r="AZ500" s="304"/>
      <c r="BA500" s="304"/>
      <c r="BB500" s="304"/>
      <c r="BC500" s="304"/>
      <c r="BD500" s="304"/>
      <c r="BE500" s="304"/>
      <c r="BF500" s="304"/>
      <c r="BG500" s="304"/>
      <c r="BH500" s="304"/>
      <c r="BI500" s="304"/>
      <c r="BJ500" s="304"/>
      <c r="BK500" s="304"/>
      <c r="BL500" s="304"/>
      <c r="BM500" s="304"/>
      <c r="BN500" s="304"/>
      <c r="BO500" s="304"/>
      <c r="BP500" s="304"/>
      <c r="BQ500" s="304"/>
      <c r="BR500" s="304"/>
      <c r="BS500" s="304"/>
      <c r="BT500" s="304"/>
      <c r="BU500" s="304"/>
      <c r="BV500" s="304"/>
      <c r="BW500" s="304"/>
      <c r="BX500" s="304"/>
      <c r="BY500" s="304"/>
      <c r="BZ500" s="304"/>
      <c r="CA500" s="304"/>
      <c r="CB500" s="304"/>
      <c r="CC500" s="304"/>
      <c r="CD500" s="304"/>
      <c r="CE500" s="304"/>
      <c r="CF500" s="304"/>
      <c r="CG500" s="304"/>
      <c r="CH500" s="304"/>
      <c r="CI500" s="304"/>
      <c r="CJ500" s="304"/>
      <c r="CK500" s="304"/>
      <c r="CL500" s="304"/>
      <c r="CM500" s="304"/>
      <c r="CN500" s="304"/>
      <c r="CO500" s="304"/>
      <c r="CP500" s="304"/>
    </row>
    <row r="501" spans="1:94">
      <c r="N501" s="91"/>
      <c r="P501" s="92"/>
      <c r="Z501" s="305"/>
      <c r="AA501" s="305"/>
      <c r="AB501" s="305"/>
      <c r="AC501" s="305"/>
      <c r="AD501" s="305"/>
      <c r="AE501" s="305"/>
      <c r="AF501" s="305"/>
      <c r="AG501" s="305"/>
      <c r="AH501" s="305"/>
      <c r="AI501" s="305"/>
      <c r="AJ501" s="305"/>
      <c r="AK501" s="305"/>
      <c r="AL501" s="305"/>
      <c r="AM501" s="305"/>
      <c r="AN501" s="305"/>
      <c r="AO501" s="305"/>
      <c r="AP501" s="305"/>
      <c r="AQ501" s="305"/>
      <c r="AR501" s="305"/>
      <c r="AS501" s="305"/>
      <c r="AT501" s="305"/>
      <c r="AU501" s="305"/>
      <c r="AV501" s="305"/>
      <c r="AW501" s="305"/>
      <c r="AX501" s="305"/>
      <c r="AY501" s="305"/>
      <c r="AZ501" s="305"/>
      <c r="BA501" s="305"/>
      <c r="BB501" s="305"/>
      <c r="BC501" s="305"/>
      <c r="BJ501" s="305"/>
      <c r="BK501" s="305"/>
      <c r="BL501" s="305"/>
      <c r="BM501" s="305"/>
      <c r="BN501" s="305"/>
      <c r="BO501" s="305"/>
      <c r="BP501" s="305"/>
      <c r="BQ501" s="305"/>
      <c r="BR501" s="305"/>
      <c r="BS501" s="305"/>
      <c r="BT501" s="305"/>
      <c r="BU501" s="305"/>
      <c r="BV501" s="305"/>
      <c r="BW501" s="305"/>
      <c r="BX501" s="305"/>
      <c r="BY501" s="305"/>
      <c r="BZ501" s="305"/>
      <c r="CA501" s="305"/>
      <c r="CB501" s="305"/>
      <c r="CC501" s="305"/>
      <c r="CD501" s="305"/>
      <c r="CE501" s="305"/>
      <c r="CF501" s="305"/>
      <c r="CG501" s="305"/>
      <c r="CH501" s="305"/>
      <c r="CI501" s="305"/>
      <c r="CJ501" s="305"/>
      <c r="CK501" s="305"/>
      <c r="CL501" s="305"/>
      <c r="CM501" s="305"/>
      <c r="CN501" s="305"/>
      <c r="CO501" s="305"/>
      <c r="CP501" s="305"/>
    </row>
    <row r="502" spans="1:94">
      <c r="N502" s="91"/>
      <c r="P502" s="92"/>
      <c r="Z502" s="305"/>
      <c r="AA502" s="305"/>
      <c r="AB502" s="305"/>
      <c r="AC502" s="305"/>
      <c r="AD502" s="305"/>
      <c r="AE502" s="305"/>
      <c r="AF502" s="305"/>
      <c r="AG502" s="305"/>
      <c r="AH502" s="305"/>
      <c r="AI502" s="305"/>
      <c r="AJ502" s="305"/>
      <c r="AK502" s="305"/>
      <c r="AL502" s="305"/>
      <c r="AM502" s="305"/>
      <c r="AN502" s="305"/>
      <c r="AO502" s="305"/>
      <c r="AP502" s="305"/>
      <c r="AQ502" s="305"/>
      <c r="AR502" s="305"/>
      <c r="AS502" s="305"/>
      <c r="AT502" s="305"/>
      <c r="AU502" s="305"/>
      <c r="AV502" s="305"/>
      <c r="AW502" s="305"/>
      <c r="AX502" s="305"/>
      <c r="AY502" s="305"/>
      <c r="AZ502" s="305"/>
      <c r="BA502" s="305"/>
      <c r="BB502" s="305"/>
      <c r="BC502" s="305"/>
      <c r="BJ502" s="305"/>
      <c r="BK502" s="305"/>
      <c r="BL502" s="305"/>
      <c r="BM502" s="305"/>
      <c r="BN502" s="305"/>
      <c r="BO502" s="305"/>
      <c r="BP502" s="305"/>
      <c r="BQ502" s="305"/>
      <c r="BR502" s="305"/>
      <c r="BS502" s="305"/>
      <c r="BT502" s="305"/>
      <c r="BU502" s="305"/>
      <c r="BV502" s="305"/>
      <c r="BW502" s="305"/>
      <c r="BX502" s="305"/>
      <c r="BY502" s="305"/>
      <c r="BZ502" s="305"/>
      <c r="CA502" s="305"/>
      <c r="CB502" s="305"/>
      <c r="CC502" s="305"/>
      <c r="CD502" s="305"/>
      <c r="CE502" s="305"/>
      <c r="CF502" s="305"/>
      <c r="CG502" s="305"/>
      <c r="CH502" s="305"/>
      <c r="CI502" s="305"/>
      <c r="CJ502" s="305"/>
      <c r="CK502" s="305"/>
      <c r="CL502" s="305"/>
      <c r="CM502" s="305"/>
      <c r="CN502" s="305"/>
      <c r="CO502" s="305"/>
      <c r="CP502" s="305"/>
    </row>
    <row r="503" spans="1:94">
      <c r="N503" s="91"/>
      <c r="P503" s="92"/>
      <c r="Z503" s="305"/>
      <c r="AA503" s="305"/>
      <c r="AB503" s="305"/>
      <c r="AC503" s="305"/>
      <c r="AD503" s="305"/>
      <c r="AE503" s="305"/>
      <c r="AF503" s="305"/>
      <c r="AG503" s="305"/>
      <c r="AH503" s="305"/>
      <c r="AI503" s="305"/>
      <c r="AJ503" s="305"/>
      <c r="AK503" s="305"/>
      <c r="AL503" s="305"/>
      <c r="AM503" s="305"/>
      <c r="AN503" s="305"/>
      <c r="AO503" s="305"/>
      <c r="AP503" s="305"/>
      <c r="AQ503" s="305"/>
      <c r="AR503" s="305"/>
      <c r="AS503" s="305"/>
      <c r="AT503" s="305"/>
      <c r="AU503" s="305"/>
      <c r="AV503" s="305"/>
      <c r="AW503" s="305"/>
      <c r="AX503" s="305"/>
      <c r="AY503" s="305"/>
      <c r="AZ503" s="305"/>
      <c r="BA503" s="305"/>
      <c r="BB503" s="305"/>
      <c r="BC503" s="305"/>
      <c r="BJ503" s="305"/>
      <c r="BK503" s="305"/>
      <c r="BL503" s="305"/>
      <c r="BM503" s="305"/>
      <c r="BN503" s="305"/>
      <c r="BO503" s="305"/>
      <c r="BP503" s="305"/>
      <c r="BQ503" s="305"/>
      <c r="BR503" s="305"/>
      <c r="BS503" s="305"/>
      <c r="BT503" s="305"/>
      <c r="BU503" s="305"/>
      <c r="BV503" s="305"/>
      <c r="BW503" s="305"/>
      <c r="BX503" s="305"/>
      <c r="BY503" s="305"/>
      <c r="BZ503" s="305"/>
      <c r="CA503" s="305"/>
      <c r="CB503" s="305"/>
      <c r="CC503" s="305"/>
      <c r="CD503" s="305"/>
      <c r="CE503" s="305"/>
      <c r="CF503" s="305"/>
      <c r="CG503" s="305"/>
      <c r="CH503" s="305"/>
      <c r="CI503" s="305"/>
      <c r="CJ503" s="305"/>
      <c r="CK503" s="305"/>
      <c r="CL503" s="305"/>
      <c r="CM503" s="305"/>
      <c r="CN503" s="305"/>
      <c r="CO503" s="305"/>
      <c r="CP503" s="305"/>
    </row>
    <row r="504" spans="1:94">
      <c r="N504" s="91"/>
      <c r="P504" s="92"/>
      <c r="Z504" s="305"/>
      <c r="AA504" s="305"/>
      <c r="AB504" s="305"/>
      <c r="AC504" s="305"/>
      <c r="AD504" s="305"/>
      <c r="AE504" s="305"/>
      <c r="AF504" s="305"/>
      <c r="AG504" s="305"/>
      <c r="AH504" s="305"/>
      <c r="AI504" s="305"/>
      <c r="AJ504" s="305"/>
      <c r="AK504" s="305"/>
      <c r="AL504" s="305"/>
      <c r="AM504" s="305"/>
      <c r="AN504" s="305"/>
      <c r="AO504" s="305"/>
      <c r="AP504" s="305"/>
      <c r="AQ504" s="305"/>
      <c r="AR504" s="305"/>
      <c r="AS504" s="305"/>
      <c r="AT504" s="305"/>
      <c r="AU504" s="305"/>
      <c r="AV504" s="305"/>
      <c r="AW504" s="305"/>
      <c r="AX504" s="305"/>
      <c r="AY504" s="305"/>
      <c r="AZ504" s="305"/>
      <c r="BA504" s="305"/>
      <c r="BB504" s="305"/>
      <c r="BC504" s="305"/>
      <c r="BJ504" s="305"/>
      <c r="BK504" s="305"/>
      <c r="BL504" s="305"/>
      <c r="BM504" s="305"/>
      <c r="BN504" s="305"/>
      <c r="BO504" s="305"/>
      <c r="BP504" s="305"/>
      <c r="BQ504" s="305"/>
      <c r="BR504" s="305"/>
      <c r="BS504" s="305"/>
      <c r="BT504" s="305"/>
      <c r="BU504" s="305"/>
      <c r="BV504" s="305"/>
      <c r="BW504" s="305"/>
      <c r="BX504" s="305"/>
      <c r="BY504" s="305"/>
      <c r="BZ504" s="305"/>
      <c r="CA504" s="305"/>
      <c r="CB504" s="305"/>
      <c r="CC504" s="305"/>
      <c r="CD504" s="305"/>
      <c r="CE504" s="305"/>
      <c r="CF504" s="305"/>
      <c r="CG504" s="305"/>
      <c r="CH504" s="305"/>
      <c r="CI504" s="305"/>
      <c r="CJ504" s="305"/>
      <c r="CK504" s="305"/>
      <c r="CL504" s="305"/>
      <c r="CM504" s="305"/>
      <c r="CN504" s="305"/>
      <c r="CO504" s="305"/>
      <c r="CP504" s="305"/>
    </row>
    <row r="505" spans="1:94">
      <c r="N505" s="91"/>
      <c r="P505" s="92"/>
      <c r="Z505" s="305"/>
      <c r="AA505" s="305"/>
      <c r="AB505" s="305"/>
      <c r="AC505" s="305"/>
      <c r="AD505" s="305"/>
      <c r="AE505" s="305"/>
      <c r="AF505" s="305"/>
      <c r="AG505" s="305"/>
      <c r="AH505" s="305"/>
      <c r="AI505" s="305"/>
      <c r="AJ505" s="305"/>
      <c r="AK505" s="305"/>
      <c r="AL505" s="305"/>
      <c r="AM505" s="305"/>
      <c r="AN505" s="305"/>
      <c r="AO505" s="305"/>
      <c r="AP505" s="305"/>
      <c r="AQ505" s="305"/>
      <c r="AR505" s="305"/>
      <c r="AS505" s="305"/>
      <c r="AT505" s="305"/>
      <c r="AU505" s="305"/>
      <c r="AV505" s="305"/>
      <c r="AW505" s="305"/>
      <c r="AX505" s="305"/>
      <c r="AY505" s="305"/>
      <c r="AZ505" s="305"/>
      <c r="BA505" s="305"/>
      <c r="BB505" s="305"/>
      <c r="BC505" s="305"/>
      <c r="BJ505" s="305"/>
      <c r="BK505" s="305"/>
      <c r="BL505" s="305"/>
      <c r="BM505" s="305"/>
      <c r="BN505" s="305"/>
      <c r="BO505" s="305"/>
      <c r="BP505" s="305"/>
      <c r="BQ505" s="305"/>
      <c r="BR505" s="305"/>
      <c r="BS505" s="305"/>
      <c r="BT505" s="305"/>
      <c r="BU505" s="305"/>
      <c r="BV505" s="305"/>
      <c r="BW505" s="305"/>
      <c r="BX505" s="305"/>
      <c r="BY505" s="305"/>
      <c r="BZ505" s="305"/>
      <c r="CA505" s="305"/>
      <c r="CB505" s="305"/>
      <c r="CC505" s="305"/>
      <c r="CD505" s="305"/>
      <c r="CE505" s="305"/>
      <c r="CF505" s="305"/>
      <c r="CG505" s="305"/>
      <c r="CH505" s="305"/>
      <c r="CI505" s="305"/>
      <c r="CJ505" s="305"/>
      <c r="CK505" s="305"/>
      <c r="CL505" s="305"/>
      <c r="CM505" s="305"/>
      <c r="CN505" s="305"/>
      <c r="CO505" s="305"/>
      <c r="CP505" s="305"/>
    </row>
    <row r="506" spans="1:94">
      <c r="N506" s="91"/>
      <c r="P506" s="92"/>
      <c r="Z506" s="305"/>
      <c r="AA506" s="305"/>
      <c r="AB506" s="305"/>
      <c r="AC506" s="305"/>
      <c r="AD506" s="305"/>
      <c r="AE506" s="305"/>
      <c r="AF506" s="305"/>
      <c r="AG506" s="305"/>
      <c r="AH506" s="305"/>
      <c r="AI506" s="305"/>
      <c r="AJ506" s="305"/>
      <c r="AK506" s="305"/>
      <c r="AL506" s="305"/>
      <c r="AM506" s="305"/>
      <c r="AN506" s="305"/>
      <c r="AO506" s="305"/>
      <c r="AP506" s="305"/>
      <c r="AQ506" s="305"/>
      <c r="AR506" s="305"/>
      <c r="AS506" s="305"/>
      <c r="AT506" s="305"/>
      <c r="AU506" s="305"/>
      <c r="AV506" s="305"/>
      <c r="AW506" s="305"/>
      <c r="AX506" s="305"/>
      <c r="AY506" s="305"/>
      <c r="AZ506" s="305"/>
      <c r="BA506" s="305"/>
      <c r="BB506" s="305"/>
      <c r="BC506" s="305"/>
      <c r="BJ506" s="305"/>
      <c r="BK506" s="305"/>
      <c r="BL506" s="305"/>
      <c r="BM506" s="305"/>
      <c r="BN506" s="305"/>
      <c r="BO506" s="305"/>
      <c r="BP506" s="305"/>
      <c r="BQ506" s="305"/>
      <c r="BR506" s="305"/>
      <c r="BS506" s="305"/>
      <c r="BT506" s="305"/>
      <c r="BU506" s="305"/>
      <c r="BV506" s="305"/>
      <c r="BW506" s="305"/>
      <c r="BX506" s="305"/>
      <c r="BY506" s="305"/>
      <c r="BZ506" s="305"/>
      <c r="CA506" s="305"/>
      <c r="CB506" s="305"/>
      <c r="CC506" s="305"/>
      <c r="CD506" s="305"/>
      <c r="CE506" s="305"/>
      <c r="CF506" s="305"/>
      <c r="CG506" s="305"/>
      <c r="CH506" s="305"/>
      <c r="CI506" s="305"/>
      <c r="CJ506" s="305"/>
      <c r="CK506" s="305"/>
      <c r="CL506" s="305"/>
      <c r="CM506" s="305"/>
      <c r="CN506" s="305"/>
      <c r="CO506" s="305"/>
      <c r="CP506" s="305"/>
    </row>
    <row r="507" spans="1:94">
      <c r="N507" s="91"/>
      <c r="P507" s="92"/>
      <c r="Z507" s="305"/>
      <c r="AA507" s="305"/>
      <c r="AB507" s="305"/>
      <c r="AC507" s="305"/>
      <c r="AD507" s="305"/>
      <c r="AE507" s="305"/>
      <c r="AF507" s="305"/>
      <c r="AG507" s="305"/>
      <c r="AH507" s="305"/>
      <c r="AI507" s="305"/>
      <c r="AJ507" s="305"/>
      <c r="AK507" s="305"/>
      <c r="AL507" s="305"/>
      <c r="AM507" s="305"/>
      <c r="AN507" s="305"/>
      <c r="AO507" s="305"/>
      <c r="AP507" s="305"/>
      <c r="AQ507" s="305"/>
      <c r="AR507" s="305"/>
      <c r="AS507" s="305"/>
      <c r="AT507" s="305"/>
      <c r="AU507" s="305"/>
      <c r="AV507" s="305"/>
      <c r="AW507" s="305"/>
      <c r="AX507" s="305"/>
      <c r="AY507" s="305"/>
      <c r="AZ507" s="305"/>
      <c r="BA507" s="305"/>
      <c r="BB507" s="305"/>
      <c r="BC507" s="305"/>
      <c r="BJ507" s="305"/>
      <c r="BK507" s="305"/>
      <c r="BL507" s="305"/>
      <c r="BM507" s="305"/>
      <c r="BN507" s="305"/>
      <c r="BO507" s="305"/>
      <c r="BP507" s="305"/>
      <c r="BQ507" s="305"/>
      <c r="BR507" s="305"/>
      <c r="BS507" s="305"/>
      <c r="BT507" s="305"/>
      <c r="BU507" s="305"/>
      <c r="BV507" s="305"/>
      <c r="BW507" s="305"/>
      <c r="BX507" s="305"/>
      <c r="BY507" s="305"/>
      <c r="BZ507" s="305"/>
      <c r="CA507" s="305"/>
      <c r="CB507" s="305"/>
      <c r="CC507" s="305"/>
      <c r="CD507" s="305"/>
      <c r="CE507" s="305"/>
      <c r="CF507" s="305"/>
      <c r="CG507" s="305"/>
      <c r="CH507" s="305"/>
      <c r="CI507" s="305"/>
      <c r="CJ507" s="305"/>
      <c r="CK507" s="305"/>
      <c r="CL507" s="305"/>
      <c r="CM507" s="305"/>
      <c r="CN507" s="305"/>
      <c r="CO507" s="305"/>
      <c r="CP507" s="305"/>
    </row>
    <row r="508" spans="1:94">
      <c r="N508" s="91"/>
      <c r="P508" s="92"/>
      <c r="Z508" s="305"/>
      <c r="AA508" s="305"/>
      <c r="AB508" s="305"/>
      <c r="AC508" s="305"/>
      <c r="AD508" s="305"/>
      <c r="AE508" s="305"/>
      <c r="AF508" s="305"/>
      <c r="AG508" s="305"/>
      <c r="AH508" s="305"/>
      <c r="AI508" s="305"/>
      <c r="AJ508" s="305"/>
      <c r="AK508" s="305"/>
      <c r="AL508" s="305"/>
      <c r="AM508" s="305"/>
      <c r="AN508" s="305"/>
      <c r="AO508" s="305"/>
      <c r="AP508" s="305"/>
      <c r="AQ508" s="305"/>
      <c r="AR508" s="305"/>
      <c r="AS508" s="305"/>
      <c r="AT508" s="305"/>
      <c r="AU508" s="305"/>
      <c r="AV508" s="305"/>
      <c r="AW508" s="305"/>
      <c r="AX508" s="305"/>
      <c r="AY508" s="305"/>
      <c r="AZ508" s="305"/>
      <c r="BA508" s="305"/>
      <c r="BB508" s="305"/>
      <c r="BC508" s="305"/>
      <c r="BJ508" s="305"/>
      <c r="BK508" s="305"/>
      <c r="BL508" s="305"/>
      <c r="BM508" s="305"/>
      <c r="BN508" s="305"/>
      <c r="BO508" s="305"/>
      <c r="BP508" s="305"/>
      <c r="BQ508" s="305"/>
      <c r="BR508" s="305"/>
      <c r="BS508" s="305"/>
      <c r="BT508" s="305"/>
      <c r="BU508" s="305"/>
      <c r="BV508" s="305"/>
      <c r="BW508" s="305"/>
      <c r="BX508" s="305"/>
      <c r="BY508" s="305"/>
      <c r="BZ508" s="305"/>
      <c r="CA508" s="305"/>
      <c r="CB508" s="305"/>
      <c r="CC508" s="305"/>
      <c r="CD508" s="305"/>
      <c r="CE508" s="305"/>
      <c r="CF508" s="305"/>
      <c r="CG508" s="305"/>
      <c r="CH508" s="305"/>
      <c r="CI508" s="305"/>
      <c r="CJ508" s="305"/>
      <c r="CK508" s="305"/>
      <c r="CL508" s="305"/>
      <c r="CM508" s="305"/>
      <c r="CN508" s="305"/>
      <c r="CO508" s="305"/>
      <c r="CP508" s="305"/>
    </row>
    <row r="509" spans="1:94">
      <c r="N509" s="91"/>
      <c r="P509" s="92"/>
      <c r="Z509" s="305"/>
      <c r="AA509" s="305"/>
      <c r="AB509" s="305"/>
      <c r="AC509" s="305"/>
      <c r="AD509" s="305"/>
      <c r="AE509" s="305"/>
      <c r="AF509" s="305"/>
      <c r="AG509" s="305"/>
      <c r="AH509" s="305"/>
      <c r="AI509" s="305"/>
      <c r="AJ509" s="305"/>
      <c r="AK509" s="305"/>
      <c r="AL509" s="305"/>
      <c r="AM509" s="305"/>
      <c r="AN509" s="305"/>
      <c r="AO509" s="305"/>
      <c r="AP509" s="305"/>
      <c r="AQ509" s="305"/>
      <c r="AR509" s="305"/>
      <c r="AS509" s="305"/>
      <c r="AT509" s="305"/>
      <c r="AU509" s="305"/>
      <c r="AV509" s="305"/>
      <c r="AW509" s="305"/>
      <c r="AX509" s="305"/>
      <c r="AY509" s="305"/>
      <c r="AZ509" s="305"/>
      <c r="BA509" s="305"/>
      <c r="BB509" s="305"/>
      <c r="BC509" s="305"/>
      <c r="BJ509" s="305"/>
      <c r="BK509" s="305"/>
      <c r="BL509" s="305"/>
      <c r="BM509" s="305"/>
      <c r="BN509" s="305"/>
      <c r="BO509" s="305"/>
      <c r="BP509" s="305"/>
      <c r="BQ509" s="305"/>
      <c r="BR509" s="305"/>
      <c r="BS509" s="305"/>
      <c r="BT509" s="305"/>
      <c r="BU509" s="305"/>
      <c r="BV509" s="305"/>
      <c r="BW509" s="305"/>
      <c r="BX509" s="305"/>
      <c r="BY509" s="305"/>
      <c r="BZ509" s="305"/>
      <c r="CA509" s="305"/>
      <c r="CB509" s="305"/>
      <c r="CC509" s="305"/>
      <c r="CD509" s="305"/>
      <c r="CE509" s="305"/>
      <c r="CF509" s="305"/>
      <c r="CG509" s="305"/>
      <c r="CH509" s="305"/>
      <c r="CI509" s="305"/>
      <c r="CJ509" s="305"/>
      <c r="CK509" s="305"/>
      <c r="CL509" s="305"/>
      <c r="CM509" s="305"/>
      <c r="CN509" s="305"/>
      <c r="CO509" s="305"/>
      <c r="CP509" s="305"/>
    </row>
    <row r="510" spans="1:94">
      <c r="N510" s="91"/>
      <c r="P510" s="92"/>
      <c r="Z510" s="305"/>
      <c r="AA510" s="305"/>
      <c r="AB510" s="305"/>
      <c r="AC510" s="305"/>
      <c r="AD510" s="305"/>
      <c r="AE510" s="305"/>
      <c r="AF510" s="305"/>
      <c r="AG510" s="305"/>
      <c r="AH510" s="305"/>
      <c r="AI510" s="305"/>
      <c r="AJ510" s="305"/>
      <c r="AK510" s="305"/>
      <c r="AL510" s="305"/>
      <c r="AM510" s="305"/>
      <c r="AN510" s="305"/>
      <c r="AO510" s="305"/>
      <c r="AP510" s="305"/>
      <c r="AQ510" s="305"/>
      <c r="AR510" s="305"/>
      <c r="AS510" s="305"/>
      <c r="AT510" s="305"/>
      <c r="AU510" s="305"/>
      <c r="AV510" s="305"/>
      <c r="AW510" s="305"/>
      <c r="AX510" s="305"/>
      <c r="AY510" s="305"/>
      <c r="AZ510" s="305"/>
      <c r="BA510" s="305"/>
      <c r="BB510" s="305"/>
      <c r="BC510" s="305"/>
      <c r="BJ510" s="305"/>
      <c r="BK510" s="305"/>
      <c r="BL510" s="305"/>
      <c r="BM510" s="305"/>
      <c r="BN510" s="305"/>
      <c r="BO510" s="305"/>
      <c r="BP510" s="305"/>
      <c r="BQ510" s="305"/>
      <c r="BR510" s="305"/>
      <c r="BS510" s="305"/>
      <c r="BT510" s="305"/>
      <c r="BU510" s="305"/>
      <c r="BV510" s="305"/>
      <c r="BW510" s="305"/>
      <c r="BX510" s="305"/>
      <c r="BY510" s="305"/>
      <c r="BZ510" s="305"/>
      <c r="CA510" s="305"/>
      <c r="CB510" s="305"/>
      <c r="CC510" s="305"/>
      <c r="CD510" s="305"/>
      <c r="CE510" s="305"/>
      <c r="CF510" s="305"/>
      <c r="CG510" s="305"/>
      <c r="CH510" s="305"/>
      <c r="CI510" s="305"/>
      <c r="CJ510" s="305"/>
      <c r="CK510" s="305"/>
      <c r="CL510" s="305"/>
      <c r="CM510" s="305"/>
      <c r="CN510" s="305"/>
      <c r="CO510" s="305"/>
      <c r="CP510" s="305"/>
    </row>
    <row r="511" spans="1:94">
      <c r="N511" s="91"/>
      <c r="P511" s="92"/>
      <c r="Z511" s="305"/>
      <c r="AA511" s="305"/>
      <c r="AB511" s="305"/>
      <c r="AC511" s="305"/>
      <c r="AD511" s="305"/>
      <c r="AE511" s="305"/>
      <c r="AF511" s="305"/>
      <c r="AG511" s="305"/>
      <c r="AH511" s="305"/>
      <c r="AI511" s="305"/>
      <c r="AJ511" s="305"/>
      <c r="AK511" s="305"/>
      <c r="AL511" s="305"/>
      <c r="AM511" s="305"/>
      <c r="AN511" s="305"/>
      <c r="AO511" s="305"/>
      <c r="AP511" s="305"/>
      <c r="AQ511" s="305"/>
      <c r="AR511" s="305"/>
      <c r="AS511" s="305"/>
      <c r="AT511" s="305"/>
      <c r="AU511" s="305"/>
      <c r="AV511" s="305"/>
      <c r="AW511" s="305"/>
      <c r="AX511" s="305"/>
      <c r="AY511" s="305"/>
      <c r="AZ511" s="305"/>
      <c r="BA511" s="305"/>
      <c r="BB511" s="305"/>
      <c r="BC511" s="305"/>
      <c r="BJ511" s="305"/>
      <c r="BK511" s="305"/>
      <c r="BL511" s="305"/>
      <c r="BM511" s="305"/>
      <c r="BN511" s="305"/>
      <c r="BO511" s="305"/>
      <c r="BP511" s="305"/>
      <c r="BQ511" s="305"/>
      <c r="BR511" s="305"/>
      <c r="BS511" s="305"/>
      <c r="BT511" s="305"/>
      <c r="BU511" s="305"/>
      <c r="BV511" s="305"/>
      <c r="BW511" s="305"/>
      <c r="BX511" s="305"/>
      <c r="BY511" s="305"/>
      <c r="BZ511" s="305"/>
      <c r="CA511" s="305"/>
      <c r="CB511" s="305"/>
      <c r="CC511" s="305"/>
      <c r="CD511" s="305"/>
      <c r="CE511" s="305"/>
      <c r="CF511" s="305"/>
      <c r="CG511" s="305"/>
      <c r="CH511" s="305"/>
      <c r="CI511" s="305"/>
      <c r="CJ511" s="305"/>
      <c r="CK511" s="305"/>
      <c r="CL511" s="305"/>
      <c r="CM511" s="305"/>
      <c r="CN511" s="305"/>
      <c r="CO511" s="305"/>
      <c r="CP511" s="305"/>
    </row>
    <row r="512" spans="1:94">
      <c r="N512" s="91"/>
      <c r="P512" s="92"/>
      <c r="Z512" s="305"/>
      <c r="AA512" s="305"/>
      <c r="AB512" s="305"/>
      <c r="AC512" s="305"/>
      <c r="AD512" s="305"/>
      <c r="AE512" s="305"/>
      <c r="AF512" s="305"/>
      <c r="AG512" s="305"/>
      <c r="AH512" s="305"/>
      <c r="AI512" s="305"/>
      <c r="AJ512" s="305"/>
      <c r="AK512" s="305"/>
      <c r="AL512" s="305"/>
      <c r="AM512" s="305"/>
      <c r="AN512" s="305"/>
      <c r="AO512" s="305"/>
      <c r="AP512" s="305"/>
      <c r="AQ512" s="305"/>
      <c r="AR512" s="305"/>
      <c r="AS512" s="305"/>
      <c r="AT512" s="305"/>
      <c r="AU512" s="305"/>
      <c r="AV512" s="305"/>
      <c r="AW512" s="305"/>
      <c r="AX512" s="305"/>
      <c r="AY512" s="305"/>
      <c r="AZ512" s="305"/>
      <c r="BA512" s="305"/>
      <c r="BB512" s="305"/>
      <c r="BC512" s="305"/>
      <c r="BJ512" s="305"/>
      <c r="BK512" s="305"/>
      <c r="BL512" s="305"/>
      <c r="BM512" s="305"/>
      <c r="BN512" s="305"/>
      <c r="BO512" s="305"/>
      <c r="BP512" s="305"/>
      <c r="BQ512" s="305"/>
      <c r="BR512" s="305"/>
      <c r="BS512" s="305"/>
      <c r="BT512" s="305"/>
      <c r="BU512" s="305"/>
      <c r="BV512" s="305"/>
      <c r="BW512" s="305"/>
      <c r="BX512" s="305"/>
      <c r="BY512" s="305"/>
      <c r="BZ512" s="305"/>
      <c r="CA512" s="305"/>
      <c r="CB512" s="305"/>
      <c r="CC512" s="305"/>
      <c r="CD512" s="305"/>
      <c r="CE512" s="305"/>
      <c r="CF512" s="305"/>
      <c r="CG512" s="305"/>
      <c r="CH512" s="305"/>
      <c r="CI512" s="305"/>
      <c r="CJ512" s="305"/>
      <c r="CK512" s="305"/>
      <c r="CL512" s="305"/>
      <c r="CM512" s="305"/>
      <c r="CN512" s="305"/>
      <c r="CO512" s="305"/>
      <c r="CP512" s="305"/>
    </row>
    <row r="513" spans="14:94">
      <c r="N513" s="91"/>
      <c r="P513" s="92"/>
      <c r="Z513" s="305"/>
      <c r="AA513" s="305"/>
      <c r="AB513" s="305"/>
      <c r="AC513" s="305"/>
      <c r="AD513" s="305"/>
      <c r="AE513" s="305"/>
      <c r="AF513" s="305"/>
      <c r="AG513" s="305"/>
      <c r="AH513" s="305"/>
      <c r="AI513" s="305"/>
      <c r="AJ513" s="305"/>
      <c r="AK513" s="305"/>
      <c r="AL513" s="305"/>
      <c r="AM513" s="305"/>
      <c r="AN513" s="305"/>
      <c r="AO513" s="305"/>
      <c r="AP513" s="305"/>
      <c r="AQ513" s="305"/>
      <c r="AR513" s="305"/>
      <c r="AS513" s="305"/>
      <c r="AT513" s="305"/>
      <c r="AU513" s="305"/>
      <c r="AV513" s="305"/>
      <c r="AW513" s="305"/>
      <c r="AX513" s="305"/>
      <c r="AY513" s="305"/>
      <c r="AZ513" s="305"/>
      <c r="BA513" s="305"/>
      <c r="BB513" s="305"/>
      <c r="BC513" s="305"/>
      <c r="BJ513" s="305"/>
      <c r="BK513" s="305"/>
      <c r="BL513" s="305"/>
      <c r="BM513" s="305"/>
      <c r="BN513" s="305"/>
      <c r="BO513" s="305"/>
      <c r="BP513" s="305"/>
      <c r="BQ513" s="305"/>
      <c r="BR513" s="305"/>
      <c r="BS513" s="305"/>
      <c r="BT513" s="305"/>
      <c r="BU513" s="305"/>
      <c r="BV513" s="305"/>
      <c r="BW513" s="305"/>
      <c r="BX513" s="305"/>
      <c r="BY513" s="305"/>
      <c r="BZ513" s="305"/>
      <c r="CA513" s="305"/>
      <c r="CB513" s="305"/>
      <c r="CC513" s="305"/>
      <c r="CD513" s="305"/>
      <c r="CE513" s="305"/>
      <c r="CF513" s="305"/>
      <c r="CG513" s="305"/>
      <c r="CH513" s="305"/>
      <c r="CI513" s="305"/>
      <c r="CJ513" s="305"/>
      <c r="CK513" s="305"/>
      <c r="CL513" s="305"/>
      <c r="CM513" s="305"/>
      <c r="CN513" s="305"/>
      <c r="CO513" s="305"/>
      <c r="CP513" s="305"/>
    </row>
    <row r="514" spans="14:94">
      <c r="N514" s="91"/>
      <c r="P514" s="92"/>
      <c r="Z514" s="305"/>
      <c r="AA514" s="305"/>
      <c r="AB514" s="305"/>
      <c r="AC514" s="305"/>
      <c r="AD514" s="305"/>
      <c r="AE514" s="305"/>
      <c r="AF514" s="305"/>
      <c r="AG514" s="305"/>
      <c r="AH514" s="305"/>
      <c r="AI514" s="305"/>
      <c r="AJ514" s="305"/>
      <c r="AK514" s="305"/>
      <c r="AL514" s="305"/>
      <c r="AM514" s="305"/>
      <c r="AN514" s="305"/>
      <c r="AO514" s="305"/>
      <c r="AP514" s="305"/>
      <c r="AQ514" s="305"/>
      <c r="AR514" s="305"/>
      <c r="AS514" s="305"/>
      <c r="AT514" s="305"/>
      <c r="AU514" s="305"/>
      <c r="AV514" s="305"/>
      <c r="AW514" s="305"/>
      <c r="AX514" s="305"/>
      <c r="AY514" s="305"/>
      <c r="AZ514" s="305"/>
      <c r="BA514" s="305"/>
      <c r="BB514" s="305"/>
      <c r="BC514" s="305"/>
      <c r="BJ514" s="305"/>
      <c r="BK514" s="305"/>
      <c r="BL514" s="305"/>
      <c r="BM514" s="305"/>
      <c r="BN514" s="305"/>
      <c r="BO514" s="305"/>
      <c r="BP514" s="305"/>
      <c r="BQ514" s="305"/>
      <c r="BR514" s="305"/>
      <c r="BS514" s="305"/>
      <c r="BT514" s="305"/>
      <c r="BU514" s="305"/>
      <c r="BV514" s="305"/>
      <c r="BW514" s="305"/>
      <c r="BX514" s="305"/>
      <c r="BY514" s="305"/>
      <c r="BZ514" s="305"/>
      <c r="CA514" s="305"/>
      <c r="CB514" s="305"/>
      <c r="CC514" s="305"/>
      <c r="CD514" s="305"/>
      <c r="CE514" s="305"/>
      <c r="CF514" s="305"/>
      <c r="CG514" s="305"/>
      <c r="CH514" s="305"/>
      <c r="CI514" s="305"/>
      <c r="CJ514" s="305"/>
      <c r="CK514" s="305"/>
      <c r="CL514" s="305"/>
      <c r="CM514" s="305"/>
      <c r="CN514" s="305"/>
      <c r="CO514" s="305"/>
      <c r="CP514" s="305"/>
    </row>
    <row r="515" spans="14:94">
      <c r="N515" s="91"/>
      <c r="P515" s="92"/>
      <c r="Z515" s="305"/>
      <c r="AA515" s="305"/>
      <c r="AB515" s="305"/>
      <c r="AC515" s="305"/>
      <c r="AD515" s="305"/>
      <c r="AE515" s="305"/>
      <c r="AF515" s="305"/>
      <c r="AG515" s="305"/>
      <c r="AH515" s="305"/>
      <c r="AI515" s="305"/>
      <c r="AJ515" s="305"/>
      <c r="AK515" s="305"/>
      <c r="AL515" s="305"/>
      <c r="AM515" s="305"/>
      <c r="AN515" s="305"/>
      <c r="AO515" s="305"/>
      <c r="AP515" s="305"/>
      <c r="AQ515" s="305"/>
      <c r="AR515" s="305"/>
      <c r="AS515" s="305"/>
      <c r="AT515" s="305"/>
      <c r="AU515" s="305"/>
      <c r="AV515" s="305"/>
      <c r="AW515" s="305"/>
      <c r="AX515" s="305"/>
      <c r="AY515" s="305"/>
      <c r="AZ515" s="305"/>
      <c r="BA515" s="305"/>
      <c r="BB515" s="305"/>
      <c r="BC515" s="305"/>
      <c r="BJ515" s="305"/>
      <c r="BK515" s="305"/>
      <c r="BL515" s="305"/>
      <c r="BM515" s="305"/>
      <c r="BN515" s="305"/>
      <c r="BO515" s="305"/>
      <c r="BP515" s="305"/>
      <c r="BQ515" s="305"/>
      <c r="BR515" s="305"/>
      <c r="BS515" s="305"/>
      <c r="BT515" s="305"/>
      <c r="BU515" s="305"/>
      <c r="BV515" s="305"/>
      <c r="BW515" s="305"/>
      <c r="BX515" s="305"/>
      <c r="BY515" s="305"/>
      <c r="BZ515" s="305"/>
      <c r="CA515" s="305"/>
      <c r="CB515" s="305"/>
      <c r="CC515" s="305"/>
      <c r="CD515" s="305"/>
      <c r="CE515" s="305"/>
      <c r="CF515" s="305"/>
      <c r="CG515" s="305"/>
      <c r="CH515" s="305"/>
      <c r="CI515" s="305"/>
      <c r="CJ515" s="305"/>
      <c r="CK515" s="305"/>
      <c r="CL515" s="305"/>
      <c r="CM515" s="305"/>
      <c r="CN515" s="305"/>
      <c r="CO515" s="305"/>
      <c r="CP515" s="305"/>
    </row>
    <row r="516" spans="14:94">
      <c r="N516" s="91"/>
      <c r="P516" s="92"/>
      <c r="Z516" s="305"/>
      <c r="AA516" s="305"/>
      <c r="AB516" s="305"/>
      <c r="AC516" s="305"/>
      <c r="AD516" s="305"/>
      <c r="AE516" s="305"/>
      <c r="AF516" s="305"/>
      <c r="AG516" s="305"/>
      <c r="AH516" s="305"/>
      <c r="AI516" s="305"/>
      <c r="AJ516" s="305"/>
      <c r="AK516" s="305"/>
      <c r="AL516" s="305"/>
      <c r="AM516" s="305"/>
      <c r="AN516" s="305"/>
      <c r="AO516" s="305"/>
      <c r="AP516" s="305"/>
      <c r="AQ516" s="305"/>
      <c r="AR516" s="305"/>
      <c r="AS516" s="305"/>
      <c r="AT516" s="305"/>
      <c r="AU516" s="305"/>
      <c r="AV516" s="305"/>
      <c r="AW516" s="305"/>
      <c r="AX516" s="305"/>
      <c r="AY516" s="305"/>
      <c r="AZ516" s="305"/>
      <c r="BA516" s="305"/>
      <c r="BB516" s="305"/>
      <c r="BC516" s="305"/>
      <c r="BJ516" s="305"/>
      <c r="BK516" s="305"/>
      <c r="BL516" s="305"/>
      <c r="BM516" s="305"/>
      <c r="BN516" s="305"/>
      <c r="BO516" s="305"/>
      <c r="BP516" s="305"/>
      <c r="BQ516" s="305"/>
      <c r="BR516" s="305"/>
      <c r="BS516" s="305"/>
      <c r="BT516" s="305"/>
      <c r="BU516" s="305"/>
      <c r="BV516" s="305"/>
      <c r="BW516" s="305"/>
      <c r="BX516" s="305"/>
      <c r="BY516" s="305"/>
      <c r="BZ516" s="305"/>
      <c r="CA516" s="305"/>
      <c r="CB516" s="305"/>
      <c r="CC516" s="305"/>
      <c r="CD516" s="305"/>
      <c r="CE516" s="305"/>
      <c r="CF516" s="305"/>
      <c r="CG516" s="305"/>
      <c r="CH516" s="305"/>
      <c r="CI516" s="305"/>
      <c r="CJ516" s="305"/>
      <c r="CK516" s="305"/>
      <c r="CL516" s="305"/>
      <c r="CM516" s="305"/>
      <c r="CN516" s="305"/>
      <c r="CO516" s="305"/>
      <c r="CP516" s="305"/>
    </row>
    <row r="517" spans="14:94">
      <c r="N517" s="91"/>
      <c r="P517" s="92"/>
      <c r="Z517" s="305"/>
      <c r="AA517" s="305"/>
      <c r="AB517" s="305"/>
      <c r="AC517" s="305"/>
      <c r="AD517" s="305"/>
      <c r="AE517" s="305"/>
      <c r="AF517" s="305"/>
      <c r="AG517" s="305"/>
      <c r="AH517" s="305"/>
      <c r="AI517" s="305"/>
      <c r="AJ517" s="305"/>
      <c r="AK517" s="305"/>
      <c r="AL517" s="305"/>
      <c r="AM517" s="305"/>
      <c r="AN517" s="305"/>
      <c r="AO517" s="305"/>
      <c r="AP517" s="305"/>
      <c r="AQ517" s="305"/>
      <c r="AR517" s="305"/>
      <c r="AS517" s="305"/>
      <c r="AT517" s="305"/>
      <c r="AU517" s="305"/>
      <c r="AV517" s="305"/>
      <c r="AW517" s="305"/>
      <c r="AX517" s="305"/>
      <c r="AY517" s="305"/>
      <c r="AZ517" s="305"/>
      <c r="BA517" s="305"/>
      <c r="BB517" s="305"/>
      <c r="BC517" s="305"/>
      <c r="BJ517" s="305"/>
      <c r="BK517" s="305"/>
      <c r="BL517" s="305"/>
      <c r="BM517" s="305"/>
      <c r="BN517" s="305"/>
      <c r="BO517" s="305"/>
      <c r="BP517" s="305"/>
      <c r="BQ517" s="305"/>
      <c r="BR517" s="305"/>
      <c r="BS517" s="305"/>
      <c r="BT517" s="305"/>
      <c r="BU517" s="305"/>
      <c r="BV517" s="305"/>
      <c r="BW517" s="305"/>
      <c r="BX517" s="305"/>
      <c r="BY517" s="305"/>
      <c r="BZ517" s="305"/>
      <c r="CA517" s="305"/>
      <c r="CB517" s="305"/>
      <c r="CC517" s="305"/>
      <c r="CD517" s="305"/>
      <c r="CE517" s="305"/>
      <c r="CF517" s="305"/>
      <c r="CG517" s="305"/>
      <c r="CH517" s="305"/>
      <c r="CI517" s="305"/>
      <c r="CJ517" s="305"/>
      <c r="CK517" s="305"/>
      <c r="CL517" s="305"/>
      <c r="CM517" s="305"/>
      <c r="CN517" s="305"/>
      <c r="CO517" s="305"/>
      <c r="CP517" s="305"/>
    </row>
    <row r="518" spans="14:94">
      <c r="N518" s="91"/>
      <c r="P518" s="92"/>
      <c r="Z518" s="305"/>
      <c r="AA518" s="305"/>
      <c r="AB518" s="305"/>
      <c r="AC518" s="305"/>
      <c r="AD518" s="305"/>
      <c r="AE518" s="305"/>
      <c r="AF518" s="305"/>
      <c r="AG518" s="305"/>
      <c r="AH518" s="305"/>
      <c r="AI518" s="305"/>
      <c r="AJ518" s="305"/>
      <c r="AK518" s="305"/>
      <c r="AL518" s="305"/>
      <c r="AM518" s="305"/>
      <c r="AN518" s="305"/>
      <c r="AO518" s="305"/>
      <c r="AP518" s="305"/>
      <c r="AQ518" s="305"/>
      <c r="AR518" s="305"/>
      <c r="AS518" s="305"/>
      <c r="AT518" s="305"/>
      <c r="AU518" s="305"/>
      <c r="AV518" s="305"/>
      <c r="AW518" s="305"/>
      <c r="AX518" s="305"/>
      <c r="AY518" s="305"/>
      <c r="AZ518" s="305"/>
      <c r="BA518" s="305"/>
      <c r="BB518" s="305"/>
      <c r="BC518" s="305"/>
      <c r="BJ518" s="305"/>
      <c r="BK518" s="305"/>
      <c r="BL518" s="305"/>
      <c r="BM518" s="305"/>
      <c r="BN518" s="305"/>
      <c r="BO518" s="305"/>
      <c r="BP518" s="305"/>
      <c r="BQ518" s="305"/>
      <c r="BR518" s="305"/>
      <c r="BS518" s="305"/>
      <c r="BT518" s="305"/>
      <c r="BU518" s="305"/>
      <c r="BV518" s="305"/>
      <c r="BW518" s="305"/>
      <c r="BX518" s="305"/>
      <c r="BY518" s="305"/>
      <c r="BZ518" s="305"/>
      <c r="CA518" s="305"/>
      <c r="CB518" s="305"/>
      <c r="CC518" s="305"/>
      <c r="CD518" s="305"/>
      <c r="CE518" s="305"/>
      <c r="CF518" s="305"/>
      <c r="CG518" s="305"/>
      <c r="CH518" s="305"/>
      <c r="CI518" s="305"/>
      <c r="CJ518" s="305"/>
      <c r="CK518" s="305"/>
      <c r="CL518" s="305"/>
      <c r="CM518" s="305"/>
      <c r="CN518" s="305"/>
      <c r="CO518" s="305"/>
      <c r="CP518" s="305"/>
    </row>
    <row r="519" spans="14:94">
      <c r="N519" s="91"/>
      <c r="P519" s="92"/>
      <c r="Z519" s="305"/>
      <c r="AA519" s="305"/>
      <c r="AB519" s="305"/>
      <c r="AC519" s="305"/>
      <c r="AD519" s="305"/>
      <c r="AE519" s="305"/>
      <c r="AF519" s="305"/>
      <c r="AG519" s="305"/>
      <c r="AH519" s="305"/>
      <c r="AI519" s="305"/>
      <c r="AJ519" s="305"/>
      <c r="AK519" s="305"/>
      <c r="AL519" s="305"/>
      <c r="AM519" s="305"/>
      <c r="AN519" s="305"/>
      <c r="AO519" s="305"/>
      <c r="AP519" s="305"/>
      <c r="AQ519" s="305"/>
      <c r="AR519" s="305"/>
      <c r="AS519" s="305"/>
      <c r="AT519" s="305"/>
      <c r="AU519" s="305"/>
      <c r="AV519" s="305"/>
      <c r="AW519" s="305"/>
      <c r="AX519" s="305"/>
      <c r="AY519" s="305"/>
      <c r="AZ519" s="305"/>
      <c r="BA519" s="305"/>
      <c r="BB519" s="305"/>
      <c r="BC519" s="305"/>
      <c r="BJ519" s="305"/>
      <c r="BK519" s="305"/>
      <c r="BL519" s="305"/>
      <c r="BM519" s="305"/>
      <c r="BN519" s="305"/>
      <c r="BO519" s="305"/>
      <c r="BP519" s="305"/>
      <c r="BQ519" s="305"/>
      <c r="BR519" s="305"/>
      <c r="BS519" s="305"/>
      <c r="BT519" s="305"/>
      <c r="BU519" s="305"/>
      <c r="BV519" s="305"/>
      <c r="BW519" s="305"/>
      <c r="BX519" s="305"/>
      <c r="BY519" s="305"/>
      <c r="BZ519" s="305"/>
      <c r="CA519" s="305"/>
      <c r="CB519" s="305"/>
      <c r="CC519" s="305"/>
      <c r="CD519" s="305"/>
      <c r="CE519" s="305"/>
      <c r="CF519" s="305"/>
      <c r="CG519" s="305"/>
      <c r="CH519" s="305"/>
      <c r="CI519" s="305"/>
      <c r="CJ519" s="305"/>
      <c r="CK519" s="305"/>
      <c r="CL519" s="305"/>
      <c r="CM519" s="305"/>
      <c r="CN519" s="305"/>
      <c r="CO519" s="305"/>
      <c r="CP519" s="305"/>
    </row>
    <row r="520" spans="14:94">
      <c r="N520" s="91"/>
      <c r="P520" s="92"/>
      <c r="Z520" s="305"/>
      <c r="AA520" s="305"/>
      <c r="AB520" s="305"/>
      <c r="AC520" s="305"/>
      <c r="AD520" s="305"/>
      <c r="AE520" s="305"/>
      <c r="AF520" s="305"/>
      <c r="AG520" s="305"/>
      <c r="AH520" s="305"/>
      <c r="AI520" s="305"/>
      <c r="AJ520" s="305"/>
      <c r="AK520" s="305"/>
      <c r="AL520" s="305"/>
      <c r="AM520" s="305"/>
      <c r="AN520" s="305"/>
      <c r="AO520" s="305"/>
      <c r="AP520" s="305"/>
      <c r="AQ520" s="305"/>
      <c r="AR520" s="305"/>
      <c r="AS520" s="305"/>
      <c r="AT520" s="305"/>
      <c r="AU520" s="305"/>
      <c r="AV520" s="305"/>
      <c r="AW520" s="305"/>
      <c r="AX520" s="305"/>
      <c r="AY520" s="305"/>
      <c r="AZ520" s="305"/>
      <c r="BA520" s="305"/>
      <c r="BB520" s="305"/>
      <c r="BC520" s="305"/>
      <c r="BJ520" s="305"/>
      <c r="BK520" s="305"/>
      <c r="BL520" s="305"/>
      <c r="BM520" s="305"/>
      <c r="BN520" s="305"/>
      <c r="BO520" s="305"/>
      <c r="BP520" s="305"/>
      <c r="BQ520" s="305"/>
      <c r="BR520" s="305"/>
      <c r="BS520" s="305"/>
      <c r="BT520" s="305"/>
      <c r="BU520" s="305"/>
      <c r="BV520" s="305"/>
      <c r="BW520" s="305"/>
      <c r="BX520" s="305"/>
      <c r="BY520" s="305"/>
      <c r="BZ520" s="305"/>
      <c r="CA520" s="305"/>
      <c r="CB520" s="305"/>
      <c r="CC520" s="305"/>
      <c r="CD520" s="305"/>
      <c r="CE520" s="305"/>
      <c r="CF520" s="305"/>
      <c r="CG520" s="305"/>
      <c r="CH520" s="305"/>
      <c r="CI520" s="305"/>
      <c r="CJ520" s="305"/>
      <c r="CK520" s="305"/>
      <c r="CL520" s="305"/>
      <c r="CM520" s="305"/>
      <c r="CN520" s="305"/>
      <c r="CO520" s="305"/>
      <c r="CP520" s="305"/>
    </row>
    <row r="521" spans="14:94">
      <c r="N521" s="91"/>
      <c r="P521" s="92"/>
      <c r="Z521" s="305"/>
      <c r="AA521" s="305"/>
      <c r="AB521" s="305"/>
      <c r="AC521" s="305"/>
      <c r="AD521" s="305"/>
      <c r="AE521" s="305"/>
      <c r="AF521" s="305"/>
      <c r="AG521" s="305"/>
      <c r="AH521" s="305"/>
      <c r="AI521" s="305"/>
      <c r="AJ521" s="305"/>
      <c r="AK521" s="305"/>
      <c r="AL521" s="305"/>
      <c r="AM521" s="305"/>
      <c r="AN521" s="305"/>
      <c r="AO521" s="305"/>
      <c r="AP521" s="305"/>
      <c r="AQ521" s="305"/>
      <c r="AR521" s="305"/>
      <c r="AS521" s="305"/>
      <c r="AT521" s="305"/>
      <c r="AU521" s="305"/>
      <c r="AV521" s="305"/>
      <c r="AW521" s="305"/>
      <c r="AX521" s="305"/>
      <c r="AY521" s="305"/>
      <c r="AZ521" s="305"/>
      <c r="BA521" s="305"/>
      <c r="BB521" s="305"/>
      <c r="BC521" s="305"/>
      <c r="BJ521" s="305"/>
      <c r="BK521" s="305"/>
      <c r="BL521" s="305"/>
      <c r="BM521" s="305"/>
      <c r="BN521" s="305"/>
      <c r="BO521" s="305"/>
      <c r="BP521" s="305"/>
      <c r="BQ521" s="305"/>
      <c r="BR521" s="305"/>
      <c r="BS521" s="305"/>
      <c r="BT521" s="305"/>
      <c r="BU521" s="305"/>
      <c r="BV521" s="305"/>
      <c r="BW521" s="305"/>
      <c r="BX521" s="305"/>
      <c r="BY521" s="305"/>
      <c r="BZ521" s="305"/>
      <c r="CA521" s="305"/>
      <c r="CB521" s="305"/>
      <c r="CC521" s="305"/>
      <c r="CD521" s="305"/>
      <c r="CE521" s="305"/>
      <c r="CF521" s="305"/>
      <c r="CG521" s="305"/>
      <c r="CH521" s="305"/>
      <c r="CI521" s="305"/>
      <c r="CJ521" s="305"/>
      <c r="CK521" s="305"/>
      <c r="CL521" s="305"/>
      <c r="CM521" s="305"/>
      <c r="CN521" s="305"/>
      <c r="CO521" s="305"/>
      <c r="CP521" s="305"/>
    </row>
    <row r="522" spans="14:94">
      <c r="N522" s="91"/>
      <c r="P522" s="92"/>
      <c r="Z522" s="305"/>
      <c r="AA522" s="305"/>
      <c r="AB522" s="305"/>
      <c r="AC522" s="305"/>
      <c r="AD522" s="305"/>
      <c r="AE522" s="305"/>
      <c r="AF522" s="305"/>
      <c r="AG522" s="305"/>
      <c r="AH522" s="305"/>
      <c r="AI522" s="305"/>
      <c r="AJ522" s="305"/>
      <c r="AK522" s="305"/>
      <c r="AL522" s="305"/>
      <c r="AM522" s="305"/>
      <c r="AN522" s="305"/>
      <c r="AO522" s="305"/>
      <c r="AP522" s="305"/>
      <c r="AQ522" s="305"/>
      <c r="AR522" s="305"/>
      <c r="AS522" s="305"/>
      <c r="AT522" s="305"/>
      <c r="AU522" s="305"/>
      <c r="AV522" s="305"/>
      <c r="AW522" s="305"/>
      <c r="AX522" s="305"/>
      <c r="AY522" s="305"/>
      <c r="AZ522" s="305"/>
      <c r="BA522" s="305"/>
      <c r="BB522" s="305"/>
      <c r="BC522" s="305"/>
      <c r="BJ522" s="305"/>
      <c r="BK522" s="305"/>
      <c r="BL522" s="305"/>
      <c r="BM522" s="305"/>
      <c r="BN522" s="305"/>
      <c r="BO522" s="305"/>
      <c r="BP522" s="305"/>
      <c r="BQ522" s="305"/>
      <c r="BR522" s="305"/>
      <c r="BS522" s="305"/>
      <c r="BT522" s="305"/>
      <c r="BU522" s="305"/>
      <c r="BV522" s="305"/>
      <c r="BW522" s="305"/>
      <c r="BX522" s="305"/>
      <c r="BY522" s="305"/>
      <c r="BZ522" s="305"/>
      <c r="CA522" s="305"/>
      <c r="CB522" s="305"/>
      <c r="CC522" s="305"/>
      <c r="CD522" s="305"/>
      <c r="CE522" s="305"/>
      <c r="CF522" s="305"/>
      <c r="CG522" s="305"/>
      <c r="CH522" s="305"/>
      <c r="CI522" s="305"/>
      <c r="CJ522" s="305"/>
      <c r="CK522" s="305"/>
      <c r="CL522" s="305"/>
      <c r="CM522" s="305"/>
      <c r="CN522" s="305"/>
      <c r="CO522" s="305"/>
      <c r="CP522" s="305"/>
    </row>
    <row r="523" spans="14:94">
      <c r="N523" s="91"/>
      <c r="P523" s="92"/>
      <c r="Z523" s="305"/>
      <c r="AA523" s="305"/>
      <c r="AB523" s="305"/>
      <c r="AC523" s="305"/>
      <c r="AD523" s="305"/>
      <c r="AE523" s="305"/>
      <c r="AF523" s="305"/>
      <c r="AG523" s="305"/>
      <c r="AH523" s="305"/>
      <c r="AI523" s="305"/>
      <c r="AJ523" s="305"/>
      <c r="AK523" s="305"/>
      <c r="AL523" s="305"/>
      <c r="AM523" s="305"/>
      <c r="AN523" s="305"/>
      <c r="AO523" s="305"/>
      <c r="AP523" s="305"/>
      <c r="AQ523" s="305"/>
      <c r="AR523" s="305"/>
      <c r="AS523" s="305"/>
      <c r="AT523" s="305"/>
      <c r="AU523" s="305"/>
      <c r="AV523" s="305"/>
      <c r="AW523" s="305"/>
      <c r="AX523" s="305"/>
      <c r="AY523" s="305"/>
      <c r="AZ523" s="305"/>
      <c r="BA523" s="305"/>
      <c r="BB523" s="305"/>
      <c r="BC523" s="305"/>
      <c r="BJ523" s="305"/>
      <c r="BK523" s="305"/>
      <c r="BL523" s="305"/>
      <c r="BM523" s="305"/>
      <c r="BN523" s="305"/>
      <c r="BO523" s="305"/>
      <c r="BP523" s="305"/>
      <c r="BQ523" s="305"/>
      <c r="BR523" s="305"/>
      <c r="BS523" s="305"/>
      <c r="BT523" s="305"/>
      <c r="BU523" s="305"/>
      <c r="BV523" s="305"/>
      <c r="BW523" s="305"/>
      <c r="BX523" s="305"/>
      <c r="BY523" s="305"/>
      <c r="BZ523" s="305"/>
      <c r="CA523" s="305"/>
      <c r="CB523" s="305"/>
      <c r="CC523" s="305"/>
      <c r="CD523" s="305"/>
      <c r="CE523" s="305"/>
      <c r="CF523" s="305"/>
      <c r="CG523" s="305"/>
      <c r="CH523" s="305"/>
      <c r="CI523" s="305"/>
      <c r="CJ523" s="305"/>
      <c r="CK523" s="305"/>
      <c r="CL523" s="305"/>
      <c r="CM523" s="305"/>
      <c r="CN523" s="305"/>
      <c r="CO523" s="305"/>
      <c r="CP523" s="305"/>
    </row>
    <row r="524" spans="14:94">
      <c r="N524" s="91"/>
      <c r="P524" s="92"/>
      <c r="Z524" s="305"/>
      <c r="AA524" s="305"/>
      <c r="AB524" s="305"/>
      <c r="AC524" s="305"/>
      <c r="AD524" s="305"/>
      <c r="AE524" s="305"/>
      <c r="AF524" s="305"/>
      <c r="AG524" s="305"/>
      <c r="AH524" s="305"/>
      <c r="AI524" s="305"/>
      <c r="AJ524" s="305"/>
      <c r="AK524" s="305"/>
      <c r="AL524" s="305"/>
      <c r="AM524" s="305"/>
      <c r="AN524" s="305"/>
      <c r="AO524" s="305"/>
      <c r="AP524" s="305"/>
      <c r="AQ524" s="305"/>
      <c r="AR524" s="305"/>
      <c r="AS524" s="305"/>
      <c r="AT524" s="305"/>
      <c r="AU524" s="305"/>
      <c r="AV524" s="305"/>
      <c r="AW524" s="305"/>
      <c r="AX524" s="305"/>
      <c r="AY524" s="305"/>
      <c r="AZ524" s="305"/>
      <c r="BA524" s="305"/>
      <c r="BB524" s="305"/>
      <c r="BC524" s="305"/>
      <c r="BJ524" s="305"/>
      <c r="BK524" s="305"/>
      <c r="BL524" s="305"/>
      <c r="BM524" s="305"/>
      <c r="BN524" s="305"/>
      <c r="BO524" s="305"/>
      <c r="BP524" s="305"/>
      <c r="BQ524" s="305"/>
      <c r="BR524" s="305"/>
      <c r="BS524" s="305"/>
      <c r="BT524" s="305"/>
      <c r="BU524" s="305"/>
      <c r="BV524" s="305"/>
      <c r="BW524" s="305"/>
      <c r="BX524" s="305"/>
      <c r="BY524" s="305"/>
      <c r="BZ524" s="305"/>
      <c r="CA524" s="305"/>
      <c r="CB524" s="305"/>
      <c r="CC524" s="305"/>
      <c r="CD524" s="305"/>
      <c r="CE524" s="305"/>
      <c r="CF524" s="305"/>
      <c r="CG524" s="305"/>
      <c r="CH524" s="305"/>
      <c r="CI524" s="305"/>
      <c r="CJ524" s="305"/>
      <c r="CK524" s="305"/>
      <c r="CL524" s="305"/>
      <c r="CM524" s="305"/>
      <c r="CN524" s="305"/>
      <c r="CO524" s="305"/>
      <c r="CP524" s="305"/>
    </row>
    <row r="525" spans="14:94">
      <c r="N525" s="91"/>
      <c r="P525" s="92"/>
      <c r="Z525" s="305"/>
      <c r="AA525" s="305"/>
      <c r="AB525" s="305"/>
      <c r="AC525" s="305"/>
      <c r="AD525" s="305"/>
      <c r="AE525" s="305"/>
      <c r="AF525" s="305"/>
      <c r="AG525" s="305"/>
      <c r="AH525" s="305"/>
      <c r="AI525" s="305"/>
      <c r="AJ525" s="305"/>
      <c r="AK525" s="305"/>
      <c r="AL525" s="305"/>
      <c r="AM525" s="305"/>
      <c r="AN525" s="305"/>
      <c r="AO525" s="305"/>
      <c r="AP525" s="305"/>
      <c r="AQ525" s="305"/>
      <c r="AR525" s="305"/>
      <c r="AS525" s="305"/>
      <c r="AT525" s="305"/>
      <c r="AU525" s="305"/>
      <c r="AV525" s="305"/>
      <c r="AW525" s="305"/>
      <c r="AX525" s="305"/>
      <c r="AY525" s="305"/>
      <c r="AZ525" s="305"/>
      <c r="BA525" s="305"/>
      <c r="BB525" s="305"/>
      <c r="BC525" s="305"/>
      <c r="BJ525" s="305"/>
      <c r="BK525" s="305"/>
      <c r="BL525" s="305"/>
      <c r="BM525" s="305"/>
      <c r="BN525" s="305"/>
      <c r="BO525" s="305"/>
      <c r="BP525" s="305"/>
      <c r="BQ525" s="305"/>
      <c r="BR525" s="305"/>
      <c r="BS525" s="305"/>
      <c r="BT525" s="305"/>
      <c r="BU525" s="305"/>
      <c r="BV525" s="305"/>
      <c r="BW525" s="305"/>
      <c r="BX525" s="305"/>
      <c r="BY525" s="305"/>
      <c r="BZ525" s="305"/>
      <c r="CA525" s="305"/>
      <c r="CB525" s="305"/>
      <c r="CC525" s="305"/>
      <c r="CD525" s="305"/>
      <c r="CE525" s="305"/>
      <c r="CF525" s="305"/>
      <c r="CG525" s="305"/>
      <c r="CH525" s="305"/>
      <c r="CI525" s="305"/>
      <c r="CJ525" s="305"/>
      <c r="CK525" s="305"/>
      <c r="CL525" s="305"/>
      <c r="CM525" s="305"/>
      <c r="CN525" s="305"/>
      <c r="CO525" s="305"/>
      <c r="CP525" s="305"/>
    </row>
    <row r="526" spans="14:94">
      <c r="N526" s="91"/>
      <c r="P526" s="92"/>
      <c r="Z526" s="305"/>
      <c r="AA526" s="305"/>
      <c r="AB526" s="305"/>
      <c r="AC526" s="305"/>
      <c r="AD526" s="305"/>
      <c r="AE526" s="305"/>
      <c r="AF526" s="305"/>
      <c r="AG526" s="305"/>
      <c r="AH526" s="305"/>
      <c r="AI526" s="305"/>
      <c r="AJ526" s="305"/>
      <c r="AK526" s="305"/>
      <c r="AL526" s="305"/>
      <c r="AM526" s="305"/>
      <c r="AN526" s="305"/>
      <c r="AO526" s="305"/>
      <c r="AP526" s="305"/>
      <c r="AQ526" s="305"/>
      <c r="AR526" s="305"/>
      <c r="AS526" s="305"/>
      <c r="AT526" s="305"/>
      <c r="AU526" s="305"/>
      <c r="AV526" s="305"/>
      <c r="AW526" s="305"/>
      <c r="AX526" s="305"/>
      <c r="AY526" s="305"/>
      <c r="AZ526" s="305"/>
      <c r="BA526" s="305"/>
      <c r="BB526" s="305"/>
      <c r="BC526" s="305"/>
      <c r="BJ526" s="305"/>
      <c r="BK526" s="305"/>
      <c r="BL526" s="305"/>
      <c r="BM526" s="305"/>
      <c r="BN526" s="305"/>
      <c r="BO526" s="305"/>
      <c r="BP526" s="305"/>
      <c r="BQ526" s="305"/>
      <c r="BR526" s="305"/>
      <c r="BS526" s="305"/>
      <c r="BT526" s="305"/>
      <c r="BU526" s="305"/>
      <c r="BV526" s="305"/>
      <c r="BW526" s="305"/>
      <c r="BX526" s="305"/>
      <c r="BY526" s="305"/>
      <c r="BZ526" s="305"/>
      <c r="CA526" s="305"/>
      <c r="CB526" s="305"/>
      <c r="CC526" s="305"/>
      <c r="CD526" s="305"/>
      <c r="CE526" s="305"/>
      <c r="CF526" s="305"/>
      <c r="CG526" s="305"/>
      <c r="CH526" s="305"/>
      <c r="CI526" s="305"/>
      <c r="CJ526" s="305"/>
      <c r="CK526" s="305"/>
      <c r="CL526" s="305"/>
      <c r="CM526" s="305"/>
      <c r="CN526" s="305"/>
      <c r="CO526" s="305"/>
      <c r="CP526" s="305"/>
    </row>
    <row r="527" spans="14:94">
      <c r="N527" s="91"/>
      <c r="P527" s="92"/>
      <c r="Z527" s="305"/>
      <c r="AA527" s="305"/>
      <c r="AB527" s="305"/>
      <c r="AC527" s="305"/>
      <c r="AD527" s="305"/>
      <c r="AE527" s="305"/>
      <c r="AF527" s="305"/>
      <c r="AG527" s="305"/>
      <c r="AH527" s="305"/>
      <c r="AI527" s="305"/>
      <c r="AJ527" s="305"/>
      <c r="AK527" s="305"/>
      <c r="AL527" s="305"/>
      <c r="AM527" s="305"/>
      <c r="AN527" s="305"/>
      <c r="AO527" s="305"/>
      <c r="AP527" s="305"/>
      <c r="AQ527" s="305"/>
      <c r="AR527" s="305"/>
      <c r="AS527" s="305"/>
      <c r="AT527" s="305"/>
      <c r="AU527" s="305"/>
      <c r="AV527" s="305"/>
      <c r="AW527" s="305"/>
      <c r="AX527" s="305"/>
      <c r="AY527" s="305"/>
      <c r="AZ527" s="305"/>
      <c r="BA527" s="305"/>
      <c r="BB527" s="305"/>
      <c r="BC527" s="305"/>
      <c r="BJ527" s="305"/>
      <c r="BK527" s="305"/>
      <c r="BL527" s="305"/>
      <c r="BM527" s="305"/>
      <c r="BN527" s="305"/>
      <c r="BO527" s="305"/>
      <c r="BP527" s="305"/>
      <c r="BQ527" s="305"/>
      <c r="BR527" s="305"/>
      <c r="BS527" s="305"/>
      <c r="BT527" s="305"/>
      <c r="BU527" s="305"/>
      <c r="BV527" s="305"/>
      <c r="BW527" s="305"/>
      <c r="BX527" s="305"/>
      <c r="BY527" s="305"/>
      <c r="BZ527" s="305"/>
      <c r="CA527" s="305"/>
      <c r="CB527" s="305"/>
      <c r="CC527" s="305"/>
      <c r="CD527" s="305"/>
      <c r="CE527" s="305"/>
      <c r="CF527" s="305"/>
      <c r="CG527" s="305"/>
      <c r="CH527" s="305"/>
      <c r="CI527" s="305"/>
      <c r="CJ527" s="305"/>
      <c r="CK527" s="305"/>
      <c r="CL527" s="305"/>
      <c r="CM527" s="305"/>
      <c r="CN527" s="305"/>
      <c r="CO527" s="305"/>
      <c r="CP527" s="305"/>
    </row>
    <row r="528" spans="14:94">
      <c r="N528" s="91"/>
      <c r="P528" s="92"/>
      <c r="Z528" s="305"/>
      <c r="AA528" s="305"/>
      <c r="AB528" s="305"/>
      <c r="AC528" s="305"/>
      <c r="AD528" s="305"/>
      <c r="AE528" s="305"/>
      <c r="AF528" s="305"/>
      <c r="AG528" s="305"/>
      <c r="AH528" s="305"/>
      <c r="AI528" s="305"/>
      <c r="AJ528" s="305"/>
      <c r="AK528" s="305"/>
      <c r="AL528" s="305"/>
      <c r="AM528" s="305"/>
      <c r="AN528" s="305"/>
      <c r="AO528" s="305"/>
      <c r="AP528" s="305"/>
      <c r="AQ528" s="305"/>
      <c r="AR528" s="305"/>
      <c r="AS528" s="305"/>
      <c r="AT528" s="305"/>
      <c r="AU528" s="305"/>
      <c r="AV528" s="305"/>
      <c r="AW528" s="305"/>
      <c r="AX528" s="305"/>
      <c r="AY528" s="305"/>
      <c r="AZ528" s="305"/>
      <c r="BA528" s="305"/>
      <c r="BB528" s="305"/>
      <c r="BC528" s="305"/>
      <c r="BJ528" s="305"/>
      <c r="BK528" s="305"/>
      <c r="BL528" s="305"/>
      <c r="BM528" s="305"/>
      <c r="BN528" s="305"/>
      <c r="BO528" s="305"/>
      <c r="BP528" s="305"/>
      <c r="BQ528" s="305"/>
      <c r="BR528" s="305"/>
      <c r="BS528" s="305"/>
      <c r="BT528" s="305"/>
      <c r="BU528" s="305"/>
      <c r="BV528" s="305"/>
      <c r="BW528" s="305"/>
      <c r="BX528" s="305"/>
      <c r="BY528" s="305"/>
      <c r="BZ528" s="305"/>
      <c r="CA528" s="305"/>
      <c r="CB528" s="305"/>
      <c r="CC528" s="305"/>
      <c r="CD528" s="305"/>
      <c r="CE528" s="305"/>
      <c r="CF528" s="305"/>
      <c r="CG528" s="305"/>
      <c r="CH528" s="305"/>
      <c r="CI528" s="305"/>
      <c r="CJ528" s="305"/>
      <c r="CK528" s="305"/>
      <c r="CL528" s="305"/>
      <c r="CM528" s="305"/>
      <c r="CN528" s="305"/>
      <c r="CO528" s="305"/>
      <c r="CP528" s="305"/>
    </row>
    <row r="529" spans="14:94">
      <c r="N529" s="91"/>
      <c r="P529" s="92"/>
      <c r="Z529" s="305"/>
      <c r="AA529" s="305"/>
      <c r="AB529" s="305"/>
      <c r="AC529" s="305"/>
      <c r="AD529" s="305"/>
      <c r="AE529" s="305"/>
      <c r="AF529" s="305"/>
      <c r="AG529" s="305"/>
      <c r="AH529" s="305"/>
      <c r="AI529" s="305"/>
      <c r="AJ529" s="305"/>
      <c r="AK529" s="305"/>
      <c r="AL529" s="305"/>
      <c r="AM529" s="305"/>
      <c r="AN529" s="305"/>
      <c r="AO529" s="305"/>
      <c r="AP529" s="305"/>
      <c r="AQ529" s="305"/>
      <c r="AR529" s="305"/>
      <c r="AS529" s="305"/>
      <c r="AT529" s="305"/>
      <c r="AU529" s="305"/>
      <c r="AV529" s="305"/>
      <c r="AW529" s="305"/>
      <c r="AX529" s="305"/>
      <c r="AY529" s="305"/>
      <c r="AZ529" s="305"/>
      <c r="BA529" s="305"/>
      <c r="BB529" s="305"/>
      <c r="BC529" s="305"/>
      <c r="BJ529" s="305"/>
      <c r="BK529" s="305"/>
      <c r="BL529" s="305"/>
      <c r="BM529" s="305"/>
      <c r="BN529" s="305"/>
      <c r="BO529" s="305"/>
      <c r="BP529" s="305"/>
      <c r="BQ529" s="305"/>
      <c r="BR529" s="305"/>
      <c r="BS529" s="305"/>
      <c r="BT529" s="305"/>
      <c r="BU529" s="305"/>
      <c r="BV529" s="305"/>
      <c r="BW529" s="305"/>
      <c r="BX529" s="305"/>
      <c r="BY529" s="305"/>
      <c r="BZ529" s="305"/>
      <c r="CA529" s="305"/>
      <c r="CB529" s="305"/>
      <c r="CC529" s="305"/>
      <c r="CD529" s="305"/>
      <c r="CE529" s="305"/>
      <c r="CF529" s="305"/>
      <c r="CG529" s="305"/>
      <c r="CH529" s="305"/>
      <c r="CI529" s="305"/>
      <c r="CJ529" s="305"/>
      <c r="CK529" s="305"/>
      <c r="CL529" s="305"/>
      <c r="CM529" s="305"/>
      <c r="CN529" s="305"/>
      <c r="CO529" s="305"/>
      <c r="CP529" s="305"/>
    </row>
    <row r="530" spans="14:94">
      <c r="N530" s="91"/>
      <c r="P530" s="92"/>
      <c r="Z530" s="305"/>
      <c r="AA530" s="305"/>
      <c r="AB530" s="305"/>
      <c r="AC530" s="305"/>
      <c r="AD530" s="305"/>
      <c r="AE530" s="305"/>
      <c r="AF530" s="305"/>
      <c r="AG530" s="305"/>
      <c r="AH530" s="305"/>
      <c r="AI530" s="305"/>
      <c r="AJ530" s="305"/>
      <c r="AK530" s="305"/>
      <c r="AL530" s="305"/>
      <c r="AM530" s="305"/>
      <c r="AN530" s="305"/>
      <c r="AO530" s="305"/>
      <c r="AP530" s="305"/>
      <c r="AQ530" s="305"/>
      <c r="AR530" s="305"/>
      <c r="AS530" s="305"/>
      <c r="AT530" s="305"/>
      <c r="AU530" s="305"/>
      <c r="AV530" s="305"/>
      <c r="AW530" s="305"/>
      <c r="AX530" s="305"/>
      <c r="AY530" s="305"/>
      <c r="AZ530" s="305"/>
      <c r="BA530" s="305"/>
      <c r="BB530" s="305"/>
      <c r="BC530" s="305"/>
      <c r="BJ530" s="305"/>
      <c r="BK530" s="305"/>
      <c r="BL530" s="305"/>
      <c r="BM530" s="305"/>
      <c r="BN530" s="305"/>
      <c r="BO530" s="305"/>
      <c r="BP530" s="305"/>
      <c r="BQ530" s="305"/>
      <c r="BR530" s="305"/>
      <c r="BS530" s="305"/>
      <c r="BT530" s="305"/>
      <c r="BU530" s="305"/>
      <c r="BV530" s="305"/>
      <c r="BW530" s="305"/>
      <c r="BX530" s="305"/>
      <c r="BY530" s="305"/>
      <c r="BZ530" s="305"/>
      <c r="CA530" s="305"/>
      <c r="CB530" s="305"/>
      <c r="CC530" s="305"/>
      <c r="CD530" s="305"/>
      <c r="CE530" s="305"/>
      <c r="CF530" s="305"/>
      <c r="CG530" s="305"/>
      <c r="CH530" s="305"/>
      <c r="CI530" s="305"/>
      <c r="CJ530" s="305"/>
      <c r="CK530" s="305"/>
      <c r="CL530" s="305"/>
      <c r="CM530" s="305"/>
      <c r="CN530" s="305"/>
      <c r="CO530" s="305"/>
      <c r="CP530" s="305"/>
    </row>
    <row r="531" spans="14:94">
      <c r="N531" s="91"/>
      <c r="P531" s="92"/>
      <c r="Z531" s="305"/>
      <c r="AA531" s="305"/>
      <c r="AB531" s="305"/>
      <c r="AC531" s="305"/>
      <c r="AD531" s="305"/>
      <c r="AE531" s="305"/>
      <c r="AF531" s="305"/>
      <c r="AG531" s="305"/>
      <c r="AH531" s="305"/>
      <c r="AI531" s="305"/>
      <c r="AJ531" s="305"/>
      <c r="AK531" s="305"/>
      <c r="AL531" s="305"/>
      <c r="AM531" s="305"/>
      <c r="AN531" s="305"/>
      <c r="AO531" s="305"/>
      <c r="AP531" s="305"/>
      <c r="AQ531" s="305"/>
      <c r="AR531" s="305"/>
      <c r="AS531" s="305"/>
      <c r="AT531" s="305"/>
      <c r="AU531" s="305"/>
      <c r="AV531" s="305"/>
      <c r="AW531" s="305"/>
      <c r="AX531" s="305"/>
      <c r="AY531" s="305"/>
      <c r="AZ531" s="305"/>
      <c r="BA531" s="305"/>
      <c r="BB531" s="305"/>
      <c r="BC531" s="305"/>
      <c r="BJ531" s="305"/>
      <c r="BK531" s="305"/>
      <c r="BL531" s="305"/>
      <c r="BM531" s="305"/>
      <c r="BN531" s="305"/>
      <c r="BO531" s="305"/>
      <c r="BP531" s="305"/>
      <c r="BQ531" s="305"/>
      <c r="BR531" s="305"/>
      <c r="BS531" s="305"/>
      <c r="BT531" s="305"/>
      <c r="BU531" s="305"/>
      <c r="BV531" s="305"/>
      <c r="BW531" s="305"/>
      <c r="BX531" s="305"/>
      <c r="BY531" s="305"/>
      <c r="BZ531" s="305"/>
      <c r="CA531" s="305"/>
      <c r="CB531" s="305"/>
      <c r="CC531" s="305"/>
      <c r="CD531" s="305"/>
      <c r="CE531" s="305"/>
      <c r="CF531" s="305"/>
      <c r="CG531" s="305"/>
      <c r="CH531" s="305"/>
      <c r="CI531" s="305"/>
      <c r="CJ531" s="305"/>
      <c r="CK531" s="305"/>
      <c r="CL531" s="305"/>
      <c r="CM531" s="305"/>
      <c r="CN531" s="305"/>
      <c r="CO531" s="305"/>
      <c r="CP531" s="305"/>
    </row>
    <row r="532" spans="14:94">
      <c r="N532" s="91"/>
      <c r="P532" s="92"/>
      <c r="Z532" s="305"/>
      <c r="AA532" s="305"/>
      <c r="AB532" s="305"/>
      <c r="AC532" s="305"/>
      <c r="AD532" s="305"/>
      <c r="AE532" s="305"/>
      <c r="AF532" s="305"/>
      <c r="AG532" s="305"/>
      <c r="AH532" s="305"/>
      <c r="AI532" s="305"/>
      <c r="AJ532" s="305"/>
      <c r="AK532" s="305"/>
      <c r="AL532" s="305"/>
      <c r="AM532" s="305"/>
      <c r="AN532" s="305"/>
      <c r="AO532" s="305"/>
      <c r="AP532" s="305"/>
      <c r="AQ532" s="305"/>
      <c r="AR532" s="305"/>
      <c r="AS532" s="305"/>
      <c r="AT532" s="305"/>
      <c r="AU532" s="305"/>
      <c r="AV532" s="305"/>
      <c r="AW532" s="305"/>
      <c r="AX532" s="305"/>
      <c r="AY532" s="305"/>
      <c r="AZ532" s="305"/>
      <c r="BA532" s="305"/>
      <c r="BB532" s="305"/>
      <c r="BC532" s="305"/>
      <c r="BJ532" s="305"/>
      <c r="BK532" s="305"/>
      <c r="BL532" s="305"/>
      <c r="BM532" s="305"/>
      <c r="BN532" s="305"/>
      <c r="BO532" s="305"/>
      <c r="BP532" s="305"/>
      <c r="BQ532" s="305"/>
      <c r="BR532" s="305"/>
      <c r="BS532" s="305"/>
      <c r="BT532" s="305"/>
      <c r="BU532" s="305"/>
      <c r="BV532" s="305"/>
      <c r="BW532" s="305"/>
      <c r="BX532" s="305"/>
      <c r="BY532" s="305"/>
      <c r="BZ532" s="305"/>
      <c r="CA532" s="305"/>
      <c r="CB532" s="305"/>
      <c r="CC532" s="305"/>
      <c r="CD532" s="305"/>
      <c r="CE532" s="305"/>
      <c r="CF532" s="305"/>
      <c r="CG532" s="305"/>
      <c r="CH532" s="305"/>
      <c r="CI532" s="305"/>
      <c r="CJ532" s="305"/>
      <c r="CK532" s="305"/>
      <c r="CL532" s="305"/>
      <c r="CM532" s="305"/>
      <c r="CN532" s="305"/>
      <c r="CO532" s="305"/>
      <c r="CP532" s="305"/>
    </row>
    <row r="533" spans="14:94">
      <c r="N533" s="91"/>
      <c r="P533" s="92"/>
      <c r="Z533" s="305"/>
      <c r="AA533" s="305"/>
      <c r="AB533" s="305"/>
      <c r="AC533" s="305"/>
      <c r="AD533" s="305"/>
      <c r="AE533" s="305"/>
      <c r="AF533" s="305"/>
      <c r="AG533" s="305"/>
      <c r="AH533" s="305"/>
      <c r="AI533" s="305"/>
      <c r="AJ533" s="305"/>
      <c r="AK533" s="305"/>
      <c r="AL533" s="305"/>
      <c r="AM533" s="305"/>
      <c r="AN533" s="305"/>
      <c r="AO533" s="305"/>
      <c r="AP533" s="305"/>
      <c r="AQ533" s="305"/>
      <c r="AR533" s="305"/>
      <c r="AS533" s="305"/>
      <c r="AT533" s="305"/>
      <c r="AU533" s="305"/>
      <c r="AV533" s="305"/>
      <c r="AW533" s="305"/>
      <c r="AX533" s="305"/>
      <c r="AY533" s="305"/>
      <c r="AZ533" s="305"/>
      <c r="BA533" s="305"/>
      <c r="BB533" s="305"/>
      <c r="BC533" s="305"/>
      <c r="BJ533" s="305"/>
      <c r="BK533" s="305"/>
      <c r="BL533" s="305"/>
      <c r="BM533" s="305"/>
      <c r="BN533" s="305"/>
      <c r="BO533" s="305"/>
      <c r="BP533" s="305"/>
      <c r="BQ533" s="305"/>
      <c r="BR533" s="305"/>
      <c r="BS533" s="305"/>
      <c r="BT533" s="305"/>
      <c r="BU533" s="305"/>
      <c r="BV533" s="305"/>
      <c r="BW533" s="305"/>
      <c r="BX533" s="305"/>
      <c r="BY533" s="305"/>
      <c r="BZ533" s="305"/>
      <c r="CA533" s="305"/>
      <c r="CB533" s="305"/>
      <c r="CC533" s="305"/>
      <c r="CD533" s="305"/>
      <c r="CE533" s="305"/>
      <c r="CF533" s="305"/>
      <c r="CG533" s="305"/>
      <c r="CH533" s="305"/>
      <c r="CI533" s="305"/>
      <c r="CJ533" s="305"/>
      <c r="CK533" s="305"/>
      <c r="CL533" s="305"/>
      <c r="CM533" s="305"/>
      <c r="CN533" s="305"/>
      <c r="CO533" s="305"/>
      <c r="CP533" s="305"/>
    </row>
    <row r="534" spans="14:94">
      <c r="N534" s="91"/>
      <c r="P534" s="92"/>
      <c r="Z534" s="305"/>
      <c r="AA534" s="305"/>
      <c r="AB534" s="305"/>
      <c r="AC534" s="305"/>
      <c r="AD534" s="305"/>
      <c r="AE534" s="305"/>
      <c r="AF534" s="305"/>
      <c r="AG534" s="305"/>
      <c r="AH534" s="305"/>
      <c r="AI534" s="305"/>
      <c r="AJ534" s="305"/>
      <c r="AK534" s="305"/>
      <c r="AL534" s="305"/>
      <c r="AM534" s="305"/>
      <c r="AN534" s="305"/>
      <c r="AO534" s="305"/>
      <c r="AP534" s="305"/>
      <c r="AQ534" s="305"/>
      <c r="AR534" s="305"/>
      <c r="AS534" s="305"/>
      <c r="AT534" s="305"/>
      <c r="AU534" s="305"/>
      <c r="AV534" s="305"/>
      <c r="AW534" s="305"/>
      <c r="AX534" s="305"/>
      <c r="AY534" s="305"/>
      <c r="AZ534" s="305"/>
      <c r="BA534" s="305"/>
      <c r="BB534" s="305"/>
      <c r="BC534" s="305"/>
      <c r="BJ534" s="305"/>
      <c r="BK534" s="305"/>
      <c r="BL534" s="305"/>
      <c r="BM534" s="305"/>
      <c r="BN534" s="305"/>
      <c r="BO534" s="305"/>
      <c r="BP534" s="305"/>
      <c r="BQ534" s="305"/>
      <c r="BR534" s="305"/>
      <c r="BS534" s="305"/>
      <c r="BT534" s="305"/>
      <c r="BU534" s="305"/>
      <c r="BV534" s="305"/>
      <c r="BW534" s="305"/>
      <c r="BX534" s="305"/>
      <c r="BY534" s="305"/>
      <c r="BZ534" s="305"/>
      <c r="CA534" s="305"/>
      <c r="CB534" s="305"/>
      <c r="CC534" s="305"/>
      <c r="CD534" s="305"/>
      <c r="CE534" s="305"/>
      <c r="CF534" s="305"/>
      <c r="CG534" s="305"/>
      <c r="CH534" s="305"/>
      <c r="CI534" s="305"/>
      <c r="CJ534" s="305"/>
      <c r="CK534" s="305"/>
      <c r="CL534" s="305"/>
      <c r="CM534" s="305"/>
      <c r="CN534" s="305"/>
      <c r="CO534" s="305"/>
      <c r="CP534" s="305"/>
    </row>
    <row r="535" spans="14:94">
      <c r="N535" s="91"/>
      <c r="P535" s="92"/>
      <c r="Z535" s="305"/>
      <c r="AA535" s="305"/>
      <c r="AB535" s="305"/>
      <c r="AC535" s="305"/>
      <c r="AD535" s="305"/>
      <c r="AE535" s="305"/>
      <c r="AF535" s="305"/>
      <c r="AG535" s="305"/>
      <c r="AH535" s="305"/>
      <c r="AI535" s="305"/>
      <c r="AJ535" s="305"/>
      <c r="AK535" s="305"/>
      <c r="AL535" s="305"/>
      <c r="AM535" s="305"/>
      <c r="AN535" s="305"/>
      <c r="AO535" s="305"/>
      <c r="AP535" s="305"/>
      <c r="AQ535" s="305"/>
      <c r="AR535" s="305"/>
      <c r="AS535" s="305"/>
      <c r="AT535" s="305"/>
      <c r="AU535" s="305"/>
      <c r="AV535" s="305"/>
      <c r="AW535" s="305"/>
      <c r="AX535" s="305"/>
      <c r="AY535" s="305"/>
      <c r="AZ535" s="305"/>
      <c r="BA535" s="305"/>
      <c r="BB535" s="305"/>
      <c r="BC535" s="305"/>
      <c r="BJ535" s="305"/>
      <c r="BK535" s="305"/>
      <c r="BL535" s="305"/>
      <c r="BM535" s="305"/>
      <c r="BN535" s="305"/>
      <c r="BO535" s="305"/>
      <c r="BP535" s="305"/>
      <c r="BQ535" s="305"/>
      <c r="BR535" s="305"/>
      <c r="BS535" s="305"/>
      <c r="BT535" s="305"/>
      <c r="BU535" s="305"/>
      <c r="BV535" s="305"/>
      <c r="BW535" s="305"/>
      <c r="BX535" s="305"/>
      <c r="BY535" s="305"/>
      <c r="BZ535" s="305"/>
      <c r="CA535" s="305"/>
      <c r="CB535" s="305"/>
      <c r="CC535" s="305"/>
      <c r="CD535" s="305"/>
      <c r="CE535" s="305"/>
      <c r="CF535" s="305"/>
      <c r="CG535" s="305"/>
      <c r="CH535" s="305"/>
      <c r="CI535" s="305"/>
      <c r="CJ535" s="305"/>
      <c r="CK535" s="305"/>
      <c r="CL535" s="305"/>
      <c r="CM535" s="305"/>
      <c r="CN535" s="305"/>
      <c r="CO535" s="305"/>
      <c r="CP535" s="305"/>
    </row>
    <row r="536" spans="14:94">
      <c r="N536" s="91"/>
      <c r="P536" s="92"/>
      <c r="Z536" s="305"/>
      <c r="AA536" s="305"/>
      <c r="AB536" s="305"/>
      <c r="AC536" s="305"/>
      <c r="AD536" s="305"/>
      <c r="AE536" s="305"/>
      <c r="AF536" s="305"/>
      <c r="AG536" s="305"/>
      <c r="AH536" s="305"/>
      <c r="AI536" s="305"/>
      <c r="AJ536" s="305"/>
      <c r="AK536" s="305"/>
      <c r="AL536" s="305"/>
      <c r="AM536" s="305"/>
      <c r="AN536" s="305"/>
      <c r="AO536" s="305"/>
      <c r="AP536" s="305"/>
      <c r="AQ536" s="305"/>
      <c r="AR536" s="305"/>
      <c r="AS536" s="305"/>
      <c r="AT536" s="305"/>
      <c r="AU536" s="305"/>
      <c r="AV536" s="305"/>
      <c r="AW536" s="305"/>
      <c r="AX536" s="305"/>
      <c r="AY536" s="305"/>
      <c r="AZ536" s="305"/>
      <c r="BA536" s="305"/>
      <c r="BB536" s="305"/>
      <c r="BC536" s="305"/>
      <c r="BJ536" s="305"/>
      <c r="BK536" s="305"/>
      <c r="BL536" s="305"/>
      <c r="BM536" s="305"/>
      <c r="BN536" s="305"/>
      <c r="BO536" s="305"/>
      <c r="BP536" s="305"/>
      <c r="BQ536" s="305"/>
      <c r="BR536" s="305"/>
      <c r="BS536" s="305"/>
      <c r="BT536" s="305"/>
      <c r="BU536" s="305"/>
      <c r="BV536" s="305"/>
      <c r="BW536" s="305"/>
      <c r="BX536" s="305"/>
      <c r="BY536" s="305"/>
      <c r="BZ536" s="305"/>
      <c r="CA536" s="305"/>
      <c r="CB536" s="305"/>
      <c r="CC536" s="305"/>
      <c r="CD536" s="305"/>
      <c r="CE536" s="305"/>
      <c r="CF536" s="305"/>
      <c r="CG536" s="305"/>
      <c r="CH536" s="305"/>
      <c r="CI536" s="305"/>
      <c r="CJ536" s="305"/>
      <c r="CK536" s="305"/>
      <c r="CL536" s="305"/>
      <c r="CM536" s="305"/>
      <c r="CN536" s="305"/>
      <c r="CO536" s="305"/>
      <c r="CP536" s="305"/>
    </row>
    <row r="537" spans="14:94">
      <c r="N537" s="91"/>
      <c r="P537" s="92"/>
      <c r="Z537" s="305"/>
      <c r="AA537" s="305"/>
      <c r="AB537" s="305"/>
      <c r="AC537" s="305"/>
      <c r="AD537" s="305"/>
      <c r="AE537" s="305"/>
      <c r="AF537" s="305"/>
      <c r="AG537" s="305"/>
      <c r="AH537" s="305"/>
      <c r="AI537" s="305"/>
      <c r="AJ537" s="305"/>
      <c r="AK537" s="305"/>
      <c r="AL537" s="305"/>
      <c r="AM537" s="305"/>
      <c r="AN537" s="305"/>
      <c r="AO537" s="305"/>
      <c r="AP537" s="305"/>
      <c r="AQ537" s="305"/>
      <c r="AR537" s="305"/>
      <c r="AS537" s="305"/>
      <c r="AT537" s="305"/>
      <c r="AU537" s="305"/>
      <c r="AV537" s="305"/>
      <c r="AW537" s="305"/>
      <c r="AX537" s="305"/>
      <c r="AY537" s="305"/>
      <c r="AZ537" s="305"/>
      <c r="BA537" s="305"/>
      <c r="BB537" s="305"/>
      <c r="BC537" s="305"/>
      <c r="BJ537" s="305"/>
      <c r="BK537" s="305"/>
      <c r="BL537" s="305"/>
      <c r="BM537" s="305"/>
      <c r="BN537" s="305"/>
      <c r="BO537" s="305"/>
      <c r="BP537" s="305"/>
      <c r="BQ537" s="305"/>
      <c r="BR537" s="305"/>
      <c r="BS537" s="305"/>
      <c r="BT537" s="305"/>
      <c r="BU537" s="305"/>
      <c r="BV537" s="305"/>
      <c r="BW537" s="305"/>
      <c r="BX537" s="305"/>
      <c r="BY537" s="305"/>
      <c r="BZ537" s="305"/>
      <c r="CA537" s="305"/>
      <c r="CB537" s="305"/>
      <c r="CC537" s="305"/>
      <c r="CD537" s="305"/>
      <c r="CE537" s="305"/>
      <c r="CF537" s="305"/>
      <c r="CG537" s="305"/>
      <c r="CH537" s="305"/>
      <c r="CI537" s="305"/>
      <c r="CJ537" s="305"/>
      <c r="CK537" s="305"/>
      <c r="CL537" s="305"/>
      <c r="CM537" s="305"/>
      <c r="CN537" s="305"/>
      <c r="CO537" s="305"/>
      <c r="CP537" s="305"/>
    </row>
    <row r="538" spans="14:94">
      <c r="N538" s="91"/>
      <c r="P538" s="92"/>
      <c r="Z538" s="305"/>
      <c r="AA538" s="305"/>
      <c r="AB538" s="305"/>
      <c r="AC538" s="305"/>
      <c r="AD538" s="305"/>
      <c r="AE538" s="305"/>
      <c r="AF538" s="305"/>
      <c r="AG538" s="305"/>
      <c r="AH538" s="305"/>
      <c r="AI538" s="305"/>
      <c r="AJ538" s="305"/>
      <c r="AK538" s="305"/>
      <c r="AL538" s="305"/>
      <c r="AM538" s="305"/>
      <c r="AN538" s="305"/>
      <c r="AO538" s="305"/>
      <c r="AP538" s="305"/>
      <c r="AQ538" s="305"/>
      <c r="AR538" s="305"/>
      <c r="AS538" s="305"/>
      <c r="AT538" s="305"/>
      <c r="AU538" s="305"/>
      <c r="AV538" s="305"/>
      <c r="AW538" s="305"/>
      <c r="AX538" s="305"/>
      <c r="AY538" s="305"/>
      <c r="AZ538" s="305"/>
      <c r="BA538" s="305"/>
      <c r="BB538" s="305"/>
      <c r="BC538" s="305"/>
      <c r="BJ538" s="305"/>
      <c r="BK538" s="305"/>
      <c r="BL538" s="305"/>
      <c r="BM538" s="305"/>
      <c r="BN538" s="305"/>
      <c r="BO538" s="305"/>
      <c r="BP538" s="305"/>
      <c r="BQ538" s="305"/>
      <c r="BR538" s="305"/>
      <c r="BS538" s="305"/>
      <c r="BT538" s="305"/>
      <c r="BU538" s="305"/>
      <c r="BV538" s="305"/>
      <c r="BW538" s="305"/>
      <c r="BX538" s="305"/>
      <c r="BY538" s="305"/>
      <c r="BZ538" s="305"/>
      <c r="CA538" s="305"/>
      <c r="CB538" s="305"/>
      <c r="CC538" s="305"/>
      <c r="CD538" s="305"/>
      <c r="CE538" s="305"/>
      <c r="CF538" s="305"/>
      <c r="CG538" s="305"/>
      <c r="CH538" s="305"/>
      <c r="CI538" s="305"/>
      <c r="CJ538" s="305"/>
      <c r="CK538" s="305"/>
      <c r="CL538" s="305"/>
      <c r="CM538" s="305"/>
      <c r="CN538" s="305"/>
      <c r="CO538" s="305"/>
      <c r="CP538" s="305"/>
    </row>
    <row r="539" spans="14:94">
      <c r="N539" s="91"/>
      <c r="P539" s="92"/>
      <c r="Z539" s="305"/>
      <c r="AA539" s="305"/>
      <c r="AB539" s="305"/>
      <c r="AC539" s="305"/>
      <c r="AD539" s="305"/>
      <c r="AE539" s="305"/>
      <c r="AF539" s="305"/>
      <c r="AG539" s="305"/>
      <c r="AH539" s="305"/>
      <c r="AI539" s="305"/>
      <c r="AJ539" s="305"/>
      <c r="AK539" s="305"/>
      <c r="AL539" s="305"/>
      <c r="AM539" s="305"/>
      <c r="AN539" s="305"/>
      <c r="AO539" s="305"/>
      <c r="AP539" s="305"/>
      <c r="AQ539" s="305"/>
      <c r="AR539" s="305"/>
      <c r="AS539" s="305"/>
      <c r="AT539" s="305"/>
      <c r="AU539" s="305"/>
      <c r="AV539" s="305"/>
      <c r="AW539" s="305"/>
      <c r="AX539" s="305"/>
      <c r="AY539" s="305"/>
      <c r="AZ539" s="305"/>
      <c r="BA539" s="305"/>
      <c r="BB539" s="305"/>
      <c r="BC539" s="305"/>
      <c r="BJ539" s="305"/>
      <c r="BK539" s="305"/>
      <c r="BL539" s="305"/>
      <c r="BM539" s="305"/>
      <c r="BN539" s="305"/>
      <c r="BO539" s="305"/>
      <c r="BP539" s="305"/>
      <c r="BQ539" s="305"/>
      <c r="BR539" s="305"/>
      <c r="BS539" s="305"/>
      <c r="BT539" s="305"/>
      <c r="BU539" s="305"/>
      <c r="BV539" s="305"/>
      <c r="BW539" s="305"/>
      <c r="BX539" s="305"/>
      <c r="BY539" s="305"/>
      <c r="BZ539" s="305"/>
      <c r="CA539" s="305"/>
      <c r="CB539" s="305"/>
      <c r="CC539" s="305"/>
      <c r="CD539" s="305"/>
      <c r="CE539" s="305"/>
      <c r="CF539" s="305"/>
      <c r="CG539" s="305"/>
      <c r="CH539" s="305"/>
      <c r="CI539" s="305"/>
      <c r="CJ539" s="305"/>
      <c r="CK539" s="305"/>
      <c r="CL539" s="305"/>
      <c r="CM539" s="305"/>
      <c r="CN539" s="305"/>
      <c r="CO539" s="305"/>
      <c r="CP539" s="305"/>
    </row>
    <row r="540" spans="14:94">
      <c r="N540" s="91"/>
      <c r="P540" s="92"/>
      <c r="Z540" s="305"/>
      <c r="AA540" s="305"/>
      <c r="AB540" s="305"/>
      <c r="AC540" s="305"/>
      <c r="AD540" s="305"/>
      <c r="AE540" s="305"/>
      <c r="AF540" s="305"/>
      <c r="AG540" s="305"/>
      <c r="AH540" s="305"/>
      <c r="AI540" s="305"/>
      <c r="AJ540" s="305"/>
      <c r="AK540" s="305"/>
      <c r="AL540" s="305"/>
      <c r="AM540" s="305"/>
      <c r="AN540" s="305"/>
      <c r="AO540" s="305"/>
      <c r="AP540" s="305"/>
      <c r="AQ540" s="305"/>
      <c r="AR540" s="305"/>
      <c r="AS540" s="305"/>
      <c r="AT540" s="305"/>
      <c r="AU540" s="305"/>
      <c r="AV540" s="305"/>
      <c r="AW540" s="305"/>
      <c r="AX540" s="305"/>
      <c r="AY540" s="305"/>
      <c r="AZ540" s="305"/>
      <c r="BA540" s="305"/>
      <c r="BB540" s="305"/>
      <c r="BC540" s="305"/>
      <c r="BJ540" s="305"/>
      <c r="BK540" s="305"/>
      <c r="BL540" s="305"/>
      <c r="BM540" s="305"/>
      <c r="BN540" s="305"/>
      <c r="BO540" s="305"/>
      <c r="BP540" s="305"/>
      <c r="BQ540" s="305"/>
      <c r="BR540" s="305"/>
      <c r="BS540" s="305"/>
      <c r="BT540" s="305"/>
      <c r="BU540" s="305"/>
      <c r="BV540" s="305"/>
      <c r="BW540" s="305"/>
      <c r="BX540" s="305"/>
      <c r="BY540" s="305"/>
      <c r="BZ540" s="305"/>
      <c r="CA540" s="305"/>
      <c r="CB540" s="305"/>
      <c r="CC540" s="305"/>
      <c r="CD540" s="305"/>
      <c r="CE540" s="305"/>
      <c r="CF540" s="305"/>
      <c r="CG540" s="305"/>
      <c r="CH540" s="305"/>
      <c r="CI540" s="305"/>
      <c r="CJ540" s="305"/>
      <c r="CK540" s="305"/>
      <c r="CL540" s="305"/>
      <c r="CM540" s="305"/>
      <c r="CN540" s="305"/>
      <c r="CO540" s="305"/>
      <c r="CP540" s="305"/>
    </row>
    <row r="541" spans="14:94">
      <c r="N541" s="91"/>
      <c r="P541" s="92"/>
      <c r="Z541" s="305"/>
      <c r="AA541" s="305"/>
      <c r="AB541" s="305"/>
      <c r="AC541" s="305"/>
      <c r="AD541" s="305"/>
      <c r="AE541" s="305"/>
      <c r="AF541" s="305"/>
      <c r="AG541" s="305"/>
      <c r="AH541" s="305"/>
      <c r="AI541" s="305"/>
      <c r="AJ541" s="305"/>
      <c r="AK541" s="305"/>
      <c r="AL541" s="305"/>
      <c r="AM541" s="305"/>
      <c r="AN541" s="305"/>
      <c r="AO541" s="305"/>
      <c r="AP541" s="305"/>
      <c r="AQ541" s="305"/>
      <c r="AR541" s="305"/>
      <c r="AS541" s="305"/>
      <c r="AT541" s="305"/>
      <c r="AU541" s="305"/>
      <c r="AV541" s="305"/>
      <c r="AW541" s="305"/>
      <c r="AX541" s="305"/>
      <c r="AY541" s="305"/>
      <c r="AZ541" s="305"/>
      <c r="BA541" s="305"/>
      <c r="BB541" s="305"/>
      <c r="BC541" s="305"/>
      <c r="BJ541" s="305"/>
      <c r="BK541" s="305"/>
      <c r="BL541" s="305"/>
      <c r="BM541" s="305"/>
      <c r="BN541" s="305"/>
      <c r="BO541" s="305"/>
      <c r="BP541" s="305"/>
      <c r="BQ541" s="305"/>
      <c r="BR541" s="305"/>
      <c r="BS541" s="305"/>
      <c r="BT541" s="305"/>
      <c r="BU541" s="305"/>
      <c r="BV541" s="305"/>
      <c r="BW541" s="305"/>
      <c r="BX541" s="305"/>
      <c r="BY541" s="305"/>
      <c r="BZ541" s="305"/>
      <c r="CA541" s="305"/>
      <c r="CB541" s="305"/>
      <c r="CC541" s="305"/>
      <c r="CD541" s="305"/>
      <c r="CE541" s="305"/>
      <c r="CF541" s="305"/>
      <c r="CG541" s="305"/>
      <c r="CH541" s="305"/>
      <c r="CI541" s="305"/>
      <c r="CJ541" s="305"/>
      <c r="CK541" s="305"/>
      <c r="CL541" s="305"/>
      <c r="CM541" s="305"/>
      <c r="CN541" s="305"/>
      <c r="CO541" s="305"/>
      <c r="CP541" s="305"/>
    </row>
    <row r="542" spans="14:94">
      <c r="N542" s="91"/>
      <c r="P542" s="92"/>
      <c r="Z542" s="305"/>
      <c r="AA542" s="305"/>
      <c r="AB542" s="305"/>
      <c r="AC542" s="305"/>
      <c r="AD542" s="305"/>
      <c r="AE542" s="305"/>
      <c r="AF542" s="305"/>
      <c r="AG542" s="305"/>
      <c r="AH542" s="305"/>
      <c r="AI542" s="305"/>
      <c r="AJ542" s="305"/>
      <c r="AK542" s="305"/>
      <c r="AL542" s="305"/>
      <c r="AM542" s="305"/>
      <c r="AN542" s="305"/>
      <c r="AO542" s="305"/>
      <c r="AP542" s="305"/>
      <c r="AQ542" s="305"/>
      <c r="AR542" s="305"/>
      <c r="AS542" s="305"/>
      <c r="AT542" s="305"/>
      <c r="AU542" s="305"/>
      <c r="AV542" s="305"/>
      <c r="AW542" s="305"/>
      <c r="AX542" s="305"/>
      <c r="AY542" s="305"/>
      <c r="AZ542" s="305"/>
      <c r="BA542" s="305"/>
      <c r="BB542" s="305"/>
      <c r="BC542" s="305"/>
      <c r="BJ542" s="305"/>
      <c r="BK542" s="305"/>
      <c r="BL542" s="305"/>
      <c r="BM542" s="305"/>
      <c r="BN542" s="305"/>
      <c r="BO542" s="305"/>
      <c r="BP542" s="305"/>
      <c r="BQ542" s="305"/>
      <c r="BR542" s="305"/>
      <c r="BS542" s="305"/>
      <c r="BT542" s="305"/>
      <c r="BU542" s="305"/>
      <c r="BV542" s="305"/>
      <c r="BW542" s="305"/>
      <c r="BX542" s="305"/>
      <c r="BY542" s="305"/>
      <c r="BZ542" s="305"/>
      <c r="CA542" s="305"/>
      <c r="CB542" s="305"/>
      <c r="CC542" s="305"/>
      <c r="CD542" s="305"/>
      <c r="CE542" s="305"/>
      <c r="CF542" s="305"/>
      <c r="CG542" s="305"/>
      <c r="CH542" s="305"/>
      <c r="CI542" s="305"/>
      <c r="CJ542" s="305"/>
      <c r="CK542" s="305"/>
      <c r="CL542" s="305"/>
      <c r="CM542" s="305"/>
      <c r="CN542" s="305"/>
      <c r="CO542" s="305"/>
      <c r="CP542" s="305"/>
    </row>
    <row r="543" spans="14:94">
      <c r="N543" s="91"/>
      <c r="P543" s="92"/>
      <c r="Z543" s="305"/>
      <c r="AA543" s="305"/>
      <c r="AB543" s="305"/>
      <c r="AC543" s="305"/>
      <c r="AD543" s="305"/>
      <c r="AE543" s="305"/>
      <c r="AF543" s="305"/>
      <c r="AG543" s="305"/>
      <c r="AH543" s="305"/>
      <c r="AI543" s="305"/>
      <c r="AJ543" s="305"/>
      <c r="AK543" s="305"/>
      <c r="AL543" s="305"/>
      <c r="AM543" s="305"/>
      <c r="AN543" s="305"/>
      <c r="AO543" s="305"/>
      <c r="AP543" s="305"/>
      <c r="AQ543" s="305"/>
      <c r="AR543" s="305"/>
      <c r="AS543" s="305"/>
      <c r="AT543" s="305"/>
      <c r="AU543" s="305"/>
      <c r="AV543" s="305"/>
      <c r="AW543" s="305"/>
      <c r="AX543" s="305"/>
      <c r="AY543" s="305"/>
      <c r="AZ543" s="305"/>
      <c r="BA543" s="305"/>
      <c r="BB543" s="305"/>
      <c r="BC543" s="305"/>
      <c r="BJ543" s="305"/>
      <c r="BK543" s="305"/>
      <c r="BL543" s="305"/>
      <c r="BM543" s="305"/>
      <c r="BN543" s="305"/>
      <c r="BO543" s="305"/>
      <c r="BP543" s="305"/>
      <c r="BQ543" s="305"/>
      <c r="BR543" s="305"/>
      <c r="BS543" s="305"/>
      <c r="BT543" s="305"/>
      <c r="BU543" s="305"/>
      <c r="BV543" s="305"/>
      <c r="BW543" s="305"/>
      <c r="BX543" s="305"/>
      <c r="BY543" s="305"/>
      <c r="BZ543" s="305"/>
      <c r="CA543" s="305"/>
      <c r="CB543" s="305"/>
      <c r="CC543" s="305"/>
      <c r="CD543" s="305"/>
      <c r="CE543" s="305"/>
      <c r="CF543" s="305"/>
      <c r="CG543" s="305"/>
      <c r="CH543" s="305"/>
      <c r="CI543" s="305"/>
      <c r="CJ543" s="305"/>
      <c r="CK543" s="305"/>
      <c r="CL543" s="305"/>
      <c r="CM543" s="305"/>
      <c r="CN543" s="305"/>
      <c r="CO543" s="305"/>
      <c r="CP543" s="305"/>
    </row>
    <row r="544" spans="14:94">
      <c r="N544" s="91"/>
      <c r="P544" s="92"/>
      <c r="Z544" s="305"/>
      <c r="AA544" s="305"/>
      <c r="AB544" s="305"/>
      <c r="AC544" s="305"/>
      <c r="AD544" s="305"/>
      <c r="AE544" s="305"/>
      <c r="AF544" s="305"/>
      <c r="AG544" s="305"/>
      <c r="AH544" s="305"/>
      <c r="AI544" s="305"/>
      <c r="AJ544" s="305"/>
      <c r="AK544" s="305"/>
      <c r="AL544" s="305"/>
      <c r="AM544" s="305"/>
      <c r="AN544" s="305"/>
      <c r="AO544" s="305"/>
      <c r="AP544" s="305"/>
      <c r="AQ544" s="305"/>
      <c r="AR544" s="305"/>
      <c r="AS544" s="305"/>
      <c r="AT544" s="305"/>
      <c r="AU544" s="305"/>
      <c r="AV544" s="305"/>
      <c r="AW544" s="305"/>
      <c r="AX544" s="305"/>
      <c r="AY544" s="305"/>
      <c r="AZ544" s="305"/>
      <c r="BA544" s="305"/>
      <c r="BB544" s="305"/>
      <c r="BC544" s="305"/>
      <c r="BJ544" s="305"/>
      <c r="BK544" s="305"/>
      <c r="BL544" s="305"/>
      <c r="BM544" s="305"/>
      <c r="BN544" s="305"/>
      <c r="BO544" s="305"/>
      <c r="BP544" s="305"/>
      <c r="BQ544" s="305"/>
      <c r="BR544" s="305"/>
      <c r="BS544" s="305"/>
      <c r="BT544" s="305"/>
      <c r="BU544" s="305"/>
      <c r="BV544" s="305"/>
      <c r="BW544" s="305"/>
      <c r="BX544" s="305"/>
      <c r="BY544" s="305"/>
      <c r="BZ544" s="305"/>
      <c r="CA544" s="305"/>
      <c r="CB544" s="305"/>
      <c r="CC544" s="305"/>
      <c r="CD544" s="305"/>
      <c r="CE544" s="305"/>
      <c r="CF544" s="305"/>
      <c r="CG544" s="305"/>
      <c r="CH544" s="305"/>
      <c r="CI544" s="305"/>
      <c r="CJ544" s="305"/>
      <c r="CK544" s="305"/>
      <c r="CL544" s="305"/>
      <c r="CM544" s="305"/>
      <c r="CN544" s="305"/>
      <c r="CO544" s="305"/>
      <c r="CP544" s="305"/>
    </row>
    <row r="545" spans="14:94">
      <c r="N545" s="91"/>
      <c r="P545" s="92"/>
      <c r="Z545" s="305"/>
      <c r="AA545" s="305"/>
      <c r="AB545" s="305"/>
      <c r="AC545" s="305"/>
      <c r="AD545" s="305"/>
      <c r="AE545" s="305"/>
      <c r="AF545" s="305"/>
      <c r="AG545" s="305"/>
      <c r="AH545" s="305"/>
      <c r="AI545" s="305"/>
      <c r="AJ545" s="305"/>
      <c r="AK545" s="305"/>
      <c r="AL545" s="305"/>
      <c r="AM545" s="305"/>
      <c r="AN545" s="305"/>
      <c r="AO545" s="305"/>
      <c r="AP545" s="305"/>
      <c r="AQ545" s="305"/>
      <c r="AR545" s="305"/>
      <c r="AS545" s="305"/>
      <c r="AT545" s="305"/>
      <c r="AU545" s="305"/>
      <c r="AV545" s="305"/>
      <c r="AW545" s="305"/>
      <c r="AX545" s="305"/>
      <c r="AY545" s="305"/>
      <c r="AZ545" s="305"/>
      <c r="BA545" s="305"/>
      <c r="BB545" s="305"/>
      <c r="BC545" s="305"/>
      <c r="BJ545" s="305"/>
      <c r="BK545" s="305"/>
      <c r="BL545" s="305"/>
      <c r="BM545" s="305"/>
      <c r="BN545" s="305"/>
      <c r="BO545" s="305"/>
      <c r="BP545" s="305"/>
      <c r="BQ545" s="305"/>
      <c r="BR545" s="305"/>
      <c r="BS545" s="305"/>
      <c r="BT545" s="305"/>
      <c r="BU545" s="305"/>
      <c r="BV545" s="305"/>
      <c r="BW545" s="305"/>
      <c r="BX545" s="305"/>
      <c r="BY545" s="305"/>
      <c r="BZ545" s="305"/>
      <c r="CA545" s="305"/>
      <c r="CB545" s="305"/>
      <c r="CC545" s="305"/>
      <c r="CD545" s="305"/>
      <c r="CE545" s="305"/>
      <c r="CF545" s="305"/>
      <c r="CG545" s="305"/>
      <c r="CH545" s="305"/>
      <c r="CI545" s="305"/>
      <c r="CJ545" s="305"/>
      <c r="CK545" s="305"/>
      <c r="CL545" s="305"/>
      <c r="CM545" s="305"/>
      <c r="CN545" s="305"/>
      <c r="CO545" s="305"/>
      <c r="CP545" s="305"/>
    </row>
    <row r="546" spans="14:94">
      <c r="N546" s="91"/>
      <c r="P546" s="92"/>
      <c r="Z546" s="305"/>
      <c r="AA546" s="305"/>
      <c r="AB546" s="305"/>
      <c r="AC546" s="305"/>
      <c r="AD546" s="305"/>
      <c r="AE546" s="305"/>
      <c r="AF546" s="305"/>
      <c r="AG546" s="305"/>
      <c r="AH546" s="305"/>
      <c r="AI546" s="305"/>
      <c r="AJ546" s="305"/>
      <c r="AK546" s="305"/>
      <c r="AL546" s="305"/>
      <c r="AM546" s="305"/>
      <c r="AN546" s="305"/>
      <c r="AO546" s="305"/>
      <c r="AP546" s="305"/>
      <c r="AQ546" s="305"/>
      <c r="AR546" s="305"/>
      <c r="AS546" s="305"/>
      <c r="AT546" s="305"/>
      <c r="AU546" s="305"/>
      <c r="AV546" s="305"/>
      <c r="AW546" s="305"/>
      <c r="AX546" s="305"/>
      <c r="AY546" s="305"/>
      <c r="AZ546" s="305"/>
      <c r="BA546" s="305"/>
      <c r="BB546" s="305"/>
      <c r="BC546" s="305"/>
      <c r="BJ546" s="305"/>
      <c r="BK546" s="305"/>
      <c r="BL546" s="305"/>
      <c r="BM546" s="305"/>
      <c r="BN546" s="305"/>
      <c r="BO546" s="305"/>
      <c r="BP546" s="305"/>
      <c r="BQ546" s="305"/>
      <c r="BR546" s="305"/>
      <c r="BS546" s="305"/>
      <c r="BT546" s="305"/>
      <c r="BU546" s="305"/>
      <c r="BV546" s="305"/>
      <c r="BW546" s="305"/>
      <c r="BX546" s="305"/>
      <c r="BY546" s="305"/>
      <c r="BZ546" s="305"/>
      <c r="CA546" s="305"/>
      <c r="CB546" s="305"/>
      <c r="CC546" s="305"/>
      <c r="CD546" s="305"/>
      <c r="CE546" s="305"/>
      <c r="CF546" s="305"/>
      <c r="CG546" s="305"/>
      <c r="CH546" s="305"/>
      <c r="CI546" s="305"/>
      <c r="CJ546" s="305"/>
      <c r="CK546" s="305"/>
      <c r="CL546" s="305"/>
      <c r="CM546" s="305"/>
      <c r="CN546" s="305"/>
      <c r="CO546" s="305"/>
      <c r="CP546" s="305"/>
    </row>
    <row r="547" spans="14:94">
      <c r="N547" s="91"/>
      <c r="P547" s="92"/>
      <c r="Z547" s="305"/>
      <c r="AA547" s="305"/>
      <c r="AB547" s="305"/>
      <c r="AC547" s="305"/>
      <c r="AD547" s="305"/>
      <c r="AE547" s="305"/>
      <c r="AF547" s="305"/>
      <c r="AG547" s="305"/>
      <c r="AH547" s="305"/>
      <c r="AI547" s="305"/>
      <c r="AJ547" s="305"/>
      <c r="AK547" s="305"/>
      <c r="AL547" s="305"/>
      <c r="AM547" s="305"/>
      <c r="AN547" s="305"/>
      <c r="AO547" s="305"/>
      <c r="AP547" s="305"/>
      <c r="AQ547" s="305"/>
      <c r="AR547" s="305"/>
      <c r="AS547" s="305"/>
      <c r="AT547" s="305"/>
      <c r="AU547" s="305"/>
      <c r="AV547" s="305"/>
      <c r="AW547" s="305"/>
      <c r="AX547" s="305"/>
      <c r="AY547" s="305"/>
      <c r="AZ547" s="305"/>
      <c r="BA547" s="305"/>
      <c r="BB547" s="305"/>
      <c r="BC547" s="305"/>
      <c r="BJ547" s="305"/>
      <c r="BK547" s="305"/>
      <c r="BL547" s="305"/>
      <c r="BM547" s="305"/>
      <c r="BN547" s="305"/>
      <c r="BO547" s="305"/>
      <c r="BP547" s="305"/>
      <c r="BQ547" s="305"/>
      <c r="BR547" s="305"/>
      <c r="BS547" s="305"/>
      <c r="BT547" s="305"/>
      <c r="BU547" s="305"/>
      <c r="BV547" s="305"/>
      <c r="BW547" s="305"/>
      <c r="BX547" s="305"/>
      <c r="BY547" s="305"/>
      <c r="BZ547" s="305"/>
      <c r="CA547" s="305"/>
      <c r="CB547" s="305"/>
      <c r="CC547" s="305"/>
      <c r="CD547" s="305"/>
      <c r="CE547" s="305"/>
      <c r="CF547" s="305"/>
      <c r="CG547" s="305"/>
      <c r="CH547" s="305"/>
      <c r="CI547" s="305"/>
      <c r="CJ547" s="305"/>
      <c r="CK547" s="305"/>
      <c r="CL547" s="305"/>
      <c r="CM547" s="305"/>
      <c r="CN547" s="305"/>
      <c r="CO547" s="305"/>
      <c r="CP547" s="305"/>
    </row>
    <row r="548" spans="14:94">
      <c r="N548" s="91"/>
      <c r="P548" s="92"/>
      <c r="Z548" s="305"/>
      <c r="AA548" s="305"/>
      <c r="AB548" s="305"/>
      <c r="AC548" s="305"/>
      <c r="AD548" s="305"/>
      <c r="AE548" s="305"/>
      <c r="AF548" s="305"/>
      <c r="AG548" s="305"/>
      <c r="AH548" s="305"/>
      <c r="AI548" s="305"/>
      <c r="AJ548" s="305"/>
      <c r="AK548" s="305"/>
      <c r="AL548" s="305"/>
      <c r="AM548" s="305"/>
      <c r="AN548" s="305"/>
      <c r="AO548" s="305"/>
      <c r="AP548" s="305"/>
      <c r="AQ548" s="305"/>
      <c r="AR548" s="305"/>
      <c r="AS548" s="305"/>
      <c r="AT548" s="305"/>
      <c r="AU548" s="305"/>
      <c r="AV548" s="305"/>
      <c r="AW548" s="305"/>
      <c r="AX548" s="305"/>
      <c r="AY548" s="305"/>
      <c r="AZ548" s="305"/>
      <c r="BA548" s="305"/>
      <c r="BB548" s="305"/>
      <c r="BC548" s="305"/>
      <c r="BJ548" s="305"/>
      <c r="BK548" s="305"/>
      <c r="BL548" s="305"/>
      <c r="BM548" s="305"/>
      <c r="BN548" s="305"/>
      <c r="BO548" s="305"/>
      <c r="BP548" s="305"/>
      <c r="BQ548" s="305"/>
      <c r="BR548" s="305"/>
      <c r="BS548" s="305"/>
      <c r="BT548" s="305"/>
      <c r="BU548" s="305"/>
      <c r="BV548" s="305"/>
      <c r="BW548" s="305"/>
      <c r="BX548" s="305"/>
      <c r="BY548" s="305"/>
      <c r="BZ548" s="305"/>
      <c r="CA548" s="305"/>
      <c r="CB548" s="305"/>
      <c r="CC548" s="305"/>
      <c r="CD548" s="305"/>
      <c r="CE548" s="305"/>
      <c r="CF548" s="305"/>
      <c r="CG548" s="305"/>
      <c r="CH548" s="305"/>
      <c r="CI548" s="305"/>
      <c r="CJ548" s="305"/>
      <c r="CK548" s="305"/>
      <c r="CL548" s="305"/>
      <c r="CM548" s="305"/>
      <c r="CN548" s="305"/>
      <c r="CO548" s="305"/>
      <c r="CP548" s="305"/>
    </row>
    <row r="549" spans="14:94">
      <c r="N549" s="91"/>
      <c r="P549" s="92"/>
      <c r="Z549" s="305"/>
      <c r="AA549" s="305"/>
      <c r="AB549" s="305"/>
      <c r="AC549" s="305"/>
      <c r="AD549" s="305"/>
      <c r="AE549" s="305"/>
      <c r="AF549" s="305"/>
      <c r="AG549" s="305"/>
      <c r="AH549" s="305"/>
      <c r="AI549" s="305"/>
      <c r="AJ549" s="305"/>
      <c r="AK549" s="305"/>
      <c r="AL549" s="305"/>
      <c r="AM549" s="305"/>
      <c r="AN549" s="305"/>
      <c r="AO549" s="305"/>
      <c r="AP549" s="305"/>
      <c r="AQ549" s="305"/>
      <c r="AR549" s="305"/>
      <c r="AS549" s="305"/>
      <c r="AT549" s="305"/>
      <c r="AU549" s="305"/>
      <c r="AV549" s="305"/>
      <c r="AW549" s="305"/>
      <c r="AX549" s="305"/>
      <c r="AY549" s="305"/>
      <c r="AZ549" s="305"/>
      <c r="BA549" s="305"/>
      <c r="BB549" s="305"/>
      <c r="BC549" s="305"/>
      <c r="BJ549" s="305"/>
      <c r="BK549" s="305"/>
      <c r="BL549" s="305"/>
      <c r="BM549" s="305"/>
      <c r="BN549" s="305"/>
      <c r="BO549" s="305"/>
      <c r="BP549" s="305"/>
      <c r="BQ549" s="305"/>
      <c r="BR549" s="305"/>
      <c r="BS549" s="305"/>
      <c r="BT549" s="305"/>
      <c r="BU549" s="305"/>
      <c r="BV549" s="305"/>
      <c r="BW549" s="305"/>
      <c r="BX549" s="305"/>
      <c r="BY549" s="305"/>
      <c r="BZ549" s="305"/>
      <c r="CA549" s="305"/>
      <c r="CB549" s="305"/>
      <c r="CC549" s="305"/>
      <c r="CD549" s="305"/>
      <c r="CE549" s="305"/>
      <c r="CF549" s="305"/>
      <c r="CG549" s="305"/>
      <c r="CH549" s="305"/>
      <c r="CI549" s="305"/>
      <c r="CJ549" s="305"/>
      <c r="CK549" s="305"/>
      <c r="CL549" s="305"/>
      <c r="CM549" s="305"/>
      <c r="CN549" s="305"/>
      <c r="CO549" s="305"/>
      <c r="CP549" s="305"/>
    </row>
    <row r="550" spans="14:94">
      <c r="N550" s="91"/>
      <c r="P550" s="92"/>
      <c r="Z550" s="305"/>
      <c r="AA550" s="305"/>
      <c r="AB550" s="305"/>
      <c r="AC550" s="305"/>
      <c r="AD550" s="305"/>
      <c r="AE550" s="305"/>
      <c r="AF550" s="305"/>
      <c r="AG550" s="305"/>
      <c r="AH550" s="305"/>
      <c r="AI550" s="305"/>
      <c r="AJ550" s="305"/>
      <c r="AK550" s="305"/>
      <c r="AL550" s="305"/>
      <c r="AM550" s="305"/>
      <c r="AN550" s="305"/>
      <c r="AO550" s="305"/>
      <c r="AP550" s="305"/>
      <c r="AQ550" s="305"/>
      <c r="AR550" s="305"/>
      <c r="AS550" s="305"/>
      <c r="AT550" s="305"/>
      <c r="AU550" s="305"/>
      <c r="AV550" s="305"/>
      <c r="AW550" s="305"/>
      <c r="AX550" s="305"/>
      <c r="AY550" s="305"/>
      <c r="AZ550" s="305"/>
      <c r="BA550" s="305"/>
      <c r="BB550" s="305"/>
      <c r="BC550" s="305"/>
      <c r="BJ550" s="305"/>
      <c r="BK550" s="305"/>
      <c r="BL550" s="305"/>
      <c r="BM550" s="305"/>
      <c r="BN550" s="305"/>
      <c r="BO550" s="305"/>
      <c r="BP550" s="305"/>
      <c r="BQ550" s="305"/>
      <c r="BR550" s="305"/>
      <c r="BS550" s="305"/>
      <c r="BT550" s="305"/>
      <c r="BU550" s="305"/>
      <c r="BV550" s="305"/>
      <c r="BW550" s="305"/>
      <c r="BX550" s="305"/>
      <c r="BY550" s="305"/>
      <c r="BZ550" s="305"/>
      <c r="CA550" s="305"/>
      <c r="CB550" s="305"/>
      <c r="CC550" s="305"/>
      <c r="CD550" s="305"/>
      <c r="CE550" s="305"/>
      <c r="CF550" s="305"/>
      <c r="CG550" s="305"/>
      <c r="CH550" s="305"/>
      <c r="CI550" s="305"/>
      <c r="CJ550" s="305"/>
      <c r="CK550" s="305"/>
      <c r="CL550" s="305"/>
      <c r="CM550" s="305"/>
      <c r="CN550" s="305"/>
      <c r="CO550" s="305"/>
      <c r="CP550" s="305"/>
    </row>
    <row r="551" spans="14:94">
      <c r="N551" s="91"/>
      <c r="P551" s="92"/>
      <c r="Z551" s="305"/>
      <c r="AA551" s="305"/>
      <c r="AB551" s="305"/>
      <c r="AC551" s="305"/>
      <c r="AD551" s="305"/>
      <c r="AE551" s="305"/>
      <c r="AF551" s="305"/>
      <c r="AG551" s="305"/>
      <c r="AH551" s="305"/>
      <c r="AI551" s="305"/>
      <c r="AJ551" s="305"/>
      <c r="AK551" s="305"/>
      <c r="AL551" s="305"/>
      <c r="AM551" s="305"/>
      <c r="AN551" s="305"/>
      <c r="AO551" s="305"/>
      <c r="AP551" s="305"/>
      <c r="AQ551" s="305"/>
      <c r="AR551" s="305"/>
      <c r="AS551" s="305"/>
      <c r="AT551" s="305"/>
      <c r="AU551" s="305"/>
      <c r="AV551" s="305"/>
      <c r="AW551" s="305"/>
      <c r="AX551" s="305"/>
      <c r="AY551" s="305"/>
      <c r="AZ551" s="305"/>
      <c r="BA551" s="305"/>
      <c r="BB551" s="305"/>
      <c r="BC551" s="305"/>
      <c r="BJ551" s="305"/>
      <c r="BK551" s="305"/>
      <c r="BL551" s="305"/>
      <c r="BM551" s="305"/>
      <c r="BN551" s="305"/>
      <c r="BO551" s="305"/>
      <c r="BP551" s="305"/>
      <c r="BQ551" s="305"/>
      <c r="BR551" s="305"/>
      <c r="BS551" s="305"/>
      <c r="BT551" s="305"/>
      <c r="BU551" s="305"/>
      <c r="BV551" s="305"/>
      <c r="BW551" s="305"/>
      <c r="BX551" s="305"/>
      <c r="BY551" s="305"/>
      <c r="BZ551" s="305"/>
      <c r="CA551" s="305"/>
      <c r="CB551" s="305"/>
      <c r="CC551" s="305"/>
      <c r="CD551" s="305"/>
      <c r="CE551" s="305"/>
      <c r="CF551" s="305"/>
      <c r="CG551" s="305"/>
      <c r="CH551" s="305"/>
      <c r="CI551" s="305"/>
      <c r="CJ551" s="305"/>
      <c r="CK551" s="305"/>
      <c r="CL551" s="305"/>
      <c r="CM551" s="305"/>
      <c r="CN551" s="305"/>
      <c r="CO551" s="305"/>
      <c r="CP551" s="305"/>
    </row>
    <row r="552" spans="14:94">
      <c r="N552" s="91"/>
      <c r="P552" s="92"/>
      <c r="Z552" s="305"/>
      <c r="AA552" s="305"/>
      <c r="AB552" s="305"/>
      <c r="AC552" s="305"/>
      <c r="AD552" s="305"/>
      <c r="AE552" s="305"/>
      <c r="AF552" s="305"/>
      <c r="AG552" s="305"/>
      <c r="AH552" s="305"/>
      <c r="AI552" s="305"/>
      <c r="AJ552" s="305"/>
      <c r="AK552" s="305"/>
      <c r="AL552" s="305"/>
      <c r="AM552" s="305"/>
      <c r="AN552" s="305"/>
      <c r="AO552" s="305"/>
      <c r="AP552" s="305"/>
      <c r="AQ552" s="305"/>
      <c r="AR552" s="305"/>
      <c r="AS552" s="305"/>
      <c r="AT552" s="305"/>
      <c r="AU552" s="305"/>
      <c r="AV552" s="305"/>
      <c r="AW552" s="305"/>
      <c r="AX552" s="305"/>
      <c r="AY552" s="305"/>
      <c r="AZ552" s="305"/>
      <c r="BA552" s="305"/>
      <c r="BB552" s="305"/>
      <c r="BC552" s="305"/>
      <c r="BJ552" s="305"/>
      <c r="BK552" s="305"/>
      <c r="BL552" s="305"/>
      <c r="BM552" s="305"/>
      <c r="BN552" s="305"/>
      <c r="BO552" s="305"/>
      <c r="BP552" s="305"/>
      <c r="BQ552" s="305"/>
      <c r="BR552" s="305"/>
      <c r="BS552" s="305"/>
      <c r="BT552" s="305"/>
      <c r="BU552" s="305"/>
      <c r="BV552" s="305"/>
      <c r="BW552" s="305"/>
      <c r="BX552" s="305"/>
      <c r="BY552" s="305"/>
      <c r="BZ552" s="305"/>
      <c r="CA552" s="305"/>
      <c r="CB552" s="305"/>
      <c r="CC552" s="305"/>
      <c r="CD552" s="305"/>
      <c r="CE552" s="305"/>
      <c r="CF552" s="305"/>
      <c r="CG552" s="305"/>
      <c r="CH552" s="305"/>
      <c r="CI552" s="305"/>
      <c r="CJ552" s="305"/>
      <c r="CK552" s="305"/>
      <c r="CL552" s="305"/>
      <c r="CM552" s="305"/>
      <c r="CN552" s="305"/>
      <c r="CO552" s="305"/>
      <c r="CP552" s="305"/>
    </row>
    <row r="553" spans="14:94">
      <c r="N553" s="91"/>
      <c r="P553" s="92"/>
      <c r="Z553" s="305"/>
      <c r="AA553" s="305"/>
      <c r="AB553" s="305"/>
      <c r="AC553" s="305"/>
      <c r="AD553" s="305"/>
      <c r="AE553" s="305"/>
      <c r="AF553" s="305"/>
      <c r="AG553" s="305"/>
      <c r="AH553" s="305"/>
      <c r="AI553" s="305"/>
      <c r="AJ553" s="305"/>
      <c r="AK553" s="305"/>
      <c r="AL553" s="305"/>
      <c r="AM553" s="305"/>
      <c r="AN553" s="305"/>
      <c r="AO553" s="305"/>
      <c r="AP553" s="305"/>
      <c r="AQ553" s="305"/>
      <c r="AR553" s="305"/>
      <c r="AS553" s="305"/>
      <c r="AT553" s="305"/>
      <c r="AU553" s="305"/>
      <c r="AV553" s="305"/>
      <c r="AW553" s="305"/>
      <c r="AX553" s="305"/>
      <c r="AY553" s="305"/>
      <c r="AZ553" s="305"/>
      <c r="BA553" s="305"/>
      <c r="BB553" s="305"/>
      <c r="BC553" s="305"/>
      <c r="BJ553" s="305"/>
      <c r="BK553" s="305"/>
      <c r="BL553" s="305"/>
      <c r="BM553" s="305"/>
      <c r="BN553" s="305"/>
      <c r="BO553" s="305"/>
      <c r="BP553" s="305"/>
      <c r="BQ553" s="305"/>
      <c r="BR553" s="305"/>
      <c r="BS553" s="305"/>
      <c r="BT553" s="305"/>
      <c r="BU553" s="305"/>
      <c r="BV553" s="305"/>
      <c r="BW553" s="305"/>
      <c r="BX553" s="305"/>
      <c r="BY553" s="305"/>
      <c r="BZ553" s="305"/>
      <c r="CA553" s="305"/>
      <c r="CB553" s="305"/>
      <c r="CC553" s="305"/>
      <c r="CD553" s="305"/>
      <c r="CE553" s="305"/>
      <c r="CF553" s="305"/>
      <c r="CG553" s="305"/>
      <c r="CH553" s="305"/>
      <c r="CI553" s="305"/>
      <c r="CJ553" s="305"/>
      <c r="CK553" s="305"/>
      <c r="CL553" s="305"/>
      <c r="CM553" s="305"/>
      <c r="CN553" s="305"/>
      <c r="CO553" s="305"/>
      <c r="CP553" s="305"/>
    </row>
    <row r="554" spans="14:94">
      <c r="N554" s="91"/>
      <c r="P554" s="92"/>
      <c r="Z554" s="305"/>
      <c r="AA554" s="305"/>
      <c r="AB554" s="305"/>
      <c r="AC554" s="305"/>
      <c r="AD554" s="305"/>
      <c r="AE554" s="305"/>
      <c r="AF554" s="305"/>
      <c r="AG554" s="305"/>
      <c r="AH554" s="305"/>
      <c r="AI554" s="305"/>
      <c r="AJ554" s="305"/>
      <c r="AK554" s="305"/>
      <c r="AL554" s="305"/>
      <c r="AM554" s="305"/>
      <c r="AN554" s="305"/>
      <c r="AO554" s="305"/>
      <c r="AP554" s="305"/>
      <c r="AQ554" s="305"/>
      <c r="AR554" s="305"/>
      <c r="AS554" s="305"/>
      <c r="AT554" s="305"/>
      <c r="AU554" s="305"/>
      <c r="AV554" s="305"/>
      <c r="AW554" s="305"/>
      <c r="AX554" s="305"/>
      <c r="AY554" s="305"/>
      <c r="AZ554" s="305"/>
      <c r="BA554" s="305"/>
      <c r="BB554" s="305"/>
      <c r="BC554" s="305"/>
      <c r="BJ554" s="305"/>
      <c r="BK554" s="305"/>
      <c r="BL554" s="305"/>
      <c r="BM554" s="305"/>
      <c r="BN554" s="305"/>
      <c r="BO554" s="305"/>
      <c r="BP554" s="305"/>
      <c r="BQ554" s="305"/>
      <c r="BR554" s="305"/>
      <c r="BS554" s="305"/>
      <c r="BT554" s="305"/>
      <c r="BU554" s="305"/>
      <c r="BV554" s="305"/>
      <c r="BW554" s="305"/>
      <c r="BX554" s="305"/>
      <c r="BY554" s="305"/>
      <c r="BZ554" s="305"/>
      <c r="CA554" s="305"/>
      <c r="CB554" s="305"/>
      <c r="CC554" s="305"/>
      <c r="CD554" s="305"/>
      <c r="CE554" s="305"/>
      <c r="CF554" s="305"/>
      <c r="CG554" s="305"/>
      <c r="CH554" s="305"/>
      <c r="CI554" s="305"/>
      <c r="CJ554" s="305"/>
      <c r="CK554" s="305"/>
      <c r="CL554" s="305"/>
      <c r="CM554" s="305"/>
      <c r="CN554" s="305"/>
      <c r="CO554" s="305"/>
      <c r="CP554" s="305"/>
    </row>
    <row r="555" spans="14:94">
      <c r="N555" s="91"/>
      <c r="P555" s="92"/>
      <c r="Z555" s="305"/>
      <c r="AA555" s="305"/>
      <c r="AB555" s="305"/>
      <c r="AC555" s="305"/>
      <c r="AD555" s="305"/>
      <c r="AE555" s="305"/>
      <c r="AF555" s="305"/>
      <c r="AG555" s="305"/>
      <c r="AH555" s="305"/>
      <c r="AI555" s="305"/>
      <c r="AJ555" s="305"/>
      <c r="AK555" s="305"/>
      <c r="AL555" s="305"/>
      <c r="AM555" s="305"/>
      <c r="AN555" s="305"/>
      <c r="AO555" s="305"/>
      <c r="AP555" s="305"/>
      <c r="AQ555" s="305"/>
      <c r="AR555" s="305"/>
      <c r="AS555" s="305"/>
      <c r="AT555" s="305"/>
      <c r="AU555" s="305"/>
      <c r="AV555" s="305"/>
      <c r="AW555" s="305"/>
      <c r="AX555" s="305"/>
      <c r="AY555" s="305"/>
      <c r="AZ555" s="305"/>
      <c r="BA555" s="305"/>
      <c r="BB555" s="305"/>
      <c r="BC555" s="305"/>
      <c r="BJ555" s="305"/>
      <c r="BK555" s="305"/>
      <c r="BL555" s="305"/>
      <c r="BM555" s="305"/>
      <c r="BN555" s="305"/>
      <c r="BO555" s="305"/>
      <c r="BP555" s="305"/>
      <c r="BQ555" s="305"/>
      <c r="BR555" s="305"/>
      <c r="BS555" s="305"/>
      <c r="BT555" s="305"/>
      <c r="BU555" s="305"/>
      <c r="BV555" s="305"/>
      <c r="BW555" s="305"/>
      <c r="BX555" s="305"/>
      <c r="BY555" s="305"/>
      <c r="BZ555" s="305"/>
      <c r="CA555" s="305"/>
      <c r="CB555" s="305"/>
      <c r="CC555" s="305"/>
      <c r="CD555" s="305"/>
      <c r="CE555" s="305"/>
      <c r="CF555" s="305"/>
      <c r="CG555" s="305"/>
      <c r="CH555" s="305"/>
      <c r="CI555" s="305"/>
      <c r="CJ555" s="305"/>
      <c r="CK555" s="305"/>
      <c r="CL555" s="305"/>
      <c r="CM555" s="305"/>
      <c r="CN555" s="305"/>
      <c r="CO555" s="305"/>
      <c r="CP555" s="305"/>
    </row>
    <row r="556" spans="14:94">
      <c r="N556" s="91"/>
      <c r="P556" s="92"/>
      <c r="Z556" s="305"/>
      <c r="AA556" s="305"/>
      <c r="AB556" s="305"/>
      <c r="AC556" s="305"/>
      <c r="AD556" s="305"/>
      <c r="AE556" s="305"/>
      <c r="AF556" s="305"/>
      <c r="AG556" s="305"/>
      <c r="AH556" s="305"/>
      <c r="AI556" s="305"/>
      <c r="AJ556" s="305"/>
      <c r="AK556" s="305"/>
      <c r="AL556" s="305"/>
      <c r="AM556" s="305"/>
      <c r="AN556" s="305"/>
      <c r="AO556" s="305"/>
      <c r="AP556" s="305"/>
      <c r="AQ556" s="305"/>
      <c r="AR556" s="305"/>
      <c r="AS556" s="305"/>
      <c r="AT556" s="305"/>
      <c r="AU556" s="305"/>
      <c r="AV556" s="305"/>
      <c r="AW556" s="305"/>
      <c r="AX556" s="305"/>
      <c r="AY556" s="305"/>
      <c r="AZ556" s="305"/>
      <c r="BA556" s="305"/>
      <c r="BB556" s="305"/>
      <c r="BC556" s="305"/>
      <c r="BJ556" s="305"/>
      <c r="BK556" s="305"/>
      <c r="BL556" s="305"/>
      <c r="BM556" s="305"/>
      <c r="BN556" s="305"/>
      <c r="BO556" s="305"/>
      <c r="BP556" s="305"/>
      <c r="BQ556" s="305"/>
      <c r="BR556" s="305"/>
      <c r="BS556" s="305"/>
      <c r="BT556" s="305"/>
      <c r="BU556" s="305"/>
      <c r="BV556" s="305"/>
      <c r="BW556" s="305"/>
      <c r="BX556" s="305"/>
      <c r="BY556" s="305"/>
      <c r="BZ556" s="305"/>
      <c r="CA556" s="305"/>
      <c r="CB556" s="305"/>
      <c r="CC556" s="305"/>
      <c r="CD556" s="305"/>
      <c r="CE556" s="305"/>
      <c r="CF556" s="305"/>
      <c r="CG556" s="305"/>
      <c r="CH556" s="305"/>
      <c r="CI556" s="305"/>
      <c r="CJ556" s="305"/>
      <c r="CK556" s="305"/>
      <c r="CL556" s="305"/>
      <c r="CM556" s="305"/>
      <c r="CN556" s="305"/>
      <c r="CO556" s="305"/>
      <c r="CP556" s="305"/>
    </row>
    <row r="557" spans="14:94">
      <c r="N557" s="91"/>
      <c r="P557" s="92"/>
      <c r="Z557" s="305"/>
      <c r="AA557" s="305"/>
      <c r="AB557" s="305"/>
      <c r="AC557" s="305"/>
      <c r="AD557" s="305"/>
      <c r="AE557" s="305"/>
      <c r="AF557" s="305"/>
      <c r="AG557" s="305"/>
      <c r="AH557" s="305"/>
      <c r="AI557" s="305"/>
      <c r="AJ557" s="305"/>
      <c r="AK557" s="305"/>
      <c r="AL557" s="305"/>
      <c r="AM557" s="305"/>
      <c r="AN557" s="305"/>
      <c r="AO557" s="305"/>
      <c r="AP557" s="305"/>
      <c r="AQ557" s="305"/>
      <c r="AR557" s="305"/>
      <c r="AS557" s="305"/>
      <c r="AT557" s="305"/>
      <c r="AU557" s="305"/>
      <c r="AV557" s="305"/>
      <c r="AW557" s="305"/>
      <c r="AX557" s="305"/>
      <c r="AY557" s="305"/>
      <c r="AZ557" s="305"/>
      <c r="BA557" s="305"/>
      <c r="BB557" s="305"/>
      <c r="BC557" s="305"/>
      <c r="BJ557" s="305"/>
      <c r="BK557" s="305"/>
      <c r="BL557" s="305"/>
      <c r="BM557" s="305"/>
      <c r="BN557" s="305"/>
      <c r="BO557" s="305"/>
      <c r="BP557" s="305"/>
      <c r="BQ557" s="305"/>
      <c r="BR557" s="305"/>
      <c r="BS557" s="305"/>
      <c r="BT557" s="305"/>
      <c r="BU557" s="305"/>
      <c r="BV557" s="305"/>
      <c r="BW557" s="305"/>
      <c r="BX557" s="305"/>
      <c r="BY557" s="305"/>
      <c r="BZ557" s="305"/>
      <c r="CA557" s="305"/>
      <c r="CB557" s="305"/>
      <c r="CC557" s="305"/>
      <c r="CD557" s="305"/>
      <c r="CE557" s="305"/>
      <c r="CF557" s="305"/>
      <c r="CG557" s="305"/>
      <c r="CH557" s="305"/>
      <c r="CI557" s="305"/>
      <c r="CJ557" s="305"/>
      <c r="CK557" s="305"/>
      <c r="CL557" s="305"/>
      <c r="CM557" s="305"/>
      <c r="CN557" s="305"/>
      <c r="CO557" s="305"/>
      <c r="CP557" s="305"/>
    </row>
    <row r="558" spans="14:94">
      <c r="N558" s="91"/>
      <c r="P558" s="92"/>
      <c r="Z558" s="305"/>
      <c r="AA558" s="305"/>
      <c r="AB558" s="305"/>
      <c r="AC558" s="305"/>
      <c r="AD558" s="305"/>
      <c r="AE558" s="305"/>
      <c r="AF558" s="305"/>
      <c r="AG558" s="305"/>
      <c r="AH558" s="305"/>
      <c r="AI558" s="305"/>
      <c r="AJ558" s="305"/>
      <c r="AK558" s="305"/>
      <c r="AL558" s="305"/>
      <c r="AM558" s="305"/>
      <c r="AN558" s="305"/>
      <c r="AO558" s="305"/>
      <c r="AP558" s="305"/>
      <c r="AQ558" s="305"/>
      <c r="AR558" s="305"/>
      <c r="AS558" s="305"/>
      <c r="AT558" s="305"/>
      <c r="AU558" s="305"/>
      <c r="AV558" s="305"/>
      <c r="AW558" s="305"/>
      <c r="AX558" s="305"/>
      <c r="AY558" s="305"/>
      <c r="AZ558" s="305"/>
      <c r="BA558" s="305"/>
      <c r="BB558" s="305"/>
      <c r="BC558" s="305"/>
      <c r="BJ558" s="305"/>
      <c r="BK558" s="305"/>
      <c r="BL558" s="305"/>
      <c r="BM558" s="305"/>
      <c r="BN558" s="305"/>
      <c r="BO558" s="305"/>
      <c r="BP558" s="305"/>
      <c r="BQ558" s="305"/>
      <c r="BR558" s="305"/>
      <c r="BS558" s="305"/>
      <c r="BT558" s="305"/>
      <c r="BU558" s="305"/>
      <c r="BV558" s="305"/>
      <c r="BW558" s="305"/>
      <c r="BX558" s="305"/>
      <c r="BY558" s="305"/>
      <c r="BZ558" s="305"/>
      <c r="CA558" s="305"/>
      <c r="CB558" s="305"/>
      <c r="CC558" s="305"/>
      <c r="CD558" s="305"/>
      <c r="CE558" s="305"/>
      <c r="CF558" s="305"/>
      <c r="CG558" s="305"/>
      <c r="CH558" s="305"/>
      <c r="CI558" s="305"/>
      <c r="CJ558" s="305"/>
      <c r="CK558" s="305"/>
      <c r="CL558" s="305"/>
      <c r="CM558" s="305"/>
      <c r="CN558" s="305"/>
      <c r="CO558" s="305"/>
      <c r="CP558" s="305"/>
    </row>
    <row r="559" spans="14:94">
      <c r="N559" s="91"/>
      <c r="P559" s="92"/>
      <c r="Z559" s="305"/>
      <c r="AA559" s="305"/>
      <c r="AB559" s="305"/>
      <c r="AC559" s="305"/>
      <c r="AD559" s="305"/>
      <c r="AE559" s="305"/>
      <c r="AF559" s="305"/>
      <c r="AG559" s="305"/>
      <c r="AH559" s="305"/>
      <c r="AI559" s="305"/>
      <c r="AJ559" s="305"/>
      <c r="AK559" s="305"/>
      <c r="AL559" s="305"/>
      <c r="AM559" s="305"/>
      <c r="AN559" s="305"/>
      <c r="AO559" s="305"/>
      <c r="AP559" s="305"/>
      <c r="AQ559" s="305"/>
      <c r="AR559" s="305"/>
      <c r="AS559" s="305"/>
      <c r="AT559" s="305"/>
      <c r="AU559" s="305"/>
      <c r="AV559" s="305"/>
      <c r="AW559" s="305"/>
      <c r="AX559" s="305"/>
      <c r="AY559" s="305"/>
      <c r="AZ559" s="305"/>
      <c r="BA559" s="305"/>
      <c r="BB559" s="305"/>
      <c r="BC559" s="305"/>
      <c r="BJ559" s="305"/>
      <c r="BK559" s="305"/>
      <c r="BL559" s="305"/>
      <c r="BM559" s="305"/>
      <c r="BN559" s="305"/>
      <c r="BO559" s="305"/>
      <c r="BP559" s="305"/>
      <c r="BQ559" s="305"/>
      <c r="BR559" s="305"/>
      <c r="BS559" s="305"/>
      <c r="BT559" s="305"/>
      <c r="BU559" s="305"/>
      <c r="BV559" s="305"/>
      <c r="BW559" s="305"/>
      <c r="BX559" s="305"/>
      <c r="BY559" s="305"/>
      <c r="BZ559" s="305"/>
      <c r="CA559" s="305"/>
      <c r="CB559" s="305"/>
      <c r="CC559" s="305"/>
      <c r="CD559" s="305"/>
      <c r="CE559" s="305"/>
      <c r="CF559" s="305"/>
      <c r="CG559" s="305"/>
      <c r="CH559" s="305"/>
      <c r="CI559" s="305"/>
      <c r="CJ559" s="305"/>
      <c r="CK559" s="305"/>
      <c r="CL559" s="305"/>
      <c r="CM559" s="305"/>
      <c r="CN559" s="305"/>
      <c r="CO559" s="305"/>
      <c r="CP559" s="305"/>
    </row>
    <row r="560" spans="14:94">
      <c r="N560" s="91"/>
      <c r="P560" s="92"/>
      <c r="Z560" s="305"/>
      <c r="AA560" s="305"/>
      <c r="AB560" s="305"/>
      <c r="AC560" s="305"/>
      <c r="AD560" s="305"/>
      <c r="AE560" s="305"/>
      <c r="AF560" s="305"/>
      <c r="AG560" s="305"/>
      <c r="AH560" s="305"/>
      <c r="AI560" s="305"/>
      <c r="AJ560" s="305"/>
      <c r="AK560" s="305"/>
      <c r="AL560" s="305"/>
      <c r="AM560" s="305"/>
      <c r="AN560" s="305"/>
      <c r="AO560" s="305"/>
      <c r="AP560" s="305"/>
      <c r="AQ560" s="305"/>
      <c r="AR560" s="305"/>
      <c r="AS560" s="305"/>
      <c r="AT560" s="305"/>
      <c r="AU560" s="305"/>
      <c r="AV560" s="305"/>
      <c r="AW560" s="305"/>
      <c r="AX560" s="305"/>
      <c r="AY560" s="305"/>
      <c r="AZ560" s="305"/>
      <c r="BA560" s="305"/>
      <c r="BB560" s="305"/>
      <c r="BC560" s="305"/>
      <c r="BJ560" s="305"/>
      <c r="BK560" s="305"/>
      <c r="BL560" s="305"/>
      <c r="BM560" s="305"/>
      <c r="BN560" s="305"/>
      <c r="BO560" s="305"/>
      <c r="BP560" s="305"/>
      <c r="BQ560" s="305"/>
      <c r="BR560" s="305"/>
      <c r="BS560" s="305"/>
      <c r="BT560" s="305"/>
      <c r="BU560" s="305"/>
      <c r="BV560" s="305"/>
      <c r="BW560" s="305"/>
      <c r="BX560" s="305"/>
      <c r="BY560" s="305"/>
      <c r="BZ560" s="305"/>
      <c r="CA560" s="305"/>
      <c r="CB560" s="305"/>
      <c r="CC560" s="305"/>
      <c r="CD560" s="305"/>
      <c r="CE560" s="305"/>
      <c r="CF560" s="305"/>
      <c r="CG560" s="305"/>
      <c r="CH560" s="305"/>
      <c r="CI560" s="305"/>
      <c r="CJ560" s="305"/>
      <c r="CK560" s="305"/>
      <c r="CL560" s="305"/>
      <c r="CM560" s="305"/>
      <c r="CN560" s="305"/>
      <c r="CO560" s="305"/>
      <c r="CP560" s="305"/>
    </row>
    <row r="561" spans="14:94">
      <c r="N561" s="91"/>
      <c r="P561" s="92"/>
      <c r="Z561" s="305"/>
      <c r="AA561" s="305"/>
      <c r="AB561" s="305"/>
      <c r="AC561" s="305"/>
      <c r="AD561" s="305"/>
      <c r="AE561" s="305"/>
      <c r="AF561" s="305"/>
      <c r="AG561" s="305"/>
      <c r="AH561" s="305"/>
      <c r="AI561" s="305"/>
      <c r="AJ561" s="305"/>
      <c r="AK561" s="305"/>
      <c r="AL561" s="305"/>
      <c r="AM561" s="305"/>
      <c r="AN561" s="305"/>
      <c r="AO561" s="305"/>
      <c r="AP561" s="305"/>
      <c r="AQ561" s="305"/>
      <c r="AR561" s="305"/>
      <c r="AS561" s="305"/>
      <c r="AT561" s="305"/>
      <c r="AU561" s="305"/>
      <c r="AV561" s="305"/>
      <c r="AW561" s="305"/>
      <c r="AX561" s="305"/>
      <c r="AY561" s="305"/>
      <c r="AZ561" s="305"/>
      <c r="BA561" s="305"/>
      <c r="BB561" s="305"/>
      <c r="BC561" s="305"/>
      <c r="BJ561" s="305"/>
      <c r="BK561" s="305"/>
      <c r="BL561" s="305"/>
      <c r="BM561" s="305"/>
      <c r="BN561" s="305"/>
      <c r="BO561" s="305"/>
      <c r="BP561" s="305"/>
      <c r="BQ561" s="305"/>
      <c r="BR561" s="305"/>
      <c r="BS561" s="305"/>
      <c r="BT561" s="305"/>
      <c r="BU561" s="305"/>
      <c r="BV561" s="305"/>
      <c r="BW561" s="305"/>
      <c r="BX561" s="305"/>
      <c r="BY561" s="305"/>
      <c r="BZ561" s="305"/>
      <c r="CA561" s="305"/>
      <c r="CB561" s="305"/>
      <c r="CC561" s="305"/>
      <c r="CD561" s="305"/>
      <c r="CE561" s="305"/>
      <c r="CF561" s="305"/>
      <c r="CG561" s="305"/>
      <c r="CH561" s="305"/>
      <c r="CI561" s="305"/>
      <c r="CJ561" s="305"/>
      <c r="CK561" s="305"/>
      <c r="CL561" s="305"/>
      <c r="CM561" s="305"/>
      <c r="CN561" s="305"/>
      <c r="CO561" s="305"/>
      <c r="CP561" s="305"/>
    </row>
    <row r="562" spans="14:94">
      <c r="N562" s="91"/>
      <c r="P562" s="92"/>
      <c r="Z562" s="305"/>
      <c r="AA562" s="305"/>
      <c r="AB562" s="305"/>
      <c r="AC562" s="305"/>
      <c r="AD562" s="305"/>
      <c r="AE562" s="305"/>
      <c r="AF562" s="305"/>
      <c r="AG562" s="305"/>
      <c r="AH562" s="305"/>
      <c r="AI562" s="305"/>
      <c r="AJ562" s="305"/>
      <c r="AK562" s="305"/>
      <c r="AL562" s="305"/>
      <c r="AM562" s="305"/>
      <c r="AN562" s="305"/>
      <c r="AO562" s="305"/>
      <c r="AP562" s="305"/>
      <c r="AQ562" s="305"/>
      <c r="AR562" s="305"/>
      <c r="AS562" s="305"/>
      <c r="AT562" s="305"/>
      <c r="AU562" s="305"/>
      <c r="AV562" s="305"/>
      <c r="AW562" s="305"/>
      <c r="AX562" s="305"/>
      <c r="AY562" s="305"/>
      <c r="AZ562" s="305"/>
      <c r="BA562" s="305"/>
      <c r="BB562" s="305"/>
      <c r="BC562" s="305"/>
      <c r="BJ562" s="305"/>
      <c r="BK562" s="305"/>
      <c r="BL562" s="305"/>
      <c r="BM562" s="305"/>
      <c r="BN562" s="305"/>
      <c r="BO562" s="305"/>
      <c r="BP562" s="305"/>
      <c r="BQ562" s="305"/>
      <c r="BR562" s="305"/>
      <c r="BS562" s="305"/>
      <c r="BT562" s="305"/>
      <c r="BU562" s="305"/>
      <c r="BV562" s="305"/>
      <c r="BW562" s="305"/>
      <c r="BX562" s="305"/>
      <c r="BY562" s="305"/>
      <c r="BZ562" s="305"/>
      <c r="CA562" s="305"/>
      <c r="CB562" s="305"/>
      <c r="CC562" s="305"/>
      <c r="CD562" s="305"/>
      <c r="CE562" s="305"/>
      <c r="CF562" s="305"/>
      <c r="CG562" s="305"/>
      <c r="CH562" s="305"/>
      <c r="CI562" s="305"/>
      <c r="CJ562" s="305"/>
      <c r="CK562" s="305"/>
      <c r="CL562" s="305"/>
      <c r="CM562" s="305"/>
      <c r="CN562" s="305"/>
      <c r="CO562" s="305"/>
      <c r="CP562" s="305"/>
    </row>
    <row r="563" spans="14:94">
      <c r="N563" s="91"/>
      <c r="P563" s="92"/>
      <c r="Z563" s="305"/>
      <c r="AA563" s="305"/>
      <c r="AB563" s="305"/>
      <c r="AC563" s="305"/>
      <c r="AD563" s="305"/>
      <c r="AE563" s="305"/>
      <c r="AF563" s="305"/>
      <c r="AG563" s="305"/>
      <c r="AH563" s="305"/>
      <c r="AI563" s="305"/>
      <c r="AJ563" s="305"/>
      <c r="AK563" s="305"/>
      <c r="AL563" s="305"/>
      <c r="AM563" s="305"/>
      <c r="AN563" s="305"/>
      <c r="AO563" s="305"/>
      <c r="AP563" s="305"/>
      <c r="AQ563" s="305"/>
      <c r="AR563" s="305"/>
      <c r="AS563" s="305"/>
      <c r="AT563" s="305"/>
      <c r="AU563" s="305"/>
      <c r="AV563" s="305"/>
      <c r="AW563" s="305"/>
      <c r="AX563" s="305"/>
      <c r="AY563" s="305"/>
      <c r="AZ563" s="305"/>
      <c r="BA563" s="305"/>
      <c r="BB563" s="305"/>
      <c r="BC563" s="305"/>
      <c r="BJ563" s="305"/>
      <c r="BK563" s="305"/>
      <c r="BL563" s="305"/>
      <c r="BM563" s="305"/>
      <c r="BN563" s="305"/>
      <c r="BO563" s="305"/>
      <c r="BP563" s="305"/>
      <c r="BQ563" s="305"/>
      <c r="BR563" s="305"/>
      <c r="BS563" s="305"/>
      <c r="BT563" s="305"/>
      <c r="BU563" s="305"/>
      <c r="BV563" s="305"/>
      <c r="BW563" s="305"/>
      <c r="BX563" s="305"/>
      <c r="BY563" s="305"/>
      <c r="BZ563" s="305"/>
      <c r="CA563" s="305"/>
      <c r="CB563" s="305"/>
      <c r="CC563" s="305"/>
      <c r="CD563" s="305"/>
      <c r="CE563" s="305"/>
      <c r="CF563" s="305"/>
      <c r="CG563" s="305"/>
      <c r="CH563" s="305"/>
      <c r="CI563" s="305"/>
      <c r="CJ563" s="305"/>
      <c r="CK563" s="305"/>
      <c r="CL563" s="305"/>
      <c r="CM563" s="305"/>
      <c r="CN563" s="305"/>
      <c r="CO563" s="305"/>
      <c r="CP563" s="305"/>
    </row>
    <row r="564" spans="14:94">
      <c r="N564" s="91"/>
      <c r="P564" s="92"/>
      <c r="Z564" s="305"/>
      <c r="AA564" s="305"/>
      <c r="AB564" s="305"/>
      <c r="AC564" s="305"/>
      <c r="AD564" s="305"/>
      <c r="AE564" s="305"/>
      <c r="AF564" s="305"/>
      <c r="AG564" s="305"/>
      <c r="AH564" s="305"/>
      <c r="AI564" s="305"/>
      <c r="AJ564" s="305"/>
      <c r="AK564" s="305"/>
      <c r="AL564" s="305"/>
      <c r="AM564" s="305"/>
      <c r="AN564" s="305"/>
      <c r="AO564" s="305"/>
      <c r="AP564" s="305"/>
      <c r="AQ564" s="305"/>
      <c r="AR564" s="305"/>
      <c r="AS564" s="305"/>
      <c r="AT564" s="305"/>
      <c r="AU564" s="305"/>
      <c r="AV564" s="305"/>
      <c r="AW564" s="305"/>
      <c r="AX564" s="305"/>
      <c r="AY564" s="305"/>
      <c r="AZ564" s="305"/>
      <c r="BA564" s="305"/>
      <c r="BB564" s="305"/>
      <c r="BC564" s="305"/>
      <c r="BJ564" s="305"/>
      <c r="BK564" s="305"/>
      <c r="BL564" s="305"/>
      <c r="BM564" s="305"/>
      <c r="BN564" s="305"/>
      <c r="BO564" s="305"/>
      <c r="BP564" s="305"/>
      <c r="BQ564" s="305"/>
      <c r="BR564" s="305"/>
      <c r="BS564" s="305"/>
      <c r="BT564" s="305"/>
      <c r="BU564" s="305"/>
      <c r="BV564" s="305"/>
      <c r="BW564" s="305"/>
      <c r="BX564" s="305"/>
      <c r="BY564" s="305"/>
      <c r="BZ564" s="305"/>
      <c r="CA564" s="305"/>
      <c r="CB564" s="305"/>
      <c r="CC564" s="305"/>
      <c r="CD564" s="305"/>
      <c r="CE564" s="305"/>
      <c r="CF564" s="305"/>
      <c r="CG564" s="305"/>
      <c r="CH564" s="305"/>
      <c r="CI564" s="305"/>
      <c r="CJ564" s="305"/>
      <c r="CK564" s="305"/>
      <c r="CL564" s="305"/>
      <c r="CM564" s="305"/>
      <c r="CN564" s="305"/>
      <c r="CO564" s="305"/>
      <c r="CP564" s="305"/>
    </row>
    <row r="565" spans="14:94">
      <c r="N565" s="91"/>
      <c r="P565" s="92"/>
      <c r="Z565" s="305"/>
      <c r="AA565" s="305"/>
      <c r="AB565" s="305"/>
      <c r="AC565" s="305"/>
      <c r="AD565" s="305"/>
      <c r="AE565" s="305"/>
      <c r="AF565" s="305"/>
      <c r="AG565" s="305"/>
      <c r="AH565" s="305"/>
      <c r="AI565" s="305"/>
      <c r="AJ565" s="305"/>
      <c r="AK565" s="305"/>
      <c r="AL565" s="305"/>
      <c r="AM565" s="305"/>
      <c r="AN565" s="305"/>
      <c r="AO565" s="305"/>
      <c r="AP565" s="305"/>
      <c r="AQ565" s="305"/>
      <c r="AR565" s="305"/>
      <c r="AS565" s="305"/>
      <c r="AT565" s="305"/>
      <c r="AU565" s="305"/>
      <c r="AV565" s="305"/>
      <c r="AW565" s="305"/>
      <c r="AX565" s="305"/>
      <c r="AY565" s="305"/>
      <c r="AZ565" s="305"/>
      <c r="BA565" s="305"/>
      <c r="BB565" s="305"/>
      <c r="BC565" s="305"/>
      <c r="BJ565" s="305"/>
      <c r="BK565" s="305"/>
      <c r="BL565" s="305"/>
      <c r="BM565" s="305"/>
      <c r="BN565" s="305"/>
      <c r="BO565" s="305"/>
      <c r="BP565" s="305"/>
      <c r="BQ565" s="305"/>
      <c r="BR565" s="305"/>
      <c r="BS565" s="305"/>
      <c r="BT565" s="305"/>
      <c r="BU565" s="305"/>
      <c r="BV565" s="305"/>
      <c r="BW565" s="305"/>
      <c r="BX565" s="305"/>
      <c r="BY565" s="305"/>
      <c r="BZ565" s="305"/>
      <c r="CA565" s="305"/>
      <c r="CB565" s="305"/>
      <c r="CC565" s="305"/>
      <c r="CD565" s="305"/>
      <c r="CE565" s="305"/>
      <c r="CF565" s="305"/>
      <c r="CG565" s="305"/>
      <c r="CH565" s="305"/>
      <c r="CI565" s="305"/>
      <c r="CJ565" s="305"/>
      <c r="CK565" s="305"/>
      <c r="CL565" s="305"/>
      <c r="CM565" s="305"/>
      <c r="CN565" s="305"/>
      <c r="CO565" s="305"/>
      <c r="CP565" s="305"/>
    </row>
    <row r="566" spans="14:94">
      <c r="N566" s="91"/>
      <c r="P566" s="92"/>
      <c r="Z566" s="305"/>
      <c r="AA566" s="305"/>
      <c r="AB566" s="305"/>
      <c r="AC566" s="305"/>
      <c r="AD566" s="305"/>
      <c r="AE566" s="305"/>
      <c r="AF566" s="305"/>
      <c r="AG566" s="305"/>
      <c r="AH566" s="305"/>
      <c r="AI566" s="305"/>
      <c r="AJ566" s="305"/>
      <c r="AK566" s="305"/>
      <c r="AL566" s="305"/>
      <c r="AM566" s="305"/>
      <c r="AN566" s="305"/>
      <c r="AO566" s="305"/>
      <c r="AP566" s="305"/>
      <c r="AQ566" s="305"/>
      <c r="AR566" s="305"/>
      <c r="AS566" s="305"/>
      <c r="AT566" s="305"/>
      <c r="AU566" s="305"/>
      <c r="AV566" s="305"/>
      <c r="AW566" s="305"/>
      <c r="AX566" s="305"/>
      <c r="AY566" s="305"/>
      <c r="AZ566" s="305"/>
      <c r="BA566" s="305"/>
      <c r="BB566" s="305"/>
      <c r="BC566" s="305"/>
      <c r="BJ566" s="305"/>
      <c r="BK566" s="305"/>
      <c r="BL566" s="305"/>
      <c r="BM566" s="305"/>
      <c r="BN566" s="305"/>
      <c r="BO566" s="305"/>
      <c r="BP566" s="305"/>
      <c r="BQ566" s="305"/>
      <c r="BR566" s="305"/>
      <c r="BS566" s="305"/>
      <c r="BT566" s="305"/>
      <c r="BU566" s="305"/>
      <c r="BV566" s="305"/>
      <c r="BW566" s="305"/>
      <c r="BX566" s="305"/>
      <c r="BY566" s="305"/>
      <c r="BZ566" s="305"/>
      <c r="CA566" s="305"/>
      <c r="CB566" s="305"/>
      <c r="CC566" s="305"/>
      <c r="CD566" s="305"/>
      <c r="CE566" s="305"/>
      <c r="CF566" s="305"/>
      <c r="CG566" s="305"/>
      <c r="CH566" s="305"/>
      <c r="CI566" s="305"/>
      <c r="CJ566" s="305"/>
      <c r="CK566" s="305"/>
      <c r="CL566" s="305"/>
      <c r="CM566" s="305"/>
      <c r="CN566" s="305"/>
      <c r="CO566" s="305"/>
      <c r="CP566" s="305"/>
    </row>
    <row r="567" spans="14:94">
      <c r="N567" s="91"/>
      <c r="P567" s="92"/>
      <c r="Z567" s="305"/>
      <c r="AA567" s="305"/>
      <c r="AB567" s="305"/>
      <c r="AC567" s="305"/>
      <c r="AD567" s="305"/>
      <c r="AE567" s="305"/>
      <c r="AF567" s="305"/>
      <c r="AG567" s="305"/>
      <c r="AH567" s="305"/>
      <c r="AI567" s="305"/>
      <c r="AJ567" s="305"/>
      <c r="AK567" s="305"/>
      <c r="AL567" s="305"/>
      <c r="AM567" s="305"/>
      <c r="AN567" s="305"/>
      <c r="AO567" s="305"/>
      <c r="AP567" s="305"/>
      <c r="AQ567" s="305"/>
      <c r="AR567" s="305"/>
      <c r="AS567" s="305"/>
      <c r="AT567" s="305"/>
      <c r="AU567" s="305"/>
      <c r="AV567" s="305"/>
      <c r="AW567" s="305"/>
      <c r="AX567" s="305"/>
      <c r="AY567" s="305"/>
      <c r="AZ567" s="305"/>
      <c r="BA567" s="305"/>
      <c r="BB567" s="305"/>
      <c r="BC567" s="305"/>
      <c r="BJ567" s="305"/>
      <c r="BK567" s="305"/>
      <c r="BL567" s="305"/>
      <c r="BM567" s="305"/>
      <c r="BN567" s="305"/>
      <c r="BO567" s="305"/>
      <c r="BP567" s="305"/>
      <c r="BQ567" s="305"/>
      <c r="BR567" s="305"/>
      <c r="BS567" s="305"/>
      <c r="BT567" s="305"/>
      <c r="BU567" s="305"/>
      <c r="BV567" s="305"/>
      <c r="BW567" s="305"/>
      <c r="BX567" s="305"/>
      <c r="BY567" s="305"/>
      <c r="BZ567" s="305"/>
      <c r="CA567" s="305"/>
      <c r="CB567" s="305"/>
      <c r="CC567" s="305"/>
      <c r="CD567" s="305"/>
      <c r="CE567" s="305"/>
      <c r="CF567" s="305"/>
      <c r="CG567" s="305"/>
      <c r="CH567" s="305"/>
      <c r="CI567" s="305"/>
      <c r="CJ567" s="305"/>
      <c r="CK567" s="305"/>
      <c r="CL567" s="305"/>
      <c r="CM567" s="305"/>
      <c r="CN567" s="305"/>
      <c r="CO567" s="305"/>
      <c r="CP567" s="305"/>
    </row>
    <row r="568" spans="14:94">
      <c r="N568" s="91"/>
      <c r="P568" s="92"/>
      <c r="Z568" s="305"/>
      <c r="AA568" s="305"/>
      <c r="AB568" s="305"/>
      <c r="AC568" s="305"/>
      <c r="AD568" s="305"/>
      <c r="AE568" s="305"/>
      <c r="AF568" s="305"/>
      <c r="AG568" s="305"/>
      <c r="AH568" s="305"/>
      <c r="AI568" s="305"/>
      <c r="AJ568" s="305"/>
      <c r="AK568" s="305"/>
      <c r="AL568" s="305"/>
      <c r="AM568" s="305"/>
      <c r="AN568" s="305"/>
      <c r="AO568" s="305"/>
      <c r="AP568" s="305"/>
      <c r="AQ568" s="305"/>
      <c r="AR568" s="305"/>
      <c r="AS568" s="305"/>
      <c r="AT568" s="305"/>
      <c r="AU568" s="305"/>
      <c r="AV568" s="305"/>
      <c r="AW568" s="305"/>
      <c r="AX568" s="305"/>
      <c r="AY568" s="305"/>
      <c r="AZ568" s="305"/>
      <c r="BA568" s="305"/>
      <c r="BB568" s="305"/>
      <c r="BC568" s="305"/>
      <c r="BJ568" s="305"/>
      <c r="BK568" s="305"/>
      <c r="BL568" s="305"/>
      <c r="BM568" s="305"/>
      <c r="BN568" s="305"/>
      <c r="BO568" s="305"/>
      <c r="BP568" s="305"/>
      <c r="BQ568" s="305"/>
      <c r="BR568" s="305"/>
      <c r="BS568" s="305"/>
      <c r="BT568" s="305"/>
      <c r="BU568" s="305"/>
      <c r="BV568" s="305"/>
      <c r="BW568" s="305"/>
      <c r="BX568" s="305"/>
      <c r="BY568" s="305"/>
      <c r="BZ568" s="305"/>
      <c r="CA568" s="305"/>
      <c r="CB568" s="305"/>
      <c r="CC568" s="305"/>
      <c r="CD568" s="305"/>
      <c r="CE568" s="305"/>
      <c r="CF568" s="305"/>
      <c r="CG568" s="305"/>
      <c r="CH568" s="305"/>
      <c r="CI568" s="305"/>
      <c r="CJ568" s="305"/>
      <c r="CK568" s="305"/>
      <c r="CL568" s="305"/>
      <c r="CM568" s="305"/>
      <c r="CN568" s="305"/>
      <c r="CO568" s="305"/>
      <c r="CP568" s="305"/>
    </row>
    <row r="569" spans="14:94">
      <c r="N569" s="91"/>
      <c r="P569" s="92"/>
      <c r="Z569" s="305"/>
      <c r="AA569" s="305"/>
      <c r="AB569" s="305"/>
      <c r="AC569" s="305"/>
      <c r="AD569" s="305"/>
      <c r="AE569" s="305"/>
      <c r="AF569" s="305"/>
      <c r="AG569" s="305"/>
      <c r="AH569" s="305"/>
      <c r="AI569" s="305"/>
      <c r="AJ569" s="305"/>
      <c r="AK569" s="305"/>
      <c r="AL569" s="305"/>
      <c r="AM569" s="305"/>
      <c r="AN569" s="305"/>
      <c r="AO569" s="305"/>
      <c r="AP569" s="305"/>
      <c r="AQ569" s="305"/>
      <c r="AR569" s="305"/>
      <c r="AS569" s="305"/>
      <c r="AT569" s="305"/>
      <c r="AU569" s="305"/>
      <c r="AV569" s="305"/>
      <c r="AW569" s="305"/>
      <c r="AX569" s="305"/>
      <c r="AY569" s="305"/>
      <c r="AZ569" s="305"/>
      <c r="BA569" s="305"/>
      <c r="BB569" s="305"/>
      <c r="BC569" s="305"/>
      <c r="BJ569" s="305"/>
      <c r="BK569" s="305"/>
      <c r="BL569" s="305"/>
      <c r="BM569" s="305"/>
      <c r="BN569" s="305"/>
      <c r="BO569" s="305"/>
      <c r="BP569" s="305"/>
      <c r="BQ569" s="305"/>
      <c r="BR569" s="305"/>
      <c r="BS569" s="305"/>
      <c r="BT569" s="305"/>
      <c r="BU569" s="305"/>
      <c r="BV569" s="305"/>
      <c r="BW569" s="305"/>
      <c r="BX569" s="305"/>
      <c r="BY569" s="305"/>
      <c r="BZ569" s="305"/>
      <c r="CA569" s="305"/>
      <c r="CB569" s="305"/>
      <c r="CC569" s="305"/>
      <c r="CD569" s="305"/>
      <c r="CE569" s="305"/>
      <c r="CF569" s="305"/>
      <c r="CG569" s="305"/>
      <c r="CH569" s="305"/>
      <c r="CI569" s="305"/>
      <c r="CJ569" s="305"/>
      <c r="CK569" s="305"/>
      <c r="CL569" s="305"/>
      <c r="CM569" s="305"/>
      <c r="CN569" s="305"/>
      <c r="CO569" s="305"/>
      <c r="CP569" s="305"/>
    </row>
    <row r="570" spans="14:94">
      <c r="N570" s="91"/>
      <c r="P570" s="92"/>
      <c r="Z570" s="305"/>
      <c r="AA570" s="305"/>
      <c r="AB570" s="305"/>
      <c r="AC570" s="305"/>
      <c r="AD570" s="305"/>
      <c r="AE570" s="305"/>
      <c r="AF570" s="305"/>
      <c r="AG570" s="305"/>
      <c r="AH570" s="305"/>
      <c r="AI570" s="305"/>
      <c r="AJ570" s="305"/>
      <c r="AK570" s="305"/>
      <c r="AL570" s="305"/>
      <c r="AM570" s="305"/>
      <c r="AN570" s="305"/>
      <c r="AO570" s="305"/>
      <c r="AP570" s="305"/>
      <c r="AQ570" s="305"/>
      <c r="AR570" s="305"/>
      <c r="AS570" s="305"/>
      <c r="AT570" s="305"/>
      <c r="AU570" s="305"/>
      <c r="AV570" s="305"/>
      <c r="AW570" s="305"/>
      <c r="AX570" s="305"/>
      <c r="AY570" s="305"/>
      <c r="AZ570" s="305"/>
      <c r="BA570" s="305"/>
      <c r="BB570" s="305"/>
      <c r="BC570" s="305"/>
      <c r="BJ570" s="305"/>
      <c r="BK570" s="305"/>
      <c r="BL570" s="305"/>
      <c r="BM570" s="305"/>
      <c r="BN570" s="305"/>
      <c r="BO570" s="305"/>
      <c r="BP570" s="305"/>
      <c r="BQ570" s="305"/>
      <c r="BR570" s="305"/>
      <c r="BS570" s="305"/>
      <c r="BT570" s="305"/>
      <c r="BU570" s="305"/>
      <c r="BV570" s="305"/>
      <c r="BW570" s="305"/>
      <c r="BX570" s="305"/>
      <c r="BY570" s="305"/>
      <c r="BZ570" s="305"/>
      <c r="CA570" s="305"/>
      <c r="CB570" s="305"/>
      <c r="CC570" s="305"/>
      <c r="CD570" s="305"/>
      <c r="CE570" s="305"/>
      <c r="CF570" s="305"/>
      <c r="CG570" s="305"/>
      <c r="CH570" s="305"/>
      <c r="CI570" s="305"/>
      <c r="CJ570" s="305"/>
      <c r="CK570" s="305"/>
      <c r="CL570" s="305"/>
      <c r="CM570" s="305"/>
      <c r="CN570" s="305"/>
      <c r="CO570" s="305"/>
      <c r="CP570" s="305"/>
    </row>
    <row r="571" spans="14:94">
      <c r="N571" s="91"/>
      <c r="P571" s="92"/>
      <c r="Z571" s="305"/>
      <c r="AA571" s="305"/>
      <c r="AB571" s="305"/>
      <c r="AC571" s="305"/>
      <c r="AD571" s="305"/>
      <c r="AE571" s="305"/>
      <c r="AF571" s="305"/>
      <c r="AG571" s="305"/>
      <c r="AH571" s="305"/>
      <c r="AI571" s="305"/>
      <c r="AJ571" s="305"/>
      <c r="AK571" s="305"/>
      <c r="AL571" s="305"/>
      <c r="AM571" s="305"/>
      <c r="AN571" s="305"/>
      <c r="AO571" s="305"/>
      <c r="AP571" s="305"/>
      <c r="AQ571" s="305"/>
      <c r="AR571" s="305"/>
      <c r="AS571" s="305"/>
      <c r="AT571" s="305"/>
      <c r="AU571" s="305"/>
      <c r="AV571" s="305"/>
      <c r="AW571" s="305"/>
      <c r="AX571" s="305"/>
      <c r="AY571" s="305"/>
      <c r="AZ571" s="305"/>
      <c r="BA571" s="305"/>
      <c r="BB571" s="305"/>
      <c r="BC571" s="305"/>
      <c r="BJ571" s="305"/>
      <c r="BK571" s="305"/>
      <c r="BL571" s="305"/>
      <c r="BM571" s="305"/>
      <c r="BN571" s="305"/>
      <c r="BO571" s="305"/>
      <c r="BP571" s="305"/>
      <c r="BQ571" s="305"/>
      <c r="BR571" s="305"/>
      <c r="BS571" s="305"/>
      <c r="BT571" s="305"/>
      <c r="BU571" s="305"/>
      <c r="BV571" s="305"/>
      <c r="BW571" s="305"/>
      <c r="BX571" s="305"/>
      <c r="BY571" s="305"/>
      <c r="BZ571" s="305"/>
      <c r="CA571" s="305"/>
      <c r="CB571" s="305"/>
      <c r="CC571" s="305"/>
      <c r="CD571" s="305"/>
      <c r="CE571" s="305"/>
      <c r="CF571" s="305"/>
      <c r="CG571" s="305"/>
      <c r="CH571" s="305"/>
      <c r="CI571" s="305"/>
      <c r="CJ571" s="305"/>
      <c r="CK571" s="305"/>
      <c r="CL571" s="305"/>
      <c r="CM571" s="305"/>
      <c r="CN571" s="305"/>
      <c r="CO571" s="305"/>
      <c r="CP571" s="305"/>
    </row>
    <row r="572" spans="14:94">
      <c r="N572" s="91"/>
      <c r="P572" s="92"/>
      <c r="Z572" s="305"/>
      <c r="AA572" s="305"/>
      <c r="AB572" s="305"/>
      <c r="AC572" s="305"/>
      <c r="AD572" s="305"/>
      <c r="AE572" s="305"/>
      <c r="AF572" s="305"/>
      <c r="AG572" s="305"/>
      <c r="AH572" s="305"/>
      <c r="AI572" s="305"/>
      <c r="AJ572" s="305"/>
      <c r="AK572" s="305"/>
      <c r="AL572" s="305"/>
      <c r="AM572" s="305"/>
      <c r="AN572" s="305"/>
      <c r="AO572" s="305"/>
      <c r="AP572" s="305"/>
      <c r="AQ572" s="305"/>
      <c r="AR572" s="305"/>
      <c r="AS572" s="305"/>
      <c r="AT572" s="305"/>
      <c r="AU572" s="305"/>
      <c r="AV572" s="305"/>
      <c r="AW572" s="305"/>
      <c r="AX572" s="305"/>
      <c r="AY572" s="305"/>
      <c r="AZ572" s="305"/>
      <c r="BA572" s="305"/>
      <c r="BB572" s="305"/>
      <c r="BC572" s="305"/>
      <c r="BJ572" s="305"/>
      <c r="BK572" s="305"/>
      <c r="BL572" s="305"/>
      <c r="BM572" s="305"/>
      <c r="BN572" s="305"/>
      <c r="BO572" s="305"/>
      <c r="BP572" s="305"/>
      <c r="BQ572" s="305"/>
      <c r="BR572" s="305"/>
      <c r="BS572" s="305"/>
      <c r="BT572" s="305"/>
      <c r="BU572" s="305"/>
      <c r="BV572" s="305"/>
      <c r="BW572" s="305"/>
      <c r="BX572" s="305"/>
      <c r="BY572" s="305"/>
      <c r="BZ572" s="305"/>
      <c r="CA572" s="305"/>
      <c r="CB572" s="305"/>
      <c r="CC572" s="305"/>
      <c r="CD572" s="305"/>
      <c r="CE572" s="305"/>
      <c r="CF572" s="305"/>
      <c r="CG572" s="305"/>
      <c r="CH572" s="305"/>
      <c r="CI572" s="305"/>
      <c r="CJ572" s="305"/>
      <c r="CK572" s="305"/>
      <c r="CL572" s="305"/>
      <c r="CM572" s="305"/>
      <c r="CN572" s="305"/>
      <c r="CO572" s="305"/>
      <c r="CP572" s="305"/>
    </row>
    <row r="573" spans="14:94">
      <c r="N573" s="91"/>
      <c r="P573" s="92"/>
      <c r="Z573" s="305"/>
      <c r="AA573" s="305"/>
      <c r="AB573" s="305"/>
      <c r="AC573" s="305"/>
      <c r="AD573" s="305"/>
      <c r="AE573" s="305"/>
      <c r="AF573" s="305"/>
      <c r="AG573" s="305"/>
      <c r="AH573" s="305"/>
      <c r="AI573" s="305"/>
      <c r="AJ573" s="305"/>
      <c r="AK573" s="305"/>
      <c r="AL573" s="305"/>
      <c r="AM573" s="305"/>
      <c r="AN573" s="305"/>
      <c r="AO573" s="305"/>
      <c r="AP573" s="305"/>
      <c r="AQ573" s="305"/>
      <c r="AR573" s="305"/>
      <c r="AS573" s="305"/>
      <c r="AT573" s="305"/>
      <c r="AU573" s="305"/>
      <c r="AV573" s="305"/>
      <c r="AW573" s="305"/>
      <c r="AX573" s="305"/>
      <c r="AY573" s="305"/>
      <c r="AZ573" s="305"/>
      <c r="BA573" s="305"/>
      <c r="BB573" s="305"/>
      <c r="BC573" s="305"/>
      <c r="BJ573" s="305"/>
      <c r="BK573" s="305"/>
      <c r="BL573" s="305"/>
      <c r="BM573" s="305"/>
      <c r="BN573" s="305"/>
      <c r="BO573" s="305"/>
      <c r="BP573" s="305"/>
      <c r="BQ573" s="305"/>
      <c r="BR573" s="305"/>
      <c r="BS573" s="305"/>
      <c r="BT573" s="305"/>
      <c r="BU573" s="305"/>
      <c r="BV573" s="305"/>
      <c r="BW573" s="305"/>
      <c r="BX573" s="305"/>
      <c r="BY573" s="305"/>
      <c r="BZ573" s="305"/>
      <c r="CA573" s="305"/>
      <c r="CB573" s="305"/>
      <c r="CC573" s="305"/>
      <c r="CD573" s="305"/>
      <c r="CE573" s="305"/>
      <c r="CF573" s="305"/>
      <c r="CG573" s="305"/>
      <c r="CH573" s="305"/>
      <c r="CI573" s="305"/>
      <c r="CJ573" s="305"/>
      <c r="CK573" s="305"/>
      <c r="CL573" s="305"/>
      <c r="CM573" s="305"/>
      <c r="CN573" s="305"/>
      <c r="CO573" s="305"/>
      <c r="CP573" s="305"/>
    </row>
    <row r="574" spans="14:94">
      <c r="N574" s="91"/>
      <c r="P574" s="92"/>
      <c r="Z574" s="305"/>
      <c r="AA574" s="305"/>
      <c r="AB574" s="305"/>
      <c r="AC574" s="305"/>
      <c r="AD574" s="305"/>
      <c r="AE574" s="305"/>
      <c r="AF574" s="305"/>
      <c r="AG574" s="305"/>
      <c r="AH574" s="305"/>
      <c r="AI574" s="305"/>
      <c r="AJ574" s="305"/>
      <c r="AK574" s="305"/>
      <c r="AL574" s="305"/>
      <c r="AM574" s="305"/>
      <c r="AN574" s="305"/>
      <c r="AO574" s="305"/>
      <c r="AP574" s="305"/>
      <c r="AQ574" s="305"/>
      <c r="AR574" s="305"/>
      <c r="AS574" s="305"/>
      <c r="AT574" s="305"/>
      <c r="AU574" s="305"/>
      <c r="AV574" s="305"/>
      <c r="AW574" s="305"/>
      <c r="AX574" s="305"/>
      <c r="AY574" s="305"/>
      <c r="AZ574" s="305"/>
      <c r="BA574" s="305"/>
      <c r="BB574" s="305"/>
      <c r="BC574" s="305"/>
      <c r="BJ574" s="305"/>
      <c r="BK574" s="305"/>
      <c r="BL574" s="305"/>
      <c r="BM574" s="305"/>
      <c r="BN574" s="305"/>
      <c r="BO574" s="305"/>
      <c r="BP574" s="305"/>
      <c r="BQ574" s="305"/>
      <c r="BR574" s="305"/>
      <c r="BS574" s="305"/>
      <c r="BT574" s="305"/>
      <c r="BU574" s="305"/>
      <c r="BV574" s="305"/>
      <c r="BW574" s="305"/>
      <c r="BX574" s="305"/>
      <c r="BY574" s="305"/>
      <c r="BZ574" s="305"/>
      <c r="CA574" s="305"/>
      <c r="CB574" s="305"/>
      <c r="CC574" s="305"/>
      <c r="CD574" s="305"/>
      <c r="CE574" s="305"/>
      <c r="CF574" s="305"/>
      <c r="CG574" s="305"/>
      <c r="CH574" s="305"/>
      <c r="CI574" s="305"/>
      <c r="CJ574" s="305"/>
      <c r="CK574" s="305"/>
      <c r="CL574" s="305"/>
      <c r="CM574" s="305"/>
      <c r="CN574" s="305"/>
      <c r="CO574" s="305"/>
      <c r="CP574" s="305"/>
    </row>
    <row r="575" spans="14:94">
      <c r="N575" s="91"/>
      <c r="P575" s="92"/>
      <c r="Z575" s="305"/>
      <c r="AA575" s="305"/>
      <c r="AB575" s="305"/>
      <c r="AC575" s="305"/>
      <c r="AD575" s="305"/>
      <c r="AE575" s="305"/>
      <c r="AF575" s="305"/>
      <c r="AG575" s="305"/>
      <c r="AH575" s="305"/>
      <c r="AI575" s="305"/>
      <c r="AJ575" s="305"/>
      <c r="AK575" s="305"/>
      <c r="AL575" s="305"/>
      <c r="AM575" s="305"/>
      <c r="AN575" s="305"/>
      <c r="AO575" s="305"/>
      <c r="AP575" s="305"/>
      <c r="AQ575" s="305"/>
      <c r="AR575" s="305"/>
      <c r="AS575" s="305"/>
      <c r="AT575" s="305"/>
      <c r="AU575" s="305"/>
      <c r="AV575" s="305"/>
      <c r="AW575" s="305"/>
      <c r="AX575" s="305"/>
      <c r="AY575" s="305"/>
      <c r="AZ575" s="305"/>
      <c r="BA575" s="305"/>
      <c r="BB575" s="305"/>
      <c r="BC575" s="305"/>
      <c r="BJ575" s="305"/>
      <c r="BK575" s="305"/>
      <c r="BL575" s="305"/>
      <c r="BM575" s="305"/>
      <c r="BN575" s="305"/>
      <c r="BO575" s="305"/>
      <c r="BP575" s="305"/>
      <c r="BQ575" s="305"/>
      <c r="BR575" s="305"/>
      <c r="BS575" s="305"/>
      <c r="BT575" s="305"/>
      <c r="BU575" s="305"/>
      <c r="BV575" s="305"/>
      <c r="BW575" s="305"/>
      <c r="BX575" s="305"/>
      <c r="BY575" s="305"/>
      <c r="BZ575" s="305"/>
      <c r="CA575" s="305"/>
      <c r="CB575" s="305"/>
      <c r="CC575" s="305"/>
      <c r="CD575" s="305"/>
      <c r="CE575" s="305"/>
      <c r="CF575" s="305"/>
      <c r="CG575" s="305"/>
      <c r="CH575" s="305"/>
      <c r="CI575" s="305"/>
      <c r="CJ575" s="305"/>
      <c r="CK575" s="305"/>
      <c r="CL575" s="305"/>
      <c r="CM575" s="305"/>
      <c r="CN575" s="305"/>
      <c r="CO575" s="305"/>
      <c r="CP575" s="305"/>
    </row>
    <row r="576" spans="14:94">
      <c r="N576" s="91"/>
      <c r="P576" s="92"/>
      <c r="Z576" s="305"/>
      <c r="AA576" s="305"/>
      <c r="AB576" s="305"/>
      <c r="AC576" s="305"/>
      <c r="AD576" s="305"/>
      <c r="AE576" s="305"/>
      <c r="AF576" s="305"/>
      <c r="AG576" s="305"/>
      <c r="AH576" s="305"/>
      <c r="AI576" s="305"/>
      <c r="AJ576" s="305"/>
      <c r="AK576" s="305"/>
      <c r="AL576" s="305"/>
      <c r="AM576" s="305"/>
      <c r="AN576" s="305"/>
      <c r="AO576" s="305"/>
      <c r="AP576" s="305"/>
      <c r="AQ576" s="305"/>
      <c r="AR576" s="305"/>
      <c r="AS576" s="305"/>
      <c r="AT576" s="305"/>
      <c r="AU576" s="305"/>
      <c r="AV576" s="305"/>
      <c r="AW576" s="305"/>
      <c r="AX576" s="305"/>
      <c r="AY576" s="305"/>
      <c r="AZ576" s="305"/>
      <c r="BA576" s="305"/>
      <c r="BB576" s="305"/>
      <c r="BC576" s="305"/>
      <c r="BJ576" s="305"/>
      <c r="BK576" s="305"/>
      <c r="BL576" s="305"/>
      <c r="BM576" s="305"/>
      <c r="BN576" s="305"/>
      <c r="BO576" s="305"/>
      <c r="BP576" s="305"/>
      <c r="BQ576" s="305"/>
      <c r="BR576" s="305"/>
      <c r="BS576" s="305"/>
      <c r="BT576" s="305"/>
      <c r="BU576" s="305"/>
      <c r="BV576" s="305"/>
      <c r="BW576" s="305"/>
      <c r="BX576" s="305"/>
      <c r="BY576" s="305"/>
      <c r="BZ576" s="305"/>
      <c r="CA576" s="305"/>
      <c r="CB576" s="305"/>
      <c r="CC576" s="305"/>
      <c r="CD576" s="305"/>
      <c r="CE576" s="305"/>
      <c r="CF576" s="305"/>
      <c r="CG576" s="305"/>
      <c r="CH576" s="305"/>
      <c r="CI576" s="305"/>
      <c r="CJ576" s="305"/>
      <c r="CK576" s="305"/>
      <c r="CL576" s="305"/>
      <c r="CM576" s="305"/>
      <c r="CN576" s="305"/>
      <c r="CO576" s="305"/>
      <c r="CP576" s="305"/>
    </row>
    <row r="577" spans="14:94">
      <c r="N577" s="91"/>
      <c r="P577" s="92"/>
      <c r="Z577" s="305"/>
      <c r="AA577" s="305"/>
      <c r="AB577" s="305"/>
      <c r="AC577" s="305"/>
      <c r="AD577" s="305"/>
      <c r="AE577" s="305"/>
      <c r="AF577" s="305"/>
      <c r="AG577" s="305"/>
      <c r="AH577" s="305"/>
      <c r="AI577" s="305"/>
      <c r="AJ577" s="305"/>
      <c r="AK577" s="305"/>
      <c r="AL577" s="305"/>
      <c r="AM577" s="305"/>
      <c r="AN577" s="305"/>
      <c r="AO577" s="305"/>
      <c r="AP577" s="305"/>
      <c r="AQ577" s="305"/>
      <c r="AR577" s="305"/>
      <c r="AS577" s="305"/>
      <c r="AT577" s="305"/>
      <c r="AU577" s="305"/>
      <c r="AV577" s="305"/>
      <c r="AW577" s="305"/>
      <c r="AX577" s="305"/>
      <c r="AY577" s="305"/>
      <c r="AZ577" s="305"/>
      <c r="BA577" s="305"/>
      <c r="BB577" s="305"/>
      <c r="BC577" s="305"/>
      <c r="BJ577" s="305"/>
      <c r="BK577" s="305"/>
      <c r="BL577" s="305"/>
      <c r="BM577" s="305"/>
      <c r="BN577" s="305"/>
      <c r="BO577" s="305"/>
      <c r="BP577" s="305"/>
      <c r="BQ577" s="305"/>
      <c r="BR577" s="305"/>
      <c r="BS577" s="305"/>
      <c r="BT577" s="305"/>
      <c r="BU577" s="305"/>
      <c r="BV577" s="305"/>
      <c r="BW577" s="305"/>
      <c r="BX577" s="305"/>
      <c r="BY577" s="305"/>
      <c r="BZ577" s="305"/>
      <c r="CA577" s="305"/>
      <c r="CB577" s="305"/>
      <c r="CC577" s="305"/>
      <c r="CD577" s="305"/>
      <c r="CE577" s="305"/>
      <c r="CF577" s="305"/>
      <c r="CG577" s="305"/>
      <c r="CH577" s="305"/>
      <c r="CI577" s="305"/>
      <c r="CJ577" s="305"/>
      <c r="CK577" s="305"/>
      <c r="CL577" s="305"/>
      <c r="CM577" s="305"/>
      <c r="CN577" s="305"/>
      <c r="CO577" s="305"/>
      <c r="CP577" s="305"/>
    </row>
    <row r="578" spans="14:94">
      <c r="N578" s="91"/>
      <c r="P578" s="92"/>
      <c r="Z578" s="305"/>
      <c r="AA578" s="305"/>
      <c r="AB578" s="305"/>
      <c r="AC578" s="305"/>
      <c r="AD578" s="305"/>
      <c r="AE578" s="305"/>
      <c r="AF578" s="305"/>
      <c r="AG578" s="305"/>
      <c r="AH578" s="305"/>
      <c r="AI578" s="305"/>
      <c r="AJ578" s="305"/>
      <c r="AK578" s="305"/>
      <c r="AL578" s="305"/>
      <c r="AM578" s="305"/>
      <c r="AN578" s="305"/>
      <c r="AO578" s="305"/>
      <c r="AP578" s="305"/>
      <c r="AQ578" s="305"/>
      <c r="AR578" s="305"/>
      <c r="AS578" s="305"/>
      <c r="AT578" s="305"/>
      <c r="AU578" s="305"/>
      <c r="AV578" s="305"/>
      <c r="AW578" s="305"/>
      <c r="AX578" s="305"/>
      <c r="AY578" s="305"/>
      <c r="AZ578" s="305"/>
      <c r="BA578" s="305"/>
      <c r="BB578" s="305"/>
      <c r="BC578" s="305"/>
      <c r="BJ578" s="305"/>
      <c r="BK578" s="305"/>
      <c r="BL578" s="305"/>
      <c r="BM578" s="305"/>
      <c r="BN578" s="305"/>
      <c r="BO578" s="305"/>
      <c r="BP578" s="305"/>
      <c r="BQ578" s="305"/>
      <c r="BR578" s="305"/>
      <c r="BS578" s="305"/>
      <c r="BT578" s="305"/>
      <c r="BU578" s="305"/>
      <c r="BV578" s="305"/>
      <c r="BW578" s="305"/>
      <c r="BX578" s="305"/>
      <c r="BY578" s="305"/>
      <c r="BZ578" s="305"/>
      <c r="CA578" s="305"/>
      <c r="CB578" s="305"/>
      <c r="CC578" s="305"/>
      <c r="CD578" s="305"/>
      <c r="CE578" s="305"/>
      <c r="CF578" s="305"/>
      <c r="CG578" s="305"/>
      <c r="CH578" s="305"/>
      <c r="CI578" s="305"/>
      <c r="CJ578" s="305"/>
      <c r="CK578" s="305"/>
      <c r="CL578" s="305"/>
      <c r="CM578" s="305"/>
      <c r="CN578" s="305"/>
      <c r="CO578" s="305"/>
      <c r="CP578" s="305"/>
    </row>
    <row r="579" spans="14:94">
      <c r="N579" s="91"/>
      <c r="P579" s="92"/>
      <c r="Z579" s="305"/>
      <c r="AA579" s="305"/>
      <c r="AB579" s="305"/>
      <c r="AC579" s="305"/>
      <c r="AD579" s="305"/>
      <c r="AE579" s="305"/>
      <c r="AF579" s="305"/>
      <c r="AG579" s="305"/>
      <c r="AH579" s="305"/>
      <c r="AI579" s="305"/>
      <c r="AJ579" s="305"/>
      <c r="AK579" s="305"/>
      <c r="AL579" s="305"/>
      <c r="AM579" s="305"/>
      <c r="AN579" s="305"/>
      <c r="AO579" s="305"/>
      <c r="AP579" s="305"/>
      <c r="AQ579" s="305"/>
      <c r="AR579" s="305"/>
      <c r="AS579" s="305"/>
      <c r="AT579" s="305"/>
      <c r="AU579" s="305"/>
      <c r="AV579" s="305"/>
      <c r="AW579" s="305"/>
      <c r="AX579" s="305"/>
      <c r="AY579" s="305"/>
      <c r="AZ579" s="305"/>
      <c r="BA579" s="305"/>
      <c r="BB579" s="305"/>
      <c r="BC579" s="305"/>
      <c r="BJ579" s="305"/>
      <c r="BK579" s="305"/>
      <c r="BL579" s="305"/>
      <c r="BM579" s="305"/>
      <c r="BN579" s="305"/>
      <c r="BO579" s="305"/>
      <c r="BP579" s="305"/>
      <c r="BQ579" s="305"/>
      <c r="BR579" s="305"/>
      <c r="BS579" s="305"/>
      <c r="BT579" s="305"/>
      <c r="BU579" s="305"/>
      <c r="BV579" s="305"/>
      <c r="BW579" s="305"/>
      <c r="BX579" s="305"/>
      <c r="BY579" s="305"/>
      <c r="BZ579" s="305"/>
      <c r="CA579" s="305"/>
      <c r="CB579" s="305"/>
      <c r="CC579" s="305"/>
      <c r="CD579" s="305"/>
      <c r="CE579" s="305"/>
      <c r="CF579" s="305"/>
      <c r="CG579" s="305"/>
      <c r="CH579" s="305"/>
      <c r="CI579" s="305"/>
      <c r="CJ579" s="305"/>
      <c r="CK579" s="305"/>
      <c r="CL579" s="305"/>
      <c r="CM579" s="305"/>
      <c r="CN579" s="305"/>
      <c r="CO579" s="305"/>
      <c r="CP579" s="305"/>
    </row>
    <row r="580" spans="14:94">
      <c r="N580" s="91"/>
      <c r="P580" s="92"/>
      <c r="Z580" s="305"/>
      <c r="AA580" s="305"/>
      <c r="AB580" s="305"/>
      <c r="AC580" s="305"/>
      <c r="AD580" s="305"/>
      <c r="AE580" s="305"/>
      <c r="AF580" s="305"/>
      <c r="AG580" s="305"/>
      <c r="AH580" s="305"/>
      <c r="AI580" s="305"/>
      <c r="AJ580" s="305"/>
      <c r="AK580" s="305"/>
      <c r="AL580" s="305"/>
      <c r="AM580" s="305"/>
      <c r="AN580" s="305"/>
      <c r="AO580" s="305"/>
      <c r="AP580" s="305"/>
      <c r="AQ580" s="305"/>
      <c r="AR580" s="305"/>
      <c r="AS580" s="305"/>
      <c r="AT580" s="305"/>
      <c r="AU580" s="305"/>
      <c r="AV580" s="305"/>
      <c r="AW580" s="305"/>
      <c r="AX580" s="305"/>
      <c r="AY580" s="305"/>
      <c r="AZ580" s="305"/>
      <c r="BA580" s="305"/>
      <c r="BB580" s="305"/>
      <c r="BC580" s="305"/>
      <c r="BJ580" s="305"/>
      <c r="BK580" s="305"/>
      <c r="BL580" s="305"/>
      <c r="BM580" s="305"/>
      <c r="BN580" s="305"/>
      <c r="BO580" s="305"/>
      <c r="BP580" s="305"/>
      <c r="BQ580" s="305"/>
      <c r="BR580" s="305"/>
      <c r="BS580" s="305"/>
      <c r="BT580" s="305"/>
      <c r="BU580" s="305"/>
      <c r="BV580" s="305"/>
      <c r="BW580" s="305"/>
      <c r="BX580" s="305"/>
      <c r="BY580" s="305"/>
      <c r="BZ580" s="305"/>
      <c r="CA580" s="305"/>
      <c r="CB580" s="305"/>
      <c r="CC580" s="305"/>
      <c r="CD580" s="305"/>
      <c r="CE580" s="305"/>
      <c r="CF580" s="305"/>
      <c r="CG580" s="305"/>
      <c r="CH580" s="305"/>
      <c r="CI580" s="305"/>
      <c r="CJ580" s="305"/>
      <c r="CK580" s="305"/>
      <c r="CL580" s="305"/>
      <c r="CM580" s="305"/>
      <c r="CN580" s="305"/>
      <c r="CO580" s="305"/>
      <c r="CP580" s="305"/>
    </row>
    <row r="581" spans="14:94">
      <c r="N581" s="91"/>
      <c r="P581" s="92"/>
      <c r="Z581" s="305"/>
      <c r="AA581" s="305"/>
      <c r="AB581" s="305"/>
      <c r="AC581" s="305"/>
      <c r="AD581" s="305"/>
      <c r="AE581" s="305"/>
      <c r="AF581" s="305"/>
      <c r="AG581" s="305"/>
      <c r="AH581" s="305"/>
      <c r="AI581" s="305"/>
      <c r="AJ581" s="305"/>
      <c r="AK581" s="305"/>
      <c r="AL581" s="305"/>
      <c r="AM581" s="305"/>
      <c r="AN581" s="305"/>
      <c r="AO581" s="305"/>
      <c r="AP581" s="305"/>
      <c r="AQ581" s="305"/>
      <c r="AR581" s="305"/>
      <c r="AS581" s="305"/>
      <c r="AT581" s="305"/>
      <c r="AU581" s="305"/>
      <c r="AV581" s="305"/>
      <c r="AW581" s="305"/>
      <c r="AX581" s="305"/>
      <c r="AY581" s="305"/>
      <c r="AZ581" s="305"/>
      <c r="BA581" s="305"/>
      <c r="BB581" s="305"/>
      <c r="BC581" s="305"/>
      <c r="BJ581" s="305"/>
      <c r="BK581" s="305"/>
      <c r="BL581" s="305"/>
      <c r="BM581" s="305"/>
      <c r="BN581" s="305"/>
      <c r="BO581" s="305"/>
      <c r="BP581" s="305"/>
      <c r="BQ581" s="305"/>
      <c r="BR581" s="305"/>
      <c r="BS581" s="305"/>
      <c r="BT581" s="305"/>
      <c r="BU581" s="305"/>
      <c r="BV581" s="305"/>
      <c r="BW581" s="305"/>
      <c r="BX581" s="305"/>
      <c r="BY581" s="305"/>
      <c r="BZ581" s="305"/>
      <c r="CA581" s="305"/>
      <c r="CB581" s="305"/>
      <c r="CC581" s="305"/>
      <c r="CD581" s="305"/>
      <c r="CE581" s="305"/>
      <c r="CF581" s="305"/>
      <c r="CG581" s="305"/>
      <c r="CH581" s="305"/>
      <c r="CI581" s="305"/>
      <c r="CJ581" s="305"/>
      <c r="CK581" s="305"/>
      <c r="CL581" s="305"/>
      <c r="CM581" s="305"/>
      <c r="CN581" s="305"/>
      <c r="CO581" s="305"/>
      <c r="CP581" s="305"/>
    </row>
    <row r="582" spans="14:94">
      <c r="N582" s="91"/>
      <c r="P582" s="92"/>
      <c r="Z582" s="305"/>
      <c r="AA582" s="305"/>
      <c r="AB582" s="305"/>
      <c r="AC582" s="305"/>
      <c r="AD582" s="305"/>
      <c r="AE582" s="305"/>
      <c r="AF582" s="305"/>
      <c r="AG582" s="305"/>
      <c r="AH582" s="305"/>
      <c r="AI582" s="305"/>
      <c r="AJ582" s="305"/>
      <c r="AK582" s="305"/>
      <c r="AL582" s="305"/>
      <c r="AM582" s="305"/>
      <c r="AN582" s="305"/>
      <c r="AO582" s="305"/>
      <c r="AP582" s="305"/>
      <c r="AQ582" s="305"/>
      <c r="AR582" s="305"/>
      <c r="AS582" s="305"/>
      <c r="AT582" s="305"/>
      <c r="AU582" s="305"/>
      <c r="AV582" s="305"/>
      <c r="AW582" s="305"/>
      <c r="AX582" s="305"/>
      <c r="AY582" s="305"/>
      <c r="AZ582" s="305"/>
      <c r="BA582" s="305"/>
      <c r="BB582" s="305"/>
      <c r="BC582" s="305"/>
      <c r="BJ582" s="305"/>
      <c r="BK582" s="305"/>
      <c r="BL582" s="305"/>
      <c r="BM582" s="305"/>
      <c r="BN582" s="305"/>
      <c r="BO582" s="305"/>
      <c r="BP582" s="305"/>
      <c r="BQ582" s="305"/>
      <c r="BR582" s="305"/>
      <c r="BS582" s="305"/>
      <c r="BT582" s="305"/>
      <c r="BU582" s="305"/>
      <c r="BV582" s="305"/>
      <c r="BW582" s="305"/>
      <c r="BX582" s="305"/>
      <c r="BY582" s="305"/>
      <c r="BZ582" s="305"/>
      <c r="CA582" s="305"/>
      <c r="CB582" s="305"/>
      <c r="CC582" s="305"/>
      <c r="CD582" s="305"/>
      <c r="CE582" s="305"/>
      <c r="CF582" s="305"/>
      <c r="CG582" s="305"/>
      <c r="CH582" s="305"/>
      <c r="CI582" s="305"/>
      <c r="CJ582" s="305"/>
      <c r="CK582" s="305"/>
      <c r="CL582" s="305"/>
      <c r="CM582" s="305"/>
      <c r="CN582" s="305"/>
      <c r="CO582" s="305"/>
      <c r="CP582" s="305"/>
    </row>
    <row r="583" spans="14:94">
      <c r="N583" s="91"/>
      <c r="P583" s="92"/>
      <c r="Z583" s="305"/>
      <c r="AA583" s="305"/>
      <c r="AB583" s="305"/>
      <c r="AC583" s="305"/>
      <c r="AD583" s="305"/>
      <c r="AE583" s="305"/>
      <c r="AF583" s="305"/>
      <c r="AG583" s="305"/>
      <c r="AH583" s="305"/>
      <c r="AI583" s="305"/>
      <c r="AJ583" s="305"/>
      <c r="AK583" s="305"/>
      <c r="AL583" s="305"/>
      <c r="AM583" s="305"/>
      <c r="AN583" s="305"/>
      <c r="AO583" s="305"/>
      <c r="AP583" s="305"/>
      <c r="AQ583" s="305"/>
      <c r="AR583" s="305"/>
      <c r="AS583" s="305"/>
      <c r="AT583" s="305"/>
      <c r="AU583" s="305"/>
      <c r="AV583" s="305"/>
      <c r="AW583" s="305"/>
      <c r="AX583" s="305"/>
      <c r="AY583" s="305"/>
      <c r="AZ583" s="305"/>
      <c r="BA583" s="305"/>
      <c r="BB583" s="305"/>
      <c r="BC583" s="305"/>
      <c r="BJ583" s="305"/>
      <c r="BK583" s="305"/>
      <c r="BL583" s="305"/>
      <c r="BM583" s="305"/>
      <c r="BN583" s="305"/>
      <c r="BO583" s="305"/>
      <c r="BP583" s="305"/>
      <c r="BQ583" s="305"/>
      <c r="BR583" s="305"/>
      <c r="BS583" s="305"/>
      <c r="BT583" s="305"/>
      <c r="BU583" s="305"/>
      <c r="BV583" s="305"/>
      <c r="BW583" s="305"/>
      <c r="BX583" s="305"/>
      <c r="BY583" s="305"/>
      <c r="BZ583" s="305"/>
      <c r="CA583" s="305"/>
      <c r="CB583" s="305"/>
      <c r="CC583" s="305"/>
      <c r="CD583" s="305"/>
      <c r="CE583" s="305"/>
      <c r="CF583" s="305"/>
      <c r="CG583" s="305"/>
      <c r="CH583" s="305"/>
      <c r="CI583" s="305"/>
      <c r="CJ583" s="305"/>
      <c r="CK583" s="305"/>
      <c r="CL583" s="305"/>
      <c r="CM583" s="305"/>
      <c r="CN583" s="305"/>
      <c r="CO583" s="305"/>
      <c r="CP583" s="305"/>
    </row>
    <row r="584" spans="14:94">
      <c r="N584" s="91"/>
      <c r="P584" s="92"/>
      <c r="Z584" s="305"/>
      <c r="AA584" s="305"/>
      <c r="AB584" s="305"/>
      <c r="AC584" s="305"/>
      <c r="AD584" s="305"/>
      <c r="AE584" s="305"/>
      <c r="AF584" s="305"/>
      <c r="AG584" s="305"/>
      <c r="AH584" s="305"/>
      <c r="AI584" s="305"/>
      <c r="AJ584" s="305"/>
      <c r="AK584" s="305"/>
      <c r="AL584" s="305"/>
      <c r="AM584" s="305"/>
      <c r="AN584" s="305"/>
      <c r="AO584" s="305"/>
      <c r="AP584" s="305"/>
      <c r="AQ584" s="305"/>
      <c r="AR584" s="305"/>
      <c r="AS584" s="305"/>
      <c r="AT584" s="305"/>
      <c r="AU584" s="305"/>
      <c r="AV584" s="305"/>
      <c r="AW584" s="305"/>
      <c r="AX584" s="305"/>
      <c r="AY584" s="305"/>
      <c r="AZ584" s="305"/>
      <c r="BA584" s="305"/>
      <c r="BB584" s="305"/>
      <c r="BC584" s="305"/>
      <c r="BJ584" s="305"/>
      <c r="BK584" s="305"/>
      <c r="BL584" s="305"/>
      <c r="BM584" s="305"/>
      <c r="BN584" s="305"/>
      <c r="BO584" s="305"/>
      <c r="BP584" s="305"/>
      <c r="BQ584" s="305"/>
      <c r="BR584" s="305"/>
      <c r="BS584" s="305"/>
      <c r="BT584" s="305"/>
      <c r="BU584" s="305"/>
      <c r="BV584" s="305"/>
      <c r="BW584" s="305"/>
      <c r="BX584" s="305"/>
      <c r="BY584" s="305"/>
      <c r="BZ584" s="305"/>
      <c r="CA584" s="305"/>
      <c r="CB584" s="305"/>
      <c r="CC584" s="305"/>
      <c r="CD584" s="305"/>
      <c r="CE584" s="305"/>
      <c r="CF584" s="305"/>
      <c r="CG584" s="305"/>
      <c r="CH584" s="305"/>
      <c r="CI584" s="305"/>
      <c r="CJ584" s="305"/>
      <c r="CK584" s="305"/>
      <c r="CL584" s="305"/>
      <c r="CM584" s="305"/>
      <c r="CN584" s="305"/>
      <c r="CO584" s="305"/>
      <c r="CP584" s="305"/>
    </row>
    <row r="585" spans="14:94">
      <c r="N585" s="91"/>
      <c r="P585" s="92"/>
      <c r="Z585" s="305"/>
      <c r="AA585" s="305"/>
      <c r="AB585" s="305"/>
      <c r="AC585" s="305"/>
      <c r="AD585" s="305"/>
      <c r="AE585" s="305"/>
      <c r="AF585" s="305"/>
      <c r="AG585" s="305"/>
      <c r="AH585" s="305"/>
      <c r="AI585" s="305"/>
      <c r="AJ585" s="305"/>
      <c r="AK585" s="305"/>
      <c r="AL585" s="305"/>
      <c r="AM585" s="305"/>
      <c r="AN585" s="305"/>
      <c r="AO585" s="305"/>
      <c r="AP585" s="305"/>
      <c r="AQ585" s="305"/>
      <c r="AR585" s="305"/>
      <c r="AS585" s="305"/>
      <c r="AT585" s="305"/>
      <c r="AU585" s="305"/>
      <c r="AV585" s="305"/>
      <c r="AW585" s="305"/>
      <c r="AX585" s="305"/>
      <c r="AY585" s="305"/>
      <c r="AZ585" s="305"/>
      <c r="BA585" s="305"/>
      <c r="BB585" s="305"/>
      <c r="BC585" s="305"/>
      <c r="BJ585" s="305"/>
      <c r="BK585" s="305"/>
      <c r="BL585" s="305"/>
      <c r="BM585" s="305"/>
      <c r="BN585" s="305"/>
      <c r="BO585" s="305"/>
      <c r="BP585" s="305"/>
      <c r="BQ585" s="305"/>
      <c r="BR585" s="305"/>
      <c r="BS585" s="305"/>
      <c r="BT585" s="305"/>
      <c r="BU585" s="305"/>
      <c r="BV585" s="305"/>
      <c r="BW585" s="305"/>
      <c r="BX585" s="305"/>
      <c r="BY585" s="305"/>
      <c r="BZ585" s="305"/>
      <c r="CA585" s="305"/>
      <c r="CB585" s="305"/>
      <c r="CC585" s="305"/>
      <c r="CD585" s="305"/>
      <c r="CE585" s="305"/>
      <c r="CF585" s="305"/>
      <c r="CG585" s="305"/>
      <c r="CH585" s="305"/>
      <c r="CI585" s="305"/>
      <c r="CJ585" s="305"/>
      <c r="CK585" s="305"/>
      <c r="CL585" s="305"/>
      <c r="CM585" s="305"/>
      <c r="CN585" s="305"/>
      <c r="CO585" s="305"/>
      <c r="CP585" s="305"/>
    </row>
    <row r="586" spans="14:94">
      <c r="N586" s="91"/>
      <c r="P586" s="92"/>
      <c r="Z586" s="305"/>
      <c r="AA586" s="305"/>
      <c r="AB586" s="305"/>
      <c r="AC586" s="305"/>
      <c r="AD586" s="305"/>
      <c r="AE586" s="305"/>
      <c r="AF586" s="305"/>
      <c r="AG586" s="305"/>
      <c r="AH586" s="305"/>
      <c r="AI586" s="305"/>
      <c r="AJ586" s="305"/>
      <c r="AK586" s="305"/>
      <c r="AL586" s="305"/>
      <c r="AM586" s="305"/>
      <c r="AN586" s="305"/>
      <c r="AO586" s="305"/>
      <c r="AP586" s="305"/>
      <c r="AQ586" s="305"/>
      <c r="AR586" s="305"/>
      <c r="AS586" s="305"/>
      <c r="AT586" s="305"/>
      <c r="AU586" s="305"/>
      <c r="AV586" s="305"/>
      <c r="AW586" s="305"/>
      <c r="AX586" s="305"/>
      <c r="AY586" s="305"/>
      <c r="AZ586" s="305"/>
      <c r="BA586" s="305"/>
      <c r="BB586" s="305"/>
      <c r="BC586" s="305"/>
      <c r="BJ586" s="305"/>
      <c r="BK586" s="305"/>
      <c r="BL586" s="305"/>
      <c r="BM586" s="305"/>
      <c r="BN586" s="305"/>
      <c r="BO586" s="305"/>
      <c r="BP586" s="305"/>
      <c r="BQ586" s="305"/>
      <c r="BR586" s="305"/>
      <c r="BS586" s="305"/>
      <c r="BT586" s="305"/>
      <c r="BU586" s="305"/>
      <c r="BV586" s="305"/>
      <c r="BW586" s="305"/>
      <c r="BX586" s="305"/>
      <c r="BY586" s="305"/>
      <c r="BZ586" s="305"/>
      <c r="CA586" s="305"/>
      <c r="CB586" s="305"/>
      <c r="CC586" s="305"/>
      <c r="CD586" s="305"/>
      <c r="CE586" s="305"/>
      <c r="CF586" s="305"/>
      <c r="CG586" s="305"/>
      <c r="CH586" s="305"/>
      <c r="CI586" s="305"/>
      <c r="CJ586" s="305"/>
      <c r="CK586" s="305"/>
      <c r="CL586" s="305"/>
      <c r="CM586" s="305"/>
      <c r="CN586" s="305"/>
      <c r="CO586" s="305"/>
      <c r="CP586" s="305"/>
    </row>
    <row r="587" spans="14:94">
      <c r="N587" s="91"/>
      <c r="P587" s="92"/>
      <c r="Z587" s="305"/>
      <c r="AA587" s="305"/>
      <c r="AB587" s="305"/>
      <c r="AC587" s="305"/>
      <c r="AD587" s="305"/>
      <c r="AE587" s="305"/>
      <c r="AF587" s="305"/>
      <c r="AG587" s="305"/>
      <c r="AH587" s="305"/>
      <c r="AI587" s="305"/>
      <c r="AJ587" s="305"/>
      <c r="AK587" s="305"/>
      <c r="AL587" s="305"/>
      <c r="AM587" s="305"/>
      <c r="AN587" s="305"/>
      <c r="AO587" s="305"/>
      <c r="AP587" s="305"/>
      <c r="AQ587" s="305"/>
      <c r="AR587" s="305"/>
      <c r="AS587" s="305"/>
      <c r="AT587" s="305"/>
      <c r="AU587" s="305"/>
      <c r="AV587" s="305"/>
      <c r="AW587" s="305"/>
      <c r="AX587" s="305"/>
      <c r="AY587" s="305"/>
      <c r="AZ587" s="305"/>
      <c r="BA587" s="305"/>
      <c r="BB587" s="305"/>
      <c r="BC587" s="305"/>
      <c r="BJ587" s="305"/>
      <c r="BK587" s="305"/>
      <c r="BL587" s="305"/>
      <c r="BM587" s="305"/>
      <c r="BN587" s="305"/>
      <c r="BO587" s="305"/>
      <c r="BP587" s="305"/>
      <c r="BQ587" s="305"/>
      <c r="BR587" s="305"/>
      <c r="BS587" s="305"/>
      <c r="BT587" s="305"/>
      <c r="BU587" s="305"/>
      <c r="BV587" s="305"/>
      <c r="BW587" s="305"/>
      <c r="BX587" s="305"/>
      <c r="BY587" s="305"/>
      <c r="BZ587" s="305"/>
      <c r="CA587" s="305"/>
      <c r="CB587" s="305"/>
      <c r="CC587" s="305"/>
      <c r="CD587" s="305"/>
      <c r="CE587" s="305"/>
      <c r="CF587" s="305"/>
      <c r="CG587" s="305"/>
      <c r="CH587" s="305"/>
      <c r="CI587" s="305"/>
      <c r="CJ587" s="305"/>
      <c r="CK587" s="305"/>
      <c r="CL587" s="305"/>
      <c r="CM587" s="305"/>
      <c r="CN587" s="305"/>
      <c r="CO587" s="305"/>
      <c r="CP587" s="305"/>
    </row>
    <row r="588" spans="14:94">
      <c r="N588" s="91"/>
      <c r="P588" s="92"/>
      <c r="Z588" s="305"/>
      <c r="AA588" s="305"/>
      <c r="AB588" s="305"/>
      <c r="AC588" s="305"/>
      <c r="AD588" s="305"/>
      <c r="AE588" s="305"/>
      <c r="AF588" s="305"/>
      <c r="AG588" s="305"/>
      <c r="AH588" s="305"/>
      <c r="AI588" s="305"/>
      <c r="AJ588" s="305"/>
      <c r="AK588" s="305"/>
      <c r="AL588" s="305"/>
      <c r="AM588" s="305"/>
      <c r="AN588" s="305"/>
      <c r="AO588" s="305"/>
      <c r="AP588" s="305"/>
      <c r="AQ588" s="305"/>
      <c r="AR588" s="305"/>
      <c r="AS588" s="305"/>
      <c r="AT588" s="305"/>
      <c r="AU588" s="305"/>
      <c r="AV588" s="305"/>
      <c r="AW588" s="305"/>
      <c r="AX588" s="305"/>
      <c r="AY588" s="305"/>
      <c r="AZ588" s="305"/>
      <c r="BA588" s="305"/>
      <c r="BB588" s="305"/>
      <c r="BC588" s="305"/>
      <c r="BJ588" s="305"/>
      <c r="BK588" s="305"/>
      <c r="BL588" s="305"/>
      <c r="BM588" s="305"/>
      <c r="BN588" s="305"/>
      <c r="BO588" s="305"/>
      <c r="BP588" s="305"/>
      <c r="BQ588" s="305"/>
      <c r="BR588" s="305"/>
      <c r="BS588" s="305"/>
      <c r="BT588" s="305"/>
      <c r="BU588" s="305"/>
      <c r="BV588" s="305"/>
      <c r="BW588" s="305"/>
      <c r="BX588" s="305"/>
      <c r="BY588" s="305"/>
      <c r="BZ588" s="305"/>
      <c r="CA588" s="305"/>
      <c r="CB588" s="305"/>
      <c r="CC588" s="305"/>
      <c r="CD588" s="305"/>
      <c r="CE588" s="305"/>
      <c r="CF588" s="305"/>
      <c r="CG588" s="305"/>
      <c r="CH588" s="305"/>
      <c r="CI588" s="305"/>
      <c r="CJ588" s="305"/>
      <c r="CK588" s="305"/>
      <c r="CL588" s="305"/>
      <c r="CM588" s="305"/>
      <c r="CN588" s="305"/>
      <c r="CO588" s="305"/>
      <c r="CP588" s="305"/>
    </row>
    <row r="589" spans="14:94">
      <c r="N589" s="91"/>
      <c r="P589" s="92"/>
      <c r="Z589" s="305"/>
      <c r="AA589" s="305"/>
      <c r="AB589" s="305"/>
      <c r="AC589" s="305"/>
      <c r="AD589" s="305"/>
      <c r="AE589" s="305"/>
      <c r="AF589" s="305"/>
      <c r="AG589" s="305"/>
      <c r="AH589" s="305"/>
      <c r="AI589" s="305"/>
      <c r="AJ589" s="305"/>
      <c r="AK589" s="305"/>
      <c r="AL589" s="305"/>
      <c r="AM589" s="305"/>
      <c r="AN589" s="305"/>
      <c r="AO589" s="305"/>
      <c r="AP589" s="305"/>
      <c r="AQ589" s="305"/>
      <c r="AR589" s="305"/>
      <c r="AS589" s="305"/>
      <c r="AT589" s="305"/>
      <c r="AU589" s="305"/>
      <c r="AV589" s="305"/>
      <c r="AW589" s="305"/>
      <c r="AX589" s="305"/>
      <c r="AY589" s="305"/>
      <c r="AZ589" s="305"/>
      <c r="BA589" s="305"/>
      <c r="BB589" s="305"/>
      <c r="BC589" s="305"/>
      <c r="BJ589" s="305"/>
      <c r="BK589" s="305"/>
      <c r="BL589" s="305"/>
      <c r="BM589" s="305"/>
      <c r="BN589" s="305"/>
      <c r="BO589" s="305"/>
      <c r="BP589" s="305"/>
      <c r="BQ589" s="305"/>
      <c r="BR589" s="305"/>
      <c r="BS589" s="305"/>
      <c r="BT589" s="305"/>
      <c r="BU589" s="305"/>
      <c r="BV589" s="305"/>
      <c r="BW589" s="305"/>
      <c r="BX589" s="305"/>
      <c r="BY589" s="305"/>
      <c r="BZ589" s="305"/>
      <c r="CA589" s="305"/>
      <c r="CB589" s="305"/>
      <c r="CC589" s="305"/>
      <c r="CD589" s="305"/>
      <c r="CE589" s="305"/>
      <c r="CF589" s="305"/>
      <c r="CG589" s="305"/>
      <c r="CH589" s="305"/>
      <c r="CI589" s="305"/>
      <c r="CJ589" s="305"/>
      <c r="CK589" s="305"/>
      <c r="CL589" s="305"/>
      <c r="CM589" s="305"/>
      <c r="CN589" s="305"/>
      <c r="CO589" s="305"/>
      <c r="CP589" s="305"/>
    </row>
    <row r="590" spans="14:94">
      <c r="N590" s="91"/>
      <c r="P590" s="92"/>
      <c r="Z590" s="305"/>
      <c r="AA590" s="305"/>
      <c r="AB590" s="305"/>
      <c r="AC590" s="305"/>
      <c r="AD590" s="305"/>
      <c r="AE590" s="305"/>
      <c r="AF590" s="305"/>
      <c r="AG590" s="305"/>
      <c r="AH590" s="305"/>
      <c r="AI590" s="305"/>
      <c r="AJ590" s="305"/>
      <c r="AK590" s="305"/>
      <c r="AL590" s="305"/>
      <c r="AM590" s="305"/>
      <c r="AN590" s="305"/>
      <c r="AO590" s="305"/>
      <c r="AP590" s="305"/>
      <c r="AQ590" s="305"/>
      <c r="AR590" s="305"/>
      <c r="AS590" s="305"/>
      <c r="AT590" s="305"/>
      <c r="AU590" s="305"/>
      <c r="AV590" s="305"/>
      <c r="AW590" s="305"/>
      <c r="AX590" s="305"/>
      <c r="AY590" s="305"/>
      <c r="AZ590" s="305"/>
      <c r="BA590" s="305"/>
      <c r="BB590" s="305"/>
      <c r="BC590" s="305"/>
      <c r="BJ590" s="305"/>
      <c r="BK590" s="305"/>
      <c r="BL590" s="305"/>
      <c r="BM590" s="305"/>
      <c r="BN590" s="305"/>
      <c r="BO590" s="305"/>
      <c r="BP590" s="305"/>
      <c r="BQ590" s="305"/>
      <c r="BR590" s="305"/>
      <c r="BS590" s="305"/>
      <c r="BT590" s="305"/>
      <c r="BU590" s="305"/>
      <c r="BV590" s="305"/>
      <c r="BW590" s="305"/>
      <c r="BX590" s="305"/>
      <c r="BY590" s="305"/>
      <c r="BZ590" s="305"/>
      <c r="CA590" s="305"/>
      <c r="CB590" s="305"/>
      <c r="CC590" s="305"/>
      <c r="CD590" s="305"/>
      <c r="CE590" s="305"/>
      <c r="CF590" s="305"/>
      <c r="CG590" s="305"/>
      <c r="CH590" s="305"/>
      <c r="CI590" s="305"/>
      <c r="CJ590" s="305"/>
      <c r="CK590" s="305"/>
      <c r="CL590" s="305"/>
      <c r="CM590" s="305"/>
      <c r="CN590" s="305"/>
      <c r="CO590" s="305"/>
      <c r="CP590" s="305"/>
    </row>
    <row r="591" spans="14:94">
      <c r="N591" s="91"/>
      <c r="P591" s="92"/>
      <c r="Z591" s="305"/>
      <c r="AA591" s="305"/>
      <c r="AB591" s="305"/>
      <c r="AC591" s="305"/>
      <c r="AD591" s="305"/>
      <c r="AE591" s="305"/>
      <c r="AF591" s="305"/>
      <c r="AG591" s="305"/>
      <c r="AH591" s="305"/>
      <c r="AI591" s="305"/>
      <c r="AJ591" s="305"/>
      <c r="AK591" s="305"/>
      <c r="AL591" s="305"/>
      <c r="AM591" s="305"/>
      <c r="AN591" s="305"/>
      <c r="AO591" s="305"/>
      <c r="AP591" s="305"/>
      <c r="AQ591" s="305"/>
      <c r="AR591" s="305"/>
      <c r="AS591" s="305"/>
      <c r="AT591" s="305"/>
      <c r="AU591" s="305"/>
      <c r="AV591" s="305"/>
      <c r="AW591" s="305"/>
      <c r="AX591" s="305"/>
      <c r="AY591" s="305"/>
      <c r="AZ591" s="305"/>
      <c r="BA591" s="305"/>
      <c r="BB591" s="305"/>
      <c r="BC591" s="305"/>
      <c r="BJ591" s="305"/>
      <c r="BK591" s="305"/>
      <c r="BL591" s="305"/>
      <c r="BM591" s="305"/>
      <c r="BN591" s="305"/>
      <c r="BO591" s="305"/>
      <c r="BP591" s="305"/>
      <c r="BQ591" s="305"/>
      <c r="BR591" s="305"/>
      <c r="BS591" s="305"/>
      <c r="BT591" s="305"/>
      <c r="BU591" s="305"/>
      <c r="BV591" s="305"/>
      <c r="BW591" s="305"/>
      <c r="BX591" s="305"/>
      <c r="BY591" s="305"/>
      <c r="BZ591" s="305"/>
      <c r="CA591" s="305"/>
      <c r="CB591" s="305"/>
      <c r="CC591" s="305"/>
      <c r="CD591" s="305"/>
      <c r="CE591" s="305"/>
      <c r="CF591" s="305"/>
      <c r="CG591" s="305"/>
      <c r="CH591" s="305"/>
      <c r="CI591" s="305"/>
      <c r="CJ591" s="305"/>
      <c r="CK591" s="305"/>
      <c r="CL591" s="305"/>
      <c r="CM591" s="305"/>
      <c r="CN591" s="305"/>
      <c r="CO591" s="305"/>
      <c r="CP591" s="305"/>
    </row>
    <row r="592" spans="14:94">
      <c r="N592" s="91"/>
      <c r="P592" s="92"/>
      <c r="Z592" s="305"/>
      <c r="AA592" s="305"/>
      <c r="AB592" s="305"/>
      <c r="AC592" s="305"/>
      <c r="AD592" s="305"/>
      <c r="AE592" s="305"/>
      <c r="AF592" s="305"/>
      <c r="AG592" s="305"/>
      <c r="AH592" s="305"/>
      <c r="AI592" s="305"/>
      <c r="AJ592" s="305"/>
      <c r="AK592" s="305"/>
      <c r="AL592" s="305"/>
      <c r="AM592" s="305"/>
      <c r="AN592" s="305"/>
      <c r="AO592" s="305"/>
      <c r="AP592" s="305"/>
      <c r="AQ592" s="305"/>
      <c r="AR592" s="305"/>
      <c r="AS592" s="305"/>
      <c r="AT592" s="305"/>
      <c r="AU592" s="305"/>
      <c r="AV592" s="305"/>
      <c r="AW592" s="305"/>
      <c r="AX592" s="305"/>
      <c r="AY592" s="305"/>
      <c r="AZ592" s="305"/>
      <c r="BA592" s="305"/>
      <c r="BB592" s="305"/>
      <c r="BC592" s="305"/>
      <c r="BJ592" s="305"/>
      <c r="BK592" s="305"/>
      <c r="BL592" s="305"/>
      <c r="BM592" s="305"/>
      <c r="BN592" s="305"/>
      <c r="BO592" s="305"/>
      <c r="BP592" s="305"/>
      <c r="BQ592" s="305"/>
      <c r="BR592" s="305"/>
      <c r="BS592" s="305"/>
      <c r="BT592" s="305"/>
      <c r="BU592" s="305"/>
      <c r="BV592" s="305"/>
      <c r="BW592" s="305"/>
      <c r="BX592" s="305"/>
      <c r="BY592" s="305"/>
      <c r="BZ592" s="305"/>
      <c r="CA592" s="305"/>
      <c r="CB592" s="305"/>
      <c r="CC592" s="305"/>
      <c r="CD592" s="305"/>
      <c r="CE592" s="305"/>
      <c r="CF592" s="305"/>
      <c r="CG592" s="305"/>
      <c r="CH592" s="305"/>
      <c r="CI592" s="305"/>
      <c r="CJ592" s="305"/>
      <c r="CK592" s="305"/>
      <c r="CL592" s="305"/>
      <c r="CM592" s="305"/>
      <c r="CN592" s="305"/>
      <c r="CO592" s="305"/>
      <c r="CP592" s="305"/>
    </row>
    <row r="593" spans="14:94">
      <c r="N593" s="91"/>
      <c r="P593" s="92"/>
      <c r="Z593" s="305"/>
      <c r="AA593" s="305"/>
      <c r="AB593" s="305"/>
      <c r="AC593" s="305"/>
      <c r="AD593" s="305"/>
      <c r="AE593" s="305"/>
      <c r="AF593" s="305"/>
      <c r="AG593" s="305"/>
      <c r="AH593" s="305"/>
      <c r="AI593" s="305"/>
      <c r="AJ593" s="305"/>
      <c r="AK593" s="305"/>
      <c r="AL593" s="305"/>
      <c r="AM593" s="305"/>
      <c r="AN593" s="305"/>
      <c r="AO593" s="305"/>
      <c r="AP593" s="305"/>
      <c r="AQ593" s="305"/>
      <c r="AR593" s="305"/>
      <c r="AS593" s="305"/>
      <c r="AT593" s="305"/>
      <c r="AU593" s="305"/>
      <c r="AV593" s="305"/>
      <c r="AW593" s="305"/>
      <c r="AX593" s="305"/>
      <c r="AY593" s="305"/>
      <c r="AZ593" s="305"/>
      <c r="BA593" s="305"/>
      <c r="BB593" s="305"/>
      <c r="BC593" s="305"/>
      <c r="BJ593" s="305"/>
      <c r="BK593" s="305"/>
      <c r="BL593" s="305"/>
      <c r="BM593" s="305"/>
      <c r="BN593" s="305"/>
      <c r="BO593" s="305"/>
      <c r="BP593" s="305"/>
      <c r="BQ593" s="305"/>
      <c r="BR593" s="305"/>
      <c r="BS593" s="305"/>
      <c r="BT593" s="305"/>
      <c r="BU593" s="305"/>
      <c r="BV593" s="305"/>
      <c r="BW593" s="305"/>
      <c r="BX593" s="305"/>
      <c r="BY593" s="305"/>
      <c r="BZ593" s="305"/>
      <c r="CA593" s="305"/>
      <c r="CB593" s="305"/>
      <c r="CC593" s="305"/>
      <c r="CD593" s="305"/>
      <c r="CE593" s="305"/>
      <c r="CF593" s="305"/>
      <c r="CG593" s="305"/>
      <c r="CH593" s="305"/>
      <c r="CI593" s="305"/>
      <c r="CJ593" s="305"/>
      <c r="CK593" s="305"/>
      <c r="CL593" s="305"/>
      <c r="CM593" s="305"/>
      <c r="CN593" s="305"/>
      <c r="CO593" s="305"/>
      <c r="CP593" s="305"/>
    </row>
    <row r="594" spans="14:94">
      <c r="N594" s="91"/>
      <c r="P594" s="92"/>
      <c r="Z594" s="305"/>
      <c r="AA594" s="305"/>
      <c r="AB594" s="305"/>
      <c r="AC594" s="305"/>
      <c r="AD594" s="305"/>
      <c r="AE594" s="305"/>
      <c r="AF594" s="305"/>
      <c r="AG594" s="305"/>
      <c r="AH594" s="305"/>
      <c r="AI594" s="305"/>
      <c r="AJ594" s="305"/>
      <c r="AK594" s="305"/>
      <c r="AL594" s="305"/>
      <c r="AM594" s="305"/>
      <c r="AN594" s="305"/>
      <c r="AO594" s="305"/>
      <c r="AP594" s="305"/>
      <c r="AQ594" s="305"/>
      <c r="AR594" s="305"/>
      <c r="AS594" s="305"/>
      <c r="AT594" s="305"/>
      <c r="AU594" s="305"/>
      <c r="AV594" s="305"/>
      <c r="AW594" s="305"/>
      <c r="AX594" s="305"/>
      <c r="AY594" s="305"/>
      <c r="AZ594" s="305"/>
      <c r="BA594" s="305"/>
      <c r="BB594" s="305"/>
      <c r="BC594" s="305"/>
      <c r="BJ594" s="305"/>
      <c r="BK594" s="305"/>
      <c r="BL594" s="305"/>
      <c r="BM594" s="305"/>
      <c r="BN594" s="305"/>
      <c r="BO594" s="305"/>
      <c r="BP594" s="305"/>
      <c r="BQ594" s="305"/>
      <c r="BR594" s="305"/>
      <c r="BS594" s="305"/>
      <c r="BT594" s="305"/>
      <c r="BU594" s="305"/>
      <c r="BV594" s="305"/>
      <c r="BW594" s="305"/>
      <c r="BX594" s="305"/>
      <c r="BY594" s="305"/>
      <c r="BZ594" s="305"/>
      <c r="CA594" s="305"/>
      <c r="CB594" s="305"/>
      <c r="CC594" s="305"/>
      <c r="CD594" s="305"/>
      <c r="CE594" s="305"/>
      <c r="CF594" s="305"/>
      <c r="CG594" s="305"/>
      <c r="CH594" s="305"/>
      <c r="CI594" s="305"/>
      <c r="CJ594" s="305"/>
      <c r="CK594" s="305"/>
      <c r="CL594" s="305"/>
      <c r="CM594" s="305"/>
      <c r="CN594" s="305"/>
      <c r="CO594" s="305"/>
      <c r="CP594" s="305"/>
    </row>
    <row r="595" spans="14:94">
      <c r="N595" s="91"/>
      <c r="P595" s="92"/>
      <c r="Z595" s="305"/>
      <c r="AA595" s="305"/>
      <c r="AB595" s="305"/>
      <c r="AC595" s="305"/>
      <c r="AD595" s="305"/>
      <c r="AE595" s="305"/>
      <c r="AF595" s="305"/>
      <c r="AG595" s="305"/>
      <c r="AH595" s="305"/>
      <c r="AI595" s="305"/>
      <c r="AJ595" s="305"/>
      <c r="AK595" s="305"/>
      <c r="AL595" s="305"/>
      <c r="AM595" s="305"/>
      <c r="AN595" s="305"/>
      <c r="AO595" s="305"/>
      <c r="AP595" s="305"/>
      <c r="AQ595" s="305"/>
      <c r="AR595" s="305"/>
      <c r="AS595" s="305"/>
      <c r="AT595" s="305"/>
      <c r="AU595" s="305"/>
      <c r="AV595" s="305"/>
      <c r="AW595" s="305"/>
      <c r="AX595" s="305"/>
      <c r="AY595" s="305"/>
      <c r="AZ595" s="305"/>
      <c r="BA595" s="305"/>
      <c r="BB595" s="305"/>
      <c r="BC595" s="305"/>
      <c r="BJ595" s="305"/>
      <c r="BK595" s="305"/>
      <c r="BL595" s="305"/>
      <c r="BM595" s="305"/>
      <c r="BN595" s="305"/>
      <c r="BO595" s="305"/>
      <c r="BP595" s="305"/>
      <c r="BQ595" s="305"/>
      <c r="BR595" s="305"/>
      <c r="BS595" s="305"/>
      <c r="BT595" s="305"/>
      <c r="BU595" s="305"/>
      <c r="BV595" s="305"/>
      <c r="BW595" s="305"/>
      <c r="BX595" s="305"/>
      <c r="BY595" s="305"/>
      <c r="BZ595" s="305"/>
      <c r="CA595" s="305"/>
      <c r="CB595" s="305"/>
      <c r="CC595" s="305"/>
      <c r="CD595" s="305"/>
      <c r="CE595" s="305"/>
      <c r="CF595" s="305"/>
      <c r="CG595" s="305"/>
      <c r="CH595" s="305"/>
      <c r="CI595" s="305"/>
      <c r="CJ595" s="305"/>
      <c r="CK595" s="305"/>
      <c r="CL595" s="305"/>
      <c r="CM595" s="305"/>
      <c r="CN595" s="305"/>
      <c r="CO595" s="305"/>
      <c r="CP595" s="305"/>
    </row>
    <row r="596" spans="14:94">
      <c r="N596" s="91"/>
      <c r="P596" s="92"/>
      <c r="Z596" s="305"/>
      <c r="AA596" s="305"/>
      <c r="AB596" s="305"/>
      <c r="AC596" s="305"/>
      <c r="AD596" s="305"/>
      <c r="AE596" s="305"/>
      <c r="AF596" s="305"/>
      <c r="AG596" s="305"/>
      <c r="AH596" s="305"/>
      <c r="AI596" s="305"/>
      <c r="AJ596" s="305"/>
      <c r="AK596" s="305"/>
      <c r="AL596" s="305"/>
      <c r="AM596" s="305"/>
      <c r="AN596" s="305"/>
      <c r="AO596" s="305"/>
      <c r="AP596" s="305"/>
      <c r="AQ596" s="305"/>
      <c r="AR596" s="305"/>
      <c r="AS596" s="305"/>
      <c r="AT596" s="305"/>
      <c r="AU596" s="305"/>
      <c r="AV596" s="305"/>
      <c r="AW596" s="305"/>
      <c r="AX596" s="305"/>
      <c r="AY596" s="305"/>
      <c r="AZ596" s="305"/>
      <c r="BA596" s="305"/>
      <c r="BB596" s="305"/>
      <c r="BC596" s="305"/>
      <c r="BJ596" s="305"/>
      <c r="BK596" s="305"/>
      <c r="BL596" s="305"/>
      <c r="BM596" s="305"/>
      <c r="BN596" s="305"/>
      <c r="BO596" s="305"/>
      <c r="BP596" s="305"/>
      <c r="BQ596" s="305"/>
      <c r="BR596" s="305"/>
      <c r="BS596" s="305"/>
      <c r="BT596" s="305"/>
      <c r="BU596" s="305"/>
      <c r="BV596" s="305"/>
      <c r="BW596" s="305"/>
      <c r="BX596" s="305"/>
      <c r="BY596" s="305"/>
      <c r="BZ596" s="305"/>
      <c r="CA596" s="305"/>
      <c r="CB596" s="305"/>
      <c r="CC596" s="305"/>
      <c r="CD596" s="305"/>
      <c r="CE596" s="305"/>
      <c r="CF596" s="305"/>
      <c r="CG596" s="305"/>
      <c r="CH596" s="305"/>
      <c r="CI596" s="305"/>
      <c r="CJ596" s="305"/>
      <c r="CK596" s="305"/>
      <c r="CL596" s="305"/>
      <c r="CM596" s="305"/>
      <c r="CN596" s="305"/>
      <c r="CO596" s="305"/>
      <c r="CP596" s="305"/>
    </row>
    <row r="597" spans="14:94">
      <c r="N597" s="91"/>
      <c r="P597" s="92"/>
      <c r="Z597" s="305"/>
      <c r="AA597" s="305"/>
      <c r="AB597" s="305"/>
      <c r="AC597" s="305"/>
      <c r="AD597" s="305"/>
      <c r="AE597" s="305"/>
      <c r="AF597" s="305"/>
      <c r="AG597" s="305"/>
      <c r="AH597" s="305"/>
      <c r="AI597" s="305"/>
      <c r="AJ597" s="305"/>
      <c r="AK597" s="305"/>
      <c r="AL597" s="305"/>
      <c r="AM597" s="305"/>
      <c r="AN597" s="305"/>
      <c r="AO597" s="305"/>
      <c r="AP597" s="305"/>
      <c r="AQ597" s="305"/>
      <c r="AR597" s="305"/>
      <c r="AS597" s="305"/>
      <c r="AT597" s="305"/>
      <c r="AU597" s="305"/>
      <c r="AV597" s="305"/>
      <c r="AW597" s="305"/>
      <c r="AX597" s="305"/>
      <c r="AY597" s="305"/>
      <c r="AZ597" s="305"/>
      <c r="BA597" s="305"/>
      <c r="BB597" s="305"/>
      <c r="BC597" s="305"/>
      <c r="BJ597" s="305"/>
      <c r="BK597" s="305"/>
      <c r="BL597" s="305"/>
      <c r="BM597" s="305"/>
      <c r="BN597" s="305"/>
      <c r="BO597" s="305"/>
      <c r="BP597" s="305"/>
      <c r="BQ597" s="305"/>
      <c r="BR597" s="305"/>
      <c r="BS597" s="305"/>
      <c r="BT597" s="305"/>
      <c r="BU597" s="305"/>
      <c r="BV597" s="305"/>
      <c r="BW597" s="305"/>
      <c r="BX597" s="305"/>
      <c r="BY597" s="305"/>
      <c r="BZ597" s="305"/>
      <c r="CA597" s="305"/>
      <c r="CB597" s="305"/>
      <c r="CC597" s="305"/>
      <c r="CD597" s="305"/>
      <c r="CE597" s="305"/>
      <c r="CF597" s="305"/>
      <c r="CG597" s="305"/>
      <c r="CH597" s="305"/>
      <c r="CI597" s="305"/>
      <c r="CJ597" s="305"/>
      <c r="CK597" s="305"/>
      <c r="CL597" s="305"/>
      <c r="CM597" s="305"/>
      <c r="CN597" s="305"/>
      <c r="CO597" s="305"/>
      <c r="CP597" s="305"/>
    </row>
    <row r="598" spans="14:94">
      <c r="N598" s="91"/>
      <c r="P598" s="92"/>
      <c r="Z598" s="305"/>
      <c r="AA598" s="305"/>
      <c r="AB598" s="305"/>
      <c r="AC598" s="305"/>
      <c r="AD598" s="305"/>
      <c r="AE598" s="305"/>
      <c r="AF598" s="305"/>
      <c r="AG598" s="305"/>
      <c r="AH598" s="305"/>
      <c r="AI598" s="305"/>
      <c r="AJ598" s="305"/>
      <c r="AK598" s="305"/>
      <c r="AL598" s="305"/>
      <c r="AM598" s="305"/>
      <c r="AN598" s="305"/>
      <c r="AO598" s="305"/>
      <c r="AP598" s="305"/>
      <c r="AQ598" s="305"/>
      <c r="AR598" s="305"/>
      <c r="AS598" s="305"/>
      <c r="AT598" s="305"/>
      <c r="AU598" s="305"/>
      <c r="AV598" s="305"/>
      <c r="AW598" s="305"/>
      <c r="AX598" s="305"/>
      <c r="AY598" s="305"/>
      <c r="AZ598" s="305"/>
      <c r="BA598" s="305"/>
      <c r="BB598" s="305"/>
      <c r="BC598" s="305"/>
      <c r="BJ598" s="305"/>
      <c r="BK598" s="305"/>
      <c r="BL598" s="305"/>
      <c r="BM598" s="305"/>
      <c r="BN598" s="305"/>
      <c r="BO598" s="305"/>
      <c r="BP598" s="305"/>
      <c r="BQ598" s="305"/>
      <c r="BR598" s="305"/>
      <c r="BS598" s="305"/>
      <c r="BT598" s="305"/>
      <c r="BU598" s="305"/>
      <c r="BV598" s="305"/>
      <c r="BW598" s="305"/>
      <c r="BX598" s="305"/>
      <c r="BY598" s="305"/>
      <c r="BZ598" s="305"/>
      <c r="CA598" s="305"/>
      <c r="CB598" s="305"/>
      <c r="CC598" s="305"/>
      <c r="CD598" s="305"/>
      <c r="CE598" s="305"/>
      <c r="CF598" s="305"/>
      <c r="CG598" s="305"/>
      <c r="CH598" s="305"/>
      <c r="CI598" s="305"/>
      <c r="CJ598" s="305"/>
      <c r="CK598" s="305"/>
      <c r="CL598" s="305"/>
      <c r="CM598" s="305"/>
      <c r="CN598" s="305"/>
      <c r="CO598" s="305"/>
      <c r="CP598" s="305"/>
    </row>
    <row r="599" spans="14:94">
      <c r="N599" s="91"/>
      <c r="P599" s="92"/>
      <c r="Z599" s="305"/>
      <c r="AA599" s="305"/>
      <c r="AB599" s="305"/>
      <c r="AC599" s="305"/>
      <c r="AD599" s="305"/>
      <c r="AE599" s="305"/>
      <c r="AF599" s="305"/>
      <c r="AG599" s="305"/>
      <c r="AH599" s="305"/>
      <c r="AI599" s="305"/>
      <c r="AJ599" s="305"/>
      <c r="AK599" s="305"/>
      <c r="AL599" s="305"/>
      <c r="AM599" s="305"/>
      <c r="AN599" s="305"/>
      <c r="AO599" s="305"/>
      <c r="AP599" s="305"/>
      <c r="AQ599" s="305"/>
      <c r="AR599" s="305"/>
      <c r="AS599" s="305"/>
      <c r="AT599" s="305"/>
      <c r="AU599" s="305"/>
      <c r="AV599" s="305"/>
      <c r="AW599" s="305"/>
      <c r="AX599" s="305"/>
      <c r="AY599" s="305"/>
      <c r="AZ599" s="305"/>
      <c r="BA599" s="305"/>
      <c r="BB599" s="305"/>
      <c r="BC599" s="305"/>
      <c r="BJ599" s="305"/>
      <c r="BK599" s="305"/>
      <c r="BL599" s="305"/>
      <c r="BM599" s="305"/>
      <c r="BN599" s="305"/>
      <c r="BO599" s="305"/>
      <c r="BP599" s="305"/>
      <c r="BQ599" s="305"/>
      <c r="BR599" s="305"/>
      <c r="BS599" s="305"/>
      <c r="BT599" s="305"/>
      <c r="BU599" s="305"/>
      <c r="BV599" s="305"/>
      <c r="BW599" s="305"/>
      <c r="BX599" s="305"/>
      <c r="BY599" s="305"/>
      <c r="BZ599" s="305"/>
      <c r="CA599" s="305"/>
      <c r="CB599" s="305"/>
      <c r="CC599" s="305"/>
      <c r="CD599" s="305"/>
      <c r="CE599" s="305"/>
      <c r="CF599" s="305"/>
      <c r="CG599" s="305"/>
      <c r="CH599" s="305"/>
      <c r="CI599" s="305"/>
      <c r="CJ599" s="305"/>
      <c r="CK599" s="305"/>
      <c r="CL599" s="305"/>
      <c r="CM599" s="305"/>
      <c r="CN599" s="305"/>
      <c r="CO599" s="305"/>
      <c r="CP599" s="305"/>
    </row>
    <row r="600" spans="14:94">
      <c r="N600" s="91"/>
      <c r="P600" s="92"/>
      <c r="Z600" s="305"/>
      <c r="AA600" s="305"/>
      <c r="AB600" s="305"/>
      <c r="AC600" s="305"/>
      <c r="AD600" s="305"/>
      <c r="AE600" s="305"/>
      <c r="AF600" s="305"/>
      <c r="AG600" s="305"/>
      <c r="AH600" s="305"/>
      <c r="AI600" s="305"/>
      <c r="AJ600" s="305"/>
      <c r="AK600" s="305"/>
      <c r="AL600" s="305"/>
      <c r="AM600" s="305"/>
      <c r="AN600" s="305"/>
      <c r="AO600" s="305"/>
      <c r="AP600" s="305"/>
      <c r="AQ600" s="305"/>
      <c r="AR600" s="305"/>
      <c r="AS600" s="305"/>
      <c r="AT600" s="305"/>
      <c r="AU600" s="305"/>
      <c r="AV600" s="305"/>
      <c r="AW600" s="305"/>
      <c r="AX600" s="305"/>
      <c r="AY600" s="305"/>
      <c r="AZ600" s="305"/>
      <c r="BA600" s="305"/>
      <c r="BB600" s="305"/>
      <c r="BC600" s="305"/>
      <c r="BJ600" s="305"/>
      <c r="BK600" s="305"/>
      <c r="BL600" s="305"/>
      <c r="BM600" s="305"/>
      <c r="BN600" s="305"/>
      <c r="BO600" s="305"/>
      <c r="BP600" s="305"/>
      <c r="BQ600" s="305"/>
      <c r="BR600" s="305"/>
      <c r="BS600" s="305"/>
      <c r="BT600" s="305"/>
      <c r="BU600" s="305"/>
      <c r="BV600" s="305"/>
      <c r="BW600" s="305"/>
      <c r="BX600" s="305"/>
      <c r="BY600" s="305"/>
      <c r="BZ600" s="305"/>
      <c r="CA600" s="305"/>
      <c r="CB600" s="305"/>
      <c r="CC600" s="305"/>
      <c r="CD600" s="305"/>
      <c r="CE600" s="305"/>
      <c r="CF600" s="305"/>
      <c r="CG600" s="305"/>
      <c r="CH600" s="305"/>
      <c r="CI600" s="305"/>
      <c r="CJ600" s="305"/>
      <c r="CK600" s="305"/>
      <c r="CL600" s="305"/>
      <c r="CM600" s="305"/>
      <c r="CN600" s="305"/>
      <c r="CO600" s="305"/>
      <c r="CP600" s="305"/>
    </row>
    <row r="601" spans="14:94">
      <c r="N601" s="91"/>
      <c r="P601" s="92"/>
      <c r="Z601" s="305"/>
      <c r="AA601" s="305"/>
      <c r="AB601" s="305"/>
      <c r="AC601" s="305"/>
      <c r="AD601" s="305"/>
      <c r="AE601" s="305"/>
      <c r="AF601" s="305"/>
      <c r="AG601" s="305"/>
      <c r="AH601" s="305"/>
      <c r="AI601" s="305"/>
      <c r="AJ601" s="305"/>
      <c r="AK601" s="305"/>
      <c r="AL601" s="305"/>
      <c r="AM601" s="305"/>
      <c r="AN601" s="305"/>
      <c r="AO601" s="305"/>
      <c r="AP601" s="305"/>
      <c r="AQ601" s="305"/>
      <c r="AR601" s="305"/>
      <c r="AS601" s="305"/>
      <c r="AT601" s="305"/>
      <c r="AU601" s="305"/>
      <c r="AV601" s="305"/>
      <c r="AW601" s="305"/>
      <c r="AX601" s="305"/>
      <c r="AY601" s="305"/>
      <c r="AZ601" s="305"/>
      <c r="BA601" s="305"/>
      <c r="BB601" s="305"/>
      <c r="BC601" s="305"/>
      <c r="BJ601" s="305"/>
      <c r="BK601" s="305"/>
      <c r="BL601" s="305"/>
      <c r="BM601" s="305"/>
      <c r="BN601" s="305"/>
      <c r="BO601" s="305"/>
      <c r="BP601" s="305"/>
      <c r="BQ601" s="305"/>
      <c r="BR601" s="305"/>
      <c r="BS601" s="305"/>
      <c r="BT601" s="305"/>
      <c r="BU601" s="305"/>
      <c r="BV601" s="305"/>
      <c r="BW601" s="305"/>
      <c r="BX601" s="305"/>
      <c r="BY601" s="305"/>
      <c r="BZ601" s="305"/>
      <c r="CA601" s="305"/>
      <c r="CB601" s="305"/>
      <c r="CC601" s="305"/>
      <c r="CD601" s="305"/>
      <c r="CE601" s="305"/>
      <c r="CF601" s="305"/>
      <c r="CG601" s="305"/>
      <c r="CH601" s="305"/>
      <c r="CI601" s="305"/>
      <c r="CJ601" s="305"/>
      <c r="CK601" s="305"/>
      <c r="CL601" s="305"/>
      <c r="CM601" s="305"/>
      <c r="CN601" s="305"/>
      <c r="CO601" s="305"/>
      <c r="CP601" s="305"/>
    </row>
    <row r="602" spans="14:94">
      <c r="N602" s="91"/>
      <c r="P602" s="92"/>
      <c r="Z602" s="305"/>
      <c r="AA602" s="305"/>
      <c r="AB602" s="305"/>
      <c r="AC602" s="305"/>
      <c r="AD602" s="305"/>
      <c r="AE602" s="305"/>
      <c r="AF602" s="305"/>
      <c r="AG602" s="305"/>
      <c r="AH602" s="305"/>
      <c r="AI602" s="305"/>
      <c r="AJ602" s="305"/>
      <c r="AK602" s="305"/>
      <c r="AL602" s="305"/>
      <c r="AM602" s="305"/>
      <c r="AN602" s="305"/>
      <c r="AO602" s="305"/>
      <c r="AP602" s="305"/>
      <c r="AQ602" s="305"/>
      <c r="AR602" s="305"/>
      <c r="AS602" s="305"/>
      <c r="AT602" s="305"/>
      <c r="AU602" s="305"/>
      <c r="AV602" s="305"/>
      <c r="AW602" s="305"/>
      <c r="AX602" s="305"/>
      <c r="AY602" s="305"/>
      <c r="AZ602" s="305"/>
      <c r="BA602" s="305"/>
      <c r="BB602" s="305"/>
      <c r="BC602" s="305"/>
      <c r="BJ602" s="305"/>
      <c r="BK602" s="305"/>
      <c r="BL602" s="305"/>
      <c r="BM602" s="305"/>
      <c r="BN602" s="305"/>
      <c r="BO602" s="305"/>
      <c r="BP602" s="305"/>
      <c r="BQ602" s="305"/>
      <c r="BR602" s="305"/>
      <c r="BS602" s="305"/>
      <c r="BT602" s="305"/>
      <c r="BU602" s="305"/>
      <c r="BV602" s="305"/>
      <c r="BW602" s="305"/>
      <c r="BX602" s="305"/>
      <c r="BY602" s="305"/>
      <c r="BZ602" s="305"/>
      <c r="CA602" s="305"/>
      <c r="CB602" s="305"/>
      <c r="CC602" s="305"/>
      <c r="CD602" s="305"/>
      <c r="CE602" s="305"/>
      <c r="CF602" s="305"/>
      <c r="CG602" s="305"/>
      <c r="CH602" s="305"/>
      <c r="CI602" s="305"/>
      <c r="CJ602" s="305"/>
      <c r="CK602" s="305"/>
      <c r="CL602" s="305"/>
      <c r="CM602" s="305"/>
      <c r="CN602" s="305"/>
      <c r="CO602" s="305"/>
      <c r="CP602" s="305"/>
    </row>
    <row r="603" spans="14:94">
      <c r="N603" s="91"/>
      <c r="P603" s="92"/>
      <c r="Z603" s="305"/>
      <c r="AA603" s="305"/>
      <c r="AB603" s="305"/>
      <c r="AC603" s="305"/>
      <c r="AD603" s="305"/>
      <c r="AE603" s="305"/>
      <c r="AF603" s="305"/>
      <c r="AG603" s="305"/>
      <c r="AH603" s="305"/>
      <c r="AI603" s="305"/>
      <c r="AJ603" s="305"/>
      <c r="AK603" s="305"/>
      <c r="AL603" s="305"/>
      <c r="AM603" s="305"/>
      <c r="AN603" s="305"/>
      <c r="AO603" s="305"/>
      <c r="AP603" s="305"/>
      <c r="AQ603" s="305"/>
      <c r="AR603" s="305"/>
      <c r="AS603" s="305"/>
      <c r="AT603" s="305"/>
      <c r="AU603" s="305"/>
      <c r="AV603" s="305"/>
      <c r="AW603" s="305"/>
      <c r="AX603" s="305"/>
      <c r="AY603" s="305"/>
      <c r="AZ603" s="305"/>
      <c r="BA603" s="305"/>
      <c r="BB603" s="305"/>
      <c r="BC603" s="305"/>
      <c r="BJ603" s="305"/>
      <c r="BK603" s="305"/>
      <c r="BL603" s="305"/>
      <c r="BM603" s="305"/>
      <c r="BN603" s="305"/>
      <c r="BO603" s="305"/>
      <c r="BP603" s="305"/>
      <c r="BQ603" s="305"/>
      <c r="BR603" s="305"/>
      <c r="BS603" s="305"/>
      <c r="BT603" s="305"/>
      <c r="BU603" s="305"/>
      <c r="BV603" s="305"/>
      <c r="BW603" s="305"/>
      <c r="BX603" s="305"/>
      <c r="BY603" s="305"/>
      <c r="BZ603" s="305"/>
      <c r="CA603" s="305"/>
      <c r="CB603" s="305"/>
      <c r="CC603" s="305"/>
      <c r="CD603" s="305"/>
      <c r="CE603" s="305"/>
      <c r="CF603" s="305"/>
      <c r="CG603" s="305"/>
      <c r="CH603" s="305"/>
      <c r="CI603" s="305"/>
      <c r="CJ603" s="305"/>
      <c r="CK603" s="305"/>
      <c r="CL603" s="305"/>
      <c r="CM603" s="305"/>
      <c r="CN603" s="305"/>
      <c r="CO603" s="305"/>
      <c r="CP603" s="305"/>
    </row>
    <row r="604" spans="14:94">
      <c r="N604" s="91"/>
      <c r="P604" s="92"/>
      <c r="Z604" s="305"/>
      <c r="AA604" s="305"/>
      <c r="AB604" s="305"/>
      <c r="AC604" s="305"/>
      <c r="AD604" s="305"/>
      <c r="AE604" s="305"/>
      <c r="AF604" s="305"/>
      <c r="AG604" s="305"/>
      <c r="AH604" s="305"/>
      <c r="AI604" s="305"/>
      <c r="AJ604" s="305"/>
      <c r="AK604" s="305"/>
      <c r="AL604" s="305"/>
      <c r="AM604" s="305"/>
      <c r="AN604" s="305"/>
      <c r="AO604" s="305"/>
      <c r="AP604" s="305"/>
      <c r="AQ604" s="305"/>
      <c r="AR604" s="305"/>
      <c r="AS604" s="305"/>
      <c r="AT604" s="305"/>
      <c r="AU604" s="305"/>
      <c r="AV604" s="305"/>
      <c r="AW604" s="305"/>
      <c r="AX604" s="305"/>
      <c r="AY604" s="305"/>
      <c r="AZ604" s="305"/>
      <c r="BA604" s="305"/>
      <c r="BB604" s="305"/>
      <c r="BC604" s="305"/>
      <c r="BJ604" s="305"/>
      <c r="BK604" s="305"/>
      <c r="BL604" s="305"/>
      <c r="BM604" s="305"/>
      <c r="BN604" s="305"/>
      <c r="BO604" s="305"/>
      <c r="BP604" s="305"/>
      <c r="BQ604" s="305"/>
      <c r="BR604" s="305"/>
      <c r="BS604" s="305"/>
      <c r="BT604" s="305"/>
      <c r="BU604" s="305"/>
      <c r="BV604" s="305"/>
      <c r="BW604" s="305"/>
      <c r="BX604" s="305"/>
      <c r="BY604" s="305"/>
      <c r="BZ604" s="305"/>
      <c r="CA604" s="305"/>
      <c r="CB604" s="305"/>
      <c r="CC604" s="305"/>
      <c r="CD604" s="305"/>
      <c r="CE604" s="305"/>
      <c r="CF604" s="305"/>
      <c r="CG604" s="305"/>
      <c r="CH604" s="305"/>
      <c r="CI604" s="305"/>
      <c r="CJ604" s="305"/>
      <c r="CK604" s="305"/>
      <c r="CL604" s="305"/>
      <c r="CM604" s="305"/>
      <c r="CN604" s="305"/>
      <c r="CO604" s="305"/>
      <c r="CP604" s="305"/>
    </row>
    <row r="605" spans="14:94">
      <c r="N605" s="91"/>
      <c r="P605" s="92"/>
      <c r="Z605" s="305"/>
      <c r="AA605" s="305"/>
      <c r="AB605" s="305"/>
      <c r="AC605" s="305"/>
      <c r="AD605" s="305"/>
      <c r="AE605" s="305"/>
      <c r="AF605" s="305"/>
      <c r="AG605" s="305"/>
      <c r="AH605" s="305"/>
      <c r="AI605" s="305"/>
      <c r="AJ605" s="305"/>
      <c r="AK605" s="305"/>
      <c r="AL605" s="305"/>
      <c r="AM605" s="305"/>
      <c r="AN605" s="305"/>
      <c r="AO605" s="305"/>
      <c r="AP605" s="305"/>
      <c r="AQ605" s="305"/>
      <c r="AR605" s="305"/>
      <c r="AS605" s="305"/>
      <c r="AT605" s="305"/>
      <c r="AU605" s="305"/>
      <c r="AV605" s="305"/>
      <c r="AW605" s="305"/>
      <c r="AX605" s="305"/>
      <c r="AY605" s="305"/>
      <c r="AZ605" s="305"/>
      <c r="BA605" s="305"/>
      <c r="BB605" s="305"/>
      <c r="BC605" s="305"/>
      <c r="BJ605" s="305"/>
      <c r="BK605" s="305"/>
      <c r="BL605" s="305"/>
      <c r="BM605" s="305"/>
      <c r="BN605" s="305"/>
      <c r="BO605" s="305"/>
      <c r="BP605" s="305"/>
      <c r="BQ605" s="305"/>
      <c r="BR605" s="305"/>
      <c r="BS605" s="305"/>
      <c r="BT605" s="305"/>
      <c r="BU605" s="305"/>
      <c r="BV605" s="305"/>
      <c r="BW605" s="305"/>
      <c r="BX605" s="305"/>
      <c r="BY605" s="305"/>
      <c r="BZ605" s="305"/>
      <c r="CA605" s="305"/>
      <c r="CB605" s="305"/>
      <c r="CC605" s="305"/>
      <c r="CD605" s="305"/>
      <c r="CE605" s="305"/>
      <c r="CF605" s="305"/>
      <c r="CG605" s="305"/>
      <c r="CH605" s="305"/>
      <c r="CI605" s="305"/>
      <c r="CJ605" s="305"/>
      <c r="CK605" s="305"/>
      <c r="CL605" s="305"/>
      <c r="CM605" s="305"/>
      <c r="CN605" s="305"/>
      <c r="CO605" s="305"/>
      <c r="CP605" s="305"/>
    </row>
    <row r="606" spans="14:94">
      <c r="N606" s="91"/>
      <c r="P606" s="92"/>
      <c r="Z606" s="305"/>
      <c r="AA606" s="305"/>
      <c r="AB606" s="305"/>
      <c r="AC606" s="305"/>
      <c r="AD606" s="305"/>
      <c r="AE606" s="305"/>
      <c r="AF606" s="305"/>
      <c r="AG606" s="305"/>
      <c r="AH606" s="305"/>
      <c r="AI606" s="305"/>
      <c r="AJ606" s="305"/>
      <c r="AK606" s="305"/>
      <c r="AL606" s="305"/>
      <c r="AM606" s="305"/>
      <c r="AN606" s="305"/>
      <c r="AO606" s="305"/>
      <c r="AP606" s="305"/>
      <c r="AQ606" s="305"/>
      <c r="AR606" s="305"/>
      <c r="AS606" s="305"/>
      <c r="AT606" s="305"/>
      <c r="AU606" s="305"/>
      <c r="AV606" s="305"/>
      <c r="AW606" s="305"/>
      <c r="AX606" s="305"/>
      <c r="AY606" s="305"/>
      <c r="AZ606" s="305"/>
      <c r="BA606" s="305"/>
      <c r="BB606" s="305"/>
      <c r="BC606" s="305"/>
      <c r="BJ606" s="305"/>
      <c r="BK606" s="305"/>
      <c r="BL606" s="305"/>
      <c r="BM606" s="305"/>
      <c r="BN606" s="305"/>
      <c r="BO606" s="305"/>
      <c r="BP606" s="305"/>
      <c r="BQ606" s="305"/>
      <c r="BR606" s="305"/>
      <c r="BS606" s="305"/>
      <c r="BT606" s="305"/>
      <c r="BU606" s="305"/>
      <c r="BV606" s="305"/>
      <c r="BW606" s="305"/>
      <c r="BX606" s="305"/>
      <c r="BY606" s="305"/>
      <c r="BZ606" s="305"/>
      <c r="CA606" s="305"/>
      <c r="CB606" s="305"/>
      <c r="CC606" s="305"/>
      <c r="CD606" s="305"/>
      <c r="CE606" s="305"/>
      <c r="CF606" s="305"/>
      <c r="CG606" s="305"/>
      <c r="CH606" s="305"/>
      <c r="CI606" s="305"/>
      <c r="CJ606" s="305"/>
      <c r="CK606" s="305"/>
      <c r="CL606" s="305"/>
      <c r="CM606" s="305"/>
      <c r="CN606" s="305"/>
      <c r="CO606" s="305"/>
      <c r="CP606" s="305"/>
    </row>
    <row r="607" spans="14:94">
      <c r="N607" s="91"/>
      <c r="P607" s="92"/>
      <c r="Z607" s="305"/>
      <c r="AA607" s="305"/>
      <c r="AB607" s="305"/>
      <c r="AC607" s="305"/>
      <c r="AD607" s="305"/>
      <c r="AE607" s="305"/>
      <c r="AF607" s="305"/>
      <c r="AG607" s="305"/>
      <c r="AH607" s="305"/>
      <c r="AI607" s="305"/>
      <c r="AJ607" s="305"/>
      <c r="AK607" s="305"/>
      <c r="AL607" s="305"/>
      <c r="AM607" s="305"/>
      <c r="AN607" s="305"/>
      <c r="AO607" s="305"/>
      <c r="AP607" s="305"/>
      <c r="AQ607" s="305"/>
      <c r="AR607" s="305"/>
      <c r="AS607" s="305"/>
      <c r="AT607" s="305"/>
      <c r="AU607" s="305"/>
      <c r="AV607" s="305"/>
      <c r="AW607" s="305"/>
      <c r="AX607" s="305"/>
      <c r="AY607" s="305"/>
      <c r="AZ607" s="305"/>
      <c r="BA607" s="305"/>
      <c r="BB607" s="305"/>
      <c r="BC607" s="305"/>
      <c r="BJ607" s="305"/>
      <c r="BK607" s="305"/>
      <c r="BL607" s="305"/>
      <c r="BM607" s="305"/>
      <c r="BN607" s="305"/>
      <c r="BO607" s="305"/>
      <c r="BP607" s="305"/>
      <c r="BQ607" s="305"/>
      <c r="BR607" s="305"/>
      <c r="BS607" s="305"/>
      <c r="BT607" s="305"/>
      <c r="BU607" s="305"/>
      <c r="BV607" s="305"/>
      <c r="BW607" s="305"/>
      <c r="BX607" s="305"/>
      <c r="BY607" s="305"/>
      <c r="BZ607" s="305"/>
      <c r="CA607" s="305"/>
      <c r="CB607" s="305"/>
      <c r="CC607" s="305"/>
      <c r="CD607" s="305"/>
      <c r="CE607" s="305"/>
      <c r="CF607" s="305"/>
      <c r="CG607" s="305"/>
      <c r="CH607" s="305"/>
      <c r="CI607" s="305"/>
      <c r="CJ607" s="305"/>
      <c r="CK607" s="305"/>
      <c r="CL607" s="305"/>
      <c r="CM607" s="305"/>
      <c r="CN607" s="305"/>
      <c r="CO607" s="305"/>
      <c r="CP607" s="305"/>
    </row>
    <row r="608" spans="14:94">
      <c r="N608" s="91"/>
      <c r="P608" s="92"/>
      <c r="Z608" s="305"/>
      <c r="AA608" s="305"/>
      <c r="AB608" s="305"/>
      <c r="AC608" s="305"/>
      <c r="AD608" s="305"/>
      <c r="AE608" s="305"/>
      <c r="AF608" s="305"/>
      <c r="AG608" s="305"/>
      <c r="AH608" s="305"/>
      <c r="AI608" s="305"/>
      <c r="AJ608" s="305"/>
      <c r="AK608" s="305"/>
      <c r="AL608" s="305"/>
      <c r="AM608" s="305"/>
      <c r="AN608" s="305"/>
      <c r="AO608" s="305"/>
      <c r="AP608" s="305"/>
      <c r="AQ608" s="305"/>
      <c r="AR608" s="305"/>
      <c r="AS608" s="305"/>
      <c r="AT608" s="305"/>
      <c r="AU608" s="305"/>
      <c r="AV608" s="305"/>
      <c r="AW608" s="305"/>
      <c r="AX608" s="305"/>
      <c r="AY608" s="305"/>
      <c r="AZ608" s="305"/>
      <c r="BA608" s="305"/>
      <c r="BB608" s="305"/>
      <c r="BC608" s="305"/>
      <c r="BJ608" s="305"/>
      <c r="BK608" s="305"/>
      <c r="BL608" s="305"/>
      <c r="BM608" s="305"/>
      <c r="BN608" s="305"/>
      <c r="BO608" s="305"/>
      <c r="BP608" s="305"/>
      <c r="BQ608" s="305"/>
      <c r="BR608" s="305"/>
      <c r="BS608" s="305"/>
      <c r="BT608" s="305"/>
      <c r="BU608" s="305"/>
      <c r="BV608" s="305"/>
      <c r="BW608" s="305"/>
      <c r="BX608" s="305"/>
      <c r="BY608" s="305"/>
      <c r="BZ608" s="305"/>
      <c r="CA608" s="305"/>
      <c r="CB608" s="305"/>
      <c r="CC608" s="305"/>
      <c r="CD608" s="305"/>
      <c r="CE608" s="305"/>
      <c r="CF608" s="305"/>
      <c r="CG608" s="305"/>
      <c r="CH608" s="305"/>
      <c r="CI608" s="305"/>
      <c r="CJ608" s="305"/>
      <c r="CK608" s="305"/>
      <c r="CL608" s="305"/>
      <c r="CM608" s="305"/>
      <c r="CN608" s="305"/>
      <c r="CO608" s="305"/>
      <c r="CP608" s="305"/>
    </row>
    <row r="609" spans="14:94">
      <c r="N609" s="91"/>
      <c r="P609" s="92"/>
      <c r="Z609" s="305"/>
      <c r="AA609" s="305"/>
      <c r="AB609" s="305"/>
      <c r="AC609" s="305"/>
      <c r="AD609" s="305"/>
      <c r="AE609" s="305"/>
      <c r="AF609" s="305"/>
      <c r="AG609" s="305"/>
      <c r="AH609" s="305"/>
      <c r="AI609" s="305"/>
      <c r="AJ609" s="305"/>
      <c r="AK609" s="305"/>
      <c r="AL609" s="305"/>
      <c r="AM609" s="305"/>
      <c r="AN609" s="305"/>
      <c r="AO609" s="305"/>
      <c r="AP609" s="305"/>
      <c r="AQ609" s="305"/>
      <c r="AR609" s="305"/>
      <c r="AS609" s="305"/>
      <c r="AT609" s="305"/>
      <c r="AU609" s="305"/>
      <c r="AV609" s="305"/>
      <c r="AW609" s="305"/>
      <c r="AX609" s="305"/>
      <c r="AY609" s="305"/>
      <c r="AZ609" s="305"/>
      <c r="BA609" s="305"/>
      <c r="BB609" s="305"/>
      <c r="BC609" s="305"/>
      <c r="BJ609" s="305"/>
      <c r="BK609" s="305"/>
      <c r="BL609" s="305"/>
      <c r="BM609" s="305"/>
      <c r="BN609" s="305"/>
      <c r="BO609" s="305"/>
      <c r="BP609" s="305"/>
      <c r="BQ609" s="305"/>
      <c r="BR609" s="305"/>
      <c r="BS609" s="305"/>
      <c r="BT609" s="305"/>
      <c r="BU609" s="305"/>
      <c r="BV609" s="305"/>
      <c r="BW609" s="305"/>
      <c r="BX609" s="305"/>
      <c r="BY609" s="305"/>
      <c r="BZ609" s="305"/>
      <c r="CA609" s="305"/>
      <c r="CB609" s="305"/>
      <c r="CC609" s="305"/>
      <c r="CD609" s="305"/>
      <c r="CE609" s="305"/>
      <c r="CF609" s="305"/>
      <c r="CG609" s="305"/>
      <c r="CH609" s="305"/>
      <c r="CI609" s="305"/>
      <c r="CJ609" s="305"/>
      <c r="CK609" s="305"/>
      <c r="CL609" s="305"/>
      <c r="CM609" s="305"/>
      <c r="CN609" s="305"/>
      <c r="CO609" s="305"/>
      <c r="CP609" s="305"/>
    </row>
    <row r="610" spans="14:94">
      <c r="N610" s="91"/>
      <c r="P610" s="92"/>
      <c r="Z610" s="305"/>
      <c r="AA610" s="305"/>
      <c r="AB610" s="305"/>
      <c r="AC610" s="305"/>
      <c r="AD610" s="305"/>
      <c r="AE610" s="305"/>
      <c r="AF610" s="305"/>
      <c r="AG610" s="305"/>
      <c r="AH610" s="305"/>
      <c r="AI610" s="305"/>
      <c r="AJ610" s="305"/>
      <c r="AK610" s="305"/>
      <c r="AL610" s="305"/>
      <c r="AM610" s="305"/>
      <c r="AN610" s="305"/>
      <c r="AO610" s="305"/>
      <c r="AP610" s="305"/>
      <c r="AQ610" s="305"/>
      <c r="AR610" s="305"/>
      <c r="AS610" s="305"/>
      <c r="AT610" s="305"/>
      <c r="AU610" s="305"/>
      <c r="AV610" s="305"/>
      <c r="AW610" s="305"/>
      <c r="AX610" s="305"/>
      <c r="AY610" s="305"/>
      <c r="AZ610" s="305"/>
      <c r="BA610" s="305"/>
      <c r="BB610" s="305"/>
      <c r="BC610" s="305"/>
      <c r="BJ610" s="305"/>
      <c r="BK610" s="305"/>
      <c r="BL610" s="305"/>
      <c r="BM610" s="305"/>
      <c r="BN610" s="305"/>
      <c r="BO610" s="305"/>
      <c r="BP610" s="305"/>
      <c r="BQ610" s="305"/>
      <c r="BR610" s="305"/>
      <c r="BS610" s="305"/>
      <c r="BT610" s="305"/>
      <c r="BU610" s="305"/>
      <c r="BV610" s="305"/>
      <c r="BW610" s="305"/>
      <c r="BX610" s="305"/>
      <c r="BY610" s="305"/>
      <c r="BZ610" s="305"/>
      <c r="CA610" s="305"/>
      <c r="CB610" s="305"/>
      <c r="CC610" s="305"/>
      <c r="CD610" s="305"/>
      <c r="CE610" s="305"/>
      <c r="CF610" s="305"/>
      <c r="CG610" s="305"/>
      <c r="CH610" s="305"/>
      <c r="CI610" s="305"/>
      <c r="CJ610" s="305"/>
      <c r="CK610" s="305"/>
      <c r="CL610" s="305"/>
      <c r="CM610" s="305"/>
      <c r="CN610" s="305"/>
      <c r="CO610" s="305"/>
      <c r="CP610" s="305"/>
    </row>
    <row r="611" spans="14:94">
      <c r="N611" s="91"/>
      <c r="P611" s="92"/>
      <c r="Z611" s="305"/>
      <c r="AA611" s="305"/>
      <c r="AB611" s="305"/>
      <c r="AC611" s="305"/>
      <c r="AD611" s="305"/>
      <c r="AE611" s="305"/>
      <c r="AF611" s="305"/>
      <c r="AG611" s="305"/>
      <c r="AH611" s="305"/>
      <c r="AI611" s="305"/>
      <c r="AJ611" s="305"/>
      <c r="AK611" s="305"/>
      <c r="AL611" s="305"/>
      <c r="AM611" s="305"/>
      <c r="AN611" s="305"/>
      <c r="AO611" s="305"/>
      <c r="AP611" s="305"/>
      <c r="AQ611" s="305"/>
      <c r="AR611" s="305"/>
      <c r="AS611" s="305"/>
      <c r="AT611" s="305"/>
      <c r="AU611" s="305"/>
      <c r="AV611" s="305"/>
      <c r="AW611" s="305"/>
      <c r="AX611" s="305"/>
      <c r="AY611" s="305"/>
      <c r="AZ611" s="305"/>
      <c r="BA611" s="305"/>
      <c r="BB611" s="305"/>
      <c r="BC611" s="305"/>
      <c r="BJ611" s="305"/>
      <c r="BK611" s="305"/>
      <c r="BL611" s="305"/>
      <c r="BM611" s="305"/>
      <c r="BN611" s="305"/>
      <c r="BO611" s="305"/>
      <c r="BP611" s="305"/>
      <c r="BQ611" s="305"/>
      <c r="BR611" s="305"/>
      <c r="BS611" s="305"/>
      <c r="BT611" s="305"/>
      <c r="BU611" s="305"/>
      <c r="BV611" s="305"/>
      <c r="BW611" s="305"/>
      <c r="BX611" s="305"/>
      <c r="BY611" s="305"/>
      <c r="BZ611" s="305"/>
      <c r="CA611" s="305"/>
      <c r="CB611" s="305"/>
      <c r="CC611" s="305"/>
      <c r="CD611" s="305"/>
      <c r="CE611" s="305"/>
      <c r="CF611" s="305"/>
      <c r="CG611" s="305"/>
      <c r="CH611" s="305"/>
      <c r="CI611" s="305"/>
      <c r="CJ611" s="305"/>
      <c r="CK611" s="305"/>
      <c r="CL611" s="305"/>
      <c r="CM611" s="305"/>
      <c r="CN611" s="305"/>
      <c r="CO611" s="305"/>
      <c r="CP611" s="305"/>
    </row>
    <row r="612" spans="14:94">
      <c r="N612" s="91"/>
      <c r="P612" s="92"/>
      <c r="Z612" s="305"/>
      <c r="AA612" s="305"/>
      <c r="AB612" s="305"/>
      <c r="AC612" s="305"/>
      <c r="AD612" s="305"/>
      <c r="AE612" s="305"/>
      <c r="AF612" s="305"/>
      <c r="AG612" s="305"/>
      <c r="AH612" s="305"/>
      <c r="AI612" s="305"/>
      <c r="AJ612" s="305"/>
      <c r="AK612" s="305"/>
      <c r="AL612" s="305"/>
      <c r="AM612" s="305"/>
      <c r="AN612" s="305"/>
      <c r="AO612" s="305"/>
      <c r="AP612" s="305"/>
      <c r="AQ612" s="305"/>
      <c r="AR612" s="305"/>
      <c r="AS612" s="305"/>
      <c r="AT612" s="305"/>
      <c r="AU612" s="305"/>
      <c r="AV612" s="305"/>
      <c r="AW612" s="305"/>
      <c r="AX612" s="305"/>
      <c r="AY612" s="305"/>
      <c r="AZ612" s="305"/>
      <c r="BA612" s="305"/>
      <c r="BB612" s="305"/>
      <c r="BC612" s="305"/>
      <c r="BJ612" s="305"/>
      <c r="BK612" s="305"/>
      <c r="BL612" s="305"/>
      <c r="BM612" s="305"/>
      <c r="BN612" s="305"/>
      <c r="BO612" s="305"/>
      <c r="BP612" s="305"/>
      <c r="BQ612" s="305"/>
      <c r="BR612" s="305"/>
      <c r="BS612" s="305"/>
      <c r="BT612" s="305"/>
      <c r="BU612" s="305"/>
      <c r="BV612" s="305"/>
      <c r="BW612" s="305"/>
      <c r="BX612" s="305"/>
      <c r="BY612" s="305"/>
      <c r="BZ612" s="305"/>
      <c r="CA612" s="305"/>
      <c r="CB612" s="305"/>
      <c r="CC612" s="305"/>
      <c r="CD612" s="305"/>
      <c r="CE612" s="305"/>
      <c r="CF612" s="305"/>
      <c r="CG612" s="305"/>
      <c r="CH612" s="305"/>
      <c r="CI612" s="305"/>
      <c r="CJ612" s="305"/>
      <c r="CK612" s="305"/>
      <c r="CL612" s="305"/>
      <c r="CM612" s="305"/>
      <c r="CN612" s="305"/>
      <c r="CO612" s="305"/>
      <c r="CP612" s="305"/>
    </row>
    <row r="613" spans="14:94">
      <c r="N613" s="91"/>
      <c r="P613" s="92"/>
      <c r="Z613" s="305"/>
      <c r="AA613" s="305"/>
      <c r="AB613" s="305"/>
      <c r="AC613" s="305"/>
      <c r="AD613" s="305"/>
      <c r="AE613" s="305"/>
      <c r="AF613" s="305"/>
      <c r="AG613" s="305"/>
      <c r="AH613" s="305"/>
      <c r="AI613" s="305"/>
      <c r="AJ613" s="305"/>
      <c r="AK613" s="305"/>
      <c r="AL613" s="305"/>
      <c r="AM613" s="305"/>
      <c r="AN613" s="305"/>
      <c r="AO613" s="305"/>
      <c r="AP613" s="305"/>
      <c r="AQ613" s="305"/>
      <c r="AR613" s="305"/>
      <c r="AS613" s="305"/>
      <c r="AT613" s="305"/>
      <c r="AU613" s="305"/>
      <c r="AV613" s="305"/>
      <c r="AW613" s="305"/>
      <c r="AX613" s="305"/>
      <c r="AY613" s="305"/>
      <c r="AZ613" s="305"/>
      <c r="BA613" s="305"/>
      <c r="BB613" s="305"/>
      <c r="BC613" s="305"/>
      <c r="BJ613" s="305"/>
      <c r="BK613" s="305"/>
      <c r="BL613" s="305"/>
      <c r="BM613" s="305"/>
      <c r="BN613" s="305"/>
      <c r="BO613" s="305"/>
      <c r="BP613" s="305"/>
      <c r="BQ613" s="305"/>
      <c r="BR613" s="305"/>
      <c r="BS613" s="305"/>
      <c r="BT613" s="305"/>
      <c r="BU613" s="305"/>
      <c r="BV613" s="305"/>
      <c r="BW613" s="305"/>
      <c r="BX613" s="305"/>
      <c r="BY613" s="305"/>
      <c r="BZ613" s="305"/>
      <c r="CA613" s="305"/>
      <c r="CB613" s="305"/>
      <c r="CC613" s="305"/>
      <c r="CD613" s="305"/>
      <c r="CE613" s="305"/>
      <c r="CF613" s="305"/>
      <c r="CG613" s="305"/>
      <c r="CH613" s="305"/>
      <c r="CI613" s="305"/>
      <c r="CJ613" s="305"/>
      <c r="CK613" s="305"/>
      <c r="CL613" s="305"/>
      <c r="CM613" s="305"/>
      <c r="CN613" s="305"/>
      <c r="CO613" s="305"/>
      <c r="CP613" s="305"/>
    </row>
    <row r="614" spans="14:94">
      <c r="N614" s="91"/>
      <c r="P614" s="92"/>
      <c r="Z614" s="305"/>
      <c r="AA614" s="305"/>
      <c r="AB614" s="305"/>
      <c r="AC614" s="305"/>
      <c r="AD614" s="305"/>
      <c r="AE614" s="305"/>
      <c r="AF614" s="305"/>
      <c r="AG614" s="305"/>
      <c r="AH614" s="305"/>
      <c r="AI614" s="305"/>
      <c r="AJ614" s="305"/>
      <c r="AK614" s="305"/>
      <c r="AL614" s="305"/>
      <c r="AM614" s="305"/>
      <c r="AN614" s="305"/>
      <c r="AO614" s="305"/>
      <c r="AP614" s="305"/>
      <c r="AQ614" s="305"/>
      <c r="AR614" s="305"/>
      <c r="AS614" s="305"/>
      <c r="AT614" s="305"/>
      <c r="AU614" s="305"/>
      <c r="AV614" s="305"/>
      <c r="AW614" s="305"/>
      <c r="AX614" s="305"/>
      <c r="AY614" s="305"/>
      <c r="AZ614" s="305"/>
      <c r="BA614" s="305"/>
      <c r="BB614" s="305"/>
      <c r="BC614" s="305"/>
      <c r="BJ614" s="305"/>
      <c r="BK614" s="305"/>
      <c r="BL614" s="305"/>
      <c r="BM614" s="305"/>
      <c r="BN614" s="305"/>
      <c r="BO614" s="305"/>
      <c r="BP614" s="305"/>
      <c r="BQ614" s="305"/>
      <c r="BR614" s="305"/>
      <c r="BS614" s="305"/>
      <c r="BT614" s="305"/>
      <c r="BU614" s="305"/>
      <c r="BV614" s="305"/>
      <c r="BW614" s="305"/>
      <c r="BX614" s="305"/>
      <c r="BY614" s="305"/>
      <c r="BZ614" s="305"/>
      <c r="CA614" s="305"/>
      <c r="CB614" s="305"/>
      <c r="CC614" s="305"/>
      <c r="CD614" s="305"/>
      <c r="CE614" s="305"/>
      <c r="CF614" s="305"/>
      <c r="CG614" s="305"/>
      <c r="CH614" s="305"/>
      <c r="CI614" s="305"/>
      <c r="CJ614" s="305"/>
      <c r="CK614" s="305"/>
      <c r="CL614" s="305"/>
      <c r="CM614" s="305"/>
      <c r="CN614" s="305"/>
      <c r="CO614" s="305"/>
      <c r="CP614" s="305"/>
    </row>
    <row r="615" spans="14:94">
      <c r="N615" s="91"/>
      <c r="P615" s="92"/>
      <c r="Z615" s="305"/>
      <c r="AA615" s="305"/>
      <c r="AB615" s="305"/>
      <c r="AC615" s="305"/>
      <c r="AD615" s="305"/>
      <c r="AE615" s="305"/>
      <c r="AF615" s="305"/>
      <c r="AG615" s="305"/>
      <c r="AH615" s="305"/>
      <c r="AI615" s="305"/>
      <c r="AJ615" s="305"/>
      <c r="AK615" s="305"/>
      <c r="AL615" s="305"/>
      <c r="AM615" s="305"/>
      <c r="AN615" s="305"/>
      <c r="AO615" s="305"/>
      <c r="AP615" s="305"/>
      <c r="AQ615" s="305"/>
      <c r="AR615" s="305"/>
      <c r="AS615" s="305"/>
      <c r="AT615" s="305"/>
      <c r="AU615" s="305"/>
      <c r="AV615" s="305"/>
      <c r="AW615" s="305"/>
      <c r="AX615" s="305"/>
      <c r="AY615" s="305"/>
      <c r="AZ615" s="305"/>
      <c r="BA615" s="305"/>
      <c r="BB615" s="305"/>
      <c r="BC615" s="305"/>
      <c r="BJ615" s="305"/>
      <c r="BK615" s="305"/>
      <c r="BL615" s="305"/>
      <c r="BM615" s="305"/>
      <c r="BN615" s="305"/>
      <c r="BO615" s="305"/>
      <c r="BP615" s="305"/>
      <c r="BQ615" s="305"/>
      <c r="BR615" s="305"/>
      <c r="BS615" s="305"/>
      <c r="BT615" s="305"/>
      <c r="BU615" s="305"/>
      <c r="BV615" s="305"/>
      <c r="BW615" s="305"/>
      <c r="BX615" s="305"/>
      <c r="BY615" s="305"/>
      <c r="BZ615" s="305"/>
      <c r="CA615" s="305"/>
      <c r="CB615" s="305"/>
      <c r="CC615" s="305"/>
      <c r="CD615" s="305"/>
      <c r="CE615" s="305"/>
      <c r="CF615" s="305"/>
      <c r="CG615" s="305"/>
      <c r="CH615" s="305"/>
      <c r="CI615" s="305"/>
      <c r="CJ615" s="305"/>
      <c r="CK615" s="305"/>
      <c r="CL615" s="305"/>
      <c r="CM615" s="305"/>
      <c r="CN615" s="305"/>
      <c r="CO615" s="305"/>
      <c r="CP615" s="305"/>
    </row>
    <row r="616" spans="14:94">
      <c r="N616" s="91"/>
      <c r="P616" s="92"/>
      <c r="Z616" s="305"/>
      <c r="AA616" s="305"/>
      <c r="AB616" s="305"/>
      <c r="AC616" s="305"/>
      <c r="AD616" s="305"/>
      <c r="AE616" s="305"/>
      <c r="AF616" s="305"/>
      <c r="AG616" s="305"/>
      <c r="AH616" s="305"/>
      <c r="AI616" s="305"/>
      <c r="AJ616" s="305"/>
      <c r="AK616" s="305"/>
      <c r="AL616" s="305"/>
      <c r="AM616" s="305"/>
      <c r="AN616" s="305"/>
      <c r="AO616" s="305"/>
      <c r="AP616" s="305"/>
      <c r="AQ616" s="305"/>
      <c r="AR616" s="305"/>
      <c r="AS616" s="305"/>
      <c r="AT616" s="305"/>
      <c r="AU616" s="305"/>
      <c r="AV616" s="305"/>
      <c r="AW616" s="305"/>
      <c r="AX616" s="305"/>
      <c r="AY616" s="305"/>
      <c r="AZ616" s="305"/>
      <c r="BA616" s="305"/>
      <c r="BB616" s="305"/>
      <c r="BC616" s="305"/>
      <c r="BJ616" s="305"/>
      <c r="BK616" s="305"/>
      <c r="BL616" s="305"/>
      <c r="BM616" s="305"/>
      <c r="BN616" s="305"/>
      <c r="BO616" s="305"/>
      <c r="BP616" s="305"/>
      <c r="BQ616" s="305"/>
      <c r="BR616" s="305"/>
      <c r="BS616" s="305"/>
      <c r="BT616" s="305"/>
      <c r="BU616" s="305"/>
      <c r="BV616" s="305"/>
      <c r="BW616" s="305"/>
      <c r="BX616" s="305"/>
      <c r="BY616" s="305"/>
      <c r="BZ616" s="305"/>
      <c r="CA616" s="305"/>
      <c r="CB616" s="305"/>
      <c r="CC616" s="305"/>
      <c r="CD616" s="305"/>
      <c r="CE616" s="305"/>
      <c r="CF616" s="305"/>
      <c r="CG616" s="305"/>
      <c r="CH616" s="305"/>
      <c r="CI616" s="305"/>
      <c r="CJ616" s="305"/>
      <c r="CK616" s="305"/>
      <c r="CL616" s="305"/>
      <c r="CM616" s="305"/>
      <c r="CN616" s="305"/>
      <c r="CO616" s="305"/>
      <c r="CP616" s="305"/>
    </row>
    <row r="617" spans="14:94">
      <c r="N617" s="91"/>
      <c r="P617" s="92"/>
      <c r="Z617" s="305"/>
      <c r="AA617" s="305"/>
      <c r="AB617" s="305"/>
      <c r="AC617" s="305"/>
      <c r="AD617" s="305"/>
      <c r="AE617" s="305"/>
      <c r="AF617" s="305"/>
      <c r="AG617" s="305"/>
      <c r="AH617" s="305"/>
      <c r="AI617" s="305"/>
      <c r="AJ617" s="305"/>
      <c r="AK617" s="305"/>
      <c r="AL617" s="305"/>
      <c r="AM617" s="305"/>
      <c r="AN617" s="305"/>
      <c r="AO617" s="305"/>
      <c r="AP617" s="305"/>
      <c r="AQ617" s="305"/>
      <c r="AR617" s="305"/>
      <c r="AS617" s="305"/>
      <c r="AT617" s="305"/>
      <c r="AU617" s="305"/>
      <c r="AV617" s="305"/>
      <c r="AW617" s="305"/>
      <c r="AX617" s="305"/>
      <c r="AY617" s="305"/>
      <c r="AZ617" s="305"/>
      <c r="BA617" s="305"/>
      <c r="BB617" s="305"/>
      <c r="BC617" s="305"/>
      <c r="BJ617" s="305"/>
      <c r="BK617" s="305"/>
      <c r="BL617" s="305"/>
      <c r="BM617" s="305"/>
      <c r="BN617" s="305"/>
      <c r="BO617" s="305"/>
      <c r="BP617" s="305"/>
      <c r="BQ617" s="305"/>
      <c r="BR617" s="305"/>
      <c r="BS617" s="305"/>
      <c r="BT617" s="305"/>
      <c r="BU617" s="305"/>
      <c r="BV617" s="305"/>
      <c r="BW617" s="305"/>
      <c r="BX617" s="305"/>
      <c r="BY617" s="305"/>
      <c r="BZ617" s="305"/>
      <c r="CA617" s="305"/>
      <c r="CB617" s="305"/>
      <c r="CC617" s="305"/>
      <c r="CD617" s="305"/>
      <c r="CE617" s="305"/>
      <c r="CF617" s="305"/>
      <c r="CG617" s="305"/>
      <c r="CH617" s="305"/>
      <c r="CI617" s="305"/>
      <c r="CJ617" s="305"/>
      <c r="CK617" s="305"/>
      <c r="CL617" s="305"/>
      <c r="CM617" s="305"/>
      <c r="CN617" s="305"/>
      <c r="CO617" s="305"/>
      <c r="CP617" s="305"/>
    </row>
    <row r="618" spans="14:94">
      <c r="N618" s="91"/>
      <c r="P618" s="92"/>
      <c r="Z618" s="305"/>
      <c r="AA618" s="305"/>
      <c r="AB618" s="305"/>
      <c r="AC618" s="305"/>
      <c r="AD618" s="305"/>
      <c r="AE618" s="305"/>
      <c r="AF618" s="305"/>
      <c r="AG618" s="305"/>
      <c r="AH618" s="305"/>
      <c r="AI618" s="305"/>
      <c r="AJ618" s="305"/>
      <c r="AK618" s="305"/>
      <c r="AL618" s="305"/>
      <c r="AM618" s="305"/>
      <c r="AN618" s="305"/>
      <c r="AO618" s="305"/>
      <c r="AP618" s="305"/>
      <c r="AQ618" s="305"/>
      <c r="AR618" s="305"/>
      <c r="AS618" s="305"/>
      <c r="AT618" s="305"/>
      <c r="AU618" s="305"/>
      <c r="AV618" s="305"/>
      <c r="AW618" s="305"/>
      <c r="AX618" s="305"/>
      <c r="AY618" s="305"/>
      <c r="AZ618" s="305"/>
      <c r="BA618" s="305"/>
      <c r="BB618" s="305"/>
      <c r="BC618" s="305"/>
      <c r="BJ618" s="305"/>
      <c r="BK618" s="305"/>
      <c r="BL618" s="305"/>
      <c r="BM618" s="305"/>
      <c r="BN618" s="305"/>
      <c r="BO618" s="305"/>
      <c r="BP618" s="305"/>
      <c r="BQ618" s="305"/>
      <c r="BR618" s="305"/>
      <c r="BS618" s="305"/>
      <c r="BT618" s="305"/>
      <c r="BU618" s="305"/>
      <c r="BV618" s="305"/>
      <c r="BW618" s="305"/>
      <c r="BX618" s="305"/>
      <c r="BY618" s="305"/>
      <c r="BZ618" s="305"/>
      <c r="CA618" s="305"/>
      <c r="CB618" s="305"/>
      <c r="CC618" s="305"/>
      <c r="CD618" s="305"/>
      <c r="CE618" s="305"/>
      <c r="CF618" s="305"/>
      <c r="CG618" s="305"/>
      <c r="CH618" s="305"/>
      <c r="CI618" s="305"/>
      <c r="CJ618" s="305"/>
      <c r="CK618" s="305"/>
      <c r="CL618" s="305"/>
      <c r="CM618" s="305"/>
      <c r="CN618" s="305"/>
      <c r="CO618" s="305"/>
      <c r="CP618" s="305"/>
    </row>
    <row r="619" spans="14:94">
      <c r="N619" s="91"/>
      <c r="P619" s="92"/>
      <c r="Z619" s="305"/>
      <c r="AA619" s="305"/>
      <c r="AB619" s="305"/>
      <c r="AC619" s="305"/>
      <c r="AD619" s="305"/>
      <c r="AE619" s="305"/>
      <c r="AF619" s="305"/>
      <c r="AG619" s="305"/>
      <c r="AH619" s="305"/>
      <c r="AI619" s="305"/>
      <c r="AJ619" s="305"/>
      <c r="AK619" s="305"/>
      <c r="AL619" s="305"/>
      <c r="AM619" s="305"/>
      <c r="AN619" s="305"/>
      <c r="AO619" s="305"/>
      <c r="AP619" s="305"/>
      <c r="AQ619" s="305"/>
      <c r="AR619" s="305"/>
      <c r="AS619" s="305"/>
      <c r="AT619" s="305"/>
      <c r="AU619" s="305"/>
      <c r="AV619" s="305"/>
      <c r="AW619" s="305"/>
      <c r="AX619" s="305"/>
      <c r="AY619" s="305"/>
      <c r="AZ619" s="305"/>
      <c r="BA619" s="305"/>
      <c r="BB619" s="305"/>
      <c r="BC619" s="305"/>
      <c r="BJ619" s="305"/>
      <c r="BK619" s="305"/>
      <c r="BL619" s="305"/>
      <c r="BM619" s="305"/>
      <c r="BN619" s="305"/>
      <c r="BO619" s="305"/>
      <c r="BP619" s="305"/>
      <c r="BQ619" s="305"/>
      <c r="BR619" s="305"/>
      <c r="BS619" s="305"/>
      <c r="BT619" s="305"/>
      <c r="BU619" s="305"/>
      <c r="BV619" s="305"/>
      <c r="BW619" s="305"/>
      <c r="BX619" s="305"/>
      <c r="BY619" s="305"/>
      <c r="BZ619" s="305"/>
      <c r="CA619" s="305"/>
      <c r="CB619" s="305"/>
      <c r="CC619" s="305"/>
      <c r="CD619" s="305"/>
      <c r="CE619" s="305"/>
      <c r="CF619" s="305"/>
      <c r="CG619" s="305"/>
      <c r="CH619" s="305"/>
      <c r="CI619" s="305"/>
      <c r="CJ619" s="305"/>
      <c r="CK619" s="305"/>
      <c r="CL619" s="305"/>
      <c r="CM619" s="305"/>
      <c r="CN619" s="305"/>
      <c r="CO619" s="305"/>
      <c r="CP619" s="305"/>
    </row>
    <row r="620" spans="14:94">
      <c r="N620" s="91"/>
      <c r="P620" s="92"/>
      <c r="Z620" s="305"/>
      <c r="AA620" s="305"/>
      <c r="AB620" s="305"/>
      <c r="AC620" s="305"/>
      <c r="AD620" s="305"/>
      <c r="AE620" s="305"/>
      <c r="AF620" s="305"/>
      <c r="AG620" s="305"/>
      <c r="AH620" s="305"/>
      <c r="AI620" s="305"/>
      <c r="AJ620" s="305"/>
      <c r="AK620" s="305"/>
      <c r="AL620" s="305"/>
      <c r="AM620" s="305"/>
      <c r="AN620" s="305"/>
      <c r="AO620" s="305"/>
      <c r="AP620" s="305"/>
      <c r="AQ620" s="305"/>
      <c r="AR620" s="305"/>
      <c r="AS620" s="305"/>
      <c r="AT620" s="305"/>
      <c r="AU620" s="305"/>
      <c r="AV620" s="305"/>
      <c r="AW620" s="305"/>
      <c r="AX620" s="305"/>
      <c r="AY620" s="305"/>
      <c r="AZ620" s="305"/>
      <c r="BA620" s="305"/>
      <c r="BB620" s="305"/>
      <c r="BC620" s="305"/>
      <c r="BJ620" s="305"/>
      <c r="BK620" s="305"/>
      <c r="BL620" s="305"/>
      <c r="BM620" s="305"/>
      <c r="BN620" s="305"/>
      <c r="BO620" s="305"/>
      <c r="BP620" s="305"/>
      <c r="BQ620" s="305"/>
      <c r="BR620" s="305"/>
      <c r="BS620" s="305"/>
      <c r="BT620" s="305"/>
      <c r="BU620" s="305"/>
      <c r="BV620" s="305"/>
      <c r="BW620" s="305"/>
      <c r="BX620" s="305"/>
      <c r="BY620" s="305"/>
      <c r="BZ620" s="305"/>
      <c r="CA620" s="305"/>
      <c r="CB620" s="305"/>
      <c r="CC620" s="305"/>
      <c r="CD620" s="305"/>
      <c r="CE620" s="305"/>
      <c r="CF620" s="305"/>
      <c r="CG620" s="305"/>
      <c r="CH620" s="305"/>
      <c r="CI620" s="305"/>
      <c r="CJ620" s="305"/>
      <c r="CK620" s="305"/>
      <c r="CL620" s="305"/>
      <c r="CM620" s="305"/>
      <c r="CN620" s="305"/>
      <c r="CO620" s="305"/>
      <c r="CP620" s="305"/>
    </row>
    <row r="621" spans="14:94">
      <c r="N621" s="91"/>
      <c r="P621" s="92"/>
      <c r="Z621" s="305"/>
      <c r="AA621" s="305"/>
      <c r="AB621" s="305"/>
      <c r="AC621" s="305"/>
      <c r="AD621" s="305"/>
      <c r="AE621" s="305"/>
      <c r="AF621" s="305"/>
      <c r="AG621" s="305"/>
      <c r="AH621" s="305"/>
      <c r="AI621" s="305"/>
      <c r="AJ621" s="305"/>
      <c r="AK621" s="305"/>
      <c r="AL621" s="305"/>
      <c r="AM621" s="305"/>
      <c r="AN621" s="305"/>
      <c r="AO621" s="305"/>
      <c r="AP621" s="305"/>
      <c r="AQ621" s="305"/>
      <c r="AR621" s="305"/>
      <c r="AS621" s="305"/>
      <c r="AT621" s="305"/>
      <c r="AU621" s="305"/>
      <c r="AV621" s="305"/>
      <c r="AW621" s="305"/>
      <c r="AX621" s="305"/>
      <c r="AY621" s="305"/>
      <c r="AZ621" s="305"/>
      <c r="BA621" s="305"/>
      <c r="BB621" s="305"/>
      <c r="BC621" s="305"/>
      <c r="BJ621" s="305"/>
      <c r="BK621" s="305"/>
      <c r="BL621" s="305"/>
      <c r="BM621" s="305"/>
      <c r="BN621" s="305"/>
      <c r="BO621" s="305"/>
      <c r="BP621" s="305"/>
      <c r="BQ621" s="305"/>
      <c r="BR621" s="305"/>
      <c r="BS621" s="305"/>
      <c r="BT621" s="305"/>
      <c r="BU621" s="305"/>
      <c r="BV621" s="305"/>
      <c r="BW621" s="305"/>
      <c r="BX621" s="305"/>
      <c r="BY621" s="305"/>
      <c r="BZ621" s="305"/>
      <c r="CA621" s="305"/>
      <c r="CB621" s="305"/>
      <c r="CC621" s="305"/>
      <c r="CD621" s="305"/>
      <c r="CE621" s="305"/>
      <c r="CF621" s="305"/>
      <c r="CG621" s="305"/>
      <c r="CH621" s="305"/>
      <c r="CI621" s="305"/>
      <c r="CJ621" s="305"/>
      <c r="CK621" s="305"/>
      <c r="CL621" s="305"/>
      <c r="CM621" s="305"/>
      <c r="CN621" s="305"/>
      <c r="CO621" s="305"/>
      <c r="CP621" s="305"/>
    </row>
    <row r="622" spans="14:94">
      <c r="N622" s="91"/>
      <c r="P622" s="92"/>
      <c r="Z622" s="305"/>
      <c r="AA622" s="305"/>
      <c r="AB622" s="305"/>
      <c r="AC622" s="305"/>
      <c r="AD622" s="305"/>
      <c r="AE622" s="305"/>
      <c r="AF622" s="305"/>
      <c r="AG622" s="305"/>
      <c r="AH622" s="305"/>
      <c r="AI622" s="305"/>
      <c r="AJ622" s="305"/>
      <c r="AK622" s="305"/>
      <c r="AL622" s="305"/>
      <c r="AM622" s="305"/>
      <c r="AN622" s="305"/>
      <c r="AO622" s="305"/>
      <c r="AP622" s="305"/>
      <c r="AQ622" s="305"/>
      <c r="AR622" s="305"/>
      <c r="AS622" s="305"/>
      <c r="AT622" s="305"/>
      <c r="AU622" s="305"/>
      <c r="AV622" s="305"/>
      <c r="AW622" s="305"/>
      <c r="AX622" s="305"/>
      <c r="AY622" s="305"/>
      <c r="AZ622" s="305"/>
      <c r="BA622" s="305"/>
      <c r="BB622" s="305"/>
      <c r="BC622" s="305"/>
      <c r="BJ622" s="305"/>
      <c r="BK622" s="305"/>
      <c r="BL622" s="305"/>
      <c r="BM622" s="305"/>
      <c r="BN622" s="305"/>
      <c r="BO622" s="305"/>
      <c r="BP622" s="305"/>
      <c r="BQ622" s="305"/>
      <c r="BR622" s="305"/>
      <c r="BS622" s="305"/>
      <c r="BT622" s="305"/>
      <c r="BU622" s="305"/>
      <c r="BV622" s="305"/>
      <c r="BW622" s="305"/>
      <c r="BX622" s="305"/>
      <c r="BY622" s="305"/>
      <c r="BZ622" s="305"/>
      <c r="CA622" s="305"/>
      <c r="CB622" s="305"/>
      <c r="CC622" s="305"/>
      <c r="CD622" s="305"/>
      <c r="CE622" s="305"/>
      <c r="CF622" s="305"/>
      <c r="CG622" s="305"/>
      <c r="CH622" s="305"/>
      <c r="CI622" s="305"/>
      <c r="CJ622" s="305"/>
      <c r="CK622" s="305"/>
      <c r="CL622" s="305"/>
      <c r="CM622" s="305"/>
      <c r="CN622" s="305"/>
      <c r="CO622" s="305"/>
      <c r="CP622" s="305"/>
    </row>
    <row r="623" spans="14:94">
      <c r="N623" s="91"/>
      <c r="P623" s="92"/>
      <c r="Z623" s="305"/>
      <c r="AA623" s="305"/>
      <c r="AB623" s="305"/>
      <c r="AC623" s="305"/>
      <c r="AD623" s="305"/>
      <c r="AE623" s="305"/>
      <c r="AF623" s="305"/>
      <c r="AG623" s="305"/>
      <c r="AH623" s="305"/>
      <c r="AI623" s="305"/>
      <c r="AJ623" s="305"/>
      <c r="AK623" s="305"/>
      <c r="AL623" s="305"/>
      <c r="AM623" s="305"/>
      <c r="AN623" s="305"/>
      <c r="AO623" s="305"/>
      <c r="AP623" s="305"/>
      <c r="AQ623" s="305"/>
      <c r="AR623" s="305"/>
      <c r="AS623" s="305"/>
      <c r="AT623" s="305"/>
      <c r="AU623" s="305"/>
      <c r="AV623" s="305"/>
      <c r="AW623" s="305"/>
      <c r="AX623" s="305"/>
      <c r="AY623" s="305"/>
      <c r="AZ623" s="305"/>
      <c r="BA623" s="305"/>
      <c r="BB623" s="305"/>
      <c r="BC623" s="305"/>
      <c r="BJ623" s="305"/>
      <c r="BK623" s="305"/>
      <c r="BL623" s="305"/>
      <c r="BM623" s="305"/>
      <c r="BN623" s="305"/>
      <c r="BO623" s="305"/>
      <c r="BP623" s="305"/>
      <c r="BQ623" s="305"/>
      <c r="BR623" s="305"/>
      <c r="BS623" s="305"/>
      <c r="BT623" s="305"/>
      <c r="BU623" s="305"/>
      <c r="BV623" s="305"/>
      <c r="BW623" s="305"/>
      <c r="BX623" s="305"/>
      <c r="BY623" s="305"/>
      <c r="BZ623" s="305"/>
      <c r="CA623" s="305"/>
      <c r="CB623" s="305"/>
      <c r="CC623" s="305"/>
      <c r="CD623" s="305"/>
      <c r="CE623" s="305"/>
      <c r="CF623" s="305"/>
      <c r="CG623" s="305"/>
      <c r="CH623" s="305"/>
      <c r="CI623" s="305"/>
      <c r="CJ623" s="305"/>
      <c r="CK623" s="305"/>
      <c r="CL623" s="305"/>
      <c r="CM623" s="305"/>
      <c r="CN623" s="305"/>
      <c r="CO623" s="305"/>
      <c r="CP623" s="305"/>
    </row>
    <row r="624" spans="14:94">
      <c r="N624" s="91"/>
      <c r="P624" s="92"/>
      <c r="Z624" s="305"/>
      <c r="AA624" s="305"/>
      <c r="AB624" s="305"/>
      <c r="AC624" s="305"/>
      <c r="AD624" s="305"/>
      <c r="AE624" s="305"/>
      <c r="AF624" s="305"/>
      <c r="AG624" s="305"/>
      <c r="AH624" s="305"/>
      <c r="AI624" s="305"/>
      <c r="AJ624" s="305"/>
      <c r="AK624" s="305"/>
      <c r="AL624" s="305"/>
      <c r="AM624" s="305"/>
      <c r="AN624" s="305"/>
      <c r="AO624" s="305"/>
      <c r="AP624" s="305"/>
      <c r="AQ624" s="305"/>
      <c r="AR624" s="305"/>
      <c r="AS624" s="305"/>
      <c r="AT624" s="305"/>
      <c r="AU624" s="305"/>
      <c r="AV624" s="305"/>
      <c r="AW624" s="305"/>
      <c r="AX624" s="305"/>
      <c r="AY624" s="305"/>
      <c r="AZ624" s="305"/>
      <c r="BA624" s="305"/>
      <c r="BB624" s="305"/>
      <c r="BC624" s="305"/>
      <c r="BJ624" s="305"/>
      <c r="BK624" s="305"/>
      <c r="BL624" s="305"/>
      <c r="BM624" s="305"/>
      <c r="BN624" s="305"/>
      <c r="BO624" s="305"/>
      <c r="BP624" s="305"/>
      <c r="BQ624" s="305"/>
      <c r="BR624" s="305"/>
      <c r="BS624" s="305"/>
      <c r="BT624" s="305"/>
      <c r="BU624" s="305"/>
      <c r="BV624" s="305"/>
      <c r="BW624" s="305"/>
      <c r="BX624" s="305"/>
      <c r="BY624" s="305"/>
      <c r="BZ624" s="305"/>
      <c r="CA624" s="305"/>
      <c r="CB624" s="305"/>
      <c r="CC624" s="305"/>
      <c r="CD624" s="305"/>
      <c r="CE624" s="305"/>
      <c r="CF624" s="305"/>
      <c r="CG624" s="305"/>
      <c r="CH624" s="305"/>
      <c r="CI624" s="305"/>
      <c r="CJ624" s="305"/>
      <c r="CK624" s="305"/>
      <c r="CL624" s="305"/>
      <c r="CM624" s="305"/>
      <c r="CN624" s="305"/>
      <c r="CO624" s="305"/>
      <c r="CP624" s="305"/>
    </row>
    <row r="625" spans="14:94">
      <c r="N625" s="91"/>
      <c r="P625" s="92"/>
      <c r="Z625" s="305"/>
      <c r="AA625" s="305"/>
      <c r="AB625" s="305"/>
      <c r="AC625" s="305"/>
      <c r="AD625" s="305"/>
      <c r="AE625" s="305"/>
      <c r="AF625" s="305"/>
      <c r="AG625" s="305"/>
      <c r="AH625" s="305"/>
      <c r="AI625" s="305"/>
      <c r="AJ625" s="305"/>
      <c r="AK625" s="305"/>
      <c r="AL625" s="305"/>
      <c r="AM625" s="305"/>
      <c r="AN625" s="305"/>
      <c r="AO625" s="305"/>
      <c r="AP625" s="305"/>
      <c r="AQ625" s="305"/>
      <c r="AR625" s="305"/>
      <c r="AS625" s="305"/>
      <c r="AT625" s="305"/>
      <c r="AU625" s="305"/>
      <c r="AV625" s="305"/>
      <c r="AW625" s="305"/>
      <c r="AX625" s="305"/>
      <c r="AY625" s="305"/>
      <c r="AZ625" s="305"/>
      <c r="BA625" s="305"/>
      <c r="BB625" s="305"/>
      <c r="BC625" s="305"/>
      <c r="BJ625" s="305"/>
      <c r="BK625" s="305"/>
      <c r="BL625" s="305"/>
      <c r="BM625" s="305"/>
      <c r="BN625" s="305"/>
      <c r="BO625" s="305"/>
      <c r="BP625" s="305"/>
      <c r="BQ625" s="305"/>
      <c r="BR625" s="305"/>
      <c r="BS625" s="305"/>
      <c r="BT625" s="305"/>
      <c r="BU625" s="305"/>
      <c r="BV625" s="305"/>
      <c r="BW625" s="305"/>
      <c r="BX625" s="305"/>
      <c r="BY625" s="305"/>
      <c r="BZ625" s="305"/>
      <c r="CA625" s="305"/>
      <c r="CB625" s="305"/>
      <c r="CC625" s="305"/>
      <c r="CD625" s="305"/>
      <c r="CE625" s="305"/>
      <c r="CF625" s="305"/>
      <c r="CG625" s="305"/>
      <c r="CH625" s="305"/>
      <c r="CI625" s="305"/>
      <c r="CJ625" s="305"/>
      <c r="CK625" s="305"/>
      <c r="CL625" s="305"/>
      <c r="CM625" s="305"/>
      <c r="CN625" s="305"/>
      <c r="CO625" s="305"/>
      <c r="CP625" s="305"/>
    </row>
    <row r="626" spans="14:94">
      <c r="N626" s="91"/>
      <c r="P626" s="92"/>
      <c r="Z626" s="305"/>
      <c r="AA626" s="305"/>
      <c r="AB626" s="305"/>
      <c r="AC626" s="305"/>
      <c r="AD626" s="305"/>
      <c r="AE626" s="305"/>
      <c r="AF626" s="305"/>
      <c r="AG626" s="305"/>
      <c r="AH626" s="305"/>
      <c r="AI626" s="305"/>
      <c r="AJ626" s="305"/>
      <c r="AK626" s="305"/>
      <c r="AL626" s="305"/>
      <c r="AM626" s="305"/>
      <c r="AN626" s="305"/>
      <c r="AO626" s="305"/>
      <c r="AP626" s="305"/>
      <c r="AQ626" s="305"/>
      <c r="AR626" s="305"/>
      <c r="AS626" s="305"/>
      <c r="AT626" s="305"/>
      <c r="AU626" s="305"/>
      <c r="AV626" s="305"/>
      <c r="AW626" s="305"/>
      <c r="AX626" s="305"/>
      <c r="AY626" s="305"/>
      <c r="AZ626" s="305"/>
      <c r="BA626" s="305"/>
      <c r="BB626" s="305"/>
      <c r="BC626" s="305"/>
      <c r="BJ626" s="305"/>
      <c r="BK626" s="305"/>
      <c r="BL626" s="305"/>
      <c r="BM626" s="305"/>
      <c r="BN626" s="305"/>
      <c r="BO626" s="305"/>
      <c r="BP626" s="305"/>
      <c r="BQ626" s="305"/>
      <c r="BR626" s="305"/>
      <c r="BS626" s="305"/>
      <c r="BT626" s="305"/>
      <c r="BU626" s="305"/>
      <c r="BV626" s="305"/>
      <c r="BW626" s="305"/>
      <c r="BX626" s="305"/>
      <c r="BY626" s="305"/>
      <c r="BZ626" s="305"/>
      <c r="CA626" s="305"/>
      <c r="CB626" s="305"/>
      <c r="CC626" s="305"/>
      <c r="CD626" s="305"/>
      <c r="CE626" s="305"/>
      <c r="CF626" s="305"/>
      <c r="CG626" s="305"/>
      <c r="CH626" s="305"/>
      <c r="CI626" s="305"/>
      <c r="CJ626" s="305"/>
      <c r="CK626" s="305"/>
      <c r="CL626" s="305"/>
      <c r="CM626" s="305"/>
      <c r="CN626" s="305"/>
      <c r="CO626" s="305"/>
      <c r="CP626" s="305"/>
    </row>
    <row r="627" spans="14:94">
      <c r="N627" s="91"/>
      <c r="P627" s="92"/>
      <c r="Z627" s="305"/>
      <c r="AA627" s="305"/>
      <c r="AB627" s="305"/>
      <c r="AC627" s="305"/>
      <c r="AD627" s="305"/>
      <c r="AE627" s="305"/>
      <c r="AF627" s="305"/>
      <c r="AG627" s="305"/>
      <c r="AH627" s="305"/>
      <c r="AI627" s="305"/>
      <c r="AJ627" s="305"/>
      <c r="AK627" s="305"/>
      <c r="AL627" s="305"/>
      <c r="AM627" s="305"/>
      <c r="AN627" s="305"/>
      <c r="AO627" s="305"/>
      <c r="AP627" s="305"/>
      <c r="AQ627" s="305"/>
      <c r="AR627" s="305"/>
      <c r="AS627" s="305"/>
      <c r="AT627" s="305"/>
      <c r="AU627" s="305"/>
      <c r="AV627" s="305"/>
      <c r="AW627" s="305"/>
      <c r="AX627" s="305"/>
      <c r="AY627" s="305"/>
      <c r="AZ627" s="305"/>
      <c r="BA627" s="305"/>
      <c r="BB627" s="305"/>
      <c r="BC627" s="305"/>
      <c r="BJ627" s="305"/>
      <c r="BK627" s="305"/>
      <c r="BL627" s="305"/>
      <c r="BM627" s="305"/>
      <c r="BN627" s="305"/>
      <c r="BO627" s="305"/>
      <c r="BP627" s="305"/>
      <c r="BQ627" s="305"/>
      <c r="BR627" s="305"/>
      <c r="BS627" s="305"/>
      <c r="BT627" s="305"/>
      <c r="BU627" s="305"/>
      <c r="BV627" s="305"/>
      <c r="BW627" s="305"/>
      <c r="BX627" s="305"/>
      <c r="BY627" s="305"/>
      <c r="BZ627" s="305"/>
      <c r="CA627" s="305"/>
      <c r="CB627" s="305"/>
      <c r="CC627" s="305"/>
      <c r="CD627" s="305"/>
      <c r="CE627" s="305"/>
      <c r="CF627" s="305"/>
      <c r="CG627" s="305"/>
      <c r="CH627" s="305"/>
      <c r="CI627" s="305"/>
      <c r="CJ627" s="305"/>
      <c r="CK627" s="305"/>
      <c r="CL627" s="305"/>
      <c r="CM627" s="305"/>
      <c r="CN627" s="305"/>
      <c r="CO627" s="305"/>
      <c r="CP627" s="305"/>
    </row>
    <row r="628" spans="14:94">
      <c r="N628" s="91"/>
      <c r="P628" s="92"/>
      <c r="Z628" s="305"/>
      <c r="AA628" s="305"/>
      <c r="AB628" s="305"/>
      <c r="AC628" s="305"/>
      <c r="AD628" s="305"/>
      <c r="AE628" s="305"/>
      <c r="AF628" s="305"/>
      <c r="AG628" s="305"/>
      <c r="AH628" s="305"/>
      <c r="AI628" s="305"/>
      <c r="AJ628" s="305"/>
      <c r="AK628" s="305"/>
      <c r="AL628" s="305"/>
      <c r="AM628" s="305"/>
      <c r="AN628" s="305"/>
      <c r="AO628" s="305"/>
      <c r="AP628" s="305"/>
      <c r="AQ628" s="305"/>
      <c r="AR628" s="305"/>
      <c r="AS628" s="305"/>
      <c r="AT628" s="305"/>
      <c r="AU628" s="305"/>
      <c r="AV628" s="305"/>
      <c r="AW628" s="305"/>
      <c r="AX628" s="305"/>
      <c r="AY628" s="305"/>
      <c r="AZ628" s="305"/>
      <c r="BA628" s="305"/>
      <c r="BB628" s="305"/>
      <c r="BC628" s="305"/>
      <c r="BJ628" s="305"/>
      <c r="BK628" s="305"/>
      <c r="BL628" s="305"/>
      <c r="BM628" s="305"/>
      <c r="BN628" s="305"/>
      <c r="BO628" s="305"/>
      <c r="BP628" s="305"/>
      <c r="BQ628" s="305"/>
      <c r="BR628" s="305"/>
      <c r="BS628" s="305"/>
      <c r="BT628" s="305"/>
      <c r="BU628" s="305"/>
      <c r="BV628" s="305"/>
      <c r="BW628" s="305"/>
      <c r="BX628" s="305"/>
      <c r="BY628" s="305"/>
      <c r="BZ628" s="305"/>
      <c r="CA628" s="305"/>
      <c r="CB628" s="305"/>
      <c r="CC628" s="305"/>
      <c r="CD628" s="305"/>
      <c r="CE628" s="305"/>
      <c r="CF628" s="305"/>
      <c r="CG628" s="305"/>
      <c r="CH628" s="305"/>
      <c r="CI628" s="305"/>
      <c r="CJ628" s="305"/>
      <c r="CK628" s="305"/>
      <c r="CL628" s="305"/>
      <c r="CM628" s="305"/>
      <c r="CN628" s="305"/>
      <c r="CO628" s="305"/>
      <c r="CP628" s="305"/>
    </row>
    <row r="629" spans="14:94">
      <c r="N629" s="91"/>
      <c r="P629" s="92"/>
      <c r="Z629" s="305"/>
      <c r="AA629" s="305"/>
      <c r="AB629" s="305"/>
      <c r="AC629" s="305"/>
      <c r="AD629" s="305"/>
      <c r="AE629" s="305"/>
      <c r="AF629" s="305"/>
      <c r="AG629" s="305"/>
      <c r="AH629" s="305"/>
      <c r="AI629" s="305"/>
      <c r="AJ629" s="305"/>
      <c r="AK629" s="305"/>
      <c r="AL629" s="305"/>
      <c r="AM629" s="305"/>
      <c r="AN629" s="305"/>
      <c r="AO629" s="305"/>
      <c r="AP629" s="305"/>
      <c r="AQ629" s="305"/>
      <c r="AR629" s="305"/>
      <c r="AS629" s="305"/>
      <c r="AT629" s="305"/>
      <c r="AU629" s="305"/>
      <c r="AV629" s="305"/>
      <c r="AW629" s="305"/>
      <c r="AX629" s="305"/>
      <c r="AY629" s="305"/>
      <c r="AZ629" s="305"/>
      <c r="BA629" s="305"/>
      <c r="BB629" s="305"/>
      <c r="BC629" s="305"/>
      <c r="BJ629" s="305"/>
      <c r="BK629" s="305"/>
      <c r="BL629" s="305"/>
      <c r="BM629" s="305"/>
      <c r="BN629" s="305"/>
      <c r="BO629" s="305"/>
      <c r="BP629" s="305"/>
      <c r="BQ629" s="305"/>
      <c r="BR629" s="305"/>
      <c r="BS629" s="305"/>
      <c r="BT629" s="305"/>
      <c r="BU629" s="305"/>
      <c r="BV629" s="305"/>
      <c r="BW629" s="305"/>
      <c r="BX629" s="305"/>
      <c r="BY629" s="305"/>
      <c r="BZ629" s="305"/>
      <c r="CA629" s="305"/>
      <c r="CB629" s="305"/>
      <c r="CC629" s="305"/>
      <c r="CD629" s="305"/>
      <c r="CE629" s="305"/>
      <c r="CF629" s="305"/>
      <c r="CG629" s="305"/>
      <c r="CH629" s="305"/>
      <c r="CI629" s="305"/>
      <c r="CJ629" s="305"/>
      <c r="CK629" s="305"/>
      <c r="CL629" s="305"/>
      <c r="CM629" s="305"/>
      <c r="CN629" s="305"/>
      <c r="CO629" s="305"/>
      <c r="CP629" s="305"/>
    </row>
    <row r="630" spans="14:94">
      <c r="N630" s="91"/>
      <c r="P630" s="92"/>
      <c r="Z630" s="305"/>
      <c r="AA630" s="305"/>
      <c r="AB630" s="305"/>
      <c r="AC630" s="305"/>
      <c r="AD630" s="305"/>
      <c r="AE630" s="305"/>
      <c r="AF630" s="305"/>
      <c r="AG630" s="305"/>
      <c r="AH630" s="305"/>
      <c r="AI630" s="305"/>
      <c r="AJ630" s="305"/>
      <c r="AK630" s="305"/>
      <c r="AL630" s="305"/>
      <c r="AM630" s="305"/>
      <c r="AN630" s="305"/>
      <c r="AO630" s="305"/>
      <c r="AP630" s="305"/>
      <c r="AQ630" s="305"/>
      <c r="AR630" s="305"/>
      <c r="AS630" s="305"/>
      <c r="AT630" s="305"/>
      <c r="AU630" s="305"/>
      <c r="AV630" s="305"/>
      <c r="AW630" s="305"/>
      <c r="AX630" s="305"/>
      <c r="AY630" s="305"/>
      <c r="AZ630" s="305"/>
      <c r="BA630" s="305"/>
      <c r="BB630" s="305"/>
      <c r="BC630" s="305"/>
      <c r="BJ630" s="305"/>
      <c r="BK630" s="305"/>
      <c r="BL630" s="305"/>
      <c r="BM630" s="305"/>
      <c r="BN630" s="305"/>
      <c r="BO630" s="305"/>
      <c r="BP630" s="305"/>
      <c r="BQ630" s="305"/>
      <c r="BR630" s="305"/>
      <c r="BS630" s="305"/>
      <c r="BT630" s="305"/>
      <c r="BU630" s="305"/>
      <c r="BV630" s="305"/>
      <c r="BW630" s="305"/>
      <c r="BX630" s="305"/>
      <c r="BY630" s="305"/>
      <c r="BZ630" s="305"/>
      <c r="CA630" s="305"/>
      <c r="CB630" s="305"/>
      <c r="CC630" s="305"/>
      <c r="CD630" s="305"/>
      <c r="CE630" s="305"/>
      <c r="CF630" s="305"/>
      <c r="CG630" s="305"/>
      <c r="CH630" s="305"/>
      <c r="CI630" s="305"/>
      <c r="CJ630" s="305"/>
      <c r="CK630" s="305"/>
      <c r="CL630" s="305"/>
      <c r="CM630" s="305"/>
      <c r="CN630" s="305"/>
      <c r="CO630" s="305"/>
      <c r="CP630" s="305"/>
    </row>
    <row r="631" spans="14:94">
      <c r="N631" s="91"/>
      <c r="P631" s="92"/>
      <c r="Z631" s="305"/>
      <c r="AA631" s="305"/>
      <c r="AB631" s="305"/>
      <c r="AC631" s="305"/>
      <c r="AD631" s="305"/>
      <c r="AE631" s="305"/>
      <c r="AF631" s="305"/>
      <c r="AG631" s="305"/>
      <c r="AH631" s="305"/>
      <c r="AI631" s="305"/>
      <c r="AJ631" s="305"/>
      <c r="AK631" s="305"/>
      <c r="AL631" s="305"/>
      <c r="AM631" s="305"/>
      <c r="AN631" s="305"/>
      <c r="AO631" s="305"/>
      <c r="AP631" s="305"/>
      <c r="AQ631" s="305"/>
      <c r="AR631" s="305"/>
      <c r="AS631" s="305"/>
      <c r="AT631" s="305"/>
      <c r="AU631" s="305"/>
      <c r="AV631" s="305"/>
      <c r="AW631" s="305"/>
      <c r="AX631" s="305"/>
      <c r="AY631" s="305"/>
      <c r="AZ631" s="305"/>
      <c r="BA631" s="305"/>
      <c r="BB631" s="305"/>
      <c r="BC631" s="305"/>
      <c r="BJ631" s="305"/>
      <c r="BK631" s="305"/>
      <c r="BL631" s="305"/>
      <c r="BM631" s="305"/>
      <c r="BN631" s="305"/>
      <c r="BO631" s="305"/>
      <c r="BP631" s="305"/>
      <c r="BQ631" s="305"/>
      <c r="BR631" s="305"/>
      <c r="BS631" s="305"/>
      <c r="BT631" s="305"/>
      <c r="BU631" s="305"/>
      <c r="BV631" s="305"/>
      <c r="BW631" s="305"/>
      <c r="BX631" s="305"/>
      <c r="BY631" s="305"/>
      <c r="BZ631" s="305"/>
      <c r="CA631" s="305"/>
      <c r="CB631" s="305"/>
      <c r="CC631" s="305"/>
      <c r="CD631" s="305"/>
      <c r="CE631" s="305"/>
      <c r="CF631" s="305"/>
      <c r="CG631" s="305"/>
      <c r="CH631" s="305"/>
      <c r="CI631" s="305"/>
      <c r="CJ631" s="305"/>
      <c r="CK631" s="305"/>
      <c r="CL631" s="305"/>
      <c r="CM631" s="305"/>
      <c r="CN631" s="305"/>
      <c r="CO631" s="305"/>
      <c r="CP631" s="305"/>
    </row>
    <row r="632" spans="14:94">
      <c r="N632" s="91"/>
      <c r="P632" s="92"/>
      <c r="Z632" s="305"/>
      <c r="AA632" s="305"/>
      <c r="AB632" s="305"/>
      <c r="AC632" s="305"/>
      <c r="AD632" s="305"/>
      <c r="AE632" s="305"/>
      <c r="AF632" s="305"/>
      <c r="AG632" s="305"/>
      <c r="AH632" s="305"/>
      <c r="AI632" s="305"/>
      <c r="AJ632" s="305"/>
      <c r="AK632" s="305"/>
      <c r="AL632" s="305"/>
      <c r="AM632" s="305"/>
      <c r="AN632" s="305"/>
      <c r="AO632" s="305"/>
      <c r="AP632" s="305"/>
      <c r="AQ632" s="305"/>
      <c r="AR632" s="305"/>
      <c r="AS632" s="305"/>
      <c r="AT632" s="305"/>
      <c r="AU632" s="305"/>
      <c r="AV632" s="305"/>
      <c r="AW632" s="305"/>
      <c r="AX632" s="305"/>
      <c r="AY632" s="305"/>
      <c r="AZ632" s="305"/>
      <c r="BA632" s="305"/>
      <c r="BB632" s="305"/>
      <c r="BC632" s="305"/>
      <c r="BJ632" s="305"/>
      <c r="BK632" s="305"/>
      <c r="BL632" s="305"/>
      <c r="BM632" s="305"/>
      <c r="BN632" s="305"/>
      <c r="BO632" s="305"/>
      <c r="BP632" s="305"/>
      <c r="BQ632" s="305"/>
      <c r="BR632" s="305"/>
      <c r="BS632" s="305"/>
      <c r="BT632" s="305"/>
      <c r="BU632" s="305"/>
      <c r="BV632" s="305"/>
      <c r="BW632" s="305"/>
      <c r="BX632" s="305"/>
      <c r="BY632" s="305"/>
      <c r="BZ632" s="305"/>
      <c r="CA632" s="305"/>
      <c r="CB632" s="305"/>
      <c r="CC632" s="305"/>
      <c r="CD632" s="305"/>
      <c r="CE632" s="305"/>
      <c r="CF632" s="305"/>
      <c r="CG632" s="305"/>
      <c r="CH632" s="305"/>
      <c r="CI632" s="305"/>
      <c r="CJ632" s="305"/>
      <c r="CK632" s="305"/>
      <c r="CL632" s="305"/>
      <c r="CM632" s="305"/>
      <c r="CN632" s="305"/>
      <c r="CO632" s="305"/>
      <c r="CP632" s="305"/>
    </row>
    <row r="633" spans="14:94">
      <c r="N633" s="91"/>
      <c r="P633" s="92"/>
      <c r="Z633" s="305"/>
      <c r="AA633" s="305"/>
      <c r="AB633" s="305"/>
      <c r="AC633" s="305"/>
      <c r="AD633" s="305"/>
      <c r="AE633" s="305"/>
      <c r="AF633" s="305"/>
      <c r="AG633" s="305"/>
      <c r="AH633" s="305"/>
      <c r="AI633" s="305"/>
      <c r="AJ633" s="305"/>
      <c r="AK633" s="305"/>
      <c r="AL633" s="305"/>
      <c r="AM633" s="305"/>
      <c r="AN633" s="305"/>
      <c r="AO633" s="305"/>
      <c r="AP633" s="305"/>
      <c r="AQ633" s="305"/>
      <c r="AR633" s="305"/>
      <c r="AS633" s="305"/>
      <c r="AT633" s="305"/>
      <c r="AU633" s="305"/>
      <c r="AV633" s="305"/>
      <c r="AW633" s="305"/>
      <c r="AX633" s="305"/>
      <c r="AY633" s="305"/>
      <c r="AZ633" s="305"/>
      <c r="BA633" s="305"/>
      <c r="BB633" s="305"/>
      <c r="BC633" s="305"/>
      <c r="BJ633" s="305"/>
      <c r="BK633" s="305"/>
      <c r="BL633" s="305"/>
      <c r="BM633" s="305"/>
      <c r="BN633" s="305"/>
      <c r="BO633" s="305"/>
      <c r="BP633" s="305"/>
      <c r="BQ633" s="305"/>
      <c r="BR633" s="305"/>
      <c r="BS633" s="305"/>
      <c r="BT633" s="305"/>
      <c r="BU633" s="305"/>
      <c r="BV633" s="305"/>
      <c r="BW633" s="305"/>
      <c r="BX633" s="305"/>
      <c r="BY633" s="305"/>
      <c r="BZ633" s="305"/>
      <c r="CA633" s="305"/>
      <c r="CB633" s="305"/>
      <c r="CC633" s="305"/>
      <c r="CD633" s="305"/>
      <c r="CE633" s="305"/>
      <c r="CF633" s="305"/>
      <c r="CG633" s="305"/>
      <c r="CH633" s="305"/>
      <c r="CI633" s="305"/>
      <c r="CJ633" s="305"/>
      <c r="CK633" s="305"/>
      <c r="CL633" s="305"/>
      <c r="CM633" s="305"/>
      <c r="CN633" s="305"/>
      <c r="CO633" s="305"/>
      <c r="CP633" s="305"/>
    </row>
    <row r="634" spans="14:94">
      <c r="N634" s="91"/>
      <c r="P634" s="92"/>
      <c r="Z634" s="305"/>
      <c r="AA634" s="305"/>
      <c r="AB634" s="305"/>
      <c r="AC634" s="305"/>
      <c r="AD634" s="305"/>
      <c r="AE634" s="305"/>
      <c r="AF634" s="305"/>
      <c r="AG634" s="305"/>
      <c r="AH634" s="305"/>
      <c r="AI634" s="305"/>
      <c r="AJ634" s="305"/>
      <c r="AK634" s="305"/>
      <c r="AL634" s="305"/>
      <c r="AM634" s="305"/>
      <c r="AN634" s="305"/>
      <c r="AO634" s="305"/>
      <c r="AP634" s="305"/>
      <c r="AQ634" s="305"/>
      <c r="AR634" s="305"/>
      <c r="AS634" s="305"/>
      <c r="AT634" s="305"/>
      <c r="AU634" s="305"/>
      <c r="AV634" s="305"/>
      <c r="AW634" s="305"/>
      <c r="AX634" s="305"/>
      <c r="AY634" s="305"/>
      <c r="AZ634" s="305"/>
      <c r="BA634" s="305"/>
      <c r="BB634" s="305"/>
      <c r="BC634" s="305"/>
      <c r="BJ634" s="305"/>
      <c r="BK634" s="305"/>
      <c r="BL634" s="305"/>
      <c r="BM634" s="305"/>
      <c r="BN634" s="305"/>
      <c r="BO634" s="305"/>
      <c r="BP634" s="305"/>
      <c r="BQ634" s="305"/>
      <c r="BR634" s="305"/>
      <c r="BS634" s="305"/>
      <c r="BT634" s="305"/>
      <c r="BU634" s="305"/>
      <c r="BV634" s="305"/>
      <c r="BW634" s="305"/>
      <c r="BX634" s="305"/>
      <c r="BY634" s="305"/>
      <c r="BZ634" s="305"/>
      <c r="CA634" s="305"/>
      <c r="CB634" s="305"/>
      <c r="CC634" s="305"/>
      <c r="CD634" s="305"/>
      <c r="CE634" s="305"/>
      <c r="CF634" s="305"/>
      <c r="CG634" s="305"/>
      <c r="CH634" s="305"/>
      <c r="CI634" s="305"/>
      <c r="CJ634" s="305"/>
      <c r="CK634" s="305"/>
      <c r="CL634" s="305"/>
      <c r="CM634" s="305"/>
      <c r="CN634" s="305"/>
      <c r="CO634" s="305"/>
      <c r="CP634" s="305"/>
    </row>
    <row r="635" spans="14:94">
      <c r="N635" s="91"/>
      <c r="P635" s="92"/>
      <c r="Z635" s="305"/>
      <c r="AA635" s="305"/>
      <c r="AB635" s="305"/>
      <c r="AC635" s="305"/>
      <c r="AD635" s="305"/>
      <c r="AE635" s="305"/>
      <c r="AF635" s="305"/>
      <c r="AG635" s="305"/>
      <c r="AH635" s="305"/>
      <c r="AI635" s="305"/>
      <c r="AJ635" s="305"/>
      <c r="AK635" s="305"/>
      <c r="AL635" s="305"/>
      <c r="AM635" s="305"/>
      <c r="AN635" s="305"/>
      <c r="AO635" s="305"/>
      <c r="AP635" s="305"/>
      <c r="AQ635" s="305"/>
      <c r="AR635" s="305"/>
      <c r="AS635" s="305"/>
      <c r="AT635" s="305"/>
      <c r="AU635" s="305"/>
      <c r="AV635" s="305"/>
      <c r="AW635" s="305"/>
      <c r="AX635" s="305"/>
      <c r="AY635" s="305"/>
      <c r="AZ635" s="305"/>
      <c r="BA635" s="305"/>
      <c r="BB635" s="305"/>
      <c r="BC635" s="305"/>
      <c r="BJ635" s="305"/>
      <c r="BK635" s="305"/>
      <c r="BL635" s="305"/>
      <c r="BM635" s="305"/>
      <c r="BN635" s="305"/>
      <c r="BO635" s="305"/>
      <c r="BP635" s="305"/>
      <c r="BQ635" s="305"/>
      <c r="BR635" s="305"/>
      <c r="BS635" s="305"/>
      <c r="BT635" s="305"/>
      <c r="BU635" s="305"/>
      <c r="BV635" s="305"/>
      <c r="BW635" s="305"/>
      <c r="BX635" s="305"/>
      <c r="BY635" s="305"/>
      <c r="BZ635" s="305"/>
      <c r="CA635" s="305"/>
      <c r="CB635" s="305"/>
      <c r="CC635" s="305"/>
      <c r="CD635" s="305"/>
      <c r="CE635" s="305"/>
      <c r="CF635" s="305"/>
      <c r="CG635" s="305"/>
      <c r="CH635" s="305"/>
      <c r="CI635" s="305"/>
      <c r="CJ635" s="305"/>
      <c r="CK635" s="305"/>
      <c r="CL635" s="305"/>
      <c r="CM635" s="305"/>
      <c r="CN635" s="305"/>
      <c r="CO635" s="305"/>
      <c r="CP635" s="305"/>
    </row>
    <row r="636" spans="14:94">
      <c r="N636" s="91"/>
      <c r="P636" s="92"/>
      <c r="Z636" s="305"/>
      <c r="AA636" s="305"/>
      <c r="AB636" s="305"/>
      <c r="AC636" s="305"/>
      <c r="AD636" s="305"/>
      <c r="AE636" s="305"/>
      <c r="AF636" s="305"/>
      <c r="AG636" s="305"/>
      <c r="AH636" s="305"/>
      <c r="AI636" s="305"/>
      <c r="AJ636" s="305"/>
      <c r="AK636" s="305"/>
      <c r="AL636" s="305"/>
      <c r="AM636" s="305"/>
      <c r="AN636" s="305"/>
      <c r="AO636" s="305"/>
      <c r="AP636" s="305"/>
      <c r="AQ636" s="305"/>
      <c r="AR636" s="305"/>
      <c r="AS636" s="305"/>
      <c r="AT636" s="305"/>
      <c r="AU636" s="305"/>
      <c r="AV636" s="305"/>
      <c r="AW636" s="305"/>
      <c r="AX636" s="305"/>
      <c r="AY636" s="305"/>
      <c r="AZ636" s="305"/>
      <c r="BA636" s="305"/>
      <c r="BB636" s="305"/>
      <c r="BC636" s="305"/>
      <c r="BJ636" s="305"/>
      <c r="BK636" s="305"/>
      <c r="BL636" s="305"/>
      <c r="BM636" s="305"/>
      <c r="BN636" s="305"/>
      <c r="BO636" s="305"/>
      <c r="BP636" s="305"/>
      <c r="BQ636" s="305"/>
      <c r="BR636" s="305"/>
      <c r="BS636" s="305"/>
      <c r="BT636" s="305"/>
      <c r="BU636" s="305"/>
      <c r="BV636" s="305"/>
      <c r="BW636" s="305"/>
      <c r="BX636" s="305"/>
      <c r="BY636" s="305"/>
      <c r="BZ636" s="305"/>
      <c r="CA636" s="305"/>
      <c r="CB636" s="305"/>
      <c r="CC636" s="305"/>
      <c r="CD636" s="305"/>
      <c r="CE636" s="305"/>
      <c r="CF636" s="305"/>
      <c r="CG636" s="305"/>
      <c r="CH636" s="305"/>
      <c r="CI636" s="305"/>
      <c r="CJ636" s="305"/>
      <c r="CK636" s="305"/>
      <c r="CL636" s="305"/>
      <c r="CM636" s="305"/>
      <c r="CN636" s="305"/>
      <c r="CO636" s="305"/>
      <c r="CP636" s="305"/>
    </row>
    <row r="637" spans="14:94">
      <c r="N637" s="91"/>
      <c r="P637" s="92"/>
      <c r="Z637" s="305"/>
      <c r="AA637" s="305"/>
      <c r="AB637" s="305"/>
      <c r="AC637" s="305"/>
      <c r="AD637" s="305"/>
      <c r="AE637" s="305"/>
      <c r="AF637" s="305"/>
      <c r="AG637" s="305"/>
      <c r="AH637" s="305"/>
      <c r="AI637" s="305"/>
      <c r="AJ637" s="305"/>
      <c r="AK637" s="305"/>
      <c r="AL637" s="305"/>
      <c r="AM637" s="305"/>
      <c r="AN637" s="305"/>
      <c r="AO637" s="305"/>
      <c r="AP637" s="305"/>
      <c r="AQ637" s="305"/>
      <c r="AR637" s="305"/>
      <c r="AS637" s="305"/>
      <c r="AT637" s="305"/>
      <c r="AU637" s="305"/>
      <c r="AV637" s="305"/>
      <c r="AW637" s="305"/>
      <c r="AX637" s="305"/>
      <c r="AY637" s="305"/>
      <c r="AZ637" s="305"/>
      <c r="BA637" s="305"/>
      <c r="BB637" s="305"/>
      <c r="BC637" s="305"/>
      <c r="BJ637" s="305"/>
      <c r="BK637" s="305"/>
      <c r="BL637" s="305"/>
      <c r="BM637" s="305"/>
      <c r="BN637" s="305"/>
      <c r="BO637" s="305"/>
      <c r="BP637" s="305"/>
      <c r="BQ637" s="305"/>
      <c r="BR637" s="305"/>
      <c r="BS637" s="305"/>
      <c r="BT637" s="305"/>
      <c r="BU637" s="305"/>
      <c r="BV637" s="305"/>
      <c r="BW637" s="305"/>
      <c r="BX637" s="305"/>
      <c r="BY637" s="305"/>
      <c r="BZ637" s="305"/>
      <c r="CA637" s="305"/>
      <c r="CB637" s="305"/>
      <c r="CC637" s="305"/>
      <c r="CD637" s="305"/>
      <c r="CE637" s="305"/>
      <c r="CF637" s="305"/>
      <c r="CG637" s="305"/>
      <c r="CH637" s="305"/>
      <c r="CI637" s="305"/>
      <c r="CJ637" s="305"/>
      <c r="CK637" s="305"/>
      <c r="CL637" s="305"/>
      <c r="CM637" s="305"/>
      <c r="CN637" s="305"/>
      <c r="CO637" s="305"/>
      <c r="CP637" s="305"/>
    </row>
    <row r="638" spans="14:94">
      <c r="N638" s="91"/>
      <c r="P638" s="92"/>
      <c r="Z638" s="305"/>
      <c r="AA638" s="305"/>
      <c r="AB638" s="305"/>
      <c r="AC638" s="305"/>
      <c r="AD638" s="305"/>
      <c r="AE638" s="305"/>
      <c r="AF638" s="305"/>
      <c r="AG638" s="305"/>
      <c r="AH638" s="305"/>
      <c r="AI638" s="305"/>
      <c r="AJ638" s="305"/>
      <c r="AK638" s="305"/>
      <c r="AL638" s="305"/>
      <c r="AM638" s="305"/>
      <c r="AN638" s="305"/>
      <c r="AO638" s="305"/>
      <c r="AP638" s="305"/>
      <c r="AQ638" s="305"/>
      <c r="AR638" s="305"/>
      <c r="AS638" s="305"/>
      <c r="AT638" s="305"/>
      <c r="AU638" s="305"/>
      <c r="AV638" s="305"/>
      <c r="AW638" s="305"/>
      <c r="AX638" s="305"/>
      <c r="AY638" s="305"/>
      <c r="AZ638" s="305"/>
      <c r="BA638" s="305"/>
      <c r="BB638" s="305"/>
      <c r="BC638" s="305"/>
      <c r="BJ638" s="305"/>
      <c r="BK638" s="305"/>
      <c r="BL638" s="305"/>
      <c r="BM638" s="305"/>
      <c r="BN638" s="305"/>
      <c r="BO638" s="305"/>
      <c r="BP638" s="305"/>
      <c r="BQ638" s="305"/>
      <c r="BR638" s="305"/>
      <c r="BS638" s="305"/>
      <c r="BT638" s="305"/>
      <c r="BU638" s="305"/>
      <c r="BV638" s="305"/>
      <c r="BW638" s="305"/>
      <c r="BX638" s="305"/>
      <c r="BY638" s="305"/>
      <c r="BZ638" s="305"/>
      <c r="CA638" s="305"/>
      <c r="CB638" s="305"/>
      <c r="CC638" s="305"/>
      <c r="CD638" s="305"/>
      <c r="CE638" s="305"/>
      <c r="CF638" s="305"/>
      <c r="CG638" s="305"/>
      <c r="CH638" s="305"/>
      <c r="CI638" s="305"/>
      <c r="CJ638" s="305"/>
      <c r="CK638" s="305"/>
      <c r="CL638" s="305"/>
      <c r="CM638" s="305"/>
      <c r="CN638" s="305"/>
      <c r="CO638" s="305"/>
      <c r="CP638" s="305"/>
    </row>
    <row r="639" spans="14:94">
      <c r="N639" s="91"/>
      <c r="P639" s="92"/>
      <c r="Z639" s="305"/>
      <c r="AA639" s="305"/>
      <c r="AB639" s="305"/>
      <c r="AC639" s="305"/>
      <c r="AD639" s="305"/>
      <c r="AE639" s="305"/>
      <c r="AF639" s="305"/>
      <c r="AG639" s="305"/>
      <c r="AH639" s="305"/>
      <c r="AI639" s="305"/>
      <c r="AJ639" s="305"/>
      <c r="AK639" s="305"/>
      <c r="AL639" s="305"/>
      <c r="AM639" s="305"/>
      <c r="AN639" s="305"/>
      <c r="AO639" s="305"/>
      <c r="AP639" s="305"/>
      <c r="AQ639" s="305"/>
      <c r="AR639" s="305"/>
      <c r="AS639" s="305"/>
      <c r="AT639" s="305"/>
      <c r="AU639" s="305"/>
      <c r="AV639" s="305"/>
      <c r="AW639" s="305"/>
      <c r="AX639" s="305"/>
      <c r="AY639" s="305"/>
      <c r="AZ639" s="305"/>
      <c r="BA639" s="305"/>
      <c r="BB639" s="305"/>
      <c r="BC639" s="305"/>
      <c r="BJ639" s="305"/>
      <c r="BK639" s="305"/>
      <c r="BL639" s="305"/>
      <c r="BM639" s="305"/>
      <c r="BN639" s="305"/>
      <c r="BO639" s="305"/>
      <c r="BP639" s="305"/>
      <c r="BQ639" s="305"/>
      <c r="BR639" s="305"/>
      <c r="BS639" s="305"/>
      <c r="BT639" s="305"/>
      <c r="BU639" s="305"/>
      <c r="BV639" s="305"/>
      <c r="BW639" s="305"/>
      <c r="BX639" s="305"/>
      <c r="BY639" s="305"/>
      <c r="BZ639" s="305"/>
      <c r="CA639" s="305"/>
      <c r="CB639" s="305"/>
      <c r="CC639" s="305"/>
      <c r="CD639" s="305"/>
      <c r="CE639" s="305"/>
      <c r="CF639" s="305"/>
      <c r="CG639" s="305"/>
      <c r="CH639" s="305"/>
      <c r="CI639" s="305"/>
      <c r="CJ639" s="305"/>
      <c r="CK639" s="305"/>
      <c r="CL639" s="305"/>
      <c r="CM639" s="305"/>
      <c r="CN639" s="305"/>
      <c r="CO639" s="305"/>
      <c r="CP639" s="305"/>
    </row>
    <row r="640" spans="14:94">
      <c r="N640" s="91"/>
      <c r="P640" s="92"/>
      <c r="Z640" s="305"/>
      <c r="AA640" s="305"/>
      <c r="AB640" s="305"/>
      <c r="AC640" s="305"/>
      <c r="AD640" s="305"/>
      <c r="AE640" s="305"/>
      <c r="AF640" s="305"/>
      <c r="AG640" s="305"/>
      <c r="AH640" s="305"/>
      <c r="AI640" s="305"/>
      <c r="AJ640" s="305"/>
      <c r="AK640" s="305"/>
      <c r="AL640" s="305"/>
      <c r="AM640" s="305"/>
      <c r="AN640" s="305"/>
      <c r="AO640" s="305"/>
      <c r="AP640" s="305"/>
      <c r="AQ640" s="305"/>
      <c r="AR640" s="305"/>
      <c r="AS640" s="305"/>
      <c r="AT640" s="305"/>
      <c r="AU640" s="305"/>
      <c r="AV640" s="305"/>
      <c r="AW640" s="305"/>
      <c r="AX640" s="305"/>
      <c r="AY640" s="305"/>
      <c r="AZ640" s="305"/>
      <c r="BA640" s="305"/>
      <c r="BB640" s="305"/>
      <c r="BC640" s="305"/>
      <c r="BJ640" s="305"/>
      <c r="BK640" s="305"/>
      <c r="BL640" s="305"/>
      <c r="BM640" s="305"/>
      <c r="BN640" s="305"/>
      <c r="BO640" s="305"/>
      <c r="BP640" s="305"/>
      <c r="BQ640" s="305"/>
      <c r="BR640" s="305"/>
      <c r="BS640" s="305"/>
      <c r="BT640" s="305"/>
      <c r="BU640" s="305"/>
      <c r="BV640" s="305"/>
      <c r="BW640" s="305"/>
      <c r="BX640" s="305"/>
      <c r="BY640" s="305"/>
      <c r="BZ640" s="305"/>
      <c r="CA640" s="305"/>
      <c r="CB640" s="305"/>
      <c r="CC640" s="305"/>
      <c r="CD640" s="305"/>
      <c r="CE640" s="305"/>
      <c r="CF640" s="305"/>
      <c r="CG640" s="305"/>
      <c r="CH640" s="305"/>
      <c r="CI640" s="305"/>
      <c r="CJ640" s="305"/>
      <c r="CK640" s="305"/>
      <c r="CL640" s="305"/>
      <c r="CM640" s="305"/>
      <c r="CN640" s="305"/>
      <c r="CO640" s="305"/>
      <c r="CP640" s="305"/>
    </row>
    <row r="641" spans="14:94">
      <c r="N641" s="91"/>
      <c r="P641" s="92"/>
      <c r="Z641" s="305"/>
      <c r="AA641" s="305"/>
      <c r="AB641" s="305"/>
      <c r="AC641" s="305"/>
      <c r="AD641" s="305"/>
      <c r="AE641" s="305"/>
      <c r="AF641" s="305"/>
      <c r="AG641" s="305"/>
      <c r="AH641" s="305"/>
      <c r="AI641" s="305"/>
      <c r="AJ641" s="305"/>
      <c r="AK641" s="305"/>
      <c r="AL641" s="305"/>
      <c r="AM641" s="305"/>
      <c r="AN641" s="305"/>
      <c r="AO641" s="305"/>
      <c r="AP641" s="305"/>
      <c r="AQ641" s="305"/>
      <c r="AR641" s="305"/>
      <c r="AS641" s="305"/>
      <c r="AT641" s="305"/>
      <c r="AU641" s="305"/>
      <c r="AV641" s="305"/>
      <c r="AW641" s="305"/>
      <c r="AX641" s="305"/>
      <c r="AY641" s="305"/>
      <c r="AZ641" s="305"/>
      <c r="BA641" s="305"/>
      <c r="BB641" s="305"/>
      <c r="BC641" s="305"/>
      <c r="BJ641" s="305"/>
      <c r="BK641" s="305"/>
      <c r="BL641" s="305"/>
      <c r="BM641" s="305"/>
      <c r="BN641" s="305"/>
      <c r="BO641" s="305"/>
      <c r="BP641" s="305"/>
      <c r="BQ641" s="305"/>
      <c r="BR641" s="305"/>
      <c r="BS641" s="305"/>
      <c r="BT641" s="305"/>
      <c r="BU641" s="305"/>
      <c r="BV641" s="305"/>
      <c r="BW641" s="305"/>
      <c r="BX641" s="305"/>
      <c r="BY641" s="305"/>
      <c r="BZ641" s="305"/>
      <c r="CA641" s="305"/>
      <c r="CB641" s="305"/>
      <c r="CC641" s="305"/>
      <c r="CD641" s="305"/>
      <c r="CE641" s="305"/>
      <c r="CF641" s="305"/>
      <c r="CG641" s="305"/>
      <c r="CH641" s="305"/>
      <c r="CI641" s="305"/>
      <c r="CJ641" s="305"/>
      <c r="CK641" s="305"/>
      <c r="CL641" s="305"/>
      <c r="CM641" s="305"/>
      <c r="CN641" s="305"/>
      <c r="CO641" s="305"/>
      <c r="CP641" s="305"/>
    </row>
    <row r="642" spans="14:94">
      <c r="N642" s="91"/>
      <c r="P642" s="92"/>
      <c r="Z642" s="305"/>
      <c r="AA642" s="305"/>
      <c r="AB642" s="305"/>
      <c r="AC642" s="305"/>
      <c r="AD642" s="305"/>
      <c r="AE642" s="305"/>
      <c r="AF642" s="305"/>
      <c r="AG642" s="305"/>
      <c r="AH642" s="305"/>
      <c r="AI642" s="305"/>
      <c r="AJ642" s="305"/>
      <c r="AK642" s="305"/>
      <c r="AL642" s="305"/>
      <c r="AM642" s="305"/>
      <c r="AN642" s="305"/>
      <c r="AO642" s="305"/>
      <c r="AP642" s="305"/>
      <c r="AQ642" s="305"/>
      <c r="AR642" s="305"/>
      <c r="AS642" s="305"/>
      <c r="AT642" s="305"/>
      <c r="AU642" s="305"/>
      <c r="AV642" s="305"/>
      <c r="AW642" s="305"/>
      <c r="AX642" s="305"/>
      <c r="AY642" s="305"/>
      <c r="AZ642" s="305"/>
      <c r="BA642" s="305"/>
      <c r="BB642" s="305"/>
      <c r="BC642" s="305"/>
      <c r="BJ642" s="305"/>
      <c r="BK642" s="305"/>
      <c r="BL642" s="305"/>
      <c r="BM642" s="305"/>
      <c r="BN642" s="305"/>
      <c r="BO642" s="305"/>
      <c r="BP642" s="305"/>
      <c r="BQ642" s="305"/>
      <c r="BR642" s="305"/>
      <c r="BS642" s="305"/>
      <c r="BT642" s="305"/>
      <c r="BU642" s="305"/>
      <c r="BV642" s="305"/>
      <c r="BW642" s="305"/>
      <c r="BX642" s="305"/>
      <c r="BY642" s="305"/>
      <c r="BZ642" s="305"/>
      <c r="CA642" s="305"/>
      <c r="CB642" s="305"/>
      <c r="CC642" s="305"/>
      <c r="CD642" s="305"/>
      <c r="CE642" s="305"/>
      <c r="CF642" s="305"/>
      <c r="CG642" s="305"/>
      <c r="CH642" s="305"/>
      <c r="CI642" s="305"/>
      <c r="CJ642" s="305"/>
      <c r="CK642" s="305"/>
      <c r="CL642" s="305"/>
      <c r="CM642" s="305"/>
      <c r="CN642" s="305"/>
      <c r="CO642" s="305"/>
      <c r="CP642" s="305"/>
    </row>
    <row r="643" spans="14:94">
      <c r="N643" s="91"/>
      <c r="P643" s="92"/>
      <c r="Z643" s="305"/>
      <c r="AA643" s="305"/>
      <c r="AB643" s="305"/>
      <c r="AC643" s="305"/>
      <c r="AD643" s="305"/>
      <c r="AE643" s="305"/>
      <c r="AF643" s="305"/>
      <c r="AG643" s="305"/>
      <c r="AH643" s="305"/>
      <c r="AI643" s="305"/>
      <c r="AJ643" s="305"/>
      <c r="AK643" s="305"/>
      <c r="AL643" s="305"/>
      <c r="AM643" s="305"/>
      <c r="AN643" s="305"/>
      <c r="AO643" s="305"/>
      <c r="AP643" s="305"/>
      <c r="AQ643" s="305"/>
      <c r="AR643" s="305"/>
      <c r="AS643" s="305"/>
      <c r="AT643" s="305"/>
      <c r="AU643" s="305"/>
      <c r="AV643" s="305"/>
      <c r="AW643" s="305"/>
      <c r="AX643" s="305"/>
      <c r="AY643" s="305"/>
      <c r="AZ643" s="305"/>
      <c r="BA643" s="305"/>
      <c r="BB643" s="305"/>
      <c r="BC643" s="305"/>
      <c r="BJ643" s="305"/>
      <c r="BK643" s="305"/>
      <c r="BL643" s="305"/>
      <c r="BM643" s="305"/>
      <c r="BN643" s="305"/>
      <c r="BO643" s="305"/>
      <c r="BP643" s="305"/>
      <c r="BQ643" s="305"/>
      <c r="BR643" s="305"/>
      <c r="BS643" s="305"/>
      <c r="BT643" s="305"/>
      <c r="BU643" s="305"/>
      <c r="BV643" s="305"/>
      <c r="BW643" s="305"/>
      <c r="BX643" s="305"/>
      <c r="BY643" s="305"/>
      <c r="BZ643" s="305"/>
      <c r="CA643" s="305"/>
      <c r="CB643" s="305"/>
      <c r="CC643" s="305"/>
      <c r="CD643" s="305"/>
      <c r="CE643" s="305"/>
      <c r="CF643" s="305"/>
      <c r="CG643" s="305"/>
      <c r="CH643" s="305"/>
      <c r="CI643" s="305"/>
      <c r="CJ643" s="305"/>
      <c r="CK643" s="305"/>
      <c r="CL643" s="305"/>
      <c r="CM643" s="305"/>
      <c r="CN643" s="305"/>
      <c r="CO643" s="305"/>
      <c r="CP643" s="305"/>
    </row>
    <row r="644" spans="14:94">
      <c r="N644" s="91"/>
      <c r="P644" s="92"/>
      <c r="Z644" s="305"/>
      <c r="AA644" s="305"/>
      <c r="AB644" s="305"/>
      <c r="AC644" s="305"/>
      <c r="AD644" s="305"/>
      <c r="AE644" s="305"/>
      <c r="AF644" s="305"/>
      <c r="AG644" s="305"/>
      <c r="AH644" s="305"/>
      <c r="AI644" s="305"/>
      <c r="AJ644" s="305"/>
      <c r="AK644" s="305"/>
      <c r="AL644" s="305"/>
      <c r="AM644" s="305"/>
      <c r="AN644" s="305"/>
      <c r="AO644" s="305"/>
      <c r="AP644" s="305"/>
      <c r="AQ644" s="305"/>
      <c r="AR644" s="305"/>
      <c r="AS644" s="305"/>
      <c r="AT644" s="305"/>
      <c r="AU644" s="305"/>
      <c r="AV644" s="305"/>
      <c r="AW644" s="305"/>
      <c r="AX644" s="305"/>
      <c r="AY644" s="305"/>
      <c r="AZ644" s="305"/>
      <c r="BA644" s="305"/>
      <c r="BB644" s="305"/>
      <c r="BC644" s="305"/>
      <c r="BJ644" s="305"/>
      <c r="BK644" s="305"/>
      <c r="BL644" s="305"/>
      <c r="BM644" s="305"/>
      <c r="BN644" s="305"/>
      <c r="BO644" s="305"/>
      <c r="BP644" s="305"/>
      <c r="BQ644" s="305"/>
      <c r="BR644" s="305"/>
      <c r="BS644" s="305"/>
      <c r="BT644" s="305"/>
      <c r="BU644" s="305"/>
      <c r="BV644" s="305"/>
      <c r="BW644" s="305"/>
      <c r="BX644" s="305"/>
      <c r="BY644" s="305"/>
      <c r="BZ644" s="305"/>
      <c r="CA644" s="305"/>
      <c r="CB644" s="305"/>
      <c r="CC644" s="305"/>
      <c r="CD644" s="305"/>
      <c r="CE644" s="305"/>
      <c r="CF644" s="305"/>
      <c r="CG644" s="305"/>
      <c r="CH644" s="305"/>
      <c r="CI644" s="305"/>
      <c r="CJ644" s="305"/>
      <c r="CK644" s="305"/>
      <c r="CL644" s="305"/>
      <c r="CM644" s="305"/>
      <c r="CN644" s="305"/>
      <c r="CO644" s="305"/>
      <c r="CP644" s="305"/>
    </row>
    <row r="645" spans="14:94">
      <c r="N645" s="91"/>
      <c r="P645" s="92"/>
      <c r="Z645" s="305"/>
      <c r="AA645" s="305"/>
      <c r="AB645" s="305"/>
      <c r="AC645" s="305"/>
      <c r="AD645" s="305"/>
      <c r="AE645" s="305"/>
      <c r="AF645" s="305"/>
      <c r="AG645" s="305"/>
      <c r="AH645" s="305"/>
      <c r="AI645" s="305"/>
      <c r="AJ645" s="305"/>
      <c r="AK645" s="305"/>
      <c r="AL645" s="305"/>
      <c r="AM645" s="305"/>
      <c r="AN645" s="305"/>
      <c r="AO645" s="305"/>
      <c r="AP645" s="305"/>
      <c r="AQ645" s="305"/>
      <c r="AR645" s="305"/>
      <c r="AS645" s="305"/>
      <c r="AT645" s="305"/>
      <c r="AU645" s="305"/>
      <c r="AV645" s="305"/>
      <c r="AW645" s="305"/>
      <c r="AX645" s="305"/>
      <c r="AY645" s="305"/>
      <c r="AZ645" s="305"/>
      <c r="BA645" s="305"/>
      <c r="BB645" s="305"/>
      <c r="BC645" s="305"/>
      <c r="BJ645" s="305"/>
      <c r="BK645" s="305"/>
      <c r="BL645" s="305"/>
      <c r="BM645" s="305"/>
      <c r="BN645" s="305"/>
      <c r="BO645" s="305"/>
      <c r="BP645" s="305"/>
      <c r="BQ645" s="305"/>
      <c r="BR645" s="305"/>
      <c r="BS645" s="305"/>
      <c r="BT645" s="305"/>
      <c r="BU645" s="305"/>
      <c r="BV645" s="305"/>
      <c r="BW645" s="305"/>
      <c r="BX645" s="305"/>
      <c r="BY645" s="305"/>
      <c r="BZ645" s="305"/>
      <c r="CA645" s="305"/>
      <c r="CB645" s="305"/>
      <c r="CC645" s="305"/>
      <c r="CD645" s="305"/>
      <c r="CE645" s="305"/>
      <c r="CF645" s="305"/>
      <c r="CG645" s="305"/>
      <c r="CH645" s="305"/>
      <c r="CI645" s="305"/>
      <c r="CJ645" s="305"/>
      <c r="CK645" s="305"/>
      <c r="CL645" s="305"/>
      <c r="CM645" s="305"/>
      <c r="CN645" s="305"/>
      <c r="CO645" s="305"/>
      <c r="CP645" s="305"/>
    </row>
    <row r="646" spans="14:94">
      <c r="N646" s="91"/>
      <c r="P646" s="92"/>
      <c r="Z646" s="305"/>
      <c r="AA646" s="305"/>
      <c r="AB646" s="305"/>
      <c r="AC646" s="305"/>
      <c r="AD646" s="305"/>
      <c r="AE646" s="305"/>
      <c r="AF646" s="305"/>
      <c r="AG646" s="305"/>
      <c r="AH646" s="305"/>
      <c r="AI646" s="305"/>
      <c r="AJ646" s="305"/>
      <c r="AK646" s="305"/>
      <c r="AL646" s="305"/>
      <c r="AM646" s="305"/>
      <c r="AN646" s="305"/>
      <c r="AO646" s="305"/>
      <c r="AP646" s="305"/>
      <c r="AQ646" s="305"/>
      <c r="AR646" s="305"/>
      <c r="AS646" s="305"/>
      <c r="AT646" s="305"/>
      <c r="AU646" s="305"/>
      <c r="AV646" s="305"/>
      <c r="AW646" s="305"/>
      <c r="AX646" s="305"/>
      <c r="AY646" s="305"/>
      <c r="AZ646" s="305"/>
      <c r="BA646" s="305"/>
      <c r="BB646" s="305"/>
      <c r="BC646" s="305"/>
      <c r="BJ646" s="305"/>
      <c r="BK646" s="305"/>
      <c r="BL646" s="305"/>
      <c r="BM646" s="305"/>
      <c r="BN646" s="305"/>
      <c r="BO646" s="305"/>
      <c r="BP646" s="305"/>
      <c r="BQ646" s="305"/>
      <c r="BR646" s="305"/>
      <c r="BS646" s="305"/>
      <c r="BT646" s="305"/>
      <c r="BU646" s="305"/>
      <c r="BV646" s="305"/>
      <c r="BW646" s="305"/>
      <c r="BX646" s="305"/>
      <c r="BY646" s="305"/>
      <c r="BZ646" s="305"/>
      <c r="CA646" s="305"/>
      <c r="CB646" s="305"/>
      <c r="CC646" s="305"/>
      <c r="CD646" s="305"/>
      <c r="CE646" s="305"/>
      <c r="CF646" s="305"/>
      <c r="CG646" s="305"/>
      <c r="CH646" s="305"/>
      <c r="CI646" s="305"/>
      <c r="CJ646" s="305"/>
      <c r="CK646" s="305"/>
      <c r="CL646" s="305"/>
      <c r="CM646" s="305"/>
      <c r="CN646" s="305"/>
      <c r="CO646" s="305"/>
      <c r="CP646" s="305"/>
    </row>
    <row r="647" spans="14:94">
      <c r="N647" s="91"/>
      <c r="P647" s="92"/>
      <c r="Z647" s="305"/>
      <c r="AA647" s="305"/>
      <c r="AB647" s="305"/>
      <c r="AC647" s="305"/>
      <c r="AD647" s="305"/>
      <c r="AE647" s="305"/>
      <c r="AF647" s="305"/>
      <c r="AG647" s="305"/>
      <c r="AH647" s="305"/>
      <c r="AI647" s="305"/>
      <c r="AJ647" s="305"/>
      <c r="AK647" s="305"/>
      <c r="AL647" s="305"/>
      <c r="AM647" s="305"/>
      <c r="AN647" s="305"/>
      <c r="AO647" s="305"/>
      <c r="AP647" s="305"/>
      <c r="AQ647" s="305"/>
      <c r="AR647" s="305"/>
      <c r="AS647" s="305"/>
      <c r="AT647" s="305"/>
      <c r="AU647" s="305"/>
      <c r="AV647" s="305"/>
      <c r="AW647" s="305"/>
      <c r="AX647" s="305"/>
      <c r="AY647" s="305"/>
      <c r="AZ647" s="305"/>
      <c r="BA647" s="305"/>
      <c r="BB647" s="305"/>
      <c r="BC647" s="305"/>
      <c r="BJ647" s="305"/>
      <c r="BK647" s="305"/>
      <c r="BL647" s="305"/>
      <c r="BM647" s="305"/>
      <c r="BN647" s="305"/>
      <c r="BO647" s="305"/>
      <c r="BP647" s="305"/>
      <c r="BQ647" s="305"/>
      <c r="BR647" s="305"/>
      <c r="BS647" s="305"/>
      <c r="BT647" s="305"/>
      <c r="BU647" s="305"/>
      <c r="BV647" s="305"/>
      <c r="BW647" s="305"/>
      <c r="BX647" s="305"/>
      <c r="BY647" s="305"/>
      <c r="BZ647" s="305"/>
      <c r="CA647" s="305"/>
      <c r="CB647" s="305"/>
      <c r="CC647" s="305"/>
      <c r="CD647" s="305"/>
      <c r="CE647" s="305"/>
      <c r="CF647" s="305"/>
      <c r="CG647" s="305"/>
      <c r="CH647" s="305"/>
      <c r="CI647" s="305"/>
      <c r="CJ647" s="305"/>
      <c r="CK647" s="305"/>
      <c r="CL647" s="305"/>
      <c r="CM647" s="305"/>
      <c r="CN647" s="305"/>
      <c r="CO647" s="305"/>
      <c r="CP647" s="305"/>
    </row>
    <row r="648" spans="14:94">
      <c r="N648" s="91"/>
      <c r="P648" s="92"/>
      <c r="Z648" s="305"/>
      <c r="AA648" s="305"/>
      <c r="AB648" s="305"/>
      <c r="AC648" s="305"/>
      <c r="AD648" s="305"/>
      <c r="AE648" s="305"/>
      <c r="AF648" s="305"/>
      <c r="AG648" s="305"/>
      <c r="AH648" s="305"/>
      <c r="AI648" s="305"/>
      <c r="AJ648" s="305"/>
      <c r="AK648" s="305"/>
      <c r="AL648" s="305"/>
      <c r="AM648" s="305"/>
      <c r="AN648" s="305"/>
      <c r="AO648" s="305"/>
      <c r="AP648" s="305"/>
      <c r="AQ648" s="305"/>
      <c r="AR648" s="305"/>
      <c r="AS648" s="305"/>
      <c r="AT648" s="305"/>
      <c r="AU648" s="305"/>
      <c r="AV648" s="305"/>
      <c r="AW648" s="305"/>
      <c r="AX648" s="305"/>
      <c r="AY648" s="305"/>
      <c r="AZ648" s="305"/>
      <c r="BA648" s="305"/>
      <c r="BB648" s="305"/>
      <c r="BC648" s="305"/>
      <c r="BJ648" s="305"/>
      <c r="BK648" s="305"/>
      <c r="BL648" s="305"/>
      <c r="BM648" s="305"/>
      <c r="BN648" s="305"/>
      <c r="BO648" s="305"/>
      <c r="BP648" s="305"/>
      <c r="BQ648" s="305"/>
      <c r="BR648" s="305"/>
      <c r="BS648" s="305"/>
      <c r="BT648" s="305"/>
      <c r="BU648" s="305"/>
      <c r="BV648" s="305"/>
      <c r="BW648" s="305"/>
      <c r="BX648" s="305"/>
      <c r="BY648" s="305"/>
      <c r="BZ648" s="305"/>
      <c r="CA648" s="305"/>
      <c r="CB648" s="305"/>
      <c r="CC648" s="305"/>
      <c r="CD648" s="305"/>
      <c r="CE648" s="305"/>
      <c r="CF648" s="305"/>
      <c r="CG648" s="305"/>
      <c r="CH648" s="305"/>
      <c r="CI648" s="305"/>
      <c r="CJ648" s="305"/>
      <c r="CK648" s="305"/>
      <c r="CL648" s="305"/>
      <c r="CM648" s="305"/>
      <c r="CN648" s="305"/>
      <c r="CO648" s="305"/>
      <c r="CP648" s="305"/>
    </row>
    <row r="649" spans="14:94">
      <c r="N649" s="91"/>
      <c r="P649" s="92"/>
      <c r="Z649" s="305"/>
      <c r="AA649" s="305"/>
      <c r="AB649" s="305"/>
      <c r="AC649" s="305"/>
      <c r="AD649" s="305"/>
      <c r="AE649" s="305"/>
      <c r="AF649" s="305"/>
      <c r="AG649" s="305"/>
      <c r="AH649" s="305"/>
      <c r="AI649" s="305"/>
      <c r="AJ649" s="305"/>
      <c r="AK649" s="305"/>
      <c r="AL649" s="305"/>
      <c r="AM649" s="305"/>
      <c r="AN649" s="305"/>
      <c r="AO649" s="305"/>
      <c r="AP649" s="305"/>
      <c r="AQ649" s="305"/>
      <c r="AR649" s="305"/>
      <c r="AS649" s="305"/>
      <c r="AT649" s="305"/>
      <c r="AU649" s="305"/>
      <c r="AV649" s="305"/>
      <c r="AW649" s="305"/>
      <c r="AX649" s="305"/>
      <c r="AY649" s="305"/>
      <c r="AZ649" s="305"/>
      <c r="BA649" s="305"/>
      <c r="BB649" s="305"/>
      <c r="BC649" s="305"/>
      <c r="BJ649" s="305"/>
      <c r="BK649" s="305"/>
      <c r="BL649" s="305"/>
      <c r="BM649" s="305"/>
      <c r="BN649" s="305"/>
      <c r="BO649" s="305"/>
      <c r="BP649" s="305"/>
      <c r="BQ649" s="305"/>
      <c r="BR649" s="305"/>
      <c r="BS649" s="305"/>
      <c r="BT649" s="305"/>
      <c r="BU649" s="305"/>
      <c r="BV649" s="305"/>
      <c r="BW649" s="305"/>
      <c r="BX649" s="305"/>
      <c r="BY649" s="305"/>
      <c r="BZ649" s="305"/>
      <c r="CA649" s="305"/>
      <c r="CB649" s="305"/>
      <c r="CC649" s="305"/>
      <c r="CD649" s="305"/>
      <c r="CE649" s="305"/>
      <c r="CF649" s="305"/>
      <c r="CG649" s="305"/>
      <c r="CH649" s="305"/>
      <c r="CI649" s="305"/>
      <c r="CJ649" s="305"/>
      <c r="CK649" s="305"/>
      <c r="CL649" s="305"/>
      <c r="CM649" s="305"/>
      <c r="CN649" s="305"/>
      <c r="CO649" s="305"/>
      <c r="CP649" s="305"/>
    </row>
    <row r="650" spans="14:94">
      <c r="N650" s="91"/>
      <c r="P650" s="92"/>
      <c r="Z650" s="305"/>
      <c r="AA650" s="305"/>
      <c r="AB650" s="305"/>
      <c r="AC650" s="305"/>
      <c r="AD650" s="305"/>
      <c r="AE650" s="305"/>
      <c r="AF650" s="305"/>
      <c r="AG650" s="305"/>
      <c r="AH650" s="305"/>
      <c r="AI650" s="305"/>
      <c r="AJ650" s="305"/>
      <c r="AK650" s="305"/>
      <c r="AL650" s="305"/>
      <c r="AM650" s="305"/>
      <c r="AN650" s="305"/>
      <c r="AO650" s="305"/>
      <c r="AP650" s="305"/>
      <c r="AQ650" s="305"/>
      <c r="AR650" s="305"/>
      <c r="AS650" s="305"/>
      <c r="AT650" s="305"/>
      <c r="AU650" s="305"/>
      <c r="AV650" s="305"/>
      <c r="AW650" s="305"/>
      <c r="AX650" s="305"/>
      <c r="AY650" s="305"/>
      <c r="AZ650" s="305"/>
      <c r="BA650" s="305"/>
      <c r="BB650" s="305"/>
      <c r="BC650" s="305"/>
      <c r="BJ650" s="305"/>
      <c r="BK650" s="305"/>
      <c r="BL650" s="305"/>
      <c r="BM650" s="305"/>
      <c r="BN650" s="305"/>
      <c r="BO650" s="305"/>
      <c r="BP650" s="305"/>
      <c r="BQ650" s="305"/>
      <c r="BR650" s="305"/>
      <c r="BS650" s="305"/>
      <c r="BT650" s="305"/>
      <c r="BU650" s="305"/>
      <c r="BV650" s="305"/>
      <c r="BW650" s="305"/>
      <c r="BX650" s="305"/>
      <c r="BY650" s="305"/>
      <c r="BZ650" s="305"/>
      <c r="CA650" s="305"/>
      <c r="CB650" s="305"/>
      <c r="CC650" s="305"/>
      <c r="CD650" s="305"/>
      <c r="CE650" s="305"/>
      <c r="CF650" s="305"/>
      <c r="CG650" s="305"/>
      <c r="CH650" s="305"/>
      <c r="CI650" s="305"/>
      <c r="CJ650" s="305"/>
      <c r="CK650" s="305"/>
      <c r="CL650" s="305"/>
      <c r="CM650" s="305"/>
      <c r="CN650" s="305"/>
      <c r="CO650" s="305"/>
      <c r="CP650" s="305"/>
    </row>
    <row r="651" spans="14:94">
      <c r="N651" s="91"/>
      <c r="P651" s="92"/>
      <c r="Z651" s="305"/>
      <c r="AA651" s="305"/>
      <c r="AB651" s="305"/>
      <c r="AC651" s="305"/>
      <c r="AD651" s="305"/>
      <c r="AE651" s="305"/>
      <c r="AF651" s="305"/>
      <c r="AG651" s="305"/>
      <c r="AH651" s="305"/>
      <c r="AI651" s="305"/>
      <c r="AJ651" s="305"/>
      <c r="AK651" s="305"/>
      <c r="AL651" s="305"/>
      <c r="AM651" s="305"/>
      <c r="AN651" s="305"/>
      <c r="AO651" s="305"/>
      <c r="AP651" s="305"/>
      <c r="AQ651" s="305"/>
      <c r="AR651" s="305"/>
      <c r="AS651" s="305"/>
      <c r="AT651" s="305"/>
      <c r="AU651" s="305"/>
      <c r="AV651" s="305"/>
      <c r="AW651" s="305"/>
      <c r="AX651" s="305"/>
      <c r="AY651" s="305"/>
      <c r="AZ651" s="305"/>
      <c r="BA651" s="305"/>
      <c r="BB651" s="305"/>
      <c r="BC651" s="305"/>
      <c r="BJ651" s="305"/>
      <c r="BK651" s="305"/>
      <c r="BL651" s="305"/>
      <c r="BM651" s="305"/>
      <c r="BN651" s="305"/>
      <c r="BO651" s="305"/>
      <c r="BP651" s="305"/>
      <c r="BQ651" s="305"/>
      <c r="BR651" s="305"/>
      <c r="BS651" s="305"/>
      <c r="BT651" s="305"/>
      <c r="BU651" s="305"/>
      <c r="BV651" s="305"/>
      <c r="BW651" s="305"/>
      <c r="BX651" s="305"/>
      <c r="BY651" s="305"/>
      <c r="BZ651" s="305"/>
      <c r="CA651" s="305"/>
      <c r="CB651" s="305"/>
      <c r="CC651" s="305"/>
      <c r="CD651" s="305"/>
      <c r="CE651" s="305"/>
      <c r="CF651" s="305"/>
      <c r="CG651" s="305"/>
      <c r="CH651" s="305"/>
      <c r="CI651" s="305"/>
      <c r="CJ651" s="305"/>
      <c r="CK651" s="305"/>
      <c r="CL651" s="305"/>
      <c r="CM651" s="305"/>
      <c r="CN651" s="305"/>
      <c r="CO651" s="305"/>
      <c r="CP651" s="305"/>
    </row>
    <row r="652" spans="14:94">
      <c r="N652" s="91"/>
      <c r="P652" s="92"/>
      <c r="Z652" s="305"/>
      <c r="AA652" s="305"/>
      <c r="AB652" s="305"/>
      <c r="AC652" s="305"/>
      <c r="AD652" s="305"/>
      <c r="AE652" s="305"/>
      <c r="AF652" s="305"/>
      <c r="AG652" s="305"/>
      <c r="AH652" s="305"/>
      <c r="AI652" s="305"/>
      <c r="AJ652" s="305"/>
      <c r="AK652" s="305"/>
      <c r="AL652" s="305"/>
      <c r="AM652" s="305"/>
      <c r="AN652" s="305"/>
      <c r="AO652" s="305"/>
      <c r="AP652" s="305"/>
      <c r="AQ652" s="305"/>
      <c r="AR652" s="305"/>
      <c r="AS652" s="305"/>
      <c r="AT652" s="305"/>
      <c r="AU652" s="305"/>
      <c r="AV652" s="305"/>
      <c r="AW652" s="305"/>
      <c r="AX652" s="305"/>
      <c r="AY652" s="305"/>
      <c r="AZ652" s="305"/>
      <c r="BA652" s="305"/>
      <c r="BB652" s="305"/>
      <c r="BC652" s="305"/>
      <c r="BJ652" s="305"/>
      <c r="BK652" s="305"/>
      <c r="BL652" s="305"/>
      <c r="BM652" s="305"/>
      <c r="BN652" s="305"/>
      <c r="BO652" s="305"/>
      <c r="BP652" s="305"/>
      <c r="BQ652" s="305"/>
      <c r="BR652" s="305"/>
      <c r="BS652" s="305"/>
      <c r="BT652" s="305"/>
      <c r="BU652" s="305"/>
      <c r="BV652" s="305"/>
      <c r="BW652" s="305"/>
      <c r="BX652" s="305"/>
      <c r="BY652" s="305"/>
      <c r="BZ652" s="305"/>
      <c r="CA652" s="305"/>
      <c r="CB652" s="305"/>
      <c r="CC652" s="305"/>
      <c r="CD652" s="305"/>
      <c r="CE652" s="305"/>
      <c r="CF652" s="305"/>
      <c r="CG652" s="305"/>
      <c r="CH652" s="305"/>
      <c r="CI652" s="305"/>
      <c r="CJ652" s="305"/>
      <c r="CK652" s="305"/>
      <c r="CL652" s="305"/>
      <c r="CM652" s="305"/>
      <c r="CN652" s="305"/>
      <c r="CO652" s="305"/>
      <c r="CP652" s="305"/>
    </row>
    <row r="653" spans="14:94">
      <c r="N653" s="91"/>
      <c r="P653" s="92"/>
      <c r="Z653" s="305"/>
      <c r="AA653" s="305"/>
      <c r="AB653" s="305"/>
      <c r="AC653" s="305"/>
      <c r="AD653" s="305"/>
      <c r="AE653" s="305"/>
      <c r="AF653" s="305"/>
      <c r="AG653" s="305"/>
      <c r="AH653" s="305"/>
      <c r="AI653" s="305"/>
      <c r="AJ653" s="305"/>
      <c r="AK653" s="305"/>
      <c r="AL653" s="305"/>
      <c r="AM653" s="305"/>
      <c r="AN653" s="305"/>
      <c r="AO653" s="305"/>
      <c r="AP653" s="305"/>
      <c r="AQ653" s="305"/>
      <c r="AR653" s="305"/>
      <c r="AS653" s="305"/>
      <c r="AT653" s="305"/>
      <c r="AU653" s="305"/>
      <c r="AV653" s="305"/>
      <c r="AW653" s="305"/>
      <c r="AX653" s="305"/>
      <c r="AY653" s="305"/>
      <c r="AZ653" s="305"/>
      <c r="BA653" s="305"/>
      <c r="BB653" s="305"/>
      <c r="BC653" s="305"/>
      <c r="BJ653" s="305"/>
      <c r="BK653" s="305"/>
      <c r="BL653" s="305"/>
      <c r="BM653" s="305"/>
      <c r="BN653" s="305"/>
      <c r="BO653" s="305"/>
      <c r="BP653" s="305"/>
      <c r="BQ653" s="305"/>
      <c r="BR653" s="305"/>
      <c r="BS653" s="305"/>
      <c r="BT653" s="305"/>
      <c r="BU653" s="305"/>
      <c r="BV653" s="305"/>
      <c r="BW653" s="305"/>
      <c r="BX653" s="305"/>
      <c r="BY653" s="305"/>
      <c r="BZ653" s="305"/>
      <c r="CA653" s="305"/>
      <c r="CB653" s="305"/>
      <c r="CC653" s="305"/>
      <c r="CD653" s="305"/>
      <c r="CE653" s="305"/>
      <c r="CF653" s="305"/>
      <c r="CG653" s="305"/>
      <c r="CH653" s="305"/>
      <c r="CI653" s="305"/>
      <c r="CJ653" s="305"/>
      <c r="CK653" s="305"/>
      <c r="CL653" s="305"/>
      <c r="CM653" s="305"/>
      <c r="CN653" s="305"/>
      <c r="CO653" s="305"/>
      <c r="CP653" s="305"/>
    </row>
    <row r="654" spans="14:94">
      <c r="N654" s="91"/>
      <c r="P654" s="92"/>
      <c r="Z654" s="305"/>
      <c r="AA654" s="305"/>
      <c r="AB654" s="305"/>
      <c r="AC654" s="305"/>
      <c r="AD654" s="305"/>
      <c r="AE654" s="305"/>
      <c r="AF654" s="305"/>
      <c r="AG654" s="305"/>
      <c r="AH654" s="305"/>
      <c r="AI654" s="305"/>
      <c r="AJ654" s="305"/>
      <c r="AK654" s="305"/>
      <c r="AL654" s="305"/>
      <c r="AM654" s="305"/>
      <c r="AN654" s="305"/>
      <c r="AO654" s="305"/>
      <c r="AP654" s="305"/>
      <c r="AQ654" s="305"/>
      <c r="AR654" s="305"/>
      <c r="AS654" s="305"/>
      <c r="AT654" s="305"/>
      <c r="AU654" s="305"/>
      <c r="AV654" s="305"/>
      <c r="AW654" s="305"/>
      <c r="AX654" s="305"/>
      <c r="AY654" s="305"/>
      <c r="AZ654" s="305"/>
      <c r="BA654" s="305"/>
      <c r="BB654" s="305"/>
      <c r="BC654" s="305"/>
      <c r="BJ654" s="305"/>
      <c r="BK654" s="305"/>
      <c r="BL654" s="305"/>
      <c r="BM654" s="305"/>
      <c r="BN654" s="305"/>
      <c r="BO654" s="305"/>
      <c r="BP654" s="305"/>
      <c r="BQ654" s="305"/>
      <c r="BR654" s="305"/>
      <c r="BS654" s="305"/>
      <c r="BT654" s="305"/>
      <c r="BU654" s="305"/>
      <c r="BV654" s="305"/>
      <c r="BW654" s="305"/>
      <c r="BX654" s="305"/>
      <c r="BY654" s="305"/>
      <c r="BZ654" s="305"/>
      <c r="CA654" s="305"/>
      <c r="CB654" s="305"/>
      <c r="CC654" s="305"/>
      <c r="CD654" s="305"/>
      <c r="CE654" s="305"/>
      <c r="CF654" s="305"/>
      <c r="CG654" s="305"/>
      <c r="CH654" s="305"/>
      <c r="CI654" s="305"/>
      <c r="CJ654" s="305"/>
      <c r="CK654" s="305"/>
      <c r="CL654" s="305"/>
      <c r="CM654" s="305"/>
      <c r="CN654" s="305"/>
      <c r="CO654" s="305"/>
      <c r="CP654" s="305"/>
    </row>
    <row r="655" spans="14:94">
      <c r="N655" s="91"/>
      <c r="P655" s="92"/>
      <c r="Z655" s="305"/>
      <c r="AA655" s="305"/>
      <c r="AB655" s="305"/>
      <c r="AC655" s="305"/>
      <c r="AD655" s="305"/>
      <c r="AE655" s="305"/>
      <c r="AF655" s="305"/>
      <c r="AG655" s="305"/>
      <c r="AH655" s="305"/>
      <c r="AI655" s="305"/>
      <c r="AJ655" s="305"/>
      <c r="AK655" s="305"/>
      <c r="AL655" s="305"/>
      <c r="AM655" s="305"/>
      <c r="AN655" s="305"/>
      <c r="AO655" s="305"/>
      <c r="AP655" s="305"/>
      <c r="AQ655" s="305"/>
      <c r="AR655" s="305"/>
      <c r="AS655" s="305"/>
      <c r="AT655" s="305"/>
      <c r="AU655" s="305"/>
      <c r="AV655" s="305"/>
      <c r="AW655" s="305"/>
      <c r="AX655" s="305"/>
      <c r="AY655" s="305"/>
      <c r="AZ655" s="305"/>
      <c r="BA655" s="305"/>
      <c r="BB655" s="305"/>
      <c r="BC655" s="305"/>
      <c r="BJ655" s="305"/>
      <c r="BK655" s="305"/>
      <c r="BL655" s="305"/>
      <c r="BM655" s="305"/>
      <c r="BN655" s="305"/>
      <c r="BO655" s="305"/>
      <c r="BP655" s="305"/>
      <c r="BQ655" s="305"/>
      <c r="BR655" s="305"/>
      <c r="BS655" s="305"/>
      <c r="BT655" s="305"/>
      <c r="BU655" s="305"/>
      <c r="BV655" s="305"/>
      <c r="BW655" s="305"/>
      <c r="BX655" s="305"/>
      <c r="BY655" s="305"/>
      <c r="BZ655" s="305"/>
      <c r="CA655" s="305"/>
      <c r="CB655" s="305"/>
      <c r="CC655" s="305"/>
      <c r="CD655" s="305"/>
      <c r="CE655" s="305"/>
      <c r="CF655" s="305"/>
      <c r="CG655" s="305"/>
      <c r="CH655" s="305"/>
      <c r="CI655" s="305"/>
      <c r="CJ655" s="305"/>
      <c r="CK655" s="305"/>
      <c r="CL655" s="305"/>
      <c r="CM655" s="305"/>
      <c r="CN655" s="305"/>
      <c r="CO655" s="305"/>
      <c r="CP655" s="305"/>
    </row>
    <row r="656" spans="14:94">
      <c r="N656" s="91"/>
      <c r="P656" s="92"/>
      <c r="Z656" s="305"/>
      <c r="AA656" s="305"/>
      <c r="AB656" s="305"/>
      <c r="AC656" s="305"/>
      <c r="AD656" s="305"/>
      <c r="AE656" s="305"/>
      <c r="AF656" s="305"/>
      <c r="AG656" s="305"/>
      <c r="AH656" s="305"/>
      <c r="AI656" s="305"/>
      <c r="AJ656" s="305"/>
      <c r="AK656" s="305"/>
      <c r="AL656" s="305"/>
      <c r="AM656" s="305"/>
      <c r="AN656" s="305"/>
      <c r="AO656" s="305"/>
      <c r="AP656" s="305"/>
      <c r="AQ656" s="305"/>
      <c r="AR656" s="305"/>
      <c r="AS656" s="305"/>
      <c r="AT656" s="305"/>
      <c r="AU656" s="305"/>
      <c r="AV656" s="305"/>
      <c r="AW656" s="305"/>
      <c r="AX656" s="305"/>
      <c r="AY656" s="305"/>
      <c r="AZ656" s="305"/>
      <c r="BA656" s="305"/>
      <c r="BB656" s="305"/>
      <c r="BC656" s="305"/>
      <c r="BJ656" s="305"/>
      <c r="BK656" s="305"/>
      <c r="BL656" s="305"/>
      <c r="BM656" s="305"/>
      <c r="BN656" s="305"/>
      <c r="BO656" s="305"/>
      <c r="BP656" s="305"/>
      <c r="BQ656" s="305"/>
      <c r="BR656" s="305"/>
      <c r="BS656" s="305"/>
      <c r="BT656" s="305"/>
      <c r="BU656" s="305"/>
      <c r="BV656" s="305"/>
      <c r="BW656" s="305"/>
      <c r="BX656" s="305"/>
      <c r="BY656" s="305"/>
      <c r="BZ656" s="305"/>
      <c r="CA656" s="305"/>
      <c r="CB656" s="305"/>
      <c r="CC656" s="305"/>
      <c r="CD656" s="305"/>
      <c r="CE656" s="305"/>
      <c r="CF656" s="305"/>
      <c r="CG656" s="305"/>
      <c r="CH656" s="305"/>
      <c r="CI656" s="305"/>
      <c r="CJ656" s="305"/>
      <c r="CK656" s="305"/>
      <c r="CL656" s="305"/>
      <c r="CM656" s="305"/>
      <c r="CN656" s="305"/>
      <c r="CO656" s="305"/>
      <c r="CP656" s="305"/>
    </row>
    <row r="657" spans="14:94">
      <c r="N657" s="91"/>
      <c r="P657" s="92"/>
      <c r="Z657" s="305"/>
      <c r="AA657" s="305"/>
      <c r="AB657" s="305"/>
      <c r="AC657" s="305"/>
      <c r="AD657" s="305"/>
      <c r="AE657" s="305"/>
      <c r="AF657" s="305"/>
      <c r="AG657" s="305"/>
      <c r="AH657" s="305"/>
      <c r="AI657" s="305"/>
      <c r="AJ657" s="305"/>
      <c r="AK657" s="305"/>
      <c r="AL657" s="305"/>
      <c r="AM657" s="305"/>
      <c r="AN657" s="305"/>
      <c r="AO657" s="305"/>
      <c r="AP657" s="305"/>
      <c r="AQ657" s="305"/>
      <c r="AR657" s="305"/>
      <c r="AS657" s="305"/>
      <c r="AT657" s="305"/>
      <c r="AU657" s="305"/>
      <c r="AV657" s="305"/>
      <c r="AW657" s="305"/>
      <c r="AX657" s="305"/>
      <c r="AY657" s="305"/>
      <c r="AZ657" s="305"/>
      <c r="BA657" s="305"/>
      <c r="BB657" s="305"/>
      <c r="BC657" s="305"/>
      <c r="BJ657" s="305"/>
      <c r="BK657" s="305"/>
      <c r="BL657" s="305"/>
      <c r="BM657" s="305"/>
      <c r="BN657" s="305"/>
      <c r="BO657" s="305"/>
      <c r="BP657" s="305"/>
      <c r="BQ657" s="305"/>
      <c r="BR657" s="305"/>
      <c r="BS657" s="305"/>
      <c r="BT657" s="305"/>
      <c r="BU657" s="305"/>
      <c r="BV657" s="305"/>
      <c r="BW657" s="305"/>
      <c r="BX657" s="305"/>
      <c r="BY657" s="305"/>
      <c r="BZ657" s="305"/>
      <c r="CA657" s="305"/>
      <c r="CB657" s="305"/>
      <c r="CC657" s="305"/>
      <c r="CD657" s="305"/>
      <c r="CE657" s="305"/>
      <c r="CF657" s="305"/>
      <c r="CG657" s="305"/>
      <c r="CH657" s="305"/>
      <c r="CI657" s="305"/>
      <c r="CJ657" s="305"/>
      <c r="CK657" s="305"/>
      <c r="CL657" s="305"/>
      <c r="CM657" s="305"/>
      <c r="CN657" s="305"/>
      <c r="CO657" s="305"/>
      <c r="CP657" s="305"/>
    </row>
    <row r="658" spans="14:94">
      <c r="N658" s="91"/>
      <c r="P658" s="92"/>
      <c r="Z658" s="305"/>
      <c r="AA658" s="305"/>
      <c r="AB658" s="305"/>
      <c r="AC658" s="305"/>
      <c r="AD658" s="305"/>
      <c r="AE658" s="305"/>
      <c r="AF658" s="305"/>
      <c r="AG658" s="305"/>
      <c r="AH658" s="305"/>
      <c r="AI658" s="305"/>
      <c r="AJ658" s="305"/>
      <c r="AK658" s="305"/>
      <c r="AL658" s="305"/>
      <c r="AM658" s="305"/>
      <c r="AN658" s="305"/>
      <c r="AO658" s="305"/>
      <c r="AP658" s="305"/>
      <c r="AQ658" s="305"/>
      <c r="AR658" s="305"/>
      <c r="AS658" s="305"/>
      <c r="AT658" s="305"/>
      <c r="AU658" s="305"/>
      <c r="AV658" s="305"/>
      <c r="AW658" s="305"/>
      <c r="AX658" s="305"/>
      <c r="AY658" s="305"/>
      <c r="AZ658" s="305"/>
      <c r="BA658" s="305"/>
      <c r="BB658" s="305"/>
      <c r="BC658" s="305"/>
      <c r="BJ658" s="305"/>
      <c r="BK658" s="305"/>
      <c r="BL658" s="305"/>
      <c r="BM658" s="305"/>
      <c r="BN658" s="305"/>
      <c r="BO658" s="305"/>
      <c r="BP658" s="305"/>
      <c r="BQ658" s="305"/>
      <c r="BR658" s="305"/>
      <c r="BS658" s="305"/>
      <c r="BT658" s="305"/>
      <c r="BU658" s="305"/>
      <c r="BV658" s="305"/>
      <c r="BW658" s="305"/>
      <c r="BX658" s="305"/>
      <c r="BY658" s="305"/>
      <c r="BZ658" s="305"/>
      <c r="CA658" s="305"/>
      <c r="CB658" s="305"/>
      <c r="CC658" s="305"/>
      <c r="CD658" s="305"/>
      <c r="CE658" s="305"/>
      <c r="CF658" s="305"/>
      <c r="CG658" s="305"/>
      <c r="CH658" s="305"/>
      <c r="CI658" s="305"/>
      <c r="CJ658" s="305"/>
      <c r="CK658" s="305"/>
      <c r="CL658" s="305"/>
      <c r="CM658" s="305"/>
      <c r="CN658" s="305"/>
      <c r="CO658" s="305"/>
      <c r="CP658" s="305"/>
    </row>
    <row r="659" spans="14:94">
      <c r="N659" s="91"/>
      <c r="P659" s="92"/>
      <c r="Z659" s="305"/>
      <c r="AA659" s="305"/>
      <c r="AB659" s="305"/>
      <c r="AC659" s="305"/>
      <c r="AD659" s="305"/>
      <c r="AE659" s="305"/>
      <c r="AF659" s="305"/>
      <c r="AG659" s="305"/>
      <c r="AH659" s="305"/>
      <c r="AI659" s="305"/>
      <c r="AJ659" s="305"/>
      <c r="AK659" s="305"/>
      <c r="AL659" s="305"/>
      <c r="AM659" s="305"/>
      <c r="AN659" s="305"/>
      <c r="AO659" s="305"/>
      <c r="AP659" s="305"/>
      <c r="AQ659" s="305"/>
      <c r="AR659" s="305"/>
      <c r="AS659" s="305"/>
      <c r="AT659" s="305"/>
      <c r="AU659" s="305"/>
      <c r="AV659" s="305"/>
      <c r="AW659" s="305"/>
      <c r="AX659" s="305"/>
      <c r="AY659" s="305"/>
      <c r="AZ659" s="305"/>
      <c r="BA659" s="305"/>
      <c r="BB659" s="305"/>
      <c r="BC659" s="305"/>
      <c r="BJ659" s="305"/>
      <c r="BK659" s="305"/>
      <c r="BL659" s="305"/>
      <c r="BM659" s="305"/>
      <c r="BN659" s="305"/>
      <c r="BO659" s="305"/>
      <c r="BP659" s="305"/>
      <c r="BQ659" s="305"/>
      <c r="BR659" s="305"/>
      <c r="BS659" s="305"/>
      <c r="BT659" s="305"/>
      <c r="BU659" s="305"/>
      <c r="BV659" s="305"/>
      <c r="BW659" s="305"/>
      <c r="BX659" s="305"/>
      <c r="BY659" s="305"/>
      <c r="BZ659" s="305"/>
      <c r="CA659" s="305"/>
      <c r="CB659" s="305"/>
      <c r="CC659" s="305"/>
      <c r="CD659" s="305"/>
      <c r="CE659" s="305"/>
      <c r="CF659" s="305"/>
      <c r="CG659" s="305"/>
      <c r="CH659" s="305"/>
      <c r="CI659" s="305"/>
      <c r="CJ659" s="305"/>
      <c r="CK659" s="305"/>
      <c r="CL659" s="305"/>
      <c r="CM659" s="305"/>
      <c r="CN659" s="305"/>
      <c r="CO659" s="305"/>
      <c r="CP659" s="305"/>
    </row>
    <row r="660" spans="14:94">
      <c r="N660" s="91"/>
      <c r="P660" s="92"/>
      <c r="Z660" s="305"/>
      <c r="AA660" s="305"/>
      <c r="AB660" s="305"/>
      <c r="AC660" s="305"/>
      <c r="AD660" s="305"/>
      <c r="AE660" s="305"/>
      <c r="AF660" s="305"/>
      <c r="AG660" s="305"/>
      <c r="AH660" s="305"/>
      <c r="AI660" s="305"/>
      <c r="AJ660" s="305"/>
      <c r="AK660" s="305"/>
      <c r="AL660" s="305"/>
      <c r="AM660" s="305"/>
      <c r="AN660" s="305"/>
      <c r="AO660" s="305"/>
      <c r="AP660" s="305"/>
      <c r="AQ660" s="305"/>
      <c r="AR660" s="305"/>
      <c r="AS660" s="305"/>
      <c r="AT660" s="305"/>
      <c r="AU660" s="305"/>
      <c r="AV660" s="305"/>
      <c r="AW660" s="305"/>
      <c r="AX660" s="305"/>
      <c r="AY660" s="305"/>
      <c r="AZ660" s="305"/>
      <c r="BA660" s="305"/>
      <c r="BB660" s="305"/>
      <c r="BC660" s="305"/>
      <c r="BJ660" s="305"/>
      <c r="BK660" s="305"/>
      <c r="BL660" s="305"/>
      <c r="BM660" s="305"/>
      <c r="BN660" s="305"/>
      <c r="BO660" s="305"/>
      <c r="BP660" s="305"/>
      <c r="BQ660" s="305"/>
      <c r="BR660" s="305"/>
      <c r="BS660" s="305"/>
      <c r="BT660" s="305"/>
      <c r="BU660" s="305"/>
      <c r="BV660" s="305"/>
      <c r="BW660" s="305"/>
      <c r="BX660" s="305"/>
      <c r="BY660" s="305"/>
      <c r="BZ660" s="305"/>
      <c r="CA660" s="305"/>
      <c r="CB660" s="305"/>
      <c r="CC660" s="305"/>
      <c r="CD660" s="305"/>
      <c r="CE660" s="305"/>
      <c r="CF660" s="305"/>
      <c r="CG660" s="305"/>
      <c r="CH660" s="305"/>
      <c r="CI660" s="305"/>
      <c r="CJ660" s="305"/>
      <c r="CK660" s="305"/>
      <c r="CL660" s="305"/>
      <c r="CM660" s="305"/>
      <c r="CN660" s="305"/>
      <c r="CO660" s="305"/>
      <c r="CP660" s="305"/>
    </row>
    <row r="661" spans="14:94">
      <c r="N661" s="91"/>
      <c r="P661" s="92"/>
      <c r="Z661" s="305"/>
      <c r="AA661" s="305"/>
      <c r="AB661" s="305"/>
      <c r="AC661" s="305"/>
      <c r="AD661" s="305"/>
      <c r="AE661" s="305"/>
      <c r="AF661" s="305"/>
      <c r="AG661" s="305"/>
      <c r="AH661" s="305"/>
      <c r="AI661" s="305"/>
      <c r="AJ661" s="305"/>
      <c r="AK661" s="305"/>
      <c r="AL661" s="305"/>
      <c r="AM661" s="305"/>
      <c r="AN661" s="305"/>
      <c r="AO661" s="305"/>
      <c r="AP661" s="305"/>
      <c r="AQ661" s="305"/>
      <c r="AR661" s="305"/>
      <c r="AS661" s="305"/>
      <c r="AT661" s="305"/>
      <c r="AU661" s="305"/>
      <c r="AV661" s="305"/>
      <c r="AW661" s="305"/>
      <c r="AX661" s="305"/>
      <c r="AY661" s="305"/>
      <c r="AZ661" s="305"/>
      <c r="BA661" s="305"/>
      <c r="BB661" s="305"/>
      <c r="BC661" s="305"/>
      <c r="BJ661" s="305"/>
      <c r="BK661" s="305"/>
      <c r="BL661" s="305"/>
      <c r="BM661" s="305"/>
      <c r="BN661" s="305"/>
      <c r="BO661" s="305"/>
      <c r="BP661" s="305"/>
      <c r="BQ661" s="305"/>
      <c r="BR661" s="305"/>
      <c r="BS661" s="305"/>
      <c r="BT661" s="305"/>
      <c r="BU661" s="305"/>
      <c r="BV661" s="305"/>
      <c r="BW661" s="305"/>
      <c r="BX661" s="305"/>
      <c r="BY661" s="305"/>
      <c r="BZ661" s="305"/>
      <c r="CA661" s="305"/>
      <c r="CB661" s="305"/>
      <c r="CC661" s="305"/>
      <c r="CD661" s="305"/>
      <c r="CE661" s="305"/>
      <c r="CF661" s="305"/>
      <c r="CG661" s="305"/>
      <c r="CH661" s="305"/>
      <c r="CI661" s="305"/>
      <c r="CJ661" s="305"/>
      <c r="CK661" s="305"/>
      <c r="CL661" s="305"/>
      <c r="CM661" s="305"/>
      <c r="CN661" s="305"/>
      <c r="CO661" s="305"/>
      <c r="CP661" s="305"/>
    </row>
    <row r="662" spans="14:94">
      <c r="Z662" s="305"/>
      <c r="AA662" s="305"/>
      <c r="AB662" s="305"/>
      <c r="AC662" s="305"/>
      <c r="AD662" s="305"/>
      <c r="AE662" s="305"/>
      <c r="AF662" s="305"/>
      <c r="AG662" s="305"/>
      <c r="AH662" s="305"/>
      <c r="AI662" s="305"/>
      <c r="AJ662" s="305"/>
      <c r="AK662" s="305"/>
      <c r="AL662" s="305"/>
      <c r="AM662" s="305"/>
      <c r="AN662" s="305"/>
      <c r="AO662" s="305"/>
      <c r="AP662" s="305"/>
      <c r="AQ662" s="305"/>
      <c r="AR662" s="305"/>
      <c r="AS662" s="305"/>
      <c r="AT662" s="305"/>
      <c r="AU662" s="305"/>
      <c r="AV662" s="305"/>
      <c r="AW662" s="305"/>
      <c r="AX662" s="305"/>
      <c r="AY662" s="305"/>
      <c r="AZ662" s="305"/>
      <c r="BA662" s="305"/>
      <c r="BB662" s="305"/>
      <c r="BC662" s="305"/>
      <c r="BJ662" s="305"/>
      <c r="BK662" s="305"/>
      <c r="BL662" s="305"/>
      <c r="BM662" s="305"/>
      <c r="BN662" s="305"/>
      <c r="BO662" s="305"/>
      <c r="BP662" s="305"/>
      <c r="BQ662" s="305"/>
      <c r="BR662" s="305"/>
      <c r="BS662" s="305"/>
      <c r="BT662" s="305"/>
      <c r="BU662" s="305"/>
      <c r="BV662" s="305"/>
      <c r="BW662" s="305"/>
      <c r="BX662" s="305"/>
      <c r="BY662" s="305"/>
      <c r="BZ662" s="305"/>
      <c r="CA662" s="305"/>
      <c r="CB662" s="305"/>
      <c r="CC662" s="305"/>
      <c r="CD662" s="305"/>
      <c r="CE662" s="305"/>
      <c r="CF662" s="305"/>
      <c r="CG662" s="305"/>
      <c r="CH662" s="305"/>
      <c r="CI662" s="305"/>
      <c r="CJ662" s="305"/>
      <c r="CK662" s="305"/>
      <c r="CL662" s="305"/>
      <c r="CM662" s="305"/>
      <c r="CN662" s="305"/>
      <c r="CO662" s="305"/>
      <c r="CP662" s="305"/>
    </row>
    <row r="663" spans="14:94">
      <c r="Z663" s="305"/>
      <c r="AA663" s="305"/>
      <c r="AB663" s="305"/>
      <c r="AC663" s="305"/>
      <c r="AD663" s="305"/>
      <c r="AE663" s="305"/>
      <c r="AF663" s="305"/>
      <c r="AG663" s="305"/>
      <c r="AH663" s="305"/>
      <c r="AI663" s="305"/>
      <c r="AJ663" s="305"/>
      <c r="AK663" s="305"/>
      <c r="AL663" s="305"/>
      <c r="AM663" s="305"/>
      <c r="AN663" s="305"/>
      <c r="AO663" s="305"/>
      <c r="AP663" s="305"/>
      <c r="AQ663" s="305"/>
      <c r="AR663" s="305"/>
      <c r="AS663" s="305"/>
      <c r="AT663" s="305"/>
      <c r="AU663" s="305"/>
      <c r="AV663" s="305"/>
      <c r="AW663" s="305"/>
      <c r="AX663" s="305"/>
      <c r="AY663" s="305"/>
      <c r="AZ663" s="305"/>
      <c r="BA663" s="305"/>
      <c r="BB663" s="305"/>
      <c r="BC663" s="305"/>
      <c r="BJ663" s="305"/>
      <c r="BK663" s="305"/>
      <c r="BL663" s="305"/>
      <c r="BM663" s="305"/>
      <c r="BN663" s="305"/>
      <c r="BO663" s="305"/>
      <c r="BP663" s="305"/>
      <c r="BQ663" s="305"/>
      <c r="BR663" s="305"/>
      <c r="BS663" s="305"/>
      <c r="BT663" s="305"/>
      <c r="BU663" s="305"/>
      <c r="BV663" s="305"/>
      <c r="BW663" s="305"/>
      <c r="BX663" s="305"/>
      <c r="BY663" s="305"/>
      <c r="BZ663" s="305"/>
      <c r="CA663" s="305"/>
      <c r="CB663" s="305"/>
      <c r="CC663" s="305"/>
      <c r="CD663" s="305"/>
      <c r="CE663" s="305"/>
      <c r="CF663" s="305"/>
      <c r="CG663" s="305"/>
      <c r="CH663" s="305"/>
      <c r="CI663" s="305"/>
      <c r="CJ663" s="305"/>
      <c r="CK663" s="305"/>
      <c r="CL663" s="305"/>
      <c r="CM663" s="305"/>
      <c r="CN663" s="305"/>
      <c r="CO663" s="305"/>
      <c r="CP663" s="305"/>
    </row>
    <row r="664" spans="14:94">
      <c r="Z664" s="305"/>
      <c r="AA664" s="305"/>
      <c r="AB664" s="305"/>
      <c r="AC664" s="305"/>
      <c r="AD664" s="305"/>
      <c r="AE664" s="305"/>
      <c r="AF664" s="305"/>
      <c r="AG664" s="305"/>
      <c r="AH664" s="305"/>
      <c r="AI664" s="305"/>
      <c r="AJ664" s="305"/>
      <c r="AK664" s="305"/>
      <c r="AL664" s="305"/>
      <c r="AM664" s="305"/>
      <c r="AN664" s="305"/>
      <c r="AO664" s="305"/>
      <c r="AP664" s="305"/>
      <c r="AQ664" s="305"/>
      <c r="AR664" s="305"/>
      <c r="AS664" s="305"/>
      <c r="AT664" s="305"/>
      <c r="AU664" s="305"/>
      <c r="AV664" s="305"/>
      <c r="AW664" s="305"/>
      <c r="AX664" s="305"/>
      <c r="AY664" s="305"/>
      <c r="AZ664" s="305"/>
      <c r="BA664" s="305"/>
      <c r="BB664" s="305"/>
      <c r="BC664" s="305"/>
      <c r="BJ664" s="305"/>
      <c r="BK664" s="305"/>
      <c r="BL664" s="305"/>
      <c r="BM664" s="305"/>
      <c r="BN664" s="305"/>
      <c r="BO664" s="305"/>
      <c r="BP664" s="305"/>
      <c r="BQ664" s="305"/>
      <c r="BR664" s="305"/>
      <c r="BS664" s="305"/>
      <c r="BT664" s="305"/>
      <c r="BU664" s="305"/>
      <c r="BV664" s="305"/>
      <c r="BW664" s="305"/>
      <c r="BX664" s="305"/>
      <c r="BY664" s="305"/>
      <c r="BZ664" s="305"/>
      <c r="CA664" s="305"/>
      <c r="CB664" s="305"/>
      <c r="CC664" s="305"/>
      <c r="CD664" s="305"/>
      <c r="CE664" s="305"/>
      <c r="CF664" s="305"/>
      <c r="CG664" s="305"/>
      <c r="CH664" s="305"/>
      <c r="CI664" s="305"/>
      <c r="CJ664" s="305"/>
      <c r="CK664" s="305"/>
      <c r="CL664" s="305"/>
      <c r="CM664" s="305"/>
      <c r="CN664" s="305"/>
      <c r="CO664" s="305"/>
      <c r="CP664" s="305"/>
    </row>
    <row r="665" spans="14:94">
      <c r="Z665" s="305"/>
      <c r="AA665" s="305"/>
      <c r="AB665" s="305"/>
      <c r="AC665" s="305"/>
      <c r="AD665" s="305"/>
      <c r="AE665" s="305"/>
      <c r="AF665" s="305"/>
      <c r="AG665" s="305"/>
      <c r="AH665" s="305"/>
      <c r="AI665" s="305"/>
      <c r="AJ665" s="305"/>
      <c r="AK665" s="305"/>
      <c r="AL665" s="305"/>
      <c r="AM665" s="305"/>
      <c r="AN665" s="305"/>
      <c r="AO665" s="305"/>
      <c r="AP665" s="305"/>
      <c r="AQ665" s="305"/>
      <c r="AR665" s="305"/>
      <c r="AS665" s="305"/>
      <c r="AT665" s="305"/>
      <c r="AU665" s="305"/>
      <c r="AV665" s="305"/>
      <c r="AW665" s="305"/>
      <c r="AX665" s="305"/>
      <c r="AY665" s="305"/>
      <c r="AZ665" s="305"/>
      <c r="BA665" s="305"/>
      <c r="BB665" s="305"/>
      <c r="BC665" s="305"/>
      <c r="BJ665" s="305"/>
      <c r="BK665" s="305"/>
      <c r="BL665" s="305"/>
      <c r="BM665" s="305"/>
      <c r="BN665" s="305"/>
      <c r="BO665" s="305"/>
      <c r="BP665" s="305"/>
      <c r="BQ665" s="305"/>
      <c r="BR665" s="305"/>
      <c r="BS665" s="305"/>
      <c r="BT665" s="305"/>
      <c r="BU665" s="305"/>
      <c r="BV665" s="305"/>
      <c r="BW665" s="305"/>
      <c r="BX665" s="305"/>
      <c r="BY665" s="305"/>
      <c r="BZ665" s="305"/>
      <c r="CA665" s="305"/>
      <c r="CB665" s="305"/>
      <c r="CC665" s="305"/>
      <c r="CD665" s="305"/>
      <c r="CE665" s="305"/>
      <c r="CF665" s="305"/>
      <c r="CG665" s="305"/>
      <c r="CH665" s="305"/>
      <c r="CI665" s="305"/>
      <c r="CJ665" s="305"/>
      <c r="CK665" s="305"/>
      <c r="CL665" s="305"/>
      <c r="CM665" s="305"/>
      <c r="CN665" s="305"/>
      <c r="CO665" s="305"/>
      <c r="CP665" s="305"/>
    </row>
    <row r="666" spans="14:94">
      <c r="Z666" s="305"/>
      <c r="AA666" s="305"/>
      <c r="AB666" s="305"/>
      <c r="AC666" s="305"/>
      <c r="AD666" s="305"/>
      <c r="AE666" s="305"/>
      <c r="AF666" s="305"/>
      <c r="AG666" s="305"/>
      <c r="AH666" s="305"/>
      <c r="AI666" s="305"/>
      <c r="AJ666" s="305"/>
      <c r="AK666" s="305"/>
      <c r="AL666" s="305"/>
      <c r="AM666" s="305"/>
      <c r="AN666" s="305"/>
      <c r="AO666" s="305"/>
      <c r="AP666" s="305"/>
      <c r="AQ666" s="305"/>
      <c r="AR666" s="305"/>
      <c r="AS666" s="305"/>
      <c r="AT666" s="305"/>
      <c r="AU666" s="305"/>
      <c r="AV666" s="305"/>
      <c r="AW666" s="305"/>
      <c r="AX666" s="305"/>
      <c r="AY666" s="305"/>
      <c r="AZ666" s="305"/>
      <c r="BA666" s="305"/>
      <c r="BB666" s="305"/>
      <c r="BC666" s="305"/>
      <c r="BJ666" s="305"/>
      <c r="BK666" s="305"/>
      <c r="BL666" s="305"/>
      <c r="BM666" s="305"/>
      <c r="BN666" s="305"/>
      <c r="BO666" s="305"/>
      <c r="BP666" s="305"/>
      <c r="BQ666" s="305"/>
      <c r="BR666" s="305"/>
      <c r="BS666" s="305"/>
      <c r="BT666" s="305"/>
      <c r="BU666" s="305"/>
      <c r="BV666" s="305"/>
      <c r="BW666" s="305"/>
      <c r="BX666" s="305"/>
      <c r="BY666" s="305"/>
      <c r="BZ666" s="305"/>
      <c r="CA666" s="305"/>
      <c r="CB666" s="305"/>
      <c r="CC666" s="305"/>
      <c r="CD666" s="305"/>
      <c r="CE666" s="305"/>
      <c r="CF666" s="305"/>
      <c r="CG666" s="305"/>
      <c r="CH666" s="305"/>
      <c r="CI666" s="305"/>
      <c r="CJ666" s="305"/>
      <c r="CK666" s="305"/>
      <c r="CL666" s="305"/>
      <c r="CM666" s="305"/>
      <c r="CN666" s="305"/>
      <c r="CO666" s="305"/>
      <c r="CP666" s="305"/>
    </row>
    <row r="667" spans="14:94">
      <c r="Z667" s="305"/>
      <c r="AA667" s="305"/>
      <c r="AB667" s="305"/>
      <c r="AC667" s="305"/>
      <c r="AD667" s="305"/>
      <c r="AE667" s="305"/>
      <c r="AF667" s="305"/>
      <c r="AG667" s="305"/>
      <c r="AH667" s="305"/>
      <c r="AI667" s="305"/>
      <c r="AJ667" s="305"/>
      <c r="AK667" s="305"/>
      <c r="AL667" s="305"/>
      <c r="AM667" s="305"/>
      <c r="AN667" s="305"/>
      <c r="AO667" s="305"/>
      <c r="AP667" s="305"/>
      <c r="AQ667" s="305"/>
      <c r="AR667" s="305"/>
      <c r="AS667" s="305"/>
      <c r="AT667" s="305"/>
      <c r="AU667" s="305"/>
      <c r="AV667" s="305"/>
      <c r="AW667" s="305"/>
      <c r="AX667" s="305"/>
      <c r="AY667" s="305"/>
      <c r="AZ667" s="305"/>
      <c r="BA667" s="305"/>
      <c r="BB667" s="305"/>
      <c r="BC667" s="305"/>
      <c r="BJ667" s="305"/>
      <c r="BK667" s="305"/>
      <c r="BL667" s="305"/>
      <c r="BM667" s="305"/>
      <c r="BN667" s="305"/>
      <c r="BO667" s="305"/>
      <c r="BP667" s="305"/>
      <c r="BQ667" s="305"/>
      <c r="BR667" s="305"/>
      <c r="BS667" s="305"/>
      <c r="BT667" s="305"/>
      <c r="BU667" s="305"/>
      <c r="BV667" s="305"/>
      <c r="BW667" s="305"/>
      <c r="BX667" s="305"/>
      <c r="BY667" s="305"/>
      <c r="BZ667" s="305"/>
      <c r="CA667" s="305"/>
      <c r="CB667" s="305"/>
      <c r="CC667" s="305"/>
      <c r="CD667" s="305"/>
      <c r="CE667" s="305"/>
      <c r="CF667" s="305"/>
      <c r="CG667" s="305"/>
      <c r="CH667" s="305"/>
      <c r="CI667" s="305"/>
      <c r="CJ667" s="305"/>
      <c r="CK667" s="305"/>
      <c r="CL667" s="305"/>
      <c r="CM667" s="305"/>
      <c r="CN667" s="305"/>
      <c r="CO667" s="305"/>
      <c r="CP667" s="305"/>
    </row>
    <row r="668" spans="14:94">
      <c r="Z668" s="305"/>
      <c r="AA668" s="305"/>
      <c r="AB668" s="305"/>
      <c r="AC668" s="305"/>
      <c r="AD668" s="305"/>
      <c r="AE668" s="305"/>
      <c r="AF668" s="305"/>
      <c r="AG668" s="305"/>
      <c r="AH668" s="305"/>
      <c r="AI668" s="305"/>
      <c r="AJ668" s="305"/>
      <c r="AK668" s="305"/>
      <c r="AL668" s="305"/>
      <c r="AM668" s="305"/>
      <c r="AN668" s="305"/>
      <c r="AO668" s="305"/>
      <c r="AP668" s="305"/>
      <c r="AQ668" s="305"/>
      <c r="AR668" s="305"/>
      <c r="AS668" s="305"/>
      <c r="AT668" s="305"/>
      <c r="AU668" s="305"/>
      <c r="AV668" s="305"/>
      <c r="AW668" s="305"/>
      <c r="AX668" s="305"/>
      <c r="AY668" s="305"/>
      <c r="AZ668" s="305"/>
      <c r="BA668" s="305"/>
      <c r="BB668" s="305"/>
      <c r="BC668" s="305"/>
      <c r="BJ668" s="305"/>
      <c r="BK668" s="305"/>
      <c r="BL668" s="305"/>
      <c r="BM668" s="305"/>
      <c r="BN668" s="305"/>
      <c r="BO668" s="305"/>
      <c r="BP668" s="305"/>
      <c r="BQ668" s="305"/>
      <c r="BR668" s="305"/>
      <c r="BS668" s="305"/>
      <c r="BT668" s="305"/>
      <c r="BU668" s="305"/>
      <c r="BV668" s="305"/>
      <c r="BW668" s="305"/>
      <c r="BX668" s="305"/>
      <c r="BY668" s="305"/>
      <c r="BZ668" s="305"/>
      <c r="CA668" s="305"/>
      <c r="CB668" s="305"/>
      <c r="CC668" s="305"/>
      <c r="CD668" s="305"/>
      <c r="CE668" s="305"/>
      <c r="CF668" s="305"/>
      <c r="CG668" s="305"/>
      <c r="CH668" s="305"/>
      <c r="CI668" s="305"/>
      <c r="CJ668" s="305"/>
      <c r="CK668" s="305"/>
      <c r="CL668" s="305"/>
      <c r="CM668" s="305"/>
      <c r="CN668" s="305"/>
      <c r="CO668" s="305"/>
      <c r="CP668" s="305"/>
    </row>
    <row r="669" spans="14:94">
      <c r="Z669" s="305"/>
      <c r="AA669" s="305"/>
      <c r="AB669" s="305"/>
      <c r="AC669" s="305"/>
      <c r="AD669" s="305"/>
      <c r="AE669" s="305"/>
      <c r="AF669" s="305"/>
      <c r="AG669" s="305"/>
      <c r="AH669" s="305"/>
      <c r="AI669" s="305"/>
      <c r="AJ669" s="305"/>
      <c r="AK669" s="305"/>
      <c r="AL669" s="305"/>
      <c r="AM669" s="305"/>
      <c r="AN669" s="305"/>
      <c r="AO669" s="305"/>
      <c r="AP669" s="305"/>
      <c r="AQ669" s="305"/>
      <c r="AR669" s="305"/>
      <c r="AS669" s="305"/>
      <c r="AT669" s="305"/>
      <c r="AU669" s="305"/>
      <c r="AV669" s="305"/>
      <c r="AW669" s="305"/>
      <c r="AX669" s="305"/>
      <c r="AY669" s="305"/>
      <c r="AZ669" s="305"/>
      <c r="BA669" s="305"/>
      <c r="BB669" s="305"/>
      <c r="BC669" s="305"/>
      <c r="BJ669" s="305"/>
      <c r="BK669" s="305"/>
      <c r="BL669" s="305"/>
      <c r="BM669" s="305"/>
      <c r="BN669" s="305"/>
      <c r="BO669" s="305"/>
      <c r="BP669" s="305"/>
      <c r="BQ669" s="305"/>
      <c r="BR669" s="305"/>
      <c r="BS669" s="305"/>
      <c r="BT669" s="305"/>
      <c r="BU669" s="305"/>
      <c r="BV669" s="305"/>
      <c r="BW669" s="305"/>
      <c r="BX669" s="305"/>
      <c r="BY669" s="305"/>
      <c r="BZ669" s="305"/>
      <c r="CA669" s="305"/>
      <c r="CB669" s="305"/>
      <c r="CC669" s="305"/>
      <c r="CD669" s="305"/>
      <c r="CE669" s="305"/>
      <c r="CF669" s="305"/>
      <c r="CG669" s="305"/>
      <c r="CH669" s="305"/>
      <c r="CI669" s="305"/>
      <c r="CJ669" s="305"/>
      <c r="CK669" s="305"/>
      <c r="CL669" s="305"/>
      <c r="CM669" s="305"/>
      <c r="CN669" s="305"/>
      <c r="CO669" s="305"/>
      <c r="CP669" s="305"/>
    </row>
    <row r="670" spans="14:94">
      <c r="Z670" s="305"/>
      <c r="AA670" s="305"/>
      <c r="AB670" s="305"/>
      <c r="AC670" s="305"/>
      <c r="AD670" s="305"/>
      <c r="AE670" s="305"/>
      <c r="AF670" s="305"/>
      <c r="AG670" s="305"/>
      <c r="AH670" s="305"/>
      <c r="AI670" s="305"/>
      <c r="AJ670" s="305"/>
      <c r="AK670" s="305"/>
      <c r="AL670" s="305"/>
      <c r="AM670" s="305"/>
      <c r="AN670" s="305"/>
      <c r="AO670" s="305"/>
      <c r="AP670" s="305"/>
      <c r="AQ670" s="305"/>
      <c r="AR670" s="305"/>
      <c r="AS670" s="305"/>
      <c r="AT670" s="305"/>
      <c r="AU670" s="305"/>
      <c r="AV670" s="305"/>
      <c r="AW670" s="305"/>
      <c r="AX670" s="305"/>
      <c r="AY670" s="305"/>
      <c r="AZ670" s="305"/>
      <c r="BA670" s="305"/>
      <c r="BB670" s="305"/>
      <c r="BC670" s="305"/>
      <c r="BJ670" s="305"/>
      <c r="BK670" s="305"/>
      <c r="BL670" s="305"/>
      <c r="BM670" s="305"/>
      <c r="BN670" s="305"/>
      <c r="BO670" s="305"/>
      <c r="BP670" s="305"/>
      <c r="BQ670" s="305"/>
      <c r="BR670" s="305"/>
      <c r="BS670" s="305"/>
      <c r="BT670" s="305"/>
      <c r="BU670" s="305"/>
      <c r="BV670" s="305"/>
      <c r="BW670" s="305"/>
      <c r="BX670" s="305"/>
      <c r="BY670" s="305"/>
      <c r="BZ670" s="305"/>
      <c r="CA670" s="305"/>
      <c r="CB670" s="305"/>
      <c r="CC670" s="305"/>
      <c r="CD670" s="305"/>
      <c r="CE670" s="305"/>
      <c r="CF670" s="305"/>
      <c r="CG670" s="305"/>
      <c r="CH670" s="305"/>
      <c r="CI670" s="305"/>
      <c r="CJ670" s="305"/>
      <c r="CK670" s="305"/>
      <c r="CL670" s="305"/>
      <c r="CM670" s="305"/>
      <c r="CN670" s="305"/>
      <c r="CO670" s="305"/>
      <c r="CP670" s="305"/>
    </row>
    <row r="671" spans="14:94">
      <c r="Z671" s="305"/>
      <c r="AA671" s="305"/>
      <c r="AB671" s="305"/>
      <c r="AC671" s="305"/>
      <c r="AD671" s="305"/>
      <c r="AE671" s="305"/>
      <c r="AF671" s="305"/>
      <c r="AG671" s="305"/>
      <c r="AH671" s="305"/>
      <c r="AI671" s="305"/>
      <c r="AJ671" s="305"/>
      <c r="AK671" s="305"/>
      <c r="AL671" s="305"/>
      <c r="AM671" s="305"/>
      <c r="AN671" s="305"/>
      <c r="AO671" s="305"/>
      <c r="AP671" s="305"/>
      <c r="AQ671" s="305"/>
      <c r="AR671" s="305"/>
      <c r="AS671" s="305"/>
      <c r="AT671" s="305"/>
      <c r="AU671" s="305"/>
      <c r="AV671" s="305"/>
      <c r="AW671" s="305"/>
      <c r="AX671" s="305"/>
      <c r="AY671" s="305"/>
      <c r="AZ671" s="305"/>
      <c r="BA671" s="305"/>
      <c r="BB671" s="305"/>
      <c r="BC671" s="305"/>
      <c r="BJ671" s="305"/>
      <c r="BK671" s="305"/>
      <c r="BL671" s="305"/>
      <c r="BM671" s="305"/>
      <c r="BN671" s="305"/>
      <c r="BO671" s="305"/>
      <c r="BP671" s="305"/>
      <c r="BQ671" s="305"/>
      <c r="BR671" s="305"/>
      <c r="BS671" s="305"/>
      <c r="BT671" s="305"/>
      <c r="BU671" s="305"/>
      <c r="BV671" s="305"/>
      <c r="BW671" s="305"/>
      <c r="BX671" s="305"/>
      <c r="BY671" s="305"/>
      <c r="BZ671" s="305"/>
      <c r="CA671" s="305"/>
      <c r="CB671" s="305"/>
      <c r="CC671" s="305"/>
      <c r="CD671" s="305"/>
      <c r="CE671" s="305"/>
      <c r="CF671" s="305"/>
      <c r="CG671" s="305"/>
      <c r="CH671" s="305"/>
      <c r="CI671" s="305"/>
      <c r="CJ671" s="305"/>
      <c r="CK671" s="305"/>
      <c r="CL671" s="305"/>
      <c r="CM671" s="305"/>
      <c r="CN671" s="305"/>
      <c r="CO671" s="305"/>
      <c r="CP671" s="305"/>
    </row>
    <row r="672" spans="14:94">
      <c r="Z672" s="305"/>
      <c r="AA672" s="305"/>
      <c r="AB672" s="305"/>
      <c r="AC672" s="305"/>
      <c r="AD672" s="305"/>
      <c r="AE672" s="305"/>
      <c r="AF672" s="305"/>
      <c r="AG672" s="305"/>
      <c r="AH672" s="305"/>
      <c r="AI672" s="305"/>
      <c r="AJ672" s="305"/>
      <c r="AK672" s="305"/>
      <c r="AL672" s="305"/>
      <c r="AM672" s="305"/>
      <c r="AN672" s="305"/>
      <c r="AO672" s="305"/>
      <c r="AP672" s="305"/>
      <c r="AQ672" s="305"/>
      <c r="AR672" s="305"/>
      <c r="AS672" s="305"/>
      <c r="AT672" s="305"/>
      <c r="AU672" s="305"/>
      <c r="AV672" s="305"/>
      <c r="AW672" s="305"/>
      <c r="AX672" s="305"/>
      <c r="AY672" s="305"/>
      <c r="AZ672" s="305"/>
      <c r="BA672" s="305"/>
      <c r="BB672" s="305"/>
      <c r="BC672" s="305"/>
      <c r="BJ672" s="305"/>
      <c r="BK672" s="305"/>
      <c r="BL672" s="305"/>
      <c r="BM672" s="305"/>
      <c r="BN672" s="305"/>
      <c r="BO672" s="305"/>
      <c r="BP672" s="305"/>
      <c r="BQ672" s="305"/>
      <c r="BR672" s="305"/>
      <c r="BS672" s="305"/>
      <c r="BT672" s="305"/>
      <c r="BU672" s="305"/>
      <c r="BV672" s="305"/>
      <c r="BW672" s="305"/>
      <c r="BX672" s="305"/>
      <c r="BY672" s="305"/>
      <c r="BZ672" s="305"/>
      <c r="CA672" s="305"/>
      <c r="CB672" s="305"/>
      <c r="CC672" s="305"/>
      <c r="CD672" s="305"/>
      <c r="CE672" s="305"/>
      <c r="CF672" s="305"/>
      <c r="CG672" s="305"/>
      <c r="CH672" s="305"/>
      <c r="CI672" s="305"/>
      <c r="CJ672" s="305"/>
      <c r="CK672" s="305"/>
      <c r="CL672" s="305"/>
      <c r="CM672" s="305"/>
      <c r="CN672" s="305"/>
      <c r="CO672" s="305"/>
      <c r="CP672" s="305"/>
    </row>
    <row r="673" spans="26:94">
      <c r="Z673" s="305"/>
      <c r="AA673" s="305"/>
      <c r="AB673" s="305"/>
      <c r="AC673" s="305"/>
      <c r="AD673" s="305"/>
      <c r="AE673" s="305"/>
      <c r="AF673" s="305"/>
      <c r="AG673" s="305"/>
      <c r="AH673" s="305"/>
      <c r="AI673" s="305"/>
      <c r="AJ673" s="305"/>
      <c r="AK673" s="305"/>
      <c r="AL673" s="305"/>
      <c r="AM673" s="305"/>
      <c r="AN673" s="305"/>
      <c r="AO673" s="305"/>
      <c r="AP673" s="305"/>
      <c r="AQ673" s="305"/>
      <c r="AR673" s="305"/>
      <c r="AS673" s="305"/>
      <c r="AT673" s="305"/>
      <c r="AU673" s="305"/>
      <c r="AV673" s="305"/>
      <c r="AW673" s="305"/>
      <c r="AX673" s="305"/>
      <c r="AY673" s="305"/>
      <c r="AZ673" s="305"/>
      <c r="BA673" s="305"/>
      <c r="BB673" s="305"/>
      <c r="BC673" s="305"/>
      <c r="BJ673" s="305"/>
      <c r="BK673" s="305"/>
      <c r="BL673" s="305"/>
      <c r="BM673" s="305"/>
      <c r="BN673" s="305"/>
      <c r="BO673" s="305"/>
      <c r="BP673" s="305"/>
      <c r="BQ673" s="305"/>
      <c r="BR673" s="305"/>
      <c r="BS673" s="305"/>
      <c r="BT673" s="305"/>
      <c r="BU673" s="305"/>
      <c r="BV673" s="305"/>
      <c r="BW673" s="305"/>
      <c r="BX673" s="305"/>
      <c r="BY673" s="305"/>
      <c r="BZ673" s="305"/>
      <c r="CA673" s="305"/>
      <c r="CB673" s="305"/>
      <c r="CC673" s="305"/>
      <c r="CD673" s="305"/>
      <c r="CE673" s="305"/>
      <c r="CF673" s="305"/>
      <c r="CG673" s="305"/>
      <c r="CH673" s="305"/>
      <c r="CI673" s="305"/>
      <c r="CJ673" s="305"/>
      <c r="CK673" s="305"/>
      <c r="CL673" s="305"/>
      <c r="CM673" s="305"/>
      <c r="CN673" s="305"/>
      <c r="CO673" s="305"/>
      <c r="CP673" s="305"/>
    </row>
    <row r="674" spans="26:94">
      <c r="Z674" s="305"/>
      <c r="AA674" s="305"/>
      <c r="AB674" s="305"/>
      <c r="AC674" s="305"/>
      <c r="AD674" s="305"/>
      <c r="AE674" s="305"/>
      <c r="AF674" s="305"/>
      <c r="AG674" s="305"/>
      <c r="AH674" s="305"/>
      <c r="AI674" s="305"/>
      <c r="AJ674" s="305"/>
      <c r="AK674" s="305"/>
      <c r="AL674" s="305"/>
      <c r="AM674" s="305"/>
      <c r="AN674" s="305"/>
      <c r="AO674" s="305"/>
      <c r="AP674" s="305"/>
      <c r="AQ674" s="305"/>
      <c r="AR674" s="305"/>
      <c r="AS674" s="305"/>
      <c r="AT674" s="305"/>
      <c r="AU674" s="305"/>
      <c r="AV674" s="305"/>
      <c r="AW674" s="305"/>
      <c r="AX674" s="305"/>
      <c r="AY674" s="305"/>
      <c r="AZ674" s="305"/>
      <c r="BA674" s="305"/>
      <c r="BB674" s="305"/>
      <c r="BC674" s="305"/>
      <c r="BJ674" s="305"/>
      <c r="BK674" s="305"/>
      <c r="BL674" s="305"/>
      <c r="BM674" s="305"/>
      <c r="BN674" s="305"/>
      <c r="BO674" s="305"/>
      <c r="BP674" s="305"/>
      <c r="BQ674" s="305"/>
      <c r="BR674" s="305"/>
      <c r="BS674" s="305"/>
      <c r="BT674" s="305"/>
      <c r="BU674" s="305"/>
      <c r="BV674" s="305"/>
      <c r="BW674" s="305"/>
      <c r="BX674" s="305"/>
      <c r="BY674" s="305"/>
      <c r="BZ674" s="305"/>
      <c r="CA674" s="305"/>
      <c r="CB674" s="305"/>
      <c r="CC674" s="305"/>
      <c r="CD674" s="305"/>
      <c r="CE674" s="305"/>
      <c r="CF674" s="305"/>
      <c r="CG674" s="305"/>
      <c r="CH674" s="305"/>
      <c r="CI674" s="305"/>
      <c r="CJ674" s="305"/>
      <c r="CK674" s="305"/>
      <c r="CL674" s="305"/>
      <c r="CM674" s="305"/>
      <c r="CN674" s="305"/>
      <c r="CO674" s="305"/>
      <c r="CP674" s="305"/>
    </row>
    <row r="675" spans="26:94">
      <c r="Z675" s="305"/>
      <c r="AA675" s="305"/>
      <c r="AB675" s="305"/>
      <c r="AC675" s="305"/>
      <c r="AD675" s="305"/>
      <c r="AE675" s="305"/>
      <c r="AF675" s="305"/>
      <c r="AG675" s="305"/>
      <c r="AH675" s="305"/>
      <c r="AI675" s="305"/>
      <c r="AJ675" s="305"/>
      <c r="AK675" s="305"/>
      <c r="AL675" s="305"/>
      <c r="AM675" s="305"/>
      <c r="AN675" s="305"/>
      <c r="AO675" s="305"/>
      <c r="AP675" s="305"/>
      <c r="AQ675" s="305"/>
      <c r="AR675" s="305"/>
      <c r="AS675" s="305"/>
      <c r="AT675" s="305"/>
      <c r="AU675" s="305"/>
      <c r="AV675" s="305"/>
      <c r="AW675" s="305"/>
      <c r="AX675" s="305"/>
      <c r="AY675" s="305"/>
      <c r="AZ675" s="305"/>
      <c r="BA675" s="305"/>
      <c r="BB675" s="305"/>
      <c r="BC675" s="305"/>
      <c r="BJ675" s="305"/>
      <c r="BK675" s="305"/>
      <c r="BL675" s="305"/>
      <c r="BM675" s="305"/>
      <c r="BN675" s="305"/>
      <c r="BO675" s="305"/>
      <c r="BP675" s="305"/>
      <c r="BQ675" s="305"/>
      <c r="BR675" s="305"/>
      <c r="BS675" s="305"/>
      <c r="BT675" s="305"/>
      <c r="BU675" s="305"/>
      <c r="BV675" s="305"/>
      <c r="BW675" s="305"/>
      <c r="BX675" s="305"/>
      <c r="BY675" s="305"/>
      <c r="BZ675" s="305"/>
      <c r="CA675" s="305"/>
      <c r="CB675" s="305"/>
      <c r="CC675" s="305"/>
      <c r="CD675" s="305"/>
      <c r="CE675" s="305"/>
      <c r="CF675" s="305"/>
      <c r="CG675" s="305"/>
      <c r="CH675" s="305"/>
      <c r="CI675" s="305"/>
      <c r="CJ675" s="305"/>
      <c r="CK675" s="305"/>
      <c r="CL675" s="305"/>
      <c r="CM675" s="305"/>
      <c r="CN675" s="305"/>
      <c r="CO675" s="305"/>
      <c r="CP675" s="305"/>
    </row>
    <row r="676" spans="26:94">
      <c r="Z676" s="305"/>
      <c r="AA676" s="305"/>
      <c r="AB676" s="305"/>
      <c r="AC676" s="305"/>
      <c r="AD676" s="305"/>
      <c r="AE676" s="305"/>
      <c r="AF676" s="305"/>
      <c r="AG676" s="305"/>
      <c r="AH676" s="305"/>
      <c r="AI676" s="305"/>
      <c r="AJ676" s="305"/>
      <c r="AK676" s="305"/>
      <c r="AL676" s="305"/>
      <c r="AM676" s="305"/>
      <c r="AN676" s="305"/>
      <c r="AO676" s="305"/>
      <c r="AP676" s="305"/>
      <c r="AQ676" s="305"/>
      <c r="AR676" s="305"/>
      <c r="AS676" s="305"/>
      <c r="AT676" s="305"/>
      <c r="AU676" s="305"/>
      <c r="AV676" s="305"/>
      <c r="AW676" s="305"/>
      <c r="AX676" s="305"/>
      <c r="AY676" s="305"/>
      <c r="AZ676" s="305"/>
      <c r="BA676" s="305"/>
      <c r="BB676" s="305"/>
      <c r="BC676" s="305"/>
      <c r="BJ676" s="305"/>
      <c r="BK676" s="305"/>
      <c r="BL676" s="305"/>
      <c r="BM676" s="305"/>
      <c r="BN676" s="305"/>
      <c r="BO676" s="305"/>
      <c r="BP676" s="305"/>
      <c r="BQ676" s="305"/>
      <c r="BR676" s="305"/>
      <c r="BS676" s="305"/>
      <c r="BT676" s="305"/>
      <c r="BU676" s="305"/>
      <c r="BV676" s="305"/>
      <c r="BW676" s="305"/>
      <c r="BX676" s="305"/>
      <c r="BY676" s="305"/>
      <c r="BZ676" s="305"/>
      <c r="CA676" s="305"/>
      <c r="CB676" s="305"/>
      <c r="CC676" s="305"/>
      <c r="CD676" s="305"/>
      <c r="CE676" s="305"/>
      <c r="CF676" s="305"/>
      <c r="CG676" s="305"/>
      <c r="CH676" s="305"/>
      <c r="CI676" s="305"/>
      <c r="CJ676" s="305"/>
      <c r="CK676" s="305"/>
      <c r="CL676" s="305"/>
      <c r="CM676" s="305"/>
      <c r="CN676" s="305"/>
      <c r="CO676" s="305"/>
      <c r="CP676" s="305"/>
    </row>
    <row r="677" spans="26:94">
      <c r="Z677" s="305"/>
      <c r="AA677" s="305"/>
      <c r="AB677" s="305"/>
      <c r="AC677" s="305"/>
      <c r="AD677" s="305"/>
      <c r="AE677" s="305"/>
      <c r="AF677" s="305"/>
      <c r="AG677" s="305"/>
      <c r="AH677" s="305"/>
      <c r="AI677" s="305"/>
      <c r="AJ677" s="305"/>
      <c r="AK677" s="305"/>
      <c r="AL677" s="305"/>
      <c r="AM677" s="305"/>
      <c r="AN677" s="305"/>
      <c r="AO677" s="305"/>
      <c r="AP677" s="305"/>
      <c r="AQ677" s="305"/>
      <c r="AR677" s="305"/>
      <c r="AS677" s="305"/>
      <c r="AT677" s="305"/>
      <c r="AU677" s="305"/>
      <c r="AV677" s="305"/>
      <c r="AW677" s="305"/>
      <c r="AX677" s="305"/>
      <c r="AY677" s="305"/>
      <c r="AZ677" s="305"/>
      <c r="BA677" s="305"/>
      <c r="BB677" s="305"/>
      <c r="BC677" s="305"/>
      <c r="BJ677" s="305"/>
      <c r="BK677" s="305"/>
      <c r="BL677" s="305"/>
      <c r="BM677" s="305"/>
      <c r="BN677" s="305"/>
      <c r="BO677" s="305"/>
      <c r="BP677" s="305"/>
      <c r="BQ677" s="305"/>
      <c r="BR677" s="305"/>
      <c r="BS677" s="305"/>
      <c r="BT677" s="305"/>
      <c r="BU677" s="305"/>
      <c r="BV677" s="305"/>
      <c r="BW677" s="305"/>
      <c r="BX677" s="305"/>
      <c r="BY677" s="305"/>
      <c r="BZ677" s="305"/>
      <c r="CA677" s="305"/>
      <c r="CB677" s="305"/>
      <c r="CC677" s="305"/>
      <c r="CD677" s="305"/>
      <c r="CE677" s="305"/>
      <c r="CF677" s="305"/>
      <c r="CG677" s="305"/>
      <c r="CH677" s="305"/>
      <c r="CI677" s="305"/>
      <c r="CJ677" s="305"/>
      <c r="CK677" s="305"/>
      <c r="CL677" s="305"/>
      <c r="CM677" s="305"/>
      <c r="CN677" s="305"/>
      <c r="CO677" s="305"/>
      <c r="CP677" s="305"/>
    </row>
    <row r="678" spans="26:94">
      <c r="Z678" s="305"/>
      <c r="AA678" s="305"/>
      <c r="AB678" s="305"/>
      <c r="AC678" s="305"/>
      <c r="AD678" s="305"/>
      <c r="AE678" s="305"/>
      <c r="AF678" s="305"/>
      <c r="AG678" s="305"/>
      <c r="AH678" s="305"/>
      <c r="AI678" s="305"/>
      <c r="AJ678" s="305"/>
      <c r="AK678" s="305"/>
      <c r="AL678" s="305"/>
      <c r="AM678" s="305"/>
      <c r="AN678" s="305"/>
      <c r="AO678" s="305"/>
      <c r="AP678" s="305"/>
      <c r="AQ678" s="305"/>
      <c r="AR678" s="305"/>
      <c r="AS678" s="305"/>
      <c r="AT678" s="305"/>
      <c r="AU678" s="305"/>
      <c r="AV678" s="305"/>
      <c r="AW678" s="305"/>
      <c r="AX678" s="305"/>
      <c r="AY678" s="305"/>
      <c r="AZ678" s="305"/>
      <c r="BA678" s="305"/>
      <c r="BB678" s="305"/>
      <c r="BC678" s="305"/>
      <c r="BJ678" s="305"/>
      <c r="BK678" s="305"/>
      <c r="BL678" s="305"/>
      <c r="BM678" s="305"/>
      <c r="BN678" s="305"/>
      <c r="BO678" s="305"/>
      <c r="BP678" s="305"/>
      <c r="BQ678" s="305"/>
      <c r="BR678" s="305"/>
      <c r="BS678" s="305"/>
      <c r="BT678" s="305"/>
      <c r="BU678" s="305"/>
      <c r="BV678" s="305"/>
      <c r="BW678" s="305"/>
      <c r="BX678" s="305"/>
      <c r="BY678" s="305"/>
      <c r="BZ678" s="305"/>
      <c r="CA678" s="305"/>
      <c r="CB678" s="305"/>
      <c r="CC678" s="305"/>
      <c r="CD678" s="305"/>
      <c r="CE678" s="305"/>
      <c r="CF678" s="305"/>
      <c r="CG678" s="305"/>
      <c r="CH678" s="305"/>
      <c r="CI678" s="305"/>
      <c r="CJ678" s="305"/>
      <c r="CK678" s="305"/>
      <c r="CL678" s="305"/>
      <c r="CM678" s="305"/>
      <c r="CN678" s="305"/>
      <c r="CO678" s="305"/>
      <c r="CP678" s="305"/>
    </row>
    <row r="679" spans="26:94">
      <c r="Z679" s="305"/>
      <c r="AA679" s="305"/>
      <c r="AB679" s="305"/>
      <c r="AC679" s="305"/>
      <c r="AD679" s="305"/>
      <c r="AE679" s="305"/>
      <c r="AF679" s="305"/>
      <c r="AG679" s="305"/>
      <c r="AH679" s="305"/>
      <c r="AI679" s="305"/>
      <c r="AJ679" s="305"/>
      <c r="AK679" s="305"/>
      <c r="AL679" s="305"/>
      <c r="AM679" s="305"/>
      <c r="AN679" s="305"/>
      <c r="AO679" s="305"/>
      <c r="AP679" s="305"/>
      <c r="AQ679" s="305"/>
      <c r="AR679" s="305"/>
      <c r="AS679" s="305"/>
      <c r="AT679" s="305"/>
      <c r="AU679" s="305"/>
      <c r="AV679" s="305"/>
      <c r="AW679" s="305"/>
      <c r="AX679" s="305"/>
      <c r="AY679" s="305"/>
      <c r="AZ679" s="305"/>
      <c r="BA679" s="305"/>
      <c r="BB679" s="305"/>
      <c r="BC679" s="305"/>
      <c r="BJ679" s="305"/>
      <c r="BK679" s="305"/>
      <c r="BL679" s="305"/>
      <c r="BM679" s="305"/>
      <c r="BN679" s="305"/>
      <c r="BO679" s="305"/>
      <c r="BP679" s="305"/>
      <c r="BQ679" s="305"/>
      <c r="BR679" s="305"/>
      <c r="BS679" s="305"/>
      <c r="BT679" s="305"/>
      <c r="BU679" s="305"/>
      <c r="BV679" s="305"/>
      <c r="BW679" s="305"/>
      <c r="BX679" s="305"/>
      <c r="BY679" s="305"/>
      <c r="BZ679" s="305"/>
      <c r="CA679" s="305"/>
      <c r="CB679" s="305"/>
      <c r="CC679" s="305"/>
      <c r="CD679" s="305"/>
      <c r="CE679" s="305"/>
      <c r="CF679" s="305"/>
      <c r="CG679" s="305"/>
      <c r="CH679" s="305"/>
      <c r="CI679" s="305"/>
      <c r="CJ679" s="305"/>
      <c r="CK679" s="305"/>
      <c r="CL679" s="305"/>
      <c r="CM679" s="305"/>
      <c r="CN679" s="305"/>
      <c r="CO679" s="305"/>
      <c r="CP679" s="305"/>
    </row>
    <row r="680" spans="26:94">
      <c r="Z680" s="305"/>
      <c r="AA680" s="305"/>
      <c r="AB680" s="305"/>
      <c r="AC680" s="305"/>
      <c r="AD680" s="305"/>
      <c r="AE680" s="305"/>
      <c r="AF680" s="305"/>
      <c r="AG680" s="305"/>
      <c r="AH680" s="305"/>
      <c r="AI680" s="305"/>
      <c r="AJ680" s="305"/>
      <c r="AK680" s="305"/>
      <c r="AL680" s="305"/>
      <c r="AM680" s="305"/>
      <c r="AN680" s="305"/>
      <c r="AO680" s="305"/>
      <c r="AP680" s="305"/>
      <c r="AQ680" s="305"/>
      <c r="AR680" s="305"/>
      <c r="AS680" s="305"/>
      <c r="AT680" s="305"/>
      <c r="AU680" s="305"/>
      <c r="AV680" s="305"/>
      <c r="AW680" s="305"/>
      <c r="AX680" s="305"/>
      <c r="AY680" s="305"/>
      <c r="AZ680" s="305"/>
      <c r="BA680" s="305"/>
      <c r="BB680" s="305"/>
      <c r="BC680" s="305"/>
      <c r="BJ680" s="305"/>
      <c r="BK680" s="305"/>
      <c r="BL680" s="305"/>
      <c r="BM680" s="305"/>
      <c r="BN680" s="305"/>
      <c r="BO680" s="305"/>
      <c r="BP680" s="305"/>
      <c r="BQ680" s="305"/>
      <c r="BR680" s="305"/>
      <c r="BS680" s="305"/>
      <c r="BT680" s="305"/>
      <c r="BU680" s="305"/>
      <c r="BV680" s="305"/>
      <c r="BW680" s="305"/>
      <c r="BX680" s="305"/>
      <c r="BY680" s="305"/>
      <c r="BZ680" s="305"/>
      <c r="CA680" s="305"/>
      <c r="CB680" s="305"/>
      <c r="CC680" s="305"/>
      <c r="CD680" s="305"/>
      <c r="CE680" s="305"/>
      <c r="CF680" s="305"/>
      <c r="CG680" s="305"/>
      <c r="CH680" s="305"/>
      <c r="CI680" s="305"/>
      <c r="CJ680" s="305"/>
      <c r="CK680" s="305"/>
      <c r="CL680" s="305"/>
      <c r="CM680" s="305"/>
      <c r="CN680" s="305"/>
      <c r="CO680" s="305"/>
      <c r="CP680" s="305"/>
    </row>
    <row r="681" spans="26:94">
      <c r="Z681" s="305"/>
      <c r="AA681" s="305"/>
      <c r="AB681" s="305"/>
      <c r="AC681" s="305"/>
      <c r="AD681" s="305"/>
      <c r="AE681" s="305"/>
      <c r="AF681" s="305"/>
      <c r="AG681" s="305"/>
      <c r="AH681" s="305"/>
      <c r="AI681" s="305"/>
      <c r="AJ681" s="305"/>
      <c r="AK681" s="305"/>
      <c r="AL681" s="305"/>
      <c r="AM681" s="305"/>
      <c r="AN681" s="305"/>
      <c r="AO681" s="305"/>
      <c r="AP681" s="305"/>
      <c r="AQ681" s="305"/>
      <c r="AR681" s="305"/>
      <c r="AS681" s="305"/>
      <c r="AT681" s="305"/>
      <c r="AU681" s="305"/>
      <c r="AV681" s="305"/>
      <c r="AW681" s="305"/>
      <c r="AX681" s="305"/>
      <c r="AY681" s="305"/>
      <c r="AZ681" s="305"/>
      <c r="BA681" s="305"/>
      <c r="BB681" s="305"/>
      <c r="BC681" s="305"/>
      <c r="BJ681" s="305"/>
      <c r="BK681" s="305"/>
      <c r="BL681" s="305"/>
      <c r="BM681" s="305"/>
      <c r="BN681" s="305"/>
      <c r="BO681" s="305"/>
      <c r="BP681" s="305"/>
      <c r="BQ681" s="305"/>
      <c r="BR681" s="305"/>
      <c r="BS681" s="305"/>
      <c r="BT681" s="305"/>
      <c r="BU681" s="305"/>
      <c r="BV681" s="305"/>
      <c r="BW681" s="305"/>
      <c r="BX681" s="305"/>
      <c r="BY681" s="305"/>
      <c r="BZ681" s="305"/>
      <c r="CA681" s="305"/>
      <c r="CB681" s="305"/>
      <c r="CC681" s="305"/>
      <c r="CD681" s="305"/>
      <c r="CE681" s="305"/>
      <c r="CF681" s="305"/>
      <c r="CG681" s="305"/>
      <c r="CH681" s="305"/>
      <c r="CI681" s="305"/>
      <c r="CJ681" s="305"/>
      <c r="CK681" s="305"/>
      <c r="CL681" s="305"/>
      <c r="CM681" s="305"/>
      <c r="CN681" s="305"/>
      <c r="CO681" s="305"/>
      <c r="CP681" s="305"/>
    </row>
    <row r="682" spans="26:94">
      <c r="Z682" s="305"/>
      <c r="AA682" s="305"/>
      <c r="AB682" s="305"/>
      <c r="AC682" s="305"/>
      <c r="AD682" s="305"/>
      <c r="AE682" s="305"/>
      <c r="AF682" s="305"/>
      <c r="AG682" s="305"/>
      <c r="AH682" s="305"/>
      <c r="AI682" s="305"/>
      <c r="AJ682" s="305"/>
      <c r="AK682" s="305"/>
      <c r="AL682" s="305"/>
      <c r="AM682" s="305"/>
      <c r="AN682" s="305"/>
      <c r="AO682" s="305"/>
      <c r="AP682" s="305"/>
      <c r="AQ682" s="305"/>
      <c r="AR682" s="305"/>
      <c r="AS682" s="305"/>
      <c r="AT682" s="305"/>
      <c r="AU682" s="305"/>
      <c r="AV682" s="305"/>
      <c r="AW682" s="305"/>
      <c r="AX682" s="305"/>
      <c r="AY682" s="305"/>
      <c r="AZ682" s="305"/>
      <c r="BA682" s="305"/>
      <c r="BB682" s="305"/>
      <c r="BC682" s="305"/>
      <c r="BJ682" s="305"/>
      <c r="BK682" s="305"/>
      <c r="BL682" s="305"/>
      <c r="BM682" s="305"/>
      <c r="BN682" s="305"/>
      <c r="BO682" s="305"/>
      <c r="BP682" s="305"/>
      <c r="BQ682" s="305"/>
      <c r="BR682" s="305"/>
      <c r="BS682" s="305"/>
      <c r="BT682" s="305"/>
      <c r="BU682" s="305"/>
      <c r="BV682" s="305"/>
      <c r="BW682" s="305"/>
      <c r="BX682" s="305"/>
      <c r="BY682" s="305"/>
      <c r="BZ682" s="305"/>
      <c r="CA682" s="305"/>
      <c r="CB682" s="305"/>
      <c r="CC682" s="305"/>
      <c r="CD682" s="305"/>
      <c r="CE682" s="305"/>
      <c r="CF682" s="305"/>
      <c r="CG682" s="305"/>
      <c r="CH682" s="305"/>
      <c r="CI682" s="305"/>
      <c r="CJ682" s="305"/>
      <c r="CK682" s="305"/>
      <c r="CL682" s="305"/>
      <c r="CM682" s="305"/>
      <c r="CN682" s="305"/>
      <c r="CO682" s="305"/>
      <c r="CP682" s="305"/>
    </row>
    <row r="683" spans="26:94">
      <c r="Z683" s="305"/>
      <c r="AA683" s="305"/>
      <c r="AB683" s="305"/>
      <c r="AC683" s="305"/>
      <c r="AD683" s="305"/>
      <c r="AE683" s="305"/>
      <c r="AF683" s="305"/>
      <c r="AG683" s="305"/>
      <c r="AH683" s="305"/>
      <c r="AI683" s="305"/>
      <c r="AJ683" s="305"/>
      <c r="AK683" s="305"/>
      <c r="AL683" s="305"/>
      <c r="AM683" s="305"/>
      <c r="AN683" s="305"/>
      <c r="AO683" s="305"/>
      <c r="AP683" s="305"/>
      <c r="AQ683" s="305"/>
      <c r="AR683" s="305"/>
      <c r="AS683" s="305"/>
      <c r="AT683" s="305"/>
      <c r="AU683" s="305"/>
      <c r="AV683" s="305"/>
      <c r="AW683" s="305"/>
      <c r="AX683" s="305"/>
      <c r="AY683" s="305"/>
      <c r="AZ683" s="305"/>
      <c r="BA683" s="305"/>
      <c r="BB683" s="305"/>
      <c r="BC683" s="305"/>
      <c r="BJ683" s="305"/>
      <c r="BK683" s="305"/>
      <c r="BL683" s="305"/>
      <c r="BM683" s="305"/>
      <c r="BN683" s="305"/>
      <c r="BO683" s="305"/>
      <c r="BP683" s="305"/>
      <c r="BQ683" s="305"/>
      <c r="BR683" s="305"/>
      <c r="BS683" s="305"/>
      <c r="BT683" s="305"/>
      <c r="BU683" s="305"/>
      <c r="BV683" s="305"/>
      <c r="BW683" s="305"/>
      <c r="BX683" s="305"/>
      <c r="BY683" s="305"/>
      <c r="BZ683" s="305"/>
      <c r="CA683" s="305"/>
      <c r="CB683" s="305"/>
      <c r="CC683" s="305"/>
      <c r="CD683" s="305"/>
      <c r="CE683" s="305"/>
      <c r="CF683" s="305"/>
      <c r="CG683" s="305"/>
      <c r="CH683" s="305"/>
      <c r="CI683" s="305"/>
      <c r="CJ683" s="305"/>
      <c r="CK683" s="305"/>
      <c r="CL683" s="305"/>
      <c r="CM683" s="305"/>
      <c r="CN683" s="305"/>
      <c r="CO683" s="305"/>
      <c r="CP683" s="305"/>
    </row>
    <row r="684" spans="26:94">
      <c r="Z684" s="305"/>
      <c r="AA684" s="305"/>
      <c r="AB684" s="305"/>
      <c r="AC684" s="305"/>
      <c r="AD684" s="305"/>
      <c r="AE684" s="305"/>
      <c r="AF684" s="305"/>
      <c r="AG684" s="305"/>
      <c r="AH684" s="305"/>
      <c r="AI684" s="305"/>
      <c r="AJ684" s="305"/>
      <c r="AK684" s="305"/>
      <c r="AL684" s="305"/>
      <c r="AM684" s="305"/>
      <c r="AN684" s="305"/>
      <c r="AO684" s="305"/>
      <c r="AP684" s="305"/>
      <c r="AQ684" s="305"/>
      <c r="AR684" s="305"/>
      <c r="AS684" s="305"/>
      <c r="AT684" s="305"/>
      <c r="AU684" s="305"/>
      <c r="AV684" s="305"/>
      <c r="AW684" s="305"/>
      <c r="AX684" s="305"/>
      <c r="AY684" s="305"/>
      <c r="AZ684" s="305"/>
      <c r="BA684" s="305"/>
      <c r="BB684" s="305"/>
      <c r="BC684" s="305"/>
      <c r="BJ684" s="305"/>
      <c r="BK684" s="305"/>
      <c r="BL684" s="305"/>
      <c r="BM684" s="305"/>
      <c r="BN684" s="305"/>
      <c r="BO684" s="305"/>
      <c r="BP684" s="305"/>
      <c r="BQ684" s="305"/>
      <c r="BR684" s="305"/>
      <c r="BS684" s="305"/>
      <c r="BT684" s="305"/>
      <c r="BU684" s="305"/>
      <c r="BV684" s="305"/>
      <c r="BW684" s="305"/>
      <c r="BX684" s="305"/>
      <c r="BY684" s="305"/>
      <c r="BZ684" s="305"/>
      <c r="CA684" s="305"/>
      <c r="CB684" s="305"/>
      <c r="CC684" s="305"/>
      <c r="CD684" s="305"/>
      <c r="CE684" s="305"/>
      <c r="CF684" s="305"/>
      <c r="CG684" s="305"/>
      <c r="CH684" s="305"/>
      <c r="CI684" s="305"/>
      <c r="CJ684" s="305"/>
      <c r="CK684" s="305"/>
      <c r="CL684" s="305"/>
      <c r="CM684" s="305"/>
      <c r="CN684" s="305"/>
      <c r="CO684" s="305"/>
      <c r="CP684" s="305"/>
    </row>
    <row r="685" spans="26:94">
      <c r="Z685" s="305"/>
      <c r="AA685" s="305"/>
      <c r="AB685" s="305"/>
      <c r="AC685" s="305"/>
      <c r="AD685" s="305"/>
      <c r="AE685" s="305"/>
      <c r="AF685" s="305"/>
      <c r="AG685" s="305"/>
      <c r="AH685" s="305"/>
      <c r="AI685" s="305"/>
      <c r="AJ685" s="305"/>
      <c r="AK685" s="305"/>
      <c r="AL685" s="305"/>
      <c r="AM685" s="305"/>
      <c r="AN685" s="305"/>
      <c r="AO685" s="305"/>
      <c r="AP685" s="305"/>
      <c r="AQ685" s="305"/>
      <c r="AR685" s="305"/>
      <c r="AS685" s="305"/>
      <c r="AT685" s="305"/>
      <c r="AU685" s="305"/>
      <c r="AV685" s="305"/>
      <c r="AW685" s="305"/>
      <c r="AX685" s="305"/>
      <c r="AY685" s="305"/>
      <c r="AZ685" s="305"/>
      <c r="BA685" s="305"/>
      <c r="BB685" s="305"/>
      <c r="BC685" s="305"/>
      <c r="BJ685" s="305"/>
      <c r="BK685" s="305"/>
      <c r="BL685" s="305"/>
      <c r="BM685" s="305"/>
      <c r="BN685" s="305"/>
      <c r="BO685" s="305"/>
      <c r="BP685" s="305"/>
      <c r="BQ685" s="305"/>
      <c r="BR685" s="305"/>
      <c r="BS685" s="305"/>
      <c r="BT685" s="305"/>
      <c r="BU685" s="305"/>
      <c r="BV685" s="305"/>
      <c r="BW685" s="305"/>
      <c r="BX685" s="305"/>
      <c r="BY685" s="305"/>
      <c r="BZ685" s="305"/>
      <c r="CA685" s="305"/>
      <c r="CB685" s="305"/>
      <c r="CC685" s="305"/>
      <c r="CD685" s="305"/>
      <c r="CE685" s="305"/>
      <c r="CF685" s="305"/>
      <c r="CG685" s="305"/>
      <c r="CH685" s="305"/>
      <c r="CI685" s="305"/>
      <c r="CJ685" s="305"/>
      <c r="CK685" s="305"/>
      <c r="CL685" s="305"/>
      <c r="CM685" s="305"/>
      <c r="CN685" s="305"/>
      <c r="CO685" s="305"/>
      <c r="CP685" s="305"/>
    </row>
    <row r="686" spans="26:94">
      <c r="Z686" s="305"/>
      <c r="AA686" s="305"/>
      <c r="AB686" s="305"/>
      <c r="AC686" s="305"/>
      <c r="AD686" s="305"/>
      <c r="AE686" s="305"/>
      <c r="AF686" s="305"/>
      <c r="AG686" s="305"/>
      <c r="AH686" s="305"/>
      <c r="AI686" s="305"/>
      <c r="AJ686" s="305"/>
      <c r="AK686" s="305"/>
      <c r="AL686" s="305"/>
      <c r="AM686" s="305"/>
      <c r="AN686" s="305"/>
      <c r="AO686" s="305"/>
      <c r="AP686" s="305"/>
      <c r="AQ686" s="305"/>
      <c r="AR686" s="305"/>
      <c r="AS686" s="305"/>
      <c r="AT686" s="305"/>
      <c r="AU686" s="305"/>
      <c r="AV686" s="305"/>
      <c r="AW686" s="305"/>
      <c r="AX686" s="305"/>
      <c r="AY686" s="305"/>
      <c r="AZ686" s="305"/>
      <c r="BA686" s="305"/>
      <c r="BB686" s="305"/>
      <c r="BC686" s="305"/>
      <c r="BJ686" s="305"/>
      <c r="BK686" s="305"/>
      <c r="BL686" s="305"/>
      <c r="BM686" s="305"/>
      <c r="BN686" s="305"/>
      <c r="BO686" s="305"/>
      <c r="BP686" s="305"/>
      <c r="BQ686" s="305"/>
      <c r="BR686" s="305"/>
      <c r="BS686" s="305"/>
      <c r="BT686" s="305"/>
      <c r="BU686" s="305"/>
      <c r="BV686" s="305"/>
      <c r="BW686" s="305"/>
      <c r="BX686" s="305"/>
      <c r="BY686" s="305"/>
      <c r="BZ686" s="305"/>
      <c r="CA686" s="305"/>
      <c r="CB686" s="305"/>
      <c r="CC686" s="305"/>
      <c r="CD686" s="305"/>
      <c r="CE686" s="305"/>
      <c r="CF686" s="305"/>
      <c r="CG686" s="305"/>
      <c r="CH686" s="305"/>
      <c r="CI686" s="305"/>
      <c r="CJ686" s="305"/>
      <c r="CK686" s="305"/>
      <c r="CL686" s="305"/>
      <c r="CM686" s="305"/>
      <c r="CN686" s="305"/>
      <c r="CO686" s="305"/>
      <c r="CP686" s="305"/>
    </row>
    <row r="687" spans="26:94">
      <c r="Z687" s="305"/>
      <c r="AA687" s="305"/>
      <c r="AB687" s="305"/>
      <c r="AC687" s="305"/>
      <c r="AD687" s="305"/>
      <c r="AE687" s="305"/>
      <c r="AF687" s="305"/>
      <c r="AG687" s="305"/>
      <c r="AH687" s="305"/>
      <c r="AI687" s="305"/>
      <c r="AJ687" s="305"/>
      <c r="AK687" s="305"/>
      <c r="AL687" s="305"/>
      <c r="AM687" s="305"/>
      <c r="AN687" s="305"/>
      <c r="AO687" s="305"/>
      <c r="AP687" s="305"/>
      <c r="AQ687" s="305"/>
      <c r="AR687" s="305"/>
      <c r="AS687" s="305"/>
      <c r="AT687" s="305"/>
      <c r="AU687" s="305"/>
      <c r="AV687" s="305"/>
      <c r="AW687" s="305"/>
      <c r="AX687" s="305"/>
      <c r="AY687" s="305"/>
      <c r="AZ687" s="305"/>
      <c r="BA687" s="305"/>
      <c r="BB687" s="305"/>
      <c r="BC687" s="305"/>
      <c r="BJ687" s="305"/>
      <c r="BK687" s="305"/>
      <c r="BL687" s="305"/>
      <c r="BM687" s="305"/>
      <c r="BN687" s="305"/>
      <c r="BO687" s="305"/>
      <c r="BP687" s="305"/>
      <c r="BQ687" s="305"/>
      <c r="BR687" s="305"/>
      <c r="BS687" s="305"/>
      <c r="BT687" s="305"/>
      <c r="BU687" s="305"/>
      <c r="BV687" s="305"/>
      <c r="BW687" s="305"/>
      <c r="BX687" s="305"/>
      <c r="BY687" s="305"/>
      <c r="BZ687" s="305"/>
      <c r="CA687" s="305"/>
      <c r="CB687" s="305"/>
      <c r="CC687" s="305"/>
      <c r="CD687" s="305"/>
      <c r="CE687" s="305"/>
      <c r="CF687" s="305"/>
      <c r="CG687" s="305"/>
      <c r="CH687" s="305"/>
      <c r="CI687" s="305"/>
      <c r="CJ687" s="305"/>
      <c r="CK687" s="305"/>
      <c r="CL687" s="305"/>
      <c r="CM687" s="305"/>
      <c r="CN687" s="305"/>
      <c r="CO687" s="305"/>
      <c r="CP687" s="305"/>
    </row>
    <row r="688" spans="26:94">
      <c r="Z688" s="305"/>
      <c r="AA688" s="305"/>
      <c r="AB688" s="305"/>
      <c r="AC688" s="305"/>
      <c r="AD688" s="305"/>
      <c r="AE688" s="305"/>
      <c r="AF688" s="305"/>
      <c r="AG688" s="305"/>
      <c r="AH688" s="305"/>
      <c r="AI688" s="305"/>
      <c r="AJ688" s="305"/>
      <c r="AK688" s="305"/>
      <c r="AL688" s="305"/>
      <c r="AM688" s="305"/>
      <c r="AN688" s="305"/>
      <c r="AO688" s="305"/>
      <c r="AP688" s="305"/>
      <c r="AQ688" s="305"/>
      <c r="AR688" s="305"/>
      <c r="AS688" s="305"/>
      <c r="AT688" s="305"/>
      <c r="AU688" s="305"/>
      <c r="AV688" s="305"/>
      <c r="AW688" s="305"/>
      <c r="AX688" s="305"/>
      <c r="AY688" s="305"/>
      <c r="AZ688" s="305"/>
      <c r="BA688" s="305"/>
      <c r="BB688" s="305"/>
      <c r="BC688" s="305"/>
      <c r="BJ688" s="305"/>
      <c r="BK688" s="305"/>
      <c r="BL688" s="305"/>
      <c r="BM688" s="305"/>
      <c r="BN688" s="305"/>
      <c r="BO688" s="305"/>
      <c r="BP688" s="305"/>
      <c r="BQ688" s="305"/>
      <c r="BR688" s="305"/>
      <c r="BS688" s="305"/>
      <c r="BT688" s="305"/>
      <c r="BU688" s="305"/>
      <c r="BV688" s="305"/>
      <c r="BW688" s="305"/>
      <c r="BX688" s="305"/>
      <c r="BY688" s="305"/>
      <c r="BZ688" s="305"/>
      <c r="CA688" s="305"/>
      <c r="CB688" s="305"/>
      <c r="CC688" s="305"/>
      <c r="CD688" s="305"/>
      <c r="CE688" s="305"/>
      <c r="CF688" s="305"/>
      <c r="CG688" s="305"/>
      <c r="CH688" s="305"/>
      <c r="CI688" s="305"/>
      <c r="CJ688" s="305"/>
      <c r="CK688" s="305"/>
      <c r="CL688" s="305"/>
      <c r="CM688" s="305"/>
      <c r="CN688" s="305"/>
      <c r="CO688" s="305"/>
      <c r="CP688" s="305"/>
    </row>
    <row r="689" spans="26:94">
      <c r="Z689" s="305"/>
      <c r="AA689" s="305"/>
      <c r="AB689" s="305"/>
      <c r="AC689" s="305"/>
      <c r="AD689" s="305"/>
      <c r="AE689" s="305"/>
      <c r="AF689" s="305"/>
      <c r="AG689" s="305"/>
      <c r="AH689" s="305"/>
      <c r="AI689" s="305"/>
      <c r="AJ689" s="305"/>
      <c r="AK689" s="305"/>
      <c r="AL689" s="305"/>
      <c r="AM689" s="305"/>
      <c r="AN689" s="305"/>
      <c r="AO689" s="305"/>
      <c r="AP689" s="305"/>
      <c r="AQ689" s="305"/>
      <c r="AR689" s="305"/>
      <c r="AS689" s="305"/>
      <c r="AT689" s="305"/>
      <c r="AU689" s="305"/>
      <c r="AV689" s="305"/>
      <c r="AW689" s="305"/>
      <c r="AX689" s="305"/>
      <c r="AY689" s="305"/>
      <c r="AZ689" s="305"/>
      <c r="BA689" s="305"/>
      <c r="BB689" s="305"/>
      <c r="BC689" s="305"/>
      <c r="BJ689" s="305"/>
      <c r="BK689" s="305"/>
      <c r="BL689" s="305"/>
      <c r="BM689" s="305"/>
      <c r="BN689" s="305"/>
      <c r="BO689" s="305"/>
      <c r="BP689" s="305"/>
      <c r="BQ689" s="305"/>
      <c r="BR689" s="305"/>
      <c r="BS689" s="305"/>
      <c r="BT689" s="305"/>
      <c r="BU689" s="305"/>
      <c r="BV689" s="305"/>
      <c r="BW689" s="305"/>
      <c r="BX689" s="305"/>
      <c r="BY689" s="305"/>
      <c r="BZ689" s="305"/>
      <c r="CA689" s="305"/>
      <c r="CB689" s="305"/>
      <c r="CC689" s="305"/>
      <c r="CD689" s="305"/>
      <c r="CE689" s="305"/>
      <c r="CF689" s="305"/>
      <c r="CG689" s="305"/>
      <c r="CH689" s="305"/>
      <c r="CI689" s="305"/>
      <c r="CJ689" s="305"/>
      <c r="CK689" s="305"/>
      <c r="CL689" s="305"/>
      <c r="CM689" s="305"/>
      <c r="CN689" s="305"/>
      <c r="CO689" s="305"/>
      <c r="CP689" s="305"/>
    </row>
    <row r="690" spans="26:94">
      <c r="Z690" s="305"/>
      <c r="AA690" s="305"/>
      <c r="AB690" s="305"/>
      <c r="AC690" s="305"/>
      <c r="AD690" s="305"/>
      <c r="AE690" s="305"/>
      <c r="AF690" s="305"/>
      <c r="AG690" s="305"/>
      <c r="AH690" s="305"/>
      <c r="AI690" s="305"/>
      <c r="AJ690" s="305"/>
      <c r="AK690" s="305"/>
      <c r="AL690" s="305"/>
      <c r="AM690" s="305"/>
      <c r="AN690" s="305"/>
      <c r="AO690" s="305"/>
      <c r="AP690" s="305"/>
      <c r="AQ690" s="305"/>
      <c r="AR690" s="305"/>
      <c r="AS690" s="305"/>
      <c r="AT690" s="305"/>
      <c r="AU690" s="305"/>
      <c r="AV690" s="305"/>
      <c r="AW690" s="305"/>
      <c r="AX690" s="305"/>
      <c r="AY690" s="305"/>
      <c r="AZ690" s="305"/>
      <c r="BA690" s="305"/>
      <c r="BB690" s="305"/>
      <c r="BC690" s="305"/>
      <c r="BJ690" s="305"/>
      <c r="BK690" s="305"/>
      <c r="BL690" s="305"/>
      <c r="BM690" s="305"/>
      <c r="BN690" s="305"/>
      <c r="BO690" s="305"/>
      <c r="BP690" s="305"/>
      <c r="BQ690" s="305"/>
      <c r="BR690" s="305"/>
      <c r="BS690" s="305"/>
      <c r="BT690" s="305"/>
      <c r="BU690" s="305"/>
      <c r="BV690" s="305"/>
      <c r="BW690" s="305"/>
      <c r="BX690" s="305"/>
      <c r="BY690" s="305"/>
      <c r="BZ690" s="305"/>
      <c r="CA690" s="305"/>
      <c r="CB690" s="305"/>
      <c r="CC690" s="305"/>
      <c r="CD690" s="305"/>
      <c r="CE690" s="305"/>
      <c r="CF690" s="305"/>
      <c r="CG690" s="305"/>
      <c r="CH690" s="305"/>
      <c r="CI690" s="305"/>
      <c r="CJ690" s="305"/>
      <c r="CK690" s="305"/>
      <c r="CL690" s="305"/>
      <c r="CM690" s="305"/>
      <c r="CN690" s="305"/>
      <c r="CO690" s="305"/>
      <c r="CP690" s="305"/>
    </row>
    <row r="691" spans="26:94">
      <c r="Z691" s="305"/>
      <c r="AA691" s="305"/>
      <c r="AB691" s="305"/>
      <c r="AC691" s="305"/>
      <c r="AD691" s="305"/>
      <c r="AE691" s="305"/>
      <c r="AF691" s="305"/>
      <c r="AG691" s="305"/>
      <c r="AH691" s="305"/>
      <c r="AI691" s="305"/>
      <c r="AJ691" s="305"/>
      <c r="AK691" s="305"/>
      <c r="AL691" s="305"/>
      <c r="AM691" s="305"/>
      <c r="AN691" s="305"/>
      <c r="AO691" s="305"/>
      <c r="AP691" s="305"/>
      <c r="AQ691" s="305"/>
      <c r="AR691" s="305"/>
      <c r="AS691" s="305"/>
      <c r="AT691" s="305"/>
      <c r="AU691" s="305"/>
      <c r="AV691" s="305"/>
      <c r="AW691" s="305"/>
      <c r="AX691" s="305"/>
      <c r="AY691" s="305"/>
      <c r="AZ691" s="305"/>
      <c r="BA691" s="305"/>
      <c r="BB691" s="305"/>
      <c r="BC691" s="305"/>
      <c r="BJ691" s="305"/>
      <c r="BK691" s="305"/>
      <c r="BL691" s="305"/>
      <c r="BM691" s="305"/>
      <c r="BN691" s="305"/>
      <c r="BO691" s="305"/>
      <c r="BP691" s="305"/>
      <c r="BQ691" s="305"/>
      <c r="BR691" s="305"/>
      <c r="BS691" s="305"/>
      <c r="BT691" s="305"/>
      <c r="BU691" s="305"/>
      <c r="BV691" s="305"/>
      <c r="BW691" s="305"/>
      <c r="BX691" s="305"/>
      <c r="BY691" s="305"/>
      <c r="BZ691" s="305"/>
      <c r="CA691" s="305"/>
      <c r="CB691" s="305"/>
      <c r="CC691" s="305"/>
      <c r="CD691" s="305"/>
      <c r="CE691" s="305"/>
      <c r="CF691" s="305"/>
      <c r="CG691" s="305"/>
      <c r="CH691" s="305"/>
      <c r="CI691" s="305"/>
      <c r="CJ691" s="305"/>
      <c r="CK691" s="305"/>
      <c r="CL691" s="305"/>
      <c r="CM691" s="305"/>
      <c r="CN691" s="305"/>
      <c r="CO691" s="305"/>
      <c r="CP691" s="305"/>
    </row>
    <row r="692" spans="26:94">
      <c r="Z692" s="305"/>
      <c r="AA692" s="305"/>
      <c r="AB692" s="305"/>
      <c r="AC692" s="305"/>
      <c r="AD692" s="305"/>
      <c r="AE692" s="305"/>
      <c r="AF692" s="305"/>
      <c r="AG692" s="305"/>
      <c r="AH692" s="305"/>
      <c r="AI692" s="305"/>
      <c r="AJ692" s="305"/>
      <c r="AK692" s="305"/>
      <c r="AL692" s="305"/>
      <c r="AM692" s="305"/>
      <c r="AN692" s="305"/>
      <c r="AO692" s="305"/>
      <c r="AP692" s="305"/>
      <c r="AQ692" s="305"/>
      <c r="AR692" s="305"/>
      <c r="AS692" s="305"/>
      <c r="AT692" s="305"/>
      <c r="AU692" s="305"/>
      <c r="AV692" s="305"/>
      <c r="AW692" s="305"/>
      <c r="AX692" s="305"/>
      <c r="AY692" s="305"/>
      <c r="AZ692" s="305"/>
      <c r="BA692" s="305"/>
      <c r="BB692" s="305"/>
      <c r="BC692" s="305"/>
      <c r="BJ692" s="305"/>
      <c r="BK692" s="305"/>
      <c r="BL692" s="305"/>
      <c r="BM692" s="305"/>
      <c r="BN692" s="305"/>
      <c r="BO692" s="305"/>
      <c r="BP692" s="305"/>
      <c r="BQ692" s="305"/>
      <c r="BR692" s="305"/>
      <c r="BS692" s="305"/>
      <c r="BT692" s="305"/>
      <c r="BU692" s="305"/>
      <c r="BV692" s="305"/>
      <c r="BW692" s="305"/>
      <c r="BX692" s="305"/>
      <c r="BY692" s="305"/>
      <c r="BZ692" s="305"/>
      <c r="CA692" s="305"/>
      <c r="CB692" s="305"/>
      <c r="CC692" s="305"/>
      <c r="CD692" s="305"/>
      <c r="CE692" s="305"/>
      <c r="CF692" s="305"/>
      <c r="CG692" s="305"/>
      <c r="CH692" s="305"/>
      <c r="CI692" s="305"/>
      <c r="CJ692" s="305"/>
      <c r="CK692" s="305"/>
      <c r="CL692" s="305"/>
      <c r="CM692" s="305"/>
      <c r="CN692" s="305"/>
      <c r="CO692" s="305"/>
      <c r="CP692" s="305"/>
    </row>
    <row r="693" spans="26:94">
      <c r="Z693" s="305"/>
      <c r="AA693" s="305"/>
      <c r="AB693" s="305"/>
      <c r="AC693" s="305"/>
      <c r="AD693" s="305"/>
      <c r="AE693" s="305"/>
      <c r="AF693" s="305"/>
      <c r="AG693" s="305"/>
      <c r="AH693" s="305"/>
      <c r="AI693" s="305"/>
      <c r="AJ693" s="305"/>
      <c r="AK693" s="305"/>
      <c r="AL693" s="305"/>
      <c r="AM693" s="305"/>
      <c r="AN693" s="305"/>
      <c r="AO693" s="305"/>
      <c r="AP693" s="305"/>
      <c r="AQ693" s="305"/>
      <c r="AR693" s="305"/>
      <c r="AS693" s="305"/>
      <c r="AT693" s="305"/>
      <c r="AU693" s="305"/>
      <c r="AV693" s="305"/>
      <c r="AW693" s="305"/>
      <c r="AX693" s="305"/>
      <c r="AY693" s="305"/>
      <c r="AZ693" s="305"/>
      <c r="BA693" s="305"/>
      <c r="BB693" s="305"/>
      <c r="BC693" s="305"/>
      <c r="BJ693" s="305"/>
      <c r="BK693" s="305"/>
      <c r="BL693" s="305"/>
      <c r="BM693" s="305"/>
      <c r="BN693" s="305"/>
      <c r="BO693" s="305"/>
      <c r="BP693" s="305"/>
      <c r="BQ693" s="305"/>
      <c r="BR693" s="305"/>
      <c r="BS693" s="305"/>
      <c r="BT693" s="305"/>
      <c r="BU693" s="305"/>
      <c r="BV693" s="305"/>
      <c r="BW693" s="305"/>
      <c r="BX693" s="305"/>
      <c r="BY693" s="305"/>
      <c r="BZ693" s="305"/>
      <c r="CA693" s="305"/>
      <c r="CB693" s="305"/>
      <c r="CC693" s="305"/>
      <c r="CD693" s="305"/>
      <c r="CE693" s="305"/>
      <c r="CF693" s="305"/>
      <c r="CG693" s="305"/>
      <c r="CH693" s="305"/>
      <c r="CI693" s="305"/>
      <c r="CJ693" s="305"/>
      <c r="CK693" s="305"/>
      <c r="CL693" s="305"/>
      <c r="CM693" s="305"/>
      <c r="CN693" s="305"/>
      <c r="CO693" s="305"/>
      <c r="CP693" s="305"/>
    </row>
    <row r="694" spans="26:94">
      <c r="Z694" s="305"/>
      <c r="AA694" s="305"/>
      <c r="AB694" s="305"/>
      <c r="AC694" s="305"/>
      <c r="AD694" s="305"/>
      <c r="AE694" s="305"/>
      <c r="AF694" s="305"/>
      <c r="AG694" s="305"/>
      <c r="AH694" s="305"/>
      <c r="AI694" s="305"/>
      <c r="AJ694" s="305"/>
      <c r="AK694" s="305"/>
      <c r="AL694" s="305"/>
      <c r="AM694" s="305"/>
      <c r="AN694" s="305"/>
      <c r="AO694" s="305"/>
      <c r="AP694" s="305"/>
      <c r="AQ694" s="305"/>
      <c r="AR694" s="305"/>
      <c r="AS694" s="305"/>
      <c r="AT694" s="305"/>
      <c r="AU694" s="305"/>
      <c r="AV694" s="305"/>
      <c r="AW694" s="305"/>
      <c r="AX694" s="305"/>
      <c r="AY694" s="305"/>
      <c r="AZ694" s="305"/>
      <c r="BA694" s="305"/>
      <c r="BB694" s="305"/>
      <c r="BC694" s="305"/>
      <c r="BJ694" s="305"/>
      <c r="BK694" s="305"/>
      <c r="BL694" s="305"/>
      <c r="BM694" s="305"/>
      <c r="BN694" s="305"/>
      <c r="BO694" s="305"/>
      <c r="BP694" s="305"/>
      <c r="BQ694" s="305"/>
      <c r="BR694" s="305"/>
      <c r="BS694" s="305"/>
      <c r="BT694" s="305"/>
      <c r="BU694" s="305"/>
      <c r="BV694" s="305"/>
      <c r="BW694" s="305"/>
      <c r="BX694" s="305"/>
      <c r="BY694" s="305"/>
      <c r="BZ694" s="305"/>
      <c r="CA694" s="305"/>
      <c r="CB694" s="305"/>
      <c r="CC694" s="305"/>
      <c r="CD694" s="305"/>
      <c r="CE694" s="305"/>
      <c r="CF694" s="305"/>
      <c r="CG694" s="305"/>
      <c r="CH694" s="305"/>
      <c r="CI694" s="305"/>
      <c r="CJ694" s="305"/>
      <c r="CK694" s="305"/>
      <c r="CL694" s="305"/>
      <c r="CM694" s="305"/>
      <c r="CN694" s="305"/>
      <c r="CO694" s="305"/>
      <c r="CP694" s="305"/>
    </row>
    <row r="695" spans="26:94">
      <c r="Z695" s="305"/>
      <c r="AA695" s="305"/>
      <c r="AB695" s="305"/>
      <c r="AC695" s="305"/>
      <c r="AD695" s="305"/>
      <c r="AE695" s="305"/>
      <c r="AF695" s="305"/>
      <c r="AG695" s="305"/>
      <c r="AH695" s="305"/>
      <c r="AI695" s="305"/>
      <c r="AJ695" s="305"/>
      <c r="AK695" s="305"/>
      <c r="AL695" s="305"/>
      <c r="AM695" s="305"/>
      <c r="AN695" s="305"/>
      <c r="AO695" s="305"/>
      <c r="AP695" s="305"/>
      <c r="AQ695" s="305"/>
      <c r="AR695" s="305"/>
      <c r="AS695" s="305"/>
      <c r="AT695" s="305"/>
      <c r="AU695" s="305"/>
      <c r="AV695" s="305"/>
      <c r="AW695" s="305"/>
      <c r="AX695" s="305"/>
      <c r="AY695" s="305"/>
      <c r="AZ695" s="305"/>
      <c r="BA695" s="305"/>
      <c r="BB695" s="305"/>
      <c r="BC695" s="305"/>
      <c r="BJ695" s="305"/>
      <c r="BK695" s="305"/>
      <c r="BL695" s="305"/>
      <c r="BM695" s="305"/>
      <c r="BN695" s="305"/>
      <c r="BO695" s="305"/>
      <c r="BP695" s="305"/>
      <c r="BQ695" s="305"/>
      <c r="BR695" s="305"/>
      <c r="BS695" s="305"/>
      <c r="BT695" s="305"/>
      <c r="BU695" s="305"/>
      <c r="BV695" s="305"/>
      <c r="BW695" s="305"/>
      <c r="BX695" s="305"/>
      <c r="BY695" s="305"/>
      <c r="BZ695" s="305"/>
      <c r="CA695" s="305"/>
      <c r="CB695" s="305"/>
      <c r="CC695" s="305"/>
      <c r="CD695" s="305"/>
      <c r="CE695" s="305"/>
      <c r="CF695" s="305"/>
      <c r="CG695" s="305"/>
      <c r="CH695" s="305"/>
      <c r="CI695" s="305"/>
      <c r="CJ695" s="305"/>
      <c r="CK695" s="305"/>
      <c r="CL695" s="305"/>
      <c r="CM695" s="305"/>
      <c r="CN695" s="305"/>
      <c r="CO695" s="305"/>
      <c r="CP695" s="305"/>
    </row>
    <row r="696" spans="26:94">
      <c r="Z696" s="305"/>
      <c r="AA696" s="305"/>
      <c r="AB696" s="305"/>
      <c r="AC696" s="305"/>
      <c r="AD696" s="305"/>
      <c r="AE696" s="305"/>
      <c r="AF696" s="305"/>
      <c r="AG696" s="305"/>
      <c r="AH696" s="305"/>
      <c r="AI696" s="305"/>
      <c r="AJ696" s="305"/>
      <c r="AK696" s="305"/>
      <c r="AL696" s="305"/>
      <c r="AM696" s="305"/>
      <c r="AN696" s="305"/>
      <c r="AO696" s="305"/>
      <c r="AP696" s="305"/>
      <c r="AQ696" s="305"/>
      <c r="AR696" s="305"/>
      <c r="AS696" s="305"/>
      <c r="AT696" s="305"/>
      <c r="AU696" s="305"/>
      <c r="AV696" s="305"/>
      <c r="AW696" s="305"/>
      <c r="AX696" s="305"/>
      <c r="AY696" s="305"/>
      <c r="AZ696" s="305"/>
      <c r="BA696" s="305"/>
      <c r="BB696" s="305"/>
      <c r="BC696" s="305"/>
      <c r="BJ696" s="305"/>
      <c r="BK696" s="305"/>
      <c r="BL696" s="305"/>
      <c r="BM696" s="305"/>
      <c r="BN696" s="305"/>
      <c r="BO696" s="305"/>
      <c r="BP696" s="305"/>
      <c r="BQ696" s="305"/>
      <c r="BR696" s="305"/>
      <c r="BS696" s="305"/>
      <c r="BT696" s="305"/>
      <c r="BU696" s="305"/>
      <c r="BV696" s="305"/>
      <c r="BW696" s="305"/>
      <c r="BX696" s="305"/>
      <c r="BY696" s="305"/>
      <c r="BZ696" s="305"/>
      <c r="CA696" s="305"/>
      <c r="CB696" s="305"/>
      <c r="CC696" s="305"/>
      <c r="CD696" s="305"/>
      <c r="CE696" s="305"/>
      <c r="CF696" s="305"/>
      <c r="CG696" s="305"/>
      <c r="CH696" s="305"/>
      <c r="CI696" s="305"/>
      <c r="CJ696" s="305"/>
      <c r="CK696" s="305"/>
      <c r="CL696" s="305"/>
      <c r="CM696" s="305"/>
      <c r="CN696" s="305"/>
      <c r="CO696" s="305"/>
      <c r="CP696" s="305"/>
    </row>
    <row r="697" spans="26:94">
      <c r="Z697" s="305"/>
      <c r="AA697" s="305"/>
      <c r="AB697" s="305"/>
      <c r="AC697" s="305"/>
      <c r="AD697" s="305"/>
      <c r="AE697" s="305"/>
      <c r="AF697" s="305"/>
      <c r="AG697" s="305"/>
      <c r="AH697" s="305"/>
      <c r="AI697" s="305"/>
      <c r="AJ697" s="305"/>
      <c r="AK697" s="305"/>
      <c r="AL697" s="305"/>
      <c r="AM697" s="305"/>
      <c r="AN697" s="305"/>
      <c r="AO697" s="305"/>
      <c r="AP697" s="305"/>
      <c r="AQ697" s="305"/>
      <c r="AR697" s="305"/>
      <c r="AS697" s="305"/>
      <c r="AT697" s="305"/>
      <c r="AU697" s="305"/>
      <c r="AV697" s="305"/>
      <c r="AW697" s="305"/>
      <c r="AX697" s="305"/>
      <c r="AY697" s="305"/>
      <c r="AZ697" s="305"/>
      <c r="BA697" s="305"/>
      <c r="BB697" s="305"/>
      <c r="BC697" s="305"/>
      <c r="BJ697" s="305"/>
      <c r="BK697" s="305"/>
      <c r="BL697" s="305"/>
      <c r="BM697" s="305"/>
      <c r="BN697" s="305"/>
      <c r="BO697" s="305"/>
      <c r="BP697" s="305"/>
      <c r="BQ697" s="305"/>
      <c r="BR697" s="305"/>
      <c r="BS697" s="305"/>
      <c r="BT697" s="305"/>
      <c r="BU697" s="305"/>
      <c r="BV697" s="305"/>
      <c r="BW697" s="305"/>
      <c r="BX697" s="305"/>
      <c r="BY697" s="305"/>
      <c r="BZ697" s="305"/>
      <c r="CA697" s="305"/>
      <c r="CB697" s="305"/>
      <c r="CC697" s="305"/>
      <c r="CD697" s="305"/>
      <c r="CE697" s="305"/>
      <c r="CF697" s="305"/>
      <c r="CG697" s="305"/>
      <c r="CH697" s="305"/>
      <c r="CI697" s="305"/>
      <c r="CJ697" s="305"/>
      <c r="CK697" s="305"/>
      <c r="CL697" s="305"/>
      <c r="CM697" s="305"/>
      <c r="CN697" s="305"/>
      <c r="CO697" s="305"/>
      <c r="CP697" s="305"/>
    </row>
    <row r="698" spans="26:94">
      <c r="Z698" s="305"/>
      <c r="AA698" s="305"/>
      <c r="AB698" s="305"/>
      <c r="AC698" s="305"/>
      <c r="AD698" s="305"/>
      <c r="AE698" s="305"/>
      <c r="AF698" s="305"/>
      <c r="AG698" s="305"/>
      <c r="AH698" s="305"/>
      <c r="AI698" s="305"/>
      <c r="AJ698" s="305"/>
      <c r="AK698" s="305"/>
      <c r="AL698" s="305"/>
      <c r="AM698" s="305"/>
      <c r="AN698" s="305"/>
      <c r="AO698" s="305"/>
      <c r="AP698" s="305"/>
      <c r="AQ698" s="305"/>
      <c r="AR698" s="305"/>
      <c r="AS698" s="305"/>
      <c r="AT698" s="305"/>
      <c r="AU698" s="305"/>
      <c r="AV698" s="305"/>
      <c r="AW698" s="305"/>
      <c r="AX698" s="305"/>
      <c r="AY698" s="305"/>
      <c r="AZ698" s="305"/>
      <c r="BA698" s="305"/>
      <c r="BB698" s="305"/>
      <c r="BC698" s="305"/>
      <c r="BJ698" s="305"/>
      <c r="BK698" s="305"/>
      <c r="BL698" s="305"/>
      <c r="BM698" s="305"/>
      <c r="BN698" s="305"/>
      <c r="BO698" s="305"/>
      <c r="BP698" s="305"/>
      <c r="BQ698" s="305"/>
      <c r="BR698" s="305"/>
      <c r="BS698" s="305"/>
      <c r="BT698" s="305"/>
      <c r="BU698" s="305"/>
      <c r="BV698" s="305"/>
      <c r="BW698" s="305"/>
      <c r="BX698" s="305"/>
      <c r="BY698" s="305"/>
      <c r="BZ698" s="305"/>
      <c r="CA698" s="305"/>
      <c r="CB698" s="305"/>
      <c r="CC698" s="305"/>
      <c r="CD698" s="305"/>
      <c r="CE698" s="305"/>
      <c r="CF698" s="305"/>
      <c r="CG698" s="305"/>
      <c r="CH698" s="305"/>
      <c r="CI698" s="305"/>
      <c r="CJ698" s="305"/>
      <c r="CK698" s="305"/>
      <c r="CL698" s="305"/>
      <c r="CM698" s="305"/>
      <c r="CN698" s="305"/>
      <c r="CO698" s="305"/>
      <c r="CP698" s="305"/>
    </row>
    <row r="699" spans="26:94">
      <c r="Z699" s="305"/>
      <c r="AA699" s="305"/>
      <c r="AB699" s="305"/>
      <c r="AC699" s="305"/>
      <c r="AD699" s="305"/>
      <c r="AE699" s="305"/>
      <c r="AF699" s="305"/>
      <c r="AG699" s="305"/>
      <c r="AH699" s="305"/>
      <c r="AI699" s="305"/>
      <c r="AJ699" s="305"/>
      <c r="AK699" s="305"/>
      <c r="AL699" s="305"/>
      <c r="AM699" s="305"/>
      <c r="AN699" s="305"/>
      <c r="AO699" s="305"/>
      <c r="AP699" s="305"/>
      <c r="AQ699" s="305"/>
      <c r="AR699" s="305"/>
      <c r="AS699" s="305"/>
      <c r="AT699" s="305"/>
      <c r="AU699" s="305"/>
      <c r="AV699" s="305"/>
      <c r="AW699" s="305"/>
      <c r="AX699" s="305"/>
      <c r="AY699" s="305"/>
      <c r="AZ699" s="305"/>
      <c r="BA699" s="305"/>
      <c r="BB699" s="305"/>
      <c r="BC699" s="305"/>
      <c r="BJ699" s="305"/>
      <c r="BK699" s="305"/>
      <c r="BL699" s="305"/>
      <c r="BM699" s="305"/>
      <c r="BN699" s="305"/>
      <c r="BO699" s="305"/>
      <c r="BP699" s="305"/>
      <c r="BQ699" s="305"/>
      <c r="BR699" s="305"/>
      <c r="BS699" s="305"/>
      <c r="BT699" s="305"/>
      <c r="BU699" s="305"/>
      <c r="BV699" s="305"/>
      <c r="BW699" s="305"/>
      <c r="BX699" s="305"/>
      <c r="BY699" s="305"/>
      <c r="BZ699" s="305"/>
      <c r="CA699" s="305"/>
      <c r="CB699" s="305"/>
      <c r="CC699" s="305"/>
      <c r="CD699" s="305"/>
      <c r="CE699" s="305"/>
      <c r="CF699" s="305"/>
      <c r="CG699" s="305"/>
      <c r="CH699" s="305"/>
      <c r="CI699" s="305"/>
      <c r="CJ699" s="305"/>
      <c r="CK699" s="305"/>
      <c r="CL699" s="305"/>
      <c r="CM699" s="305"/>
      <c r="CN699" s="305"/>
      <c r="CO699" s="305"/>
      <c r="CP699" s="305"/>
    </row>
    <row r="700" spans="26:94">
      <c r="Z700" s="305"/>
      <c r="AA700" s="305"/>
      <c r="AB700" s="305"/>
      <c r="AC700" s="305"/>
      <c r="AD700" s="305"/>
      <c r="AE700" s="305"/>
      <c r="AF700" s="305"/>
      <c r="AG700" s="305"/>
      <c r="AH700" s="305"/>
      <c r="AI700" s="305"/>
      <c r="AJ700" s="305"/>
      <c r="AK700" s="305"/>
      <c r="AL700" s="305"/>
      <c r="AM700" s="305"/>
      <c r="AN700" s="305"/>
      <c r="AO700" s="305"/>
      <c r="AP700" s="305"/>
      <c r="AQ700" s="305"/>
      <c r="AR700" s="305"/>
      <c r="AS700" s="305"/>
      <c r="AT700" s="305"/>
      <c r="AU700" s="305"/>
      <c r="AV700" s="305"/>
      <c r="AW700" s="305"/>
      <c r="AX700" s="305"/>
      <c r="AY700" s="305"/>
      <c r="AZ700" s="305"/>
      <c r="BA700" s="305"/>
      <c r="BB700" s="305"/>
      <c r="BC700" s="305"/>
      <c r="BJ700" s="305"/>
      <c r="BK700" s="305"/>
      <c r="BL700" s="305"/>
      <c r="BM700" s="305"/>
      <c r="BN700" s="305"/>
      <c r="BO700" s="305"/>
      <c r="BP700" s="305"/>
      <c r="BQ700" s="305"/>
      <c r="BR700" s="305"/>
      <c r="BS700" s="305"/>
      <c r="BT700" s="305"/>
      <c r="BU700" s="305"/>
      <c r="BV700" s="305"/>
      <c r="BW700" s="305"/>
      <c r="BX700" s="305"/>
      <c r="BY700" s="305"/>
      <c r="BZ700" s="305"/>
      <c r="CA700" s="305"/>
      <c r="CB700" s="305"/>
      <c r="CC700" s="305"/>
      <c r="CD700" s="305"/>
      <c r="CE700" s="305"/>
      <c r="CF700" s="305"/>
      <c r="CG700" s="305"/>
      <c r="CH700" s="305"/>
      <c r="CI700" s="305"/>
      <c r="CJ700" s="305"/>
      <c r="CK700" s="305"/>
      <c r="CL700" s="305"/>
      <c r="CM700" s="305"/>
      <c r="CN700" s="305"/>
      <c r="CO700" s="305"/>
      <c r="CP700" s="305"/>
    </row>
    <row r="701" spans="26:94">
      <c r="Z701" s="305"/>
      <c r="AA701" s="305"/>
      <c r="AB701" s="305"/>
      <c r="AC701" s="305"/>
      <c r="AD701" s="305"/>
      <c r="AE701" s="305"/>
      <c r="AF701" s="305"/>
      <c r="AG701" s="305"/>
      <c r="AH701" s="305"/>
      <c r="AI701" s="305"/>
      <c r="AJ701" s="305"/>
      <c r="AK701" s="305"/>
      <c r="AL701" s="305"/>
      <c r="AM701" s="305"/>
      <c r="AN701" s="305"/>
      <c r="AO701" s="305"/>
      <c r="AP701" s="305"/>
      <c r="AQ701" s="305"/>
      <c r="AR701" s="305"/>
      <c r="AS701" s="305"/>
      <c r="AT701" s="305"/>
      <c r="AU701" s="305"/>
      <c r="AV701" s="305"/>
      <c r="AW701" s="305"/>
      <c r="AX701" s="305"/>
      <c r="AY701" s="305"/>
      <c r="AZ701" s="305"/>
      <c r="BA701" s="305"/>
      <c r="BB701" s="305"/>
      <c r="BC701" s="305"/>
      <c r="BJ701" s="305"/>
      <c r="BK701" s="305"/>
      <c r="BL701" s="305"/>
      <c r="BM701" s="305"/>
      <c r="BN701" s="305"/>
      <c r="BO701" s="305"/>
      <c r="BP701" s="305"/>
      <c r="BQ701" s="305"/>
      <c r="BR701" s="305"/>
      <c r="BS701" s="305"/>
      <c r="BT701" s="305"/>
      <c r="BU701" s="305"/>
      <c r="BV701" s="305"/>
      <c r="BW701" s="305"/>
      <c r="BX701" s="305"/>
      <c r="BY701" s="305"/>
      <c r="BZ701" s="305"/>
      <c r="CA701" s="305"/>
      <c r="CB701" s="305"/>
      <c r="CC701" s="305"/>
      <c r="CD701" s="305"/>
      <c r="CE701" s="305"/>
      <c r="CF701" s="305"/>
      <c r="CG701" s="305"/>
      <c r="CH701" s="305"/>
      <c r="CI701" s="305"/>
      <c r="CJ701" s="305"/>
      <c r="CK701" s="305"/>
      <c r="CL701" s="305"/>
      <c r="CM701" s="305"/>
      <c r="CN701" s="305"/>
      <c r="CO701" s="305"/>
      <c r="CP701" s="305"/>
    </row>
    <row r="702" spans="26:94">
      <c r="Z702" s="305"/>
      <c r="AA702" s="305"/>
      <c r="AB702" s="305"/>
      <c r="AC702" s="305"/>
      <c r="AD702" s="305"/>
      <c r="AE702" s="305"/>
      <c r="AF702" s="305"/>
      <c r="AG702" s="305"/>
      <c r="AH702" s="305"/>
      <c r="AI702" s="305"/>
      <c r="AJ702" s="305"/>
      <c r="AK702" s="305"/>
      <c r="AL702" s="305"/>
      <c r="AM702" s="305"/>
      <c r="AN702" s="305"/>
      <c r="AO702" s="305"/>
      <c r="AP702" s="305"/>
      <c r="AQ702" s="305"/>
      <c r="AR702" s="305"/>
      <c r="AS702" s="305"/>
      <c r="AT702" s="305"/>
      <c r="AU702" s="305"/>
      <c r="AV702" s="305"/>
      <c r="AW702" s="305"/>
      <c r="AX702" s="305"/>
      <c r="AY702" s="305"/>
      <c r="AZ702" s="305"/>
      <c r="BA702" s="305"/>
      <c r="BB702" s="305"/>
      <c r="BC702" s="305"/>
      <c r="BJ702" s="305"/>
      <c r="BK702" s="305"/>
      <c r="BL702" s="305"/>
      <c r="BM702" s="305"/>
      <c r="BN702" s="305"/>
      <c r="BO702" s="305"/>
      <c r="BP702" s="305"/>
      <c r="BQ702" s="305"/>
      <c r="BR702" s="305"/>
      <c r="BS702" s="305"/>
      <c r="BT702" s="305"/>
      <c r="BU702" s="305"/>
      <c r="BV702" s="305"/>
      <c r="BW702" s="305"/>
      <c r="BX702" s="305"/>
      <c r="BY702" s="305"/>
      <c r="BZ702" s="305"/>
      <c r="CA702" s="305"/>
      <c r="CB702" s="305"/>
      <c r="CC702" s="305"/>
      <c r="CD702" s="305"/>
      <c r="CE702" s="305"/>
      <c r="CF702" s="305"/>
      <c r="CG702" s="305"/>
      <c r="CH702" s="305"/>
      <c r="CI702" s="305"/>
      <c r="CJ702" s="305"/>
      <c r="CK702" s="305"/>
      <c r="CL702" s="305"/>
      <c r="CM702" s="305"/>
      <c r="CN702" s="305"/>
      <c r="CO702" s="305"/>
      <c r="CP702" s="305"/>
    </row>
    <row r="703" spans="26:94">
      <c r="Z703" s="305"/>
      <c r="AA703" s="305"/>
      <c r="AB703" s="305"/>
      <c r="AC703" s="305"/>
      <c r="AD703" s="305"/>
      <c r="AE703" s="305"/>
      <c r="AF703" s="305"/>
      <c r="AG703" s="305"/>
      <c r="AH703" s="305"/>
      <c r="AI703" s="305"/>
      <c r="AJ703" s="305"/>
      <c r="AK703" s="305"/>
      <c r="AL703" s="305"/>
      <c r="AM703" s="305"/>
      <c r="AN703" s="305"/>
      <c r="AO703" s="305"/>
      <c r="AP703" s="305"/>
      <c r="AQ703" s="305"/>
      <c r="AR703" s="305"/>
      <c r="AS703" s="305"/>
      <c r="AT703" s="305"/>
      <c r="AU703" s="305"/>
      <c r="AV703" s="305"/>
      <c r="AW703" s="305"/>
      <c r="AX703" s="305"/>
      <c r="AY703" s="305"/>
      <c r="AZ703" s="305"/>
      <c r="BA703" s="305"/>
      <c r="BB703" s="305"/>
      <c r="BC703" s="305"/>
      <c r="BJ703" s="305"/>
      <c r="BK703" s="305"/>
      <c r="BL703" s="305"/>
      <c r="BM703" s="305"/>
      <c r="BN703" s="305"/>
      <c r="BO703" s="305"/>
      <c r="BP703" s="305"/>
      <c r="BQ703" s="305"/>
      <c r="BR703" s="305"/>
      <c r="BS703" s="305"/>
      <c r="BT703" s="305"/>
      <c r="BU703" s="305"/>
      <c r="BV703" s="305"/>
      <c r="BW703" s="305"/>
      <c r="BX703" s="305"/>
      <c r="BY703" s="305"/>
      <c r="BZ703" s="305"/>
      <c r="CA703" s="305"/>
      <c r="CB703" s="305"/>
      <c r="CC703" s="305"/>
      <c r="CD703" s="305"/>
      <c r="CE703" s="305"/>
      <c r="CF703" s="305"/>
      <c r="CG703" s="305"/>
      <c r="CH703" s="305"/>
      <c r="CI703" s="305"/>
      <c r="CJ703" s="305"/>
      <c r="CK703" s="305"/>
      <c r="CL703" s="305"/>
      <c r="CM703" s="305"/>
      <c r="CN703" s="305"/>
      <c r="CO703" s="305"/>
      <c r="CP703" s="305"/>
    </row>
    <row r="704" spans="26:94">
      <c r="Z704" s="305"/>
      <c r="AA704" s="305"/>
      <c r="AB704" s="305"/>
      <c r="AC704" s="305"/>
      <c r="AD704" s="305"/>
      <c r="AE704" s="305"/>
      <c r="AF704" s="305"/>
      <c r="AG704" s="305"/>
      <c r="AH704" s="305"/>
      <c r="AI704" s="305"/>
      <c r="AJ704" s="305"/>
      <c r="AK704" s="305"/>
      <c r="AL704" s="305"/>
      <c r="AM704" s="305"/>
      <c r="AN704" s="305"/>
      <c r="AO704" s="305"/>
      <c r="AP704" s="305"/>
      <c r="AQ704" s="305"/>
      <c r="AR704" s="305"/>
      <c r="AS704" s="305"/>
      <c r="AT704" s="305"/>
      <c r="AU704" s="305"/>
      <c r="AV704" s="305"/>
      <c r="AW704" s="305"/>
      <c r="AX704" s="305"/>
      <c r="AY704" s="305"/>
      <c r="AZ704" s="305"/>
      <c r="BA704" s="305"/>
      <c r="BB704" s="305"/>
      <c r="BC704" s="305"/>
      <c r="BJ704" s="305"/>
      <c r="BK704" s="305"/>
      <c r="BL704" s="305"/>
      <c r="BM704" s="305"/>
      <c r="BN704" s="305"/>
      <c r="BO704" s="305"/>
      <c r="BP704" s="305"/>
      <c r="BQ704" s="305"/>
      <c r="BR704" s="305"/>
      <c r="BS704" s="305"/>
      <c r="BT704" s="305"/>
      <c r="BU704" s="305"/>
      <c r="BV704" s="305"/>
      <c r="BW704" s="305"/>
      <c r="BX704" s="305"/>
      <c r="BY704" s="305"/>
      <c r="BZ704" s="305"/>
      <c r="CA704" s="305"/>
      <c r="CB704" s="305"/>
      <c r="CC704" s="305"/>
      <c r="CD704" s="305"/>
      <c r="CE704" s="305"/>
      <c r="CF704" s="305"/>
      <c r="CG704" s="305"/>
      <c r="CH704" s="305"/>
      <c r="CI704" s="305"/>
      <c r="CJ704" s="305"/>
      <c r="CK704" s="305"/>
      <c r="CL704" s="305"/>
      <c r="CM704" s="305"/>
      <c r="CN704" s="305"/>
      <c r="CO704" s="305"/>
      <c r="CP704" s="305"/>
    </row>
    <row r="705" spans="26:94">
      <c r="Z705" s="305"/>
      <c r="AA705" s="305"/>
      <c r="AB705" s="305"/>
      <c r="AC705" s="305"/>
      <c r="AD705" s="305"/>
      <c r="AE705" s="305"/>
      <c r="AF705" s="305"/>
      <c r="AG705" s="305"/>
      <c r="AH705" s="305"/>
      <c r="AI705" s="305"/>
      <c r="AJ705" s="305"/>
      <c r="AK705" s="305"/>
      <c r="AL705" s="305"/>
      <c r="AM705" s="305"/>
      <c r="AN705" s="305"/>
      <c r="AO705" s="305"/>
      <c r="AP705" s="305"/>
      <c r="AQ705" s="305"/>
      <c r="AR705" s="305"/>
      <c r="AS705" s="305"/>
      <c r="AT705" s="305"/>
      <c r="AU705" s="305"/>
      <c r="AV705" s="305"/>
      <c r="AW705" s="305"/>
      <c r="AX705" s="305"/>
      <c r="AY705" s="305"/>
      <c r="AZ705" s="305"/>
      <c r="BA705" s="305"/>
      <c r="BB705" s="305"/>
      <c r="BC705" s="305"/>
      <c r="BJ705" s="305"/>
      <c r="BK705" s="305"/>
      <c r="BL705" s="305"/>
      <c r="BM705" s="305"/>
      <c r="BN705" s="305"/>
      <c r="BO705" s="305"/>
      <c r="BP705" s="305"/>
      <c r="BQ705" s="305"/>
      <c r="BR705" s="305"/>
      <c r="BS705" s="305"/>
      <c r="BT705" s="305"/>
      <c r="BU705" s="305"/>
      <c r="BV705" s="305"/>
      <c r="BW705" s="305"/>
      <c r="BX705" s="305"/>
      <c r="BY705" s="305"/>
      <c r="BZ705" s="305"/>
      <c r="CA705" s="305"/>
      <c r="CB705" s="305"/>
      <c r="CC705" s="305"/>
      <c r="CD705" s="305"/>
      <c r="CE705" s="305"/>
      <c r="CF705" s="305"/>
      <c r="CG705" s="305"/>
      <c r="CH705" s="305"/>
      <c r="CI705" s="305"/>
      <c r="CJ705" s="305"/>
      <c r="CK705" s="305"/>
      <c r="CL705" s="305"/>
      <c r="CM705" s="305"/>
      <c r="CN705" s="305"/>
      <c r="CO705" s="305"/>
      <c r="CP705" s="305"/>
    </row>
    <row r="706" spans="26:94">
      <c r="Z706" s="305"/>
      <c r="AA706" s="305"/>
      <c r="AB706" s="305"/>
      <c r="AC706" s="305"/>
      <c r="AD706" s="305"/>
      <c r="AE706" s="305"/>
      <c r="AF706" s="305"/>
      <c r="AG706" s="305"/>
      <c r="AH706" s="305"/>
      <c r="AI706" s="305"/>
      <c r="AJ706" s="305"/>
      <c r="AK706" s="305"/>
      <c r="AL706" s="305"/>
      <c r="AM706" s="305"/>
      <c r="AN706" s="305"/>
      <c r="AO706" s="305"/>
      <c r="AP706" s="305"/>
      <c r="AQ706" s="305"/>
      <c r="AR706" s="305"/>
      <c r="AS706" s="305"/>
      <c r="AT706" s="305"/>
      <c r="AU706" s="305"/>
      <c r="AV706" s="305"/>
      <c r="AW706" s="305"/>
      <c r="AX706" s="305"/>
      <c r="AY706" s="305"/>
      <c r="AZ706" s="305"/>
      <c r="BA706" s="305"/>
      <c r="BB706" s="305"/>
      <c r="BC706" s="305"/>
      <c r="BJ706" s="305"/>
      <c r="BK706" s="305"/>
      <c r="BL706" s="305"/>
      <c r="BM706" s="305"/>
      <c r="BN706" s="305"/>
      <c r="BO706" s="305"/>
      <c r="BP706" s="305"/>
      <c r="BQ706" s="305"/>
      <c r="BR706" s="305"/>
      <c r="BS706" s="305"/>
      <c r="BT706" s="305"/>
      <c r="BU706" s="305"/>
      <c r="BV706" s="305"/>
      <c r="BW706" s="305"/>
      <c r="BX706" s="305"/>
      <c r="BY706" s="305"/>
      <c r="BZ706" s="305"/>
      <c r="CA706" s="305"/>
      <c r="CB706" s="305"/>
      <c r="CC706" s="305"/>
      <c r="CD706" s="305"/>
      <c r="CE706" s="305"/>
      <c r="CF706" s="305"/>
      <c r="CG706" s="305"/>
      <c r="CH706" s="305"/>
      <c r="CI706" s="305"/>
      <c r="CJ706" s="305"/>
      <c r="CK706" s="305"/>
      <c r="CL706" s="305"/>
      <c r="CM706" s="305"/>
      <c r="CN706" s="305"/>
      <c r="CO706" s="305"/>
      <c r="CP706" s="305"/>
    </row>
    <row r="707" spans="26:94">
      <c r="Z707" s="305"/>
      <c r="AA707" s="305"/>
      <c r="AB707" s="305"/>
      <c r="AC707" s="305"/>
      <c r="AD707" s="305"/>
      <c r="AE707" s="305"/>
      <c r="AF707" s="305"/>
      <c r="AG707" s="305"/>
      <c r="AH707" s="305"/>
      <c r="AI707" s="305"/>
      <c r="AJ707" s="305"/>
      <c r="AK707" s="305"/>
      <c r="AL707" s="305"/>
      <c r="AM707" s="305"/>
      <c r="AN707" s="305"/>
      <c r="AO707" s="305"/>
      <c r="AP707" s="305"/>
      <c r="AQ707" s="305"/>
      <c r="AR707" s="305"/>
      <c r="AS707" s="305"/>
      <c r="AT707" s="305"/>
      <c r="AU707" s="305"/>
      <c r="AV707" s="305"/>
      <c r="AW707" s="305"/>
      <c r="AX707" s="305"/>
      <c r="AY707" s="305"/>
      <c r="AZ707" s="305"/>
      <c r="BA707" s="305"/>
      <c r="BB707" s="305"/>
      <c r="BC707" s="305"/>
      <c r="BJ707" s="305"/>
      <c r="BK707" s="305"/>
      <c r="BL707" s="305"/>
      <c r="BM707" s="305"/>
      <c r="BN707" s="305"/>
      <c r="BO707" s="305"/>
      <c r="BP707" s="305"/>
      <c r="BQ707" s="305"/>
      <c r="BR707" s="305"/>
      <c r="BS707" s="305"/>
      <c r="BT707" s="305"/>
      <c r="BU707" s="305"/>
      <c r="BV707" s="305"/>
      <c r="BW707" s="305"/>
      <c r="BX707" s="305"/>
      <c r="BY707" s="305"/>
      <c r="BZ707" s="305"/>
      <c r="CA707" s="305"/>
      <c r="CB707" s="305"/>
      <c r="CC707" s="305"/>
      <c r="CD707" s="305"/>
      <c r="CE707" s="305"/>
      <c r="CF707" s="305"/>
      <c r="CG707" s="305"/>
      <c r="CH707" s="305"/>
      <c r="CI707" s="305"/>
      <c r="CJ707" s="305"/>
      <c r="CK707" s="305"/>
      <c r="CL707" s="305"/>
      <c r="CM707" s="305"/>
      <c r="CN707" s="305"/>
      <c r="CO707" s="305"/>
      <c r="CP707" s="305"/>
    </row>
    <row r="708" spans="26:94">
      <c r="Z708" s="305"/>
      <c r="AA708" s="305"/>
      <c r="AB708" s="305"/>
      <c r="AC708" s="305"/>
      <c r="AD708" s="305"/>
      <c r="AE708" s="305"/>
      <c r="AF708" s="305"/>
      <c r="AG708" s="305"/>
      <c r="AH708" s="305"/>
      <c r="AI708" s="305"/>
      <c r="AJ708" s="305"/>
      <c r="AK708" s="305"/>
      <c r="AL708" s="305"/>
      <c r="AM708" s="305"/>
      <c r="AN708" s="305"/>
      <c r="AO708" s="305"/>
      <c r="AP708" s="305"/>
      <c r="AQ708" s="305"/>
      <c r="AR708" s="305"/>
      <c r="AS708" s="305"/>
      <c r="AT708" s="305"/>
      <c r="AU708" s="305"/>
      <c r="AV708" s="305"/>
      <c r="AW708" s="305"/>
      <c r="AX708" s="305"/>
      <c r="AY708" s="305"/>
      <c r="AZ708" s="305"/>
      <c r="BA708" s="305"/>
      <c r="BB708" s="305"/>
      <c r="BC708" s="305"/>
      <c r="BJ708" s="305"/>
      <c r="BK708" s="305"/>
      <c r="BL708" s="305"/>
      <c r="BM708" s="305"/>
      <c r="BN708" s="305"/>
      <c r="BO708" s="305"/>
      <c r="BP708" s="305"/>
      <c r="BQ708" s="305"/>
      <c r="BR708" s="305"/>
      <c r="BS708" s="305"/>
      <c r="BT708" s="305"/>
      <c r="BU708" s="305"/>
      <c r="BV708" s="305"/>
      <c r="BW708" s="305"/>
      <c r="BX708" s="305"/>
      <c r="BY708" s="305"/>
      <c r="BZ708" s="305"/>
      <c r="CA708" s="305"/>
      <c r="CB708" s="305"/>
      <c r="CC708" s="305"/>
      <c r="CD708" s="305"/>
      <c r="CE708" s="305"/>
      <c r="CF708" s="305"/>
      <c r="CG708" s="305"/>
      <c r="CH708" s="305"/>
      <c r="CI708" s="305"/>
      <c r="CJ708" s="305"/>
      <c r="CK708" s="305"/>
      <c r="CL708" s="305"/>
      <c r="CM708" s="305"/>
      <c r="CN708" s="305"/>
      <c r="CO708" s="305"/>
      <c r="CP708" s="305"/>
    </row>
    <row r="709" spans="26:94">
      <c r="Z709" s="305"/>
      <c r="AA709" s="305"/>
      <c r="AB709" s="305"/>
      <c r="AC709" s="305"/>
      <c r="AD709" s="305"/>
      <c r="AE709" s="305"/>
      <c r="AF709" s="305"/>
      <c r="AG709" s="305"/>
      <c r="AH709" s="305"/>
      <c r="AI709" s="305"/>
      <c r="AJ709" s="305"/>
      <c r="AK709" s="305"/>
      <c r="AL709" s="305"/>
      <c r="AM709" s="305"/>
      <c r="AN709" s="305"/>
      <c r="AO709" s="305"/>
      <c r="AP709" s="305"/>
      <c r="AQ709" s="305"/>
      <c r="AR709" s="305"/>
      <c r="AS709" s="305"/>
      <c r="AT709" s="305"/>
      <c r="AU709" s="305"/>
      <c r="AV709" s="305"/>
      <c r="AW709" s="305"/>
      <c r="AX709" s="305"/>
      <c r="AY709" s="305"/>
      <c r="AZ709" s="305"/>
      <c r="BA709" s="305"/>
      <c r="BB709" s="305"/>
      <c r="BC709" s="305"/>
      <c r="BJ709" s="305"/>
      <c r="BK709" s="305"/>
      <c r="BL709" s="305"/>
      <c r="BM709" s="305"/>
      <c r="BN709" s="305"/>
      <c r="BO709" s="305"/>
      <c r="BP709" s="305"/>
      <c r="BQ709" s="305"/>
      <c r="BR709" s="305"/>
      <c r="BS709" s="305"/>
      <c r="BT709" s="305"/>
      <c r="BU709" s="305"/>
      <c r="BV709" s="305"/>
      <c r="BW709" s="305"/>
      <c r="BX709" s="305"/>
      <c r="BY709" s="305"/>
      <c r="BZ709" s="305"/>
      <c r="CA709" s="305"/>
      <c r="CB709" s="305"/>
      <c r="CC709" s="305"/>
      <c r="CD709" s="305"/>
      <c r="CE709" s="305"/>
      <c r="CF709" s="305"/>
      <c r="CG709" s="305"/>
      <c r="CH709" s="305"/>
      <c r="CI709" s="305"/>
      <c r="CJ709" s="305"/>
      <c r="CK709" s="305"/>
      <c r="CL709" s="305"/>
      <c r="CM709" s="305"/>
      <c r="CN709" s="305"/>
      <c r="CO709" s="305"/>
      <c r="CP709" s="305"/>
    </row>
    <row r="710" spans="26:94">
      <c r="Z710" s="305"/>
      <c r="AA710" s="305"/>
      <c r="AB710" s="305"/>
      <c r="AC710" s="305"/>
      <c r="AD710" s="305"/>
      <c r="AE710" s="305"/>
      <c r="AF710" s="305"/>
      <c r="AG710" s="305"/>
      <c r="AH710" s="305"/>
      <c r="AI710" s="305"/>
      <c r="AJ710" s="305"/>
      <c r="AK710" s="305"/>
      <c r="AL710" s="305"/>
      <c r="AM710" s="305"/>
      <c r="AN710" s="305"/>
      <c r="AO710" s="305"/>
      <c r="AP710" s="305"/>
      <c r="AQ710" s="305"/>
      <c r="AR710" s="305"/>
      <c r="AS710" s="305"/>
      <c r="AT710" s="305"/>
      <c r="AU710" s="305"/>
      <c r="AV710" s="305"/>
      <c r="AW710" s="305"/>
      <c r="AX710" s="305"/>
      <c r="AY710" s="305"/>
      <c r="AZ710" s="305"/>
      <c r="BA710" s="305"/>
      <c r="BB710" s="305"/>
      <c r="BC710" s="305"/>
      <c r="BJ710" s="305"/>
      <c r="BK710" s="305"/>
      <c r="BL710" s="305"/>
      <c r="BM710" s="305"/>
      <c r="BN710" s="305"/>
      <c r="BO710" s="305"/>
      <c r="BP710" s="305"/>
      <c r="BQ710" s="305"/>
      <c r="BR710" s="305"/>
      <c r="BS710" s="305"/>
      <c r="BT710" s="305"/>
      <c r="BU710" s="305"/>
      <c r="BV710" s="305"/>
      <c r="BW710" s="305"/>
      <c r="BX710" s="305"/>
      <c r="BY710" s="305"/>
      <c r="BZ710" s="305"/>
      <c r="CA710" s="305"/>
      <c r="CB710" s="305"/>
      <c r="CC710" s="305"/>
      <c r="CD710" s="305"/>
      <c r="CE710" s="305"/>
      <c r="CF710" s="305"/>
      <c r="CG710" s="305"/>
      <c r="CH710" s="305"/>
      <c r="CI710" s="305"/>
      <c r="CJ710" s="305"/>
      <c r="CK710" s="305"/>
      <c r="CL710" s="305"/>
      <c r="CM710" s="305"/>
      <c r="CN710" s="305"/>
      <c r="CO710" s="305"/>
      <c r="CP710" s="305"/>
    </row>
    <row r="711" spans="26:94">
      <c r="Z711" s="305"/>
      <c r="AA711" s="305"/>
      <c r="AB711" s="305"/>
      <c r="AC711" s="305"/>
      <c r="AD711" s="305"/>
      <c r="AE711" s="305"/>
      <c r="AF711" s="305"/>
      <c r="AG711" s="305"/>
      <c r="AH711" s="305"/>
      <c r="AI711" s="305"/>
      <c r="AJ711" s="305"/>
      <c r="AK711" s="305"/>
      <c r="AL711" s="305"/>
      <c r="AM711" s="305"/>
      <c r="AN711" s="305"/>
      <c r="AO711" s="305"/>
      <c r="AP711" s="305"/>
      <c r="AQ711" s="305"/>
      <c r="AR711" s="305"/>
      <c r="AS711" s="305"/>
      <c r="AT711" s="305"/>
      <c r="AU711" s="305"/>
      <c r="AV711" s="305"/>
      <c r="AW711" s="305"/>
      <c r="AX711" s="305"/>
      <c r="AY711" s="305"/>
      <c r="AZ711" s="305"/>
      <c r="BA711" s="305"/>
      <c r="BB711" s="305"/>
      <c r="BC711" s="305"/>
      <c r="BJ711" s="305"/>
      <c r="BK711" s="305"/>
      <c r="BL711" s="305"/>
      <c r="BM711" s="305"/>
      <c r="BN711" s="305"/>
      <c r="BO711" s="305"/>
      <c r="BP711" s="305"/>
      <c r="BQ711" s="305"/>
      <c r="BR711" s="305"/>
      <c r="BS711" s="305"/>
      <c r="BT711" s="305"/>
      <c r="BU711" s="305"/>
      <c r="BV711" s="305"/>
      <c r="BW711" s="305"/>
      <c r="BX711" s="305"/>
      <c r="BY711" s="305"/>
      <c r="BZ711" s="305"/>
      <c r="CA711" s="305"/>
      <c r="CB711" s="305"/>
      <c r="CC711" s="305"/>
      <c r="CD711" s="305"/>
      <c r="CE711" s="305"/>
      <c r="CF711" s="305"/>
      <c r="CG711" s="305"/>
      <c r="CH711" s="305"/>
      <c r="CI711" s="305"/>
      <c r="CJ711" s="305"/>
      <c r="CK711" s="305"/>
      <c r="CL711" s="305"/>
      <c r="CM711" s="305"/>
      <c r="CN711" s="305"/>
      <c r="CO711" s="305"/>
      <c r="CP711" s="305"/>
    </row>
    <row r="712" spans="26:94">
      <c r="Z712" s="305"/>
      <c r="AA712" s="305"/>
      <c r="AB712" s="305"/>
      <c r="AC712" s="305"/>
      <c r="AD712" s="305"/>
      <c r="AE712" s="305"/>
      <c r="AF712" s="305"/>
      <c r="AG712" s="305"/>
      <c r="AH712" s="305"/>
      <c r="AI712" s="305"/>
      <c r="AJ712" s="305"/>
      <c r="AK712" s="305"/>
      <c r="AL712" s="305"/>
      <c r="AM712" s="305"/>
      <c r="AN712" s="305"/>
      <c r="AO712" s="305"/>
      <c r="AP712" s="305"/>
      <c r="AQ712" s="305"/>
      <c r="AR712" s="305"/>
      <c r="AS712" s="305"/>
      <c r="AT712" s="305"/>
      <c r="AU712" s="305"/>
      <c r="AV712" s="305"/>
      <c r="AW712" s="305"/>
      <c r="AX712" s="305"/>
      <c r="AY712" s="305"/>
      <c r="AZ712" s="305"/>
      <c r="BA712" s="305"/>
      <c r="BB712" s="305"/>
      <c r="BC712" s="305"/>
      <c r="BJ712" s="305"/>
      <c r="BK712" s="305"/>
      <c r="BL712" s="305"/>
      <c r="BM712" s="305"/>
      <c r="BN712" s="305"/>
      <c r="BO712" s="305"/>
      <c r="BP712" s="305"/>
      <c r="BQ712" s="305"/>
      <c r="BR712" s="305"/>
      <c r="BS712" s="305"/>
      <c r="BT712" s="305"/>
      <c r="BU712" s="305"/>
      <c r="BV712" s="305"/>
      <c r="BW712" s="305"/>
      <c r="BX712" s="305"/>
      <c r="BY712" s="305"/>
      <c r="BZ712" s="305"/>
      <c r="CA712" s="305"/>
      <c r="CB712" s="305"/>
      <c r="CC712" s="305"/>
      <c r="CD712" s="305"/>
      <c r="CE712" s="305"/>
      <c r="CF712" s="305"/>
      <c r="CG712" s="305"/>
      <c r="CH712" s="305"/>
      <c r="CI712" s="305"/>
      <c r="CJ712" s="305"/>
      <c r="CK712" s="305"/>
      <c r="CL712" s="305"/>
      <c r="CM712" s="305"/>
      <c r="CN712" s="305"/>
      <c r="CO712" s="305"/>
      <c r="CP712" s="305"/>
    </row>
    <row r="713" spans="26:94">
      <c r="Z713" s="305"/>
      <c r="AA713" s="305"/>
      <c r="AB713" s="305"/>
      <c r="AC713" s="305"/>
      <c r="AD713" s="305"/>
      <c r="AE713" s="305"/>
      <c r="AF713" s="305"/>
      <c r="AG713" s="305"/>
      <c r="AH713" s="305"/>
      <c r="AI713" s="305"/>
      <c r="AJ713" s="305"/>
      <c r="AK713" s="305"/>
      <c r="AL713" s="305"/>
      <c r="AM713" s="305"/>
      <c r="AN713" s="305"/>
      <c r="AO713" s="305"/>
      <c r="AP713" s="305"/>
      <c r="AQ713" s="305"/>
      <c r="AR713" s="305"/>
      <c r="AS713" s="305"/>
      <c r="AT713" s="305"/>
      <c r="AU713" s="305"/>
      <c r="AV713" s="305"/>
      <c r="AW713" s="305"/>
      <c r="AX713" s="305"/>
      <c r="AY713" s="305"/>
      <c r="AZ713" s="305"/>
      <c r="BA713" s="305"/>
      <c r="BB713" s="305"/>
      <c r="BC713" s="305"/>
      <c r="BJ713" s="305"/>
      <c r="BK713" s="305"/>
      <c r="BL713" s="305"/>
      <c r="BM713" s="305"/>
      <c r="BN713" s="305"/>
      <c r="BO713" s="305"/>
      <c r="BP713" s="305"/>
      <c r="BQ713" s="305"/>
      <c r="BR713" s="305"/>
      <c r="BS713" s="305"/>
      <c r="BT713" s="305"/>
      <c r="BU713" s="305"/>
      <c r="BV713" s="305"/>
      <c r="BW713" s="305"/>
      <c r="BX713" s="305"/>
      <c r="BY713" s="305"/>
      <c r="BZ713" s="305"/>
      <c r="CA713" s="305"/>
      <c r="CB713" s="305"/>
      <c r="CC713" s="305"/>
      <c r="CD713" s="305"/>
      <c r="CE713" s="305"/>
      <c r="CF713" s="305"/>
      <c r="CG713" s="305"/>
      <c r="CH713" s="305"/>
      <c r="CI713" s="305"/>
      <c r="CJ713" s="305"/>
      <c r="CK713" s="305"/>
      <c r="CL713" s="305"/>
      <c r="CM713" s="305"/>
      <c r="CN713" s="305"/>
      <c r="CO713" s="305"/>
      <c r="CP713" s="305"/>
    </row>
    <row r="714" spans="26:94">
      <c r="Z714" s="305"/>
      <c r="AA714" s="305"/>
      <c r="AB714" s="305"/>
      <c r="AC714" s="305"/>
      <c r="AD714" s="305"/>
      <c r="AE714" s="305"/>
      <c r="AF714" s="305"/>
      <c r="AG714" s="305"/>
      <c r="AH714" s="305"/>
      <c r="AI714" s="305"/>
      <c r="AJ714" s="305"/>
      <c r="AK714" s="305"/>
      <c r="AL714" s="305"/>
      <c r="AM714" s="305"/>
      <c r="AN714" s="305"/>
      <c r="AO714" s="305"/>
      <c r="AP714" s="305"/>
      <c r="AQ714" s="305"/>
      <c r="AR714" s="305"/>
      <c r="AS714" s="305"/>
      <c r="AT714" s="305"/>
      <c r="AU714" s="305"/>
      <c r="AV714" s="305"/>
      <c r="AW714" s="305"/>
      <c r="AX714" s="305"/>
      <c r="AY714" s="305"/>
      <c r="AZ714" s="305"/>
      <c r="BA714" s="305"/>
      <c r="BB714" s="305"/>
      <c r="BC714" s="305"/>
      <c r="BJ714" s="305"/>
      <c r="BK714" s="305"/>
      <c r="BL714" s="305"/>
      <c r="BM714" s="305"/>
      <c r="BN714" s="305"/>
      <c r="BO714" s="305"/>
      <c r="BP714" s="305"/>
      <c r="BQ714" s="305"/>
      <c r="BR714" s="305"/>
      <c r="BS714" s="305"/>
      <c r="BT714" s="305"/>
      <c r="BU714" s="305"/>
      <c r="BV714" s="305"/>
      <c r="BW714" s="305"/>
      <c r="BX714" s="305"/>
      <c r="BY714" s="305"/>
      <c r="BZ714" s="305"/>
      <c r="CA714" s="305"/>
      <c r="CB714" s="305"/>
      <c r="CC714" s="305"/>
      <c r="CD714" s="305"/>
      <c r="CE714" s="305"/>
      <c r="CF714" s="305"/>
      <c r="CG714" s="305"/>
      <c r="CH714" s="305"/>
      <c r="CI714" s="305"/>
      <c r="CJ714" s="305"/>
      <c r="CK714" s="305"/>
      <c r="CL714" s="305"/>
      <c r="CM714" s="305"/>
      <c r="CN714" s="305"/>
      <c r="CO714" s="305"/>
      <c r="CP714" s="305"/>
    </row>
    <row r="715" spans="26:94">
      <c r="Z715" s="305"/>
      <c r="AA715" s="305"/>
      <c r="AB715" s="305"/>
      <c r="AC715" s="305"/>
      <c r="AD715" s="305"/>
      <c r="AE715" s="305"/>
      <c r="AF715" s="305"/>
      <c r="AG715" s="305"/>
      <c r="AH715" s="305"/>
      <c r="AI715" s="305"/>
      <c r="AJ715" s="305"/>
      <c r="AK715" s="305"/>
      <c r="AL715" s="305"/>
      <c r="AM715" s="305"/>
      <c r="AN715" s="305"/>
      <c r="AO715" s="305"/>
      <c r="AP715" s="305"/>
      <c r="AQ715" s="305"/>
      <c r="AR715" s="305"/>
      <c r="AS715" s="305"/>
      <c r="AT715" s="305"/>
      <c r="AU715" s="305"/>
      <c r="AV715" s="305"/>
      <c r="AW715" s="305"/>
      <c r="AX715" s="305"/>
      <c r="AY715" s="305"/>
      <c r="AZ715" s="305"/>
      <c r="BA715" s="305"/>
      <c r="BB715" s="305"/>
      <c r="BC715" s="305"/>
      <c r="BJ715" s="305"/>
      <c r="BK715" s="305"/>
      <c r="BL715" s="305"/>
      <c r="BM715" s="305"/>
      <c r="BN715" s="305"/>
      <c r="BO715" s="305"/>
      <c r="BP715" s="305"/>
      <c r="BQ715" s="305"/>
      <c r="BR715" s="305"/>
      <c r="BS715" s="305"/>
      <c r="BT715" s="305"/>
      <c r="BU715" s="305"/>
      <c r="BV715" s="305"/>
      <c r="BW715" s="305"/>
      <c r="BX715" s="305"/>
      <c r="BY715" s="305"/>
      <c r="BZ715" s="305"/>
      <c r="CA715" s="305"/>
      <c r="CB715" s="305"/>
      <c r="CC715" s="305"/>
      <c r="CD715" s="305"/>
      <c r="CE715" s="305"/>
      <c r="CF715" s="305"/>
      <c r="CG715" s="305"/>
      <c r="CH715" s="305"/>
      <c r="CI715" s="305"/>
      <c r="CJ715" s="305"/>
      <c r="CK715" s="305"/>
      <c r="CL715" s="305"/>
      <c r="CM715" s="305"/>
      <c r="CN715" s="305"/>
      <c r="CO715" s="305"/>
      <c r="CP715" s="305"/>
    </row>
    <row r="716" spans="26:94">
      <c r="Z716" s="305"/>
      <c r="AA716" s="305"/>
      <c r="AB716" s="305"/>
      <c r="AC716" s="305"/>
      <c r="AD716" s="305"/>
      <c r="AE716" s="305"/>
      <c r="AF716" s="305"/>
      <c r="AG716" s="305"/>
      <c r="AH716" s="305"/>
      <c r="AI716" s="305"/>
      <c r="AJ716" s="305"/>
      <c r="AK716" s="305"/>
      <c r="AL716" s="305"/>
      <c r="AM716" s="305"/>
      <c r="AN716" s="305"/>
      <c r="AO716" s="305"/>
      <c r="AP716" s="305"/>
      <c r="AQ716" s="305"/>
      <c r="AR716" s="305"/>
      <c r="AS716" s="305"/>
      <c r="AT716" s="305"/>
      <c r="AU716" s="305"/>
      <c r="AV716" s="305"/>
      <c r="AW716" s="305"/>
      <c r="AX716" s="305"/>
      <c r="AY716" s="305"/>
      <c r="AZ716" s="305"/>
      <c r="BA716" s="305"/>
      <c r="BB716" s="305"/>
      <c r="BC716" s="305"/>
      <c r="BJ716" s="305"/>
      <c r="BK716" s="305"/>
      <c r="BL716" s="305"/>
      <c r="BM716" s="305"/>
      <c r="BN716" s="305"/>
      <c r="BO716" s="305"/>
      <c r="BP716" s="305"/>
      <c r="BQ716" s="305"/>
      <c r="BR716" s="305"/>
      <c r="BS716" s="305"/>
      <c r="BT716" s="305"/>
      <c r="BU716" s="305"/>
      <c r="BV716" s="305"/>
      <c r="BW716" s="305"/>
      <c r="BX716" s="305"/>
      <c r="BY716" s="305"/>
      <c r="BZ716" s="305"/>
      <c r="CA716" s="305"/>
      <c r="CB716" s="305"/>
      <c r="CC716" s="305"/>
      <c r="CD716" s="305"/>
      <c r="CE716" s="305"/>
      <c r="CF716" s="305"/>
      <c r="CG716" s="305"/>
      <c r="CH716" s="305"/>
      <c r="CI716" s="305"/>
      <c r="CJ716" s="305"/>
      <c r="CK716" s="305"/>
      <c r="CL716" s="305"/>
      <c r="CM716" s="305"/>
      <c r="CN716" s="305"/>
      <c r="CO716" s="305"/>
      <c r="CP716" s="305"/>
    </row>
    <row r="717" spans="26:94">
      <c r="Z717" s="305"/>
      <c r="AA717" s="305"/>
      <c r="AB717" s="305"/>
      <c r="AC717" s="305"/>
      <c r="AD717" s="305"/>
      <c r="AE717" s="305"/>
      <c r="AF717" s="305"/>
      <c r="AG717" s="305"/>
      <c r="AH717" s="305"/>
      <c r="AI717" s="305"/>
      <c r="AJ717" s="305"/>
      <c r="AK717" s="305"/>
      <c r="AL717" s="305"/>
      <c r="AM717" s="305"/>
      <c r="AN717" s="305"/>
      <c r="AO717" s="305"/>
      <c r="AP717" s="305"/>
      <c r="AQ717" s="305"/>
      <c r="AR717" s="305"/>
      <c r="AS717" s="305"/>
      <c r="AT717" s="305"/>
      <c r="AU717" s="305"/>
      <c r="AV717" s="305"/>
      <c r="AW717" s="305"/>
      <c r="AX717" s="305"/>
      <c r="AY717" s="305"/>
      <c r="AZ717" s="305"/>
      <c r="BA717" s="305"/>
      <c r="BB717" s="305"/>
      <c r="BC717" s="305"/>
      <c r="BJ717" s="305"/>
      <c r="BK717" s="305"/>
      <c r="BL717" s="305"/>
      <c r="BM717" s="305"/>
      <c r="BN717" s="305"/>
      <c r="BO717" s="305"/>
      <c r="BP717" s="305"/>
      <c r="BQ717" s="305"/>
      <c r="BR717" s="305"/>
      <c r="BS717" s="305"/>
      <c r="BT717" s="305"/>
      <c r="BU717" s="305"/>
      <c r="BV717" s="305"/>
      <c r="BW717" s="305"/>
      <c r="BX717" s="305"/>
      <c r="BY717" s="305"/>
      <c r="BZ717" s="305"/>
      <c r="CA717" s="305"/>
      <c r="CB717" s="305"/>
      <c r="CC717" s="305"/>
      <c r="CD717" s="305"/>
      <c r="CE717" s="305"/>
      <c r="CF717" s="305"/>
      <c r="CG717" s="305"/>
      <c r="CH717" s="305"/>
      <c r="CI717" s="305"/>
      <c r="CJ717" s="305"/>
      <c r="CK717" s="305"/>
      <c r="CL717" s="305"/>
      <c r="CM717" s="305"/>
      <c r="CN717" s="305"/>
      <c r="CO717" s="305"/>
      <c r="CP717" s="305"/>
    </row>
    <row r="718" spans="26:94">
      <c r="Z718" s="305"/>
      <c r="AA718" s="305"/>
      <c r="AB718" s="305"/>
      <c r="AC718" s="305"/>
      <c r="AD718" s="305"/>
      <c r="AE718" s="305"/>
      <c r="AF718" s="305"/>
      <c r="AG718" s="305"/>
      <c r="AH718" s="305"/>
      <c r="AI718" s="305"/>
      <c r="AJ718" s="305"/>
      <c r="AK718" s="305"/>
      <c r="AL718" s="305"/>
      <c r="AM718" s="305"/>
      <c r="AN718" s="305"/>
      <c r="AO718" s="305"/>
      <c r="AP718" s="305"/>
      <c r="AQ718" s="305"/>
      <c r="AR718" s="305"/>
      <c r="AS718" s="305"/>
      <c r="AT718" s="305"/>
      <c r="AU718" s="305"/>
      <c r="AV718" s="305"/>
      <c r="AW718" s="305"/>
      <c r="AX718" s="305"/>
      <c r="AY718" s="305"/>
      <c r="AZ718" s="305"/>
      <c r="BA718" s="305"/>
      <c r="BB718" s="305"/>
      <c r="BC718" s="305"/>
      <c r="BJ718" s="305"/>
      <c r="BK718" s="305"/>
      <c r="BL718" s="305"/>
      <c r="BM718" s="305"/>
      <c r="BN718" s="305"/>
      <c r="BO718" s="305"/>
      <c r="BP718" s="305"/>
      <c r="BQ718" s="305"/>
      <c r="BR718" s="305"/>
      <c r="BS718" s="305"/>
      <c r="BT718" s="305"/>
      <c r="BU718" s="305"/>
      <c r="BV718" s="305"/>
      <c r="BW718" s="305"/>
      <c r="BX718" s="305"/>
      <c r="BY718" s="305"/>
      <c r="BZ718" s="305"/>
      <c r="CA718" s="305"/>
      <c r="CB718" s="305"/>
      <c r="CC718" s="305"/>
      <c r="CD718" s="305"/>
      <c r="CE718" s="305"/>
      <c r="CF718" s="305"/>
      <c r="CG718" s="305"/>
      <c r="CH718" s="305"/>
      <c r="CI718" s="305"/>
      <c r="CJ718" s="305"/>
      <c r="CK718" s="305"/>
      <c r="CL718" s="305"/>
      <c r="CM718" s="305"/>
      <c r="CN718" s="305"/>
      <c r="CO718" s="305"/>
      <c r="CP718" s="305"/>
    </row>
    <row r="719" spans="26:94">
      <c r="Z719" s="305"/>
      <c r="AA719" s="305"/>
      <c r="AB719" s="305"/>
      <c r="AC719" s="305"/>
      <c r="AD719" s="305"/>
      <c r="AE719" s="305"/>
      <c r="AF719" s="305"/>
      <c r="AG719" s="305"/>
      <c r="AH719" s="305"/>
      <c r="AI719" s="305"/>
      <c r="AJ719" s="305"/>
      <c r="AK719" s="305"/>
      <c r="AL719" s="305"/>
      <c r="AM719" s="305"/>
      <c r="AN719" s="305"/>
      <c r="AO719" s="305"/>
      <c r="AP719" s="305"/>
      <c r="AQ719" s="305"/>
      <c r="AR719" s="305"/>
      <c r="AS719" s="305"/>
      <c r="AT719" s="305"/>
      <c r="AU719" s="305"/>
      <c r="AV719" s="305"/>
      <c r="AW719" s="305"/>
      <c r="AX719" s="305"/>
      <c r="AY719" s="305"/>
      <c r="AZ719" s="305"/>
      <c r="BA719" s="305"/>
      <c r="BB719" s="305"/>
      <c r="BC719" s="305"/>
      <c r="BJ719" s="305"/>
      <c r="BK719" s="305"/>
      <c r="BL719" s="305"/>
      <c r="BM719" s="305"/>
      <c r="BN719" s="305"/>
      <c r="BO719" s="305"/>
      <c r="BP719" s="305"/>
      <c r="BQ719" s="305"/>
      <c r="BR719" s="305"/>
      <c r="BS719" s="305"/>
      <c r="BT719" s="305"/>
      <c r="BU719" s="305"/>
      <c r="BV719" s="305"/>
      <c r="BW719" s="305"/>
      <c r="BX719" s="305"/>
      <c r="BY719" s="305"/>
      <c r="BZ719" s="305"/>
      <c r="CA719" s="305"/>
      <c r="CB719" s="305"/>
      <c r="CC719" s="305"/>
      <c r="CD719" s="305"/>
      <c r="CE719" s="305"/>
      <c r="CF719" s="305"/>
      <c r="CG719" s="305"/>
      <c r="CH719" s="305"/>
      <c r="CI719" s="305"/>
      <c r="CJ719" s="305"/>
      <c r="CK719" s="305"/>
      <c r="CL719" s="305"/>
      <c r="CM719" s="305"/>
      <c r="CN719" s="305"/>
      <c r="CO719" s="305"/>
      <c r="CP719" s="305"/>
    </row>
    <row r="720" spans="26:94">
      <c r="Z720" s="305"/>
      <c r="AA720" s="305"/>
      <c r="AB720" s="305"/>
      <c r="AC720" s="305"/>
      <c r="AD720" s="305"/>
      <c r="AE720" s="305"/>
      <c r="AF720" s="305"/>
      <c r="AG720" s="305"/>
      <c r="AH720" s="305"/>
      <c r="AI720" s="305"/>
      <c r="AJ720" s="305"/>
      <c r="AK720" s="305"/>
      <c r="AL720" s="305"/>
      <c r="AM720" s="305"/>
      <c r="AN720" s="305"/>
      <c r="AO720" s="305"/>
      <c r="AP720" s="305"/>
      <c r="AQ720" s="305"/>
      <c r="AR720" s="305"/>
      <c r="AS720" s="305"/>
      <c r="AT720" s="305"/>
      <c r="AU720" s="305"/>
      <c r="AV720" s="305"/>
      <c r="AW720" s="305"/>
      <c r="AX720" s="305"/>
      <c r="AY720" s="305"/>
      <c r="AZ720" s="305"/>
      <c r="BA720" s="305"/>
      <c r="BB720" s="305"/>
      <c r="BC720" s="305"/>
      <c r="BJ720" s="305"/>
      <c r="BK720" s="305"/>
      <c r="BL720" s="305"/>
      <c r="BM720" s="305"/>
      <c r="BN720" s="305"/>
      <c r="BO720" s="305"/>
      <c r="BP720" s="305"/>
      <c r="BQ720" s="305"/>
      <c r="BR720" s="305"/>
      <c r="BS720" s="305"/>
      <c r="BT720" s="305"/>
      <c r="BU720" s="305"/>
      <c r="BV720" s="305"/>
      <c r="BW720" s="305"/>
      <c r="BX720" s="305"/>
      <c r="BY720" s="305"/>
      <c r="BZ720" s="305"/>
      <c r="CA720" s="305"/>
      <c r="CB720" s="305"/>
      <c r="CC720" s="305"/>
      <c r="CD720" s="305"/>
      <c r="CE720" s="305"/>
      <c r="CF720" s="305"/>
      <c r="CG720" s="305"/>
      <c r="CH720" s="305"/>
      <c r="CI720" s="305"/>
      <c r="CJ720" s="305"/>
      <c r="CK720" s="305"/>
      <c r="CL720" s="305"/>
      <c r="CM720" s="305"/>
      <c r="CN720" s="305"/>
      <c r="CO720" s="305"/>
      <c r="CP720" s="305"/>
    </row>
    <row r="721" spans="26:94">
      <c r="Z721" s="305"/>
      <c r="AA721" s="305"/>
      <c r="AB721" s="305"/>
      <c r="AC721" s="305"/>
      <c r="AD721" s="305"/>
      <c r="AE721" s="305"/>
      <c r="AF721" s="305"/>
      <c r="AG721" s="305"/>
      <c r="AH721" s="305"/>
      <c r="AI721" s="305"/>
      <c r="AJ721" s="305"/>
      <c r="AK721" s="305"/>
      <c r="AL721" s="305"/>
      <c r="AM721" s="305"/>
      <c r="AN721" s="305"/>
      <c r="AO721" s="305"/>
      <c r="AP721" s="305"/>
      <c r="AQ721" s="305"/>
      <c r="AR721" s="305"/>
      <c r="AS721" s="305"/>
      <c r="AT721" s="305"/>
      <c r="AU721" s="305"/>
      <c r="AV721" s="305"/>
      <c r="AW721" s="305"/>
      <c r="AX721" s="305"/>
      <c r="AY721" s="305"/>
      <c r="AZ721" s="305"/>
      <c r="BA721" s="305"/>
      <c r="BB721" s="305"/>
      <c r="BC721" s="305"/>
      <c r="BJ721" s="305"/>
      <c r="BK721" s="305"/>
      <c r="BL721" s="305"/>
      <c r="BM721" s="305"/>
      <c r="BN721" s="305"/>
      <c r="BO721" s="305"/>
      <c r="BP721" s="305"/>
      <c r="BQ721" s="305"/>
      <c r="BR721" s="305"/>
      <c r="BS721" s="305"/>
      <c r="BT721" s="305"/>
      <c r="BU721" s="305"/>
      <c r="BV721" s="305"/>
      <c r="BW721" s="305"/>
      <c r="BX721" s="305"/>
      <c r="BY721" s="305"/>
      <c r="BZ721" s="305"/>
      <c r="CA721" s="305"/>
      <c r="CB721" s="305"/>
      <c r="CC721" s="305"/>
      <c r="CD721" s="305"/>
      <c r="CE721" s="305"/>
      <c r="CF721" s="305"/>
      <c r="CG721" s="305"/>
      <c r="CH721" s="305"/>
      <c r="CI721" s="305"/>
      <c r="CJ721" s="305"/>
      <c r="CK721" s="305"/>
      <c r="CL721" s="305"/>
      <c r="CM721" s="305"/>
      <c r="CN721" s="305"/>
      <c r="CO721" s="305"/>
      <c r="CP721" s="305"/>
    </row>
    <row r="722" spans="26:94">
      <c r="Z722" s="305"/>
      <c r="AA722" s="305"/>
      <c r="AB722" s="305"/>
      <c r="AC722" s="305"/>
      <c r="AD722" s="305"/>
      <c r="AE722" s="305"/>
      <c r="AF722" s="305"/>
      <c r="AG722" s="305"/>
      <c r="AH722" s="305"/>
      <c r="AI722" s="305"/>
      <c r="AJ722" s="305"/>
      <c r="AK722" s="305"/>
      <c r="AL722" s="305"/>
      <c r="AM722" s="305"/>
      <c r="AN722" s="305"/>
      <c r="AO722" s="305"/>
      <c r="AP722" s="305"/>
      <c r="AQ722" s="305"/>
      <c r="AR722" s="305"/>
      <c r="AS722" s="305"/>
      <c r="AT722" s="305"/>
      <c r="AU722" s="305"/>
      <c r="AV722" s="305"/>
      <c r="AW722" s="305"/>
      <c r="AX722" s="305"/>
      <c r="AY722" s="305"/>
      <c r="AZ722" s="305"/>
      <c r="BA722" s="305"/>
      <c r="BB722" s="305"/>
      <c r="BC722" s="305"/>
      <c r="BJ722" s="305"/>
      <c r="BK722" s="305"/>
      <c r="BL722" s="305"/>
      <c r="BM722" s="305"/>
      <c r="BN722" s="305"/>
      <c r="BO722" s="305"/>
      <c r="BP722" s="305"/>
      <c r="BQ722" s="305"/>
      <c r="BR722" s="305"/>
      <c r="BS722" s="305"/>
      <c r="BT722" s="305"/>
      <c r="BU722" s="305"/>
      <c r="BV722" s="305"/>
      <c r="BW722" s="305"/>
      <c r="BX722" s="305"/>
      <c r="BY722" s="305"/>
      <c r="BZ722" s="305"/>
      <c r="CA722" s="305"/>
      <c r="CB722" s="305"/>
      <c r="CC722" s="305"/>
      <c r="CD722" s="305"/>
      <c r="CE722" s="305"/>
      <c r="CF722" s="305"/>
      <c r="CG722" s="305"/>
      <c r="CH722" s="305"/>
      <c r="CI722" s="305"/>
      <c r="CJ722" s="305"/>
      <c r="CK722" s="305"/>
      <c r="CL722" s="305"/>
      <c r="CM722" s="305"/>
      <c r="CN722" s="305"/>
      <c r="CO722" s="305"/>
      <c r="CP722" s="305"/>
    </row>
    <row r="723" spans="26:94">
      <c r="Z723" s="305"/>
      <c r="AA723" s="305"/>
      <c r="AB723" s="305"/>
      <c r="AC723" s="305"/>
      <c r="AD723" s="305"/>
      <c r="AE723" s="305"/>
      <c r="AF723" s="305"/>
      <c r="AG723" s="305"/>
      <c r="AH723" s="305"/>
      <c r="AI723" s="305"/>
      <c r="AJ723" s="305"/>
      <c r="AK723" s="305"/>
      <c r="AL723" s="305"/>
      <c r="AM723" s="305"/>
      <c r="AN723" s="305"/>
      <c r="AO723" s="305"/>
      <c r="AP723" s="305"/>
      <c r="AQ723" s="305"/>
      <c r="AR723" s="305"/>
      <c r="AS723" s="305"/>
      <c r="AT723" s="305"/>
      <c r="AU723" s="305"/>
      <c r="AV723" s="305"/>
      <c r="AW723" s="305"/>
      <c r="AX723" s="305"/>
      <c r="AY723" s="305"/>
      <c r="AZ723" s="305"/>
      <c r="BA723" s="305"/>
      <c r="BB723" s="305"/>
      <c r="BC723" s="305"/>
      <c r="BJ723" s="305"/>
      <c r="BK723" s="305"/>
      <c r="BL723" s="305"/>
      <c r="BM723" s="305"/>
      <c r="BN723" s="305"/>
      <c r="BO723" s="305"/>
      <c r="BP723" s="305"/>
      <c r="BQ723" s="305"/>
      <c r="BR723" s="305"/>
      <c r="BS723" s="305"/>
      <c r="BT723" s="305"/>
      <c r="BU723" s="305"/>
      <c r="BV723" s="305"/>
      <c r="BW723" s="305"/>
      <c r="BX723" s="305"/>
      <c r="BY723" s="305"/>
      <c r="BZ723" s="305"/>
      <c r="CA723" s="305"/>
      <c r="CB723" s="305"/>
      <c r="CC723" s="305"/>
      <c r="CD723" s="305"/>
      <c r="CE723" s="305"/>
      <c r="CF723" s="305"/>
      <c r="CG723" s="305"/>
      <c r="CH723" s="305"/>
      <c r="CI723" s="305"/>
      <c r="CJ723" s="305"/>
      <c r="CK723" s="305"/>
      <c r="CL723" s="305"/>
      <c r="CM723" s="305"/>
      <c r="CN723" s="305"/>
      <c r="CO723" s="305"/>
      <c r="CP723" s="305"/>
    </row>
    <row r="724" spans="26:94">
      <c r="Z724" s="305"/>
      <c r="AA724" s="305"/>
      <c r="AB724" s="305"/>
      <c r="AC724" s="305"/>
      <c r="AD724" s="305"/>
      <c r="AE724" s="305"/>
      <c r="AF724" s="305"/>
      <c r="AG724" s="305"/>
      <c r="AH724" s="305"/>
      <c r="AI724" s="305"/>
      <c r="AJ724" s="305"/>
      <c r="AK724" s="305"/>
      <c r="AL724" s="305"/>
      <c r="AM724" s="305"/>
      <c r="AN724" s="305"/>
      <c r="AO724" s="305"/>
      <c r="AP724" s="305"/>
      <c r="AQ724" s="305"/>
      <c r="AR724" s="305"/>
      <c r="AS724" s="305"/>
      <c r="AT724" s="305"/>
      <c r="AU724" s="305"/>
      <c r="AV724" s="305"/>
      <c r="AW724" s="305"/>
      <c r="AX724" s="305"/>
      <c r="AY724" s="305"/>
      <c r="AZ724" s="305"/>
      <c r="BA724" s="305"/>
      <c r="BB724" s="305"/>
      <c r="BC724" s="305"/>
      <c r="BJ724" s="305"/>
      <c r="BK724" s="305"/>
      <c r="BL724" s="305"/>
      <c r="BM724" s="305"/>
      <c r="BN724" s="305"/>
      <c r="BO724" s="305"/>
      <c r="BP724" s="305"/>
      <c r="BQ724" s="305"/>
      <c r="BR724" s="305"/>
      <c r="BS724" s="305"/>
      <c r="BT724" s="305"/>
      <c r="BU724" s="305"/>
      <c r="BV724" s="305"/>
      <c r="BW724" s="305"/>
      <c r="BX724" s="305"/>
      <c r="BY724" s="305"/>
      <c r="BZ724" s="305"/>
      <c r="CA724" s="305"/>
      <c r="CB724" s="305"/>
      <c r="CC724" s="305"/>
      <c r="CD724" s="305"/>
      <c r="CE724" s="305"/>
      <c r="CF724" s="305"/>
      <c r="CG724" s="305"/>
      <c r="CH724" s="305"/>
      <c r="CI724" s="305"/>
      <c r="CJ724" s="305"/>
      <c r="CK724" s="305"/>
      <c r="CL724" s="305"/>
      <c r="CM724" s="305"/>
      <c r="CN724" s="305"/>
      <c r="CO724" s="305"/>
      <c r="CP724" s="305"/>
    </row>
    <row r="725" spans="26:94">
      <c r="Z725" s="305"/>
      <c r="AA725" s="305"/>
      <c r="AB725" s="305"/>
      <c r="AC725" s="305"/>
      <c r="AD725" s="305"/>
      <c r="AE725" s="305"/>
      <c r="AF725" s="305"/>
      <c r="AG725" s="305"/>
      <c r="AH725" s="305"/>
      <c r="AI725" s="305"/>
      <c r="AJ725" s="305"/>
      <c r="AK725" s="305"/>
      <c r="AL725" s="305"/>
      <c r="AM725" s="305"/>
      <c r="AN725" s="305"/>
      <c r="AO725" s="305"/>
      <c r="AP725" s="305"/>
      <c r="AQ725" s="305"/>
      <c r="AR725" s="305"/>
      <c r="AS725" s="305"/>
      <c r="AT725" s="305"/>
      <c r="AU725" s="305"/>
      <c r="AV725" s="305"/>
      <c r="AW725" s="305"/>
      <c r="AX725" s="305"/>
      <c r="AY725" s="305"/>
      <c r="AZ725" s="305"/>
      <c r="BA725" s="305"/>
      <c r="BB725" s="305"/>
      <c r="BC725" s="305"/>
      <c r="BJ725" s="305"/>
      <c r="BK725" s="305"/>
      <c r="BL725" s="305"/>
      <c r="BM725" s="305"/>
      <c r="BN725" s="305"/>
      <c r="BO725" s="305"/>
      <c r="BP725" s="305"/>
      <c r="BQ725" s="305"/>
      <c r="BR725" s="305"/>
      <c r="BS725" s="305"/>
      <c r="BT725" s="305"/>
      <c r="BU725" s="305"/>
      <c r="BV725" s="305"/>
      <c r="BW725" s="305"/>
      <c r="BX725" s="305"/>
      <c r="BY725" s="305"/>
      <c r="BZ725" s="305"/>
      <c r="CA725" s="305"/>
      <c r="CB725" s="305"/>
      <c r="CC725" s="305"/>
      <c r="CD725" s="305"/>
      <c r="CE725" s="305"/>
      <c r="CF725" s="305"/>
      <c r="CG725" s="305"/>
      <c r="CH725" s="305"/>
      <c r="CI725" s="305"/>
      <c r="CJ725" s="305"/>
      <c r="CK725" s="305"/>
      <c r="CL725" s="305"/>
      <c r="CM725" s="305"/>
      <c r="CN725" s="305"/>
      <c r="CO725" s="305"/>
      <c r="CP725" s="305"/>
    </row>
    <row r="726" spans="26:94">
      <c r="Z726" s="305"/>
      <c r="AA726" s="305"/>
      <c r="AB726" s="305"/>
      <c r="AC726" s="305"/>
      <c r="AD726" s="305"/>
      <c r="AE726" s="305"/>
      <c r="AF726" s="305"/>
      <c r="AG726" s="305"/>
      <c r="AH726" s="305"/>
      <c r="AI726" s="305"/>
      <c r="AJ726" s="305"/>
      <c r="AK726" s="305"/>
      <c r="AL726" s="305"/>
      <c r="AM726" s="305"/>
      <c r="AN726" s="305"/>
      <c r="AO726" s="305"/>
      <c r="AP726" s="305"/>
      <c r="AQ726" s="305"/>
      <c r="AR726" s="305"/>
      <c r="AS726" s="305"/>
      <c r="AT726" s="305"/>
      <c r="AU726" s="305"/>
      <c r="AV726" s="305"/>
      <c r="AW726" s="305"/>
      <c r="AX726" s="305"/>
      <c r="AY726" s="305"/>
      <c r="AZ726" s="305"/>
      <c r="BA726" s="305"/>
      <c r="BB726" s="305"/>
      <c r="BC726" s="305"/>
      <c r="BJ726" s="305"/>
      <c r="BK726" s="305"/>
      <c r="BL726" s="305"/>
      <c r="BM726" s="305"/>
      <c r="BN726" s="305"/>
      <c r="BO726" s="305"/>
      <c r="BP726" s="305"/>
      <c r="BQ726" s="305"/>
      <c r="BR726" s="305"/>
      <c r="BS726" s="305"/>
      <c r="BT726" s="305"/>
      <c r="BU726" s="305"/>
      <c r="BV726" s="305"/>
      <c r="BW726" s="305"/>
      <c r="BX726" s="305"/>
      <c r="BY726" s="305"/>
      <c r="BZ726" s="305"/>
      <c r="CA726" s="305"/>
      <c r="CB726" s="305"/>
      <c r="CC726" s="305"/>
      <c r="CD726" s="305"/>
      <c r="CE726" s="305"/>
      <c r="CF726" s="305"/>
      <c r="CG726" s="305"/>
      <c r="CH726" s="305"/>
      <c r="CI726" s="305"/>
      <c r="CJ726" s="305"/>
      <c r="CK726" s="305"/>
      <c r="CL726" s="305"/>
      <c r="CM726" s="305"/>
      <c r="CN726" s="305"/>
      <c r="CO726" s="305"/>
      <c r="CP726" s="305"/>
    </row>
    <row r="727" spans="26:94">
      <c r="Z727" s="305"/>
      <c r="AA727" s="305"/>
      <c r="AB727" s="305"/>
      <c r="AC727" s="305"/>
      <c r="AD727" s="305"/>
      <c r="AE727" s="305"/>
      <c r="AF727" s="305"/>
      <c r="AG727" s="305"/>
      <c r="AH727" s="305"/>
      <c r="AI727" s="305"/>
      <c r="AJ727" s="305"/>
      <c r="AK727" s="305"/>
      <c r="AL727" s="305"/>
      <c r="AM727" s="305"/>
      <c r="AN727" s="305"/>
      <c r="AO727" s="305"/>
      <c r="AP727" s="305"/>
      <c r="AQ727" s="305"/>
      <c r="AR727" s="305"/>
      <c r="AS727" s="305"/>
      <c r="AT727" s="305"/>
      <c r="AU727" s="305"/>
      <c r="AV727" s="305"/>
      <c r="AW727" s="305"/>
      <c r="AX727" s="305"/>
      <c r="AY727" s="305"/>
      <c r="AZ727" s="305"/>
      <c r="BA727" s="305"/>
      <c r="BB727" s="305"/>
      <c r="BC727" s="305"/>
      <c r="BJ727" s="305"/>
      <c r="BK727" s="305"/>
      <c r="BL727" s="305"/>
      <c r="BM727" s="305"/>
      <c r="BN727" s="305"/>
      <c r="BO727" s="305"/>
      <c r="BP727" s="305"/>
      <c r="BQ727" s="305"/>
      <c r="BR727" s="305"/>
      <c r="BS727" s="305"/>
      <c r="BT727" s="305"/>
      <c r="BU727" s="305"/>
      <c r="BV727" s="305"/>
      <c r="BW727" s="305"/>
      <c r="BX727" s="305"/>
      <c r="BY727" s="305"/>
      <c r="BZ727" s="305"/>
      <c r="CA727" s="305"/>
      <c r="CB727" s="305"/>
      <c r="CC727" s="305"/>
      <c r="CD727" s="305"/>
      <c r="CE727" s="305"/>
      <c r="CF727" s="305"/>
      <c r="CG727" s="305"/>
      <c r="CH727" s="305"/>
      <c r="CI727" s="305"/>
      <c r="CJ727" s="305"/>
      <c r="CK727" s="305"/>
      <c r="CL727" s="305"/>
      <c r="CM727" s="305"/>
      <c r="CN727" s="305"/>
      <c r="CO727" s="305"/>
      <c r="CP727" s="305"/>
    </row>
    <row r="728" spans="26:94">
      <c r="Z728" s="305"/>
      <c r="AA728" s="305"/>
      <c r="AB728" s="305"/>
      <c r="AC728" s="305"/>
      <c r="AD728" s="305"/>
      <c r="AE728" s="305"/>
      <c r="AF728" s="305"/>
      <c r="AG728" s="305"/>
      <c r="AH728" s="305"/>
      <c r="AI728" s="305"/>
      <c r="AJ728" s="305"/>
      <c r="AK728" s="305"/>
      <c r="AL728" s="305"/>
      <c r="AM728" s="305"/>
      <c r="AN728" s="305"/>
      <c r="AO728" s="305"/>
      <c r="AP728" s="305"/>
      <c r="AQ728" s="305"/>
      <c r="AR728" s="305"/>
      <c r="AS728" s="305"/>
      <c r="AT728" s="305"/>
      <c r="AU728" s="305"/>
      <c r="AV728" s="305"/>
      <c r="AW728" s="305"/>
      <c r="AX728" s="305"/>
      <c r="AY728" s="305"/>
      <c r="AZ728" s="305"/>
      <c r="BA728" s="305"/>
      <c r="BB728" s="305"/>
      <c r="BC728" s="305"/>
      <c r="BJ728" s="305"/>
      <c r="BK728" s="305"/>
      <c r="BL728" s="305"/>
      <c r="BM728" s="305"/>
      <c r="BN728" s="305"/>
      <c r="BO728" s="305"/>
      <c r="BP728" s="305"/>
      <c r="BQ728" s="305"/>
      <c r="BR728" s="305"/>
      <c r="BS728" s="305"/>
      <c r="BT728" s="305"/>
      <c r="BU728" s="305"/>
      <c r="BV728" s="305"/>
      <c r="BW728" s="305"/>
      <c r="BX728" s="305"/>
      <c r="BY728" s="305"/>
      <c r="BZ728" s="305"/>
      <c r="CA728" s="305"/>
      <c r="CB728" s="305"/>
      <c r="CC728" s="305"/>
      <c r="CD728" s="305"/>
      <c r="CE728" s="305"/>
      <c r="CF728" s="305"/>
      <c r="CG728" s="305"/>
      <c r="CH728" s="305"/>
      <c r="CI728" s="305"/>
      <c r="CJ728" s="305"/>
      <c r="CK728" s="305"/>
      <c r="CL728" s="305"/>
      <c r="CM728" s="305"/>
      <c r="CN728" s="305"/>
      <c r="CO728" s="305"/>
      <c r="CP728" s="305"/>
    </row>
    <row r="729" spans="26:94">
      <c r="Z729" s="305"/>
      <c r="AA729" s="305"/>
      <c r="AB729" s="305"/>
      <c r="AC729" s="305"/>
      <c r="AD729" s="305"/>
      <c r="AE729" s="305"/>
      <c r="AF729" s="305"/>
      <c r="AG729" s="305"/>
      <c r="AH729" s="305"/>
      <c r="AI729" s="305"/>
      <c r="AJ729" s="305"/>
      <c r="AK729" s="305"/>
      <c r="AL729" s="305"/>
      <c r="AM729" s="305"/>
      <c r="AN729" s="305"/>
      <c r="AO729" s="305"/>
      <c r="AP729" s="305"/>
      <c r="AQ729" s="305"/>
      <c r="AR729" s="305"/>
      <c r="AS729" s="305"/>
      <c r="AT729" s="305"/>
      <c r="AU729" s="305"/>
      <c r="AV729" s="305"/>
      <c r="AW729" s="305"/>
      <c r="AX729" s="305"/>
      <c r="AY729" s="305"/>
      <c r="AZ729" s="305"/>
      <c r="BA729" s="305"/>
      <c r="BB729" s="305"/>
      <c r="BC729" s="305"/>
      <c r="BJ729" s="305"/>
      <c r="BK729" s="305"/>
      <c r="BL729" s="305"/>
      <c r="BM729" s="305"/>
      <c r="BN729" s="305"/>
      <c r="BO729" s="305"/>
      <c r="BP729" s="305"/>
      <c r="BQ729" s="305"/>
      <c r="BR729" s="305"/>
      <c r="BS729" s="305"/>
      <c r="BT729" s="305"/>
      <c r="BU729" s="305"/>
      <c r="BV729" s="305"/>
      <c r="BW729" s="305"/>
      <c r="BX729" s="305"/>
      <c r="BY729" s="305"/>
      <c r="BZ729" s="305"/>
      <c r="CA729" s="305"/>
      <c r="CB729" s="305"/>
      <c r="CC729" s="305"/>
      <c r="CD729" s="305"/>
      <c r="CE729" s="305"/>
      <c r="CF729" s="305"/>
      <c r="CG729" s="305"/>
      <c r="CH729" s="305"/>
      <c r="CI729" s="305"/>
      <c r="CJ729" s="305"/>
      <c r="CK729" s="305"/>
      <c r="CL729" s="305"/>
      <c r="CM729" s="305"/>
      <c r="CN729" s="305"/>
      <c r="CO729" s="305"/>
      <c r="CP729" s="305"/>
    </row>
    <row r="730" spans="26:94">
      <c r="Z730" s="305"/>
      <c r="AA730" s="305"/>
      <c r="AB730" s="305"/>
      <c r="AC730" s="305"/>
      <c r="AD730" s="305"/>
      <c r="AE730" s="305"/>
      <c r="AF730" s="305"/>
      <c r="AG730" s="305"/>
      <c r="AH730" s="305"/>
      <c r="AI730" s="305"/>
      <c r="AJ730" s="305"/>
      <c r="AK730" s="305"/>
      <c r="AL730" s="305"/>
      <c r="AM730" s="305"/>
      <c r="AN730" s="305"/>
      <c r="AO730" s="305"/>
      <c r="AP730" s="305"/>
      <c r="AQ730" s="305"/>
      <c r="AR730" s="305"/>
      <c r="AS730" s="305"/>
      <c r="AT730" s="305"/>
      <c r="AU730" s="305"/>
      <c r="AV730" s="305"/>
      <c r="AW730" s="305"/>
      <c r="AX730" s="305"/>
      <c r="AY730" s="305"/>
      <c r="AZ730" s="305"/>
      <c r="BA730" s="305"/>
      <c r="BB730" s="305"/>
      <c r="BC730" s="305"/>
      <c r="BJ730" s="305"/>
      <c r="BK730" s="305"/>
      <c r="BL730" s="305"/>
      <c r="BM730" s="305"/>
      <c r="BN730" s="305"/>
      <c r="BO730" s="305"/>
      <c r="BP730" s="305"/>
      <c r="BQ730" s="305"/>
      <c r="BR730" s="305"/>
      <c r="BS730" s="305"/>
      <c r="BT730" s="305"/>
      <c r="BU730" s="305"/>
      <c r="BV730" s="305"/>
      <c r="BW730" s="305"/>
      <c r="BX730" s="305"/>
      <c r="BY730" s="305"/>
      <c r="BZ730" s="305"/>
      <c r="CA730" s="305"/>
      <c r="CB730" s="305"/>
      <c r="CC730" s="305"/>
      <c r="CD730" s="305"/>
      <c r="CE730" s="305"/>
      <c r="CF730" s="305"/>
      <c r="CG730" s="305"/>
      <c r="CH730" s="305"/>
      <c r="CI730" s="305"/>
      <c r="CJ730" s="305"/>
      <c r="CK730" s="305"/>
      <c r="CL730" s="305"/>
      <c r="CM730" s="305"/>
      <c r="CN730" s="305"/>
      <c r="CO730" s="305"/>
      <c r="CP730" s="305"/>
    </row>
    <row r="731" spans="26:94">
      <c r="Z731" s="305"/>
      <c r="AA731" s="305"/>
      <c r="AB731" s="305"/>
      <c r="AC731" s="305"/>
      <c r="AD731" s="305"/>
      <c r="AE731" s="305"/>
      <c r="AF731" s="305"/>
      <c r="AG731" s="305"/>
      <c r="AH731" s="305"/>
      <c r="AI731" s="305"/>
      <c r="AJ731" s="305"/>
      <c r="AK731" s="305"/>
      <c r="AL731" s="305"/>
      <c r="AM731" s="305"/>
      <c r="AN731" s="305"/>
      <c r="AO731" s="305"/>
      <c r="AP731" s="305"/>
      <c r="AQ731" s="305"/>
      <c r="AR731" s="305"/>
      <c r="AS731" s="305"/>
      <c r="AT731" s="305"/>
      <c r="AU731" s="305"/>
      <c r="AV731" s="305"/>
      <c r="AW731" s="305"/>
      <c r="AX731" s="305"/>
      <c r="AY731" s="305"/>
      <c r="AZ731" s="305"/>
      <c r="BA731" s="305"/>
      <c r="BB731" s="305"/>
      <c r="BC731" s="305"/>
      <c r="BJ731" s="305"/>
      <c r="BK731" s="305"/>
      <c r="BL731" s="305"/>
      <c r="BM731" s="305"/>
      <c r="BN731" s="305"/>
      <c r="BO731" s="305"/>
      <c r="BP731" s="305"/>
      <c r="BQ731" s="305"/>
      <c r="BR731" s="305"/>
      <c r="BS731" s="305"/>
      <c r="BT731" s="305"/>
      <c r="BU731" s="305"/>
      <c r="BV731" s="305"/>
      <c r="BW731" s="305"/>
      <c r="BX731" s="305"/>
      <c r="BY731" s="305"/>
      <c r="BZ731" s="305"/>
      <c r="CA731" s="305"/>
      <c r="CB731" s="305"/>
      <c r="CC731" s="305"/>
      <c r="CD731" s="305"/>
      <c r="CE731" s="305"/>
      <c r="CF731" s="305"/>
      <c r="CG731" s="305"/>
      <c r="CH731" s="305"/>
      <c r="CI731" s="305"/>
      <c r="CJ731" s="305"/>
      <c r="CK731" s="305"/>
      <c r="CL731" s="305"/>
      <c r="CM731" s="305"/>
      <c r="CN731" s="305"/>
      <c r="CO731" s="305"/>
      <c r="CP731" s="305"/>
    </row>
    <row r="732" spans="26:94">
      <c r="Z732" s="305"/>
      <c r="AA732" s="305"/>
      <c r="AB732" s="305"/>
      <c r="AC732" s="305"/>
      <c r="AD732" s="305"/>
      <c r="AE732" s="305"/>
      <c r="AF732" s="305"/>
      <c r="AG732" s="305"/>
      <c r="AH732" s="305"/>
      <c r="AI732" s="305"/>
      <c r="AJ732" s="305"/>
      <c r="AK732" s="305"/>
      <c r="AL732" s="305"/>
      <c r="AM732" s="305"/>
      <c r="AN732" s="305"/>
      <c r="AO732" s="305"/>
      <c r="AP732" s="305"/>
      <c r="AQ732" s="305"/>
      <c r="AR732" s="305"/>
      <c r="AS732" s="305"/>
      <c r="AT732" s="305"/>
      <c r="AU732" s="305"/>
      <c r="AV732" s="305"/>
      <c r="AW732" s="305"/>
      <c r="AX732" s="305"/>
      <c r="AY732" s="305"/>
      <c r="AZ732" s="305"/>
      <c r="BA732" s="305"/>
      <c r="BB732" s="305"/>
      <c r="BC732" s="305"/>
      <c r="BJ732" s="305"/>
      <c r="BK732" s="305"/>
      <c r="BL732" s="305"/>
      <c r="BM732" s="305"/>
      <c r="BN732" s="305"/>
      <c r="BO732" s="305"/>
      <c r="BP732" s="305"/>
      <c r="BQ732" s="305"/>
      <c r="BR732" s="305"/>
      <c r="BS732" s="305"/>
      <c r="BT732" s="305"/>
      <c r="BU732" s="305"/>
      <c r="BV732" s="305"/>
      <c r="BW732" s="305"/>
      <c r="BX732" s="305"/>
      <c r="BY732" s="305"/>
      <c r="BZ732" s="305"/>
      <c r="CA732" s="305"/>
      <c r="CB732" s="305"/>
      <c r="CC732" s="305"/>
      <c r="CD732" s="305"/>
      <c r="CE732" s="305"/>
      <c r="CF732" s="305"/>
      <c r="CG732" s="305"/>
      <c r="CH732" s="305"/>
      <c r="CI732" s="305"/>
      <c r="CJ732" s="305"/>
      <c r="CK732" s="305"/>
      <c r="CL732" s="305"/>
      <c r="CM732" s="305"/>
      <c r="CN732" s="305"/>
      <c r="CO732" s="305"/>
      <c r="CP732" s="305"/>
    </row>
    <row r="733" spans="26:94">
      <c r="Z733" s="305"/>
      <c r="AA733" s="305"/>
      <c r="AB733" s="305"/>
      <c r="AC733" s="305"/>
      <c r="AD733" s="305"/>
      <c r="AE733" s="305"/>
      <c r="AF733" s="305"/>
      <c r="AG733" s="305"/>
      <c r="AH733" s="305"/>
      <c r="AI733" s="305"/>
      <c r="AJ733" s="305"/>
      <c r="AK733" s="305"/>
      <c r="AL733" s="305"/>
      <c r="AM733" s="305"/>
      <c r="AN733" s="305"/>
      <c r="AO733" s="305"/>
      <c r="AP733" s="305"/>
      <c r="AQ733" s="305"/>
      <c r="AR733" s="305"/>
      <c r="AS733" s="305"/>
      <c r="AT733" s="305"/>
      <c r="AU733" s="305"/>
      <c r="AV733" s="305"/>
      <c r="AW733" s="305"/>
      <c r="AX733" s="305"/>
      <c r="AY733" s="305"/>
      <c r="AZ733" s="305"/>
      <c r="BA733" s="305"/>
      <c r="BB733" s="305"/>
      <c r="BC733" s="305"/>
      <c r="BJ733" s="305"/>
      <c r="BK733" s="305"/>
      <c r="BL733" s="305"/>
      <c r="BM733" s="305"/>
      <c r="BN733" s="305"/>
      <c r="BO733" s="305"/>
      <c r="BP733" s="305"/>
      <c r="BQ733" s="305"/>
      <c r="BR733" s="305"/>
      <c r="BS733" s="305"/>
      <c r="BT733" s="305"/>
      <c r="BU733" s="305"/>
      <c r="BV733" s="305"/>
      <c r="BW733" s="305"/>
      <c r="BX733" s="305"/>
      <c r="BY733" s="305"/>
      <c r="BZ733" s="305"/>
      <c r="CA733" s="305"/>
      <c r="CB733" s="305"/>
      <c r="CC733" s="305"/>
      <c r="CD733" s="305"/>
      <c r="CE733" s="305"/>
      <c r="CF733" s="305"/>
      <c r="CG733" s="305"/>
      <c r="CH733" s="305"/>
      <c r="CI733" s="305"/>
      <c r="CJ733" s="305"/>
      <c r="CK733" s="305"/>
      <c r="CL733" s="305"/>
      <c r="CM733" s="305"/>
      <c r="CN733" s="305"/>
      <c r="CO733" s="305"/>
      <c r="CP733" s="305"/>
    </row>
    <row r="734" spans="26:94">
      <c r="Z734" s="305"/>
      <c r="AA734" s="305"/>
      <c r="AB734" s="305"/>
      <c r="AC734" s="305"/>
      <c r="AD734" s="305"/>
      <c r="AE734" s="305"/>
      <c r="AF734" s="305"/>
      <c r="AG734" s="305"/>
      <c r="AH734" s="305"/>
      <c r="AI734" s="305"/>
      <c r="AJ734" s="305"/>
      <c r="AK734" s="305"/>
      <c r="AL734" s="305"/>
      <c r="AM734" s="305"/>
      <c r="AN734" s="305"/>
      <c r="AO734" s="305"/>
      <c r="AP734" s="305"/>
      <c r="AQ734" s="305"/>
      <c r="AR734" s="305"/>
      <c r="AS734" s="305"/>
      <c r="AT734" s="305"/>
      <c r="AU734" s="305"/>
      <c r="AV734" s="305"/>
      <c r="AW734" s="305"/>
      <c r="AX734" s="305"/>
      <c r="AY734" s="305"/>
      <c r="AZ734" s="305"/>
      <c r="BA734" s="305"/>
      <c r="BB734" s="305"/>
      <c r="BC734" s="305"/>
      <c r="BJ734" s="305"/>
      <c r="BK734" s="305"/>
      <c r="BL734" s="305"/>
      <c r="BM734" s="305"/>
      <c r="BN734" s="305"/>
      <c r="BO734" s="305"/>
      <c r="BP734" s="305"/>
      <c r="BQ734" s="305"/>
      <c r="BR734" s="305"/>
      <c r="BS734" s="305"/>
      <c r="BT734" s="305"/>
      <c r="BU734" s="305"/>
      <c r="BV734" s="305"/>
      <c r="BW734" s="305"/>
      <c r="BX734" s="305"/>
      <c r="BY734" s="305"/>
      <c r="BZ734" s="305"/>
      <c r="CA734" s="305"/>
      <c r="CB734" s="305"/>
      <c r="CC734" s="305"/>
      <c r="CD734" s="305"/>
      <c r="CE734" s="305"/>
      <c r="CF734" s="305"/>
      <c r="CG734" s="305"/>
      <c r="CH734" s="305"/>
      <c r="CI734" s="305"/>
      <c r="CJ734" s="305"/>
      <c r="CK734" s="305"/>
      <c r="CL734" s="305"/>
      <c r="CM734" s="305"/>
      <c r="CN734" s="305"/>
      <c r="CO734" s="305"/>
      <c r="CP734" s="305"/>
    </row>
    <row r="735" spans="26:94">
      <c r="Z735" s="305"/>
      <c r="AA735" s="305"/>
      <c r="AB735" s="305"/>
      <c r="AC735" s="305"/>
      <c r="AD735" s="305"/>
      <c r="AE735" s="305"/>
      <c r="AF735" s="305"/>
      <c r="AG735" s="305"/>
      <c r="AH735" s="305"/>
      <c r="AI735" s="305"/>
      <c r="AJ735" s="305"/>
      <c r="AK735" s="305"/>
      <c r="AL735" s="305"/>
      <c r="AM735" s="305"/>
      <c r="AN735" s="305"/>
      <c r="AO735" s="305"/>
      <c r="AP735" s="305"/>
      <c r="AQ735" s="305"/>
      <c r="AR735" s="305"/>
      <c r="AS735" s="305"/>
      <c r="AT735" s="305"/>
      <c r="AU735" s="305"/>
      <c r="AV735" s="305"/>
      <c r="AW735" s="305"/>
      <c r="AX735" s="305"/>
      <c r="AY735" s="305"/>
      <c r="AZ735" s="305"/>
      <c r="BA735" s="305"/>
      <c r="BB735" s="305"/>
      <c r="BC735" s="305"/>
      <c r="BJ735" s="305"/>
      <c r="BK735" s="305"/>
      <c r="BL735" s="305"/>
      <c r="BM735" s="305"/>
      <c r="BN735" s="305"/>
      <c r="BO735" s="305"/>
      <c r="BP735" s="305"/>
      <c r="BQ735" s="305"/>
      <c r="BR735" s="305"/>
      <c r="BS735" s="305"/>
      <c r="BT735" s="305"/>
      <c r="BU735" s="305"/>
      <c r="BV735" s="305"/>
      <c r="BW735" s="305"/>
      <c r="BX735" s="305"/>
      <c r="BY735" s="305"/>
      <c r="BZ735" s="305"/>
      <c r="CA735" s="305"/>
      <c r="CB735" s="305"/>
      <c r="CC735" s="305"/>
      <c r="CD735" s="305"/>
      <c r="CE735" s="305"/>
      <c r="CF735" s="305"/>
      <c r="CG735" s="305"/>
      <c r="CH735" s="305"/>
      <c r="CI735" s="305"/>
      <c r="CJ735" s="305"/>
      <c r="CK735" s="305"/>
      <c r="CL735" s="305"/>
      <c r="CM735" s="305"/>
      <c r="CN735" s="305"/>
      <c r="CO735" s="305"/>
      <c r="CP735" s="305"/>
    </row>
    <row r="736" spans="26:94">
      <c r="Z736" s="305"/>
      <c r="AA736" s="305"/>
      <c r="AB736" s="305"/>
      <c r="AC736" s="305"/>
      <c r="AD736" s="305"/>
      <c r="AE736" s="305"/>
      <c r="AF736" s="305"/>
      <c r="AG736" s="305"/>
      <c r="AH736" s="305"/>
      <c r="AI736" s="305"/>
      <c r="AJ736" s="305"/>
      <c r="AK736" s="305"/>
      <c r="AL736" s="305"/>
      <c r="AM736" s="305"/>
      <c r="AN736" s="305"/>
      <c r="AO736" s="305"/>
      <c r="AP736" s="305"/>
      <c r="AQ736" s="305"/>
      <c r="AR736" s="305"/>
      <c r="AS736" s="305"/>
      <c r="AT736" s="305"/>
      <c r="AU736" s="305"/>
      <c r="AV736" s="305"/>
      <c r="AW736" s="305"/>
      <c r="AX736" s="305"/>
      <c r="AY736" s="305"/>
      <c r="AZ736" s="305"/>
      <c r="BA736" s="305"/>
      <c r="BB736" s="305"/>
      <c r="BC736" s="305"/>
      <c r="BJ736" s="305"/>
      <c r="BK736" s="305"/>
      <c r="BL736" s="305"/>
      <c r="BM736" s="305"/>
      <c r="BN736" s="305"/>
      <c r="BO736" s="305"/>
      <c r="BP736" s="305"/>
      <c r="BQ736" s="305"/>
      <c r="BR736" s="305"/>
      <c r="BS736" s="305"/>
      <c r="BT736" s="305"/>
      <c r="BU736" s="305"/>
      <c r="BV736" s="305"/>
      <c r="BW736" s="305"/>
      <c r="BX736" s="305"/>
      <c r="BY736" s="305"/>
      <c r="BZ736" s="305"/>
      <c r="CA736" s="305"/>
      <c r="CB736" s="305"/>
      <c r="CC736" s="305"/>
      <c r="CD736" s="305"/>
      <c r="CE736" s="305"/>
      <c r="CF736" s="305"/>
      <c r="CG736" s="305"/>
      <c r="CH736" s="305"/>
      <c r="CI736" s="305"/>
      <c r="CJ736" s="305"/>
      <c r="CK736" s="305"/>
      <c r="CL736" s="305"/>
      <c r="CM736" s="305"/>
      <c r="CN736" s="305"/>
      <c r="CO736" s="305"/>
      <c r="CP736" s="305"/>
    </row>
    <row r="737" spans="26:94">
      <c r="Z737" s="305"/>
      <c r="AA737" s="305"/>
      <c r="AB737" s="305"/>
      <c r="AC737" s="305"/>
      <c r="AD737" s="305"/>
      <c r="AE737" s="305"/>
      <c r="AF737" s="305"/>
      <c r="AG737" s="305"/>
      <c r="AH737" s="305"/>
      <c r="AI737" s="305"/>
      <c r="AJ737" s="305"/>
      <c r="AK737" s="305"/>
      <c r="AL737" s="305"/>
      <c r="AM737" s="305"/>
      <c r="AN737" s="305"/>
      <c r="AO737" s="305"/>
      <c r="AP737" s="305"/>
      <c r="AQ737" s="305"/>
      <c r="AR737" s="305"/>
      <c r="AS737" s="305"/>
      <c r="AT737" s="305"/>
      <c r="AU737" s="305"/>
      <c r="AV737" s="305"/>
      <c r="AW737" s="305"/>
      <c r="AX737" s="305"/>
      <c r="AY737" s="305"/>
      <c r="AZ737" s="305"/>
      <c r="BA737" s="305"/>
      <c r="BB737" s="305"/>
      <c r="BC737" s="305"/>
      <c r="BJ737" s="305"/>
      <c r="BK737" s="305"/>
      <c r="BL737" s="305"/>
      <c r="BM737" s="305"/>
      <c r="BN737" s="305"/>
      <c r="BO737" s="305"/>
      <c r="BP737" s="305"/>
      <c r="BQ737" s="305"/>
      <c r="BR737" s="305"/>
      <c r="BS737" s="305"/>
      <c r="BT737" s="305"/>
      <c r="BU737" s="305"/>
      <c r="BV737" s="305"/>
      <c r="BW737" s="305"/>
      <c r="BX737" s="305"/>
      <c r="BY737" s="305"/>
      <c r="BZ737" s="305"/>
      <c r="CA737" s="305"/>
      <c r="CB737" s="305"/>
      <c r="CC737" s="305"/>
      <c r="CD737" s="305"/>
      <c r="CE737" s="305"/>
      <c r="CF737" s="305"/>
      <c r="CG737" s="305"/>
      <c r="CH737" s="305"/>
      <c r="CI737" s="305"/>
      <c r="CJ737" s="305"/>
      <c r="CK737" s="305"/>
      <c r="CL737" s="305"/>
      <c r="CM737" s="305"/>
      <c r="CN737" s="305"/>
      <c r="CO737" s="305"/>
      <c r="CP737" s="305"/>
    </row>
    <row r="738" spans="26:94">
      <c r="Z738" s="305"/>
      <c r="AA738" s="305"/>
      <c r="AB738" s="305"/>
      <c r="AC738" s="305"/>
      <c r="AD738" s="305"/>
      <c r="AE738" s="305"/>
      <c r="AF738" s="305"/>
      <c r="AG738" s="305"/>
      <c r="AH738" s="305"/>
      <c r="AI738" s="305"/>
      <c r="AJ738" s="305"/>
      <c r="AK738" s="305"/>
      <c r="AL738" s="305"/>
      <c r="AM738" s="305"/>
      <c r="AN738" s="305"/>
      <c r="AO738" s="305"/>
      <c r="AP738" s="305"/>
      <c r="AQ738" s="305"/>
      <c r="AR738" s="305"/>
      <c r="AS738" s="305"/>
      <c r="AT738" s="305"/>
      <c r="AU738" s="305"/>
      <c r="AV738" s="305"/>
      <c r="AW738" s="305"/>
      <c r="AX738" s="305"/>
      <c r="AY738" s="305"/>
      <c r="AZ738" s="305"/>
      <c r="BA738" s="305"/>
      <c r="BB738" s="305"/>
      <c r="BC738" s="305"/>
      <c r="BJ738" s="305"/>
      <c r="BK738" s="305"/>
      <c r="BL738" s="305"/>
      <c r="BM738" s="305"/>
      <c r="BN738" s="305"/>
      <c r="BO738" s="305"/>
      <c r="BP738" s="305"/>
      <c r="BQ738" s="305"/>
      <c r="BR738" s="305"/>
      <c r="BS738" s="305"/>
      <c r="BT738" s="305"/>
      <c r="BU738" s="305"/>
      <c r="BV738" s="305"/>
      <c r="BW738" s="305"/>
      <c r="BX738" s="305"/>
      <c r="BY738" s="305"/>
      <c r="BZ738" s="305"/>
      <c r="CA738" s="305"/>
      <c r="CB738" s="305"/>
      <c r="CC738" s="305"/>
      <c r="CD738" s="305"/>
      <c r="CE738" s="305"/>
      <c r="CF738" s="305"/>
      <c r="CG738" s="305"/>
      <c r="CH738" s="305"/>
      <c r="CI738" s="305"/>
      <c r="CJ738" s="305"/>
      <c r="CK738" s="305"/>
      <c r="CL738" s="305"/>
      <c r="CM738" s="305"/>
      <c r="CN738" s="305"/>
      <c r="CO738" s="305"/>
      <c r="CP738" s="305"/>
    </row>
    <row r="739" spans="26:94">
      <c r="Z739" s="305"/>
      <c r="AA739" s="305"/>
      <c r="AB739" s="305"/>
      <c r="AC739" s="305"/>
      <c r="AD739" s="305"/>
      <c r="AE739" s="305"/>
      <c r="AF739" s="305"/>
      <c r="AG739" s="305"/>
      <c r="AH739" s="305"/>
      <c r="AI739" s="305"/>
      <c r="AJ739" s="305"/>
      <c r="AK739" s="305"/>
      <c r="AL739" s="305"/>
      <c r="AM739" s="305"/>
      <c r="AN739" s="305"/>
      <c r="AO739" s="305"/>
      <c r="AP739" s="305"/>
      <c r="AQ739" s="305"/>
      <c r="AR739" s="305"/>
      <c r="AS739" s="305"/>
      <c r="AT739" s="305"/>
      <c r="AU739" s="305"/>
      <c r="AV739" s="305"/>
      <c r="AW739" s="305"/>
      <c r="AX739" s="305"/>
      <c r="AY739" s="305"/>
      <c r="AZ739" s="305"/>
      <c r="BA739" s="305"/>
      <c r="BB739" s="305"/>
      <c r="BC739" s="305"/>
      <c r="BJ739" s="305"/>
      <c r="BK739" s="305"/>
      <c r="BL739" s="305"/>
      <c r="BM739" s="305"/>
      <c r="BN739" s="305"/>
      <c r="BO739" s="305"/>
      <c r="BP739" s="305"/>
      <c r="BQ739" s="305"/>
      <c r="BR739" s="305"/>
      <c r="BS739" s="305"/>
      <c r="BT739" s="305"/>
      <c r="BU739" s="305"/>
      <c r="BV739" s="305"/>
      <c r="BW739" s="305"/>
      <c r="BX739" s="305"/>
      <c r="BY739" s="305"/>
      <c r="BZ739" s="305"/>
      <c r="CA739" s="305"/>
      <c r="CB739" s="305"/>
      <c r="CC739" s="305"/>
      <c r="CD739" s="305"/>
      <c r="CE739" s="305"/>
      <c r="CF739" s="305"/>
      <c r="CG739" s="305"/>
      <c r="CH739" s="305"/>
      <c r="CI739" s="305"/>
      <c r="CJ739" s="305"/>
      <c r="CK739" s="305"/>
      <c r="CL739" s="305"/>
      <c r="CM739" s="305"/>
      <c r="CN739" s="305"/>
      <c r="CO739" s="305"/>
      <c r="CP739" s="305"/>
    </row>
    <row r="740" spans="26:94">
      <c r="Z740" s="305"/>
      <c r="AA740" s="305"/>
      <c r="AB740" s="305"/>
      <c r="AC740" s="305"/>
      <c r="AD740" s="305"/>
      <c r="AE740" s="305"/>
      <c r="AF740" s="305"/>
      <c r="AG740" s="305"/>
      <c r="AH740" s="305"/>
      <c r="AI740" s="305"/>
      <c r="AJ740" s="305"/>
      <c r="AK740" s="305"/>
      <c r="AL740" s="305"/>
      <c r="AM740" s="305"/>
      <c r="AN740" s="305"/>
      <c r="AO740" s="305"/>
      <c r="AP740" s="305"/>
      <c r="AQ740" s="305"/>
      <c r="AR740" s="305"/>
      <c r="AS740" s="305"/>
      <c r="AT740" s="305"/>
      <c r="AU740" s="305"/>
      <c r="AV740" s="305"/>
      <c r="AW740" s="305"/>
      <c r="AX740" s="305"/>
      <c r="AY740" s="305"/>
      <c r="AZ740" s="305"/>
      <c r="BA740" s="305"/>
      <c r="BB740" s="305"/>
      <c r="BC740" s="305"/>
      <c r="BJ740" s="305"/>
      <c r="BK740" s="305"/>
      <c r="BL740" s="305"/>
      <c r="BM740" s="305"/>
      <c r="BN740" s="305"/>
      <c r="BO740" s="305"/>
      <c r="BP740" s="305"/>
      <c r="BQ740" s="305"/>
      <c r="BR740" s="305"/>
      <c r="BS740" s="305"/>
      <c r="BT740" s="305"/>
      <c r="BU740" s="305"/>
      <c r="BV740" s="305"/>
      <c r="BW740" s="305"/>
      <c r="BX740" s="305"/>
      <c r="BY740" s="305"/>
      <c r="BZ740" s="305"/>
      <c r="CA740" s="305"/>
      <c r="CB740" s="305"/>
      <c r="CC740" s="305"/>
      <c r="CD740" s="305"/>
      <c r="CE740" s="305"/>
      <c r="CF740" s="305"/>
      <c r="CG740" s="305"/>
      <c r="CH740" s="305"/>
      <c r="CI740" s="305"/>
      <c r="CJ740" s="305"/>
      <c r="CK740" s="305"/>
      <c r="CL740" s="305"/>
      <c r="CM740" s="305"/>
      <c r="CN740" s="305"/>
      <c r="CO740" s="305"/>
      <c r="CP740" s="305"/>
    </row>
    <row r="741" spans="26:94">
      <c r="Z741" s="305"/>
      <c r="AA741" s="305"/>
      <c r="AB741" s="305"/>
      <c r="AC741" s="305"/>
      <c r="AD741" s="305"/>
      <c r="AE741" s="305"/>
      <c r="AF741" s="305"/>
      <c r="AG741" s="305"/>
      <c r="AH741" s="305"/>
      <c r="AI741" s="305"/>
      <c r="AJ741" s="305"/>
      <c r="AK741" s="305"/>
      <c r="AL741" s="305"/>
      <c r="AM741" s="305"/>
      <c r="AN741" s="305"/>
      <c r="AO741" s="305"/>
      <c r="AP741" s="305"/>
      <c r="AQ741" s="305"/>
      <c r="AR741" s="305"/>
      <c r="AS741" s="305"/>
      <c r="AT741" s="305"/>
      <c r="AU741" s="305"/>
      <c r="AV741" s="305"/>
      <c r="AW741" s="305"/>
      <c r="AX741" s="305"/>
      <c r="AY741" s="305"/>
      <c r="AZ741" s="305"/>
      <c r="BA741" s="305"/>
      <c r="BB741" s="305"/>
      <c r="BC741" s="305"/>
      <c r="BJ741" s="305"/>
      <c r="BK741" s="305"/>
      <c r="BL741" s="305"/>
      <c r="BM741" s="305"/>
      <c r="BN741" s="305"/>
      <c r="BO741" s="305"/>
      <c r="BP741" s="305"/>
      <c r="BQ741" s="305"/>
      <c r="BR741" s="305"/>
      <c r="BS741" s="305"/>
      <c r="BT741" s="305"/>
      <c r="BU741" s="305"/>
      <c r="BV741" s="305"/>
      <c r="BW741" s="305"/>
      <c r="BX741" s="305"/>
      <c r="BY741" s="305"/>
      <c r="BZ741" s="305"/>
      <c r="CA741" s="305"/>
      <c r="CB741" s="305"/>
      <c r="CC741" s="305"/>
      <c r="CD741" s="305"/>
      <c r="CE741" s="305"/>
      <c r="CF741" s="305"/>
      <c r="CG741" s="305"/>
      <c r="CH741" s="305"/>
      <c r="CI741" s="305"/>
      <c r="CJ741" s="305"/>
      <c r="CK741" s="305"/>
      <c r="CL741" s="305"/>
      <c r="CM741" s="305"/>
      <c r="CN741" s="305"/>
      <c r="CO741" s="305"/>
      <c r="CP741" s="305"/>
    </row>
    <row r="742" spans="26:94">
      <c r="Z742" s="305"/>
      <c r="AA742" s="305"/>
      <c r="AB742" s="305"/>
      <c r="AC742" s="305"/>
      <c r="AD742" s="305"/>
      <c r="AE742" s="305"/>
      <c r="AF742" s="305"/>
      <c r="AG742" s="305"/>
      <c r="AH742" s="305"/>
      <c r="AI742" s="305"/>
      <c r="AJ742" s="305"/>
      <c r="AK742" s="305"/>
      <c r="AL742" s="305"/>
      <c r="AM742" s="305"/>
      <c r="AN742" s="305"/>
      <c r="AO742" s="305"/>
      <c r="AP742" s="305"/>
      <c r="AQ742" s="305"/>
      <c r="AR742" s="305"/>
      <c r="AS742" s="305"/>
      <c r="AT742" s="305"/>
      <c r="AU742" s="305"/>
      <c r="AV742" s="305"/>
      <c r="AW742" s="305"/>
      <c r="AX742" s="305"/>
      <c r="AY742" s="305"/>
      <c r="AZ742" s="305"/>
      <c r="BA742" s="305"/>
      <c r="BB742" s="305"/>
      <c r="BC742" s="305"/>
      <c r="BJ742" s="305"/>
      <c r="BK742" s="305"/>
      <c r="BL742" s="305"/>
      <c r="BM742" s="305"/>
      <c r="BN742" s="305"/>
      <c r="BO742" s="305"/>
      <c r="BP742" s="305"/>
      <c r="BQ742" s="305"/>
      <c r="BR742" s="305"/>
      <c r="BS742" s="305"/>
      <c r="BT742" s="305"/>
      <c r="BU742" s="305"/>
      <c r="BV742" s="305"/>
      <c r="BW742" s="305"/>
      <c r="BX742" s="305"/>
      <c r="BY742" s="305"/>
      <c r="BZ742" s="305"/>
      <c r="CA742" s="305"/>
      <c r="CB742" s="305"/>
      <c r="CC742" s="305"/>
      <c r="CD742" s="305"/>
      <c r="CE742" s="305"/>
      <c r="CF742" s="305"/>
      <c r="CG742" s="305"/>
      <c r="CH742" s="305"/>
      <c r="CI742" s="305"/>
      <c r="CJ742" s="305"/>
      <c r="CK742" s="305"/>
      <c r="CL742" s="305"/>
      <c r="CM742" s="305"/>
      <c r="CN742" s="305"/>
      <c r="CO742" s="305"/>
      <c r="CP742" s="305"/>
    </row>
    <row r="743" spans="26:94">
      <c r="Z743" s="305"/>
      <c r="AA743" s="305"/>
      <c r="AB743" s="305"/>
      <c r="AC743" s="305"/>
      <c r="AD743" s="305"/>
      <c r="AE743" s="305"/>
      <c r="AF743" s="305"/>
      <c r="AG743" s="305"/>
      <c r="AH743" s="305"/>
      <c r="AI743" s="305"/>
      <c r="AJ743" s="305"/>
      <c r="AK743" s="305"/>
      <c r="AL743" s="305"/>
      <c r="AM743" s="305"/>
      <c r="AN743" s="305"/>
      <c r="AO743" s="305"/>
      <c r="AP743" s="305"/>
      <c r="AQ743" s="305"/>
      <c r="AR743" s="305"/>
      <c r="AS743" s="305"/>
      <c r="AT743" s="305"/>
      <c r="AU743" s="305"/>
      <c r="AV743" s="305"/>
      <c r="AW743" s="305"/>
      <c r="AX743" s="305"/>
      <c r="AY743" s="305"/>
      <c r="AZ743" s="305"/>
      <c r="BA743" s="305"/>
      <c r="BB743" s="305"/>
      <c r="BC743" s="305"/>
      <c r="BJ743" s="305"/>
      <c r="BK743" s="305"/>
      <c r="BL743" s="305"/>
      <c r="BM743" s="305"/>
      <c r="BN743" s="305"/>
      <c r="BO743" s="305"/>
      <c r="BP743" s="305"/>
      <c r="BQ743" s="305"/>
      <c r="BR743" s="305"/>
      <c r="BS743" s="305"/>
      <c r="BT743" s="305"/>
      <c r="BU743" s="305"/>
      <c r="BV743" s="305"/>
      <c r="BW743" s="305"/>
      <c r="BX743" s="305"/>
      <c r="BY743" s="305"/>
      <c r="BZ743" s="305"/>
      <c r="CA743" s="305"/>
      <c r="CB743" s="305"/>
      <c r="CC743" s="305"/>
      <c r="CD743" s="305"/>
      <c r="CE743" s="305"/>
      <c r="CF743" s="305"/>
      <c r="CG743" s="305"/>
      <c r="CH743" s="305"/>
      <c r="CI743" s="305"/>
      <c r="CJ743" s="305"/>
      <c r="CK743" s="305"/>
      <c r="CL743" s="305"/>
      <c r="CM743" s="305"/>
      <c r="CN743" s="305"/>
      <c r="CO743" s="305"/>
      <c r="CP743" s="305"/>
    </row>
    <row r="744" spans="26:94">
      <c r="Z744" s="305"/>
      <c r="AA744" s="305"/>
      <c r="AB744" s="305"/>
      <c r="AC744" s="305"/>
      <c r="AD744" s="305"/>
      <c r="AE744" s="305"/>
      <c r="AF744" s="305"/>
      <c r="AG744" s="305"/>
      <c r="AH744" s="305"/>
      <c r="AI744" s="305"/>
      <c r="AJ744" s="305"/>
      <c r="AK744" s="305"/>
      <c r="AL744" s="305"/>
      <c r="AM744" s="305"/>
      <c r="AN744" s="305"/>
      <c r="AO744" s="305"/>
      <c r="AP744" s="305"/>
      <c r="AQ744" s="305"/>
      <c r="AR744" s="305"/>
      <c r="AS744" s="305"/>
      <c r="AT744" s="305"/>
      <c r="AU744" s="305"/>
      <c r="AV744" s="305"/>
      <c r="AW744" s="305"/>
      <c r="AX744" s="305"/>
      <c r="AY744" s="305"/>
      <c r="AZ744" s="305"/>
      <c r="BA744" s="305"/>
      <c r="BB744" s="305"/>
      <c r="BC744" s="305"/>
      <c r="BJ744" s="305"/>
      <c r="BK744" s="305"/>
      <c r="BL744" s="305"/>
      <c r="BM744" s="305"/>
      <c r="BN744" s="305"/>
      <c r="BO744" s="305"/>
      <c r="BP744" s="305"/>
      <c r="BQ744" s="305"/>
      <c r="BR744" s="305"/>
      <c r="BS744" s="305"/>
      <c r="BT744" s="305"/>
      <c r="BU744" s="305"/>
      <c r="BV744" s="305"/>
      <c r="BW744" s="305"/>
      <c r="BX744" s="305"/>
      <c r="BY744" s="305"/>
      <c r="BZ744" s="305"/>
      <c r="CA744" s="305"/>
      <c r="CB744" s="305"/>
      <c r="CC744" s="305"/>
      <c r="CD744" s="305"/>
      <c r="CE744" s="305"/>
      <c r="CF744" s="305"/>
      <c r="CG744" s="305"/>
      <c r="CH744" s="305"/>
      <c r="CI744" s="305"/>
      <c r="CJ744" s="305"/>
      <c r="CK744" s="305"/>
      <c r="CL744" s="305"/>
      <c r="CM744" s="305"/>
      <c r="CN744" s="305"/>
      <c r="CO744" s="305"/>
      <c r="CP744" s="305"/>
    </row>
    <row r="745" spans="26:94">
      <c r="Z745" s="305"/>
      <c r="AA745" s="305"/>
      <c r="AB745" s="305"/>
      <c r="AC745" s="305"/>
      <c r="AD745" s="305"/>
      <c r="AE745" s="305"/>
      <c r="AF745" s="305"/>
      <c r="AG745" s="305"/>
      <c r="AH745" s="305"/>
      <c r="AI745" s="305"/>
      <c r="AJ745" s="305"/>
      <c r="AK745" s="305"/>
      <c r="AL745" s="305"/>
      <c r="AM745" s="305"/>
      <c r="AN745" s="305"/>
      <c r="AO745" s="305"/>
      <c r="AP745" s="305"/>
      <c r="AQ745" s="305"/>
      <c r="AR745" s="305"/>
      <c r="AS745" s="305"/>
      <c r="AT745" s="305"/>
      <c r="AU745" s="305"/>
      <c r="AV745" s="305"/>
      <c r="AW745" s="305"/>
      <c r="AX745" s="305"/>
      <c r="AY745" s="305"/>
      <c r="AZ745" s="305"/>
      <c r="BA745" s="305"/>
      <c r="BB745" s="305"/>
      <c r="BC745" s="305"/>
      <c r="BJ745" s="305"/>
      <c r="BK745" s="305"/>
      <c r="BL745" s="305"/>
      <c r="BM745" s="305"/>
      <c r="BN745" s="305"/>
      <c r="BO745" s="305"/>
      <c r="BP745" s="305"/>
      <c r="BQ745" s="305"/>
      <c r="BR745" s="305"/>
      <c r="BS745" s="305"/>
      <c r="BT745" s="305"/>
      <c r="BU745" s="305"/>
      <c r="BV745" s="305"/>
      <c r="BW745" s="305"/>
      <c r="BX745" s="305"/>
      <c r="BY745" s="305"/>
      <c r="BZ745" s="305"/>
      <c r="CA745" s="305"/>
      <c r="CB745" s="305"/>
      <c r="CC745" s="305"/>
      <c r="CD745" s="305"/>
      <c r="CE745" s="305"/>
      <c r="CF745" s="305"/>
      <c r="CG745" s="305"/>
      <c r="CH745" s="305"/>
      <c r="CI745" s="305"/>
      <c r="CJ745" s="305"/>
      <c r="CK745" s="305"/>
      <c r="CL745" s="305"/>
      <c r="CM745" s="305"/>
      <c r="CN745" s="305"/>
      <c r="CO745" s="305"/>
      <c r="CP745" s="305"/>
    </row>
    <row r="746" spans="26:94">
      <c r="Z746" s="305"/>
      <c r="AA746" s="305"/>
      <c r="AB746" s="305"/>
      <c r="AC746" s="305"/>
      <c r="AD746" s="305"/>
      <c r="AE746" s="305"/>
      <c r="AF746" s="305"/>
      <c r="AG746" s="305"/>
      <c r="AH746" s="305"/>
      <c r="AI746" s="305"/>
      <c r="AJ746" s="305"/>
      <c r="AK746" s="305"/>
      <c r="AL746" s="305"/>
      <c r="AM746" s="305"/>
      <c r="AN746" s="305"/>
      <c r="AO746" s="305"/>
      <c r="AP746" s="305"/>
      <c r="AQ746" s="305"/>
      <c r="AR746" s="305"/>
      <c r="AS746" s="305"/>
      <c r="AT746" s="305"/>
      <c r="AU746" s="305"/>
      <c r="AV746" s="305"/>
      <c r="AW746" s="305"/>
      <c r="AX746" s="305"/>
      <c r="AY746" s="305"/>
      <c r="AZ746" s="305"/>
      <c r="BA746" s="305"/>
      <c r="BB746" s="305"/>
      <c r="BC746" s="305"/>
      <c r="BJ746" s="305"/>
      <c r="BK746" s="305"/>
      <c r="BL746" s="305"/>
      <c r="BM746" s="305"/>
      <c r="BN746" s="305"/>
      <c r="BO746" s="305"/>
      <c r="BP746" s="305"/>
      <c r="BQ746" s="305"/>
      <c r="BR746" s="305"/>
      <c r="BS746" s="305"/>
      <c r="BT746" s="305"/>
      <c r="BU746" s="305"/>
      <c r="BV746" s="305"/>
      <c r="BW746" s="305"/>
      <c r="BX746" s="305"/>
      <c r="BY746" s="305"/>
      <c r="BZ746" s="305"/>
      <c r="CA746" s="305"/>
      <c r="CB746" s="305"/>
      <c r="CC746" s="305"/>
      <c r="CD746" s="305"/>
      <c r="CE746" s="305"/>
      <c r="CF746" s="305"/>
      <c r="CG746" s="305"/>
      <c r="CH746" s="305"/>
      <c r="CI746" s="305"/>
      <c r="CJ746" s="305"/>
      <c r="CK746" s="305"/>
      <c r="CL746" s="305"/>
      <c r="CM746" s="305"/>
      <c r="CN746" s="305"/>
      <c r="CO746" s="305"/>
      <c r="CP746" s="305"/>
    </row>
    <row r="747" spans="26:94">
      <c r="Z747" s="305"/>
      <c r="AA747" s="305"/>
      <c r="AB747" s="305"/>
      <c r="AC747" s="305"/>
      <c r="AD747" s="305"/>
      <c r="AE747" s="305"/>
      <c r="AF747" s="305"/>
      <c r="AG747" s="305"/>
      <c r="AH747" s="305"/>
      <c r="AI747" s="305"/>
      <c r="AJ747" s="305"/>
      <c r="AK747" s="305"/>
      <c r="AL747" s="305"/>
      <c r="AM747" s="305"/>
      <c r="AN747" s="305"/>
      <c r="AO747" s="305"/>
      <c r="AP747" s="305"/>
      <c r="AQ747" s="305"/>
      <c r="AR747" s="305"/>
      <c r="AS747" s="305"/>
      <c r="AT747" s="305"/>
      <c r="AU747" s="305"/>
      <c r="AV747" s="305"/>
      <c r="AW747" s="305"/>
      <c r="AX747" s="305"/>
      <c r="AY747" s="305"/>
      <c r="AZ747" s="305"/>
      <c r="BA747" s="305"/>
      <c r="BB747" s="305"/>
      <c r="BC747" s="305"/>
      <c r="BJ747" s="305"/>
      <c r="BK747" s="305"/>
      <c r="BL747" s="305"/>
      <c r="BM747" s="305"/>
      <c r="BN747" s="305"/>
      <c r="BO747" s="305"/>
      <c r="BP747" s="305"/>
      <c r="BQ747" s="305"/>
      <c r="BR747" s="305"/>
      <c r="BS747" s="305"/>
      <c r="BT747" s="305"/>
      <c r="BU747" s="305"/>
      <c r="BV747" s="305"/>
      <c r="BW747" s="305"/>
      <c r="BX747" s="305"/>
      <c r="BY747" s="305"/>
      <c r="BZ747" s="305"/>
      <c r="CA747" s="305"/>
      <c r="CB747" s="305"/>
      <c r="CC747" s="305"/>
      <c r="CD747" s="305"/>
      <c r="CE747" s="305"/>
      <c r="CF747" s="305"/>
      <c r="CG747" s="305"/>
      <c r="CH747" s="305"/>
      <c r="CI747" s="305"/>
      <c r="CJ747" s="305"/>
      <c r="CK747" s="305"/>
      <c r="CL747" s="305"/>
      <c r="CM747" s="305"/>
      <c r="CN747" s="305"/>
      <c r="CO747" s="305"/>
      <c r="CP747" s="305"/>
    </row>
    <row r="748" spans="26:94">
      <c r="Z748" s="305"/>
      <c r="AA748" s="305"/>
      <c r="AB748" s="305"/>
      <c r="AC748" s="305"/>
      <c r="AD748" s="305"/>
      <c r="AE748" s="305"/>
      <c r="AF748" s="305"/>
      <c r="AG748" s="305"/>
      <c r="AH748" s="305"/>
      <c r="AI748" s="305"/>
      <c r="AJ748" s="305"/>
      <c r="AK748" s="305"/>
      <c r="AL748" s="305"/>
      <c r="AM748" s="305"/>
      <c r="AN748" s="305"/>
      <c r="AO748" s="305"/>
      <c r="AP748" s="305"/>
      <c r="AQ748" s="305"/>
      <c r="AR748" s="305"/>
      <c r="AS748" s="305"/>
      <c r="AT748" s="305"/>
      <c r="AU748" s="305"/>
      <c r="AV748" s="305"/>
      <c r="AW748" s="305"/>
      <c r="AX748" s="305"/>
      <c r="AY748" s="305"/>
      <c r="AZ748" s="305"/>
      <c r="BA748" s="305"/>
      <c r="BB748" s="305"/>
      <c r="BC748" s="305"/>
      <c r="BJ748" s="305"/>
      <c r="BK748" s="305"/>
      <c r="BL748" s="305"/>
      <c r="BM748" s="305"/>
      <c r="BN748" s="305"/>
      <c r="BO748" s="305"/>
      <c r="BP748" s="305"/>
      <c r="BQ748" s="305"/>
      <c r="BR748" s="305"/>
      <c r="BS748" s="305"/>
      <c r="BT748" s="305"/>
      <c r="BU748" s="305"/>
      <c r="BV748" s="305"/>
      <c r="BW748" s="305"/>
      <c r="BX748" s="305"/>
      <c r="BY748" s="305"/>
      <c r="BZ748" s="305"/>
      <c r="CA748" s="305"/>
      <c r="CB748" s="305"/>
      <c r="CC748" s="305"/>
      <c r="CD748" s="305"/>
      <c r="CE748" s="305"/>
      <c r="CF748" s="305"/>
      <c r="CG748" s="305"/>
      <c r="CH748" s="305"/>
      <c r="CI748" s="305"/>
      <c r="CJ748" s="305"/>
      <c r="CK748" s="305"/>
      <c r="CL748" s="305"/>
      <c r="CM748" s="305"/>
      <c r="CN748" s="305"/>
      <c r="CO748" s="305"/>
      <c r="CP748" s="305"/>
    </row>
    <row r="749" spans="26:94">
      <c r="Z749" s="305"/>
      <c r="AA749" s="305"/>
      <c r="AB749" s="305"/>
      <c r="AC749" s="305"/>
      <c r="AD749" s="305"/>
      <c r="AE749" s="305"/>
      <c r="AF749" s="305"/>
      <c r="AG749" s="305"/>
      <c r="AH749" s="305"/>
      <c r="AI749" s="305"/>
      <c r="AJ749" s="305"/>
      <c r="AK749" s="305"/>
      <c r="AL749" s="305"/>
      <c r="AM749" s="305"/>
      <c r="AN749" s="305"/>
      <c r="AO749" s="305"/>
      <c r="AP749" s="305"/>
      <c r="AQ749" s="305"/>
      <c r="AR749" s="305"/>
      <c r="AS749" s="305"/>
      <c r="AT749" s="305"/>
      <c r="AU749" s="305"/>
      <c r="AV749" s="305"/>
      <c r="AW749" s="305"/>
      <c r="AX749" s="305"/>
      <c r="AY749" s="305"/>
      <c r="AZ749" s="305"/>
      <c r="BA749" s="305"/>
      <c r="BB749" s="305"/>
      <c r="BC749" s="305"/>
      <c r="BJ749" s="305"/>
      <c r="BK749" s="305"/>
      <c r="BL749" s="305"/>
      <c r="BM749" s="305"/>
      <c r="BN749" s="305"/>
      <c r="BO749" s="305"/>
      <c r="BP749" s="305"/>
      <c r="BQ749" s="305"/>
      <c r="BR749" s="305"/>
      <c r="BS749" s="305"/>
      <c r="BT749" s="305"/>
      <c r="BU749" s="305"/>
      <c r="BV749" s="305"/>
      <c r="BW749" s="305"/>
      <c r="BX749" s="305"/>
      <c r="BY749" s="305"/>
      <c r="BZ749" s="305"/>
      <c r="CA749" s="305"/>
      <c r="CB749" s="305"/>
      <c r="CC749" s="305"/>
      <c r="CD749" s="305"/>
      <c r="CE749" s="305"/>
      <c r="CF749" s="305"/>
      <c r="CG749" s="305"/>
      <c r="CH749" s="305"/>
      <c r="CI749" s="305"/>
      <c r="CJ749" s="305"/>
      <c r="CK749" s="305"/>
      <c r="CL749" s="305"/>
      <c r="CM749" s="305"/>
      <c r="CN749" s="305"/>
      <c r="CO749" s="305"/>
      <c r="CP749" s="305"/>
    </row>
    <row r="750" spans="26:94">
      <c r="Z750" s="305"/>
      <c r="AA750" s="305"/>
      <c r="AB750" s="305"/>
      <c r="AC750" s="305"/>
      <c r="AD750" s="305"/>
      <c r="AE750" s="305"/>
      <c r="AF750" s="305"/>
      <c r="AG750" s="305"/>
      <c r="AH750" s="305"/>
      <c r="AI750" s="305"/>
      <c r="AJ750" s="305"/>
      <c r="AK750" s="305"/>
      <c r="AL750" s="305"/>
      <c r="AM750" s="305"/>
      <c r="AN750" s="305"/>
      <c r="AO750" s="305"/>
      <c r="AP750" s="305"/>
      <c r="AQ750" s="305"/>
      <c r="AR750" s="305"/>
      <c r="AS750" s="305"/>
      <c r="AT750" s="305"/>
      <c r="AU750" s="305"/>
      <c r="AV750" s="305"/>
      <c r="AW750" s="305"/>
      <c r="AX750" s="305"/>
      <c r="AY750" s="305"/>
      <c r="AZ750" s="305"/>
      <c r="BA750" s="305"/>
      <c r="BB750" s="305"/>
      <c r="BC750" s="305"/>
      <c r="BJ750" s="305"/>
      <c r="BK750" s="305"/>
      <c r="BL750" s="305"/>
      <c r="BM750" s="305"/>
      <c r="BN750" s="305"/>
      <c r="BO750" s="305"/>
      <c r="BP750" s="305"/>
      <c r="BQ750" s="305"/>
      <c r="BR750" s="305"/>
      <c r="BS750" s="305"/>
      <c r="BT750" s="305"/>
      <c r="BU750" s="305"/>
      <c r="BV750" s="305"/>
      <c r="BW750" s="305"/>
      <c r="BX750" s="305"/>
      <c r="BY750" s="305"/>
      <c r="BZ750" s="305"/>
      <c r="CA750" s="305"/>
      <c r="CB750" s="305"/>
      <c r="CC750" s="305"/>
      <c r="CD750" s="305"/>
      <c r="CE750" s="305"/>
      <c r="CF750" s="305"/>
      <c r="CG750" s="305"/>
      <c r="CH750" s="305"/>
      <c r="CI750" s="305"/>
      <c r="CJ750" s="305"/>
      <c r="CK750" s="305"/>
      <c r="CL750" s="305"/>
      <c r="CM750" s="305"/>
      <c r="CN750" s="305"/>
      <c r="CO750" s="305"/>
      <c r="CP750" s="305"/>
    </row>
    <row r="751" spans="26:94">
      <c r="Z751" s="305"/>
      <c r="AA751" s="305"/>
      <c r="AB751" s="305"/>
      <c r="AC751" s="305"/>
      <c r="AD751" s="305"/>
      <c r="AE751" s="305"/>
      <c r="AF751" s="305"/>
      <c r="AG751" s="305"/>
      <c r="AH751" s="305"/>
      <c r="AI751" s="305"/>
      <c r="AJ751" s="305"/>
      <c r="AK751" s="305"/>
      <c r="AL751" s="305"/>
      <c r="AM751" s="305"/>
      <c r="AN751" s="305"/>
      <c r="AO751" s="305"/>
      <c r="AP751" s="305"/>
      <c r="AQ751" s="305"/>
      <c r="AR751" s="305"/>
      <c r="AS751" s="305"/>
      <c r="AT751" s="305"/>
      <c r="AU751" s="305"/>
      <c r="AV751" s="305"/>
      <c r="AW751" s="305"/>
      <c r="AX751" s="305"/>
      <c r="AY751" s="305"/>
      <c r="AZ751" s="305"/>
      <c r="BA751" s="305"/>
      <c r="BB751" s="305"/>
      <c r="BC751" s="305"/>
      <c r="BJ751" s="305"/>
      <c r="BK751" s="305"/>
      <c r="BL751" s="305"/>
      <c r="BM751" s="305"/>
      <c r="BN751" s="305"/>
      <c r="BO751" s="305"/>
      <c r="BP751" s="305"/>
      <c r="BQ751" s="305"/>
      <c r="BR751" s="305"/>
      <c r="BS751" s="305"/>
      <c r="BT751" s="305"/>
      <c r="BU751" s="305"/>
      <c r="BV751" s="305"/>
      <c r="BW751" s="305"/>
      <c r="BX751" s="305"/>
      <c r="BY751" s="305"/>
      <c r="BZ751" s="305"/>
      <c r="CA751" s="305"/>
      <c r="CB751" s="305"/>
      <c r="CC751" s="305"/>
      <c r="CD751" s="305"/>
      <c r="CE751" s="305"/>
      <c r="CF751" s="305"/>
      <c r="CG751" s="305"/>
      <c r="CH751" s="305"/>
      <c r="CI751" s="305"/>
      <c r="CJ751" s="305"/>
      <c r="CK751" s="305"/>
      <c r="CL751" s="305"/>
      <c r="CM751" s="305"/>
      <c r="CN751" s="305"/>
      <c r="CO751" s="305"/>
      <c r="CP751" s="305"/>
    </row>
    <row r="752" spans="26:94">
      <c r="Z752" s="305"/>
      <c r="AA752" s="305"/>
      <c r="AB752" s="305"/>
      <c r="AC752" s="305"/>
      <c r="AD752" s="305"/>
      <c r="AE752" s="305"/>
      <c r="AF752" s="305"/>
      <c r="AG752" s="305"/>
      <c r="AH752" s="305"/>
      <c r="AI752" s="305"/>
      <c r="AJ752" s="305"/>
      <c r="AK752" s="305"/>
      <c r="AL752" s="305"/>
      <c r="AM752" s="305"/>
      <c r="AN752" s="305"/>
      <c r="AO752" s="305"/>
      <c r="AP752" s="305"/>
      <c r="AQ752" s="305"/>
      <c r="AR752" s="305"/>
      <c r="AS752" s="305"/>
      <c r="AT752" s="305"/>
      <c r="AU752" s="305"/>
      <c r="AV752" s="305"/>
      <c r="AW752" s="305"/>
      <c r="AX752" s="305"/>
      <c r="AY752" s="305"/>
      <c r="AZ752" s="305"/>
      <c r="BA752" s="305"/>
      <c r="BB752" s="305"/>
      <c r="BC752" s="305"/>
      <c r="BJ752" s="305"/>
      <c r="BK752" s="305"/>
      <c r="BL752" s="305"/>
      <c r="BM752" s="305"/>
      <c r="BN752" s="305"/>
      <c r="BO752" s="305"/>
      <c r="BP752" s="305"/>
      <c r="BQ752" s="305"/>
      <c r="BR752" s="305"/>
      <c r="BS752" s="305"/>
      <c r="BT752" s="305"/>
      <c r="BU752" s="305"/>
      <c r="BV752" s="305"/>
      <c r="BW752" s="305"/>
      <c r="BX752" s="305"/>
      <c r="BY752" s="305"/>
      <c r="BZ752" s="305"/>
      <c r="CA752" s="305"/>
      <c r="CB752" s="305"/>
      <c r="CC752" s="305"/>
      <c r="CD752" s="305"/>
      <c r="CE752" s="305"/>
      <c r="CF752" s="305"/>
      <c r="CG752" s="305"/>
      <c r="CH752" s="305"/>
      <c r="CI752" s="305"/>
      <c r="CJ752" s="305"/>
      <c r="CK752" s="305"/>
      <c r="CL752" s="305"/>
      <c r="CM752" s="305"/>
      <c r="CN752" s="305"/>
      <c r="CO752" s="305"/>
      <c r="CP752" s="305"/>
    </row>
    <row r="753" spans="26:94">
      <c r="Z753" s="305"/>
      <c r="AA753" s="305"/>
      <c r="AB753" s="305"/>
      <c r="AC753" s="305"/>
      <c r="AD753" s="305"/>
      <c r="AE753" s="305"/>
      <c r="AF753" s="305"/>
      <c r="AG753" s="305"/>
      <c r="AH753" s="305"/>
      <c r="AI753" s="305"/>
      <c r="AJ753" s="305"/>
      <c r="AK753" s="305"/>
      <c r="AL753" s="305"/>
      <c r="AM753" s="305"/>
      <c r="AN753" s="305"/>
      <c r="AO753" s="305"/>
      <c r="AP753" s="305"/>
      <c r="AQ753" s="305"/>
      <c r="AR753" s="305"/>
      <c r="AS753" s="305"/>
      <c r="AT753" s="305"/>
      <c r="AU753" s="305"/>
      <c r="AV753" s="305"/>
      <c r="AW753" s="305"/>
      <c r="AX753" s="305"/>
      <c r="AY753" s="305"/>
      <c r="AZ753" s="305"/>
      <c r="BA753" s="305"/>
      <c r="BB753" s="305"/>
      <c r="BC753" s="305"/>
      <c r="BJ753" s="305"/>
      <c r="BK753" s="305"/>
      <c r="BL753" s="305"/>
      <c r="BM753" s="305"/>
      <c r="BN753" s="305"/>
      <c r="BO753" s="305"/>
      <c r="BP753" s="305"/>
      <c r="BQ753" s="305"/>
      <c r="BR753" s="305"/>
      <c r="BS753" s="305"/>
      <c r="BT753" s="305"/>
      <c r="BU753" s="305"/>
      <c r="BV753" s="305"/>
      <c r="BW753" s="305"/>
      <c r="BX753" s="305"/>
      <c r="BY753" s="305"/>
      <c r="BZ753" s="305"/>
      <c r="CA753" s="305"/>
      <c r="CB753" s="305"/>
      <c r="CC753" s="305"/>
      <c r="CD753" s="305"/>
      <c r="CE753" s="305"/>
      <c r="CF753" s="305"/>
      <c r="CG753" s="305"/>
      <c r="CH753" s="305"/>
      <c r="CI753" s="305"/>
      <c r="CJ753" s="305"/>
      <c r="CK753" s="305"/>
      <c r="CL753" s="305"/>
      <c r="CM753" s="305"/>
      <c r="CN753" s="305"/>
      <c r="CO753" s="305"/>
      <c r="CP753" s="305"/>
    </row>
    <row r="754" spans="26:94">
      <c r="Z754" s="305"/>
      <c r="AA754" s="305"/>
      <c r="AB754" s="305"/>
      <c r="AC754" s="305"/>
      <c r="AD754" s="305"/>
      <c r="AE754" s="305"/>
      <c r="AF754" s="305"/>
      <c r="AG754" s="305"/>
      <c r="AH754" s="305"/>
      <c r="AI754" s="305"/>
      <c r="AJ754" s="305"/>
      <c r="AK754" s="305"/>
      <c r="AL754" s="305"/>
      <c r="AM754" s="305"/>
      <c r="AN754" s="305"/>
      <c r="AO754" s="305"/>
      <c r="AP754" s="305"/>
      <c r="AQ754" s="305"/>
      <c r="AR754" s="305"/>
      <c r="AS754" s="305"/>
      <c r="AT754" s="305"/>
      <c r="AU754" s="305"/>
      <c r="AV754" s="305"/>
      <c r="AW754" s="305"/>
      <c r="AX754" s="305"/>
      <c r="AY754" s="305"/>
      <c r="AZ754" s="305"/>
      <c r="BA754" s="305"/>
      <c r="BB754" s="305"/>
      <c r="BC754" s="305"/>
      <c r="BJ754" s="305"/>
      <c r="BK754" s="305"/>
      <c r="BL754" s="305"/>
      <c r="BM754" s="305"/>
      <c r="BN754" s="305"/>
      <c r="BO754" s="305"/>
      <c r="BP754" s="305"/>
      <c r="BQ754" s="305"/>
      <c r="BR754" s="305"/>
      <c r="BS754" s="305"/>
      <c r="BT754" s="305"/>
      <c r="BU754" s="305"/>
      <c r="BV754" s="305"/>
      <c r="BW754" s="305"/>
      <c r="BX754" s="305"/>
      <c r="BY754" s="305"/>
      <c r="BZ754" s="305"/>
      <c r="CA754" s="305"/>
      <c r="CB754" s="305"/>
      <c r="CC754" s="305"/>
      <c r="CD754" s="305"/>
      <c r="CE754" s="305"/>
      <c r="CF754" s="305"/>
      <c r="CG754" s="305"/>
      <c r="CH754" s="305"/>
      <c r="CI754" s="305"/>
      <c r="CJ754" s="305"/>
      <c r="CK754" s="305"/>
      <c r="CL754" s="305"/>
      <c r="CM754" s="305"/>
      <c r="CN754" s="305"/>
      <c r="CO754" s="305"/>
      <c r="CP754" s="305"/>
    </row>
    <row r="755" spans="26:94">
      <c r="Z755" s="305"/>
      <c r="AA755" s="305"/>
      <c r="AB755" s="305"/>
      <c r="AC755" s="305"/>
      <c r="AD755" s="305"/>
      <c r="AE755" s="305"/>
      <c r="AF755" s="305"/>
      <c r="AG755" s="305"/>
      <c r="AH755" s="305"/>
      <c r="AI755" s="305"/>
      <c r="AJ755" s="305"/>
      <c r="AK755" s="305"/>
      <c r="AL755" s="305"/>
      <c r="AM755" s="305"/>
      <c r="AN755" s="305"/>
      <c r="AO755" s="305"/>
      <c r="AP755" s="305"/>
      <c r="AQ755" s="305"/>
      <c r="AR755" s="305"/>
      <c r="AS755" s="305"/>
      <c r="AT755" s="305"/>
      <c r="AU755" s="305"/>
      <c r="AV755" s="305"/>
      <c r="AW755" s="305"/>
      <c r="AX755" s="305"/>
      <c r="AY755" s="305"/>
      <c r="AZ755" s="305"/>
      <c r="BA755" s="305"/>
      <c r="BB755" s="305"/>
      <c r="BC755" s="305"/>
      <c r="BJ755" s="305"/>
      <c r="BK755" s="305"/>
      <c r="BL755" s="305"/>
      <c r="BM755" s="305"/>
      <c r="BN755" s="305"/>
      <c r="BO755" s="305"/>
      <c r="BP755" s="305"/>
      <c r="BQ755" s="305"/>
      <c r="BR755" s="305"/>
      <c r="BS755" s="305"/>
      <c r="BT755" s="305"/>
      <c r="BU755" s="305"/>
      <c r="BV755" s="305"/>
      <c r="BW755" s="305"/>
      <c r="BX755" s="305"/>
      <c r="BY755" s="305"/>
      <c r="BZ755" s="305"/>
      <c r="CA755" s="305"/>
      <c r="CB755" s="305"/>
      <c r="CC755" s="305"/>
      <c r="CD755" s="305"/>
      <c r="CE755" s="305"/>
      <c r="CF755" s="305"/>
      <c r="CG755" s="305"/>
      <c r="CH755" s="305"/>
      <c r="CI755" s="305"/>
      <c r="CJ755" s="305"/>
      <c r="CK755" s="305"/>
      <c r="CL755" s="305"/>
      <c r="CM755" s="305"/>
      <c r="CN755" s="305"/>
      <c r="CO755" s="305"/>
      <c r="CP755" s="305"/>
    </row>
    <row r="756" spans="26:94">
      <c r="Z756" s="305"/>
      <c r="AA756" s="305"/>
      <c r="AB756" s="305"/>
      <c r="AC756" s="305"/>
      <c r="AD756" s="305"/>
      <c r="AE756" s="305"/>
      <c r="AF756" s="305"/>
      <c r="AG756" s="305"/>
      <c r="AH756" s="305"/>
      <c r="AI756" s="305"/>
      <c r="AJ756" s="305"/>
      <c r="AK756" s="305"/>
      <c r="AL756" s="305"/>
      <c r="AM756" s="305"/>
      <c r="AN756" s="305"/>
      <c r="AO756" s="305"/>
      <c r="AP756" s="305"/>
      <c r="AQ756" s="305"/>
      <c r="AR756" s="305"/>
      <c r="AS756" s="305"/>
      <c r="AT756" s="305"/>
      <c r="AU756" s="305"/>
      <c r="AV756" s="305"/>
      <c r="AW756" s="305"/>
      <c r="AX756" s="305"/>
      <c r="AY756" s="305"/>
      <c r="AZ756" s="305"/>
      <c r="BA756" s="305"/>
      <c r="BB756" s="305"/>
      <c r="BC756" s="305"/>
      <c r="BJ756" s="305"/>
      <c r="BK756" s="305"/>
      <c r="BL756" s="305"/>
      <c r="BM756" s="305"/>
      <c r="BN756" s="305"/>
      <c r="BO756" s="305"/>
      <c r="BP756" s="305"/>
      <c r="BQ756" s="305"/>
      <c r="BR756" s="305"/>
      <c r="BS756" s="305"/>
      <c r="BT756" s="305"/>
      <c r="BU756" s="305"/>
      <c r="BV756" s="305"/>
      <c r="BW756" s="305"/>
      <c r="BX756" s="305"/>
      <c r="BY756" s="305"/>
      <c r="BZ756" s="305"/>
      <c r="CA756" s="305"/>
      <c r="CB756" s="305"/>
      <c r="CC756" s="305"/>
      <c r="CD756" s="305"/>
      <c r="CE756" s="305"/>
      <c r="CF756" s="305"/>
      <c r="CG756" s="305"/>
      <c r="CH756" s="305"/>
      <c r="CI756" s="305"/>
      <c r="CJ756" s="305"/>
      <c r="CK756" s="305"/>
      <c r="CL756" s="305"/>
      <c r="CM756" s="305"/>
      <c r="CN756" s="305"/>
      <c r="CO756" s="305"/>
      <c r="CP756" s="305"/>
    </row>
    <row r="757" spans="26:94">
      <c r="Z757" s="305"/>
      <c r="AA757" s="305"/>
      <c r="AB757" s="305"/>
      <c r="AC757" s="305"/>
      <c r="AD757" s="305"/>
      <c r="AE757" s="305"/>
      <c r="AF757" s="305"/>
      <c r="AG757" s="305"/>
      <c r="AH757" s="305"/>
      <c r="AI757" s="305"/>
      <c r="AJ757" s="305"/>
      <c r="AK757" s="305"/>
      <c r="AL757" s="305"/>
      <c r="AM757" s="305"/>
      <c r="AN757" s="305"/>
      <c r="AO757" s="305"/>
      <c r="AP757" s="305"/>
      <c r="AQ757" s="305"/>
      <c r="AR757" s="305"/>
      <c r="AS757" s="305"/>
      <c r="AT757" s="305"/>
      <c r="AU757" s="305"/>
      <c r="AV757" s="305"/>
      <c r="AW757" s="305"/>
      <c r="AX757" s="305"/>
      <c r="AY757" s="305"/>
      <c r="AZ757" s="305"/>
      <c r="BA757" s="305"/>
      <c r="BB757" s="305"/>
      <c r="BC757" s="305"/>
      <c r="BJ757" s="305"/>
      <c r="BK757" s="305"/>
      <c r="BL757" s="305"/>
      <c r="BM757" s="305"/>
      <c r="BN757" s="305"/>
      <c r="BO757" s="305"/>
      <c r="BP757" s="305"/>
      <c r="BQ757" s="305"/>
      <c r="BR757" s="305"/>
      <c r="BS757" s="305"/>
      <c r="BT757" s="305"/>
      <c r="BU757" s="305"/>
      <c r="BV757" s="305"/>
      <c r="BW757" s="305"/>
      <c r="BX757" s="305"/>
      <c r="BY757" s="305"/>
      <c r="BZ757" s="305"/>
      <c r="CA757" s="305"/>
      <c r="CB757" s="305"/>
      <c r="CC757" s="305"/>
      <c r="CD757" s="305"/>
      <c r="CE757" s="305"/>
      <c r="CF757" s="305"/>
      <c r="CG757" s="305"/>
      <c r="CH757" s="305"/>
      <c r="CI757" s="305"/>
      <c r="CJ757" s="305"/>
      <c r="CK757" s="305"/>
      <c r="CL757" s="305"/>
      <c r="CM757" s="305"/>
      <c r="CN757" s="305"/>
      <c r="CO757" s="305"/>
      <c r="CP757" s="305"/>
    </row>
    <row r="758" spans="26:94">
      <c r="Z758" s="305"/>
      <c r="AA758" s="305"/>
      <c r="AB758" s="305"/>
      <c r="AC758" s="305"/>
      <c r="AD758" s="305"/>
      <c r="AE758" s="305"/>
      <c r="AF758" s="305"/>
      <c r="AG758" s="305"/>
      <c r="AH758" s="305"/>
      <c r="AI758" s="305"/>
      <c r="AJ758" s="305"/>
      <c r="AK758" s="305"/>
      <c r="AL758" s="305"/>
      <c r="AM758" s="305"/>
      <c r="AN758" s="305"/>
      <c r="AO758" s="305"/>
      <c r="AP758" s="305"/>
      <c r="AQ758" s="305"/>
      <c r="AR758" s="305"/>
      <c r="AS758" s="305"/>
      <c r="AT758" s="305"/>
      <c r="AU758" s="305"/>
      <c r="AV758" s="305"/>
      <c r="AW758" s="305"/>
      <c r="AX758" s="305"/>
      <c r="AY758" s="305"/>
      <c r="AZ758" s="305"/>
      <c r="BA758" s="305"/>
      <c r="BB758" s="305"/>
      <c r="BC758" s="305"/>
      <c r="BJ758" s="305"/>
      <c r="BK758" s="305"/>
      <c r="BL758" s="305"/>
      <c r="BM758" s="305"/>
      <c r="BN758" s="305"/>
      <c r="BO758" s="305"/>
      <c r="BP758" s="305"/>
      <c r="BQ758" s="305"/>
      <c r="BR758" s="305"/>
      <c r="BS758" s="305"/>
      <c r="BT758" s="305"/>
      <c r="BU758" s="305"/>
      <c r="BV758" s="305"/>
      <c r="BW758" s="305"/>
      <c r="BX758" s="305"/>
      <c r="BY758" s="305"/>
      <c r="BZ758" s="305"/>
      <c r="CA758" s="305"/>
      <c r="CB758" s="305"/>
      <c r="CC758" s="305"/>
      <c r="CD758" s="305"/>
      <c r="CE758" s="305"/>
      <c r="CF758" s="305"/>
      <c r="CG758" s="305"/>
      <c r="CH758" s="305"/>
      <c r="CI758" s="305"/>
      <c r="CJ758" s="305"/>
      <c r="CK758" s="305"/>
      <c r="CL758" s="305"/>
      <c r="CM758" s="305"/>
      <c r="CN758" s="305"/>
      <c r="CO758" s="305"/>
      <c r="CP758" s="305"/>
    </row>
    <row r="759" spans="26:94">
      <c r="Z759" s="305"/>
      <c r="AA759" s="305"/>
      <c r="AB759" s="305"/>
      <c r="AC759" s="305"/>
      <c r="AD759" s="305"/>
      <c r="AE759" s="305"/>
      <c r="AF759" s="305"/>
      <c r="AG759" s="305"/>
      <c r="AH759" s="305"/>
      <c r="AI759" s="305"/>
      <c r="AJ759" s="305"/>
      <c r="AK759" s="305"/>
      <c r="AL759" s="305"/>
      <c r="AM759" s="305"/>
      <c r="AN759" s="305"/>
      <c r="AO759" s="305"/>
      <c r="AP759" s="305"/>
      <c r="AQ759" s="305"/>
      <c r="AR759" s="305"/>
      <c r="AS759" s="305"/>
      <c r="AT759" s="305"/>
      <c r="AU759" s="305"/>
      <c r="AV759" s="305"/>
      <c r="AW759" s="305"/>
      <c r="AX759" s="305"/>
      <c r="AY759" s="305"/>
      <c r="AZ759" s="305"/>
      <c r="BA759" s="305"/>
      <c r="BB759" s="305"/>
      <c r="BC759" s="305"/>
      <c r="BJ759" s="305"/>
      <c r="BK759" s="305"/>
      <c r="BL759" s="305"/>
      <c r="BM759" s="305"/>
      <c r="BN759" s="305"/>
      <c r="BO759" s="305"/>
      <c r="BP759" s="305"/>
      <c r="BQ759" s="305"/>
      <c r="BR759" s="305"/>
      <c r="BS759" s="305"/>
      <c r="BT759" s="305"/>
      <c r="BU759" s="305"/>
      <c r="BV759" s="305"/>
      <c r="BW759" s="305"/>
      <c r="BX759" s="305"/>
      <c r="BY759" s="305"/>
      <c r="BZ759" s="305"/>
      <c r="CA759" s="305"/>
      <c r="CB759" s="305"/>
      <c r="CC759" s="305"/>
      <c r="CD759" s="305"/>
      <c r="CE759" s="305"/>
      <c r="CF759" s="305"/>
      <c r="CG759" s="305"/>
      <c r="CH759" s="305"/>
      <c r="CI759" s="305"/>
      <c r="CJ759" s="305"/>
      <c r="CK759" s="305"/>
      <c r="CL759" s="305"/>
      <c r="CM759" s="305"/>
      <c r="CN759" s="305"/>
      <c r="CO759" s="305"/>
      <c r="CP759" s="305"/>
    </row>
    <row r="760" spans="26:94">
      <c r="Z760" s="305"/>
      <c r="AA760" s="305"/>
      <c r="AB760" s="305"/>
      <c r="AC760" s="305"/>
      <c r="AD760" s="305"/>
      <c r="AE760" s="305"/>
      <c r="AF760" s="305"/>
      <c r="AG760" s="305"/>
      <c r="AH760" s="305"/>
      <c r="AI760" s="305"/>
      <c r="AJ760" s="305"/>
      <c r="AK760" s="305"/>
      <c r="AL760" s="305"/>
      <c r="AM760" s="305"/>
      <c r="AN760" s="305"/>
      <c r="AO760" s="305"/>
      <c r="AP760" s="305"/>
      <c r="AQ760" s="305"/>
      <c r="AR760" s="305"/>
      <c r="AS760" s="305"/>
      <c r="AT760" s="305"/>
      <c r="AU760" s="305"/>
      <c r="AV760" s="305"/>
      <c r="AW760" s="305"/>
      <c r="AX760" s="305"/>
      <c r="AY760" s="305"/>
      <c r="AZ760" s="305"/>
      <c r="BA760" s="305"/>
      <c r="BB760" s="305"/>
      <c r="BC760" s="305"/>
      <c r="BJ760" s="305"/>
      <c r="BK760" s="305"/>
      <c r="BL760" s="305"/>
      <c r="BM760" s="305"/>
      <c r="BN760" s="305"/>
      <c r="BO760" s="305"/>
      <c r="BP760" s="305"/>
      <c r="BQ760" s="305"/>
      <c r="BR760" s="305"/>
      <c r="BS760" s="305"/>
      <c r="BT760" s="305"/>
      <c r="BU760" s="305"/>
      <c r="BV760" s="305"/>
      <c r="BW760" s="305"/>
      <c r="BX760" s="305"/>
      <c r="BY760" s="305"/>
      <c r="BZ760" s="305"/>
      <c r="CA760" s="305"/>
      <c r="CB760" s="305"/>
      <c r="CC760" s="305"/>
      <c r="CD760" s="305"/>
      <c r="CE760" s="305"/>
      <c r="CF760" s="305"/>
      <c r="CG760" s="305"/>
      <c r="CH760" s="305"/>
      <c r="CI760" s="305"/>
      <c r="CJ760" s="305"/>
      <c r="CK760" s="305"/>
      <c r="CL760" s="305"/>
      <c r="CM760" s="305"/>
      <c r="CN760" s="305"/>
      <c r="CO760" s="305"/>
      <c r="CP760" s="305"/>
    </row>
    <row r="761" spans="26:94">
      <c r="Z761" s="305"/>
      <c r="AA761" s="305"/>
      <c r="AB761" s="305"/>
      <c r="AC761" s="305"/>
      <c r="AD761" s="305"/>
      <c r="AE761" s="305"/>
      <c r="AF761" s="305"/>
      <c r="AG761" s="305"/>
      <c r="AH761" s="305"/>
      <c r="AI761" s="305"/>
      <c r="AJ761" s="305"/>
      <c r="AK761" s="305"/>
      <c r="AL761" s="305"/>
      <c r="AM761" s="305"/>
      <c r="AN761" s="305"/>
      <c r="AO761" s="305"/>
      <c r="AP761" s="305"/>
      <c r="AQ761" s="305"/>
      <c r="AR761" s="305"/>
      <c r="AS761" s="305"/>
      <c r="AT761" s="305"/>
      <c r="AU761" s="305"/>
      <c r="AV761" s="305"/>
      <c r="AW761" s="305"/>
      <c r="AX761" s="305"/>
      <c r="AY761" s="305"/>
      <c r="AZ761" s="305"/>
      <c r="BA761" s="305"/>
      <c r="BB761" s="305"/>
      <c r="BC761" s="305"/>
      <c r="BJ761" s="305"/>
      <c r="BK761" s="305"/>
      <c r="BL761" s="305"/>
      <c r="BM761" s="305"/>
      <c r="BN761" s="305"/>
      <c r="BO761" s="305"/>
      <c r="BP761" s="305"/>
      <c r="BQ761" s="305"/>
      <c r="BR761" s="305"/>
      <c r="BS761" s="305"/>
      <c r="BT761" s="305"/>
      <c r="BU761" s="305"/>
      <c r="BV761" s="305"/>
      <c r="BW761" s="305"/>
      <c r="BX761" s="305"/>
      <c r="BY761" s="305"/>
      <c r="BZ761" s="305"/>
      <c r="CA761" s="305"/>
      <c r="CB761" s="305"/>
      <c r="CC761" s="305"/>
      <c r="CD761" s="305"/>
      <c r="CE761" s="305"/>
      <c r="CF761" s="305"/>
      <c r="CG761" s="305"/>
      <c r="CH761" s="305"/>
      <c r="CI761" s="305"/>
      <c r="CJ761" s="305"/>
      <c r="CK761" s="305"/>
      <c r="CL761" s="305"/>
      <c r="CM761" s="305"/>
      <c r="CN761" s="305"/>
      <c r="CO761" s="305"/>
      <c r="CP761" s="305"/>
    </row>
    <row r="762" spans="26:94">
      <c r="Z762" s="305"/>
      <c r="AA762" s="305"/>
      <c r="AB762" s="305"/>
      <c r="AC762" s="305"/>
      <c r="AD762" s="305"/>
      <c r="AE762" s="305"/>
      <c r="AF762" s="305"/>
      <c r="AG762" s="305"/>
      <c r="AH762" s="305"/>
      <c r="AI762" s="305"/>
      <c r="AJ762" s="305"/>
      <c r="AK762" s="305"/>
      <c r="AL762" s="305"/>
      <c r="AM762" s="305"/>
      <c r="AN762" s="305"/>
      <c r="AO762" s="305"/>
      <c r="AP762" s="305"/>
      <c r="AQ762" s="305"/>
      <c r="AR762" s="305"/>
      <c r="AS762" s="305"/>
      <c r="AT762" s="305"/>
      <c r="AU762" s="305"/>
      <c r="AV762" s="305"/>
      <c r="AW762" s="305"/>
      <c r="AX762" s="305"/>
      <c r="AY762" s="305"/>
      <c r="AZ762" s="305"/>
      <c r="BA762" s="305"/>
      <c r="BB762" s="305"/>
      <c r="BC762" s="305"/>
      <c r="BJ762" s="305"/>
      <c r="BK762" s="305"/>
      <c r="BL762" s="305"/>
      <c r="BM762" s="305"/>
      <c r="BN762" s="305"/>
      <c r="BO762" s="305"/>
      <c r="BP762" s="305"/>
      <c r="BQ762" s="305"/>
      <c r="BR762" s="305"/>
      <c r="BS762" s="305"/>
      <c r="BT762" s="305"/>
      <c r="BU762" s="305"/>
      <c r="BV762" s="305"/>
      <c r="BW762" s="305"/>
      <c r="BX762" s="305"/>
      <c r="BY762" s="305"/>
      <c r="BZ762" s="305"/>
      <c r="CA762" s="305"/>
      <c r="CB762" s="305"/>
      <c r="CC762" s="305"/>
      <c r="CD762" s="305"/>
      <c r="CE762" s="305"/>
      <c r="CF762" s="305"/>
      <c r="CG762" s="305"/>
      <c r="CH762" s="305"/>
      <c r="CI762" s="305"/>
      <c r="CJ762" s="305"/>
      <c r="CK762" s="305"/>
      <c r="CL762" s="305"/>
      <c r="CM762" s="305"/>
      <c r="CN762" s="305"/>
      <c r="CO762" s="305"/>
      <c r="CP762" s="305"/>
    </row>
    <row r="763" spans="26:94">
      <c r="Z763" s="305"/>
      <c r="AA763" s="305"/>
      <c r="AB763" s="305"/>
      <c r="AC763" s="305"/>
      <c r="AD763" s="305"/>
      <c r="AE763" s="305"/>
      <c r="AF763" s="305"/>
      <c r="AG763" s="305"/>
      <c r="AH763" s="305"/>
      <c r="AI763" s="305"/>
      <c r="AJ763" s="305"/>
      <c r="AK763" s="305"/>
      <c r="AL763" s="305"/>
      <c r="AM763" s="305"/>
      <c r="AN763" s="305"/>
      <c r="AO763" s="305"/>
      <c r="AP763" s="305"/>
      <c r="AQ763" s="305"/>
      <c r="AR763" s="305"/>
      <c r="AS763" s="305"/>
      <c r="AT763" s="305"/>
      <c r="AU763" s="305"/>
      <c r="AV763" s="305"/>
      <c r="AW763" s="305"/>
      <c r="AX763" s="305"/>
      <c r="AY763" s="305"/>
      <c r="AZ763" s="305"/>
      <c r="BA763" s="305"/>
      <c r="BB763" s="305"/>
      <c r="BC763" s="305"/>
      <c r="BJ763" s="305"/>
      <c r="BK763" s="305"/>
      <c r="BL763" s="305"/>
      <c r="BM763" s="305"/>
      <c r="BN763" s="305"/>
      <c r="BO763" s="305"/>
      <c r="BP763" s="305"/>
      <c r="BQ763" s="305"/>
      <c r="BR763" s="305"/>
      <c r="BS763" s="305"/>
      <c r="BT763" s="305"/>
      <c r="BU763" s="305"/>
      <c r="BV763" s="305"/>
      <c r="BW763" s="305"/>
      <c r="BX763" s="305"/>
      <c r="BY763" s="305"/>
      <c r="BZ763" s="305"/>
      <c r="CA763" s="305"/>
      <c r="CB763" s="305"/>
      <c r="CC763" s="305"/>
      <c r="CD763" s="305"/>
      <c r="CE763" s="305"/>
      <c r="CF763" s="305"/>
      <c r="CG763" s="305"/>
      <c r="CH763" s="305"/>
      <c r="CI763" s="305"/>
      <c r="CJ763" s="305"/>
      <c r="CK763" s="305"/>
      <c r="CL763" s="305"/>
      <c r="CM763" s="305"/>
      <c r="CN763" s="305"/>
      <c r="CO763" s="305"/>
      <c r="CP763" s="305"/>
    </row>
    <row r="764" spans="26:94">
      <c r="Z764" s="305"/>
      <c r="AA764" s="305"/>
      <c r="AB764" s="305"/>
      <c r="AC764" s="305"/>
      <c r="AD764" s="305"/>
      <c r="AE764" s="305"/>
      <c r="AF764" s="305"/>
      <c r="AG764" s="305"/>
      <c r="AH764" s="305"/>
      <c r="AI764" s="305"/>
      <c r="AJ764" s="305"/>
      <c r="AK764" s="305"/>
      <c r="AL764" s="305"/>
      <c r="AM764" s="305"/>
      <c r="AN764" s="305"/>
      <c r="AO764" s="305"/>
      <c r="AP764" s="305"/>
      <c r="AQ764" s="305"/>
      <c r="AR764" s="305"/>
      <c r="AS764" s="305"/>
      <c r="AT764" s="305"/>
      <c r="AU764" s="305"/>
      <c r="AV764" s="305"/>
      <c r="AW764" s="305"/>
      <c r="AX764" s="305"/>
      <c r="AY764" s="305"/>
      <c r="AZ764" s="305"/>
      <c r="BA764" s="305"/>
      <c r="BB764" s="305"/>
      <c r="BC764" s="305"/>
      <c r="BJ764" s="305"/>
      <c r="BK764" s="305"/>
      <c r="BL764" s="305"/>
      <c r="BM764" s="305"/>
      <c r="BN764" s="305"/>
      <c r="BO764" s="305"/>
      <c r="BP764" s="305"/>
      <c r="BQ764" s="305"/>
      <c r="BR764" s="305"/>
      <c r="BS764" s="305"/>
      <c r="BT764" s="305"/>
      <c r="BU764" s="305"/>
      <c r="BV764" s="305"/>
      <c r="BW764" s="305"/>
      <c r="BX764" s="305"/>
      <c r="BY764" s="305"/>
      <c r="BZ764" s="305"/>
      <c r="CA764" s="305"/>
      <c r="CB764" s="305"/>
      <c r="CC764" s="305"/>
      <c r="CD764" s="305"/>
      <c r="CE764" s="305"/>
      <c r="CF764" s="305"/>
      <c r="CG764" s="305"/>
      <c r="CH764" s="305"/>
      <c r="CI764" s="305"/>
      <c r="CJ764" s="305"/>
      <c r="CK764" s="305"/>
      <c r="CL764" s="305"/>
      <c r="CM764" s="305"/>
      <c r="CN764" s="305"/>
      <c r="CO764" s="305"/>
      <c r="CP764" s="305"/>
    </row>
    <row r="765" spans="26:94">
      <c r="Z765" s="305"/>
      <c r="AA765" s="305"/>
      <c r="AB765" s="305"/>
      <c r="AC765" s="305"/>
      <c r="AD765" s="305"/>
      <c r="AE765" s="305"/>
      <c r="AF765" s="305"/>
      <c r="AG765" s="305"/>
      <c r="AH765" s="305"/>
      <c r="AI765" s="305"/>
      <c r="AJ765" s="305"/>
      <c r="AK765" s="305"/>
      <c r="AL765" s="305"/>
      <c r="AM765" s="305"/>
      <c r="AN765" s="305"/>
      <c r="AO765" s="305"/>
      <c r="AP765" s="305"/>
      <c r="AQ765" s="305"/>
      <c r="AR765" s="305"/>
      <c r="AS765" s="305"/>
      <c r="AT765" s="305"/>
      <c r="AU765" s="305"/>
      <c r="AV765" s="305"/>
      <c r="AW765" s="305"/>
      <c r="AX765" s="305"/>
      <c r="AY765" s="305"/>
      <c r="AZ765" s="305"/>
      <c r="BA765" s="305"/>
      <c r="BB765" s="305"/>
      <c r="BC765" s="305"/>
      <c r="BJ765" s="305"/>
      <c r="BK765" s="305"/>
      <c r="BL765" s="305"/>
      <c r="BM765" s="305"/>
      <c r="BN765" s="305"/>
      <c r="BO765" s="305"/>
      <c r="BP765" s="305"/>
      <c r="BQ765" s="305"/>
      <c r="BR765" s="305"/>
      <c r="BS765" s="305"/>
      <c r="BT765" s="305"/>
      <c r="BU765" s="305"/>
      <c r="BV765" s="305"/>
      <c r="BW765" s="305"/>
      <c r="BX765" s="305"/>
      <c r="BY765" s="305"/>
      <c r="BZ765" s="305"/>
      <c r="CA765" s="305"/>
      <c r="CB765" s="305"/>
      <c r="CC765" s="305"/>
      <c r="CD765" s="305"/>
      <c r="CE765" s="305"/>
      <c r="CF765" s="305"/>
      <c r="CG765" s="305"/>
      <c r="CH765" s="305"/>
      <c r="CI765" s="305"/>
      <c r="CJ765" s="305"/>
      <c r="CK765" s="305"/>
      <c r="CL765" s="305"/>
      <c r="CM765" s="305"/>
      <c r="CN765" s="305"/>
      <c r="CO765" s="305"/>
      <c r="CP765" s="305"/>
    </row>
    <row r="766" spans="26:94">
      <c r="Z766" s="305"/>
      <c r="AA766" s="305"/>
      <c r="AB766" s="305"/>
      <c r="AC766" s="305"/>
      <c r="AD766" s="305"/>
      <c r="AE766" s="305"/>
      <c r="AF766" s="305"/>
      <c r="AG766" s="305"/>
      <c r="AH766" s="305"/>
      <c r="AI766" s="305"/>
      <c r="AJ766" s="305"/>
      <c r="AK766" s="305"/>
      <c r="AL766" s="305"/>
      <c r="AM766" s="305"/>
      <c r="AN766" s="305"/>
      <c r="AO766" s="305"/>
      <c r="AP766" s="305"/>
      <c r="AQ766" s="305"/>
      <c r="AR766" s="305"/>
      <c r="AS766" s="305"/>
      <c r="AT766" s="305"/>
      <c r="AU766" s="305"/>
      <c r="AV766" s="305"/>
      <c r="AW766" s="305"/>
      <c r="AX766" s="305"/>
      <c r="AY766" s="305"/>
      <c r="AZ766" s="305"/>
      <c r="BA766" s="305"/>
      <c r="BB766" s="305"/>
      <c r="BC766" s="305"/>
      <c r="BJ766" s="305"/>
      <c r="BK766" s="305"/>
      <c r="BL766" s="305"/>
      <c r="BM766" s="305"/>
      <c r="BN766" s="305"/>
      <c r="BO766" s="305"/>
      <c r="BP766" s="305"/>
      <c r="BQ766" s="305"/>
      <c r="BR766" s="305"/>
      <c r="BS766" s="305"/>
      <c r="BT766" s="305"/>
      <c r="BU766" s="305"/>
      <c r="BV766" s="305"/>
      <c r="BW766" s="305"/>
      <c r="BX766" s="305"/>
      <c r="BY766" s="305"/>
      <c r="BZ766" s="305"/>
      <c r="CA766" s="305"/>
      <c r="CB766" s="305"/>
      <c r="CC766" s="305"/>
      <c r="CD766" s="305"/>
      <c r="CE766" s="305"/>
      <c r="CF766" s="305"/>
      <c r="CG766" s="305"/>
      <c r="CH766" s="305"/>
      <c r="CI766" s="305"/>
      <c r="CJ766" s="305"/>
      <c r="CK766" s="305"/>
      <c r="CL766" s="305"/>
      <c r="CM766" s="305"/>
      <c r="CN766" s="305"/>
      <c r="CO766" s="305"/>
      <c r="CP766" s="305"/>
    </row>
    <row r="767" spans="26:94">
      <c r="Z767" s="305"/>
      <c r="AA767" s="305"/>
      <c r="AB767" s="305"/>
      <c r="AC767" s="305"/>
      <c r="AD767" s="305"/>
      <c r="AE767" s="305"/>
      <c r="AF767" s="305"/>
      <c r="AG767" s="305"/>
      <c r="AH767" s="305"/>
      <c r="AI767" s="305"/>
      <c r="AJ767" s="305"/>
      <c r="AK767" s="305"/>
      <c r="AL767" s="305"/>
      <c r="AM767" s="305"/>
      <c r="AN767" s="305"/>
      <c r="AO767" s="305"/>
      <c r="AP767" s="305"/>
      <c r="AQ767" s="305"/>
      <c r="AR767" s="305"/>
      <c r="AS767" s="305"/>
      <c r="AT767" s="305"/>
      <c r="AU767" s="305"/>
      <c r="AV767" s="305"/>
      <c r="AW767" s="305"/>
      <c r="AX767" s="305"/>
      <c r="AY767" s="305"/>
      <c r="AZ767" s="305"/>
      <c r="BA767" s="305"/>
      <c r="BB767" s="305"/>
      <c r="BC767" s="305"/>
      <c r="BJ767" s="305"/>
      <c r="BK767" s="305"/>
      <c r="BL767" s="305"/>
      <c r="BM767" s="305"/>
      <c r="BN767" s="305"/>
      <c r="BO767" s="305"/>
      <c r="BP767" s="305"/>
      <c r="BQ767" s="305"/>
      <c r="BR767" s="305"/>
      <c r="BS767" s="305"/>
      <c r="BT767" s="305"/>
      <c r="BU767" s="305"/>
      <c r="BV767" s="305"/>
      <c r="BW767" s="305"/>
      <c r="BX767" s="305"/>
      <c r="BY767" s="305"/>
      <c r="BZ767" s="305"/>
      <c r="CA767" s="305"/>
      <c r="CB767" s="305"/>
      <c r="CC767" s="305"/>
      <c r="CD767" s="305"/>
      <c r="CE767" s="305"/>
      <c r="CF767" s="305"/>
      <c r="CG767" s="305"/>
      <c r="CH767" s="305"/>
      <c r="CI767" s="305"/>
      <c r="CJ767" s="305"/>
      <c r="CK767" s="305"/>
      <c r="CL767" s="305"/>
      <c r="CM767" s="305"/>
      <c r="CN767" s="305"/>
      <c r="CO767" s="305"/>
      <c r="CP767" s="305"/>
    </row>
    <row r="768" spans="26:94">
      <c r="Z768" s="305"/>
      <c r="AA768" s="305"/>
      <c r="AB768" s="305"/>
      <c r="AC768" s="305"/>
      <c r="AD768" s="305"/>
      <c r="AE768" s="305"/>
      <c r="AF768" s="305"/>
      <c r="AG768" s="305"/>
      <c r="AH768" s="305"/>
      <c r="AI768" s="305"/>
      <c r="AJ768" s="305"/>
      <c r="AK768" s="305"/>
      <c r="AL768" s="305"/>
      <c r="AM768" s="305"/>
      <c r="AN768" s="305"/>
      <c r="AO768" s="305"/>
      <c r="AP768" s="305"/>
      <c r="AQ768" s="305"/>
      <c r="AR768" s="305"/>
      <c r="AS768" s="305"/>
      <c r="AT768" s="305"/>
      <c r="AU768" s="305"/>
      <c r="AV768" s="305"/>
      <c r="AW768" s="305"/>
      <c r="AX768" s="305"/>
      <c r="AY768" s="305"/>
      <c r="AZ768" s="305"/>
      <c r="BA768" s="305"/>
      <c r="BB768" s="305"/>
      <c r="BC768" s="305"/>
      <c r="BJ768" s="305"/>
      <c r="BK768" s="305"/>
      <c r="BL768" s="305"/>
      <c r="BM768" s="305"/>
      <c r="BN768" s="305"/>
      <c r="BO768" s="305"/>
      <c r="BP768" s="305"/>
      <c r="BQ768" s="305"/>
      <c r="BR768" s="305"/>
      <c r="BS768" s="305"/>
      <c r="BT768" s="305"/>
      <c r="BU768" s="305"/>
      <c r="BV768" s="305"/>
      <c r="BW768" s="305"/>
      <c r="BX768" s="305"/>
      <c r="BY768" s="305"/>
      <c r="BZ768" s="305"/>
      <c r="CA768" s="305"/>
      <c r="CB768" s="305"/>
      <c r="CC768" s="305"/>
      <c r="CD768" s="305"/>
      <c r="CE768" s="305"/>
      <c r="CF768" s="305"/>
      <c r="CG768" s="305"/>
      <c r="CH768" s="305"/>
      <c r="CI768" s="305"/>
      <c r="CJ768" s="305"/>
      <c r="CK768" s="305"/>
      <c r="CL768" s="305"/>
      <c r="CM768" s="305"/>
      <c r="CN768" s="305"/>
      <c r="CO768" s="305"/>
      <c r="CP768" s="305"/>
    </row>
    <row r="769" spans="26:94">
      <c r="Z769" s="305"/>
      <c r="AA769" s="305"/>
      <c r="AB769" s="305"/>
      <c r="AC769" s="305"/>
      <c r="AD769" s="305"/>
      <c r="AE769" s="305"/>
      <c r="AF769" s="305"/>
      <c r="AG769" s="305"/>
      <c r="AH769" s="305"/>
      <c r="AI769" s="305"/>
      <c r="AJ769" s="305"/>
      <c r="AK769" s="305"/>
      <c r="AL769" s="305"/>
      <c r="AM769" s="305"/>
      <c r="AN769" s="305"/>
      <c r="AO769" s="305"/>
      <c r="AP769" s="305"/>
      <c r="AQ769" s="305"/>
      <c r="AR769" s="305"/>
      <c r="AS769" s="305"/>
      <c r="AT769" s="305"/>
      <c r="AU769" s="305"/>
      <c r="AV769" s="305"/>
      <c r="AW769" s="305"/>
      <c r="AX769" s="305"/>
      <c r="AY769" s="305"/>
      <c r="AZ769" s="305"/>
      <c r="BA769" s="305"/>
      <c r="BB769" s="305"/>
      <c r="BC769" s="305"/>
      <c r="BJ769" s="305"/>
      <c r="BK769" s="305"/>
      <c r="BL769" s="305"/>
      <c r="BM769" s="305"/>
      <c r="BN769" s="305"/>
      <c r="BO769" s="305"/>
      <c r="BP769" s="305"/>
      <c r="BQ769" s="305"/>
      <c r="BR769" s="305"/>
      <c r="BS769" s="305"/>
      <c r="BT769" s="305"/>
      <c r="BU769" s="305"/>
      <c r="BV769" s="305"/>
      <c r="BW769" s="305"/>
      <c r="BX769" s="305"/>
      <c r="BY769" s="305"/>
      <c r="BZ769" s="305"/>
      <c r="CA769" s="305"/>
      <c r="CB769" s="305"/>
      <c r="CC769" s="305"/>
      <c r="CD769" s="305"/>
      <c r="CE769" s="305"/>
      <c r="CF769" s="305"/>
      <c r="CG769" s="305"/>
      <c r="CH769" s="305"/>
      <c r="CI769" s="305"/>
      <c r="CJ769" s="305"/>
      <c r="CK769" s="305"/>
      <c r="CL769" s="305"/>
      <c r="CM769" s="305"/>
      <c r="CN769" s="305"/>
      <c r="CO769" s="305"/>
      <c r="CP769" s="305"/>
    </row>
    <row r="770" spans="26:94">
      <c r="Z770" s="305"/>
      <c r="AA770" s="305"/>
      <c r="AB770" s="305"/>
      <c r="AC770" s="305"/>
      <c r="AD770" s="305"/>
      <c r="AE770" s="305"/>
      <c r="AF770" s="305"/>
      <c r="AG770" s="305"/>
      <c r="AH770" s="305"/>
      <c r="AI770" s="305"/>
      <c r="AJ770" s="305"/>
      <c r="AK770" s="305"/>
      <c r="AL770" s="305"/>
      <c r="AM770" s="305"/>
      <c r="AN770" s="305"/>
      <c r="AO770" s="305"/>
      <c r="AP770" s="305"/>
      <c r="AQ770" s="305"/>
      <c r="AR770" s="305"/>
      <c r="AS770" s="305"/>
      <c r="AT770" s="305"/>
      <c r="AU770" s="305"/>
      <c r="AV770" s="305"/>
      <c r="AW770" s="305"/>
      <c r="AX770" s="305"/>
      <c r="AY770" s="305"/>
      <c r="AZ770" s="305"/>
      <c r="BA770" s="305"/>
      <c r="BB770" s="305"/>
      <c r="BC770" s="305"/>
      <c r="BJ770" s="305"/>
      <c r="BK770" s="305"/>
      <c r="BL770" s="305"/>
      <c r="BM770" s="305"/>
      <c r="BN770" s="305"/>
      <c r="BO770" s="305"/>
      <c r="BP770" s="305"/>
      <c r="BQ770" s="305"/>
      <c r="BR770" s="305"/>
      <c r="BS770" s="305"/>
      <c r="BT770" s="305"/>
      <c r="BU770" s="305"/>
      <c r="BV770" s="305"/>
      <c r="BW770" s="305"/>
      <c r="BX770" s="305"/>
      <c r="BY770" s="305"/>
      <c r="BZ770" s="305"/>
      <c r="CA770" s="305"/>
      <c r="CB770" s="305"/>
      <c r="CC770" s="305"/>
      <c r="CD770" s="305"/>
      <c r="CE770" s="305"/>
      <c r="CF770" s="305"/>
      <c r="CG770" s="305"/>
      <c r="CH770" s="305"/>
      <c r="CI770" s="305"/>
      <c r="CJ770" s="305"/>
      <c r="CK770" s="305"/>
      <c r="CL770" s="305"/>
      <c r="CM770" s="305"/>
      <c r="CN770" s="305"/>
      <c r="CO770" s="305"/>
      <c r="CP770" s="305"/>
    </row>
    <row r="771" spans="26:94">
      <c r="Z771" s="305"/>
      <c r="AA771" s="305"/>
      <c r="AB771" s="305"/>
      <c r="AC771" s="305"/>
      <c r="AD771" s="305"/>
      <c r="AE771" s="305"/>
      <c r="AF771" s="305"/>
      <c r="AG771" s="305"/>
      <c r="AH771" s="305"/>
      <c r="AI771" s="305"/>
      <c r="AJ771" s="305"/>
      <c r="AK771" s="305"/>
      <c r="AL771" s="305"/>
      <c r="AM771" s="305"/>
      <c r="AN771" s="305"/>
      <c r="AO771" s="305"/>
      <c r="AP771" s="305"/>
      <c r="AQ771" s="305"/>
      <c r="AR771" s="305"/>
      <c r="AS771" s="305"/>
      <c r="AT771" s="305"/>
      <c r="AU771" s="305"/>
      <c r="AV771" s="305"/>
      <c r="AW771" s="305"/>
      <c r="AX771" s="305"/>
      <c r="AY771" s="305"/>
      <c r="AZ771" s="305"/>
      <c r="BA771" s="305"/>
      <c r="BB771" s="305"/>
      <c r="BC771" s="305"/>
      <c r="BJ771" s="305"/>
      <c r="BK771" s="305"/>
      <c r="BL771" s="305"/>
      <c r="BM771" s="305"/>
      <c r="BN771" s="305"/>
      <c r="BO771" s="305"/>
      <c r="BP771" s="305"/>
      <c r="BQ771" s="305"/>
      <c r="BR771" s="305"/>
      <c r="BS771" s="305"/>
      <c r="BT771" s="305"/>
      <c r="BU771" s="305"/>
      <c r="BV771" s="305"/>
      <c r="BW771" s="305"/>
      <c r="BX771" s="305"/>
      <c r="BY771" s="305"/>
      <c r="BZ771" s="305"/>
      <c r="CA771" s="305"/>
      <c r="CB771" s="305"/>
      <c r="CC771" s="305"/>
      <c r="CD771" s="305"/>
      <c r="CE771" s="305"/>
      <c r="CF771" s="305"/>
      <c r="CG771" s="305"/>
      <c r="CH771" s="305"/>
      <c r="CI771" s="305"/>
      <c r="CJ771" s="305"/>
      <c r="CK771" s="305"/>
      <c r="CL771" s="305"/>
      <c r="CM771" s="305"/>
      <c r="CN771" s="305"/>
      <c r="CO771" s="305"/>
      <c r="CP771" s="305"/>
    </row>
    <row r="772" spans="26:94">
      <c r="Z772" s="305"/>
      <c r="AA772" s="305"/>
      <c r="AB772" s="305"/>
      <c r="AC772" s="305"/>
      <c r="AD772" s="305"/>
      <c r="AE772" s="305"/>
      <c r="AF772" s="305"/>
      <c r="AG772" s="305"/>
      <c r="AH772" s="305"/>
      <c r="AI772" s="305"/>
      <c r="AJ772" s="305"/>
      <c r="AK772" s="305"/>
      <c r="AL772" s="305"/>
      <c r="AM772" s="305"/>
      <c r="AN772" s="305"/>
      <c r="AO772" s="305"/>
      <c r="AP772" s="305"/>
      <c r="AQ772" s="305"/>
      <c r="AR772" s="305"/>
      <c r="AS772" s="305"/>
      <c r="AT772" s="305"/>
      <c r="AU772" s="305"/>
      <c r="AV772" s="305"/>
      <c r="AW772" s="305"/>
      <c r="AX772" s="305"/>
      <c r="AY772" s="305"/>
      <c r="AZ772" s="305"/>
      <c r="BA772" s="305"/>
      <c r="BB772" s="305"/>
      <c r="BC772" s="305"/>
      <c r="BJ772" s="305"/>
      <c r="BK772" s="305"/>
      <c r="BL772" s="305"/>
      <c r="BM772" s="305"/>
      <c r="BN772" s="305"/>
      <c r="BO772" s="305"/>
      <c r="BP772" s="305"/>
      <c r="BQ772" s="305"/>
      <c r="BR772" s="305"/>
      <c r="BS772" s="305"/>
      <c r="BT772" s="305"/>
      <c r="BU772" s="305"/>
      <c r="BV772" s="305"/>
      <c r="BW772" s="305"/>
      <c r="BX772" s="305"/>
      <c r="BY772" s="305"/>
      <c r="BZ772" s="305"/>
      <c r="CA772" s="305"/>
      <c r="CB772" s="305"/>
      <c r="CC772" s="305"/>
      <c r="CD772" s="305"/>
      <c r="CE772" s="305"/>
      <c r="CF772" s="305"/>
      <c r="CG772" s="305"/>
      <c r="CH772" s="305"/>
      <c r="CI772" s="305"/>
      <c r="CJ772" s="305"/>
      <c r="CK772" s="305"/>
      <c r="CL772" s="305"/>
      <c r="CM772" s="305"/>
      <c r="CN772" s="305"/>
      <c r="CO772" s="305"/>
      <c r="CP772" s="305"/>
    </row>
    <row r="773" spans="26:94">
      <c r="Z773" s="305"/>
      <c r="AA773" s="305"/>
      <c r="AB773" s="305"/>
      <c r="AC773" s="305"/>
      <c r="AD773" s="305"/>
      <c r="AE773" s="305"/>
      <c r="AF773" s="305"/>
      <c r="AG773" s="305"/>
      <c r="AH773" s="305"/>
      <c r="AI773" s="305"/>
      <c r="AJ773" s="305"/>
      <c r="AK773" s="305"/>
      <c r="AL773" s="305"/>
      <c r="AM773" s="305"/>
      <c r="AN773" s="305"/>
      <c r="AO773" s="305"/>
      <c r="AP773" s="305"/>
      <c r="AQ773" s="305"/>
      <c r="AR773" s="305"/>
      <c r="AS773" s="305"/>
      <c r="AT773" s="305"/>
      <c r="AU773" s="305"/>
      <c r="AV773" s="305"/>
      <c r="AW773" s="305"/>
      <c r="AX773" s="305"/>
      <c r="AY773" s="305"/>
      <c r="AZ773" s="305"/>
      <c r="BA773" s="305"/>
      <c r="BB773" s="305"/>
      <c r="BC773" s="305"/>
      <c r="BJ773" s="305"/>
      <c r="BK773" s="305"/>
      <c r="BL773" s="305"/>
      <c r="BM773" s="305"/>
      <c r="BN773" s="305"/>
      <c r="BO773" s="305"/>
      <c r="BP773" s="305"/>
      <c r="BQ773" s="305"/>
      <c r="BR773" s="305"/>
      <c r="BS773" s="305"/>
      <c r="BT773" s="305"/>
      <c r="BU773" s="305"/>
      <c r="BV773" s="305"/>
      <c r="BW773" s="305"/>
      <c r="BX773" s="305"/>
      <c r="BY773" s="305"/>
      <c r="BZ773" s="305"/>
      <c r="CA773" s="305"/>
      <c r="CB773" s="305"/>
      <c r="CC773" s="305"/>
      <c r="CD773" s="305"/>
      <c r="CE773" s="305"/>
      <c r="CF773" s="305"/>
      <c r="CG773" s="305"/>
      <c r="CH773" s="305"/>
      <c r="CI773" s="305"/>
      <c r="CJ773" s="305"/>
      <c r="CK773" s="305"/>
      <c r="CL773" s="305"/>
      <c r="CM773" s="305"/>
      <c r="CN773" s="305"/>
      <c r="CO773" s="305"/>
      <c r="CP773" s="305"/>
    </row>
    <row r="774" spans="26:94">
      <c r="Z774" s="305"/>
      <c r="AA774" s="305"/>
      <c r="AB774" s="305"/>
      <c r="AC774" s="305"/>
      <c r="AD774" s="305"/>
      <c r="AE774" s="305"/>
      <c r="AF774" s="305"/>
      <c r="AG774" s="305"/>
      <c r="AH774" s="305"/>
      <c r="AI774" s="305"/>
      <c r="AJ774" s="305"/>
      <c r="AK774" s="305"/>
      <c r="AL774" s="305"/>
      <c r="AM774" s="305"/>
      <c r="AN774" s="305"/>
      <c r="AO774" s="305"/>
      <c r="AP774" s="305"/>
      <c r="AQ774" s="305"/>
      <c r="AR774" s="305"/>
      <c r="AS774" s="305"/>
      <c r="AT774" s="305"/>
      <c r="AU774" s="305"/>
      <c r="AV774" s="305"/>
      <c r="AW774" s="305"/>
      <c r="AX774" s="305"/>
      <c r="AY774" s="305"/>
      <c r="AZ774" s="305"/>
      <c r="BA774" s="305"/>
      <c r="BB774" s="305"/>
      <c r="BC774" s="305"/>
      <c r="BJ774" s="305"/>
      <c r="BK774" s="305"/>
      <c r="BL774" s="305"/>
      <c r="BM774" s="305"/>
      <c r="BN774" s="305"/>
      <c r="BO774" s="305"/>
      <c r="BP774" s="305"/>
      <c r="BQ774" s="305"/>
      <c r="BR774" s="305"/>
      <c r="BS774" s="305"/>
      <c r="BT774" s="305"/>
      <c r="BU774" s="305"/>
      <c r="BV774" s="305"/>
      <c r="BW774" s="305"/>
      <c r="BX774" s="305"/>
      <c r="BY774" s="305"/>
      <c r="BZ774" s="305"/>
      <c r="CA774" s="305"/>
      <c r="CB774" s="305"/>
      <c r="CC774" s="305"/>
      <c r="CD774" s="305"/>
      <c r="CE774" s="305"/>
      <c r="CF774" s="305"/>
      <c r="CG774" s="305"/>
      <c r="CH774" s="305"/>
      <c r="CI774" s="305"/>
      <c r="CJ774" s="305"/>
      <c r="CK774" s="305"/>
      <c r="CL774" s="305"/>
      <c r="CM774" s="305"/>
      <c r="CN774" s="305"/>
      <c r="CO774" s="305"/>
      <c r="CP774" s="305"/>
    </row>
    <row r="775" spans="26:94">
      <c r="Z775" s="305"/>
      <c r="AA775" s="305"/>
      <c r="AB775" s="305"/>
      <c r="AC775" s="305"/>
      <c r="AD775" s="305"/>
      <c r="AE775" s="305"/>
      <c r="AF775" s="305"/>
      <c r="AG775" s="305"/>
      <c r="AH775" s="305"/>
      <c r="AI775" s="305"/>
      <c r="AJ775" s="305"/>
      <c r="AK775" s="305"/>
      <c r="AL775" s="305"/>
      <c r="AM775" s="305"/>
      <c r="AN775" s="305"/>
      <c r="AO775" s="305"/>
      <c r="AP775" s="305"/>
      <c r="AQ775" s="305"/>
      <c r="AR775" s="305"/>
      <c r="AS775" s="305"/>
      <c r="AT775" s="305"/>
      <c r="AU775" s="305"/>
      <c r="AV775" s="305"/>
      <c r="AW775" s="305"/>
      <c r="AX775" s="305"/>
      <c r="AY775" s="305"/>
      <c r="AZ775" s="305"/>
      <c r="BA775" s="305"/>
      <c r="BB775" s="305"/>
      <c r="BC775" s="305"/>
      <c r="BJ775" s="305"/>
      <c r="BK775" s="305"/>
      <c r="BL775" s="305"/>
      <c r="BM775" s="305"/>
      <c r="BN775" s="305"/>
      <c r="BO775" s="305"/>
      <c r="BP775" s="305"/>
      <c r="BQ775" s="305"/>
      <c r="BR775" s="305"/>
      <c r="BS775" s="305"/>
      <c r="BT775" s="305"/>
      <c r="BU775" s="305"/>
      <c r="BV775" s="305"/>
      <c r="BW775" s="305"/>
      <c r="BX775" s="305"/>
      <c r="BY775" s="305"/>
      <c r="BZ775" s="305"/>
      <c r="CA775" s="305"/>
      <c r="CB775" s="305"/>
      <c r="CC775" s="305"/>
      <c r="CD775" s="305"/>
      <c r="CE775" s="305"/>
      <c r="CF775" s="305"/>
      <c r="CG775" s="305"/>
      <c r="CH775" s="305"/>
      <c r="CI775" s="305"/>
      <c r="CJ775" s="305"/>
      <c r="CK775" s="305"/>
      <c r="CL775" s="305"/>
      <c r="CM775" s="305"/>
      <c r="CN775" s="305"/>
      <c r="CO775" s="305"/>
      <c r="CP775" s="305"/>
    </row>
    <row r="776" spans="26:94">
      <c r="Z776" s="305"/>
      <c r="AA776" s="305"/>
      <c r="AB776" s="305"/>
      <c r="AC776" s="305"/>
      <c r="AD776" s="305"/>
      <c r="AE776" s="305"/>
      <c r="AF776" s="305"/>
      <c r="AG776" s="305"/>
      <c r="AH776" s="305"/>
      <c r="AI776" s="305"/>
      <c r="AJ776" s="305"/>
      <c r="AK776" s="305"/>
      <c r="AL776" s="305"/>
      <c r="AM776" s="305"/>
      <c r="AN776" s="305"/>
      <c r="AO776" s="305"/>
      <c r="AP776" s="305"/>
      <c r="AQ776" s="305"/>
      <c r="AR776" s="305"/>
      <c r="AS776" s="305"/>
      <c r="AT776" s="305"/>
      <c r="AU776" s="305"/>
      <c r="AV776" s="305"/>
      <c r="AW776" s="305"/>
      <c r="AX776" s="305"/>
      <c r="AY776" s="305"/>
      <c r="AZ776" s="305"/>
      <c r="BA776" s="305"/>
      <c r="BB776" s="305"/>
      <c r="BC776" s="305"/>
      <c r="BJ776" s="305"/>
      <c r="BK776" s="305"/>
      <c r="BL776" s="305"/>
      <c r="BM776" s="305"/>
      <c r="BN776" s="305"/>
      <c r="BO776" s="305"/>
      <c r="BP776" s="305"/>
      <c r="BQ776" s="305"/>
      <c r="BR776" s="305"/>
      <c r="BS776" s="305"/>
      <c r="BT776" s="305"/>
      <c r="BU776" s="305"/>
      <c r="BV776" s="305"/>
      <c r="BW776" s="305"/>
      <c r="BX776" s="305"/>
      <c r="BY776" s="305"/>
      <c r="BZ776" s="305"/>
      <c r="CA776" s="305"/>
      <c r="CB776" s="305"/>
      <c r="CC776" s="305"/>
      <c r="CD776" s="305"/>
      <c r="CE776" s="305"/>
      <c r="CF776" s="305"/>
      <c r="CG776" s="305"/>
      <c r="CH776" s="305"/>
      <c r="CI776" s="305"/>
      <c r="CJ776" s="305"/>
      <c r="CK776" s="305"/>
      <c r="CL776" s="305"/>
      <c r="CM776" s="305"/>
      <c r="CN776" s="305"/>
      <c r="CO776" s="305"/>
      <c r="CP776" s="305"/>
    </row>
    <row r="777" spans="26:94">
      <c r="Z777" s="305"/>
      <c r="AA777" s="305"/>
      <c r="AB777" s="305"/>
      <c r="AC777" s="305"/>
      <c r="AD777" s="305"/>
      <c r="AE777" s="305"/>
      <c r="AF777" s="305"/>
      <c r="AG777" s="305"/>
      <c r="AH777" s="305"/>
      <c r="AI777" s="305"/>
      <c r="AJ777" s="305"/>
      <c r="AK777" s="305"/>
      <c r="AL777" s="305"/>
      <c r="AM777" s="305"/>
      <c r="AN777" s="305"/>
      <c r="AO777" s="305"/>
      <c r="AP777" s="305"/>
      <c r="AQ777" s="305"/>
      <c r="AR777" s="305"/>
      <c r="AS777" s="305"/>
      <c r="AT777" s="305"/>
      <c r="AU777" s="305"/>
      <c r="AV777" s="305"/>
      <c r="AW777" s="305"/>
      <c r="AX777" s="305"/>
      <c r="AY777" s="305"/>
      <c r="AZ777" s="305"/>
      <c r="BA777" s="305"/>
      <c r="BB777" s="305"/>
      <c r="BC777" s="305"/>
      <c r="BJ777" s="305"/>
      <c r="BK777" s="305"/>
      <c r="BL777" s="305"/>
      <c r="BM777" s="305"/>
      <c r="BN777" s="305"/>
      <c r="BO777" s="305"/>
      <c r="BP777" s="305"/>
      <c r="BQ777" s="305"/>
      <c r="BR777" s="305"/>
      <c r="BS777" s="305"/>
      <c r="BT777" s="305"/>
      <c r="BU777" s="305"/>
      <c r="BV777" s="305"/>
      <c r="BW777" s="305"/>
      <c r="BX777" s="305"/>
      <c r="BY777" s="305"/>
      <c r="BZ777" s="305"/>
      <c r="CA777" s="305"/>
      <c r="CB777" s="305"/>
      <c r="CC777" s="305"/>
      <c r="CD777" s="305"/>
      <c r="CE777" s="305"/>
      <c r="CF777" s="305"/>
      <c r="CG777" s="305"/>
      <c r="CH777" s="305"/>
      <c r="CI777" s="305"/>
      <c r="CJ777" s="305"/>
      <c r="CK777" s="305"/>
      <c r="CL777" s="305"/>
      <c r="CM777" s="305"/>
      <c r="CN777" s="305"/>
      <c r="CO777" s="305"/>
      <c r="CP777" s="305"/>
    </row>
    <row r="778" spans="26:94">
      <c r="Z778" s="305"/>
      <c r="AA778" s="305"/>
      <c r="AB778" s="305"/>
      <c r="AC778" s="305"/>
      <c r="AD778" s="305"/>
      <c r="AE778" s="305"/>
      <c r="AF778" s="305"/>
      <c r="AG778" s="305"/>
      <c r="AH778" s="305"/>
      <c r="AI778" s="305"/>
      <c r="AJ778" s="305"/>
      <c r="AK778" s="305"/>
      <c r="AL778" s="305"/>
      <c r="AM778" s="305"/>
      <c r="AN778" s="305"/>
      <c r="AO778" s="305"/>
      <c r="AP778" s="305"/>
      <c r="AQ778" s="305"/>
      <c r="AR778" s="305"/>
      <c r="AS778" s="305"/>
      <c r="AT778" s="305"/>
      <c r="AU778" s="305"/>
      <c r="AV778" s="305"/>
      <c r="AW778" s="305"/>
      <c r="AX778" s="305"/>
      <c r="AY778" s="305"/>
      <c r="AZ778" s="305"/>
      <c r="BA778" s="305"/>
      <c r="BB778" s="305"/>
      <c r="BC778" s="305"/>
      <c r="BJ778" s="305"/>
      <c r="BK778" s="305"/>
      <c r="BL778" s="305"/>
      <c r="BM778" s="305"/>
      <c r="BN778" s="305"/>
      <c r="BO778" s="305"/>
      <c r="BP778" s="305"/>
      <c r="BQ778" s="305"/>
      <c r="BR778" s="305"/>
      <c r="BS778" s="305"/>
      <c r="BT778" s="305"/>
      <c r="BU778" s="305"/>
      <c r="BV778" s="305"/>
      <c r="BW778" s="305"/>
      <c r="BX778" s="305"/>
      <c r="BY778" s="305"/>
      <c r="BZ778" s="305"/>
      <c r="CA778" s="305"/>
      <c r="CB778" s="305"/>
      <c r="CC778" s="305"/>
      <c r="CD778" s="305"/>
      <c r="CE778" s="305"/>
      <c r="CF778" s="305"/>
      <c r="CG778" s="305"/>
      <c r="CH778" s="305"/>
      <c r="CI778" s="305"/>
      <c r="CJ778" s="305"/>
      <c r="CK778" s="305"/>
      <c r="CL778" s="305"/>
      <c r="CM778" s="305"/>
      <c r="CN778" s="305"/>
      <c r="CO778" s="305"/>
      <c r="CP778" s="305"/>
    </row>
    <row r="779" spans="26:94">
      <c r="Z779" s="305"/>
      <c r="AA779" s="305"/>
      <c r="AB779" s="305"/>
      <c r="AC779" s="305"/>
      <c r="AD779" s="305"/>
      <c r="AE779" s="305"/>
      <c r="AF779" s="305"/>
      <c r="AG779" s="305"/>
      <c r="AH779" s="305"/>
      <c r="AI779" s="305"/>
      <c r="AJ779" s="305"/>
      <c r="AK779" s="305"/>
      <c r="AL779" s="305"/>
      <c r="AM779" s="305"/>
      <c r="AN779" s="305"/>
      <c r="AO779" s="305"/>
      <c r="AP779" s="305"/>
      <c r="AQ779" s="305"/>
      <c r="AR779" s="305"/>
      <c r="AS779" s="305"/>
      <c r="AT779" s="305"/>
      <c r="AU779" s="305"/>
      <c r="AV779" s="305"/>
      <c r="AW779" s="305"/>
      <c r="AX779" s="305"/>
      <c r="AY779" s="305"/>
      <c r="AZ779" s="305"/>
      <c r="BA779" s="305"/>
      <c r="BB779" s="305"/>
      <c r="BC779" s="305"/>
      <c r="BJ779" s="305"/>
      <c r="BK779" s="305"/>
      <c r="BL779" s="305"/>
      <c r="BM779" s="305"/>
      <c r="BN779" s="305"/>
      <c r="BO779" s="305"/>
      <c r="BP779" s="305"/>
      <c r="BQ779" s="305"/>
      <c r="BR779" s="305"/>
      <c r="BS779" s="305"/>
      <c r="BT779" s="305"/>
      <c r="BU779" s="305"/>
      <c r="BV779" s="305"/>
      <c r="BW779" s="305"/>
      <c r="BX779" s="305"/>
      <c r="BY779" s="305"/>
      <c r="BZ779" s="305"/>
      <c r="CA779" s="305"/>
      <c r="CB779" s="305"/>
      <c r="CC779" s="305"/>
      <c r="CD779" s="305"/>
      <c r="CE779" s="305"/>
      <c r="CF779" s="305"/>
      <c r="CG779" s="305"/>
      <c r="CH779" s="305"/>
      <c r="CI779" s="305"/>
      <c r="CJ779" s="305"/>
      <c r="CK779" s="305"/>
      <c r="CL779" s="305"/>
      <c r="CM779" s="305"/>
      <c r="CN779" s="305"/>
      <c r="CO779" s="305"/>
      <c r="CP779" s="305"/>
    </row>
    <row r="780" spans="26:94">
      <c r="Z780" s="305"/>
      <c r="AA780" s="305"/>
      <c r="AB780" s="305"/>
      <c r="AC780" s="305"/>
      <c r="AD780" s="305"/>
      <c r="AE780" s="305"/>
      <c r="AF780" s="305"/>
      <c r="AG780" s="305"/>
      <c r="AH780" s="305"/>
      <c r="AI780" s="305"/>
      <c r="AJ780" s="305"/>
      <c r="AK780" s="305"/>
      <c r="AL780" s="305"/>
      <c r="AM780" s="305"/>
      <c r="AN780" s="305"/>
      <c r="AO780" s="305"/>
      <c r="AP780" s="305"/>
      <c r="AQ780" s="305"/>
      <c r="AR780" s="305"/>
      <c r="AS780" s="305"/>
      <c r="AT780" s="305"/>
      <c r="AU780" s="305"/>
      <c r="AV780" s="305"/>
      <c r="AW780" s="305"/>
      <c r="AX780" s="305"/>
      <c r="AY780" s="305"/>
      <c r="AZ780" s="305"/>
      <c r="BA780" s="305"/>
      <c r="BB780" s="305"/>
      <c r="BC780" s="305"/>
      <c r="BJ780" s="305"/>
      <c r="BK780" s="305"/>
      <c r="BL780" s="305"/>
      <c r="BM780" s="305"/>
      <c r="BN780" s="305"/>
      <c r="BO780" s="305"/>
      <c r="BP780" s="305"/>
      <c r="BQ780" s="305"/>
      <c r="BR780" s="305"/>
      <c r="BS780" s="305"/>
      <c r="BT780" s="305"/>
      <c r="BU780" s="305"/>
      <c r="BV780" s="305"/>
      <c r="BW780" s="305"/>
      <c r="BX780" s="305"/>
      <c r="BY780" s="305"/>
      <c r="BZ780" s="305"/>
      <c r="CA780" s="305"/>
      <c r="CB780" s="305"/>
      <c r="CC780" s="305"/>
      <c r="CD780" s="305"/>
      <c r="CE780" s="305"/>
      <c r="CF780" s="305"/>
      <c r="CG780" s="305"/>
      <c r="CH780" s="305"/>
      <c r="CI780" s="305"/>
      <c r="CJ780" s="305"/>
      <c r="CK780" s="305"/>
      <c r="CL780" s="305"/>
      <c r="CM780" s="305"/>
      <c r="CN780" s="305"/>
      <c r="CO780" s="305"/>
      <c r="CP780" s="305"/>
    </row>
    <row r="781" spans="26:94">
      <c r="Z781" s="305"/>
      <c r="AA781" s="305"/>
      <c r="AB781" s="305"/>
      <c r="AC781" s="305"/>
      <c r="AD781" s="305"/>
      <c r="AE781" s="305"/>
      <c r="AF781" s="305"/>
      <c r="AG781" s="305"/>
      <c r="AH781" s="305"/>
      <c r="AI781" s="305"/>
      <c r="AJ781" s="305"/>
      <c r="AK781" s="305"/>
      <c r="AL781" s="305"/>
      <c r="AM781" s="305"/>
      <c r="AN781" s="305"/>
      <c r="AO781" s="305"/>
      <c r="AP781" s="305"/>
      <c r="AQ781" s="305"/>
      <c r="AR781" s="305"/>
      <c r="AS781" s="305"/>
      <c r="AT781" s="305"/>
      <c r="AU781" s="305"/>
      <c r="AV781" s="305"/>
      <c r="AW781" s="305"/>
      <c r="AX781" s="305"/>
      <c r="AY781" s="305"/>
      <c r="AZ781" s="305"/>
      <c r="BA781" s="305"/>
      <c r="BB781" s="305"/>
      <c r="BC781" s="305"/>
      <c r="BJ781" s="305"/>
      <c r="BK781" s="305"/>
      <c r="BL781" s="305"/>
      <c r="BM781" s="305"/>
      <c r="BN781" s="305"/>
      <c r="BO781" s="305"/>
      <c r="BP781" s="305"/>
      <c r="BQ781" s="305"/>
      <c r="BR781" s="305"/>
      <c r="BS781" s="305"/>
      <c r="BT781" s="305"/>
      <c r="BU781" s="305"/>
      <c r="BV781" s="305"/>
      <c r="BW781" s="305"/>
      <c r="BX781" s="305"/>
      <c r="BY781" s="305"/>
      <c r="BZ781" s="305"/>
      <c r="CA781" s="305"/>
      <c r="CB781" s="305"/>
      <c r="CC781" s="305"/>
      <c r="CD781" s="305"/>
      <c r="CE781" s="305"/>
      <c r="CF781" s="305"/>
      <c r="CG781" s="305"/>
      <c r="CH781" s="305"/>
      <c r="CI781" s="305"/>
      <c r="CJ781" s="305"/>
      <c r="CK781" s="305"/>
      <c r="CL781" s="305"/>
      <c r="CM781" s="305"/>
      <c r="CN781" s="305"/>
      <c r="CO781" s="305"/>
      <c r="CP781" s="305"/>
    </row>
    <row r="782" spans="26:94">
      <c r="Z782" s="305"/>
      <c r="AA782" s="305"/>
      <c r="AB782" s="305"/>
      <c r="AC782" s="305"/>
      <c r="AD782" s="305"/>
      <c r="AE782" s="305"/>
      <c r="AF782" s="305"/>
      <c r="AG782" s="305"/>
      <c r="AH782" s="305"/>
      <c r="AI782" s="305"/>
      <c r="AJ782" s="305"/>
      <c r="AK782" s="305"/>
      <c r="AL782" s="305"/>
      <c r="AM782" s="305"/>
      <c r="AN782" s="305"/>
      <c r="AO782" s="305"/>
      <c r="AP782" s="305"/>
      <c r="AQ782" s="305"/>
      <c r="AR782" s="305"/>
      <c r="AS782" s="305"/>
      <c r="AT782" s="305"/>
      <c r="AU782" s="305"/>
      <c r="AV782" s="305"/>
      <c r="AW782" s="305"/>
      <c r="AX782" s="305"/>
      <c r="AY782" s="305"/>
      <c r="AZ782" s="305"/>
      <c r="BA782" s="305"/>
      <c r="BB782" s="305"/>
      <c r="BC782" s="305"/>
      <c r="BJ782" s="305"/>
      <c r="BK782" s="305"/>
      <c r="BL782" s="305"/>
      <c r="BM782" s="305"/>
      <c r="BN782" s="305"/>
      <c r="BO782" s="305"/>
      <c r="BP782" s="305"/>
      <c r="BQ782" s="305"/>
      <c r="BR782" s="305"/>
      <c r="BS782" s="305"/>
      <c r="BT782" s="305"/>
      <c r="BU782" s="305"/>
      <c r="BV782" s="305"/>
      <c r="BW782" s="305"/>
      <c r="BX782" s="305"/>
      <c r="BY782" s="305"/>
      <c r="BZ782" s="305"/>
      <c r="CA782" s="305"/>
      <c r="CB782" s="305"/>
      <c r="CC782" s="305"/>
      <c r="CD782" s="305"/>
      <c r="CE782" s="305"/>
      <c r="CF782" s="305"/>
      <c r="CG782" s="305"/>
      <c r="CH782" s="305"/>
      <c r="CI782" s="305"/>
      <c r="CJ782" s="305"/>
      <c r="CK782" s="305"/>
      <c r="CL782" s="305"/>
      <c r="CM782" s="305"/>
      <c r="CN782" s="305"/>
      <c r="CO782" s="305"/>
      <c r="CP782" s="305"/>
    </row>
    <row r="783" spans="26:94">
      <c r="Z783" s="305"/>
      <c r="AA783" s="305"/>
      <c r="AB783" s="305"/>
      <c r="AC783" s="305"/>
      <c r="AD783" s="305"/>
      <c r="AE783" s="305"/>
      <c r="AF783" s="305"/>
      <c r="AG783" s="305"/>
      <c r="AH783" s="305"/>
      <c r="AI783" s="305"/>
      <c r="AJ783" s="305"/>
      <c r="AK783" s="305"/>
      <c r="AL783" s="305"/>
      <c r="AM783" s="305"/>
      <c r="AN783" s="305"/>
      <c r="AO783" s="305"/>
      <c r="AP783" s="305"/>
      <c r="AQ783" s="305"/>
      <c r="AR783" s="305"/>
      <c r="AS783" s="305"/>
      <c r="AT783" s="305"/>
      <c r="AU783" s="305"/>
      <c r="AV783" s="305"/>
      <c r="AW783" s="305"/>
      <c r="AX783" s="305"/>
      <c r="AY783" s="305"/>
      <c r="AZ783" s="305"/>
      <c r="BA783" s="305"/>
      <c r="BB783" s="305"/>
      <c r="BC783" s="305"/>
      <c r="BJ783" s="305"/>
      <c r="BK783" s="305"/>
      <c r="BL783" s="305"/>
      <c r="BM783" s="305"/>
      <c r="BN783" s="305"/>
      <c r="BO783" s="305"/>
      <c r="BP783" s="305"/>
      <c r="BQ783" s="305"/>
      <c r="BR783" s="305"/>
      <c r="BS783" s="305"/>
      <c r="BT783" s="305"/>
      <c r="BU783" s="305"/>
      <c r="BV783" s="305"/>
      <c r="BW783" s="305"/>
      <c r="BX783" s="305"/>
      <c r="BY783" s="305"/>
      <c r="BZ783" s="305"/>
      <c r="CA783" s="305"/>
      <c r="CB783" s="305"/>
      <c r="CC783" s="305"/>
      <c r="CD783" s="305"/>
      <c r="CE783" s="305"/>
      <c r="CF783" s="305"/>
      <c r="CG783" s="305"/>
      <c r="CH783" s="305"/>
      <c r="CI783" s="305"/>
      <c r="CJ783" s="305"/>
      <c r="CK783" s="305"/>
      <c r="CL783" s="305"/>
      <c r="CM783" s="305"/>
      <c r="CN783" s="305"/>
      <c r="CO783" s="305"/>
      <c r="CP783" s="305"/>
    </row>
    <row r="784" spans="26:94">
      <c r="Z784" s="305"/>
      <c r="AA784" s="305"/>
      <c r="AB784" s="305"/>
      <c r="AC784" s="305"/>
      <c r="AD784" s="305"/>
      <c r="AE784" s="305"/>
      <c r="AF784" s="305"/>
      <c r="AG784" s="305"/>
      <c r="AH784" s="305"/>
      <c r="AI784" s="305"/>
      <c r="AJ784" s="305"/>
      <c r="AK784" s="305"/>
      <c r="AL784" s="305"/>
      <c r="AM784" s="305"/>
      <c r="AN784" s="305"/>
      <c r="AO784" s="305"/>
      <c r="AP784" s="305"/>
      <c r="AQ784" s="305"/>
      <c r="AR784" s="305"/>
      <c r="AS784" s="305"/>
      <c r="AT784" s="305"/>
      <c r="AU784" s="305"/>
      <c r="AV784" s="305"/>
      <c r="AW784" s="305"/>
      <c r="AX784" s="305"/>
      <c r="AY784" s="305"/>
      <c r="AZ784" s="305"/>
      <c r="BA784" s="305"/>
      <c r="BB784" s="305"/>
      <c r="BC784" s="305"/>
      <c r="BJ784" s="305"/>
      <c r="BK784" s="305"/>
      <c r="BL784" s="305"/>
      <c r="BM784" s="305"/>
      <c r="BN784" s="305"/>
      <c r="BO784" s="305"/>
      <c r="BP784" s="305"/>
      <c r="BQ784" s="305"/>
      <c r="BR784" s="305"/>
      <c r="BS784" s="305"/>
      <c r="BT784" s="305"/>
      <c r="BU784" s="305"/>
      <c r="BV784" s="305"/>
      <c r="BW784" s="305"/>
      <c r="BX784" s="305"/>
      <c r="BY784" s="305"/>
      <c r="BZ784" s="305"/>
      <c r="CA784" s="305"/>
      <c r="CB784" s="305"/>
      <c r="CC784" s="305"/>
      <c r="CD784" s="305"/>
      <c r="CE784" s="305"/>
      <c r="CF784" s="305"/>
      <c r="CG784" s="305"/>
      <c r="CH784" s="305"/>
      <c r="CI784" s="305"/>
      <c r="CJ784" s="305"/>
      <c r="CK784" s="305"/>
      <c r="CL784" s="305"/>
      <c r="CM784" s="305"/>
      <c r="CN784" s="305"/>
      <c r="CO784" s="305"/>
      <c r="CP784" s="305"/>
    </row>
    <row r="785" spans="26:94">
      <c r="Z785" s="305"/>
      <c r="AA785" s="305"/>
      <c r="AB785" s="305"/>
      <c r="AC785" s="305"/>
      <c r="AD785" s="305"/>
      <c r="AE785" s="305"/>
      <c r="AF785" s="305"/>
      <c r="AG785" s="305"/>
      <c r="AH785" s="305"/>
      <c r="AI785" s="305"/>
      <c r="AJ785" s="305"/>
      <c r="AK785" s="305"/>
      <c r="AL785" s="305"/>
      <c r="AM785" s="305"/>
      <c r="AN785" s="305"/>
      <c r="AO785" s="305"/>
      <c r="AP785" s="305"/>
      <c r="AQ785" s="305"/>
      <c r="AR785" s="305"/>
      <c r="AS785" s="305"/>
      <c r="AT785" s="305"/>
      <c r="AU785" s="305"/>
      <c r="AV785" s="305"/>
      <c r="AW785" s="305"/>
      <c r="AX785" s="305"/>
      <c r="AY785" s="305"/>
      <c r="AZ785" s="305"/>
      <c r="BA785" s="305"/>
      <c r="BB785" s="305"/>
      <c r="BC785" s="305"/>
      <c r="BJ785" s="305"/>
      <c r="BK785" s="305"/>
      <c r="BL785" s="305"/>
      <c r="BM785" s="305"/>
      <c r="BN785" s="305"/>
      <c r="BO785" s="305"/>
      <c r="BP785" s="305"/>
      <c r="BQ785" s="305"/>
      <c r="BR785" s="305"/>
      <c r="BS785" s="305"/>
      <c r="BT785" s="305"/>
      <c r="BU785" s="305"/>
      <c r="BV785" s="305"/>
      <c r="BW785" s="305"/>
      <c r="BX785" s="305"/>
      <c r="BY785" s="305"/>
      <c r="BZ785" s="305"/>
      <c r="CA785" s="305"/>
      <c r="CB785" s="305"/>
      <c r="CC785" s="305"/>
      <c r="CD785" s="305"/>
      <c r="CE785" s="305"/>
      <c r="CF785" s="305"/>
      <c r="CG785" s="305"/>
      <c r="CH785" s="305"/>
      <c r="CI785" s="305"/>
      <c r="CJ785" s="305"/>
      <c r="CK785" s="305"/>
      <c r="CL785" s="305"/>
      <c r="CM785" s="305"/>
      <c r="CN785" s="305"/>
      <c r="CO785" s="305"/>
      <c r="CP785" s="305"/>
    </row>
    <row r="786" spans="26:94">
      <c r="Z786" s="305"/>
      <c r="AA786" s="305"/>
      <c r="AB786" s="305"/>
      <c r="AC786" s="305"/>
      <c r="AD786" s="305"/>
      <c r="AE786" s="305"/>
      <c r="AF786" s="305"/>
      <c r="AG786" s="305"/>
      <c r="AH786" s="305"/>
      <c r="AI786" s="305"/>
      <c r="AJ786" s="305"/>
      <c r="AK786" s="305"/>
      <c r="AL786" s="305"/>
      <c r="AM786" s="305"/>
      <c r="AN786" s="305"/>
      <c r="AO786" s="305"/>
      <c r="AP786" s="305"/>
      <c r="AQ786" s="305"/>
      <c r="AR786" s="305"/>
      <c r="AS786" s="305"/>
      <c r="AT786" s="305"/>
      <c r="AU786" s="305"/>
      <c r="AV786" s="305"/>
      <c r="AW786" s="305"/>
      <c r="AX786" s="305"/>
      <c r="AY786" s="305"/>
      <c r="AZ786" s="305"/>
      <c r="BA786" s="305"/>
      <c r="BB786" s="305"/>
      <c r="BC786" s="305"/>
      <c r="BJ786" s="305"/>
      <c r="BK786" s="305"/>
      <c r="BL786" s="305"/>
      <c r="BM786" s="305"/>
      <c r="BN786" s="305"/>
      <c r="BO786" s="305"/>
      <c r="BP786" s="305"/>
      <c r="BQ786" s="305"/>
      <c r="BR786" s="305"/>
      <c r="BS786" s="305"/>
      <c r="BT786" s="305"/>
      <c r="BU786" s="305"/>
      <c r="BV786" s="305"/>
      <c r="BW786" s="305"/>
      <c r="BX786" s="305"/>
      <c r="BY786" s="305"/>
      <c r="BZ786" s="305"/>
      <c r="CA786" s="305"/>
      <c r="CB786" s="305"/>
      <c r="CC786" s="305"/>
      <c r="CD786" s="305"/>
      <c r="CE786" s="305"/>
      <c r="CF786" s="305"/>
      <c r="CG786" s="305"/>
      <c r="CH786" s="305"/>
      <c r="CI786" s="305"/>
      <c r="CJ786" s="305"/>
      <c r="CK786" s="305"/>
      <c r="CL786" s="305"/>
      <c r="CM786" s="305"/>
      <c r="CN786" s="305"/>
      <c r="CO786" s="305"/>
      <c r="CP786" s="305"/>
    </row>
    <row r="787" spans="26:94">
      <c r="Z787" s="305"/>
      <c r="AA787" s="305"/>
      <c r="AB787" s="305"/>
      <c r="AC787" s="305"/>
      <c r="AD787" s="305"/>
      <c r="AE787" s="305"/>
      <c r="AF787" s="305"/>
      <c r="AG787" s="305"/>
      <c r="AH787" s="305"/>
      <c r="AI787" s="305"/>
      <c r="AJ787" s="305"/>
      <c r="AK787" s="305"/>
      <c r="AL787" s="305"/>
      <c r="AM787" s="305"/>
      <c r="AN787" s="305"/>
      <c r="AO787" s="305"/>
      <c r="AP787" s="305"/>
      <c r="AQ787" s="305"/>
      <c r="AR787" s="305"/>
      <c r="AS787" s="305"/>
      <c r="AT787" s="305"/>
      <c r="AU787" s="305"/>
      <c r="AV787" s="305"/>
      <c r="AW787" s="305"/>
      <c r="AX787" s="305"/>
      <c r="AY787" s="305"/>
      <c r="AZ787" s="305"/>
      <c r="BA787" s="305"/>
      <c r="BB787" s="305"/>
      <c r="BC787" s="305"/>
      <c r="BJ787" s="305"/>
      <c r="BK787" s="305"/>
      <c r="BL787" s="305"/>
      <c r="BM787" s="305"/>
      <c r="BN787" s="305"/>
      <c r="BO787" s="305"/>
      <c r="BP787" s="305"/>
      <c r="BQ787" s="305"/>
      <c r="BR787" s="305"/>
      <c r="BS787" s="305"/>
      <c r="BT787" s="305"/>
      <c r="BU787" s="305"/>
      <c r="BV787" s="305"/>
      <c r="BW787" s="305"/>
      <c r="BX787" s="305"/>
      <c r="BY787" s="305"/>
      <c r="BZ787" s="305"/>
      <c r="CA787" s="305"/>
      <c r="CB787" s="305"/>
      <c r="CC787" s="305"/>
      <c r="CD787" s="305"/>
      <c r="CE787" s="305"/>
      <c r="CF787" s="305"/>
      <c r="CG787" s="305"/>
      <c r="CH787" s="305"/>
      <c r="CI787" s="305"/>
      <c r="CJ787" s="305"/>
      <c r="CK787" s="305"/>
      <c r="CL787" s="305"/>
      <c r="CM787" s="305"/>
      <c r="CN787" s="305"/>
      <c r="CO787" s="305"/>
      <c r="CP787" s="305"/>
    </row>
    <row r="788" spans="26:94">
      <c r="Z788" s="305"/>
      <c r="AA788" s="305"/>
      <c r="AB788" s="305"/>
      <c r="AC788" s="305"/>
      <c r="AD788" s="305"/>
      <c r="AE788" s="305"/>
      <c r="AF788" s="305"/>
      <c r="AG788" s="305"/>
      <c r="AH788" s="305"/>
      <c r="AI788" s="305"/>
      <c r="AJ788" s="305"/>
      <c r="AK788" s="305"/>
      <c r="AL788" s="305"/>
      <c r="AM788" s="305"/>
      <c r="AN788" s="305"/>
      <c r="AO788" s="305"/>
      <c r="AP788" s="305"/>
      <c r="AQ788" s="305"/>
      <c r="AR788" s="305"/>
      <c r="AS788" s="305"/>
      <c r="AT788" s="305"/>
      <c r="AU788" s="305"/>
      <c r="AV788" s="305"/>
      <c r="AW788" s="305"/>
      <c r="AX788" s="305"/>
      <c r="AY788" s="305"/>
      <c r="AZ788" s="305"/>
      <c r="BA788" s="305"/>
      <c r="BB788" s="305"/>
      <c r="BC788" s="305"/>
      <c r="BJ788" s="305"/>
      <c r="BK788" s="305"/>
      <c r="BL788" s="305"/>
      <c r="BM788" s="305"/>
      <c r="BN788" s="305"/>
      <c r="BO788" s="305"/>
      <c r="BP788" s="305"/>
      <c r="BQ788" s="305"/>
      <c r="BR788" s="305"/>
      <c r="BS788" s="305"/>
      <c r="BT788" s="305"/>
      <c r="BU788" s="305"/>
      <c r="BV788" s="305"/>
      <c r="BW788" s="305"/>
      <c r="BX788" s="305"/>
      <c r="BY788" s="305"/>
      <c r="BZ788" s="305"/>
      <c r="CA788" s="305"/>
      <c r="CB788" s="305"/>
      <c r="CC788" s="305"/>
      <c r="CD788" s="305"/>
      <c r="CE788" s="305"/>
      <c r="CF788" s="305"/>
      <c r="CG788" s="305"/>
      <c r="CH788" s="305"/>
      <c r="CI788" s="305"/>
      <c r="CJ788" s="305"/>
      <c r="CK788" s="305"/>
      <c r="CL788" s="305"/>
      <c r="CM788" s="305"/>
      <c r="CN788" s="305"/>
      <c r="CO788" s="305"/>
      <c r="CP788" s="305"/>
    </row>
    <row r="789" spans="26:94">
      <c r="Z789" s="305"/>
      <c r="AA789" s="305"/>
      <c r="AB789" s="305"/>
      <c r="AC789" s="305"/>
      <c r="AD789" s="305"/>
      <c r="AE789" s="305"/>
      <c r="AF789" s="305"/>
      <c r="AG789" s="305"/>
      <c r="AH789" s="305"/>
      <c r="AI789" s="305"/>
      <c r="AJ789" s="305"/>
      <c r="AK789" s="305"/>
      <c r="AL789" s="305"/>
      <c r="AM789" s="305"/>
      <c r="AN789" s="305"/>
      <c r="AO789" s="305"/>
      <c r="AP789" s="305"/>
      <c r="AQ789" s="305"/>
      <c r="AR789" s="305"/>
      <c r="AS789" s="305"/>
      <c r="AT789" s="305"/>
      <c r="AU789" s="305"/>
      <c r="AV789" s="305"/>
      <c r="AW789" s="305"/>
      <c r="AX789" s="305"/>
      <c r="AY789" s="305"/>
      <c r="AZ789" s="305"/>
      <c r="BA789" s="305"/>
      <c r="BB789" s="305"/>
      <c r="BC789" s="305"/>
      <c r="BJ789" s="305"/>
      <c r="BK789" s="305"/>
      <c r="BL789" s="305"/>
      <c r="BM789" s="305"/>
      <c r="BN789" s="305"/>
      <c r="BO789" s="305"/>
      <c r="BP789" s="305"/>
      <c r="BQ789" s="305"/>
      <c r="BR789" s="305"/>
      <c r="BS789" s="305"/>
      <c r="BT789" s="305"/>
      <c r="BU789" s="305"/>
      <c r="BV789" s="305"/>
      <c r="BW789" s="305"/>
      <c r="BX789" s="305"/>
      <c r="BY789" s="305"/>
      <c r="BZ789" s="305"/>
      <c r="CA789" s="305"/>
      <c r="CB789" s="305"/>
      <c r="CC789" s="305"/>
      <c r="CD789" s="305"/>
      <c r="CE789" s="305"/>
      <c r="CF789" s="305"/>
      <c r="CG789" s="305"/>
      <c r="CH789" s="305"/>
      <c r="CI789" s="305"/>
      <c r="CJ789" s="305"/>
      <c r="CK789" s="305"/>
      <c r="CL789" s="305"/>
      <c r="CM789" s="305"/>
      <c r="CN789" s="305"/>
      <c r="CO789" s="305"/>
      <c r="CP789" s="305"/>
    </row>
    <row r="790" spans="26:94">
      <c r="Z790" s="305"/>
      <c r="AA790" s="305"/>
      <c r="AB790" s="305"/>
      <c r="AC790" s="305"/>
      <c r="AD790" s="305"/>
      <c r="AE790" s="305"/>
      <c r="AF790" s="305"/>
      <c r="AG790" s="305"/>
      <c r="AH790" s="305"/>
      <c r="AI790" s="305"/>
      <c r="AJ790" s="305"/>
      <c r="AK790" s="305"/>
      <c r="AL790" s="305"/>
      <c r="AM790" s="305"/>
      <c r="AN790" s="305"/>
      <c r="AO790" s="305"/>
      <c r="AP790" s="305"/>
      <c r="AQ790" s="305"/>
      <c r="AR790" s="305"/>
      <c r="AS790" s="305"/>
      <c r="AT790" s="305"/>
      <c r="AU790" s="305"/>
      <c r="AV790" s="305"/>
      <c r="AW790" s="305"/>
      <c r="AX790" s="305"/>
      <c r="AY790" s="305"/>
      <c r="AZ790" s="305"/>
      <c r="BA790" s="305"/>
      <c r="BB790" s="305"/>
      <c r="BC790" s="305"/>
      <c r="BJ790" s="305"/>
      <c r="BK790" s="305"/>
      <c r="BL790" s="305"/>
      <c r="BM790" s="305"/>
      <c r="BN790" s="305"/>
      <c r="BO790" s="305"/>
      <c r="BP790" s="305"/>
      <c r="BQ790" s="305"/>
      <c r="BR790" s="305"/>
      <c r="BS790" s="305"/>
      <c r="BT790" s="305"/>
      <c r="BU790" s="305"/>
      <c r="BV790" s="305"/>
      <c r="BW790" s="305"/>
      <c r="BX790" s="305"/>
      <c r="BY790" s="305"/>
      <c r="BZ790" s="305"/>
      <c r="CA790" s="305"/>
      <c r="CB790" s="305"/>
      <c r="CC790" s="305"/>
      <c r="CD790" s="305"/>
      <c r="CE790" s="305"/>
      <c r="CF790" s="305"/>
      <c r="CG790" s="305"/>
      <c r="CH790" s="305"/>
      <c r="CI790" s="305"/>
      <c r="CJ790" s="305"/>
      <c r="CK790" s="305"/>
      <c r="CL790" s="305"/>
      <c r="CM790" s="305"/>
      <c r="CN790" s="305"/>
      <c r="CO790" s="305"/>
      <c r="CP790" s="305"/>
    </row>
    <row r="791" spans="26:94">
      <c r="Z791" s="305"/>
      <c r="AA791" s="305"/>
      <c r="AB791" s="305"/>
      <c r="AC791" s="305"/>
      <c r="AD791" s="305"/>
      <c r="AE791" s="305"/>
      <c r="AF791" s="305"/>
      <c r="AG791" s="305"/>
      <c r="AH791" s="305"/>
      <c r="AI791" s="305"/>
      <c r="AJ791" s="305"/>
      <c r="AK791" s="305"/>
      <c r="AL791" s="305"/>
      <c r="AM791" s="305"/>
      <c r="AN791" s="305"/>
      <c r="AO791" s="305"/>
      <c r="AP791" s="305"/>
      <c r="AQ791" s="305"/>
      <c r="AR791" s="305"/>
      <c r="AS791" s="305"/>
      <c r="AT791" s="305"/>
      <c r="AU791" s="305"/>
      <c r="AV791" s="305"/>
      <c r="AW791" s="305"/>
      <c r="AX791" s="305"/>
      <c r="AY791" s="305"/>
      <c r="AZ791" s="305"/>
      <c r="BA791" s="305"/>
      <c r="BB791" s="305"/>
      <c r="BC791" s="305"/>
      <c r="BJ791" s="305"/>
      <c r="BK791" s="305"/>
      <c r="BL791" s="305"/>
      <c r="BM791" s="305"/>
      <c r="BN791" s="305"/>
      <c r="BO791" s="305"/>
      <c r="BP791" s="305"/>
      <c r="BQ791" s="305"/>
      <c r="BR791" s="305"/>
      <c r="BS791" s="305"/>
      <c r="BT791" s="305"/>
      <c r="BU791" s="305"/>
      <c r="BV791" s="305"/>
      <c r="BW791" s="305"/>
      <c r="BX791" s="305"/>
      <c r="BY791" s="305"/>
      <c r="BZ791" s="305"/>
      <c r="CA791" s="305"/>
      <c r="CB791" s="305"/>
      <c r="CC791" s="305"/>
      <c r="CD791" s="305"/>
      <c r="CE791" s="305"/>
      <c r="CF791" s="305"/>
      <c r="CG791" s="305"/>
      <c r="CH791" s="305"/>
      <c r="CI791" s="305"/>
      <c r="CJ791" s="305"/>
      <c r="CK791" s="305"/>
      <c r="CL791" s="305"/>
      <c r="CM791" s="305"/>
      <c r="CN791" s="305"/>
      <c r="CO791" s="305"/>
      <c r="CP791" s="305"/>
    </row>
    <row r="792" spans="26:94">
      <c r="Z792" s="305"/>
      <c r="AA792" s="305"/>
      <c r="AB792" s="305"/>
      <c r="AC792" s="305"/>
      <c r="AD792" s="305"/>
      <c r="AE792" s="305"/>
      <c r="AF792" s="305"/>
      <c r="AG792" s="305"/>
      <c r="AH792" s="305"/>
      <c r="AI792" s="305"/>
      <c r="AJ792" s="305"/>
      <c r="AK792" s="305"/>
      <c r="AL792" s="305"/>
      <c r="AM792" s="305"/>
      <c r="AN792" s="305"/>
      <c r="AO792" s="305"/>
      <c r="AP792" s="305"/>
      <c r="AQ792" s="305"/>
      <c r="AR792" s="305"/>
      <c r="AS792" s="305"/>
      <c r="AT792" s="305"/>
      <c r="AU792" s="305"/>
      <c r="AV792" s="305"/>
      <c r="AW792" s="305"/>
      <c r="AX792" s="305"/>
      <c r="AY792" s="305"/>
      <c r="AZ792" s="305"/>
      <c r="BA792" s="305"/>
      <c r="BB792" s="305"/>
      <c r="BC792" s="305"/>
      <c r="BJ792" s="305"/>
      <c r="BK792" s="305"/>
      <c r="BL792" s="305"/>
      <c r="BM792" s="305"/>
      <c r="BN792" s="305"/>
      <c r="BO792" s="305"/>
      <c r="BP792" s="305"/>
      <c r="BQ792" s="305"/>
      <c r="BR792" s="305"/>
      <c r="BS792" s="305"/>
      <c r="BT792" s="305"/>
      <c r="BU792" s="305"/>
      <c r="BV792" s="305"/>
      <c r="BW792" s="305"/>
      <c r="BX792" s="305"/>
      <c r="BY792" s="305"/>
      <c r="BZ792" s="305"/>
      <c r="CA792" s="305"/>
      <c r="CB792" s="305"/>
      <c r="CC792" s="305"/>
      <c r="CD792" s="305"/>
      <c r="CE792" s="305"/>
      <c r="CF792" s="305"/>
      <c r="CG792" s="305"/>
      <c r="CH792" s="305"/>
      <c r="CI792" s="305"/>
      <c r="CJ792" s="305"/>
      <c r="CK792" s="305"/>
      <c r="CL792" s="305"/>
      <c r="CM792" s="305"/>
      <c r="CN792" s="305"/>
      <c r="CO792" s="305"/>
      <c r="CP792" s="305"/>
    </row>
    <row r="793" spans="26:94">
      <c r="Z793" s="305"/>
      <c r="AA793" s="305"/>
      <c r="AB793" s="305"/>
      <c r="AC793" s="305"/>
      <c r="AD793" s="305"/>
      <c r="AE793" s="305"/>
      <c r="AF793" s="305"/>
      <c r="AG793" s="305"/>
      <c r="AH793" s="305"/>
      <c r="AI793" s="305"/>
      <c r="AJ793" s="305"/>
      <c r="AK793" s="305"/>
      <c r="AL793" s="305"/>
      <c r="AM793" s="305"/>
      <c r="AN793" s="305"/>
      <c r="AO793" s="305"/>
      <c r="AP793" s="305"/>
      <c r="AQ793" s="305"/>
      <c r="AR793" s="305"/>
      <c r="AS793" s="305"/>
      <c r="AT793" s="305"/>
      <c r="AU793" s="305"/>
      <c r="AV793" s="305"/>
      <c r="AW793" s="305"/>
      <c r="AX793" s="305"/>
      <c r="AY793" s="305"/>
      <c r="AZ793" s="305"/>
      <c r="BA793" s="305"/>
      <c r="BB793" s="305"/>
      <c r="BC793" s="305"/>
      <c r="BJ793" s="305"/>
      <c r="BK793" s="305"/>
      <c r="BL793" s="305"/>
      <c r="BM793" s="305"/>
      <c r="BN793" s="305"/>
      <c r="BO793" s="305"/>
      <c r="BP793" s="305"/>
      <c r="BQ793" s="305"/>
      <c r="BR793" s="305"/>
      <c r="BS793" s="305"/>
      <c r="BT793" s="305"/>
      <c r="BU793" s="305"/>
      <c r="BV793" s="305"/>
      <c r="BW793" s="305"/>
      <c r="BX793" s="305"/>
      <c r="BY793" s="305"/>
      <c r="BZ793" s="305"/>
      <c r="CA793" s="305"/>
      <c r="CB793" s="305"/>
      <c r="CC793" s="305"/>
      <c r="CD793" s="305"/>
      <c r="CE793" s="305"/>
      <c r="CF793" s="305"/>
      <c r="CG793" s="305"/>
      <c r="CH793" s="305"/>
      <c r="CI793" s="305"/>
      <c r="CJ793" s="305"/>
      <c r="CK793" s="305"/>
      <c r="CL793" s="305"/>
      <c r="CM793" s="305"/>
      <c r="CN793" s="305"/>
      <c r="CO793" s="305"/>
      <c r="CP793" s="305"/>
    </row>
    <row r="794" spans="26:94">
      <c r="Z794" s="305"/>
      <c r="AA794" s="305"/>
      <c r="AB794" s="305"/>
      <c r="AC794" s="305"/>
      <c r="AD794" s="305"/>
      <c r="AE794" s="305"/>
      <c r="AF794" s="305"/>
      <c r="AG794" s="305"/>
      <c r="AH794" s="305"/>
      <c r="AI794" s="305"/>
      <c r="AJ794" s="305"/>
      <c r="AK794" s="305"/>
      <c r="AL794" s="305"/>
      <c r="AM794" s="305"/>
      <c r="AN794" s="305"/>
      <c r="AO794" s="305"/>
      <c r="AP794" s="305"/>
      <c r="AQ794" s="305"/>
      <c r="AR794" s="305"/>
      <c r="AS794" s="305"/>
      <c r="AT794" s="305"/>
      <c r="AU794" s="305"/>
      <c r="AV794" s="305"/>
      <c r="AW794" s="305"/>
      <c r="AX794" s="305"/>
      <c r="AY794" s="305"/>
      <c r="AZ794" s="305"/>
      <c r="BA794" s="305"/>
      <c r="BB794" s="305"/>
      <c r="BC794" s="305"/>
      <c r="BJ794" s="305"/>
      <c r="BK794" s="305"/>
      <c r="BL794" s="305"/>
      <c r="BM794" s="305"/>
      <c r="BN794" s="305"/>
      <c r="BO794" s="305"/>
      <c r="BP794" s="305"/>
      <c r="BQ794" s="305"/>
      <c r="BR794" s="305"/>
      <c r="BS794" s="305"/>
      <c r="BT794" s="305"/>
      <c r="BU794" s="305"/>
      <c r="BV794" s="305"/>
      <c r="BW794" s="305"/>
      <c r="BX794" s="305"/>
      <c r="BY794" s="305"/>
      <c r="BZ794" s="305"/>
      <c r="CA794" s="305"/>
      <c r="CB794" s="305"/>
      <c r="CC794" s="305"/>
      <c r="CD794" s="305"/>
      <c r="CE794" s="305"/>
      <c r="CF794" s="305"/>
      <c r="CG794" s="305"/>
      <c r="CH794" s="305"/>
      <c r="CI794" s="305"/>
      <c r="CJ794" s="305"/>
      <c r="CK794" s="305"/>
      <c r="CL794" s="305"/>
      <c r="CM794" s="305"/>
      <c r="CN794" s="305"/>
      <c r="CO794" s="305"/>
      <c r="CP794" s="305"/>
    </row>
    <row r="795" spans="26:94">
      <c r="Z795" s="305"/>
      <c r="AA795" s="305"/>
      <c r="AB795" s="305"/>
      <c r="AC795" s="305"/>
      <c r="AD795" s="305"/>
      <c r="AE795" s="305"/>
      <c r="AF795" s="305"/>
      <c r="AG795" s="305"/>
      <c r="AH795" s="305"/>
      <c r="AI795" s="305"/>
      <c r="AJ795" s="305"/>
      <c r="AK795" s="305"/>
      <c r="AL795" s="305"/>
      <c r="AM795" s="305"/>
      <c r="AN795" s="305"/>
      <c r="AO795" s="305"/>
      <c r="AP795" s="305"/>
      <c r="AQ795" s="305"/>
      <c r="AR795" s="305"/>
      <c r="AS795" s="305"/>
      <c r="AT795" s="305"/>
      <c r="AU795" s="305"/>
      <c r="AV795" s="305"/>
      <c r="AW795" s="305"/>
      <c r="AX795" s="305"/>
      <c r="AY795" s="305"/>
      <c r="AZ795" s="305"/>
      <c r="BA795" s="305"/>
      <c r="BB795" s="305"/>
      <c r="BC795" s="305"/>
      <c r="BJ795" s="305"/>
      <c r="BK795" s="305"/>
      <c r="BL795" s="305"/>
      <c r="BM795" s="305"/>
      <c r="BN795" s="305"/>
      <c r="BO795" s="305"/>
      <c r="BP795" s="305"/>
      <c r="BQ795" s="305"/>
      <c r="BR795" s="305"/>
      <c r="BS795" s="305"/>
      <c r="BT795" s="305"/>
      <c r="BU795" s="305"/>
      <c r="BV795" s="305"/>
      <c r="BW795" s="305"/>
      <c r="BX795" s="305"/>
      <c r="BY795" s="305"/>
      <c r="BZ795" s="305"/>
      <c r="CA795" s="305"/>
      <c r="CB795" s="305"/>
      <c r="CC795" s="305"/>
      <c r="CD795" s="305"/>
      <c r="CE795" s="305"/>
      <c r="CF795" s="305"/>
      <c r="CG795" s="305"/>
      <c r="CH795" s="305"/>
      <c r="CI795" s="305"/>
      <c r="CJ795" s="305"/>
      <c r="CK795" s="305"/>
      <c r="CL795" s="305"/>
      <c r="CM795" s="305"/>
      <c r="CN795" s="305"/>
      <c r="CO795" s="305"/>
      <c r="CP795" s="305"/>
    </row>
    <row r="796" spans="26:94">
      <c r="Z796" s="305"/>
      <c r="AA796" s="305"/>
      <c r="AB796" s="305"/>
      <c r="AC796" s="305"/>
      <c r="AD796" s="305"/>
      <c r="AE796" s="305"/>
      <c r="AF796" s="305"/>
      <c r="AG796" s="305"/>
      <c r="AH796" s="305"/>
      <c r="AI796" s="305"/>
      <c r="AJ796" s="305"/>
      <c r="AK796" s="305"/>
      <c r="AL796" s="305"/>
      <c r="AM796" s="305"/>
      <c r="AN796" s="305"/>
      <c r="AO796" s="305"/>
      <c r="AP796" s="305"/>
      <c r="AQ796" s="305"/>
      <c r="AR796" s="305"/>
      <c r="AS796" s="305"/>
      <c r="AT796" s="305"/>
      <c r="AU796" s="305"/>
      <c r="AV796" s="305"/>
      <c r="AW796" s="305"/>
      <c r="AX796" s="305"/>
      <c r="AY796" s="305"/>
      <c r="AZ796" s="305"/>
      <c r="BA796" s="305"/>
      <c r="BB796" s="305"/>
      <c r="BC796" s="305"/>
      <c r="BJ796" s="305"/>
      <c r="BK796" s="305"/>
      <c r="BL796" s="305"/>
      <c r="BM796" s="305"/>
      <c r="BN796" s="305"/>
      <c r="BO796" s="305"/>
      <c r="BP796" s="305"/>
      <c r="BQ796" s="305"/>
      <c r="BR796" s="305"/>
      <c r="BS796" s="305"/>
      <c r="BT796" s="305"/>
      <c r="BU796" s="305"/>
      <c r="BV796" s="305"/>
      <c r="BW796" s="305"/>
      <c r="BX796" s="305"/>
      <c r="BY796" s="305"/>
      <c r="BZ796" s="305"/>
      <c r="CA796" s="305"/>
      <c r="CB796" s="305"/>
      <c r="CC796" s="305"/>
      <c r="CD796" s="305"/>
      <c r="CE796" s="305"/>
      <c r="CF796" s="305"/>
      <c r="CG796" s="305"/>
      <c r="CH796" s="305"/>
      <c r="CI796" s="305"/>
      <c r="CJ796" s="305"/>
      <c r="CK796" s="305"/>
      <c r="CL796" s="305"/>
      <c r="CM796" s="305"/>
      <c r="CN796" s="305"/>
      <c r="CO796" s="305"/>
      <c r="CP796" s="305"/>
    </row>
    <row r="797" spans="26:94">
      <c r="Z797" s="305"/>
      <c r="AA797" s="305"/>
      <c r="AB797" s="305"/>
      <c r="AC797" s="305"/>
      <c r="AD797" s="305"/>
      <c r="AE797" s="305"/>
      <c r="AF797" s="305"/>
      <c r="AG797" s="305"/>
      <c r="AH797" s="305"/>
      <c r="AI797" s="305"/>
      <c r="AJ797" s="305"/>
      <c r="AK797" s="305"/>
      <c r="AL797" s="305"/>
      <c r="AM797" s="305"/>
      <c r="AN797" s="305"/>
      <c r="AO797" s="305"/>
      <c r="AP797" s="305"/>
      <c r="AQ797" s="305"/>
      <c r="AR797" s="305"/>
      <c r="AS797" s="305"/>
      <c r="AT797" s="305"/>
      <c r="AU797" s="305"/>
      <c r="AV797" s="305"/>
      <c r="AW797" s="305"/>
      <c r="AX797" s="305"/>
      <c r="AY797" s="305"/>
      <c r="AZ797" s="305"/>
      <c r="BA797" s="305"/>
      <c r="BB797" s="305"/>
      <c r="BC797" s="305"/>
      <c r="BJ797" s="305"/>
      <c r="BK797" s="305"/>
      <c r="BL797" s="305"/>
      <c r="BM797" s="305"/>
      <c r="BN797" s="305"/>
      <c r="BO797" s="305"/>
      <c r="BP797" s="305"/>
      <c r="BQ797" s="305"/>
      <c r="BR797" s="305"/>
      <c r="BS797" s="305"/>
      <c r="BT797" s="305"/>
      <c r="BU797" s="305"/>
      <c r="BV797" s="305"/>
      <c r="BW797" s="305"/>
      <c r="BX797" s="305"/>
      <c r="BY797" s="305"/>
      <c r="BZ797" s="305"/>
      <c r="CA797" s="305"/>
      <c r="CB797" s="305"/>
      <c r="CC797" s="305"/>
      <c r="CD797" s="305"/>
      <c r="CE797" s="305"/>
      <c r="CF797" s="305"/>
      <c r="CG797" s="305"/>
      <c r="CH797" s="305"/>
      <c r="CI797" s="305"/>
      <c r="CJ797" s="305"/>
      <c r="CK797" s="305"/>
      <c r="CL797" s="305"/>
      <c r="CM797" s="305"/>
      <c r="CN797" s="305"/>
      <c r="CO797" s="305"/>
      <c r="CP797" s="305"/>
    </row>
    <row r="798" spans="26:94">
      <c r="Z798" s="305"/>
      <c r="AA798" s="305"/>
      <c r="AB798" s="305"/>
      <c r="AC798" s="305"/>
      <c r="AD798" s="305"/>
      <c r="AE798" s="305"/>
      <c r="AF798" s="305"/>
      <c r="AG798" s="305"/>
      <c r="AH798" s="305"/>
      <c r="AI798" s="305"/>
      <c r="AJ798" s="305"/>
      <c r="AK798" s="305"/>
      <c r="AL798" s="305"/>
      <c r="AM798" s="305"/>
      <c r="AN798" s="305"/>
      <c r="AO798" s="305"/>
      <c r="AP798" s="305"/>
      <c r="AQ798" s="305"/>
      <c r="AR798" s="305"/>
      <c r="AS798" s="305"/>
      <c r="AT798" s="305"/>
      <c r="AU798" s="305"/>
      <c r="AV798" s="305"/>
      <c r="AW798" s="305"/>
      <c r="AX798" s="305"/>
      <c r="AY798" s="305"/>
      <c r="AZ798" s="305"/>
      <c r="BA798" s="305"/>
      <c r="BB798" s="305"/>
      <c r="BC798" s="305"/>
      <c r="BJ798" s="305"/>
      <c r="BK798" s="305"/>
      <c r="BL798" s="305"/>
      <c r="BM798" s="305"/>
      <c r="BN798" s="305"/>
      <c r="BO798" s="305"/>
      <c r="BP798" s="305"/>
      <c r="BQ798" s="305"/>
      <c r="BR798" s="305"/>
      <c r="BS798" s="305"/>
      <c r="BT798" s="305"/>
      <c r="BU798" s="305"/>
      <c r="BV798" s="305"/>
      <c r="BW798" s="305"/>
      <c r="BX798" s="305"/>
      <c r="BY798" s="305"/>
      <c r="BZ798" s="305"/>
      <c r="CA798" s="305"/>
      <c r="CB798" s="305"/>
      <c r="CC798" s="305"/>
      <c r="CD798" s="305"/>
      <c r="CE798" s="305"/>
      <c r="CF798" s="305"/>
      <c r="CG798" s="305"/>
      <c r="CH798" s="305"/>
      <c r="CI798" s="305"/>
      <c r="CJ798" s="305"/>
      <c r="CK798" s="305"/>
      <c r="CL798" s="305"/>
      <c r="CM798" s="305"/>
      <c r="CN798" s="305"/>
      <c r="CO798" s="305"/>
      <c r="CP798" s="305"/>
    </row>
    <row r="799" spans="26:94">
      <c r="Z799" s="305"/>
      <c r="AA799" s="305"/>
      <c r="AB799" s="305"/>
      <c r="AC799" s="305"/>
      <c r="AD799" s="305"/>
      <c r="AE799" s="305"/>
      <c r="AF799" s="305"/>
      <c r="AG799" s="305"/>
      <c r="AH799" s="305"/>
      <c r="AI799" s="305"/>
      <c r="AJ799" s="305"/>
      <c r="AK799" s="305"/>
      <c r="AL799" s="305"/>
      <c r="AM799" s="305"/>
      <c r="AN799" s="305"/>
      <c r="AO799" s="305"/>
      <c r="AP799" s="305"/>
      <c r="AQ799" s="305"/>
      <c r="AR799" s="305"/>
      <c r="AS799" s="305"/>
      <c r="AT799" s="305"/>
      <c r="AU799" s="305"/>
      <c r="AV799" s="305"/>
      <c r="AW799" s="305"/>
      <c r="AX799" s="305"/>
      <c r="AY799" s="305"/>
      <c r="AZ799" s="305"/>
      <c r="BA799" s="305"/>
      <c r="BB799" s="305"/>
      <c r="BC799" s="305"/>
      <c r="BJ799" s="305"/>
      <c r="BK799" s="305"/>
      <c r="BL799" s="305"/>
      <c r="BM799" s="305"/>
      <c r="BN799" s="305"/>
      <c r="BO799" s="305"/>
      <c r="BP799" s="305"/>
      <c r="BQ799" s="305"/>
      <c r="BR799" s="305"/>
      <c r="BS799" s="305"/>
      <c r="BT799" s="305"/>
      <c r="BU799" s="305"/>
      <c r="BV799" s="305"/>
      <c r="BW799" s="305"/>
      <c r="BX799" s="305"/>
      <c r="BY799" s="305"/>
      <c r="BZ799" s="305"/>
      <c r="CA799" s="305"/>
      <c r="CB799" s="305"/>
      <c r="CC799" s="305"/>
      <c r="CD799" s="305"/>
      <c r="CE799" s="305"/>
      <c r="CF799" s="305"/>
      <c r="CG799" s="305"/>
      <c r="CH799" s="305"/>
      <c r="CI799" s="305"/>
      <c r="CJ799" s="305"/>
      <c r="CK799" s="305"/>
      <c r="CL799" s="305"/>
      <c r="CM799" s="305"/>
      <c r="CN799" s="305"/>
      <c r="CO799" s="305"/>
      <c r="CP799" s="305"/>
    </row>
    <row r="800" spans="26:94">
      <c r="Z800" s="305"/>
      <c r="AA800" s="305"/>
      <c r="AB800" s="305"/>
      <c r="AC800" s="305"/>
      <c r="AD800" s="305"/>
      <c r="AE800" s="305"/>
      <c r="AF800" s="305"/>
      <c r="AG800" s="305"/>
      <c r="AH800" s="305"/>
      <c r="AI800" s="305"/>
      <c r="AJ800" s="305"/>
      <c r="AK800" s="305"/>
      <c r="AL800" s="305"/>
      <c r="AM800" s="305"/>
      <c r="AN800" s="305"/>
      <c r="AO800" s="305"/>
      <c r="AP800" s="305"/>
      <c r="AQ800" s="305"/>
      <c r="AR800" s="305"/>
      <c r="AS800" s="305"/>
      <c r="AT800" s="305"/>
      <c r="AU800" s="305"/>
      <c r="AV800" s="305"/>
      <c r="AW800" s="305"/>
      <c r="AX800" s="305"/>
      <c r="AY800" s="305"/>
      <c r="AZ800" s="305"/>
      <c r="BA800" s="305"/>
      <c r="BB800" s="305"/>
      <c r="BC800" s="305"/>
      <c r="BJ800" s="305"/>
      <c r="BK800" s="305"/>
      <c r="BL800" s="305"/>
      <c r="BM800" s="305"/>
      <c r="BN800" s="305"/>
      <c r="BO800" s="305"/>
      <c r="BP800" s="305"/>
      <c r="BQ800" s="305"/>
      <c r="BR800" s="305"/>
      <c r="BS800" s="305"/>
      <c r="BT800" s="305"/>
      <c r="BU800" s="305"/>
      <c r="BV800" s="305"/>
      <c r="BW800" s="305"/>
      <c r="BX800" s="305"/>
      <c r="BY800" s="305"/>
      <c r="BZ800" s="305"/>
      <c r="CA800" s="305"/>
      <c r="CB800" s="305"/>
      <c r="CC800" s="305"/>
      <c r="CD800" s="305"/>
      <c r="CE800" s="305"/>
      <c r="CF800" s="305"/>
      <c r="CG800" s="305"/>
      <c r="CH800" s="305"/>
      <c r="CI800" s="305"/>
      <c r="CJ800" s="305"/>
      <c r="CK800" s="305"/>
      <c r="CL800" s="305"/>
      <c r="CM800" s="305"/>
      <c r="CN800" s="305"/>
      <c r="CO800" s="305"/>
      <c r="CP800" s="305"/>
    </row>
    <row r="801" spans="26:94">
      <c r="Z801" s="305"/>
      <c r="AA801" s="305"/>
      <c r="AB801" s="305"/>
      <c r="AC801" s="305"/>
      <c r="AD801" s="305"/>
      <c r="AE801" s="305"/>
      <c r="AF801" s="305"/>
      <c r="AG801" s="305"/>
      <c r="AH801" s="305"/>
      <c r="AI801" s="305"/>
      <c r="AJ801" s="305"/>
      <c r="AK801" s="305"/>
      <c r="AL801" s="305"/>
      <c r="AM801" s="305"/>
      <c r="AN801" s="305"/>
      <c r="AO801" s="305"/>
      <c r="AP801" s="305"/>
      <c r="AQ801" s="305"/>
      <c r="AR801" s="305"/>
      <c r="AS801" s="305"/>
      <c r="AT801" s="305"/>
      <c r="AU801" s="305"/>
      <c r="AV801" s="305"/>
      <c r="AW801" s="305"/>
      <c r="AX801" s="305"/>
      <c r="AY801" s="305"/>
      <c r="AZ801" s="305"/>
      <c r="BA801" s="305"/>
      <c r="BB801" s="305"/>
      <c r="BC801" s="305"/>
      <c r="BJ801" s="305"/>
      <c r="BK801" s="305"/>
      <c r="BL801" s="305"/>
      <c r="BM801" s="305"/>
      <c r="BN801" s="305"/>
      <c r="BO801" s="305"/>
      <c r="BP801" s="305"/>
      <c r="BQ801" s="305"/>
      <c r="BR801" s="305"/>
      <c r="BS801" s="305"/>
      <c r="BT801" s="305"/>
      <c r="BU801" s="305"/>
      <c r="BV801" s="305"/>
      <c r="BW801" s="305"/>
      <c r="BX801" s="305"/>
      <c r="BY801" s="305"/>
      <c r="BZ801" s="305"/>
      <c r="CA801" s="305"/>
      <c r="CB801" s="305"/>
      <c r="CC801" s="305"/>
      <c r="CD801" s="305"/>
      <c r="CE801" s="305"/>
      <c r="CF801" s="305"/>
      <c r="CG801" s="305"/>
      <c r="CH801" s="305"/>
      <c r="CI801" s="305"/>
      <c r="CJ801" s="305"/>
      <c r="CK801" s="305"/>
      <c r="CL801" s="305"/>
      <c r="CM801" s="305"/>
      <c r="CN801" s="305"/>
      <c r="CO801" s="305"/>
      <c r="CP801" s="305"/>
    </row>
    <row r="802" spans="26:94">
      <c r="Z802" s="305"/>
      <c r="AA802" s="305"/>
      <c r="AB802" s="305"/>
      <c r="AC802" s="305"/>
      <c r="AD802" s="305"/>
      <c r="AE802" s="305"/>
      <c r="AF802" s="305"/>
      <c r="AG802" s="305"/>
      <c r="AH802" s="305"/>
      <c r="AI802" s="305"/>
      <c r="AJ802" s="305"/>
      <c r="AK802" s="305"/>
      <c r="AL802" s="305"/>
      <c r="AM802" s="305"/>
      <c r="AN802" s="305"/>
      <c r="AO802" s="305"/>
      <c r="AP802" s="305"/>
      <c r="AQ802" s="305"/>
      <c r="AR802" s="305"/>
      <c r="AS802" s="305"/>
      <c r="AT802" s="305"/>
      <c r="AU802" s="305"/>
      <c r="AV802" s="305"/>
      <c r="AW802" s="305"/>
      <c r="AX802" s="305"/>
      <c r="AY802" s="305"/>
      <c r="AZ802" s="305"/>
      <c r="BA802" s="305"/>
      <c r="BB802" s="305"/>
      <c r="BC802" s="305"/>
      <c r="BJ802" s="305"/>
      <c r="BK802" s="305"/>
      <c r="BL802" s="305"/>
      <c r="BM802" s="305"/>
      <c r="BN802" s="305"/>
      <c r="BO802" s="305"/>
      <c r="BP802" s="305"/>
      <c r="BQ802" s="305"/>
      <c r="BR802" s="305"/>
      <c r="BS802" s="305"/>
      <c r="BT802" s="305"/>
      <c r="BU802" s="305"/>
      <c r="BV802" s="305"/>
      <c r="BW802" s="305"/>
      <c r="BX802" s="305"/>
      <c r="BY802" s="305"/>
      <c r="BZ802" s="305"/>
      <c r="CA802" s="305"/>
      <c r="CB802" s="305"/>
      <c r="CC802" s="305"/>
      <c r="CD802" s="305"/>
      <c r="CE802" s="305"/>
      <c r="CF802" s="305"/>
      <c r="CG802" s="305"/>
      <c r="CH802" s="305"/>
      <c r="CI802" s="305"/>
      <c r="CJ802" s="305"/>
      <c r="CK802" s="305"/>
      <c r="CL802" s="305"/>
      <c r="CM802" s="305"/>
      <c r="CN802" s="305"/>
      <c r="CO802" s="305"/>
      <c r="CP802" s="305"/>
    </row>
    <row r="803" spans="26:94">
      <c r="Z803" s="305"/>
      <c r="AA803" s="305"/>
      <c r="AB803" s="305"/>
      <c r="AC803" s="305"/>
      <c r="AD803" s="305"/>
      <c r="AE803" s="305"/>
      <c r="AF803" s="305"/>
      <c r="AG803" s="305"/>
      <c r="AH803" s="305"/>
      <c r="AI803" s="305"/>
      <c r="AJ803" s="305"/>
      <c r="AK803" s="305"/>
      <c r="AL803" s="305"/>
      <c r="AM803" s="305"/>
      <c r="AN803" s="305"/>
      <c r="AO803" s="305"/>
      <c r="AP803" s="305"/>
      <c r="AQ803" s="305"/>
      <c r="AR803" s="305"/>
      <c r="AS803" s="305"/>
      <c r="AT803" s="305"/>
      <c r="AU803" s="305"/>
      <c r="AV803" s="305"/>
      <c r="AW803" s="305"/>
      <c r="AX803" s="305"/>
      <c r="AY803" s="305"/>
      <c r="AZ803" s="305"/>
      <c r="BA803" s="305"/>
      <c r="BB803" s="305"/>
      <c r="BC803" s="305"/>
      <c r="BJ803" s="305"/>
      <c r="BK803" s="305"/>
      <c r="BL803" s="305"/>
      <c r="BM803" s="305"/>
      <c r="BN803" s="305"/>
      <c r="BO803" s="305"/>
      <c r="BP803" s="305"/>
      <c r="BQ803" s="305"/>
      <c r="BR803" s="305"/>
      <c r="BS803" s="305"/>
      <c r="BT803" s="305"/>
      <c r="BU803" s="305"/>
      <c r="BV803" s="305"/>
      <c r="BW803" s="305"/>
      <c r="BX803" s="305"/>
      <c r="BY803" s="305"/>
      <c r="BZ803" s="305"/>
      <c r="CA803" s="305"/>
      <c r="CB803" s="305"/>
      <c r="CC803" s="305"/>
      <c r="CD803" s="305"/>
      <c r="CE803" s="305"/>
      <c r="CF803" s="305"/>
      <c r="CG803" s="305"/>
      <c r="CH803" s="305"/>
      <c r="CI803" s="305"/>
      <c r="CJ803" s="305"/>
      <c r="CK803" s="305"/>
      <c r="CL803" s="305"/>
      <c r="CM803" s="305"/>
      <c r="CN803" s="305"/>
      <c r="CO803" s="305"/>
      <c r="CP803" s="305"/>
    </row>
    <row r="804" spans="26:94">
      <c r="Z804" s="305"/>
      <c r="AA804" s="305"/>
      <c r="AB804" s="305"/>
      <c r="AC804" s="305"/>
      <c r="AD804" s="305"/>
      <c r="AE804" s="305"/>
      <c r="AF804" s="305"/>
      <c r="AG804" s="305"/>
      <c r="AH804" s="305"/>
      <c r="AI804" s="305"/>
      <c r="AJ804" s="305"/>
      <c r="AK804" s="305"/>
      <c r="AL804" s="305"/>
      <c r="AM804" s="305"/>
      <c r="AN804" s="305"/>
      <c r="AO804" s="305"/>
      <c r="AP804" s="305"/>
      <c r="AQ804" s="305"/>
      <c r="AR804" s="305"/>
      <c r="AS804" s="305"/>
      <c r="AT804" s="305"/>
      <c r="AU804" s="305"/>
      <c r="AV804" s="305"/>
      <c r="AW804" s="305"/>
      <c r="AX804" s="305"/>
      <c r="AY804" s="305"/>
      <c r="AZ804" s="305"/>
      <c r="BA804" s="305"/>
      <c r="BB804" s="305"/>
      <c r="BC804" s="305"/>
      <c r="BJ804" s="305"/>
      <c r="BK804" s="305"/>
      <c r="BL804" s="305"/>
      <c r="BM804" s="305"/>
      <c r="BN804" s="305"/>
      <c r="BO804" s="305"/>
      <c r="BP804" s="305"/>
      <c r="BQ804" s="305"/>
      <c r="BR804" s="305"/>
      <c r="BS804" s="305"/>
      <c r="BT804" s="305"/>
      <c r="BU804" s="305"/>
      <c r="BV804" s="305"/>
      <c r="BW804" s="305"/>
      <c r="BX804" s="305"/>
      <c r="BY804" s="305"/>
      <c r="BZ804" s="305"/>
      <c r="CA804" s="305"/>
      <c r="CB804" s="305"/>
      <c r="CC804" s="305"/>
      <c r="CD804" s="305"/>
      <c r="CE804" s="305"/>
      <c r="CF804" s="305"/>
      <c r="CG804" s="305"/>
      <c r="CH804" s="305"/>
      <c r="CI804" s="305"/>
      <c r="CJ804" s="305"/>
      <c r="CK804" s="305"/>
      <c r="CL804" s="305"/>
      <c r="CM804" s="305"/>
      <c r="CN804" s="305"/>
      <c r="CO804" s="305"/>
      <c r="CP804" s="305"/>
    </row>
    <row r="805" spans="26:94">
      <c r="Z805" s="305"/>
      <c r="AA805" s="305"/>
      <c r="AB805" s="305"/>
      <c r="AC805" s="305"/>
      <c r="AD805" s="305"/>
      <c r="AE805" s="305"/>
      <c r="AF805" s="305"/>
      <c r="AG805" s="305"/>
      <c r="AH805" s="305"/>
      <c r="AI805" s="305"/>
      <c r="AJ805" s="305"/>
      <c r="AK805" s="305"/>
      <c r="AL805" s="305"/>
      <c r="AM805" s="305"/>
      <c r="AN805" s="305"/>
      <c r="AO805" s="305"/>
      <c r="AP805" s="305"/>
      <c r="AQ805" s="305"/>
      <c r="AR805" s="305"/>
      <c r="AS805" s="305"/>
      <c r="AT805" s="305"/>
      <c r="AU805" s="305"/>
      <c r="AV805" s="305"/>
      <c r="AW805" s="305"/>
      <c r="AX805" s="305"/>
      <c r="AY805" s="305"/>
      <c r="AZ805" s="305"/>
      <c r="BA805" s="305"/>
      <c r="BB805" s="305"/>
      <c r="BC805" s="305"/>
      <c r="BJ805" s="305"/>
      <c r="BK805" s="305"/>
      <c r="BL805" s="305"/>
      <c r="BM805" s="305"/>
      <c r="BN805" s="305"/>
      <c r="BO805" s="305"/>
      <c r="BP805" s="305"/>
      <c r="BQ805" s="305"/>
      <c r="BR805" s="305"/>
      <c r="BS805" s="305"/>
      <c r="BT805" s="305"/>
      <c r="BU805" s="305"/>
      <c r="BV805" s="305"/>
      <c r="BW805" s="305"/>
      <c r="BX805" s="305"/>
      <c r="BY805" s="305"/>
      <c r="BZ805" s="305"/>
      <c r="CA805" s="305"/>
      <c r="CB805" s="305"/>
      <c r="CC805" s="305"/>
      <c r="CD805" s="305"/>
      <c r="CE805" s="305"/>
      <c r="CF805" s="305"/>
      <c r="CG805" s="305"/>
      <c r="CH805" s="305"/>
      <c r="CI805" s="305"/>
      <c r="CJ805" s="305"/>
      <c r="CK805" s="305"/>
      <c r="CL805" s="305"/>
      <c r="CM805" s="305"/>
      <c r="CN805" s="305"/>
      <c r="CO805" s="305"/>
      <c r="CP805" s="305"/>
    </row>
    <row r="806" spans="26:94">
      <c r="Z806" s="305"/>
      <c r="AA806" s="305"/>
      <c r="AB806" s="305"/>
      <c r="AC806" s="305"/>
      <c r="AD806" s="305"/>
      <c r="AE806" s="305"/>
      <c r="AF806" s="305"/>
      <c r="AG806" s="305"/>
      <c r="AH806" s="305"/>
      <c r="AI806" s="305"/>
      <c r="AJ806" s="305"/>
      <c r="AK806" s="305"/>
      <c r="AL806" s="305"/>
      <c r="AM806" s="305"/>
      <c r="AN806" s="305"/>
      <c r="AO806" s="305"/>
      <c r="AP806" s="305"/>
      <c r="AQ806" s="305"/>
      <c r="AR806" s="305"/>
      <c r="AS806" s="305"/>
      <c r="AT806" s="305"/>
      <c r="AU806" s="305"/>
      <c r="AV806" s="305"/>
      <c r="AW806" s="305"/>
      <c r="AX806" s="305"/>
      <c r="AY806" s="305"/>
      <c r="AZ806" s="305"/>
      <c r="BA806" s="305"/>
      <c r="BB806" s="305"/>
      <c r="BC806" s="305"/>
      <c r="BJ806" s="305"/>
      <c r="BK806" s="305"/>
      <c r="BL806" s="305"/>
      <c r="BM806" s="305"/>
      <c r="BN806" s="305"/>
      <c r="BO806" s="305"/>
      <c r="BP806" s="305"/>
      <c r="BQ806" s="305"/>
      <c r="BR806" s="305"/>
      <c r="BS806" s="305"/>
      <c r="BT806" s="305"/>
      <c r="BU806" s="305"/>
      <c r="BV806" s="305"/>
      <c r="BW806" s="305"/>
      <c r="BX806" s="305"/>
      <c r="BY806" s="305"/>
      <c r="BZ806" s="305"/>
      <c r="CA806" s="305"/>
      <c r="CB806" s="305"/>
      <c r="CC806" s="305"/>
      <c r="CD806" s="305"/>
      <c r="CE806" s="305"/>
      <c r="CF806" s="305"/>
      <c r="CG806" s="305"/>
      <c r="CH806" s="305"/>
      <c r="CI806" s="305"/>
      <c r="CJ806" s="305"/>
      <c r="CK806" s="305"/>
      <c r="CL806" s="305"/>
      <c r="CM806" s="305"/>
      <c r="CN806" s="305"/>
      <c r="CO806" s="305"/>
      <c r="CP806" s="305"/>
    </row>
    <row r="807" spans="26:94">
      <c r="Z807" s="305"/>
      <c r="AA807" s="305"/>
      <c r="AB807" s="305"/>
      <c r="AC807" s="305"/>
      <c r="AD807" s="305"/>
      <c r="AE807" s="305"/>
      <c r="AF807" s="305"/>
      <c r="AG807" s="305"/>
      <c r="AH807" s="305"/>
      <c r="AI807" s="305"/>
      <c r="AJ807" s="305"/>
      <c r="AK807" s="305"/>
      <c r="AL807" s="305"/>
      <c r="AM807" s="305"/>
      <c r="AN807" s="305"/>
      <c r="AO807" s="305"/>
      <c r="AP807" s="305"/>
      <c r="AQ807" s="305"/>
      <c r="AR807" s="305"/>
      <c r="AS807" s="305"/>
      <c r="AT807" s="305"/>
      <c r="AU807" s="305"/>
      <c r="AV807" s="305"/>
      <c r="AW807" s="305"/>
      <c r="AX807" s="305"/>
      <c r="AY807" s="305"/>
      <c r="AZ807" s="305"/>
      <c r="BA807" s="305"/>
      <c r="BB807" s="305"/>
      <c r="BC807" s="305"/>
      <c r="BJ807" s="305"/>
      <c r="BK807" s="305"/>
      <c r="BL807" s="305"/>
      <c r="BM807" s="305"/>
      <c r="BN807" s="305"/>
      <c r="BO807" s="305"/>
      <c r="BP807" s="305"/>
      <c r="BQ807" s="305"/>
      <c r="BR807" s="305"/>
      <c r="BS807" s="305"/>
      <c r="BT807" s="305"/>
      <c r="BU807" s="305"/>
      <c r="BV807" s="305"/>
      <c r="BW807" s="305"/>
      <c r="BX807" s="305"/>
      <c r="BY807" s="305"/>
      <c r="BZ807" s="305"/>
      <c r="CA807" s="305"/>
      <c r="CB807" s="305"/>
      <c r="CC807" s="305"/>
      <c r="CD807" s="305"/>
      <c r="CE807" s="305"/>
      <c r="CF807" s="305"/>
      <c r="CG807" s="305"/>
      <c r="CH807" s="305"/>
      <c r="CI807" s="305"/>
      <c r="CJ807" s="305"/>
      <c r="CK807" s="305"/>
      <c r="CL807" s="305"/>
      <c r="CM807" s="305"/>
      <c r="CN807" s="305"/>
      <c r="CO807" s="305"/>
      <c r="CP807" s="305"/>
    </row>
    <row r="808" spans="26:94">
      <c r="Z808" s="305"/>
      <c r="AA808" s="305"/>
      <c r="AB808" s="305"/>
      <c r="AC808" s="305"/>
      <c r="AD808" s="305"/>
      <c r="AE808" s="305"/>
      <c r="AF808" s="305"/>
      <c r="AG808" s="305"/>
      <c r="AH808" s="305"/>
      <c r="AI808" s="305"/>
      <c r="AJ808" s="305"/>
      <c r="AK808" s="305"/>
      <c r="AL808" s="305"/>
      <c r="AM808" s="305"/>
      <c r="AN808" s="305"/>
      <c r="AO808" s="305"/>
      <c r="AP808" s="305"/>
      <c r="AQ808" s="305"/>
      <c r="AR808" s="305"/>
      <c r="AS808" s="305"/>
      <c r="AT808" s="305"/>
      <c r="AU808" s="305"/>
      <c r="AV808" s="305"/>
      <c r="AW808" s="305"/>
      <c r="AX808" s="305"/>
      <c r="AY808" s="305"/>
      <c r="AZ808" s="305"/>
      <c r="BA808" s="305"/>
      <c r="BB808" s="305"/>
      <c r="BC808" s="305"/>
      <c r="BJ808" s="305"/>
      <c r="BK808" s="305"/>
      <c r="BL808" s="305"/>
      <c r="BM808" s="305"/>
      <c r="BN808" s="305"/>
      <c r="BO808" s="305"/>
      <c r="BP808" s="305"/>
      <c r="BQ808" s="305"/>
      <c r="BR808" s="305"/>
      <c r="BS808" s="305"/>
      <c r="BT808" s="305"/>
      <c r="BU808" s="305"/>
      <c r="BV808" s="305"/>
      <c r="BW808" s="305"/>
      <c r="BX808" s="305"/>
      <c r="BY808" s="305"/>
      <c r="BZ808" s="305"/>
      <c r="CA808" s="305"/>
      <c r="CB808" s="305"/>
      <c r="CC808" s="305"/>
      <c r="CD808" s="305"/>
      <c r="CE808" s="305"/>
      <c r="CF808" s="305"/>
      <c r="CG808" s="305"/>
      <c r="CH808" s="305"/>
      <c r="CI808" s="305"/>
      <c r="CJ808" s="305"/>
      <c r="CK808" s="305"/>
      <c r="CL808" s="305"/>
      <c r="CM808" s="305"/>
      <c r="CN808" s="305"/>
      <c r="CO808" s="305"/>
      <c r="CP808" s="305"/>
    </row>
    <row r="809" spans="26:94">
      <c r="Z809" s="305"/>
      <c r="AA809" s="305"/>
      <c r="AB809" s="305"/>
      <c r="AC809" s="305"/>
      <c r="AD809" s="305"/>
      <c r="AE809" s="305"/>
      <c r="AF809" s="305"/>
      <c r="AG809" s="305"/>
      <c r="AH809" s="305"/>
      <c r="AI809" s="305"/>
      <c r="AJ809" s="305"/>
      <c r="AK809" s="305"/>
      <c r="AL809" s="305"/>
      <c r="AM809" s="305"/>
      <c r="AN809" s="305"/>
      <c r="AO809" s="305"/>
      <c r="AP809" s="305"/>
      <c r="AQ809" s="305"/>
      <c r="AR809" s="305"/>
      <c r="AS809" s="305"/>
      <c r="AT809" s="305"/>
      <c r="AU809" s="305"/>
      <c r="AV809" s="305"/>
      <c r="AW809" s="305"/>
      <c r="AX809" s="305"/>
      <c r="AY809" s="305"/>
      <c r="AZ809" s="305"/>
      <c r="BA809" s="305"/>
      <c r="BB809" s="305"/>
      <c r="BC809" s="305"/>
      <c r="BJ809" s="305"/>
      <c r="BK809" s="305"/>
      <c r="BL809" s="305"/>
      <c r="BM809" s="305"/>
      <c r="BN809" s="305"/>
      <c r="BO809" s="305"/>
      <c r="BP809" s="305"/>
      <c r="BQ809" s="305"/>
      <c r="BR809" s="305"/>
      <c r="BS809" s="305"/>
      <c r="BT809" s="305"/>
      <c r="BU809" s="305"/>
      <c r="BV809" s="305"/>
      <c r="BW809" s="305"/>
      <c r="BX809" s="305"/>
      <c r="BY809" s="305"/>
      <c r="BZ809" s="305"/>
      <c r="CA809" s="305"/>
      <c r="CB809" s="305"/>
      <c r="CC809" s="305"/>
      <c r="CD809" s="305"/>
      <c r="CE809" s="305"/>
      <c r="CF809" s="305"/>
      <c r="CG809" s="305"/>
      <c r="CH809" s="305"/>
      <c r="CI809" s="305"/>
      <c r="CJ809" s="305"/>
      <c r="CK809" s="305"/>
      <c r="CL809" s="305"/>
      <c r="CM809" s="305"/>
      <c r="CN809" s="305"/>
      <c r="CO809" s="305"/>
      <c r="CP809" s="305"/>
    </row>
    <row r="810" spans="26:94">
      <c r="Z810" s="305"/>
      <c r="AA810" s="305"/>
      <c r="AB810" s="305"/>
      <c r="AC810" s="305"/>
      <c r="AD810" s="305"/>
      <c r="AE810" s="305"/>
      <c r="AF810" s="305"/>
      <c r="AG810" s="305"/>
      <c r="AH810" s="305"/>
      <c r="AI810" s="305"/>
      <c r="AJ810" s="305"/>
      <c r="AK810" s="305"/>
      <c r="AL810" s="305"/>
      <c r="AM810" s="305"/>
      <c r="AN810" s="305"/>
      <c r="AO810" s="305"/>
      <c r="AP810" s="305"/>
      <c r="AQ810" s="305"/>
      <c r="AR810" s="305"/>
      <c r="AS810" s="305"/>
      <c r="AT810" s="305"/>
      <c r="AU810" s="305"/>
      <c r="AV810" s="305"/>
      <c r="AW810" s="305"/>
      <c r="AX810" s="305"/>
      <c r="AY810" s="305"/>
      <c r="AZ810" s="305"/>
      <c r="BA810" s="305"/>
      <c r="BB810" s="305"/>
      <c r="BC810" s="305"/>
      <c r="BJ810" s="305"/>
      <c r="BK810" s="305"/>
      <c r="BL810" s="305"/>
      <c r="BM810" s="305"/>
      <c r="BN810" s="305"/>
      <c r="BO810" s="305"/>
      <c r="BP810" s="305"/>
      <c r="BQ810" s="305"/>
      <c r="BR810" s="305"/>
      <c r="BS810" s="305"/>
      <c r="BT810" s="305"/>
      <c r="BU810" s="305"/>
      <c r="BV810" s="305"/>
      <c r="BW810" s="305"/>
      <c r="BX810" s="305"/>
      <c r="BY810" s="305"/>
      <c r="BZ810" s="305"/>
      <c r="CA810" s="305"/>
      <c r="CB810" s="305"/>
      <c r="CC810" s="305"/>
      <c r="CD810" s="305"/>
      <c r="CE810" s="305"/>
      <c r="CF810" s="305"/>
      <c r="CG810" s="305"/>
      <c r="CH810" s="305"/>
      <c r="CI810" s="305"/>
      <c r="CJ810" s="305"/>
      <c r="CK810" s="305"/>
      <c r="CL810" s="305"/>
      <c r="CM810" s="305"/>
      <c r="CN810" s="305"/>
      <c r="CO810" s="305"/>
      <c r="CP810" s="305"/>
    </row>
    <row r="811" spans="26:94">
      <c r="Z811" s="305"/>
      <c r="AA811" s="305"/>
      <c r="AB811" s="305"/>
      <c r="AC811" s="305"/>
      <c r="AD811" s="305"/>
      <c r="AE811" s="305"/>
      <c r="AF811" s="305"/>
      <c r="AG811" s="305"/>
      <c r="AH811" s="305"/>
      <c r="AI811" s="305"/>
      <c r="AJ811" s="305"/>
      <c r="AK811" s="305"/>
      <c r="AL811" s="305"/>
      <c r="AM811" s="305"/>
      <c r="AN811" s="305"/>
      <c r="AO811" s="305"/>
      <c r="AP811" s="305"/>
      <c r="AQ811" s="305"/>
      <c r="AR811" s="305"/>
      <c r="AS811" s="305"/>
      <c r="AT811" s="305"/>
      <c r="AU811" s="305"/>
      <c r="AV811" s="305"/>
      <c r="AW811" s="305"/>
      <c r="AX811" s="305"/>
      <c r="AY811" s="305"/>
      <c r="AZ811" s="305"/>
      <c r="BA811" s="305"/>
      <c r="BB811" s="305"/>
      <c r="BC811" s="305"/>
      <c r="BJ811" s="305"/>
      <c r="BK811" s="305"/>
      <c r="BL811" s="305"/>
      <c r="BM811" s="305"/>
      <c r="BN811" s="305"/>
      <c r="BO811" s="305"/>
      <c r="BP811" s="305"/>
      <c r="BQ811" s="305"/>
      <c r="BR811" s="305"/>
      <c r="BS811" s="305"/>
      <c r="BT811" s="305"/>
      <c r="BU811" s="305"/>
      <c r="BV811" s="305"/>
      <c r="BW811" s="305"/>
      <c r="BX811" s="305"/>
      <c r="BY811" s="305"/>
      <c r="BZ811" s="305"/>
      <c r="CA811" s="305"/>
      <c r="CB811" s="305"/>
      <c r="CC811" s="305"/>
      <c r="CD811" s="305"/>
      <c r="CE811" s="305"/>
      <c r="CF811" s="305"/>
      <c r="CG811" s="305"/>
      <c r="CH811" s="305"/>
      <c r="CI811" s="305"/>
      <c r="CJ811" s="305"/>
      <c r="CK811" s="305"/>
      <c r="CL811" s="305"/>
      <c r="CM811" s="305"/>
      <c r="CN811" s="305"/>
      <c r="CO811" s="305"/>
      <c r="CP811" s="305"/>
    </row>
    <row r="812" spans="26:94">
      <c r="Z812" s="305"/>
      <c r="AA812" s="305"/>
      <c r="AB812" s="305"/>
      <c r="AC812" s="305"/>
      <c r="AD812" s="305"/>
      <c r="AE812" s="305"/>
      <c r="AF812" s="305"/>
      <c r="AG812" s="305"/>
      <c r="AH812" s="305"/>
      <c r="AI812" s="305"/>
      <c r="AJ812" s="305"/>
      <c r="AK812" s="305"/>
      <c r="AL812" s="305"/>
      <c r="AM812" s="305"/>
      <c r="AN812" s="305"/>
      <c r="AO812" s="305"/>
      <c r="AP812" s="305"/>
      <c r="AQ812" s="305"/>
      <c r="AR812" s="305"/>
      <c r="AS812" s="305"/>
      <c r="AT812" s="305"/>
      <c r="AU812" s="305"/>
      <c r="AV812" s="305"/>
      <c r="AW812" s="305"/>
      <c r="AX812" s="305"/>
      <c r="AY812" s="305"/>
      <c r="AZ812" s="305"/>
      <c r="BA812" s="305"/>
      <c r="BB812" s="305"/>
      <c r="BC812" s="305"/>
      <c r="BJ812" s="305"/>
      <c r="BK812" s="305"/>
      <c r="BL812" s="305"/>
      <c r="BM812" s="305"/>
      <c r="BN812" s="305"/>
      <c r="BO812" s="305"/>
      <c r="BP812" s="305"/>
      <c r="BQ812" s="305"/>
      <c r="BR812" s="305"/>
      <c r="BS812" s="305"/>
      <c r="BT812" s="305"/>
      <c r="BU812" s="305"/>
      <c r="BV812" s="305"/>
      <c r="BW812" s="305"/>
      <c r="BX812" s="305"/>
      <c r="BY812" s="305"/>
      <c r="BZ812" s="305"/>
      <c r="CA812" s="305"/>
      <c r="CB812" s="305"/>
      <c r="CC812" s="305"/>
      <c r="CD812" s="305"/>
      <c r="CE812" s="305"/>
      <c r="CF812" s="305"/>
      <c r="CG812" s="305"/>
      <c r="CH812" s="305"/>
      <c r="CI812" s="305"/>
      <c r="CJ812" s="305"/>
      <c r="CK812" s="305"/>
      <c r="CL812" s="305"/>
      <c r="CM812" s="305"/>
      <c r="CN812" s="305"/>
      <c r="CO812" s="305"/>
      <c r="CP812" s="305"/>
    </row>
    <row r="813" spans="26:94">
      <c r="Z813" s="305"/>
      <c r="AA813" s="305"/>
      <c r="AB813" s="305"/>
      <c r="AC813" s="305"/>
      <c r="AD813" s="305"/>
      <c r="AE813" s="305"/>
      <c r="AF813" s="305"/>
      <c r="AG813" s="305"/>
      <c r="AH813" s="305"/>
      <c r="AI813" s="305"/>
      <c r="AJ813" s="305"/>
      <c r="AK813" s="305"/>
      <c r="AL813" s="305"/>
      <c r="AM813" s="305"/>
      <c r="AN813" s="305"/>
      <c r="AO813" s="305"/>
      <c r="AP813" s="305"/>
      <c r="AQ813" s="305"/>
      <c r="AR813" s="305"/>
      <c r="AS813" s="305"/>
      <c r="AT813" s="305"/>
      <c r="AU813" s="305"/>
      <c r="AV813" s="305"/>
      <c r="AW813" s="305"/>
      <c r="AX813" s="305"/>
      <c r="AY813" s="305"/>
      <c r="AZ813" s="305"/>
      <c r="BA813" s="305"/>
      <c r="BB813" s="305"/>
      <c r="BC813" s="305"/>
      <c r="BJ813" s="305"/>
      <c r="BK813" s="305"/>
      <c r="BL813" s="305"/>
      <c r="BM813" s="305"/>
      <c r="BN813" s="305"/>
      <c r="BO813" s="305"/>
      <c r="BP813" s="305"/>
      <c r="BQ813" s="305"/>
      <c r="BR813" s="305"/>
      <c r="BS813" s="305"/>
      <c r="BT813" s="305"/>
      <c r="BU813" s="305"/>
      <c r="BV813" s="305"/>
      <c r="BW813" s="305"/>
      <c r="BX813" s="305"/>
      <c r="BY813" s="305"/>
      <c r="BZ813" s="305"/>
      <c r="CA813" s="305"/>
      <c r="CB813" s="305"/>
      <c r="CC813" s="305"/>
      <c r="CD813" s="305"/>
      <c r="CE813" s="305"/>
      <c r="CF813" s="305"/>
      <c r="CG813" s="305"/>
      <c r="CH813" s="305"/>
      <c r="CI813" s="305"/>
      <c r="CJ813" s="305"/>
      <c r="CK813" s="305"/>
      <c r="CL813" s="305"/>
      <c r="CM813" s="305"/>
      <c r="CN813" s="305"/>
      <c r="CO813" s="305"/>
      <c r="CP813" s="305"/>
    </row>
    <row r="814" spans="26:94">
      <c r="Z814" s="305"/>
      <c r="AA814" s="305"/>
      <c r="AB814" s="305"/>
      <c r="AC814" s="305"/>
      <c r="AD814" s="305"/>
      <c r="AE814" s="305"/>
      <c r="AF814" s="305"/>
      <c r="AG814" s="305"/>
      <c r="AH814" s="305"/>
      <c r="AI814" s="305"/>
      <c r="AJ814" s="305"/>
      <c r="AK814" s="305"/>
      <c r="AL814" s="305"/>
      <c r="AM814" s="305"/>
      <c r="AN814" s="305"/>
      <c r="AO814" s="305"/>
      <c r="AP814" s="305"/>
      <c r="AQ814" s="305"/>
      <c r="AR814" s="305"/>
      <c r="AS814" s="305"/>
      <c r="AT814" s="305"/>
      <c r="AU814" s="305"/>
      <c r="AV814" s="305"/>
      <c r="AW814" s="305"/>
      <c r="AX814" s="305"/>
      <c r="AY814" s="305"/>
      <c r="AZ814" s="305"/>
      <c r="BA814" s="305"/>
      <c r="BB814" s="305"/>
      <c r="BC814" s="305"/>
      <c r="BJ814" s="305"/>
      <c r="BK814" s="305"/>
      <c r="BL814" s="305"/>
      <c r="BM814" s="305"/>
      <c r="BN814" s="305"/>
      <c r="BO814" s="305"/>
      <c r="BP814" s="305"/>
      <c r="BQ814" s="305"/>
      <c r="BR814" s="305"/>
      <c r="BS814" s="305"/>
      <c r="BT814" s="305"/>
      <c r="BU814" s="305"/>
      <c r="BV814" s="305"/>
      <c r="BW814" s="305"/>
      <c r="BX814" s="305"/>
      <c r="BY814" s="305"/>
      <c r="BZ814" s="305"/>
      <c r="CA814" s="305"/>
      <c r="CB814" s="305"/>
      <c r="CC814" s="305"/>
      <c r="CD814" s="305"/>
      <c r="CE814" s="305"/>
      <c r="CF814" s="305"/>
      <c r="CG814" s="305"/>
      <c r="CH814" s="305"/>
      <c r="CI814" s="305"/>
      <c r="CJ814" s="305"/>
      <c r="CK814" s="305"/>
      <c r="CL814" s="305"/>
      <c r="CM814" s="305"/>
      <c r="CN814" s="305"/>
      <c r="CO814" s="305"/>
      <c r="CP814" s="305"/>
    </row>
    <row r="815" spans="26:94">
      <c r="Z815" s="305"/>
      <c r="AA815" s="305"/>
      <c r="AB815" s="305"/>
      <c r="AC815" s="305"/>
      <c r="AD815" s="305"/>
      <c r="AE815" s="305"/>
      <c r="AF815" s="305"/>
      <c r="AG815" s="305"/>
      <c r="AH815" s="305"/>
      <c r="AI815" s="305"/>
      <c r="AJ815" s="305"/>
      <c r="AK815" s="305"/>
      <c r="AL815" s="305"/>
      <c r="AM815" s="305"/>
      <c r="AN815" s="305"/>
      <c r="AO815" s="305"/>
      <c r="AP815" s="305"/>
      <c r="AQ815" s="305"/>
      <c r="AR815" s="305"/>
      <c r="AS815" s="305"/>
      <c r="AT815" s="305"/>
      <c r="AU815" s="305"/>
      <c r="AV815" s="305"/>
      <c r="AW815" s="305"/>
      <c r="AX815" s="305"/>
      <c r="AY815" s="305"/>
      <c r="AZ815" s="305"/>
      <c r="BA815" s="305"/>
      <c r="BB815" s="305"/>
      <c r="BC815" s="305"/>
      <c r="BJ815" s="305"/>
      <c r="BK815" s="305"/>
      <c r="BL815" s="305"/>
      <c r="BM815" s="305"/>
      <c r="BN815" s="305"/>
      <c r="BO815" s="305"/>
      <c r="BP815" s="305"/>
      <c r="BQ815" s="305"/>
      <c r="BR815" s="305"/>
      <c r="BS815" s="305"/>
      <c r="BT815" s="305"/>
      <c r="BU815" s="305"/>
      <c r="BV815" s="305"/>
      <c r="BW815" s="305"/>
      <c r="BX815" s="305"/>
      <c r="BY815" s="305"/>
      <c r="BZ815" s="305"/>
      <c r="CA815" s="305"/>
      <c r="CB815" s="305"/>
      <c r="CC815" s="305"/>
      <c r="CD815" s="305"/>
      <c r="CE815" s="305"/>
      <c r="CF815" s="305"/>
      <c r="CG815" s="305"/>
      <c r="CH815" s="305"/>
      <c r="CI815" s="305"/>
      <c r="CJ815" s="305"/>
      <c r="CK815" s="305"/>
      <c r="CL815" s="305"/>
      <c r="CM815" s="305"/>
      <c r="CN815" s="305"/>
      <c r="CO815" s="305"/>
      <c r="CP815" s="305"/>
    </row>
    <row r="816" spans="26:94">
      <c r="Z816" s="305"/>
      <c r="AA816" s="305"/>
      <c r="AB816" s="305"/>
      <c r="AC816" s="305"/>
      <c r="AD816" s="305"/>
      <c r="AE816" s="305"/>
      <c r="AF816" s="305"/>
      <c r="AG816" s="305"/>
      <c r="AH816" s="305"/>
      <c r="AI816" s="305"/>
      <c r="AJ816" s="305"/>
      <c r="AK816" s="305"/>
      <c r="AL816" s="305"/>
      <c r="AM816" s="305"/>
      <c r="AN816" s="305"/>
      <c r="AO816" s="305"/>
      <c r="AP816" s="305"/>
      <c r="AQ816" s="305"/>
      <c r="AR816" s="305"/>
      <c r="AS816" s="305"/>
      <c r="AT816" s="305"/>
      <c r="AU816" s="305"/>
      <c r="AV816" s="305"/>
      <c r="AW816" s="305"/>
      <c r="AX816" s="305"/>
      <c r="AY816" s="305"/>
      <c r="AZ816" s="305"/>
      <c r="BA816" s="305"/>
      <c r="BB816" s="305"/>
      <c r="BC816" s="305"/>
      <c r="BJ816" s="305"/>
      <c r="BK816" s="305"/>
      <c r="BL816" s="305"/>
      <c r="BM816" s="305"/>
      <c r="BN816" s="305"/>
      <c r="BO816" s="305"/>
      <c r="BP816" s="305"/>
      <c r="BQ816" s="305"/>
      <c r="BR816" s="305"/>
      <c r="BS816" s="305"/>
      <c r="BT816" s="305"/>
      <c r="BU816" s="305"/>
      <c r="BV816" s="305"/>
      <c r="BW816" s="305"/>
      <c r="BX816" s="305"/>
      <c r="BY816" s="305"/>
      <c r="BZ816" s="305"/>
      <c r="CA816" s="305"/>
      <c r="CB816" s="305"/>
      <c r="CC816" s="305"/>
      <c r="CD816" s="305"/>
      <c r="CE816" s="305"/>
      <c r="CF816" s="305"/>
      <c r="CG816" s="305"/>
      <c r="CH816" s="305"/>
      <c r="CI816" s="305"/>
      <c r="CJ816" s="305"/>
      <c r="CK816" s="305"/>
      <c r="CL816" s="305"/>
      <c r="CM816" s="305"/>
      <c r="CN816" s="305"/>
      <c r="CO816" s="305"/>
      <c r="CP816" s="305"/>
    </row>
    <row r="817" spans="26:94">
      <c r="Z817" s="305"/>
      <c r="AA817" s="305"/>
      <c r="AB817" s="305"/>
      <c r="AC817" s="305"/>
      <c r="AD817" s="305"/>
      <c r="AE817" s="305"/>
      <c r="AF817" s="305"/>
      <c r="AG817" s="305"/>
      <c r="AH817" s="305"/>
      <c r="AI817" s="305"/>
      <c r="AJ817" s="305"/>
      <c r="AK817" s="305"/>
      <c r="AL817" s="305"/>
      <c r="AM817" s="305"/>
      <c r="AN817" s="305"/>
      <c r="AO817" s="305"/>
      <c r="AP817" s="305"/>
      <c r="AQ817" s="305"/>
      <c r="AR817" s="305"/>
      <c r="AS817" s="305"/>
      <c r="AT817" s="305"/>
      <c r="AU817" s="305"/>
      <c r="AV817" s="305"/>
      <c r="AW817" s="305"/>
      <c r="AX817" s="305"/>
      <c r="AY817" s="305"/>
      <c r="AZ817" s="305"/>
      <c r="BA817" s="305"/>
      <c r="BB817" s="305"/>
      <c r="BC817" s="305"/>
      <c r="BJ817" s="305"/>
      <c r="BK817" s="305"/>
      <c r="BL817" s="305"/>
      <c r="BM817" s="305"/>
      <c r="BN817" s="305"/>
      <c r="BO817" s="305"/>
      <c r="BP817" s="305"/>
      <c r="BQ817" s="305"/>
      <c r="BR817" s="305"/>
      <c r="BS817" s="305"/>
      <c r="BT817" s="305"/>
      <c r="BU817" s="305"/>
      <c r="BV817" s="305"/>
      <c r="BW817" s="305"/>
      <c r="BX817" s="305"/>
      <c r="BY817" s="305"/>
      <c r="BZ817" s="305"/>
      <c r="CA817" s="305"/>
      <c r="CB817" s="305"/>
      <c r="CC817" s="305"/>
      <c r="CD817" s="305"/>
      <c r="CE817" s="305"/>
      <c r="CF817" s="305"/>
      <c r="CG817" s="305"/>
      <c r="CH817" s="305"/>
      <c r="CI817" s="305"/>
      <c r="CJ817" s="305"/>
      <c r="CK817" s="305"/>
      <c r="CL817" s="305"/>
      <c r="CM817" s="305"/>
      <c r="CN817" s="305"/>
      <c r="CO817" s="305"/>
      <c r="CP817" s="305"/>
    </row>
    <row r="818" spans="26:94">
      <c r="Z818" s="305"/>
      <c r="AA818" s="305"/>
      <c r="AB818" s="305"/>
      <c r="AC818" s="305"/>
      <c r="AD818" s="305"/>
      <c r="AE818" s="305"/>
      <c r="AF818" s="305"/>
      <c r="AG818" s="305"/>
      <c r="AH818" s="305"/>
      <c r="AI818" s="305"/>
      <c r="AJ818" s="305"/>
      <c r="AK818" s="305"/>
      <c r="AL818" s="305"/>
      <c r="AM818" s="305"/>
      <c r="AN818" s="305"/>
      <c r="AO818" s="305"/>
      <c r="AP818" s="305"/>
      <c r="AQ818" s="305"/>
      <c r="AR818" s="305"/>
      <c r="AS818" s="305"/>
      <c r="AT818" s="305"/>
      <c r="AU818" s="305"/>
      <c r="AV818" s="305"/>
      <c r="AW818" s="305"/>
      <c r="AX818" s="305"/>
      <c r="AY818" s="305"/>
      <c r="AZ818" s="305"/>
      <c r="BA818" s="305"/>
      <c r="BB818" s="305"/>
      <c r="BC818" s="305"/>
      <c r="BJ818" s="305"/>
      <c r="BK818" s="305"/>
      <c r="BL818" s="305"/>
      <c r="BM818" s="305"/>
      <c r="BN818" s="305"/>
      <c r="BO818" s="305"/>
      <c r="BP818" s="305"/>
      <c r="BQ818" s="305"/>
      <c r="BR818" s="305"/>
      <c r="BS818" s="305"/>
      <c r="BT818" s="305"/>
      <c r="BU818" s="305"/>
      <c r="BV818" s="305"/>
      <c r="BW818" s="305"/>
      <c r="BX818" s="305"/>
      <c r="BY818" s="305"/>
      <c r="BZ818" s="305"/>
      <c r="CA818" s="305"/>
      <c r="CB818" s="305"/>
      <c r="CC818" s="305"/>
      <c r="CD818" s="305"/>
      <c r="CE818" s="305"/>
      <c r="CF818" s="305"/>
      <c r="CG818" s="305"/>
      <c r="CH818" s="305"/>
      <c r="CI818" s="305"/>
      <c r="CJ818" s="305"/>
      <c r="CK818" s="305"/>
      <c r="CL818" s="305"/>
      <c r="CM818" s="305"/>
      <c r="CN818" s="305"/>
      <c r="CO818" s="305"/>
      <c r="CP818" s="305"/>
    </row>
    <row r="819" spans="26:94">
      <c r="Z819" s="305"/>
      <c r="AA819" s="305"/>
      <c r="AB819" s="305"/>
      <c r="AC819" s="305"/>
      <c r="AD819" s="305"/>
      <c r="AE819" s="305"/>
      <c r="AF819" s="305"/>
      <c r="AG819" s="305"/>
      <c r="AH819" s="305"/>
      <c r="AI819" s="305"/>
      <c r="AJ819" s="305"/>
      <c r="AK819" s="305"/>
      <c r="AL819" s="305"/>
      <c r="AM819" s="305"/>
      <c r="AN819" s="305"/>
      <c r="AO819" s="305"/>
      <c r="AP819" s="305"/>
      <c r="AQ819" s="305"/>
      <c r="AR819" s="305"/>
      <c r="AS819" s="305"/>
      <c r="AT819" s="305"/>
      <c r="AU819" s="305"/>
      <c r="AV819" s="305"/>
      <c r="AW819" s="305"/>
      <c r="AX819" s="305"/>
      <c r="AY819" s="305"/>
      <c r="AZ819" s="305"/>
      <c r="BA819" s="305"/>
      <c r="BB819" s="305"/>
      <c r="BC819" s="305"/>
      <c r="BJ819" s="305"/>
      <c r="BK819" s="305"/>
      <c r="BL819" s="305"/>
      <c r="BM819" s="305"/>
      <c r="BN819" s="305"/>
      <c r="BO819" s="305"/>
      <c r="BP819" s="305"/>
      <c r="BQ819" s="305"/>
      <c r="BR819" s="305"/>
      <c r="BS819" s="305"/>
      <c r="BT819" s="305"/>
      <c r="BU819" s="305"/>
      <c r="BV819" s="305"/>
      <c r="BW819" s="305"/>
      <c r="BX819" s="305"/>
      <c r="BY819" s="305"/>
      <c r="BZ819" s="305"/>
      <c r="CA819" s="305"/>
      <c r="CB819" s="305"/>
      <c r="CC819" s="305"/>
      <c r="CD819" s="305"/>
      <c r="CE819" s="305"/>
      <c r="CF819" s="305"/>
      <c r="CG819" s="305"/>
      <c r="CH819" s="305"/>
      <c r="CI819" s="305"/>
      <c r="CJ819" s="305"/>
      <c r="CK819" s="305"/>
      <c r="CL819" s="305"/>
      <c r="CM819" s="305"/>
      <c r="CN819" s="305"/>
      <c r="CO819" s="305"/>
      <c r="CP819" s="305"/>
    </row>
    <row r="820" spans="26:94">
      <c r="Z820" s="305"/>
      <c r="AA820" s="305"/>
      <c r="AB820" s="305"/>
      <c r="AC820" s="305"/>
      <c r="AD820" s="305"/>
      <c r="AE820" s="305"/>
      <c r="AF820" s="305"/>
      <c r="AG820" s="305"/>
      <c r="AH820" s="305"/>
      <c r="AI820" s="305"/>
      <c r="AJ820" s="305"/>
      <c r="AK820" s="305"/>
      <c r="AL820" s="305"/>
      <c r="AM820" s="305"/>
      <c r="AN820" s="305"/>
      <c r="AO820" s="305"/>
      <c r="AP820" s="305"/>
      <c r="AQ820" s="305"/>
      <c r="AR820" s="305"/>
      <c r="AS820" s="305"/>
      <c r="AT820" s="305"/>
      <c r="AU820" s="305"/>
      <c r="AV820" s="305"/>
      <c r="AW820" s="305"/>
      <c r="AX820" s="305"/>
      <c r="AY820" s="305"/>
      <c r="AZ820" s="305"/>
      <c r="BA820" s="305"/>
      <c r="BB820" s="305"/>
      <c r="BC820" s="305"/>
      <c r="BJ820" s="305"/>
      <c r="BK820" s="305"/>
      <c r="BL820" s="305"/>
      <c r="BM820" s="305"/>
      <c r="BN820" s="305"/>
      <c r="BO820" s="305"/>
      <c r="BP820" s="305"/>
      <c r="BQ820" s="305"/>
      <c r="BR820" s="305"/>
      <c r="BS820" s="305"/>
      <c r="BT820" s="305"/>
      <c r="BU820" s="305"/>
      <c r="BV820" s="305"/>
      <c r="BW820" s="305"/>
      <c r="BX820" s="305"/>
      <c r="BY820" s="305"/>
      <c r="BZ820" s="305"/>
      <c r="CA820" s="305"/>
      <c r="CB820" s="305"/>
      <c r="CC820" s="305"/>
      <c r="CD820" s="305"/>
      <c r="CE820" s="305"/>
      <c r="CF820" s="305"/>
      <c r="CG820" s="305"/>
      <c r="CH820" s="305"/>
      <c r="CI820" s="305"/>
      <c r="CJ820" s="305"/>
      <c r="CK820" s="305"/>
      <c r="CL820" s="305"/>
      <c r="CM820" s="305"/>
      <c r="CN820" s="305"/>
      <c r="CO820" s="305"/>
      <c r="CP820" s="305"/>
    </row>
    <row r="821" spans="26:94">
      <c r="Z821" s="305"/>
      <c r="AA821" s="305"/>
      <c r="AB821" s="305"/>
      <c r="AC821" s="305"/>
      <c r="AD821" s="305"/>
      <c r="AE821" s="305"/>
      <c r="AF821" s="305"/>
      <c r="AG821" s="305"/>
      <c r="AH821" s="305"/>
      <c r="AI821" s="305"/>
      <c r="AJ821" s="305"/>
      <c r="AK821" s="305"/>
      <c r="AL821" s="305"/>
      <c r="AM821" s="305"/>
      <c r="AN821" s="305"/>
      <c r="AO821" s="305"/>
      <c r="AP821" s="305"/>
      <c r="AQ821" s="305"/>
      <c r="AR821" s="305"/>
      <c r="AS821" s="305"/>
      <c r="AT821" s="305"/>
      <c r="AU821" s="305"/>
      <c r="AV821" s="305"/>
      <c r="AW821" s="305"/>
      <c r="AX821" s="305"/>
      <c r="AY821" s="305"/>
      <c r="AZ821" s="305"/>
      <c r="BA821" s="305"/>
      <c r="BB821" s="305"/>
      <c r="BC821" s="305"/>
      <c r="BJ821" s="305"/>
      <c r="BK821" s="305"/>
      <c r="BL821" s="305"/>
      <c r="BM821" s="305"/>
      <c r="BN821" s="305"/>
      <c r="BO821" s="305"/>
      <c r="BP821" s="305"/>
      <c r="BQ821" s="305"/>
      <c r="BR821" s="305"/>
      <c r="BS821" s="305"/>
      <c r="BT821" s="305"/>
      <c r="BU821" s="305"/>
      <c r="BV821" s="305"/>
      <c r="BW821" s="305"/>
      <c r="BX821" s="305"/>
      <c r="BY821" s="305"/>
      <c r="BZ821" s="305"/>
      <c r="CA821" s="305"/>
      <c r="CB821" s="305"/>
      <c r="CC821" s="305"/>
      <c r="CD821" s="305"/>
      <c r="CE821" s="305"/>
      <c r="CF821" s="305"/>
      <c r="CG821" s="305"/>
      <c r="CH821" s="305"/>
      <c r="CI821" s="305"/>
      <c r="CJ821" s="305"/>
      <c r="CK821" s="305"/>
      <c r="CL821" s="305"/>
      <c r="CM821" s="305"/>
      <c r="CN821" s="305"/>
      <c r="CO821" s="305"/>
      <c r="CP821" s="305"/>
    </row>
    <row r="822" spans="26:94">
      <c r="Z822" s="305"/>
      <c r="AA822" s="305"/>
      <c r="AB822" s="305"/>
      <c r="AC822" s="305"/>
      <c r="AD822" s="305"/>
      <c r="AE822" s="305"/>
      <c r="AF822" s="305"/>
      <c r="AG822" s="305"/>
      <c r="AH822" s="305"/>
      <c r="AI822" s="305"/>
      <c r="AJ822" s="305"/>
      <c r="AK822" s="305"/>
      <c r="AL822" s="305"/>
      <c r="AM822" s="305"/>
      <c r="AN822" s="305"/>
      <c r="AO822" s="305"/>
      <c r="AP822" s="305"/>
      <c r="AQ822" s="305"/>
      <c r="AR822" s="305"/>
      <c r="AS822" s="305"/>
      <c r="AT822" s="305"/>
      <c r="AU822" s="305"/>
      <c r="AV822" s="305"/>
      <c r="AW822" s="305"/>
      <c r="AX822" s="305"/>
      <c r="AY822" s="305"/>
      <c r="AZ822" s="305"/>
      <c r="BA822" s="305"/>
      <c r="BB822" s="305"/>
      <c r="BC822" s="305"/>
      <c r="BJ822" s="305"/>
      <c r="BK822" s="305"/>
      <c r="BL822" s="305"/>
      <c r="BM822" s="305"/>
      <c r="BN822" s="305"/>
      <c r="BO822" s="305"/>
      <c r="BP822" s="305"/>
      <c r="BQ822" s="305"/>
      <c r="BR822" s="305"/>
      <c r="BS822" s="305"/>
      <c r="BT822" s="305"/>
      <c r="BU822" s="305"/>
      <c r="BV822" s="305"/>
      <c r="BW822" s="305"/>
      <c r="BX822" s="305"/>
      <c r="BY822" s="305"/>
      <c r="BZ822" s="305"/>
      <c r="CA822" s="305"/>
      <c r="CB822" s="305"/>
      <c r="CC822" s="305"/>
      <c r="CD822" s="305"/>
      <c r="CE822" s="305"/>
      <c r="CF822" s="305"/>
      <c r="CG822" s="305"/>
      <c r="CH822" s="305"/>
      <c r="CI822" s="305"/>
      <c r="CJ822" s="305"/>
      <c r="CK822" s="305"/>
      <c r="CL822" s="305"/>
      <c r="CM822" s="305"/>
      <c r="CN822" s="305"/>
      <c r="CO822" s="305"/>
      <c r="CP822" s="305"/>
    </row>
    <row r="823" spans="26:94">
      <c r="Z823" s="305"/>
      <c r="AA823" s="305"/>
      <c r="AB823" s="305"/>
      <c r="AC823" s="305"/>
      <c r="AD823" s="305"/>
      <c r="AE823" s="305"/>
      <c r="AF823" s="305"/>
      <c r="AG823" s="305"/>
      <c r="AH823" s="305"/>
      <c r="AI823" s="305"/>
      <c r="AJ823" s="305"/>
      <c r="AK823" s="305"/>
      <c r="AL823" s="305"/>
      <c r="AM823" s="305"/>
      <c r="AN823" s="305"/>
      <c r="AO823" s="305"/>
      <c r="AP823" s="305"/>
      <c r="AQ823" s="305"/>
      <c r="AR823" s="305"/>
      <c r="AS823" s="305"/>
      <c r="AT823" s="305"/>
      <c r="AU823" s="305"/>
      <c r="AV823" s="305"/>
      <c r="AW823" s="305"/>
      <c r="AX823" s="305"/>
      <c r="AY823" s="305"/>
      <c r="AZ823" s="305"/>
      <c r="BA823" s="305"/>
      <c r="BB823" s="305"/>
      <c r="BC823" s="305"/>
      <c r="BJ823" s="305"/>
      <c r="BK823" s="305"/>
      <c r="BL823" s="305"/>
      <c r="BM823" s="305"/>
      <c r="BN823" s="305"/>
      <c r="BO823" s="305"/>
      <c r="BP823" s="305"/>
      <c r="BQ823" s="305"/>
      <c r="BR823" s="305"/>
      <c r="BS823" s="305"/>
      <c r="BT823" s="305"/>
      <c r="BU823" s="305"/>
      <c r="BV823" s="305"/>
      <c r="BW823" s="305"/>
      <c r="BX823" s="305"/>
      <c r="BY823" s="305"/>
      <c r="BZ823" s="305"/>
      <c r="CA823" s="305"/>
      <c r="CB823" s="305"/>
      <c r="CC823" s="305"/>
      <c r="CD823" s="305"/>
      <c r="CE823" s="305"/>
      <c r="CF823" s="305"/>
      <c r="CG823" s="305"/>
      <c r="CH823" s="305"/>
      <c r="CI823" s="305"/>
      <c r="CJ823" s="305"/>
      <c r="CK823" s="305"/>
      <c r="CL823" s="305"/>
      <c r="CM823" s="305"/>
      <c r="CN823" s="305"/>
      <c r="CO823" s="305"/>
      <c r="CP823" s="305"/>
    </row>
    <row r="824" spans="26:94">
      <c r="Z824" s="305"/>
      <c r="AA824" s="305"/>
      <c r="AB824" s="305"/>
      <c r="AC824" s="305"/>
      <c r="AD824" s="305"/>
      <c r="AE824" s="305"/>
      <c r="AF824" s="305"/>
      <c r="AG824" s="305"/>
      <c r="AH824" s="305"/>
      <c r="AI824" s="305"/>
      <c r="AJ824" s="305"/>
      <c r="AK824" s="305"/>
      <c r="AL824" s="305"/>
      <c r="AM824" s="305"/>
      <c r="AN824" s="305"/>
      <c r="AO824" s="305"/>
      <c r="AP824" s="305"/>
      <c r="AQ824" s="305"/>
      <c r="AR824" s="305"/>
      <c r="AS824" s="305"/>
      <c r="AT824" s="305"/>
      <c r="AU824" s="305"/>
      <c r="AV824" s="305"/>
      <c r="AW824" s="305"/>
      <c r="AX824" s="305"/>
      <c r="AY824" s="305"/>
      <c r="AZ824" s="305"/>
      <c r="BA824" s="305"/>
      <c r="BB824" s="305"/>
      <c r="BC824" s="305"/>
      <c r="BJ824" s="305"/>
      <c r="BK824" s="305"/>
      <c r="BL824" s="305"/>
      <c r="BM824" s="305"/>
      <c r="BN824" s="305"/>
      <c r="BO824" s="305"/>
      <c r="BP824" s="305"/>
      <c r="BQ824" s="305"/>
      <c r="BR824" s="305"/>
      <c r="BS824" s="305"/>
      <c r="BT824" s="305"/>
      <c r="BU824" s="305"/>
      <c r="BV824" s="305"/>
      <c r="BW824" s="305"/>
      <c r="BX824" s="305"/>
      <c r="BY824" s="305"/>
      <c r="BZ824" s="305"/>
      <c r="CA824" s="305"/>
      <c r="CB824" s="305"/>
      <c r="CC824" s="305"/>
      <c r="CD824" s="305"/>
      <c r="CE824" s="305"/>
      <c r="CF824" s="305"/>
      <c r="CG824" s="305"/>
      <c r="CH824" s="305"/>
      <c r="CI824" s="305"/>
      <c r="CJ824" s="305"/>
      <c r="CK824" s="305"/>
      <c r="CL824" s="305"/>
      <c r="CM824" s="305"/>
      <c r="CN824" s="305"/>
      <c r="CO824" s="305"/>
      <c r="CP824" s="305"/>
    </row>
    <row r="825" spans="26:94">
      <c r="Z825" s="305"/>
      <c r="AA825" s="305"/>
      <c r="AB825" s="305"/>
      <c r="AC825" s="305"/>
      <c r="AD825" s="305"/>
      <c r="AE825" s="305"/>
      <c r="AF825" s="305"/>
      <c r="AG825" s="305"/>
      <c r="AH825" s="305"/>
      <c r="AI825" s="305"/>
      <c r="AJ825" s="305"/>
      <c r="AK825" s="305"/>
      <c r="AL825" s="305"/>
      <c r="AM825" s="305"/>
      <c r="AN825" s="305"/>
      <c r="AO825" s="305"/>
      <c r="AP825" s="305"/>
      <c r="AQ825" s="305"/>
      <c r="AR825" s="305"/>
      <c r="AS825" s="305"/>
      <c r="AT825" s="305"/>
      <c r="AU825" s="305"/>
      <c r="AV825" s="305"/>
      <c r="AW825" s="305"/>
      <c r="AX825" s="305"/>
      <c r="AY825" s="305"/>
      <c r="AZ825" s="305"/>
      <c r="BA825" s="305"/>
      <c r="BB825" s="305"/>
      <c r="BC825" s="305"/>
      <c r="BJ825" s="305"/>
      <c r="BK825" s="305"/>
      <c r="BL825" s="305"/>
      <c r="BM825" s="305"/>
      <c r="BN825" s="305"/>
      <c r="BO825" s="305"/>
      <c r="BP825" s="305"/>
      <c r="BQ825" s="305"/>
      <c r="BR825" s="305"/>
      <c r="BS825" s="305"/>
      <c r="BT825" s="305"/>
      <c r="BU825" s="305"/>
      <c r="BV825" s="305"/>
      <c r="BW825" s="305"/>
      <c r="BX825" s="305"/>
      <c r="BY825" s="305"/>
      <c r="BZ825" s="305"/>
      <c r="CA825" s="305"/>
      <c r="CB825" s="305"/>
      <c r="CC825" s="305"/>
      <c r="CD825" s="305"/>
      <c r="CE825" s="305"/>
      <c r="CF825" s="305"/>
      <c r="CG825" s="305"/>
      <c r="CH825" s="305"/>
      <c r="CI825" s="305"/>
      <c r="CJ825" s="305"/>
      <c r="CK825" s="305"/>
      <c r="CL825" s="305"/>
      <c r="CM825" s="305"/>
      <c r="CN825" s="305"/>
      <c r="CO825" s="305"/>
      <c r="CP825" s="305"/>
    </row>
    <row r="826" spans="26:94">
      <c r="Z826" s="305"/>
      <c r="AA826" s="305"/>
      <c r="AB826" s="305"/>
      <c r="AC826" s="305"/>
      <c r="AD826" s="305"/>
      <c r="AE826" s="305"/>
      <c r="AF826" s="305"/>
      <c r="AG826" s="305"/>
      <c r="AH826" s="305"/>
      <c r="AI826" s="305"/>
      <c r="AJ826" s="305"/>
      <c r="AK826" s="305"/>
      <c r="AL826" s="305"/>
      <c r="AM826" s="305"/>
      <c r="AN826" s="305"/>
      <c r="AO826" s="305"/>
      <c r="AP826" s="305"/>
      <c r="AQ826" s="305"/>
      <c r="AR826" s="305"/>
      <c r="AS826" s="305"/>
      <c r="AT826" s="305"/>
      <c r="AU826" s="305"/>
      <c r="AV826" s="305"/>
      <c r="AW826" s="305"/>
      <c r="AX826" s="305"/>
      <c r="AY826" s="305"/>
      <c r="AZ826" s="305"/>
      <c r="BA826" s="305"/>
      <c r="BB826" s="305"/>
      <c r="BC826" s="305"/>
      <c r="BJ826" s="305"/>
      <c r="BK826" s="305"/>
      <c r="BL826" s="305"/>
      <c r="BM826" s="305"/>
      <c r="BN826" s="305"/>
      <c r="BO826" s="305"/>
      <c r="BP826" s="305"/>
      <c r="BQ826" s="305"/>
      <c r="BR826" s="305"/>
      <c r="BS826" s="305"/>
      <c r="BT826" s="305"/>
      <c r="BU826" s="305"/>
      <c r="BV826" s="305"/>
      <c r="BW826" s="305"/>
      <c r="BX826" s="305"/>
      <c r="BY826" s="305"/>
      <c r="BZ826" s="305"/>
      <c r="CA826" s="305"/>
      <c r="CB826" s="305"/>
      <c r="CC826" s="305"/>
      <c r="CD826" s="305"/>
      <c r="CE826" s="305"/>
      <c r="CF826" s="305"/>
      <c r="CG826" s="305"/>
      <c r="CH826" s="305"/>
      <c r="CI826" s="305"/>
      <c r="CJ826" s="305"/>
      <c r="CK826" s="305"/>
      <c r="CL826" s="305"/>
      <c r="CM826" s="305"/>
      <c r="CN826" s="305"/>
      <c r="CO826" s="305"/>
      <c r="CP826" s="305"/>
    </row>
    <row r="827" spans="26:94">
      <c r="Z827" s="305"/>
      <c r="AA827" s="305"/>
      <c r="AB827" s="305"/>
      <c r="AC827" s="305"/>
      <c r="AD827" s="305"/>
      <c r="AE827" s="305"/>
      <c r="AF827" s="305"/>
      <c r="AG827" s="305"/>
      <c r="AH827" s="305"/>
      <c r="AI827" s="305"/>
      <c r="AJ827" s="305"/>
      <c r="AK827" s="305"/>
      <c r="AL827" s="305"/>
      <c r="AM827" s="305"/>
      <c r="AN827" s="305"/>
      <c r="AO827" s="305"/>
      <c r="AP827" s="305"/>
      <c r="AQ827" s="305"/>
      <c r="AR827" s="305"/>
      <c r="AS827" s="305"/>
      <c r="AT827" s="305"/>
      <c r="AU827" s="305"/>
      <c r="AV827" s="305"/>
      <c r="AW827" s="305"/>
      <c r="AX827" s="305"/>
      <c r="AY827" s="305"/>
      <c r="AZ827" s="305"/>
      <c r="BA827" s="305"/>
      <c r="BB827" s="305"/>
      <c r="BC827" s="305"/>
      <c r="BJ827" s="305"/>
      <c r="BK827" s="305"/>
      <c r="BL827" s="305"/>
      <c r="BM827" s="305"/>
      <c r="BN827" s="305"/>
      <c r="BO827" s="305"/>
      <c r="BP827" s="305"/>
      <c r="BQ827" s="305"/>
      <c r="BR827" s="305"/>
      <c r="BS827" s="305"/>
      <c r="BT827" s="305"/>
      <c r="BU827" s="305"/>
      <c r="BV827" s="305"/>
      <c r="BW827" s="305"/>
      <c r="BX827" s="305"/>
      <c r="BY827" s="305"/>
      <c r="BZ827" s="305"/>
      <c r="CA827" s="305"/>
      <c r="CB827" s="305"/>
      <c r="CC827" s="305"/>
      <c r="CD827" s="305"/>
      <c r="CE827" s="305"/>
      <c r="CF827" s="305"/>
      <c r="CG827" s="305"/>
      <c r="CH827" s="305"/>
      <c r="CI827" s="305"/>
      <c r="CJ827" s="305"/>
      <c r="CK827" s="305"/>
      <c r="CL827" s="305"/>
      <c r="CM827" s="305"/>
      <c r="CN827" s="305"/>
      <c r="CO827" s="305"/>
      <c r="CP827" s="305"/>
    </row>
    <row r="828" spans="26:94">
      <c r="Z828" s="305"/>
      <c r="AA828" s="305"/>
      <c r="AB828" s="305"/>
      <c r="AC828" s="305"/>
      <c r="AD828" s="305"/>
      <c r="AE828" s="305"/>
      <c r="AF828" s="305"/>
      <c r="AG828" s="305"/>
      <c r="AH828" s="305"/>
      <c r="AI828" s="305"/>
      <c r="AJ828" s="305"/>
      <c r="AK828" s="305"/>
      <c r="AL828" s="305"/>
      <c r="AM828" s="305"/>
      <c r="AN828" s="305"/>
      <c r="AO828" s="305"/>
      <c r="AP828" s="305"/>
      <c r="AQ828" s="305"/>
      <c r="AR828" s="305"/>
      <c r="AS828" s="305"/>
      <c r="AT828" s="305"/>
      <c r="AU828" s="305"/>
      <c r="AV828" s="305"/>
      <c r="AW828" s="305"/>
      <c r="AX828" s="305"/>
      <c r="AY828" s="305"/>
      <c r="AZ828" s="305"/>
      <c r="BA828" s="305"/>
      <c r="BB828" s="305"/>
      <c r="BC828" s="305"/>
      <c r="BJ828" s="305"/>
      <c r="BK828" s="305"/>
      <c r="BL828" s="305"/>
      <c r="BM828" s="305"/>
      <c r="BN828" s="305"/>
      <c r="BO828" s="305"/>
      <c r="BP828" s="305"/>
      <c r="BQ828" s="305"/>
      <c r="BR828" s="305"/>
      <c r="BS828" s="305"/>
      <c r="BT828" s="305"/>
      <c r="BU828" s="305"/>
      <c r="BV828" s="305"/>
      <c r="BW828" s="305"/>
      <c r="BX828" s="305"/>
      <c r="BY828" s="305"/>
      <c r="BZ828" s="305"/>
      <c r="CA828" s="305"/>
      <c r="CB828" s="305"/>
      <c r="CC828" s="305"/>
      <c r="CD828" s="305"/>
      <c r="CE828" s="305"/>
      <c r="CF828" s="305"/>
      <c r="CG828" s="305"/>
      <c r="CH828" s="305"/>
      <c r="CI828" s="305"/>
      <c r="CJ828" s="305"/>
      <c r="CK828" s="305"/>
      <c r="CL828" s="305"/>
      <c r="CM828" s="305"/>
      <c r="CN828" s="305"/>
      <c r="CO828" s="305"/>
      <c r="CP828" s="305"/>
    </row>
    <row r="829" spans="26:94">
      <c r="Z829" s="305"/>
      <c r="AA829" s="305"/>
      <c r="AB829" s="305"/>
      <c r="AC829" s="305"/>
      <c r="AD829" s="305"/>
      <c r="AE829" s="305"/>
      <c r="AF829" s="305"/>
      <c r="AG829" s="305"/>
      <c r="AH829" s="305"/>
      <c r="AI829" s="305"/>
      <c r="AJ829" s="305"/>
      <c r="AK829" s="305"/>
      <c r="AL829" s="305"/>
      <c r="AM829" s="305"/>
      <c r="AN829" s="305"/>
      <c r="AO829" s="305"/>
      <c r="AP829" s="305"/>
      <c r="AQ829" s="305"/>
      <c r="AR829" s="305"/>
      <c r="AS829" s="305"/>
      <c r="AT829" s="305"/>
      <c r="AU829" s="305"/>
      <c r="AV829" s="305"/>
      <c r="AW829" s="305"/>
      <c r="AX829" s="305"/>
      <c r="AY829" s="305"/>
      <c r="AZ829" s="305"/>
      <c r="BA829" s="305"/>
      <c r="BB829" s="305"/>
      <c r="BC829" s="305"/>
      <c r="BJ829" s="305"/>
      <c r="BK829" s="305"/>
      <c r="BL829" s="305"/>
      <c r="BM829" s="305"/>
      <c r="BN829" s="305"/>
      <c r="BO829" s="305"/>
      <c r="BP829" s="305"/>
      <c r="BQ829" s="305"/>
      <c r="BR829" s="305"/>
      <c r="BS829" s="305"/>
      <c r="BT829" s="305"/>
      <c r="BU829" s="305"/>
      <c r="BV829" s="305"/>
      <c r="BW829" s="305"/>
      <c r="BX829" s="305"/>
      <c r="BY829" s="305"/>
      <c r="BZ829" s="305"/>
      <c r="CA829" s="305"/>
      <c r="CB829" s="305"/>
      <c r="CC829" s="305"/>
      <c r="CD829" s="305"/>
      <c r="CE829" s="305"/>
      <c r="CF829" s="305"/>
      <c r="CG829" s="305"/>
      <c r="CH829" s="305"/>
      <c r="CI829" s="305"/>
      <c r="CJ829" s="305"/>
      <c r="CK829" s="305"/>
      <c r="CL829" s="305"/>
      <c r="CM829" s="305"/>
      <c r="CN829" s="305"/>
      <c r="CO829" s="305"/>
      <c r="CP829" s="305"/>
    </row>
    <row r="830" spans="26:94">
      <c r="Z830" s="305"/>
      <c r="AA830" s="305"/>
      <c r="AB830" s="305"/>
      <c r="AC830" s="305"/>
      <c r="AD830" s="305"/>
      <c r="AE830" s="305"/>
      <c r="AF830" s="305"/>
      <c r="AG830" s="305"/>
      <c r="AH830" s="305"/>
      <c r="AI830" s="305"/>
      <c r="AJ830" s="305"/>
      <c r="AK830" s="305"/>
      <c r="AL830" s="305"/>
      <c r="AM830" s="305"/>
      <c r="AN830" s="305"/>
      <c r="AO830" s="305"/>
      <c r="AP830" s="305"/>
      <c r="AQ830" s="305"/>
      <c r="AR830" s="305"/>
      <c r="AS830" s="305"/>
      <c r="AT830" s="305"/>
      <c r="AU830" s="305"/>
      <c r="AV830" s="305"/>
      <c r="AW830" s="305"/>
      <c r="AX830" s="305"/>
      <c r="AY830" s="305"/>
      <c r="AZ830" s="305"/>
      <c r="BA830" s="305"/>
      <c r="BB830" s="305"/>
      <c r="BC830" s="305"/>
      <c r="BJ830" s="305"/>
      <c r="BK830" s="305"/>
      <c r="BL830" s="305"/>
      <c r="BM830" s="305"/>
      <c r="BN830" s="305"/>
      <c r="BO830" s="305"/>
      <c r="BP830" s="305"/>
      <c r="BQ830" s="305"/>
      <c r="BR830" s="305"/>
      <c r="BS830" s="305"/>
      <c r="BT830" s="305"/>
      <c r="BU830" s="305"/>
      <c r="BV830" s="305"/>
      <c r="BW830" s="305"/>
      <c r="BX830" s="305"/>
      <c r="BY830" s="305"/>
      <c r="BZ830" s="305"/>
      <c r="CA830" s="305"/>
      <c r="CB830" s="305"/>
      <c r="CC830" s="305"/>
      <c r="CD830" s="305"/>
      <c r="CE830" s="305"/>
      <c r="CF830" s="305"/>
      <c r="CG830" s="305"/>
      <c r="CH830" s="305"/>
      <c r="CI830" s="305"/>
      <c r="CJ830" s="305"/>
      <c r="CK830" s="305"/>
      <c r="CL830" s="305"/>
      <c r="CM830" s="305"/>
      <c r="CN830" s="305"/>
      <c r="CO830" s="305"/>
      <c r="CP830" s="305"/>
    </row>
    <row r="831" spans="26:94">
      <c r="Z831" s="305"/>
      <c r="AA831" s="305"/>
      <c r="AB831" s="305"/>
      <c r="AC831" s="305"/>
      <c r="AD831" s="305"/>
      <c r="AE831" s="305"/>
      <c r="AF831" s="305"/>
      <c r="AG831" s="305"/>
      <c r="AH831" s="305"/>
      <c r="AI831" s="305"/>
      <c r="AJ831" s="305"/>
      <c r="AK831" s="305"/>
      <c r="AL831" s="305"/>
      <c r="AM831" s="305"/>
      <c r="AN831" s="305"/>
      <c r="AO831" s="305"/>
      <c r="AP831" s="305"/>
      <c r="AQ831" s="305"/>
      <c r="AR831" s="305"/>
      <c r="AS831" s="305"/>
      <c r="AT831" s="305"/>
      <c r="AU831" s="305"/>
      <c r="AV831" s="305"/>
      <c r="AW831" s="305"/>
      <c r="AX831" s="305"/>
      <c r="AY831" s="305"/>
      <c r="AZ831" s="305"/>
      <c r="BA831" s="305"/>
      <c r="BB831" s="305"/>
      <c r="BC831" s="305"/>
      <c r="BJ831" s="305"/>
      <c r="BK831" s="305"/>
      <c r="BL831" s="305"/>
      <c r="BM831" s="305"/>
      <c r="BN831" s="305"/>
      <c r="BO831" s="305"/>
      <c r="BP831" s="305"/>
      <c r="BQ831" s="305"/>
      <c r="BR831" s="305"/>
      <c r="BS831" s="305"/>
      <c r="BT831" s="305"/>
      <c r="BU831" s="305"/>
      <c r="BV831" s="305"/>
      <c r="BW831" s="305"/>
      <c r="BX831" s="305"/>
      <c r="BY831" s="305"/>
      <c r="BZ831" s="305"/>
      <c r="CA831" s="305"/>
      <c r="CB831" s="305"/>
      <c r="CC831" s="305"/>
      <c r="CD831" s="305"/>
      <c r="CE831" s="305"/>
      <c r="CF831" s="305"/>
      <c r="CG831" s="305"/>
      <c r="CH831" s="305"/>
      <c r="CI831" s="305"/>
      <c r="CJ831" s="305"/>
      <c r="CK831" s="305"/>
      <c r="CL831" s="305"/>
      <c r="CM831" s="305"/>
      <c r="CN831" s="305"/>
      <c r="CO831" s="305"/>
      <c r="CP831" s="305"/>
    </row>
    <row r="832" spans="26:94">
      <c r="Z832" s="305"/>
      <c r="AA832" s="305"/>
      <c r="AB832" s="305"/>
      <c r="AC832" s="305"/>
      <c r="AD832" s="305"/>
      <c r="AE832" s="305"/>
      <c r="AF832" s="305"/>
      <c r="AG832" s="305"/>
      <c r="AH832" s="305"/>
      <c r="AI832" s="305"/>
      <c r="AJ832" s="305"/>
      <c r="AK832" s="305"/>
      <c r="AL832" s="305"/>
      <c r="AM832" s="305"/>
      <c r="AN832" s="305"/>
      <c r="AO832" s="305"/>
      <c r="AP832" s="305"/>
      <c r="AQ832" s="305"/>
      <c r="AR832" s="305"/>
      <c r="AS832" s="305"/>
      <c r="AT832" s="305"/>
      <c r="AU832" s="305"/>
      <c r="AV832" s="305"/>
      <c r="AW832" s="305"/>
      <c r="AX832" s="305"/>
      <c r="AY832" s="305"/>
      <c r="AZ832" s="305"/>
      <c r="BA832" s="305"/>
      <c r="BB832" s="305"/>
      <c r="BC832" s="305"/>
      <c r="BJ832" s="305"/>
      <c r="BK832" s="305"/>
      <c r="BL832" s="305"/>
      <c r="BM832" s="305"/>
      <c r="BN832" s="305"/>
      <c r="BO832" s="305"/>
      <c r="BP832" s="305"/>
      <c r="BQ832" s="305"/>
      <c r="BR832" s="305"/>
      <c r="BS832" s="305"/>
      <c r="BT832" s="305"/>
      <c r="BU832" s="305"/>
      <c r="BV832" s="305"/>
      <c r="BW832" s="305"/>
      <c r="BX832" s="305"/>
      <c r="BY832" s="305"/>
      <c r="BZ832" s="305"/>
      <c r="CA832" s="305"/>
      <c r="CB832" s="305"/>
      <c r="CC832" s="305"/>
      <c r="CD832" s="305"/>
      <c r="CE832" s="305"/>
      <c r="CF832" s="305"/>
      <c r="CG832" s="305"/>
      <c r="CH832" s="305"/>
      <c r="CI832" s="305"/>
      <c r="CJ832" s="305"/>
      <c r="CK832" s="305"/>
      <c r="CL832" s="305"/>
      <c r="CM832" s="305"/>
      <c r="CN832" s="305"/>
      <c r="CO832" s="305"/>
      <c r="CP832" s="305"/>
    </row>
    <row r="833" spans="26:94">
      <c r="Z833" s="305"/>
      <c r="AA833" s="305"/>
      <c r="AB833" s="305"/>
      <c r="AC833" s="305"/>
      <c r="AD833" s="305"/>
      <c r="AE833" s="305"/>
      <c r="AF833" s="305"/>
      <c r="AG833" s="305"/>
      <c r="AH833" s="305"/>
      <c r="AI833" s="305"/>
      <c r="AJ833" s="305"/>
      <c r="AK833" s="305"/>
      <c r="AL833" s="305"/>
      <c r="AM833" s="305"/>
      <c r="AN833" s="305"/>
      <c r="AO833" s="305"/>
      <c r="AP833" s="305"/>
      <c r="AQ833" s="305"/>
      <c r="AR833" s="305"/>
      <c r="AS833" s="305"/>
      <c r="AT833" s="305"/>
      <c r="AU833" s="305"/>
      <c r="AV833" s="305"/>
      <c r="AW833" s="305"/>
      <c r="AX833" s="305"/>
      <c r="AY833" s="305"/>
      <c r="AZ833" s="305"/>
      <c r="BA833" s="305"/>
      <c r="BB833" s="305"/>
      <c r="BC833" s="305"/>
      <c r="BJ833" s="305"/>
      <c r="BK833" s="305"/>
      <c r="BL833" s="305"/>
      <c r="BM833" s="305"/>
      <c r="BN833" s="305"/>
      <c r="BO833" s="305"/>
      <c r="BP833" s="305"/>
      <c r="BQ833" s="305"/>
      <c r="BR833" s="305"/>
      <c r="BS833" s="305"/>
      <c r="BT833" s="305"/>
      <c r="BU833" s="305"/>
      <c r="BV833" s="305"/>
      <c r="BW833" s="305"/>
      <c r="BX833" s="305"/>
      <c r="BY833" s="305"/>
      <c r="BZ833" s="305"/>
      <c r="CA833" s="305"/>
      <c r="CB833" s="305"/>
      <c r="CC833" s="305"/>
      <c r="CD833" s="305"/>
      <c r="CE833" s="305"/>
      <c r="CF833" s="305"/>
      <c r="CG833" s="305"/>
      <c r="CH833" s="305"/>
      <c r="CI833" s="305"/>
      <c r="CJ833" s="305"/>
      <c r="CK833" s="305"/>
      <c r="CL833" s="305"/>
      <c r="CM833" s="305"/>
      <c r="CN833" s="305"/>
      <c r="CO833" s="305"/>
      <c r="CP833" s="305"/>
    </row>
    <row r="834" spans="26:94">
      <c r="Z834" s="305"/>
      <c r="AA834" s="305"/>
      <c r="AB834" s="305"/>
      <c r="AC834" s="305"/>
      <c r="AD834" s="305"/>
      <c r="AE834" s="305"/>
      <c r="AF834" s="305"/>
      <c r="AG834" s="305"/>
      <c r="AH834" s="305"/>
      <c r="AI834" s="305"/>
      <c r="AJ834" s="305"/>
      <c r="AK834" s="305"/>
      <c r="AL834" s="305"/>
      <c r="AM834" s="305"/>
      <c r="AN834" s="305"/>
      <c r="AO834" s="305"/>
      <c r="AP834" s="305"/>
      <c r="AQ834" s="305"/>
      <c r="AR834" s="305"/>
      <c r="AS834" s="305"/>
      <c r="AT834" s="305"/>
      <c r="AU834" s="305"/>
      <c r="AV834" s="305"/>
      <c r="AW834" s="305"/>
      <c r="AX834" s="305"/>
      <c r="AY834" s="305"/>
      <c r="AZ834" s="305"/>
      <c r="BA834" s="305"/>
      <c r="BB834" s="305"/>
      <c r="BC834" s="305"/>
      <c r="BJ834" s="305"/>
      <c r="BK834" s="305"/>
      <c r="BL834" s="305"/>
      <c r="BM834" s="305"/>
      <c r="BN834" s="305"/>
      <c r="BO834" s="305"/>
      <c r="BP834" s="305"/>
      <c r="BQ834" s="305"/>
      <c r="BR834" s="305"/>
      <c r="BS834" s="305"/>
      <c r="BT834" s="305"/>
      <c r="BU834" s="305"/>
      <c r="BV834" s="305"/>
      <c r="BW834" s="305"/>
      <c r="BX834" s="305"/>
      <c r="BY834" s="305"/>
      <c r="BZ834" s="305"/>
      <c r="CA834" s="305"/>
      <c r="CB834" s="305"/>
      <c r="CC834" s="305"/>
      <c r="CD834" s="305"/>
      <c r="CE834" s="305"/>
      <c r="CF834" s="305"/>
      <c r="CG834" s="305"/>
      <c r="CH834" s="305"/>
      <c r="CI834" s="305"/>
      <c r="CJ834" s="305"/>
      <c r="CK834" s="305"/>
      <c r="CL834" s="305"/>
      <c r="CM834" s="305"/>
      <c r="CN834" s="305"/>
      <c r="CO834" s="305"/>
      <c r="CP834" s="305"/>
    </row>
    <row r="835" spans="26:94">
      <c r="Z835" s="305"/>
      <c r="AA835" s="305"/>
      <c r="AB835" s="305"/>
      <c r="AC835" s="305"/>
      <c r="AD835" s="305"/>
      <c r="AE835" s="305"/>
      <c r="AF835" s="305"/>
      <c r="AG835" s="305"/>
      <c r="AH835" s="305"/>
      <c r="AI835" s="305"/>
      <c r="AJ835" s="305"/>
      <c r="AK835" s="305"/>
      <c r="AL835" s="305"/>
      <c r="AM835" s="305"/>
      <c r="AN835" s="305"/>
      <c r="AO835" s="305"/>
      <c r="AP835" s="305"/>
      <c r="AQ835" s="305"/>
      <c r="AR835" s="305"/>
      <c r="AS835" s="305"/>
      <c r="AT835" s="305"/>
      <c r="AU835" s="305"/>
      <c r="AV835" s="305"/>
      <c r="AW835" s="305"/>
      <c r="AX835" s="305"/>
      <c r="AY835" s="305"/>
      <c r="AZ835" s="305"/>
      <c r="BA835" s="305"/>
      <c r="BB835" s="305"/>
      <c r="BC835" s="305"/>
      <c r="BJ835" s="305"/>
      <c r="BK835" s="305"/>
      <c r="BL835" s="305"/>
      <c r="BM835" s="305"/>
      <c r="BN835" s="305"/>
      <c r="BO835" s="305"/>
      <c r="BP835" s="305"/>
      <c r="BQ835" s="305"/>
      <c r="BR835" s="305"/>
      <c r="BS835" s="305"/>
      <c r="BT835" s="305"/>
      <c r="BU835" s="305"/>
      <c r="BV835" s="305"/>
      <c r="BW835" s="305"/>
      <c r="BX835" s="305"/>
      <c r="BY835" s="305"/>
      <c r="BZ835" s="305"/>
      <c r="CA835" s="305"/>
      <c r="CB835" s="305"/>
      <c r="CC835" s="305"/>
      <c r="CD835" s="305"/>
      <c r="CE835" s="305"/>
      <c r="CF835" s="305"/>
      <c r="CG835" s="305"/>
      <c r="CH835" s="305"/>
      <c r="CI835" s="305"/>
      <c r="CJ835" s="305"/>
      <c r="CK835" s="305"/>
      <c r="CL835" s="305"/>
      <c r="CM835" s="305"/>
      <c r="CN835" s="305"/>
      <c r="CO835" s="305"/>
      <c r="CP835" s="305"/>
    </row>
    <row r="836" spans="26:94">
      <c r="Z836" s="305"/>
      <c r="AA836" s="305"/>
      <c r="AB836" s="305"/>
      <c r="AC836" s="305"/>
      <c r="AD836" s="305"/>
      <c r="AE836" s="305"/>
      <c r="AF836" s="305"/>
      <c r="AG836" s="305"/>
      <c r="AH836" s="305"/>
      <c r="AI836" s="305"/>
      <c r="AJ836" s="305"/>
      <c r="AK836" s="305"/>
      <c r="AL836" s="305"/>
      <c r="AM836" s="305"/>
      <c r="AN836" s="305"/>
      <c r="AO836" s="305"/>
      <c r="AP836" s="305"/>
      <c r="AQ836" s="305"/>
      <c r="AR836" s="305"/>
      <c r="AS836" s="305"/>
      <c r="AT836" s="305"/>
      <c r="AU836" s="305"/>
      <c r="AV836" s="305"/>
      <c r="AW836" s="305"/>
      <c r="AX836" s="305"/>
      <c r="AY836" s="305"/>
      <c r="AZ836" s="305"/>
      <c r="BA836" s="305"/>
      <c r="BB836" s="305"/>
      <c r="BC836" s="305"/>
      <c r="BJ836" s="305"/>
      <c r="BK836" s="305"/>
      <c r="BL836" s="305"/>
      <c r="BM836" s="305"/>
      <c r="BN836" s="305"/>
      <c r="BO836" s="305"/>
      <c r="BP836" s="305"/>
      <c r="BQ836" s="305"/>
      <c r="BR836" s="305"/>
      <c r="BS836" s="305"/>
      <c r="BT836" s="305"/>
      <c r="BU836" s="305"/>
      <c r="BV836" s="305"/>
      <c r="BW836" s="305"/>
      <c r="BX836" s="305"/>
      <c r="BY836" s="305"/>
      <c r="BZ836" s="305"/>
      <c r="CA836" s="305"/>
      <c r="CB836" s="305"/>
      <c r="CC836" s="305"/>
      <c r="CD836" s="305"/>
      <c r="CE836" s="305"/>
      <c r="CF836" s="305"/>
      <c r="CG836" s="305"/>
      <c r="CH836" s="305"/>
      <c r="CI836" s="305"/>
      <c r="CJ836" s="305"/>
      <c r="CK836" s="305"/>
      <c r="CL836" s="305"/>
      <c r="CM836" s="305"/>
      <c r="CN836" s="305"/>
      <c r="CO836" s="305"/>
      <c r="CP836" s="305"/>
    </row>
    <row r="837" spans="26:94">
      <c r="Z837" s="305"/>
      <c r="AA837" s="305"/>
      <c r="AB837" s="305"/>
      <c r="AC837" s="305"/>
      <c r="AD837" s="305"/>
      <c r="AE837" s="305"/>
      <c r="AF837" s="305"/>
      <c r="AG837" s="305"/>
      <c r="AH837" s="305"/>
      <c r="AI837" s="305"/>
      <c r="AJ837" s="305"/>
      <c r="AK837" s="305"/>
      <c r="AL837" s="305"/>
      <c r="AM837" s="305"/>
      <c r="AN837" s="305"/>
      <c r="AO837" s="305"/>
      <c r="AP837" s="305"/>
      <c r="AQ837" s="305"/>
      <c r="AR837" s="305"/>
      <c r="AS837" s="305"/>
      <c r="AT837" s="305"/>
      <c r="AU837" s="305"/>
      <c r="AV837" s="305"/>
      <c r="AW837" s="305"/>
      <c r="AX837" s="305"/>
      <c r="AY837" s="305"/>
      <c r="AZ837" s="305"/>
      <c r="BA837" s="305"/>
      <c r="BB837" s="305"/>
      <c r="BC837" s="305"/>
      <c r="BJ837" s="305"/>
      <c r="BK837" s="305"/>
      <c r="BL837" s="305"/>
      <c r="BM837" s="305"/>
      <c r="BN837" s="305"/>
      <c r="BO837" s="305"/>
      <c r="BP837" s="305"/>
      <c r="BQ837" s="305"/>
      <c r="BR837" s="305"/>
      <c r="BS837" s="305"/>
      <c r="BT837" s="305"/>
      <c r="BU837" s="305"/>
      <c r="BV837" s="305"/>
      <c r="BW837" s="305"/>
      <c r="BX837" s="305"/>
      <c r="BY837" s="305"/>
      <c r="BZ837" s="305"/>
      <c r="CA837" s="305"/>
      <c r="CB837" s="305"/>
      <c r="CC837" s="305"/>
      <c r="CD837" s="305"/>
      <c r="CE837" s="305"/>
      <c r="CF837" s="305"/>
      <c r="CG837" s="305"/>
      <c r="CH837" s="305"/>
      <c r="CI837" s="305"/>
      <c r="CJ837" s="305"/>
      <c r="CK837" s="305"/>
      <c r="CL837" s="305"/>
      <c r="CM837" s="305"/>
      <c r="CN837" s="305"/>
      <c r="CO837" s="305"/>
      <c r="CP837" s="305"/>
    </row>
    <row r="838" spans="26:94">
      <c r="Z838" s="305"/>
      <c r="AA838" s="305"/>
      <c r="AB838" s="305"/>
      <c r="AC838" s="305"/>
      <c r="AD838" s="305"/>
      <c r="AE838" s="305"/>
      <c r="AF838" s="305"/>
      <c r="AG838" s="305"/>
      <c r="AH838" s="305"/>
      <c r="AI838" s="305"/>
      <c r="AJ838" s="305"/>
      <c r="AK838" s="305"/>
      <c r="AL838" s="305"/>
      <c r="AM838" s="305"/>
      <c r="AN838" s="305"/>
      <c r="AO838" s="305"/>
      <c r="AP838" s="305"/>
      <c r="AQ838" s="305"/>
      <c r="AR838" s="305"/>
      <c r="AS838" s="305"/>
      <c r="AT838" s="305"/>
      <c r="AU838" s="305"/>
      <c r="AV838" s="305"/>
      <c r="AW838" s="305"/>
      <c r="AX838" s="305"/>
      <c r="AY838" s="305"/>
      <c r="AZ838" s="305"/>
      <c r="BA838" s="305"/>
      <c r="BB838" s="305"/>
      <c r="BC838" s="305"/>
      <c r="BJ838" s="305"/>
      <c r="BK838" s="305"/>
      <c r="BL838" s="305"/>
      <c r="BM838" s="305"/>
      <c r="BN838" s="305"/>
      <c r="BO838" s="305"/>
      <c r="BP838" s="305"/>
      <c r="BQ838" s="305"/>
      <c r="BR838" s="305"/>
      <c r="BS838" s="305"/>
      <c r="BT838" s="305"/>
      <c r="BU838" s="305"/>
      <c r="BV838" s="305"/>
      <c r="BW838" s="305"/>
      <c r="BX838" s="305"/>
      <c r="BY838" s="305"/>
      <c r="BZ838" s="305"/>
      <c r="CA838" s="305"/>
      <c r="CB838" s="305"/>
      <c r="CC838" s="305"/>
      <c r="CD838" s="305"/>
      <c r="CE838" s="305"/>
      <c r="CF838" s="305"/>
      <c r="CG838" s="305"/>
      <c r="CH838" s="305"/>
      <c r="CI838" s="305"/>
      <c r="CJ838" s="305"/>
      <c r="CK838" s="305"/>
      <c r="CL838" s="305"/>
      <c r="CM838" s="305"/>
      <c r="CN838" s="305"/>
      <c r="CO838" s="305"/>
      <c r="CP838" s="305"/>
    </row>
    <row r="839" spans="26:94">
      <c r="Z839" s="305"/>
      <c r="AA839" s="305"/>
      <c r="AB839" s="305"/>
      <c r="AC839" s="305"/>
      <c r="AD839" s="305"/>
      <c r="AE839" s="305"/>
      <c r="AF839" s="305"/>
      <c r="AG839" s="305"/>
      <c r="AH839" s="305"/>
      <c r="AI839" s="305"/>
      <c r="AJ839" s="305"/>
      <c r="AK839" s="305"/>
      <c r="AL839" s="305"/>
      <c r="AM839" s="305"/>
      <c r="AN839" s="305"/>
      <c r="AO839" s="305"/>
      <c r="AP839" s="305"/>
      <c r="AQ839" s="305"/>
      <c r="AR839" s="305"/>
      <c r="AS839" s="305"/>
      <c r="AT839" s="305"/>
      <c r="AU839" s="305"/>
      <c r="AV839" s="305"/>
      <c r="AW839" s="305"/>
      <c r="AX839" s="305"/>
      <c r="AY839" s="305"/>
      <c r="AZ839" s="305"/>
      <c r="BA839" s="305"/>
      <c r="BB839" s="305"/>
      <c r="BC839" s="305"/>
      <c r="BJ839" s="305"/>
      <c r="BK839" s="305"/>
      <c r="BL839" s="305"/>
      <c r="BM839" s="305"/>
      <c r="BN839" s="305"/>
      <c r="BO839" s="305"/>
      <c r="BP839" s="305"/>
      <c r="BQ839" s="305"/>
      <c r="BR839" s="305"/>
      <c r="BS839" s="305"/>
      <c r="BT839" s="305"/>
      <c r="BU839" s="305"/>
      <c r="BV839" s="305"/>
      <c r="BW839" s="305"/>
      <c r="BX839" s="305"/>
      <c r="BY839" s="305"/>
      <c r="BZ839" s="305"/>
      <c r="CA839" s="305"/>
      <c r="CB839" s="305"/>
      <c r="CC839" s="305"/>
      <c r="CD839" s="305"/>
      <c r="CE839" s="305"/>
      <c r="CF839" s="305"/>
      <c r="CG839" s="305"/>
      <c r="CH839" s="305"/>
      <c r="CI839" s="305"/>
      <c r="CJ839" s="305"/>
      <c r="CK839" s="305"/>
      <c r="CL839" s="305"/>
      <c r="CM839" s="305"/>
      <c r="CN839" s="305"/>
      <c r="CO839" s="305"/>
      <c r="CP839" s="305"/>
    </row>
    <row r="840" spans="26:94">
      <c r="Z840" s="305"/>
      <c r="AA840" s="305"/>
      <c r="AB840" s="305"/>
      <c r="AC840" s="305"/>
      <c r="AD840" s="305"/>
      <c r="AE840" s="305"/>
      <c r="AF840" s="305"/>
      <c r="AG840" s="305"/>
      <c r="AH840" s="305"/>
      <c r="AI840" s="305"/>
      <c r="AJ840" s="305"/>
      <c r="AK840" s="305"/>
      <c r="AL840" s="305"/>
      <c r="AM840" s="305"/>
      <c r="AN840" s="305"/>
      <c r="AO840" s="305"/>
      <c r="AP840" s="305"/>
      <c r="AQ840" s="305"/>
      <c r="AR840" s="305"/>
      <c r="AS840" s="305"/>
      <c r="AT840" s="305"/>
      <c r="AU840" s="305"/>
      <c r="AV840" s="305"/>
      <c r="AW840" s="305"/>
      <c r="AX840" s="305"/>
      <c r="AY840" s="305"/>
      <c r="AZ840" s="305"/>
      <c r="BA840" s="305"/>
      <c r="BB840" s="305"/>
      <c r="BC840" s="305"/>
      <c r="BJ840" s="305"/>
      <c r="BK840" s="305"/>
      <c r="BL840" s="305"/>
      <c r="BM840" s="305"/>
      <c r="BN840" s="305"/>
      <c r="BO840" s="305"/>
      <c r="BP840" s="305"/>
      <c r="BQ840" s="305"/>
      <c r="BR840" s="305"/>
      <c r="BS840" s="305"/>
      <c r="BT840" s="305"/>
      <c r="BU840" s="305"/>
      <c r="BV840" s="305"/>
      <c r="BW840" s="305"/>
      <c r="BX840" s="305"/>
      <c r="BY840" s="305"/>
      <c r="BZ840" s="305"/>
      <c r="CA840" s="305"/>
      <c r="CB840" s="305"/>
      <c r="CC840" s="305"/>
      <c r="CD840" s="305"/>
      <c r="CE840" s="305"/>
      <c r="CF840" s="305"/>
      <c r="CG840" s="305"/>
      <c r="CH840" s="305"/>
      <c r="CI840" s="305"/>
      <c r="CJ840" s="305"/>
      <c r="CK840" s="305"/>
      <c r="CL840" s="305"/>
      <c r="CM840" s="305"/>
      <c r="CN840" s="305"/>
      <c r="CO840" s="305"/>
      <c r="CP840" s="305"/>
    </row>
    <row r="841" spans="26:94">
      <c r="Z841" s="305"/>
      <c r="AA841" s="305"/>
      <c r="AB841" s="305"/>
      <c r="AC841" s="305"/>
      <c r="AD841" s="305"/>
      <c r="AE841" s="305"/>
      <c r="AF841" s="305"/>
      <c r="AG841" s="305"/>
      <c r="AH841" s="305"/>
      <c r="AI841" s="305"/>
      <c r="AJ841" s="305"/>
      <c r="AK841" s="305"/>
      <c r="AL841" s="305"/>
      <c r="AM841" s="305"/>
      <c r="AN841" s="305"/>
      <c r="AO841" s="305"/>
      <c r="AP841" s="305"/>
      <c r="AQ841" s="305"/>
      <c r="AR841" s="305"/>
      <c r="AS841" s="305"/>
      <c r="AT841" s="305"/>
      <c r="AU841" s="305"/>
      <c r="AV841" s="305"/>
      <c r="AW841" s="305"/>
      <c r="AX841" s="305"/>
      <c r="AY841" s="305"/>
      <c r="AZ841" s="305"/>
      <c r="BA841" s="305"/>
      <c r="BB841" s="305"/>
      <c r="BC841" s="305"/>
      <c r="BJ841" s="305"/>
      <c r="BK841" s="305"/>
      <c r="BL841" s="305"/>
      <c r="BM841" s="305"/>
      <c r="BN841" s="305"/>
      <c r="BO841" s="305"/>
      <c r="BP841" s="305"/>
      <c r="BQ841" s="305"/>
      <c r="BR841" s="305"/>
      <c r="BS841" s="305"/>
      <c r="BT841" s="305"/>
      <c r="BU841" s="305"/>
      <c r="BV841" s="305"/>
      <c r="BW841" s="305"/>
      <c r="BX841" s="305"/>
      <c r="BY841" s="305"/>
      <c r="BZ841" s="305"/>
      <c r="CA841" s="305"/>
      <c r="CB841" s="305"/>
      <c r="CC841" s="305"/>
      <c r="CD841" s="305"/>
      <c r="CE841" s="305"/>
      <c r="CF841" s="305"/>
      <c r="CG841" s="305"/>
      <c r="CH841" s="305"/>
      <c r="CI841" s="305"/>
      <c r="CJ841" s="305"/>
      <c r="CK841" s="305"/>
      <c r="CL841" s="305"/>
      <c r="CM841" s="305"/>
      <c r="CN841" s="305"/>
      <c r="CO841" s="305"/>
      <c r="CP841" s="305"/>
    </row>
    <row r="842" spans="26:94">
      <c r="Z842" s="305"/>
      <c r="AA842" s="305"/>
      <c r="AB842" s="305"/>
      <c r="AC842" s="305"/>
      <c r="AD842" s="305"/>
      <c r="AE842" s="305"/>
      <c r="AF842" s="305"/>
      <c r="AG842" s="305"/>
      <c r="AH842" s="305"/>
      <c r="AI842" s="305"/>
      <c r="AJ842" s="305"/>
      <c r="AK842" s="305"/>
      <c r="AL842" s="305"/>
      <c r="AM842" s="305"/>
      <c r="AN842" s="305"/>
      <c r="AO842" s="305"/>
      <c r="AP842" s="305"/>
      <c r="AQ842" s="305"/>
      <c r="AR842" s="305"/>
      <c r="AS842" s="305"/>
      <c r="AT842" s="305"/>
      <c r="AU842" s="305"/>
      <c r="AV842" s="305"/>
      <c r="AW842" s="305"/>
      <c r="AX842" s="305"/>
      <c r="AY842" s="305"/>
      <c r="AZ842" s="305"/>
      <c r="BA842" s="305"/>
      <c r="BB842" s="305"/>
      <c r="BC842" s="305"/>
      <c r="BJ842" s="305"/>
      <c r="BK842" s="305"/>
      <c r="BL842" s="305"/>
      <c r="BM842" s="305"/>
      <c r="BN842" s="305"/>
      <c r="BO842" s="305"/>
      <c r="BP842" s="305"/>
      <c r="BQ842" s="305"/>
      <c r="BR842" s="305"/>
      <c r="BS842" s="305"/>
      <c r="BT842" s="305"/>
      <c r="BU842" s="305"/>
      <c r="BV842" s="305"/>
      <c r="BW842" s="305"/>
      <c r="BX842" s="305"/>
      <c r="BY842" s="305"/>
      <c r="BZ842" s="305"/>
      <c r="CA842" s="305"/>
      <c r="CB842" s="305"/>
      <c r="CC842" s="305"/>
      <c r="CD842" s="305"/>
      <c r="CE842" s="305"/>
      <c r="CF842" s="305"/>
      <c r="CG842" s="305"/>
      <c r="CH842" s="305"/>
      <c r="CI842" s="305"/>
      <c r="CJ842" s="305"/>
      <c r="CK842" s="305"/>
      <c r="CL842" s="305"/>
      <c r="CM842" s="305"/>
      <c r="CN842" s="305"/>
      <c r="CO842" s="305"/>
      <c r="CP842" s="305"/>
    </row>
    <row r="843" spans="26:94">
      <c r="Z843" s="305"/>
      <c r="AA843" s="305"/>
      <c r="AB843" s="305"/>
      <c r="AC843" s="305"/>
      <c r="AD843" s="305"/>
      <c r="AE843" s="305"/>
      <c r="AF843" s="305"/>
      <c r="AG843" s="305"/>
      <c r="AH843" s="305"/>
      <c r="AI843" s="305"/>
      <c r="AJ843" s="305"/>
      <c r="AK843" s="305"/>
      <c r="AL843" s="305"/>
      <c r="AM843" s="305"/>
      <c r="AN843" s="305"/>
      <c r="AO843" s="305"/>
      <c r="AP843" s="305"/>
      <c r="AQ843" s="305"/>
      <c r="AR843" s="305"/>
      <c r="AS843" s="305"/>
      <c r="AT843" s="305"/>
      <c r="AU843" s="305"/>
      <c r="AV843" s="305"/>
      <c r="AW843" s="305"/>
      <c r="AX843" s="305"/>
      <c r="AY843" s="305"/>
      <c r="AZ843" s="305"/>
      <c r="BA843" s="305"/>
      <c r="BB843" s="305"/>
      <c r="BC843" s="305"/>
      <c r="BJ843" s="305"/>
      <c r="BK843" s="305"/>
      <c r="BL843" s="305"/>
      <c r="BM843" s="305"/>
      <c r="BN843" s="305"/>
      <c r="BO843" s="305"/>
      <c r="BP843" s="305"/>
      <c r="BQ843" s="305"/>
      <c r="BR843" s="305"/>
      <c r="BS843" s="305"/>
      <c r="BT843" s="305"/>
      <c r="BU843" s="305"/>
      <c r="BV843" s="305"/>
      <c r="BW843" s="305"/>
      <c r="BX843" s="305"/>
      <c r="BY843" s="305"/>
      <c r="BZ843" s="305"/>
      <c r="CA843" s="305"/>
      <c r="CB843" s="305"/>
      <c r="CC843" s="305"/>
      <c r="CD843" s="305"/>
      <c r="CE843" s="305"/>
      <c r="CF843" s="305"/>
      <c r="CG843" s="305"/>
      <c r="CH843" s="305"/>
      <c r="CI843" s="305"/>
      <c r="CJ843" s="305"/>
      <c r="CK843" s="305"/>
      <c r="CL843" s="305"/>
      <c r="CM843" s="305"/>
      <c r="CN843" s="305"/>
      <c r="CO843" s="305"/>
      <c r="CP843" s="305"/>
    </row>
    <row r="844" spans="26:94">
      <c r="Z844" s="305"/>
      <c r="AA844" s="305"/>
      <c r="AB844" s="305"/>
      <c r="AC844" s="305"/>
      <c r="AD844" s="305"/>
      <c r="AE844" s="305"/>
      <c r="AF844" s="305"/>
      <c r="AG844" s="305"/>
      <c r="AH844" s="305"/>
      <c r="AI844" s="305"/>
      <c r="AJ844" s="305"/>
      <c r="AK844" s="305"/>
      <c r="AL844" s="305"/>
      <c r="AM844" s="305"/>
      <c r="AN844" s="305"/>
      <c r="AO844" s="305"/>
      <c r="AP844" s="305"/>
      <c r="AQ844" s="305"/>
      <c r="AR844" s="305"/>
      <c r="AS844" s="305"/>
      <c r="AT844" s="305"/>
      <c r="AU844" s="305"/>
      <c r="AV844" s="305"/>
      <c r="AW844" s="305"/>
      <c r="AX844" s="305"/>
      <c r="AY844" s="305"/>
      <c r="AZ844" s="305"/>
      <c r="BA844" s="305"/>
      <c r="BB844" s="305"/>
      <c r="BC844" s="305"/>
      <c r="BJ844" s="305"/>
      <c r="BK844" s="305"/>
      <c r="BL844" s="305"/>
      <c r="BM844" s="305"/>
      <c r="BN844" s="305"/>
      <c r="BO844" s="305"/>
      <c r="BP844" s="305"/>
      <c r="BQ844" s="305"/>
      <c r="BR844" s="305"/>
      <c r="BS844" s="305"/>
      <c r="BT844" s="305"/>
      <c r="BU844" s="305"/>
      <c r="BV844" s="305"/>
      <c r="BW844" s="305"/>
      <c r="BX844" s="305"/>
      <c r="BY844" s="305"/>
      <c r="BZ844" s="305"/>
      <c r="CA844" s="305"/>
      <c r="CB844" s="305"/>
      <c r="CC844" s="305"/>
      <c r="CD844" s="305"/>
      <c r="CE844" s="305"/>
      <c r="CF844" s="305"/>
      <c r="CG844" s="305"/>
      <c r="CH844" s="305"/>
      <c r="CI844" s="305"/>
      <c r="CJ844" s="305"/>
      <c r="CK844" s="305"/>
      <c r="CL844" s="305"/>
      <c r="CM844" s="305"/>
      <c r="CN844" s="305"/>
      <c r="CO844" s="305"/>
      <c r="CP844" s="305"/>
    </row>
    <row r="845" spans="26:94">
      <c r="Z845" s="305"/>
      <c r="AA845" s="305"/>
      <c r="AB845" s="305"/>
      <c r="AC845" s="305"/>
      <c r="AD845" s="305"/>
      <c r="AE845" s="305"/>
      <c r="AF845" s="305"/>
      <c r="AG845" s="305"/>
      <c r="AH845" s="305"/>
      <c r="AI845" s="305"/>
      <c r="AJ845" s="305"/>
      <c r="AK845" s="305"/>
      <c r="AL845" s="305"/>
      <c r="AM845" s="305"/>
      <c r="AN845" s="305"/>
      <c r="AO845" s="305"/>
      <c r="AP845" s="305"/>
      <c r="AQ845" s="305"/>
      <c r="AR845" s="305"/>
      <c r="AS845" s="305"/>
      <c r="AT845" s="305"/>
      <c r="AU845" s="305"/>
      <c r="AV845" s="305"/>
      <c r="AW845" s="305"/>
      <c r="AX845" s="305"/>
      <c r="AY845" s="305"/>
      <c r="AZ845" s="305"/>
      <c r="BA845" s="305"/>
      <c r="BB845" s="305"/>
      <c r="BC845" s="305"/>
      <c r="BJ845" s="305"/>
      <c r="BK845" s="305"/>
      <c r="BL845" s="305"/>
      <c r="BM845" s="305"/>
      <c r="BN845" s="305"/>
      <c r="BO845" s="305"/>
      <c r="BP845" s="305"/>
      <c r="BQ845" s="305"/>
      <c r="BR845" s="305"/>
      <c r="BS845" s="305"/>
      <c r="BT845" s="305"/>
      <c r="BU845" s="305"/>
      <c r="BV845" s="305"/>
      <c r="BW845" s="305"/>
      <c r="BX845" s="305"/>
      <c r="BY845" s="305"/>
      <c r="BZ845" s="305"/>
      <c r="CA845" s="305"/>
      <c r="CB845" s="305"/>
      <c r="CC845" s="305"/>
      <c r="CD845" s="305"/>
      <c r="CE845" s="305"/>
      <c r="CF845" s="305"/>
      <c r="CG845" s="305"/>
      <c r="CH845" s="305"/>
      <c r="CI845" s="305"/>
      <c r="CJ845" s="305"/>
      <c r="CK845" s="305"/>
      <c r="CL845" s="305"/>
      <c r="CM845" s="305"/>
      <c r="CN845" s="305"/>
      <c r="CO845" s="305"/>
      <c r="CP845" s="305"/>
    </row>
    <row r="846" spans="26:94">
      <c r="Z846" s="305"/>
      <c r="AA846" s="305"/>
      <c r="AB846" s="305"/>
      <c r="AC846" s="305"/>
      <c r="AD846" s="305"/>
      <c r="AE846" s="305"/>
      <c r="AF846" s="305"/>
      <c r="AG846" s="305"/>
      <c r="AH846" s="305"/>
      <c r="AI846" s="305"/>
      <c r="AJ846" s="305"/>
      <c r="AK846" s="305"/>
      <c r="AL846" s="305"/>
      <c r="AM846" s="305"/>
      <c r="AN846" s="305"/>
      <c r="AO846" s="305"/>
      <c r="AP846" s="305"/>
      <c r="AQ846" s="305"/>
      <c r="AR846" s="305"/>
      <c r="AS846" s="305"/>
      <c r="AT846" s="305"/>
      <c r="AU846" s="305"/>
      <c r="AV846" s="305"/>
      <c r="AW846" s="305"/>
      <c r="AX846" s="305"/>
      <c r="AY846" s="305"/>
      <c r="AZ846" s="305"/>
      <c r="BA846" s="305"/>
      <c r="BB846" s="305"/>
      <c r="BC846" s="305"/>
      <c r="BJ846" s="305"/>
      <c r="BK846" s="305"/>
      <c r="BL846" s="305"/>
      <c r="BM846" s="305"/>
      <c r="BN846" s="305"/>
      <c r="BO846" s="305"/>
      <c r="BP846" s="305"/>
      <c r="BQ846" s="305"/>
      <c r="BR846" s="305"/>
      <c r="BS846" s="305"/>
      <c r="BT846" s="305"/>
      <c r="BU846" s="305"/>
      <c r="BV846" s="305"/>
      <c r="BW846" s="305"/>
      <c r="BX846" s="305"/>
      <c r="BY846" s="305"/>
      <c r="BZ846" s="305"/>
      <c r="CA846" s="305"/>
      <c r="CB846" s="305"/>
      <c r="CC846" s="305"/>
      <c r="CD846" s="305"/>
      <c r="CE846" s="305"/>
      <c r="CF846" s="305"/>
      <c r="CG846" s="305"/>
      <c r="CH846" s="305"/>
      <c r="CI846" s="305"/>
      <c r="CJ846" s="305"/>
      <c r="CK846" s="305"/>
      <c r="CL846" s="305"/>
      <c r="CM846" s="305"/>
      <c r="CN846" s="305"/>
      <c r="CO846" s="305"/>
      <c r="CP846" s="305"/>
    </row>
    <row r="847" spans="26:94">
      <c r="Z847" s="305"/>
      <c r="AA847" s="305"/>
      <c r="AB847" s="305"/>
      <c r="AC847" s="305"/>
      <c r="AD847" s="305"/>
      <c r="AE847" s="305"/>
      <c r="AF847" s="305"/>
      <c r="AG847" s="305"/>
      <c r="AH847" s="305"/>
      <c r="AI847" s="305"/>
      <c r="AJ847" s="305"/>
      <c r="AK847" s="305"/>
      <c r="AL847" s="305"/>
      <c r="AM847" s="305"/>
      <c r="AN847" s="305"/>
      <c r="AO847" s="305"/>
      <c r="AP847" s="305"/>
      <c r="AQ847" s="305"/>
      <c r="AR847" s="305"/>
      <c r="AS847" s="305"/>
      <c r="AT847" s="305"/>
      <c r="AU847" s="305"/>
      <c r="AV847" s="305"/>
      <c r="AW847" s="305"/>
      <c r="AX847" s="305"/>
      <c r="AY847" s="305"/>
      <c r="AZ847" s="305"/>
      <c r="BA847" s="305"/>
      <c r="BB847" s="305"/>
      <c r="BC847" s="305"/>
      <c r="BJ847" s="305"/>
      <c r="BK847" s="305"/>
      <c r="BL847" s="305"/>
      <c r="BM847" s="305"/>
      <c r="BN847" s="305"/>
      <c r="BO847" s="305"/>
      <c r="BP847" s="305"/>
      <c r="BQ847" s="305"/>
      <c r="BR847" s="305"/>
      <c r="BS847" s="305"/>
      <c r="BT847" s="305"/>
      <c r="BU847" s="305"/>
      <c r="BV847" s="305"/>
      <c r="BW847" s="305"/>
      <c r="BX847" s="305"/>
      <c r="BY847" s="305"/>
      <c r="BZ847" s="305"/>
      <c r="CA847" s="305"/>
      <c r="CB847" s="305"/>
      <c r="CC847" s="305"/>
      <c r="CD847" s="305"/>
      <c r="CE847" s="305"/>
      <c r="CF847" s="305"/>
      <c r="CG847" s="305"/>
      <c r="CH847" s="305"/>
      <c r="CI847" s="305"/>
      <c r="CJ847" s="305"/>
      <c r="CK847" s="305"/>
      <c r="CL847" s="305"/>
      <c r="CM847" s="305"/>
      <c r="CN847" s="305"/>
      <c r="CO847" s="305"/>
      <c r="CP847" s="305"/>
    </row>
    <row r="848" spans="26:94">
      <c r="Z848" s="305"/>
      <c r="AA848" s="305"/>
      <c r="AB848" s="305"/>
      <c r="AC848" s="305"/>
      <c r="AD848" s="305"/>
      <c r="AE848" s="305"/>
      <c r="AF848" s="305"/>
      <c r="AG848" s="305"/>
      <c r="AH848" s="305"/>
      <c r="AI848" s="305"/>
      <c r="AJ848" s="305"/>
      <c r="AK848" s="305"/>
      <c r="AL848" s="305"/>
      <c r="AM848" s="305"/>
      <c r="AN848" s="305"/>
      <c r="AO848" s="305"/>
      <c r="AP848" s="305"/>
      <c r="AQ848" s="305"/>
      <c r="AR848" s="305"/>
      <c r="AS848" s="305"/>
      <c r="AT848" s="305"/>
      <c r="AU848" s="305"/>
      <c r="AV848" s="305"/>
      <c r="AW848" s="305"/>
      <c r="AX848" s="305"/>
      <c r="AY848" s="305"/>
      <c r="AZ848" s="305"/>
      <c r="BA848" s="305"/>
      <c r="BB848" s="305"/>
      <c r="BC848" s="305"/>
      <c r="BJ848" s="305"/>
      <c r="BK848" s="305"/>
      <c r="BL848" s="305"/>
      <c r="BM848" s="305"/>
      <c r="BN848" s="305"/>
      <c r="BO848" s="305"/>
      <c r="BP848" s="305"/>
      <c r="BQ848" s="305"/>
      <c r="BR848" s="305"/>
      <c r="BS848" s="305"/>
      <c r="BT848" s="305"/>
      <c r="BU848" s="305"/>
      <c r="BV848" s="305"/>
      <c r="BW848" s="305"/>
      <c r="BX848" s="305"/>
      <c r="BY848" s="305"/>
      <c r="BZ848" s="305"/>
      <c r="CA848" s="305"/>
      <c r="CB848" s="305"/>
      <c r="CC848" s="305"/>
      <c r="CD848" s="305"/>
      <c r="CE848" s="305"/>
      <c r="CF848" s="305"/>
      <c r="CG848" s="305"/>
      <c r="CH848" s="305"/>
      <c r="CI848" s="305"/>
      <c r="CJ848" s="305"/>
      <c r="CK848" s="305"/>
      <c r="CL848" s="305"/>
      <c r="CM848" s="305"/>
      <c r="CN848" s="305"/>
      <c r="CO848" s="305"/>
      <c r="CP848" s="305"/>
    </row>
    <row r="849" spans="26:94">
      <c r="Z849" s="305"/>
      <c r="AA849" s="305"/>
      <c r="AB849" s="305"/>
      <c r="AC849" s="305"/>
      <c r="AD849" s="305"/>
      <c r="AE849" s="305"/>
      <c r="AF849" s="305"/>
      <c r="AG849" s="305"/>
      <c r="AH849" s="305"/>
      <c r="AI849" s="305"/>
      <c r="AJ849" s="305"/>
      <c r="AK849" s="305"/>
      <c r="AL849" s="305"/>
      <c r="AM849" s="305"/>
      <c r="AN849" s="305"/>
      <c r="AO849" s="305"/>
      <c r="AP849" s="305"/>
      <c r="AQ849" s="305"/>
      <c r="AR849" s="305"/>
      <c r="AS849" s="305"/>
      <c r="AT849" s="305"/>
      <c r="AU849" s="305"/>
      <c r="AV849" s="305"/>
      <c r="AW849" s="305"/>
      <c r="AX849" s="305"/>
      <c r="AY849" s="305"/>
      <c r="AZ849" s="305"/>
      <c r="BA849" s="305"/>
      <c r="BB849" s="305"/>
      <c r="BC849" s="305"/>
      <c r="BJ849" s="305"/>
      <c r="BK849" s="305"/>
      <c r="BL849" s="305"/>
      <c r="BM849" s="305"/>
      <c r="BN849" s="305"/>
      <c r="BO849" s="305"/>
      <c r="BP849" s="305"/>
      <c r="BQ849" s="305"/>
      <c r="BR849" s="305"/>
      <c r="BS849" s="305"/>
      <c r="BT849" s="305"/>
      <c r="BU849" s="305"/>
      <c r="BV849" s="305"/>
      <c r="BW849" s="305"/>
      <c r="BX849" s="305"/>
      <c r="BY849" s="305"/>
      <c r="BZ849" s="305"/>
      <c r="CA849" s="305"/>
      <c r="CB849" s="305"/>
      <c r="CC849" s="305"/>
      <c r="CD849" s="305"/>
      <c r="CE849" s="305"/>
      <c r="CF849" s="305"/>
      <c r="CG849" s="305"/>
      <c r="CH849" s="305"/>
      <c r="CI849" s="305"/>
      <c r="CJ849" s="305"/>
      <c r="CK849" s="305"/>
      <c r="CL849" s="305"/>
      <c r="CM849" s="305"/>
      <c r="CN849" s="305"/>
      <c r="CO849" s="305"/>
      <c r="CP849" s="305"/>
    </row>
    <row r="850" spans="26:94">
      <c r="Z850" s="305"/>
      <c r="AA850" s="305"/>
      <c r="AB850" s="305"/>
      <c r="AC850" s="305"/>
      <c r="AD850" s="305"/>
      <c r="AE850" s="305"/>
      <c r="AF850" s="305"/>
      <c r="AG850" s="305"/>
      <c r="AH850" s="305"/>
      <c r="AI850" s="305"/>
      <c r="AJ850" s="305"/>
      <c r="AK850" s="305"/>
      <c r="AL850" s="305"/>
      <c r="AM850" s="305"/>
      <c r="AN850" s="305"/>
      <c r="AO850" s="305"/>
      <c r="AP850" s="305"/>
      <c r="AQ850" s="305"/>
      <c r="AR850" s="305"/>
      <c r="AS850" s="305"/>
      <c r="AT850" s="305"/>
      <c r="AU850" s="305"/>
      <c r="AV850" s="305"/>
      <c r="AW850" s="305"/>
      <c r="AX850" s="305"/>
      <c r="AY850" s="305"/>
      <c r="AZ850" s="305"/>
      <c r="BA850" s="305"/>
      <c r="BB850" s="305"/>
      <c r="BC850" s="305"/>
      <c r="BJ850" s="305"/>
      <c r="BK850" s="305"/>
      <c r="BL850" s="305"/>
      <c r="BM850" s="305"/>
      <c r="BN850" s="305"/>
      <c r="BO850" s="305"/>
      <c r="BP850" s="305"/>
      <c r="BQ850" s="305"/>
      <c r="BR850" s="305"/>
      <c r="BS850" s="305"/>
      <c r="BT850" s="305"/>
      <c r="BU850" s="305"/>
      <c r="BV850" s="305"/>
      <c r="BW850" s="305"/>
      <c r="BX850" s="305"/>
      <c r="BY850" s="305"/>
      <c r="BZ850" s="305"/>
      <c r="CA850" s="305"/>
      <c r="CB850" s="305"/>
      <c r="CC850" s="305"/>
      <c r="CD850" s="305"/>
      <c r="CE850" s="305"/>
      <c r="CF850" s="305"/>
      <c r="CG850" s="305"/>
      <c r="CH850" s="305"/>
      <c r="CI850" s="305"/>
      <c r="CJ850" s="305"/>
      <c r="CK850" s="305"/>
      <c r="CL850" s="305"/>
      <c r="CM850" s="305"/>
      <c r="CN850" s="305"/>
      <c r="CO850" s="305"/>
      <c r="CP850" s="305"/>
    </row>
    <row r="851" spans="26:94">
      <c r="Z851" s="305"/>
      <c r="AA851" s="305"/>
      <c r="AB851" s="305"/>
      <c r="AC851" s="305"/>
      <c r="AD851" s="305"/>
      <c r="AE851" s="305"/>
      <c r="AF851" s="305"/>
      <c r="AG851" s="305"/>
      <c r="AH851" s="305"/>
      <c r="AI851" s="305"/>
      <c r="AJ851" s="305"/>
      <c r="AK851" s="305"/>
      <c r="AL851" s="305"/>
      <c r="AM851" s="305"/>
      <c r="AN851" s="305"/>
      <c r="AO851" s="305"/>
      <c r="AP851" s="305"/>
      <c r="AQ851" s="305"/>
      <c r="AR851" s="305"/>
      <c r="AS851" s="305"/>
      <c r="AT851" s="305"/>
      <c r="AU851" s="305"/>
      <c r="AV851" s="305"/>
      <c r="AW851" s="305"/>
      <c r="AX851" s="305"/>
      <c r="AY851" s="305"/>
      <c r="AZ851" s="305"/>
      <c r="BA851" s="305"/>
      <c r="BB851" s="305"/>
      <c r="BC851" s="305"/>
      <c r="BJ851" s="305"/>
      <c r="BK851" s="305"/>
      <c r="BL851" s="305"/>
      <c r="BM851" s="305"/>
      <c r="BN851" s="305"/>
      <c r="BO851" s="305"/>
      <c r="BP851" s="305"/>
      <c r="BQ851" s="305"/>
      <c r="BR851" s="305"/>
      <c r="BS851" s="305"/>
      <c r="BT851" s="305"/>
      <c r="BU851" s="305"/>
      <c r="BV851" s="305"/>
      <c r="BW851" s="305"/>
      <c r="BX851" s="305"/>
      <c r="BY851" s="305"/>
      <c r="BZ851" s="305"/>
      <c r="CA851" s="305"/>
      <c r="CB851" s="305"/>
      <c r="CC851" s="305"/>
      <c r="CD851" s="305"/>
      <c r="CE851" s="305"/>
      <c r="CF851" s="305"/>
      <c r="CG851" s="305"/>
      <c r="CH851" s="305"/>
      <c r="CI851" s="305"/>
      <c r="CJ851" s="305"/>
      <c r="CK851" s="305"/>
      <c r="CL851" s="305"/>
      <c r="CM851" s="305"/>
      <c r="CN851" s="305"/>
      <c r="CO851" s="305"/>
      <c r="CP851" s="305"/>
    </row>
    <row r="852" spans="26:94">
      <c r="Z852" s="305"/>
      <c r="AA852" s="305"/>
      <c r="AB852" s="305"/>
      <c r="AC852" s="305"/>
      <c r="AD852" s="305"/>
      <c r="AE852" s="305"/>
      <c r="AF852" s="305"/>
      <c r="AG852" s="305"/>
      <c r="AH852" s="305"/>
      <c r="AI852" s="305"/>
      <c r="AJ852" s="305"/>
      <c r="AK852" s="305"/>
      <c r="AL852" s="305"/>
      <c r="AM852" s="305"/>
      <c r="AN852" s="305"/>
      <c r="AO852" s="305"/>
      <c r="AP852" s="305"/>
      <c r="AQ852" s="305"/>
      <c r="AR852" s="305"/>
      <c r="AS852" s="305"/>
      <c r="AT852" s="305"/>
      <c r="AU852" s="305"/>
      <c r="AV852" s="305"/>
      <c r="AW852" s="305"/>
      <c r="AX852" s="305"/>
      <c r="AY852" s="305"/>
      <c r="AZ852" s="305"/>
      <c r="BA852" s="305"/>
      <c r="BB852" s="305"/>
      <c r="BC852" s="305"/>
      <c r="BJ852" s="305"/>
      <c r="BK852" s="305"/>
      <c r="BL852" s="305"/>
      <c r="BM852" s="305"/>
      <c r="BN852" s="305"/>
      <c r="BO852" s="305"/>
      <c r="BP852" s="305"/>
      <c r="BQ852" s="305"/>
      <c r="BR852" s="305"/>
      <c r="BS852" s="305"/>
      <c r="BT852" s="305"/>
      <c r="BU852" s="305"/>
      <c r="BV852" s="305"/>
      <c r="BW852" s="305"/>
      <c r="BX852" s="305"/>
      <c r="BY852" s="305"/>
      <c r="BZ852" s="305"/>
      <c r="CA852" s="305"/>
      <c r="CB852" s="305"/>
      <c r="CC852" s="305"/>
      <c r="CD852" s="305"/>
      <c r="CE852" s="305"/>
      <c r="CF852" s="305"/>
      <c r="CG852" s="305"/>
      <c r="CH852" s="305"/>
      <c r="CI852" s="305"/>
      <c r="CJ852" s="305"/>
      <c r="CK852" s="305"/>
      <c r="CL852" s="305"/>
      <c r="CM852" s="305"/>
      <c r="CN852" s="305"/>
      <c r="CO852" s="305"/>
      <c r="CP852" s="305"/>
    </row>
    <row r="853" spans="26:94">
      <c r="Z853" s="305"/>
      <c r="AA853" s="305"/>
      <c r="AB853" s="305"/>
      <c r="AC853" s="305"/>
      <c r="AD853" s="305"/>
      <c r="AE853" s="305"/>
      <c r="AF853" s="305"/>
      <c r="AG853" s="305"/>
      <c r="AH853" s="305"/>
      <c r="AI853" s="305"/>
      <c r="AJ853" s="305"/>
      <c r="AK853" s="305"/>
      <c r="AL853" s="305"/>
      <c r="AM853" s="305"/>
      <c r="AN853" s="305"/>
      <c r="AO853" s="305"/>
      <c r="AP853" s="305"/>
      <c r="AQ853" s="305"/>
      <c r="AR853" s="305"/>
      <c r="AS853" s="305"/>
      <c r="AT853" s="305"/>
      <c r="AU853" s="305"/>
      <c r="AV853" s="305"/>
      <c r="AW853" s="305"/>
      <c r="AX853" s="305"/>
      <c r="AY853" s="305"/>
      <c r="AZ853" s="305"/>
      <c r="BA853" s="305"/>
      <c r="BB853" s="305"/>
      <c r="BC853" s="305"/>
      <c r="BJ853" s="305"/>
      <c r="BK853" s="305"/>
      <c r="BL853" s="305"/>
      <c r="BM853" s="305"/>
      <c r="BN853" s="305"/>
      <c r="BO853" s="305"/>
      <c r="BP853" s="305"/>
      <c r="BQ853" s="305"/>
      <c r="BR853" s="305"/>
      <c r="BS853" s="305"/>
      <c r="BT853" s="305"/>
      <c r="BU853" s="305"/>
      <c r="BV853" s="305"/>
      <c r="BW853" s="305"/>
      <c r="BX853" s="305"/>
      <c r="BY853" s="305"/>
      <c r="BZ853" s="305"/>
      <c r="CA853" s="305"/>
      <c r="CB853" s="305"/>
      <c r="CC853" s="305"/>
      <c r="CD853" s="305"/>
      <c r="CE853" s="305"/>
      <c r="CF853" s="305"/>
      <c r="CG853" s="305"/>
      <c r="CH853" s="305"/>
      <c r="CI853" s="305"/>
      <c r="CJ853" s="305"/>
      <c r="CK853" s="305"/>
      <c r="CL853" s="305"/>
      <c r="CM853" s="305"/>
      <c r="CN853" s="305"/>
      <c r="CO853" s="305"/>
      <c r="CP853" s="305"/>
    </row>
    <row r="854" spans="26:94">
      <c r="Z854" s="305"/>
      <c r="AA854" s="305"/>
      <c r="AB854" s="305"/>
      <c r="AC854" s="305"/>
      <c r="AD854" s="305"/>
      <c r="AE854" s="305"/>
      <c r="AF854" s="305"/>
      <c r="AG854" s="305"/>
      <c r="AH854" s="305"/>
      <c r="AI854" s="305"/>
      <c r="AJ854" s="305"/>
      <c r="AK854" s="305"/>
      <c r="AL854" s="305"/>
      <c r="AM854" s="305"/>
      <c r="AN854" s="305"/>
      <c r="AO854" s="305"/>
      <c r="AP854" s="305"/>
      <c r="AQ854" s="305"/>
      <c r="AR854" s="305"/>
      <c r="AS854" s="305"/>
      <c r="AT854" s="305"/>
      <c r="AU854" s="305"/>
      <c r="AV854" s="305"/>
      <c r="AW854" s="305"/>
      <c r="AX854" s="305"/>
      <c r="AY854" s="305"/>
      <c r="AZ854" s="305"/>
      <c r="BA854" s="305"/>
      <c r="BB854" s="305"/>
      <c r="BC854" s="305"/>
      <c r="BJ854" s="305"/>
      <c r="BK854" s="305"/>
      <c r="BL854" s="305"/>
      <c r="BM854" s="305"/>
      <c r="BN854" s="305"/>
      <c r="BO854" s="305"/>
      <c r="BP854" s="305"/>
      <c r="BQ854" s="305"/>
      <c r="BR854" s="305"/>
      <c r="BS854" s="305"/>
      <c r="BT854" s="305"/>
      <c r="BU854" s="305"/>
      <c r="BV854" s="305"/>
      <c r="BW854" s="305"/>
      <c r="BX854" s="305"/>
      <c r="BY854" s="305"/>
      <c r="BZ854" s="305"/>
      <c r="CA854" s="305"/>
      <c r="CB854" s="305"/>
      <c r="CC854" s="305"/>
      <c r="CD854" s="305"/>
      <c r="CE854" s="305"/>
      <c r="CF854" s="305"/>
      <c r="CG854" s="305"/>
      <c r="CH854" s="305"/>
      <c r="CI854" s="305"/>
      <c r="CJ854" s="305"/>
      <c r="CK854" s="305"/>
      <c r="CL854" s="305"/>
      <c r="CM854" s="305"/>
      <c r="CN854" s="305"/>
      <c r="CO854" s="305"/>
      <c r="CP854" s="305"/>
    </row>
    <row r="855" spans="26:94">
      <c r="Z855" s="305"/>
      <c r="AA855" s="305"/>
      <c r="AB855" s="305"/>
      <c r="AC855" s="305"/>
      <c r="AD855" s="305"/>
      <c r="AE855" s="305"/>
      <c r="AF855" s="305"/>
      <c r="AG855" s="305"/>
      <c r="AH855" s="305"/>
      <c r="AI855" s="305"/>
      <c r="AJ855" s="305"/>
      <c r="AK855" s="305"/>
      <c r="AL855" s="305"/>
      <c r="AM855" s="305"/>
      <c r="AN855" s="305"/>
      <c r="AO855" s="305"/>
      <c r="AP855" s="305"/>
      <c r="AQ855" s="305"/>
      <c r="AR855" s="305"/>
      <c r="AS855" s="305"/>
      <c r="AT855" s="305"/>
      <c r="AU855" s="305"/>
      <c r="AV855" s="305"/>
      <c r="AW855" s="305"/>
      <c r="AX855" s="305"/>
      <c r="AY855" s="305"/>
      <c r="AZ855" s="305"/>
      <c r="BA855" s="305"/>
      <c r="BB855" s="305"/>
      <c r="BC855" s="305"/>
      <c r="BJ855" s="305"/>
      <c r="BK855" s="305"/>
      <c r="BL855" s="305"/>
      <c r="BM855" s="305"/>
      <c r="BN855" s="305"/>
      <c r="BO855" s="305"/>
      <c r="BP855" s="305"/>
      <c r="BQ855" s="305"/>
      <c r="BR855" s="305"/>
      <c r="BS855" s="305"/>
      <c r="BT855" s="305"/>
      <c r="BU855" s="305"/>
      <c r="BV855" s="305"/>
      <c r="BW855" s="305"/>
      <c r="BX855" s="305"/>
      <c r="BY855" s="305"/>
      <c r="BZ855" s="305"/>
      <c r="CA855" s="305"/>
      <c r="CB855" s="305"/>
      <c r="CC855" s="305"/>
      <c r="CD855" s="305"/>
      <c r="CE855" s="305"/>
      <c r="CF855" s="305"/>
      <c r="CG855" s="305"/>
      <c r="CH855" s="305"/>
      <c r="CI855" s="305"/>
      <c r="CJ855" s="305"/>
      <c r="CK855" s="305"/>
      <c r="CL855" s="305"/>
      <c r="CM855" s="305"/>
      <c r="CN855" s="305"/>
      <c r="CO855" s="305"/>
      <c r="CP855" s="305"/>
    </row>
    <row r="856" spans="26:94">
      <c r="Z856" s="305"/>
      <c r="AA856" s="305"/>
      <c r="AB856" s="305"/>
      <c r="AC856" s="305"/>
      <c r="AD856" s="305"/>
      <c r="AE856" s="305"/>
      <c r="AF856" s="305"/>
      <c r="AG856" s="305"/>
      <c r="AH856" s="305"/>
      <c r="AI856" s="305"/>
      <c r="AJ856" s="305"/>
      <c r="AK856" s="305"/>
      <c r="AL856" s="305"/>
      <c r="AM856" s="305"/>
      <c r="AN856" s="305"/>
      <c r="AO856" s="305"/>
      <c r="AP856" s="305"/>
      <c r="AQ856" s="305"/>
      <c r="AR856" s="305"/>
      <c r="AS856" s="305"/>
      <c r="AT856" s="305"/>
      <c r="AU856" s="305"/>
      <c r="AV856" s="305"/>
      <c r="AW856" s="305"/>
      <c r="AX856" s="305"/>
      <c r="AY856" s="305"/>
      <c r="AZ856" s="305"/>
      <c r="BA856" s="305"/>
      <c r="BB856" s="305"/>
      <c r="BC856" s="305"/>
      <c r="BJ856" s="305"/>
      <c r="BK856" s="305"/>
      <c r="BL856" s="305"/>
      <c r="BM856" s="305"/>
      <c r="BN856" s="305"/>
      <c r="BO856" s="305"/>
      <c r="BP856" s="305"/>
      <c r="BQ856" s="305"/>
      <c r="BR856" s="305"/>
      <c r="BS856" s="305"/>
      <c r="BT856" s="305"/>
      <c r="BU856" s="305"/>
      <c r="BV856" s="305"/>
      <c r="BW856" s="305"/>
      <c r="BX856" s="305"/>
      <c r="BY856" s="305"/>
      <c r="BZ856" s="305"/>
      <c r="CA856" s="305"/>
      <c r="CB856" s="305"/>
      <c r="CC856" s="305"/>
      <c r="CD856" s="305"/>
      <c r="CE856" s="305"/>
      <c r="CF856" s="305"/>
      <c r="CG856" s="305"/>
      <c r="CH856" s="305"/>
      <c r="CI856" s="305"/>
      <c r="CJ856" s="305"/>
      <c r="CK856" s="305"/>
      <c r="CL856" s="305"/>
      <c r="CM856" s="305"/>
      <c r="CN856" s="305"/>
      <c r="CO856" s="305"/>
      <c r="CP856" s="305"/>
    </row>
    <row r="857" spans="26:94">
      <c r="Z857" s="305"/>
      <c r="AA857" s="305"/>
      <c r="AB857" s="305"/>
      <c r="AC857" s="305"/>
      <c r="AD857" s="305"/>
      <c r="AE857" s="305"/>
      <c r="AF857" s="305"/>
      <c r="AG857" s="305"/>
      <c r="AH857" s="305"/>
      <c r="AI857" s="305"/>
      <c r="AJ857" s="305"/>
      <c r="AK857" s="305"/>
      <c r="AL857" s="305"/>
      <c r="AM857" s="305"/>
      <c r="AN857" s="305"/>
      <c r="AO857" s="305"/>
      <c r="AP857" s="305"/>
      <c r="AQ857" s="305"/>
      <c r="AR857" s="305"/>
      <c r="AS857" s="305"/>
      <c r="AT857" s="305"/>
      <c r="AU857" s="305"/>
      <c r="AV857" s="305"/>
      <c r="AW857" s="305"/>
      <c r="AX857" s="305"/>
      <c r="AY857" s="305"/>
      <c r="AZ857" s="305"/>
      <c r="BA857" s="305"/>
      <c r="BB857" s="305"/>
      <c r="BC857" s="305"/>
      <c r="BJ857" s="305"/>
      <c r="BK857" s="305"/>
      <c r="BL857" s="305"/>
      <c r="BM857" s="305"/>
      <c r="BN857" s="305"/>
      <c r="BO857" s="305"/>
      <c r="BP857" s="305"/>
      <c r="BQ857" s="305"/>
      <c r="BR857" s="305"/>
      <c r="BS857" s="305"/>
      <c r="BT857" s="305"/>
      <c r="BU857" s="305"/>
      <c r="BV857" s="305"/>
      <c r="BW857" s="305"/>
      <c r="BX857" s="305"/>
      <c r="BY857" s="305"/>
      <c r="BZ857" s="305"/>
      <c r="CA857" s="305"/>
      <c r="CB857" s="305"/>
      <c r="CC857" s="305"/>
      <c r="CD857" s="305"/>
      <c r="CE857" s="305"/>
      <c r="CF857" s="305"/>
      <c r="CG857" s="305"/>
      <c r="CH857" s="305"/>
      <c r="CI857" s="305"/>
      <c r="CJ857" s="305"/>
      <c r="CK857" s="305"/>
      <c r="CL857" s="305"/>
      <c r="CM857" s="305"/>
      <c r="CN857" s="305"/>
      <c r="CO857" s="305"/>
      <c r="CP857" s="305"/>
    </row>
    <row r="858" spans="26:94">
      <c r="Z858" s="305"/>
      <c r="AA858" s="305"/>
      <c r="AB858" s="305"/>
      <c r="AC858" s="305"/>
      <c r="AD858" s="305"/>
      <c r="AE858" s="305"/>
      <c r="AF858" s="305"/>
      <c r="AG858" s="305"/>
      <c r="AH858" s="305"/>
      <c r="AI858" s="305"/>
      <c r="AJ858" s="305"/>
      <c r="AK858" s="305"/>
      <c r="AL858" s="305"/>
      <c r="AM858" s="305"/>
      <c r="AN858" s="305"/>
      <c r="AO858" s="305"/>
      <c r="AP858" s="305"/>
      <c r="AQ858" s="305"/>
      <c r="AR858" s="305"/>
      <c r="AS858" s="305"/>
      <c r="AT858" s="305"/>
      <c r="AU858" s="305"/>
      <c r="AV858" s="305"/>
      <c r="AW858" s="305"/>
      <c r="AX858" s="305"/>
      <c r="AY858" s="305"/>
      <c r="AZ858" s="305"/>
      <c r="BA858" s="305"/>
      <c r="BB858" s="305"/>
      <c r="BC858" s="305"/>
      <c r="BJ858" s="305"/>
      <c r="BK858" s="305"/>
      <c r="BL858" s="305"/>
      <c r="BM858" s="305"/>
      <c r="BN858" s="305"/>
      <c r="BO858" s="305"/>
      <c r="BP858" s="305"/>
      <c r="BQ858" s="305"/>
      <c r="BR858" s="305"/>
      <c r="BS858" s="305"/>
      <c r="BT858" s="305"/>
      <c r="BU858" s="305"/>
      <c r="BV858" s="305"/>
      <c r="BW858" s="305"/>
      <c r="BX858" s="305"/>
      <c r="BY858" s="305"/>
      <c r="BZ858" s="305"/>
      <c r="CA858" s="305"/>
      <c r="CB858" s="305"/>
      <c r="CC858" s="305"/>
      <c r="CD858" s="305"/>
      <c r="CE858" s="305"/>
      <c r="CF858" s="305"/>
      <c r="CG858" s="305"/>
      <c r="CH858" s="305"/>
      <c r="CI858" s="305"/>
      <c r="CJ858" s="305"/>
      <c r="CK858" s="305"/>
      <c r="CL858" s="305"/>
      <c r="CM858" s="305"/>
      <c r="CN858" s="305"/>
      <c r="CO858" s="305"/>
      <c r="CP858" s="305"/>
    </row>
    <row r="859" spans="26:94">
      <c r="Z859" s="305"/>
      <c r="AA859" s="305"/>
      <c r="AB859" s="305"/>
      <c r="AC859" s="305"/>
      <c r="AD859" s="305"/>
      <c r="AE859" s="305"/>
      <c r="AF859" s="305"/>
      <c r="AG859" s="305"/>
      <c r="AH859" s="305"/>
      <c r="AI859" s="305"/>
      <c r="AJ859" s="305"/>
      <c r="AK859" s="305"/>
      <c r="AL859" s="305"/>
      <c r="AM859" s="305"/>
      <c r="AN859" s="305"/>
      <c r="AO859" s="305"/>
      <c r="AP859" s="305"/>
      <c r="AQ859" s="305"/>
      <c r="AR859" s="305"/>
      <c r="AS859" s="305"/>
      <c r="AT859" s="305"/>
      <c r="AU859" s="305"/>
      <c r="AV859" s="305"/>
      <c r="AW859" s="305"/>
      <c r="AX859" s="305"/>
      <c r="AY859" s="305"/>
      <c r="AZ859" s="305"/>
      <c r="BA859" s="305"/>
      <c r="BB859" s="305"/>
      <c r="BC859" s="305"/>
      <c r="BJ859" s="305"/>
      <c r="BK859" s="305"/>
      <c r="BL859" s="305"/>
      <c r="BM859" s="305"/>
      <c r="BN859" s="305"/>
      <c r="BO859" s="305"/>
      <c r="BP859" s="305"/>
      <c r="BQ859" s="305"/>
      <c r="BR859" s="305"/>
      <c r="BS859" s="305"/>
      <c r="BT859" s="305"/>
      <c r="BU859" s="305"/>
      <c r="BV859" s="305"/>
      <c r="BW859" s="305"/>
      <c r="BX859" s="305"/>
      <c r="BY859" s="305"/>
      <c r="BZ859" s="305"/>
      <c r="CA859" s="305"/>
      <c r="CB859" s="305"/>
      <c r="CC859" s="305"/>
      <c r="CD859" s="305"/>
      <c r="CE859" s="305"/>
      <c r="CF859" s="305"/>
      <c r="CG859" s="305"/>
      <c r="CH859" s="305"/>
      <c r="CI859" s="305"/>
      <c r="CJ859" s="305"/>
      <c r="CK859" s="305"/>
      <c r="CL859" s="305"/>
      <c r="CM859" s="305"/>
      <c r="CN859" s="305"/>
      <c r="CO859" s="305"/>
      <c r="CP859" s="305"/>
    </row>
    <row r="860" spans="26:94">
      <c r="Z860" s="305"/>
      <c r="AA860" s="305"/>
      <c r="AB860" s="305"/>
      <c r="AC860" s="305"/>
      <c r="AD860" s="305"/>
      <c r="AE860" s="305"/>
      <c r="AF860" s="305"/>
      <c r="AG860" s="305"/>
      <c r="AH860" s="305"/>
      <c r="AI860" s="305"/>
      <c r="AJ860" s="305"/>
      <c r="AK860" s="305"/>
      <c r="AL860" s="305"/>
      <c r="AM860" s="305"/>
      <c r="AN860" s="305"/>
      <c r="AO860" s="305"/>
      <c r="AP860" s="305"/>
      <c r="AQ860" s="305"/>
      <c r="AR860" s="305"/>
      <c r="AS860" s="305"/>
      <c r="AT860" s="305"/>
      <c r="AU860" s="305"/>
      <c r="AV860" s="305"/>
      <c r="AW860" s="305"/>
      <c r="AX860" s="305"/>
      <c r="AY860" s="305"/>
      <c r="AZ860" s="305"/>
      <c r="BA860" s="305"/>
      <c r="BB860" s="305"/>
      <c r="BC860" s="305"/>
      <c r="BJ860" s="305"/>
      <c r="BK860" s="305"/>
      <c r="BL860" s="305"/>
      <c r="BM860" s="305"/>
      <c r="BN860" s="305"/>
      <c r="BO860" s="305"/>
      <c r="BP860" s="305"/>
      <c r="BQ860" s="305"/>
      <c r="BR860" s="305"/>
      <c r="BS860" s="305"/>
      <c r="BT860" s="305"/>
      <c r="BU860" s="305"/>
      <c r="BV860" s="305"/>
      <c r="BW860" s="305"/>
      <c r="BX860" s="305"/>
      <c r="BY860" s="305"/>
      <c r="BZ860" s="305"/>
      <c r="CA860" s="305"/>
      <c r="CB860" s="305"/>
      <c r="CC860" s="305"/>
      <c r="CD860" s="305"/>
      <c r="CE860" s="305"/>
      <c r="CF860" s="305"/>
      <c r="CG860" s="305"/>
      <c r="CH860" s="305"/>
      <c r="CI860" s="305"/>
      <c r="CJ860" s="305"/>
      <c r="CK860" s="305"/>
      <c r="CL860" s="305"/>
      <c r="CM860" s="305"/>
      <c r="CN860" s="305"/>
      <c r="CO860" s="305"/>
      <c r="CP860" s="305"/>
    </row>
    <row r="861" spans="26:94">
      <c r="Z861" s="305"/>
      <c r="AA861" s="305"/>
      <c r="AB861" s="305"/>
      <c r="AC861" s="305"/>
      <c r="AD861" s="305"/>
      <c r="AE861" s="305"/>
      <c r="AF861" s="305"/>
      <c r="AG861" s="305"/>
      <c r="AH861" s="305"/>
      <c r="AI861" s="305"/>
      <c r="AJ861" s="305"/>
      <c r="AK861" s="305"/>
      <c r="AL861" s="305"/>
      <c r="AM861" s="305"/>
      <c r="AN861" s="305"/>
      <c r="AO861" s="305"/>
      <c r="AP861" s="305"/>
      <c r="AQ861" s="305"/>
      <c r="AR861" s="305"/>
      <c r="AS861" s="305"/>
      <c r="AT861" s="305"/>
      <c r="AU861" s="305"/>
      <c r="AV861" s="305"/>
      <c r="AW861" s="305"/>
      <c r="AX861" s="305"/>
      <c r="AY861" s="305"/>
      <c r="AZ861" s="305"/>
      <c r="BA861" s="305"/>
      <c r="BB861" s="305"/>
      <c r="BC861" s="305"/>
      <c r="BJ861" s="305"/>
      <c r="BK861" s="305"/>
      <c r="BL861" s="305"/>
      <c r="BM861" s="305"/>
      <c r="BN861" s="305"/>
      <c r="BO861" s="305"/>
      <c r="BP861" s="305"/>
      <c r="BQ861" s="305"/>
      <c r="BR861" s="305"/>
      <c r="BS861" s="305"/>
      <c r="BT861" s="305"/>
      <c r="BU861" s="305"/>
      <c r="BV861" s="305"/>
      <c r="BW861" s="305"/>
      <c r="BX861" s="305"/>
      <c r="BY861" s="305"/>
      <c r="BZ861" s="305"/>
      <c r="CA861" s="305"/>
      <c r="CB861" s="305"/>
      <c r="CC861" s="305"/>
      <c r="CD861" s="305"/>
      <c r="CE861" s="305"/>
      <c r="CF861" s="305"/>
      <c r="CG861" s="305"/>
      <c r="CH861" s="305"/>
      <c r="CI861" s="305"/>
      <c r="CJ861" s="305"/>
      <c r="CK861" s="305"/>
      <c r="CL861" s="305"/>
      <c r="CM861" s="305"/>
      <c r="CN861" s="305"/>
      <c r="CO861" s="305"/>
      <c r="CP861" s="305"/>
    </row>
    <row r="862" spans="26:94">
      <c r="Z862" s="305"/>
      <c r="AA862" s="305"/>
      <c r="AB862" s="305"/>
      <c r="AC862" s="305"/>
      <c r="AD862" s="305"/>
      <c r="AE862" s="305"/>
      <c r="AF862" s="305"/>
      <c r="AG862" s="305"/>
      <c r="AH862" s="305"/>
      <c r="AI862" s="305"/>
      <c r="AJ862" s="305"/>
      <c r="AK862" s="305"/>
      <c r="AL862" s="305"/>
      <c r="AM862" s="305"/>
      <c r="AN862" s="305"/>
      <c r="AO862" s="305"/>
      <c r="AP862" s="305"/>
      <c r="AQ862" s="305"/>
      <c r="AR862" s="305"/>
      <c r="AS862" s="305"/>
      <c r="AT862" s="305"/>
      <c r="AU862" s="305"/>
      <c r="AV862" s="305"/>
      <c r="AW862" s="305"/>
      <c r="AX862" s="305"/>
      <c r="AY862" s="305"/>
      <c r="AZ862" s="305"/>
      <c r="BA862" s="305"/>
      <c r="BB862" s="305"/>
      <c r="BC862" s="305"/>
      <c r="BJ862" s="305"/>
      <c r="BK862" s="305"/>
      <c r="BL862" s="305"/>
      <c r="BM862" s="305"/>
      <c r="BN862" s="305"/>
      <c r="BO862" s="305"/>
      <c r="BP862" s="305"/>
      <c r="BQ862" s="305"/>
      <c r="BR862" s="305"/>
      <c r="BS862" s="305"/>
      <c r="BT862" s="305"/>
      <c r="BU862" s="305"/>
      <c r="BV862" s="305"/>
      <c r="BW862" s="305"/>
      <c r="BX862" s="305"/>
      <c r="BY862" s="305"/>
      <c r="BZ862" s="305"/>
      <c r="CA862" s="305"/>
      <c r="CB862" s="305"/>
      <c r="CC862" s="305"/>
      <c r="CD862" s="305"/>
      <c r="CE862" s="305"/>
      <c r="CF862" s="305"/>
      <c r="CG862" s="305"/>
      <c r="CH862" s="305"/>
      <c r="CI862" s="305"/>
      <c r="CJ862" s="305"/>
      <c r="CK862" s="305"/>
      <c r="CL862" s="305"/>
      <c r="CM862" s="305"/>
      <c r="CN862" s="305"/>
      <c r="CO862" s="305"/>
      <c r="CP862" s="305"/>
    </row>
    <row r="863" spans="26:94">
      <c r="Z863" s="305"/>
      <c r="AA863" s="305"/>
      <c r="AB863" s="305"/>
      <c r="AC863" s="305"/>
      <c r="AD863" s="305"/>
      <c r="AE863" s="305"/>
      <c r="AF863" s="305"/>
      <c r="AG863" s="305"/>
      <c r="AH863" s="305"/>
      <c r="AI863" s="305"/>
      <c r="AJ863" s="305"/>
      <c r="AK863" s="305"/>
      <c r="AL863" s="305"/>
      <c r="AM863" s="305"/>
      <c r="AN863" s="305"/>
      <c r="AO863" s="305"/>
      <c r="AP863" s="305"/>
      <c r="AQ863" s="305"/>
      <c r="AR863" s="305"/>
      <c r="AS863" s="305"/>
      <c r="AT863" s="305"/>
      <c r="AU863" s="305"/>
      <c r="AV863" s="305"/>
      <c r="AW863" s="305"/>
      <c r="AX863" s="305"/>
      <c r="AY863" s="305"/>
      <c r="AZ863" s="305"/>
      <c r="BA863" s="305"/>
      <c r="BB863" s="305"/>
      <c r="BC863" s="305"/>
      <c r="BJ863" s="305"/>
      <c r="BK863" s="305"/>
      <c r="BL863" s="305"/>
      <c r="BM863" s="305"/>
      <c r="BN863" s="305"/>
      <c r="BO863" s="305"/>
      <c r="BP863" s="305"/>
      <c r="BQ863" s="305"/>
      <c r="BR863" s="305"/>
      <c r="BS863" s="305"/>
      <c r="BT863" s="305"/>
      <c r="BU863" s="305"/>
      <c r="BV863" s="305"/>
      <c r="BW863" s="305"/>
      <c r="BX863" s="305"/>
      <c r="BY863" s="305"/>
      <c r="BZ863" s="305"/>
      <c r="CA863" s="305"/>
      <c r="CB863" s="305"/>
      <c r="CC863" s="305"/>
      <c r="CD863" s="305"/>
      <c r="CE863" s="305"/>
      <c r="CF863" s="305"/>
      <c r="CG863" s="305"/>
      <c r="CH863" s="305"/>
      <c r="CI863" s="305"/>
      <c r="CJ863" s="305"/>
      <c r="CK863" s="305"/>
      <c r="CL863" s="305"/>
      <c r="CM863" s="305"/>
      <c r="CN863" s="305"/>
      <c r="CO863" s="305"/>
      <c r="CP863" s="305"/>
    </row>
    <row r="864" spans="26:94">
      <c r="Z864" s="305"/>
      <c r="AA864" s="305"/>
      <c r="AB864" s="305"/>
      <c r="AC864" s="305"/>
      <c r="AD864" s="305"/>
      <c r="AE864" s="305"/>
      <c r="AF864" s="305"/>
      <c r="AG864" s="305"/>
      <c r="AH864" s="305"/>
      <c r="AI864" s="305"/>
      <c r="AJ864" s="305"/>
      <c r="AK864" s="305"/>
      <c r="AL864" s="305"/>
      <c r="AM864" s="305"/>
      <c r="AN864" s="305"/>
      <c r="AO864" s="305"/>
      <c r="AP864" s="305"/>
      <c r="AQ864" s="305"/>
      <c r="AR864" s="305"/>
      <c r="AS864" s="305"/>
      <c r="AT864" s="305"/>
      <c r="AU864" s="305"/>
      <c r="AV864" s="305"/>
      <c r="AW864" s="305"/>
      <c r="AX864" s="305"/>
      <c r="AY864" s="305"/>
      <c r="AZ864" s="305"/>
      <c r="BA864" s="305"/>
      <c r="BB864" s="305"/>
      <c r="BC864" s="305"/>
      <c r="BJ864" s="305"/>
      <c r="BK864" s="305"/>
      <c r="BL864" s="305"/>
      <c r="BM864" s="305"/>
      <c r="BN864" s="305"/>
      <c r="BO864" s="305"/>
      <c r="BP864" s="305"/>
      <c r="BQ864" s="305"/>
      <c r="BR864" s="305"/>
      <c r="BS864" s="305"/>
      <c r="BT864" s="305"/>
      <c r="BU864" s="305"/>
      <c r="BV864" s="305"/>
      <c r="BW864" s="305"/>
      <c r="BX864" s="305"/>
      <c r="BY864" s="305"/>
      <c r="BZ864" s="305"/>
      <c r="CA864" s="305"/>
      <c r="CB864" s="305"/>
      <c r="CC864" s="305"/>
      <c r="CD864" s="305"/>
      <c r="CE864" s="305"/>
      <c r="CF864" s="305"/>
      <c r="CG864" s="305"/>
      <c r="CH864" s="305"/>
      <c r="CI864" s="305"/>
      <c r="CJ864" s="305"/>
      <c r="CK864" s="305"/>
      <c r="CL864" s="305"/>
      <c r="CM864" s="305"/>
      <c r="CN864" s="305"/>
      <c r="CO864" s="305"/>
      <c r="CP864" s="305"/>
    </row>
    <row r="865" spans="26:94">
      <c r="Z865" s="305"/>
      <c r="AA865" s="305"/>
      <c r="AB865" s="305"/>
      <c r="AC865" s="305"/>
      <c r="AD865" s="305"/>
      <c r="AE865" s="305"/>
      <c r="AF865" s="305"/>
      <c r="AG865" s="305"/>
      <c r="AH865" s="305"/>
      <c r="AI865" s="305"/>
      <c r="AJ865" s="305"/>
      <c r="AK865" s="305"/>
      <c r="AL865" s="305"/>
      <c r="AM865" s="305"/>
      <c r="AN865" s="305"/>
      <c r="AO865" s="305"/>
      <c r="AP865" s="305"/>
      <c r="AQ865" s="305"/>
      <c r="AR865" s="305"/>
      <c r="AS865" s="305"/>
      <c r="AT865" s="305"/>
      <c r="AU865" s="305"/>
      <c r="AV865" s="305"/>
      <c r="AW865" s="305"/>
      <c r="AX865" s="305"/>
      <c r="AY865" s="305"/>
      <c r="AZ865" s="305"/>
      <c r="BA865" s="305"/>
      <c r="BB865" s="305"/>
      <c r="BC865" s="305"/>
      <c r="BJ865" s="305"/>
      <c r="BK865" s="305"/>
      <c r="BL865" s="305"/>
      <c r="BM865" s="305"/>
      <c r="BN865" s="305"/>
      <c r="BO865" s="305"/>
      <c r="BP865" s="305"/>
      <c r="BQ865" s="305"/>
      <c r="BR865" s="305"/>
      <c r="BS865" s="305"/>
      <c r="BT865" s="305"/>
      <c r="BU865" s="305"/>
      <c r="BV865" s="305"/>
      <c r="BW865" s="305"/>
      <c r="BX865" s="305"/>
      <c r="BY865" s="305"/>
      <c r="BZ865" s="305"/>
      <c r="CA865" s="305"/>
      <c r="CB865" s="305"/>
      <c r="CC865" s="305"/>
      <c r="CD865" s="305"/>
      <c r="CE865" s="305"/>
      <c r="CF865" s="305"/>
      <c r="CG865" s="305"/>
      <c r="CH865" s="305"/>
      <c r="CI865" s="305"/>
      <c r="CJ865" s="305"/>
      <c r="CK865" s="305"/>
      <c r="CL865" s="305"/>
      <c r="CM865" s="305"/>
      <c r="CN865" s="305"/>
      <c r="CO865" s="305"/>
      <c r="CP865" s="305"/>
    </row>
    <row r="866" spans="26:94">
      <c r="Z866" s="305"/>
      <c r="AA866" s="305"/>
      <c r="AB866" s="305"/>
      <c r="AC866" s="305"/>
      <c r="AD866" s="305"/>
      <c r="AE866" s="305"/>
      <c r="AF866" s="305"/>
      <c r="AG866" s="305"/>
      <c r="AH866" s="305"/>
      <c r="AI866" s="305"/>
      <c r="AJ866" s="305"/>
      <c r="AK866" s="305"/>
      <c r="AL866" s="305"/>
      <c r="AM866" s="305"/>
      <c r="AN866" s="305"/>
      <c r="AO866" s="305"/>
      <c r="AP866" s="305"/>
      <c r="AQ866" s="305"/>
      <c r="AR866" s="305"/>
      <c r="AS866" s="305"/>
      <c r="AT866" s="305"/>
      <c r="AU866" s="305"/>
      <c r="AV866" s="305"/>
      <c r="AW866" s="305"/>
      <c r="AX866" s="305"/>
      <c r="AY866" s="305"/>
      <c r="AZ866" s="305"/>
      <c r="BA866" s="305"/>
      <c r="BB866" s="305"/>
      <c r="BC866" s="305"/>
      <c r="BJ866" s="305"/>
      <c r="BK866" s="305"/>
      <c r="BL866" s="305"/>
      <c r="BM866" s="305"/>
      <c r="BN866" s="305"/>
      <c r="BO866" s="305"/>
      <c r="BP866" s="305"/>
      <c r="BQ866" s="305"/>
      <c r="BR866" s="305"/>
      <c r="BS866" s="305"/>
      <c r="BT866" s="305"/>
      <c r="BU866" s="305"/>
      <c r="BV866" s="305"/>
      <c r="BW866" s="305"/>
      <c r="BX866" s="305"/>
      <c r="BY866" s="305"/>
      <c r="BZ866" s="305"/>
      <c r="CA866" s="305"/>
      <c r="CB866" s="305"/>
      <c r="CC866" s="305"/>
      <c r="CD866" s="305"/>
      <c r="CE866" s="305"/>
      <c r="CF866" s="305"/>
      <c r="CG866" s="305"/>
      <c r="CH866" s="305"/>
      <c r="CI866" s="305"/>
      <c r="CJ866" s="305"/>
      <c r="CK866" s="305"/>
      <c r="CL866" s="305"/>
      <c r="CM866" s="305"/>
      <c r="CN866" s="305"/>
      <c r="CO866" s="305"/>
      <c r="CP866" s="305"/>
    </row>
    <row r="867" spans="26:94">
      <c r="Z867" s="305"/>
      <c r="AA867" s="305"/>
      <c r="AB867" s="305"/>
      <c r="AC867" s="305"/>
      <c r="AD867" s="305"/>
      <c r="AE867" s="305"/>
      <c r="AF867" s="305"/>
      <c r="AG867" s="305"/>
      <c r="AH867" s="305"/>
      <c r="AI867" s="305"/>
      <c r="AJ867" s="305"/>
      <c r="AK867" s="305"/>
      <c r="AL867" s="305"/>
      <c r="AM867" s="305"/>
      <c r="AN867" s="305"/>
      <c r="AO867" s="305"/>
      <c r="AP867" s="305"/>
      <c r="AQ867" s="305"/>
      <c r="AR867" s="305"/>
      <c r="AS867" s="305"/>
      <c r="AT867" s="305"/>
      <c r="AU867" s="305"/>
      <c r="AV867" s="305"/>
      <c r="AW867" s="305"/>
      <c r="AX867" s="305"/>
      <c r="AY867" s="305"/>
      <c r="AZ867" s="305"/>
      <c r="BA867" s="305"/>
      <c r="BB867" s="305"/>
      <c r="BC867" s="305"/>
      <c r="BJ867" s="305"/>
      <c r="BK867" s="305"/>
      <c r="BL867" s="305"/>
      <c r="BM867" s="305"/>
      <c r="BN867" s="305"/>
      <c r="BO867" s="305"/>
      <c r="BP867" s="305"/>
      <c r="BQ867" s="305"/>
      <c r="BR867" s="305"/>
      <c r="BS867" s="305"/>
      <c r="BT867" s="305"/>
      <c r="BU867" s="305"/>
      <c r="BV867" s="305"/>
      <c r="BW867" s="305"/>
      <c r="BX867" s="305"/>
      <c r="BY867" s="305"/>
      <c r="BZ867" s="305"/>
      <c r="CA867" s="305"/>
      <c r="CB867" s="305"/>
      <c r="CC867" s="305"/>
      <c r="CD867" s="305"/>
      <c r="CE867" s="305"/>
      <c r="CF867" s="305"/>
      <c r="CG867" s="305"/>
      <c r="CH867" s="305"/>
      <c r="CI867" s="305"/>
      <c r="CJ867" s="305"/>
      <c r="CK867" s="305"/>
      <c r="CL867" s="305"/>
      <c r="CM867" s="305"/>
      <c r="CN867" s="305"/>
      <c r="CO867" s="305"/>
      <c r="CP867" s="305"/>
    </row>
    <row r="868" spans="26:94">
      <c r="Z868" s="305"/>
      <c r="AA868" s="305"/>
      <c r="AB868" s="305"/>
      <c r="AC868" s="305"/>
      <c r="AD868" s="305"/>
      <c r="AE868" s="305"/>
      <c r="AF868" s="305"/>
      <c r="AG868" s="305"/>
      <c r="AH868" s="305"/>
      <c r="AI868" s="305"/>
      <c r="AJ868" s="305"/>
      <c r="AK868" s="305"/>
      <c r="AL868" s="305"/>
      <c r="AM868" s="305"/>
      <c r="AN868" s="305"/>
      <c r="AO868" s="305"/>
      <c r="AP868" s="305"/>
      <c r="AQ868" s="305"/>
      <c r="AR868" s="305"/>
      <c r="AS868" s="305"/>
      <c r="AT868" s="305"/>
      <c r="AU868" s="305"/>
      <c r="AV868" s="305"/>
      <c r="AW868" s="305"/>
      <c r="AX868" s="305"/>
      <c r="AY868" s="305"/>
      <c r="AZ868" s="305"/>
      <c r="BA868" s="305"/>
      <c r="BB868" s="305"/>
      <c r="BC868" s="305"/>
      <c r="BJ868" s="305"/>
      <c r="BK868" s="305"/>
      <c r="BL868" s="305"/>
      <c r="BM868" s="305"/>
      <c r="BN868" s="305"/>
      <c r="BO868" s="305"/>
      <c r="BP868" s="305"/>
      <c r="BQ868" s="305"/>
      <c r="BR868" s="305"/>
      <c r="BS868" s="305"/>
      <c r="BT868" s="305"/>
      <c r="BU868" s="305"/>
      <c r="BV868" s="305"/>
      <c r="BW868" s="305"/>
      <c r="BX868" s="305"/>
      <c r="BY868" s="305"/>
      <c r="BZ868" s="305"/>
      <c r="CA868" s="305"/>
      <c r="CB868" s="305"/>
      <c r="CC868" s="305"/>
      <c r="CD868" s="305"/>
      <c r="CE868" s="305"/>
      <c r="CF868" s="305"/>
      <c r="CG868" s="305"/>
      <c r="CH868" s="305"/>
      <c r="CI868" s="305"/>
      <c r="CJ868" s="305"/>
      <c r="CK868" s="305"/>
      <c r="CL868" s="305"/>
      <c r="CM868" s="305"/>
      <c r="CN868" s="305"/>
      <c r="CO868" s="305"/>
      <c r="CP868" s="305"/>
    </row>
    <row r="869" spans="26:94">
      <c r="Z869" s="305"/>
      <c r="AA869" s="305"/>
      <c r="AB869" s="305"/>
      <c r="AC869" s="305"/>
      <c r="AD869" s="305"/>
      <c r="AE869" s="305"/>
      <c r="AF869" s="305"/>
      <c r="AG869" s="305"/>
      <c r="AH869" s="305"/>
      <c r="AI869" s="305"/>
      <c r="AJ869" s="305"/>
      <c r="AK869" s="305"/>
      <c r="AL869" s="305"/>
      <c r="AM869" s="305"/>
      <c r="AN869" s="305"/>
      <c r="AO869" s="305"/>
      <c r="AP869" s="305"/>
      <c r="AQ869" s="305"/>
      <c r="AR869" s="305"/>
      <c r="AS869" s="305"/>
      <c r="AT869" s="305"/>
      <c r="AU869" s="305"/>
      <c r="AV869" s="305"/>
      <c r="AW869" s="305"/>
      <c r="AX869" s="305"/>
      <c r="AY869" s="305"/>
      <c r="AZ869" s="305"/>
      <c r="BA869" s="305"/>
      <c r="BB869" s="305"/>
      <c r="BC869" s="305"/>
      <c r="BJ869" s="305"/>
      <c r="BK869" s="305"/>
      <c r="BL869" s="305"/>
      <c r="BM869" s="305"/>
      <c r="BN869" s="305"/>
      <c r="BO869" s="305"/>
      <c r="BP869" s="305"/>
      <c r="BQ869" s="305"/>
      <c r="BR869" s="305"/>
      <c r="BS869" s="305"/>
      <c r="BT869" s="305"/>
      <c r="BU869" s="305"/>
      <c r="BV869" s="305"/>
      <c r="BW869" s="305"/>
      <c r="BX869" s="305"/>
      <c r="BY869" s="305"/>
      <c r="BZ869" s="305"/>
      <c r="CA869" s="305"/>
      <c r="CB869" s="305"/>
      <c r="CC869" s="305"/>
      <c r="CD869" s="305"/>
      <c r="CE869" s="305"/>
      <c r="CF869" s="305"/>
      <c r="CG869" s="305"/>
      <c r="CH869" s="305"/>
      <c r="CI869" s="305"/>
      <c r="CJ869" s="305"/>
      <c r="CK869" s="305"/>
      <c r="CL869" s="305"/>
      <c r="CM869" s="305"/>
      <c r="CN869" s="305"/>
      <c r="CO869" s="305"/>
      <c r="CP869" s="305"/>
    </row>
    <row r="870" spans="26:94">
      <c r="Z870" s="305"/>
      <c r="AA870" s="305"/>
      <c r="AB870" s="305"/>
      <c r="AC870" s="305"/>
      <c r="AD870" s="305"/>
      <c r="AE870" s="305"/>
      <c r="AF870" s="305"/>
      <c r="AG870" s="305"/>
      <c r="AH870" s="305"/>
      <c r="AI870" s="305"/>
      <c r="AJ870" s="305"/>
      <c r="AK870" s="305"/>
      <c r="AL870" s="305"/>
      <c r="AM870" s="305"/>
      <c r="AN870" s="305"/>
      <c r="AO870" s="305"/>
      <c r="AP870" s="305"/>
      <c r="AQ870" s="305"/>
      <c r="AR870" s="305"/>
      <c r="AS870" s="305"/>
      <c r="AT870" s="305"/>
      <c r="AU870" s="305"/>
      <c r="AV870" s="305"/>
      <c r="AW870" s="305"/>
      <c r="AX870" s="305"/>
      <c r="AY870" s="305"/>
      <c r="AZ870" s="305"/>
      <c r="BA870" s="305"/>
      <c r="BB870" s="305"/>
      <c r="BC870" s="305"/>
      <c r="BJ870" s="305"/>
      <c r="BK870" s="305"/>
      <c r="BL870" s="305"/>
      <c r="BM870" s="305"/>
      <c r="BN870" s="305"/>
      <c r="BO870" s="305"/>
      <c r="BP870" s="305"/>
      <c r="BQ870" s="305"/>
      <c r="BR870" s="305"/>
      <c r="BS870" s="305"/>
      <c r="BT870" s="305"/>
      <c r="BU870" s="305"/>
      <c r="BV870" s="305"/>
      <c r="BW870" s="305"/>
      <c r="BX870" s="305"/>
      <c r="BY870" s="305"/>
      <c r="BZ870" s="305"/>
      <c r="CA870" s="305"/>
      <c r="CB870" s="305"/>
      <c r="CC870" s="305"/>
      <c r="CD870" s="305"/>
      <c r="CE870" s="305"/>
      <c r="CF870" s="305"/>
      <c r="CG870" s="305"/>
      <c r="CH870" s="305"/>
      <c r="CI870" s="305"/>
      <c r="CJ870" s="305"/>
      <c r="CK870" s="305"/>
      <c r="CL870" s="305"/>
      <c r="CM870" s="305"/>
      <c r="CN870" s="305"/>
      <c r="CO870" s="305"/>
      <c r="CP870" s="305"/>
    </row>
    <row r="871" spans="26:94">
      <c r="Z871" s="305"/>
      <c r="AA871" s="305"/>
      <c r="AB871" s="305"/>
      <c r="AC871" s="305"/>
      <c r="AD871" s="305"/>
      <c r="AE871" s="305"/>
      <c r="AF871" s="305"/>
      <c r="AG871" s="305"/>
      <c r="AH871" s="305"/>
      <c r="AI871" s="305"/>
      <c r="AJ871" s="305"/>
      <c r="AK871" s="305"/>
      <c r="AL871" s="305"/>
      <c r="AM871" s="305"/>
      <c r="AN871" s="305"/>
      <c r="AO871" s="305"/>
      <c r="AP871" s="305"/>
      <c r="AQ871" s="305"/>
      <c r="AR871" s="305"/>
      <c r="AS871" s="305"/>
      <c r="AT871" s="305"/>
      <c r="AU871" s="305"/>
      <c r="AV871" s="305"/>
      <c r="AW871" s="305"/>
      <c r="AX871" s="305"/>
      <c r="AY871" s="305"/>
      <c r="AZ871" s="305"/>
      <c r="BA871" s="305"/>
      <c r="BB871" s="305"/>
      <c r="BC871" s="305"/>
      <c r="BJ871" s="305"/>
      <c r="BK871" s="305"/>
      <c r="BL871" s="305"/>
      <c r="BM871" s="305"/>
      <c r="BN871" s="305"/>
      <c r="BO871" s="305"/>
      <c r="BP871" s="305"/>
      <c r="BQ871" s="305"/>
      <c r="BR871" s="305"/>
      <c r="BS871" s="305"/>
      <c r="BT871" s="305"/>
      <c r="BU871" s="305"/>
      <c r="BV871" s="305"/>
      <c r="BW871" s="305"/>
      <c r="BX871" s="305"/>
      <c r="BY871" s="305"/>
      <c r="BZ871" s="305"/>
      <c r="CA871" s="305"/>
      <c r="CB871" s="305"/>
      <c r="CC871" s="305"/>
      <c r="CD871" s="305"/>
      <c r="CE871" s="305"/>
      <c r="CF871" s="305"/>
      <c r="CG871" s="305"/>
      <c r="CH871" s="305"/>
      <c r="CI871" s="305"/>
      <c r="CJ871" s="305"/>
      <c r="CK871" s="305"/>
      <c r="CL871" s="305"/>
      <c r="CM871" s="305"/>
      <c r="CN871" s="305"/>
      <c r="CO871" s="305"/>
      <c r="CP871" s="305"/>
    </row>
    <row r="872" spans="26:94">
      <c r="Z872" s="305"/>
      <c r="AA872" s="305"/>
      <c r="AB872" s="305"/>
      <c r="AC872" s="305"/>
      <c r="AD872" s="305"/>
      <c r="AE872" s="305"/>
      <c r="AF872" s="305"/>
      <c r="AG872" s="305"/>
      <c r="AH872" s="305"/>
      <c r="AI872" s="305"/>
      <c r="AJ872" s="305"/>
      <c r="AK872" s="305"/>
      <c r="AL872" s="305"/>
      <c r="AM872" s="305"/>
      <c r="AN872" s="305"/>
      <c r="AO872" s="305"/>
      <c r="AP872" s="305"/>
      <c r="AQ872" s="305"/>
      <c r="AR872" s="305"/>
      <c r="AS872" s="305"/>
      <c r="AT872" s="305"/>
      <c r="AU872" s="305"/>
      <c r="AV872" s="305"/>
      <c r="AW872" s="305"/>
      <c r="AX872" s="305"/>
      <c r="AY872" s="305"/>
      <c r="AZ872" s="305"/>
      <c r="BA872" s="305"/>
      <c r="BB872" s="305"/>
      <c r="BC872" s="305"/>
      <c r="BJ872" s="305"/>
      <c r="BK872" s="305"/>
      <c r="BL872" s="305"/>
      <c r="BM872" s="305"/>
      <c r="BN872" s="305"/>
      <c r="BO872" s="305"/>
      <c r="BP872" s="305"/>
      <c r="BQ872" s="305"/>
      <c r="BR872" s="305"/>
      <c r="BS872" s="305"/>
      <c r="BT872" s="305"/>
      <c r="BU872" s="305"/>
      <c r="BV872" s="305"/>
      <c r="BW872" s="305"/>
      <c r="BX872" s="305"/>
      <c r="BY872" s="305"/>
      <c r="BZ872" s="305"/>
      <c r="CA872" s="305"/>
      <c r="CB872" s="305"/>
      <c r="CC872" s="305"/>
      <c r="CD872" s="305"/>
      <c r="CE872" s="305"/>
      <c r="CF872" s="305"/>
      <c r="CG872" s="305"/>
      <c r="CH872" s="305"/>
      <c r="CI872" s="305"/>
      <c r="CJ872" s="305"/>
      <c r="CK872" s="305"/>
      <c r="CL872" s="305"/>
      <c r="CM872" s="305"/>
      <c r="CN872" s="305"/>
      <c r="CO872" s="305"/>
      <c r="CP872" s="305"/>
    </row>
    <row r="873" spans="26:94">
      <c r="Z873" s="305"/>
      <c r="AA873" s="305"/>
      <c r="AB873" s="305"/>
      <c r="AC873" s="305"/>
      <c r="AD873" s="305"/>
      <c r="AE873" s="305"/>
      <c r="AF873" s="305"/>
      <c r="AG873" s="305"/>
      <c r="AH873" s="305"/>
      <c r="AI873" s="305"/>
      <c r="AJ873" s="305"/>
      <c r="AK873" s="305"/>
      <c r="AL873" s="305"/>
      <c r="AM873" s="305"/>
      <c r="AN873" s="305"/>
      <c r="AO873" s="305"/>
      <c r="AP873" s="305"/>
      <c r="AQ873" s="305"/>
      <c r="AR873" s="305"/>
      <c r="AS873" s="305"/>
      <c r="AT873" s="305"/>
      <c r="AU873" s="305"/>
      <c r="AV873" s="305"/>
      <c r="AW873" s="305"/>
      <c r="AX873" s="305"/>
      <c r="AY873" s="305"/>
      <c r="AZ873" s="305"/>
      <c r="BA873" s="305"/>
      <c r="BB873" s="305"/>
      <c r="BC873" s="305"/>
      <c r="BJ873" s="305"/>
      <c r="BK873" s="305"/>
      <c r="BL873" s="305"/>
      <c r="BM873" s="305"/>
      <c r="BN873" s="305"/>
      <c r="BO873" s="305"/>
      <c r="BP873" s="305"/>
      <c r="BQ873" s="305"/>
      <c r="BR873" s="305"/>
      <c r="BS873" s="305"/>
      <c r="BT873" s="305"/>
      <c r="BU873" s="305"/>
      <c r="BV873" s="305"/>
      <c r="BW873" s="305"/>
      <c r="BX873" s="305"/>
      <c r="BY873" s="305"/>
      <c r="BZ873" s="305"/>
      <c r="CA873" s="305"/>
      <c r="CB873" s="305"/>
      <c r="CC873" s="305"/>
      <c r="CD873" s="305"/>
      <c r="CE873" s="305"/>
      <c r="CF873" s="305"/>
      <c r="CG873" s="305"/>
      <c r="CH873" s="305"/>
      <c r="CI873" s="305"/>
      <c r="CJ873" s="305"/>
      <c r="CK873" s="305"/>
      <c r="CL873" s="305"/>
      <c r="CM873" s="305"/>
      <c r="CN873" s="305"/>
      <c r="CO873" s="305"/>
      <c r="CP873" s="305"/>
    </row>
    <row r="874" spans="26:94">
      <c r="Z874" s="305"/>
      <c r="AA874" s="305"/>
      <c r="AB874" s="305"/>
      <c r="AC874" s="305"/>
      <c r="AD874" s="305"/>
      <c r="AE874" s="305"/>
      <c r="AF874" s="305"/>
      <c r="AG874" s="305"/>
      <c r="AH874" s="305"/>
      <c r="AI874" s="305"/>
      <c r="AJ874" s="305"/>
      <c r="AK874" s="305"/>
      <c r="AL874" s="305"/>
      <c r="AM874" s="305"/>
      <c r="AN874" s="305"/>
      <c r="AO874" s="305"/>
      <c r="AP874" s="305"/>
      <c r="AQ874" s="305"/>
      <c r="AR874" s="305"/>
      <c r="AS874" s="305"/>
      <c r="AT874" s="305"/>
      <c r="AU874" s="305"/>
      <c r="AV874" s="305"/>
      <c r="AW874" s="305"/>
      <c r="AX874" s="305"/>
      <c r="AY874" s="305"/>
      <c r="AZ874" s="305"/>
      <c r="BA874" s="305"/>
      <c r="BB874" s="305"/>
      <c r="BC874" s="305"/>
      <c r="BJ874" s="305"/>
      <c r="BK874" s="305"/>
      <c r="BL874" s="305"/>
      <c r="BM874" s="305"/>
      <c r="BN874" s="305"/>
      <c r="BO874" s="305"/>
      <c r="BP874" s="305"/>
      <c r="BQ874" s="305"/>
      <c r="BR874" s="305"/>
      <c r="BS874" s="305"/>
      <c r="BT874" s="305"/>
      <c r="BU874" s="305"/>
      <c r="BV874" s="305"/>
      <c r="BW874" s="305"/>
      <c r="BX874" s="305"/>
      <c r="BY874" s="305"/>
      <c r="BZ874" s="305"/>
      <c r="CA874" s="305"/>
      <c r="CB874" s="305"/>
      <c r="CC874" s="305"/>
      <c r="CD874" s="305"/>
      <c r="CE874" s="305"/>
      <c r="CF874" s="305"/>
      <c r="CG874" s="305"/>
      <c r="CH874" s="305"/>
      <c r="CI874" s="305"/>
      <c r="CJ874" s="305"/>
      <c r="CK874" s="305"/>
      <c r="CL874" s="305"/>
      <c r="CM874" s="305"/>
      <c r="CN874" s="305"/>
      <c r="CO874" s="305"/>
      <c r="CP874" s="305"/>
    </row>
    <row r="875" spans="26:94">
      <c r="Z875" s="305"/>
      <c r="AA875" s="305"/>
      <c r="AB875" s="305"/>
      <c r="AC875" s="305"/>
      <c r="AD875" s="305"/>
      <c r="AE875" s="305"/>
      <c r="AF875" s="305"/>
      <c r="AG875" s="305"/>
      <c r="AH875" s="305"/>
      <c r="AI875" s="305"/>
      <c r="AJ875" s="305"/>
      <c r="AK875" s="305"/>
      <c r="AL875" s="305"/>
      <c r="AM875" s="305"/>
      <c r="AN875" s="305"/>
      <c r="AO875" s="305"/>
      <c r="AP875" s="305"/>
      <c r="AQ875" s="305"/>
      <c r="AR875" s="305"/>
      <c r="AS875" s="305"/>
      <c r="AT875" s="305"/>
      <c r="AU875" s="305"/>
      <c r="AV875" s="305"/>
      <c r="AW875" s="305"/>
      <c r="AX875" s="305"/>
      <c r="AY875" s="305"/>
      <c r="AZ875" s="305"/>
      <c r="BA875" s="305"/>
      <c r="BB875" s="305"/>
      <c r="BC875" s="305"/>
      <c r="BJ875" s="305"/>
      <c r="BK875" s="305"/>
      <c r="BL875" s="305"/>
      <c r="BM875" s="305"/>
      <c r="BN875" s="305"/>
      <c r="BO875" s="305"/>
      <c r="BP875" s="305"/>
      <c r="BQ875" s="305"/>
      <c r="BR875" s="305"/>
      <c r="BS875" s="305"/>
      <c r="BT875" s="305"/>
      <c r="BU875" s="305"/>
      <c r="BV875" s="305"/>
      <c r="BW875" s="305"/>
      <c r="BX875" s="305"/>
      <c r="BY875" s="305"/>
      <c r="BZ875" s="305"/>
      <c r="CA875" s="305"/>
      <c r="CB875" s="305"/>
      <c r="CC875" s="305"/>
      <c r="CD875" s="305"/>
      <c r="CE875" s="305"/>
      <c r="CF875" s="305"/>
      <c r="CG875" s="305"/>
      <c r="CH875" s="305"/>
      <c r="CI875" s="305"/>
      <c r="CJ875" s="305"/>
      <c r="CK875" s="305"/>
      <c r="CL875" s="305"/>
      <c r="CM875" s="305"/>
      <c r="CN875" s="305"/>
      <c r="CO875" s="305"/>
      <c r="CP875" s="305"/>
    </row>
    <row r="876" spans="26:94">
      <c r="Z876" s="305"/>
      <c r="AA876" s="305"/>
      <c r="AB876" s="305"/>
      <c r="AC876" s="305"/>
      <c r="AD876" s="305"/>
      <c r="AE876" s="305"/>
      <c r="AF876" s="305"/>
      <c r="AG876" s="305"/>
      <c r="AH876" s="305"/>
      <c r="AI876" s="305"/>
      <c r="AJ876" s="305"/>
      <c r="AK876" s="305"/>
      <c r="AL876" s="305"/>
      <c r="AM876" s="305"/>
      <c r="AN876" s="305"/>
      <c r="AO876" s="305"/>
      <c r="AP876" s="305"/>
      <c r="AQ876" s="305"/>
      <c r="AR876" s="305"/>
      <c r="AS876" s="305"/>
      <c r="AT876" s="305"/>
      <c r="AU876" s="305"/>
      <c r="AV876" s="305"/>
      <c r="AW876" s="305"/>
      <c r="AX876" s="305"/>
      <c r="AY876" s="305"/>
      <c r="AZ876" s="305"/>
      <c r="BA876" s="305"/>
      <c r="BB876" s="305"/>
      <c r="BC876" s="305"/>
      <c r="BJ876" s="305"/>
      <c r="BK876" s="305"/>
      <c r="BL876" s="305"/>
      <c r="BM876" s="305"/>
      <c r="BN876" s="305"/>
      <c r="BO876" s="305"/>
      <c r="BP876" s="305"/>
      <c r="BQ876" s="305"/>
      <c r="BR876" s="305"/>
      <c r="BS876" s="305"/>
      <c r="BT876" s="305"/>
      <c r="BU876" s="305"/>
      <c r="BV876" s="305"/>
      <c r="BW876" s="305"/>
      <c r="BX876" s="305"/>
      <c r="BY876" s="305"/>
      <c r="BZ876" s="305"/>
      <c r="CA876" s="305"/>
      <c r="CB876" s="305"/>
      <c r="CC876" s="305"/>
      <c r="CD876" s="305"/>
      <c r="CE876" s="305"/>
      <c r="CF876" s="305"/>
      <c r="CG876" s="305"/>
      <c r="CH876" s="305"/>
      <c r="CI876" s="305"/>
      <c r="CJ876" s="305"/>
      <c r="CK876" s="305"/>
      <c r="CL876" s="305"/>
      <c r="CM876" s="305"/>
      <c r="CN876" s="305"/>
      <c r="CO876" s="305"/>
      <c r="CP876" s="305"/>
    </row>
    <row r="877" spans="26:94">
      <c r="Z877" s="305"/>
      <c r="AA877" s="305"/>
      <c r="AB877" s="305"/>
      <c r="AC877" s="305"/>
      <c r="AD877" s="305"/>
      <c r="AE877" s="305"/>
      <c r="AF877" s="305"/>
      <c r="AG877" s="305"/>
      <c r="AH877" s="305"/>
      <c r="AI877" s="305"/>
      <c r="AJ877" s="305"/>
      <c r="AK877" s="305"/>
      <c r="AL877" s="305"/>
      <c r="AM877" s="305"/>
      <c r="AN877" s="305"/>
      <c r="AO877" s="305"/>
      <c r="AP877" s="305"/>
      <c r="AQ877" s="305"/>
      <c r="AR877" s="305"/>
      <c r="AS877" s="305"/>
      <c r="AT877" s="305"/>
      <c r="AU877" s="305"/>
      <c r="AV877" s="305"/>
      <c r="AW877" s="305"/>
      <c r="AX877" s="305"/>
      <c r="AY877" s="305"/>
      <c r="AZ877" s="305"/>
      <c r="BA877" s="305"/>
      <c r="BB877" s="305"/>
      <c r="BC877" s="305"/>
      <c r="BJ877" s="305"/>
      <c r="BK877" s="305"/>
      <c r="BL877" s="305"/>
      <c r="BM877" s="305"/>
      <c r="BN877" s="305"/>
      <c r="BO877" s="305"/>
      <c r="BP877" s="305"/>
      <c r="BQ877" s="305"/>
      <c r="BR877" s="305"/>
      <c r="BS877" s="305"/>
      <c r="BT877" s="305"/>
      <c r="BU877" s="305"/>
      <c r="BV877" s="305"/>
      <c r="BW877" s="305"/>
      <c r="BX877" s="305"/>
      <c r="BY877" s="305"/>
      <c r="BZ877" s="305"/>
      <c r="CA877" s="305"/>
      <c r="CB877" s="305"/>
      <c r="CC877" s="305"/>
      <c r="CD877" s="305"/>
      <c r="CE877" s="305"/>
      <c r="CF877" s="305"/>
      <c r="CG877" s="305"/>
      <c r="CH877" s="305"/>
      <c r="CI877" s="305"/>
      <c r="CJ877" s="305"/>
      <c r="CK877" s="305"/>
      <c r="CL877" s="305"/>
      <c r="CM877" s="305"/>
      <c r="CN877" s="305"/>
      <c r="CO877" s="305"/>
      <c r="CP877" s="305"/>
    </row>
    <row r="878" spans="26:94">
      <c r="Z878" s="305"/>
      <c r="AA878" s="305"/>
      <c r="AB878" s="305"/>
      <c r="AC878" s="305"/>
      <c r="AD878" s="305"/>
      <c r="AE878" s="305"/>
      <c r="AF878" s="305"/>
      <c r="AG878" s="305"/>
      <c r="AH878" s="305"/>
      <c r="AI878" s="305"/>
      <c r="AJ878" s="305"/>
      <c r="AK878" s="305"/>
      <c r="AL878" s="305"/>
      <c r="AM878" s="305"/>
      <c r="AN878" s="305"/>
      <c r="AO878" s="305"/>
      <c r="AP878" s="305"/>
      <c r="AQ878" s="305"/>
      <c r="AR878" s="305"/>
      <c r="AS878" s="305"/>
      <c r="AT878" s="305"/>
      <c r="AU878" s="305"/>
      <c r="AV878" s="305"/>
      <c r="AW878" s="305"/>
      <c r="AX878" s="305"/>
      <c r="AY878" s="305"/>
      <c r="AZ878" s="305"/>
      <c r="BA878" s="305"/>
      <c r="BB878" s="305"/>
      <c r="BC878" s="305"/>
      <c r="BJ878" s="305"/>
      <c r="BK878" s="305"/>
      <c r="BL878" s="305"/>
      <c r="BM878" s="305"/>
      <c r="BN878" s="305"/>
      <c r="BO878" s="305"/>
      <c r="BP878" s="305"/>
      <c r="BQ878" s="305"/>
      <c r="BR878" s="305"/>
      <c r="BS878" s="305"/>
      <c r="BT878" s="305"/>
      <c r="BU878" s="305"/>
      <c r="BV878" s="305"/>
      <c r="BW878" s="305"/>
      <c r="BX878" s="305"/>
      <c r="BY878" s="305"/>
      <c r="BZ878" s="305"/>
      <c r="CA878" s="305"/>
      <c r="CB878" s="305"/>
      <c r="CC878" s="305"/>
      <c r="CD878" s="305"/>
      <c r="CE878" s="305"/>
      <c r="CF878" s="305"/>
      <c r="CG878" s="305"/>
      <c r="CH878" s="305"/>
      <c r="CI878" s="305"/>
      <c r="CJ878" s="305"/>
      <c r="CK878" s="305"/>
      <c r="CL878" s="305"/>
      <c r="CM878" s="305"/>
      <c r="CN878" s="305"/>
      <c r="CO878" s="305"/>
      <c r="CP878" s="305"/>
    </row>
    <row r="879" spans="26:94">
      <c r="Z879" s="305"/>
      <c r="AA879" s="305"/>
      <c r="AB879" s="305"/>
      <c r="AC879" s="305"/>
      <c r="AD879" s="305"/>
      <c r="AE879" s="305"/>
      <c r="AF879" s="305"/>
      <c r="AG879" s="305"/>
      <c r="AH879" s="305"/>
      <c r="AI879" s="305"/>
      <c r="AJ879" s="305"/>
      <c r="AK879" s="305"/>
      <c r="AL879" s="305"/>
      <c r="AM879" s="305"/>
      <c r="AN879" s="305"/>
      <c r="AO879" s="305"/>
      <c r="AP879" s="305"/>
      <c r="AQ879" s="305"/>
      <c r="AR879" s="305"/>
      <c r="AS879" s="305"/>
      <c r="AT879" s="305"/>
      <c r="AU879" s="305"/>
      <c r="AV879" s="305"/>
      <c r="AW879" s="305"/>
      <c r="AX879" s="305"/>
      <c r="AY879" s="305"/>
      <c r="AZ879" s="305"/>
      <c r="BA879" s="305"/>
      <c r="BB879" s="305"/>
      <c r="BC879" s="305"/>
      <c r="BJ879" s="305"/>
      <c r="BK879" s="305"/>
      <c r="BL879" s="305"/>
      <c r="BM879" s="305"/>
      <c r="BN879" s="305"/>
      <c r="BO879" s="305"/>
      <c r="BP879" s="305"/>
      <c r="BQ879" s="305"/>
      <c r="BR879" s="305"/>
      <c r="BS879" s="305"/>
      <c r="BT879" s="305"/>
      <c r="BU879" s="305"/>
      <c r="BV879" s="305"/>
      <c r="BW879" s="305"/>
      <c r="BX879" s="305"/>
      <c r="BY879" s="305"/>
      <c r="BZ879" s="305"/>
      <c r="CA879" s="305"/>
      <c r="CB879" s="305"/>
      <c r="CC879" s="305"/>
      <c r="CD879" s="305"/>
      <c r="CE879" s="305"/>
      <c r="CF879" s="305"/>
      <c r="CG879" s="305"/>
      <c r="CH879" s="305"/>
      <c r="CI879" s="305"/>
      <c r="CJ879" s="305"/>
      <c r="CK879" s="305"/>
      <c r="CL879" s="305"/>
      <c r="CM879" s="305"/>
      <c r="CN879" s="305"/>
      <c r="CO879" s="305"/>
      <c r="CP879" s="305"/>
    </row>
    <row r="880" spans="26:94">
      <c r="Z880" s="305"/>
      <c r="AA880" s="305"/>
      <c r="AB880" s="305"/>
      <c r="AC880" s="305"/>
      <c r="AD880" s="305"/>
      <c r="AE880" s="305"/>
      <c r="AF880" s="305"/>
      <c r="AG880" s="305"/>
      <c r="AH880" s="305"/>
      <c r="AI880" s="305"/>
      <c r="AJ880" s="305"/>
      <c r="AK880" s="305"/>
      <c r="AL880" s="305"/>
      <c r="AM880" s="305"/>
      <c r="AN880" s="305"/>
      <c r="AO880" s="305"/>
      <c r="AP880" s="305"/>
      <c r="AQ880" s="305"/>
      <c r="AR880" s="305"/>
      <c r="AS880" s="305"/>
      <c r="AT880" s="305"/>
      <c r="AU880" s="305"/>
      <c r="AV880" s="305"/>
      <c r="AW880" s="305"/>
      <c r="AX880" s="305"/>
      <c r="AY880" s="305"/>
      <c r="AZ880" s="305"/>
      <c r="BA880" s="305"/>
      <c r="BB880" s="305"/>
      <c r="BC880" s="305"/>
      <c r="BJ880" s="305"/>
      <c r="BK880" s="305"/>
      <c r="BL880" s="305"/>
      <c r="BM880" s="305"/>
      <c r="BN880" s="305"/>
      <c r="BO880" s="305"/>
      <c r="BP880" s="305"/>
      <c r="BQ880" s="305"/>
      <c r="BR880" s="305"/>
      <c r="BS880" s="305"/>
      <c r="BT880" s="305"/>
      <c r="BU880" s="305"/>
      <c r="BV880" s="305"/>
      <c r="BW880" s="305"/>
      <c r="BX880" s="305"/>
      <c r="BY880" s="305"/>
      <c r="BZ880" s="305"/>
      <c r="CA880" s="305"/>
      <c r="CB880" s="305"/>
      <c r="CC880" s="305"/>
      <c r="CD880" s="305"/>
      <c r="CE880" s="305"/>
      <c r="CF880" s="305"/>
      <c r="CG880" s="305"/>
      <c r="CH880" s="305"/>
      <c r="CI880" s="305"/>
      <c r="CJ880" s="305"/>
      <c r="CK880" s="305"/>
      <c r="CL880" s="305"/>
      <c r="CM880" s="305"/>
      <c r="CN880" s="305"/>
      <c r="CO880" s="305"/>
      <c r="CP880" s="305"/>
    </row>
    <row r="881" spans="26:94">
      <c r="Z881" s="305"/>
      <c r="AA881" s="305"/>
      <c r="AB881" s="305"/>
      <c r="AC881" s="305"/>
      <c r="AD881" s="305"/>
      <c r="AE881" s="305"/>
      <c r="AF881" s="305"/>
      <c r="AG881" s="305"/>
      <c r="AH881" s="305"/>
      <c r="AI881" s="305"/>
      <c r="AJ881" s="305"/>
      <c r="AK881" s="305"/>
      <c r="AL881" s="305"/>
      <c r="AM881" s="305"/>
      <c r="AN881" s="305"/>
      <c r="AO881" s="305"/>
      <c r="AP881" s="305"/>
      <c r="AQ881" s="305"/>
      <c r="AR881" s="305"/>
      <c r="AS881" s="305"/>
      <c r="AT881" s="305"/>
      <c r="AU881" s="305"/>
      <c r="AV881" s="305"/>
      <c r="AW881" s="305"/>
      <c r="AX881" s="305"/>
      <c r="AY881" s="305"/>
      <c r="AZ881" s="305"/>
      <c r="BA881" s="305"/>
      <c r="BB881" s="305"/>
      <c r="BC881" s="305"/>
      <c r="BJ881" s="305"/>
      <c r="BK881" s="305"/>
      <c r="BL881" s="305"/>
      <c r="BM881" s="305"/>
      <c r="BN881" s="305"/>
      <c r="BO881" s="305"/>
      <c r="BP881" s="305"/>
      <c r="BQ881" s="305"/>
      <c r="BR881" s="305"/>
      <c r="BS881" s="305"/>
      <c r="BT881" s="305"/>
      <c r="BU881" s="305"/>
      <c r="BV881" s="305"/>
      <c r="BW881" s="305"/>
      <c r="BX881" s="305"/>
      <c r="BY881" s="305"/>
      <c r="BZ881" s="305"/>
      <c r="CA881" s="305"/>
      <c r="CB881" s="305"/>
      <c r="CC881" s="305"/>
      <c r="CD881" s="305"/>
      <c r="CE881" s="305"/>
      <c r="CF881" s="305"/>
      <c r="CG881" s="305"/>
      <c r="CH881" s="305"/>
      <c r="CI881" s="305"/>
      <c r="CJ881" s="305"/>
      <c r="CK881" s="305"/>
      <c r="CL881" s="305"/>
      <c r="CM881" s="305"/>
      <c r="CN881" s="305"/>
      <c r="CO881" s="305"/>
      <c r="CP881" s="305"/>
    </row>
    <row r="882" spans="26:94">
      <c r="Z882" s="305"/>
      <c r="AA882" s="305"/>
      <c r="AB882" s="305"/>
      <c r="AC882" s="305"/>
      <c r="AD882" s="305"/>
      <c r="AE882" s="305"/>
      <c r="AF882" s="305"/>
      <c r="AG882" s="305"/>
      <c r="AH882" s="305"/>
      <c r="AI882" s="305"/>
      <c r="AJ882" s="305"/>
      <c r="AK882" s="305"/>
      <c r="AL882" s="305"/>
      <c r="AM882" s="305"/>
      <c r="AN882" s="305"/>
      <c r="AO882" s="305"/>
      <c r="AP882" s="305"/>
      <c r="AQ882" s="305"/>
      <c r="AR882" s="305"/>
      <c r="AS882" s="305"/>
      <c r="AT882" s="305"/>
      <c r="AU882" s="305"/>
      <c r="AV882" s="305"/>
      <c r="AW882" s="305"/>
      <c r="AX882" s="305"/>
      <c r="AY882" s="305"/>
      <c r="AZ882" s="305"/>
      <c r="BA882" s="305"/>
      <c r="BB882" s="305"/>
      <c r="BC882" s="305"/>
      <c r="BJ882" s="305"/>
      <c r="BK882" s="305"/>
      <c r="BL882" s="305"/>
      <c r="BM882" s="305"/>
      <c r="BN882" s="305"/>
      <c r="BO882" s="305"/>
      <c r="BP882" s="305"/>
      <c r="BQ882" s="305"/>
      <c r="BR882" s="305"/>
      <c r="BS882" s="305"/>
      <c r="BT882" s="305"/>
      <c r="BU882" s="305"/>
      <c r="BV882" s="305"/>
      <c r="BW882" s="305"/>
      <c r="BX882" s="305"/>
      <c r="BY882" s="305"/>
      <c r="BZ882" s="305"/>
      <c r="CA882" s="305"/>
      <c r="CB882" s="305"/>
      <c r="CC882" s="305"/>
      <c r="CD882" s="305"/>
      <c r="CE882" s="305"/>
      <c r="CF882" s="305"/>
      <c r="CG882" s="305"/>
      <c r="CH882" s="305"/>
      <c r="CI882" s="305"/>
      <c r="CJ882" s="305"/>
      <c r="CK882" s="305"/>
      <c r="CL882" s="305"/>
      <c r="CM882" s="305"/>
      <c r="CN882" s="305"/>
      <c r="CO882" s="305"/>
      <c r="CP882" s="305"/>
    </row>
    <row r="883" spans="26:94">
      <c r="Z883" s="305"/>
      <c r="AA883" s="305"/>
      <c r="AB883" s="305"/>
      <c r="AC883" s="305"/>
      <c r="AD883" s="305"/>
      <c r="AE883" s="305"/>
      <c r="AF883" s="305"/>
      <c r="AG883" s="305"/>
      <c r="AH883" s="305"/>
      <c r="AI883" s="305"/>
      <c r="AJ883" s="305"/>
      <c r="AK883" s="305"/>
      <c r="AL883" s="305"/>
      <c r="AM883" s="305"/>
      <c r="AN883" s="305"/>
      <c r="AO883" s="305"/>
      <c r="AP883" s="305"/>
      <c r="AQ883" s="305"/>
      <c r="AR883" s="305"/>
      <c r="AS883" s="305"/>
      <c r="AT883" s="305"/>
      <c r="AU883" s="305"/>
      <c r="AV883" s="305"/>
      <c r="AW883" s="305"/>
      <c r="AX883" s="305"/>
      <c r="AY883" s="305"/>
      <c r="AZ883" s="305"/>
      <c r="BA883" s="305"/>
      <c r="BB883" s="305"/>
      <c r="BC883" s="305"/>
      <c r="BJ883" s="305"/>
      <c r="BK883" s="305"/>
      <c r="BL883" s="305"/>
      <c r="BM883" s="305"/>
      <c r="BN883" s="305"/>
      <c r="BO883" s="305"/>
      <c r="BP883" s="305"/>
      <c r="BQ883" s="305"/>
      <c r="BR883" s="305"/>
      <c r="BS883" s="305"/>
      <c r="BT883" s="305"/>
      <c r="BU883" s="305"/>
      <c r="BV883" s="305"/>
      <c r="BW883" s="305"/>
      <c r="BX883" s="305"/>
      <c r="BY883" s="305"/>
      <c r="BZ883" s="305"/>
      <c r="CA883" s="305"/>
      <c r="CB883" s="305"/>
      <c r="CC883" s="305"/>
      <c r="CD883" s="305"/>
      <c r="CE883" s="305"/>
      <c r="CF883" s="305"/>
      <c r="CG883" s="305"/>
      <c r="CH883" s="305"/>
      <c r="CI883" s="305"/>
      <c r="CJ883" s="305"/>
      <c r="CK883" s="305"/>
      <c r="CL883" s="305"/>
      <c r="CM883" s="305"/>
      <c r="CN883" s="305"/>
      <c r="CO883" s="305"/>
      <c r="CP883" s="305"/>
    </row>
    <row r="884" spans="26:94">
      <c r="Z884" s="305"/>
      <c r="AA884" s="305"/>
      <c r="AB884" s="305"/>
      <c r="AC884" s="305"/>
      <c r="AD884" s="305"/>
      <c r="AE884" s="305"/>
      <c r="AF884" s="305"/>
      <c r="AG884" s="305"/>
      <c r="AH884" s="305"/>
      <c r="AI884" s="305"/>
      <c r="AJ884" s="305"/>
      <c r="AK884" s="305"/>
      <c r="AL884" s="305"/>
      <c r="AM884" s="305"/>
      <c r="AN884" s="305"/>
      <c r="AO884" s="305"/>
      <c r="AP884" s="305"/>
      <c r="AQ884" s="305"/>
      <c r="AR884" s="305"/>
      <c r="AS884" s="305"/>
      <c r="AT884" s="305"/>
      <c r="AU884" s="305"/>
      <c r="AV884" s="305"/>
      <c r="AW884" s="305"/>
      <c r="AX884" s="305"/>
      <c r="AY884" s="305"/>
      <c r="AZ884" s="305"/>
      <c r="BA884" s="305"/>
      <c r="BB884" s="305"/>
      <c r="BC884" s="305"/>
      <c r="BJ884" s="305"/>
      <c r="BK884" s="305"/>
      <c r="BL884" s="305"/>
      <c r="BM884" s="305"/>
      <c r="BN884" s="305"/>
      <c r="BO884" s="305"/>
      <c r="BP884" s="305"/>
      <c r="BQ884" s="305"/>
      <c r="BR884" s="305"/>
      <c r="BS884" s="305"/>
      <c r="BT884" s="305"/>
      <c r="BU884" s="305"/>
      <c r="BV884" s="305"/>
      <c r="BW884" s="305"/>
      <c r="BX884" s="305"/>
      <c r="BY884" s="305"/>
      <c r="BZ884" s="305"/>
      <c r="CA884" s="305"/>
      <c r="CB884" s="305"/>
      <c r="CC884" s="305"/>
      <c r="CD884" s="305"/>
      <c r="CE884" s="305"/>
      <c r="CF884" s="305"/>
      <c r="CG884" s="305"/>
      <c r="CH884" s="305"/>
      <c r="CI884" s="305"/>
      <c r="CJ884" s="305"/>
      <c r="CK884" s="305"/>
      <c r="CL884" s="305"/>
      <c r="CM884" s="305"/>
      <c r="CN884" s="305"/>
      <c r="CO884" s="305"/>
      <c r="CP884" s="305"/>
    </row>
    <row r="885" spans="26:94">
      <c r="Z885" s="305"/>
      <c r="AA885" s="305"/>
      <c r="AB885" s="305"/>
      <c r="AC885" s="305"/>
      <c r="AD885" s="305"/>
      <c r="AE885" s="305"/>
      <c r="AF885" s="305"/>
      <c r="AG885" s="305"/>
      <c r="AH885" s="305"/>
      <c r="AI885" s="305"/>
      <c r="AJ885" s="305"/>
      <c r="AK885" s="305"/>
      <c r="AL885" s="305"/>
      <c r="AM885" s="305"/>
      <c r="AN885" s="305"/>
      <c r="AO885" s="305"/>
      <c r="AP885" s="305"/>
      <c r="AQ885" s="305"/>
      <c r="AR885" s="305"/>
      <c r="AS885" s="305"/>
      <c r="AT885" s="305"/>
      <c r="AU885" s="305"/>
      <c r="AV885" s="305"/>
      <c r="AW885" s="305"/>
      <c r="AX885" s="305"/>
      <c r="AY885" s="305"/>
      <c r="AZ885" s="305"/>
      <c r="BA885" s="305"/>
      <c r="BB885" s="305"/>
      <c r="BC885" s="305"/>
      <c r="BJ885" s="305"/>
      <c r="BK885" s="305"/>
      <c r="BL885" s="305"/>
      <c r="BM885" s="305"/>
      <c r="BN885" s="305"/>
      <c r="BO885" s="305"/>
      <c r="BP885" s="305"/>
      <c r="BQ885" s="305"/>
      <c r="BR885" s="305"/>
      <c r="BS885" s="305"/>
      <c r="BT885" s="305"/>
      <c r="BU885" s="305"/>
      <c r="BV885" s="305"/>
      <c r="BW885" s="305"/>
      <c r="BX885" s="305"/>
      <c r="BY885" s="305"/>
      <c r="BZ885" s="305"/>
      <c r="CA885" s="305"/>
      <c r="CB885" s="305"/>
      <c r="CC885" s="305"/>
      <c r="CD885" s="305"/>
      <c r="CE885" s="305"/>
      <c r="CF885" s="305"/>
      <c r="CG885" s="305"/>
      <c r="CH885" s="305"/>
      <c r="CI885" s="305"/>
      <c r="CJ885" s="305"/>
      <c r="CK885" s="305"/>
      <c r="CL885" s="305"/>
      <c r="CM885" s="305"/>
      <c r="CN885" s="305"/>
      <c r="CO885" s="305"/>
      <c r="CP885" s="305"/>
    </row>
  </sheetData>
  <autoFilter ref="A3:CP3" xr:uid="{2864F295-65C8-4A68-BFE4-BD888AAA11A8}"/>
  <customSheetViews>
    <customSheetView guid="{F0DBE041-7F72-4DC6-B849-ADDFA5F25C5A}" fitToPage="1" showAutoFilter="1">
      <pane xSplit="2" ySplit="3" topLeftCell="C177" activePane="bottomRight" state="frozen"/>
      <selection pane="bottomRight" activeCell="K198" sqref="K198"/>
      <pageMargins left="0.7" right="0.7" top="0.75" bottom="0.75" header="0.3" footer="0.3"/>
      <pageSetup paperSize="3" scale="71" orientation="landscape" r:id="rId1"/>
      <autoFilter ref="A3:AD40" xr:uid="{00000000-0000-0000-0000-000000000000}"/>
    </customSheetView>
  </customSheetViews>
  <mergeCells count="1">
    <mergeCell ref="A1:M1"/>
  </mergeCells>
  <conditionalFormatting sqref="P9:P13 P19:P500">
    <cfRule type="expression" dxfId="92" priority="79">
      <formula>LEN(P9)&gt;41</formula>
    </cfRule>
  </conditionalFormatting>
  <conditionalFormatting sqref="L10 L13 L19:L500">
    <cfRule type="expression" dxfId="91" priority="78">
      <formula>LEN(L10)&gt;41</formula>
    </cfRule>
  </conditionalFormatting>
  <conditionalFormatting sqref="M9:M13 M19:M500">
    <cfRule type="expression" dxfId="90" priority="74">
      <formula>LEN(M9)&gt;41</formula>
    </cfRule>
  </conditionalFormatting>
  <conditionalFormatting sqref="Q9:Q13 Q19:Q500">
    <cfRule type="expression" dxfId="89" priority="72">
      <formula>LEN(Q9)&gt;41</formula>
    </cfRule>
  </conditionalFormatting>
  <conditionalFormatting sqref="N19:N1048576 N1:N13">
    <cfRule type="cellIs" dxfId="88" priority="57" operator="equal">
      <formula>"GCMM-000X (CMM) · Var.Meas."</formula>
    </cfRule>
    <cfRule type="cellIs" dxfId="87" priority="58" operator="equal">
      <formula>"GCMM-000X (CMM) · Pass / Fail"</formula>
    </cfRule>
    <cfRule type="cellIs" dxfId="86" priority="64" operator="equal">
      <formula>"GRAM-00XX (RAM) · Var.Meas."</formula>
    </cfRule>
    <cfRule type="cellIs" dxfId="85" priority="65" operator="equal">
      <formula>"GRAM-00XX (RAM) · Program"</formula>
    </cfRule>
    <cfRule type="cellIs" dxfId="84" priority="66" operator="equal">
      <formula>"GRAM-00XX (RAM) · Pass / Fail"</formula>
    </cfRule>
  </conditionalFormatting>
  <conditionalFormatting sqref="N19:N500 N9:N13">
    <cfRule type="cellIs" dxfId="83" priority="63" operator="equal">
      <formula>"GRAM-00XX (RAM) · Visual"</formula>
    </cfRule>
  </conditionalFormatting>
  <conditionalFormatting sqref="L9">
    <cfRule type="expression" dxfId="82" priority="62">
      <formula>LEN(L9)&gt;41</formula>
    </cfRule>
  </conditionalFormatting>
  <conditionalFormatting sqref="L11">
    <cfRule type="expression" dxfId="81" priority="61">
      <formula>LEN(L11)&gt;41</formula>
    </cfRule>
  </conditionalFormatting>
  <conditionalFormatting sqref="L12">
    <cfRule type="duplicateValues" dxfId="80" priority="60"/>
  </conditionalFormatting>
  <conditionalFormatting sqref="P14">
    <cfRule type="expression" dxfId="79" priority="55">
      <formula>LEN(P14)&gt;41</formula>
    </cfRule>
  </conditionalFormatting>
  <conditionalFormatting sqref="L14">
    <cfRule type="expression" dxfId="78" priority="54">
      <formula>LEN(L14)&gt;41</formula>
    </cfRule>
  </conditionalFormatting>
  <conditionalFormatting sqref="M14">
    <cfRule type="expression" dxfId="77" priority="53">
      <formula>LEN(M14)&gt;41</formula>
    </cfRule>
  </conditionalFormatting>
  <conditionalFormatting sqref="Q14">
    <cfRule type="expression" dxfId="76" priority="52">
      <formula>LEN(Q14)&gt;41</formula>
    </cfRule>
  </conditionalFormatting>
  <conditionalFormatting sqref="N14">
    <cfRule type="cellIs" dxfId="75" priority="46" operator="equal">
      <formula>"GCMM-000X (CMM) · Var.Meas."</formula>
    </cfRule>
    <cfRule type="cellIs" dxfId="74" priority="47" operator="equal">
      <formula>"GCMM-000X (CMM) · Pass / Fail"</formula>
    </cfRule>
    <cfRule type="cellIs" dxfId="73" priority="49" operator="equal">
      <formula>"GRAM-00XX (RAM) · Var.Meas."</formula>
    </cfRule>
    <cfRule type="cellIs" dxfId="72" priority="50" operator="equal">
      <formula>"GRAM-00XX (RAM) · Program"</formula>
    </cfRule>
    <cfRule type="cellIs" dxfId="71" priority="51" operator="equal">
      <formula>"GRAM-00XX (RAM) · Pass / Fail"</formula>
    </cfRule>
  </conditionalFormatting>
  <conditionalFormatting sqref="N14">
    <cfRule type="cellIs" dxfId="70" priority="48" operator="equal">
      <formula>"GRAM-00XX (RAM) · Visual"</formula>
    </cfRule>
  </conditionalFormatting>
  <conditionalFormatting sqref="P15">
    <cfRule type="expression" dxfId="69" priority="44">
      <formula>LEN(P15)&gt;41</formula>
    </cfRule>
  </conditionalFormatting>
  <conditionalFormatting sqref="L15">
    <cfRule type="expression" dxfId="68" priority="43">
      <formula>LEN(L15)&gt;41</formula>
    </cfRule>
  </conditionalFormatting>
  <conditionalFormatting sqref="M15">
    <cfRule type="expression" dxfId="67" priority="42">
      <formula>LEN(M15)&gt;41</formula>
    </cfRule>
  </conditionalFormatting>
  <conditionalFormatting sqref="Q15">
    <cfRule type="expression" dxfId="66" priority="41">
      <formula>LEN(Q15)&gt;41</formula>
    </cfRule>
  </conditionalFormatting>
  <conditionalFormatting sqref="N15">
    <cfRule type="cellIs" dxfId="65" priority="35" operator="equal">
      <formula>"GCMM-000X (CMM) · Var.Meas."</formula>
    </cfRule>
    <cfRule type="cellIs" dxfId="64" priority="36" operator="equal">
      <formula>"GCMM-000X (CMM) · Pass / Fail"</formula>
    </cfRule>
    <cfRule type="cellIs" dxfId="63" priority="38" operator="equal">
      <formula>"GRAM-00XX (RAM) · Var.Meas."</formula>
    </cfRule>
    <cfRule type="cellIs" dxfId="62" priority="39" operator="equal">
      <formula>"GRAM-00XX (RAM) · Program"</formula>
    </cfRule>
    <cfRule type="cellIs" dxfId="61" priority="40" operator="equal">
      <formula>"GRAM-00XX (RAM) · Pass / Fail"</formula>
    </cfRule>
  </conditionalFormatting>
  <conditionalFormatting sqref="N15">
    <cfRule type="cellIs" dxfId="60" priority="37" operator="equal">
      <formula>"GRAM-00XX (RAM) · Visual"</formula>
    </cfRule>
  </conditionalFormatting>
  <conditionalFormatting sqref="P16">
    <cfRule type="expression" dxfId="59" priority="33">
      <formula>LEN(P16)&gt;41</formula>
    </cfRule>
  </conditionalFormatting>
  <conditionalFormatting sqref="L16">
    <cfRule type="expression" dxfId="58" priority="32">
      <formula>LEN(L16)&gt;41</formula>
    </cfRule>
  </conditionalFormatting>
  <conditionalFormatting sqref="M16">
    <cfRule type="expression" dxfId="57" priority="31">
      <formula>LEN(M16)&gt;41</formula>
    </cfRule>
  </conditionalFormatting>
  <conditionalFormatting sqref="Q16">
    <cfRule type="expression" dxfId="56" priority="30">
      <formula>LEN(Q16)&gt;41</formula>
    </cfRule>
  </conditionalFormatting>
  <conditionalFormatting sqref="N16">
    <cfRule type="cellIs" dxfId="55" priority="24" operator="equal">
      <formula>"GCMM-000X (CMM) · Var.Meas."</formula>
    </cfRule>
    <cfRule type="cellIs" dxfId="54" priority="25" operator="equal">
      <formula>"GCMM-000X (CMM) · Pass / Fail"</formula>
    </cfRule>
    <cfRule type="cellIs" dxfId="53" priority="27" operator="equal">
      <formula>"GRAM-00XX (RAM) · Var.Meas."</formula>
    </cfRule>
    <cfRule type="cellIs" dxfId="52" priority="28" operator="equal">
      <formula>"GRAM-00XX (RAM) · Program"</formula>
    </cfRule>
    <cfRule type="cellIs" dxfId="51" priority="29" operator="equal">
      <formula>"GRAM-00XX (RAM) · Pass / Fail"</formula>
    </cfRule>
  </conditionalFormatting>
  <conditionalFormatting sqref="N16">
    <cfRule type="cellIs" dxfId="50" priority="26" operator="equal">
      <formula>"GRAM-00XX (RAM) · Visual"</formula>
    </cfRule>
  </conditionalFormatting>
  <conditionalFormatting sqref="P17">
    <cfRule type="expression" dxfId="49" priority="22">
      <formula>LEN(P17)&gt;41</formula>
    </cfRule>
  </conditionalFormatting>
  <conditionalFormatting sqref="L17">
    <cfRule type="expression" dxfId="48" priority="21">
      <formula>LEN(L17)&gt;41</formula>
    </cfRule>
  </conditionalFormatting>
  <conditionalFormatting sqref="M17">
    <cfRule type="expression" dxfId="47" priority="20">
      <formula>LEN(M17)&gt;41</formula>
    </cfRule>
  </conditionalFormatting>
  <conditionalFormatting sqref="Q17">
    <cfRule type="expression" dxfId="46" priority="19">
      <formula>LEN(Q17)&gt;41</formula>
    </cfRule>
  </conditionalFormatting>
  <conditionalFormatting sqref="N17">
    <cfRule type="cellIs" dxfId="45" priority="13" operator="equal">
      <formula>"GCMM-000X (CMM) · Var.Meas."</formula>
    </cfRule>
    <cfRule type="cellIs" dxfId="44" priority="14" operator="equal">
      <formula>"GCMM-000X (CMM) · Pass / Fail"</formula>
    </cfRule>
    <cfRule type="cellIs" dxfId="43" priority="16" operator="equal">
      <formula>"GRAM-00XX (RAM) · Var.Meas."</formula>
    </cfRule>
    <cfRule type="cellIs" dxfId="42" priority="17" operator="equal">
      <formula>"GRAM-00XX (RAM) · Program"</formula>
    </cfRule>
    <cfRule type="cellIs" dxfId="41" priority="18" operator="equal">
      <formula>"GRAM-00XX (RAM) · Pass / Fail"</formula>
    </cfRule>
  </conditionalFormatting>
  <conditionalFormatting sqref="N17">
    <cfRule type="cellIs" dxfId="40" priority="15" operator="equal">
      <formula>"GRAM-00XX (RAM) · Visual"</formula>
    </cfRule>
  </conditionalFormatting>
  <conditionalFormatting sqref="P18">
    <cfRule type="expression" dxfId="39" priority="11">
      <formula>LEN(P18)&gt;41</formula>
    </cfRule>
  </conditionalFormatting>
  <conditionalFormatting sqref="L18">
    <cfRule type="expression" dxfId="38" priority="10">
      <formula>LEN(L18)&gt;41</formula>
    </cfRule>
  </conditionalFormatting>
  <conditionalFormatting sqref="M18">
    <cfRule type="expression" dxfId="37" priority="9">
      <formula>LEN(M18)&gt;41</formula>
    </cfRule>
  </conditionalFormatting>
  <conditionalFormatting sqref="Q18">
    <cfRule type="expression" dxfId="36" priority="8">
      <formula>LEN(Q18)&gt;41</formula>
    </cfRule>
  </conditionalFormatting>
  <conditionalFormatting sqref="N18">
    <cfRule type="cellIs" dxfId="35" priority="2" operator="equal">
      <formula>"GCMM-000X (CMM) · Var.Meas."</formula>
    </cfRule>
    <cfRule type="cellIs" dxfId="34" priority="3" operator="equal">
      <formula>"GCMM-000X (CMM) · Pass / Fail"</formula>
    </cfRule>
    <cfRule type="cellIs" dxfId="33" priority="5" operator="equal">
      <formula>"GRAM-00XX (RAM) · Var.Meas."</formula>
    </cfRule>
    <cfRule type="cellIs" dxfId="32" priority="6" operator="equal">
      <formula>"GRAM-00XX (RAM) · Program"</formula>
    </cfRule>
    <cfRule type="cellIs" dxfId="31" priority="7" operator="equal">
      <formula>"GRAM-00XX (RAM) · Pass / Fail"</formula>
    </cfRule>
  </conditionalFormatting>
  <conditionalFormatting sqref="N18">
    <cfRule type="cellIs" dxfId="30" priority="4" operator="equal">
      <formula>"GRAM-00XX (RAM) · Visual"</formula>
    </cfRule>
  </conditionalFormatting>
  <dataValidations count="811">
    <dataValidation allowBlank="1" showInputMessage="1" showErrorMessage="1" promptTitle="Don't list thread plugs or rings" prompt="**List Pin Sizes only once, other row cells refer to Balloon only. i.e Same As 8_1&lt;---Value from Column J. ** Copy pin sizes from Calculators Worksheet. Right Click Paste 123. Also list JPMC XXX or Cust XXX. Gauge Part Numbers_x000a_" sqref="P2" xr:uid="{00000000-0002-0000-0300-000000000000}"/>
    <dataValidation allowBlank="1" showInputMessage="1" showErrorMessage="1" promptTitle="Last as shown on Ptint" prompt="--Do not list tolerance_x000a_--Use verbage for GD&amp;T See &quot;Text Guide&quot; for examples_x000a_--Don't use leading or trailing zeros unless they are on the print._x000a_--Be brief with balloned print notes._x000a_For example, BLAST per note 3" sqref="L2" xr:uid="{00000000-0002-0000-0300-000001000000}"/>
    <dataValidation allowBlank="1" showErrorMessage="1" sqref="M2" xr:uid="{00000000-0002-0000-0300-000002000000}"/>
    <dataValidation allowBlank="1" showInputMessage="1" showErrorMessage="1" promptTitle="See &quot;Offset Examples&quot; worksheet" prompt="--When more than one tool or axies, list the primary control first. (Meaning the tool most likely to need adjustment)_x000a_If different machines/programs use different Axis or Tools only do the work for prefered machine type. Note conflict in Column T" sqref="Q2 Z2" xr:uid="{00000000-0002-0000-0300-000003000000}"/>
    <dataValidation allowBlank="1" showInputMessage="1" showErrorMessage="1" promptTitle="Pick the head for Primary Tool" prompt="--You must know the program number before filling out this column._x000a_--This is used to filter when researching" sqref="U2 X2" xr:uid="{00000000-0002-0000-0300-000004000000}"/>
    <dataValidation allowBlank="1" showInputMessage="1" showErrorMessage="1" promptTitle="Examples" prompt="1642652_D_1 or 1642652_D_9_2, Must complete all custom fields before attaching. Do work in Excel or Word and save with same name format, before snipping the GIF screen-shot" sqref="Y2" xr:uid="{00000000-0002-0000-0300-000005000000}"/>
    <dataValidation allowBlank="1" showErrorMessage="1" promptTitle="Examples" prompt="Column B= (iv),            Column H=iv_x000a_Column B= 0_008_00, Column H=8_x000a_Column B= 0_008_01, Column H=8_1_x000a_Column B= A_002_00, Column H=A_2_x000a_Column B=B_003_01, Column H=B_3_1" sqref="K2" xr:uid="{00000000-0002-0000-0300-000006000000}"/>
    <dataValidation allowBlank="1" showInputMessage="1" showErrorMessage="1" promptTitle="Examples" prompt="(Parent Print 3X Dim # 7=0_007_01, 0_007_02, 0_007_03)_x000a_(First Sub Print 2X Dim #3=A_003_01, A_003_02)_x000a_(Second Sub Print 1X Dim #11= B_011_00)_x000a_(Parent Print 1X Dim #27=0_027_00)" sqref="C3" xr:uid="{00000000-0002-0000-0300-000007000000}"/>
    <dataValidation allowBlank="1" showInputMessage="1" showErrorMessage="1" prompt="--You need to know the primary machine type program number before working on this column._x000a_--2 digit tool format is to sort tools in numerical order for research._x000a_--See &quot;Offset Examples&quot; worksheet for more information." sqref="S3:T3 V3:W3" xr:uid="{00000000-0002-0000-0300-000008000000}"/>
    <dataValidation allowBlank="1" showInputMessage="1" showErrorMessage="1" promptTitle="Use of &quot;X&quot; and &quot;O&quot;" prompt="If the inspection is VAR data and can be controlled by an offset,_x000a_use &quot;O&quot;. Don't use &quot;O&quot; for the following._x000a_--GD&amp;T VAR data with low at zero_x000a_--TOOL, PROG, SFI in column P " sqref="BE3 AA3:AF3" xr:uid="{00000000-0002-0000-0300-00000A000000}"/>
    <dataValidation type="list" allowBlank="1" showInputMessage="1" sqref="L401" xr:uid="{00000000-0002-0000-0300-00000C000000}">
      <formula1>INDIRECT("[RoutineMapDataValidations.xlsm]Description!C394#")</formula1>
    </dataValidation>
    <dataValidation type="list" allowBlank="1" showInputMessage="1" sqref="L402" xr:uid="{00000000-0002-0000-0300-00000D000000}">
      <formula1>INDIRECT("[RoutineMapDataValidations.xlsm]Description!C395#")</formula1>
    </dataValidation>
    <dataValidation type="list" allowBlank="1" showInputMessage="1" sqref="L403" xr:uid="{00000000-0002-0000-0300-00000E000000}">
      <formula1>INDIRECT("[RoutineMapDataValidations.xlsm]Description!C396#")</formula1>
    </dataValidation>
    <dataValidation type="list" allowBlank="1" showInputMessage="1" sqref="L404" xr:uid="{00000000-0002-0000-0300-00000F000000}">
      <formula1>INDIRECT("[RoutineMapDataValidations.xlsm]Description!C397#")</formula1>
    </dataValidation>
    <dataValidation type="list" allowBlank="1" showInputMessage="1" sqref="L405" xr:uid="{00000000-0002-0000-0300-000010000000}">
      <formula1>INDIRECT("[RoutineMapDataValidations.xlsm]Description!C398#")</formula1>
    </dataValidation>
    <dataValidation type="list" allowBlank="1" showInputMessage="1" sqref="L406" xr:uid="{00000000-0002-0000-0300-000011000000}">
      <formula1>INDIRECT("[RoutineMapDataValidations.xlsm]Description!C399#")</formula1>
    </dataValidation>
    <dataValidation type="list" allowBlank="1" showInputMessage="1" sqref="L407" xr:uid="{00000000-0002-0000-0300-000012000000}">
      <formula1>INDIRECT("[RoutineMapDataValidations.xlsm]Description!C400#")</formula1>
    </dataValidation>
    <dataValidation type="list" allowBlank="1" showInputMessage="1" sqref="M19" xr:uid="{00000000-0002-0000-0300-00001D000000}">
      <formula1>INDIRECT("[RoutineMapDataValidations.xlsm]StandardComments!C12#")</formula1>
    </dataValidation>
    <dataValidation type="list" allowBlank="1" showInputMessage="1" sqref="M20" xr:uid="{00000000-0002-0000-0300-00001E000000}">
      <formula1>INDIRECT("[RoutineMapDataValidations.xlsm]StandardComments!C13#")</formula1>
    </dataValidation>
    <dataValidation type="list" allowBlank="1" showInputMessage="1" sqref="M21" xr:uid="{00000000-0002-0000-0300-00001F000000}">
      <formula1>INDIRECT("[RoutineMapDataValidations.xlsm]StandardComments!C14#")</formula1>
    </dataValidation>
    <dataValidation type="list" allowBlank="1" showInputMessage="1" sqref="M22" xr:uid="{00000000-0002-0000-0300-000020000000}">
      <formula1>INDIRECT("[RoutineMapDataValidations.xlsm]StandardComments!C15#")</formula1>
    </dataValidation>
    <dataValidation type="list" allowBlank="1" showInputMessage="1" sqref="M23" xr:uid="{00000000-0002-0000-0300-000021000000}">
      <formula1>INDIRECT("[RoutineMapDataValidations.xlsm]StandardComments!C16#")</formula1>
    </dataValidation>
    <dataValidation type="list" allowBlank="1" showInputMessage="1" sqref="M24" xr:uid="{00000000-0002-0000-0300-000022000000}">
      <formula1>INDIRECT("[RoutineMapDataValidations.xlsm]StandardComments!C17#")</formula1>
    </dataValidation>
    <dataValidation type="list" allowBlank="1" showInputMessage="1" sqref="M25" xr:uid="{00000000-0002-0000-0300-000023000000}">
      <formula1>INDIRECT("[RoutineMapDataValidations.xlsm]StandardComments!C18#")</formula1>
    </dataValidation>
    <dataValidation type="list" allowBlank="1" showInputMessage="1" sqref="M26" xr:uid="{00000000-0002-0000-0300-000024000000}">
      <formula1>INDIRECT("[RoutineMapDataValidations.xlsm]StandardComments!C19#")</formula1>
    </dataValidation>
    <dataValidation type="list" allowBlank="1" showInputMessage="1" sqref="M27" xr:uid="{00000000-0002-0000-0300-000025000000}">
      <formula1>INDIRECT("[RoutineMapDataValidations.xlsm]StandardComments!C20#")</formula1>
    </dataValidation>
    <dataValidation type="list" allowBlank="1" showInputMessage="1" sqref="M28" xr:uid="{00000000-0002-0000-0300-000026000000}">
      <formula1>INDIRECT("[RoutineMapDataValidations.xlsm]StandardComments!C21#")</formula1>
    </dataValidation>
    <dataValidation type="list" allowBlank="1" showInputMessage="1" sqref="M29" xr:uid="{00000000-0002-0000-0300-000027000000}">
      <formula1>INDIRECT("[RoutineMapDataValidations.xlsm]StandardComments!C22#")</formula1>
    </dataValidation>
    <dataValidation type="list" allowBlank="1" showInputMessage="1" sqref="M30" xr:uid="{00000000-0002-0000-0300-000028000000}">
      <formula1>INDIRECT("[RoutineMapDataValidations.xlsm]StandardComments!C23#")</formula1>
    </dataValidation>
    <dataValidation type="list" allowBlank="1" showInputMessage="1" sqref="M31" xr:uid="{00000000-0002-0000-0300-000029000000}">
      <formula1>INDIRECT("[RoutineMapDataValidations.xlsm]StandardComments!C24#")</formula1>
    </dataValidation>
    <dataValidation type="list" allowBlank="1" showInputMessage="1" sqref="M32" xr:uid="{00000000-0002-0000-0300-00002A000000}">
      <formula1>INDIRECT("[RoutineMapDataValidations.xlsm]StandardComments!C25#")</formula1>
    </dataValidation>
    <dataValidation type="list" allowBlank="1" showInputMessage="1" sqref="M33" xr:uid="{00000000-0002-0000-0300-00002B000000}">
      <formula1>INDIRECT("[RoutineMapDataValidations.xlsm]StandardComments!C26#")</formula1>
    </dataValidation>
    <dataValidation type="list" allowBlank="1" showInputMessage="1" sqref="M34" xr:uid="{00000000-0002-0000-0300-00002C000000}">
      <formula1>INDIRECT("[RoutineMapDataValidations.xlsm]StandardComments!C27#")</formula1>
    </dataValidation>
    <dataValidation type="list" allowBlank="1" showInputMessage="1" sqref="M35" xr:uid="{00000000-0002-0000-0300-00002D000000}">
      <formula1>INDIRECT("[RoutineMapDataValidations.xlsm]StandardComments!C28#")</formula1>
    </dataValidation>
    <dataValidation type="list" allowBlank="1" showInputMessage="1" sqref="M36" xr:uid="{00000000-0002-0000-0300-00002E000000}">
      <formula1>INDIRECT("[RoutineMapDataValidations.xlsm]StandardComments!C29#")</formula1>
    </dataValidation>
    <dataValidation type="list" allowBlank="1" showInputMessage="1" sqref="M37" xr:uid="{00000000-0002-0000-0300-00002F000000}">
      <formula1>INDIRECT("[RoutineMapDataValidations.xlsm]StandardComments!C30#")</formula1>
    </dataValidation>
    <dataValidation type="list" allowBlank="1" showInputMessage="1" sqref="M38" xr:uid="{00000000-0002-0000-0300-000030000000}">
      <formula1>INDIRECT("[RoutineMapDataValidations.xlsm]StandardComments!C31#")</formula1>
    </dataValidation>
    <dataValidation type="list" allowBlank="1" showInputMessage="1" sqref="M39" xr:uid="{00000000-0002-0000-0300-000031000000}">
      <formula1>INDIRECT("[RoutineMapDataValidations.xlsm]StandardComments!C32#")</formula1>
    </dataValidation>
    <dataValidation type="list" allowBlank="1" showInputMessage="1" sqref="M40" xr:uid="{00000000-0002-0000-0300-000032000000}">
      <formula1>INDIRECT("[RoutineMapDataValidations.xlsm]StandardComments!C33#")</formula1>
    </dataValidation>
    <dataValidation type="list" allowBlank="1" showInputMessage="1" sqref="M41" xr:uid="{00000000-0002-0000-0300-000033000000}">
      <formula1>INDIRECT("[RoutineMapDataValidations.xlsm]StandardComments!C34#")</formula1>
    </dataValidation>
    <dataValidation type="list" allowBlank="1" showInputMessage="1" sqref="M42" xr:uid="{00000000-0002-0000-0300-000034000000}">
      <formula1>INDIRECT("[RoutineMapDataValidations.xlsm]StandardComments!C35#")</formula1>
    </dataValidation>
    <dataValidation type="list" allowBlank="1" showInputMessage="1" sqref="M43" xr:uid="{00000000-0002-0000-0300-000035000000}">
      <formula1>INDIRECT("[RoutineMapDataValidations.xlsm]StandardComments!C36#")</formula1>
    </dataValidation>
    <dataValidation type="list" allowBlank="1" showInputMessage="1" sqref="M44" xr:uid="{00000000-0002-0000-0300-000036000000}">
      <formula1>INDIRECT("[RoutineMapDataValidations.xlsm]StandardComments!C37#")</formula1>
    </dataValidation>
    <dataValidation type="list" allowBlank="1" showInputMessage="1" sqref="M45" xr:uid="{00000000-0002-0000-0300-000037000000}">
      <formula1>INDIRECT("[RoutineMapDataValidations.xlsm]StandardComments!C38#")</formula1>
    </dataValidation>
    <dataValidation type="list" allowBlank="1" showInputMessage="1" sqref="M46" xr:uid="{00000000-0002-0000-0300-000038000000}">
      <formula1>INDIRECT("[RoutineMapDataValidations.xlsm]StandardComments!C39#")</formula1>
    </dataValidation>
    <dataValidation type="list" allowBlank="1" showInputMessage="1" sqref="M47" xr:uid="{00000000-0002-0000-0300-000039000000}">
      <formula1>INDIRECT("[RoutineMapDataValidations.xlsm]StandardComments!C40#")</formula1>
    </dataValidation>
    <dataValidation type="list" allowBlank="1" showInputMessage="1" sqref="M48" xr:uid="{00000000-0002-0000-0300-00003A000000}">
      <formula1>INDIRECT("[RoutineMapDataValidations.xlsm]StandardComments!C41#")</formula1>
    </dataValidation>
    <dataValidation type="list" allowBlank="1" showInputMessage="1" sqref="M49" xr:uid="{00000000-0002-0000-0300-00003B000000}">
      <formula1>INDIRECT("[RoutineMapDataValidations.xlsm]StandardComments!C42#")</formula1>
    </dataValidation>
    <dataValidation type="list" allowBlank="1" showInputMessage="1" sqref="M50" xr:uid="{00000000-0002-0000-0300-00003C000000}">
      <formula1>INDIRECT("[RoutineMapDataValidations.xlsm]StandardComments!C43#")</formula1>
    </dataValidation>
    <dataValidation type="list" allowBlank="1" showInputMessage="1" sqref="M51" xr:uid="{00000000-0002-0000-0300-00003D000000}">
      <formula1>INDIRECT("[RoutineMapDataValidations.xlsm]StandardComments!C44#")</formula1>
    </dataValidation>
    <dataValidation type="list" allowBlank="1" showInputMessage="1" sqref="M52" xr:uid="{00000000-0002-0000-0300-00003E000000}">
      <formula1>INDIRECT("[RoutineMapDataValidations.xlsm]StandardComments!C45#")</formula1>
    </dataValidation>
    <dataValidation type="list" allowBlank="1" showInputMessage="1" sqref="M53" xr:uid="{00000000-0002-0000-0300-00003F000000}">
      <formula1>INDIRECT("[RoutineMapDataValidations.xlsm]StandardComments!C46#")</formula1>
    </dataValidation>
    <dataValidation type="list" allowBlank="1" showInputMessage="1" sqref="M54" xr:uid="{00000000-0002-0000-0300-000040000000}">
      <formula1>INDIRECT("[RoutineMapDataValidations.xlsm]StandardComments!C47#")</formula1>
    </dataValidation>
    <dataValidation type="list" allowBlank="1" showInputMessage="1" sqref="M55" xr:uid="{00000000-0002-0000-0300-000041000000}">
      <formula1>INDIRECT("[RoutineMapDataValidations.xlsm]StandardComments!C48#")</formula1>
    </dataValidation>
    <dataValidation type="list" allowBlank="1" showInputMessage="1" sqref="M56" xr:uid="{00000000-0002-0000-0300-000042000000}">
      <formula1>INDIRECT("[RoutineMapDataValidations.xlsm]StandardComments!C49#")</formula1>
    </dataValidation>
    <dataValidation type="list" allowBlank="1" showInputMessage="1" sqref="M57" xr:uid="{00000000-0002-0000-0300-000043000000}">
      <formula1>INDIRECT("[RoutineMapDataValidations.xlsm]StandardComments!C50#")</formula1>
    </dataValidation>
    <dataValidation type="list" allowBlank="1" showInputMessage="1" sqref="M58" xr:uid="{00000000-0002-0000-0300-000044000000}">
      <formula1>INDIRECT("[RoutineMapDataValidations.xlsm]StandardComments!C51#")</formula1>
    </dataValidation>
    <dataValidation type="list" allowBlank="1" showInputMessage="1" sqref="M59" xr:uid="{00000000-0002-0000-0300-000045000000}">
      <formula1>INDIRECT("[RoutineMapDataValidations.xlsm]StandardComments!C52#")</formula1>
    </dataValidation>
    <dataValidation type="list" allowBlank="1" showInputMessage="1" sqref="M60" xr:uid="{00000000-0002-0000-0300-000046000000}">
      <formula1>INDIRECT("[RoutineMapDataValidations.xlsm]StandardComments!C53#")</formula1>
    </dataValidation>
    <dataValidation type="list" allowBlank="1" showInputMessage="1" sqref="M61" xr:uid="{00000000-0002-0000-0300-000047000000}">
      <formula1>INDIRECT("[RoutineMapDataValidations.xlsm]StandardComments!C54#")</formula1>
    </dataValidation>
    <dataValidation type="list" allowBlank="1" showInputMessage="1" sqref="M62" xr:uid="{00000000-0002-0000-0300-000048000000}">
      <formula1>INDIRECT("[RoutineMapDataValidations.xlsm]StandardComments!C55#")</formula1>
    </dataValidation>
    <dataValidation type="list" allowBlank="1" showInputMessage="1" sqref="M63" xr:uid="{00000000-0002-0000-0300-000049000000}">
      <formula1>INDIRECT("[RoutineMapDataValidations.xlsm]StandardComments!C56#")</formula1>
    </dataValidation>
    <dataValidation type="list" allowBlank="1" showInputMessage="1" sqref="M64" xr:uid="{00000000-0002-0000-0300-00004A000000}">
      <formula1>INDIRECT("[RoutineMapDataValidations.xlsm]StandardComments!C57#")</formula1>
    </dataValidation>
    <dataValidation type="list" allowBlank="1" showInputMessage="1" sqref="M65" xr:uid="{00000000-0002-0000-0300-00004B000000}">
      <formula1>INDIRECT("[RoutineMapDataValidations.xlsm]StandardComments!C58#")</formula1>
    </dataValidation>
    <dataValidation type="list" allowBlank="1" showInputMessage="1" sqref="M66" xr:uid="{00000000-0002-0000-0300-00004C000000}">
      <formula1>INDIRECT("[RoutineMapDataValidations.xlsm]StandardComments!C59#")</formula1>
    </dataValidation>
    <dataValidation type="list" allowBlank="1" showInputMessage="1" sqref="M67" xr:uid="{00000000-0002-0000-0300-00004D000000}">
      <formula1>INDIRECT("[RoutineMapDataValidations.xlsm]StandardComments!C60#")</formula1>
    </dataValidation>
    <dataValidation type="list" allowBlank="1" showInputMessage="1" sqref="M68" xr:uid="{00000000-0002-0000-0300-00004E000000}">
      <formula1>INDIRECT("[RoutineMapDataValidations.xlsm]StandardComments!C61#")</formula1>
    </dataValidation>
    <dataValidation type="list" allowBlank="1" showInputMessage="1" sqref="M69" xr:uid="{00000000-0002-0000-0300-00004F000000}">
      <formula1>INDIRECT("[RoutineMapDataValidations.xlsm]StandardComments!C62#")</formula1>
    </dataValidation>
    <dataValidation type="list" allowBlank="1" showInputMessage="1" sqref="M70" xr:uid="{00000000-0002-0000-0300-000050000000}">
      <formula1>INDIRECT("[RoutineMapDataValidations.xlsm]StandardComments!C63#")</formula1>
    </dataValidation>
    <dataValidation type="list" allowBlank="1" showInputMessage="1" sqref="M71" xr:uid="{00000000-0002-0000-0300-000051000000}">
      <formula1>INDIRECT("[RoutineMapDataValidations.xlsm]StandardComments!C64#")</formula1>
    </dataValidation>
    <dataValidation type="list" allowBlank="1" showInputMessage="1" sqref="M72" xr:uid="{00000000-0002-0000-0300-000052000000}">
      <formula1>INDIRECT("[RoutineMapDataValidations.xlsm]StandardComments!C65#")</formula1>
    </dataValidation>
    <dataValidation type="list" allowBlank="1" showInputMessage="1" sqref="M73" xr:uid="{00000000-0002-0000-0300-000053000000}">
      <formula1>INDIRECT("[RoutineMapDataValidations.xlsm]StandardComments!C66#")</formula1>
    </dataValidation>
    <dataValidation type="list" allowBlank="1" showInputMessage="1" sqref="M74" xr:uid="{00000000-0002-0000-0300-000054000000}">
      <formula1>INDIRECT("[RoutineMapDataValidations.xlsm]StandardComments!C67#")</formula1>
    </dataValidation>
    <dataValidation type="list" allowBlank="1" showInputMessage="1" sqref="M75" xr:uid="{00000000-0002-0000-0300-000055000000}">
      <formula1>INDIRECT("[RoutineMapDataValidations.xlsm]StandardComments!C68#")</formula1>
    </dataValidation>
    <dataValidation type="list" allowBlank="1" showInputMessage="1" sqref="M76" xr:uid="{00000000-0002-0000-0300-000056000000}">
      <formula1>INDIRECT("[RoutineMapDataValidations.xlsm]StandardComments!C69#")</formula1>
    </dataValidation>
    <dataValidation type="list" allowBlank="1" showInputMessage="1" sqref="M77" xr:uid="{00000000-0002-0000-0300-000057000000}">
      <formula1>INDIRECT("[RoutineMapDataValidations.xlsm]StandardComments!C70#")</formula1>
    </dataValidation>
    <dataValidation type="list" allowBlank="1" showInputMessage="1" sqref="M78" xr:uid="{00000000-0002-0000-0300-000058000000}">
      <formula1>INDIRECT("[RoutineMapDataValidations.xlsm]StandardComments!C71#")</formula1>
    </dataValidation>
    <dataValidation type="list" allowBlank="1" showInputMessage="1" sqref="M79" xr:uid="{00000000-0002-0000-0300-000059000000}">
      <formula1>INDIRECT("[RoutineMapDataValidations.xlsm]StandardComments!C72#")</formula1>
    </dataValidation>
    <dataValidation type="list" allowBlank="1" showInputMessage="1" sqref="M80" xr:uid="{00000000-0002-0000-0300-00005A000000}">
      <formula1>INDIRECT("[RoutineMapDataValidations.xlsm]StandardComments!C73#")</formula1>
    </dataValidation>
    <dataValidation type="list" allowBlank="1" showInputMessage="1" sqref="M81" xr:uid="{00000000-0002-0000-0300-00005B000000}">
      <formula1>INDIRECT("[RoutineMapDataValidations.xlsm]StandardComments!C74#")</formula1>
    </dataValidation>
    <dataValidation type="list" allowBlank="1" showInputMessage="1" sqref="M82" xr:uid="{00000000-0002-0000-0300-00005C000000}">
      <formula1>INDIRECT("[RoutineMapDataValidations.xlsm]StandardComments!C75#")</formula1>
    </dataValidation>
    <dataValidation type="list" allowBlank="1" showInputMessage="1" sqref="M83" xr:uid="{00000000-0002-0000-0300-00005D000000}">
      <formula1>INDIRECT("[RoutineMapDataValidations.xlsm]StandardComments!C76#")</formula1>
    </dataValidation>
    <dataValidation type="list" allowBlank="1" showInputMessage="1" sqref="M84" xr:uid="{00000000-0002-0000-0300-00005E000000}">
      <formula1>INDIRECT("[RoutineMapDataValidations.xlsm]StandardComments!C77#")</formula1>
    </dataValidation>
    <dataValidation type="list" allowBlank="1" showInputMessage="1" sqref="M85" xr:uid="{00000000-0002-0000-0300-00005F000000}">
      <formula1>INDIRECT("[RoutineMapDataValidations.xlsm]StandardComments!C78#")</formula1>
    </dataValidation>
    <dataValidation type="list" allowBlank="1" showInputMessage="1" sqref="M86" xr:uid="{00000000-0002-0000-0300-000060000000}">
      <formula1>INDIRECT("[RoutineMapDataValidations.xlsm]StandardComments!C79#")</formula1>
    </dataValidation>
    <dataValidation type="list" allowBlank="1" showInputMessage="1" sqref="M87" xr:uid="{00000000-0002-0000-0300-000061000000}">
      <formula1>INDIRECT("[RoutineMapDataValidations.xlsm]StandardComments!C80#")</formula1>
    </dataValidation>
    <dataValidation type="list" allowBlank="1" showInputMessage="1" sqref="M88" xr:uid="{00000000-0002-0000-0300-000062000000}">
      <formula1>INDIRECT("[RoutineMapDataValidations.xlsm]StandardComments!C81#")</formula1>
    </dataValidation>
    <dataValidation type="list" allowBlank="1" showInputMessage="1" sqref="M89" xr:uid="{00000000-0002-0000-0300-000063000000}">
      <formula1>INDIRECT("[RoutineMapDataValidations.xlsm]StandardComments!C82#")</formula1>
    </dataValidation>
    <dataValidation type="list" allowBlank="1" showInputMessage="1" sqref="M90" xr:uid="{00000000-0002-0000-0300-000064000000}">
      <formula1>INDIRECT("[RoutineMapDataValidations.xlsm]StandardComments!C83#")</formula1>
    </dataValidation>
    <dataValidation type="list" allowBlank="1" showInputMessage="1" sqref="M91" xr:uid="{00000000-0002-0000-0300-000065000000}">
      <formula1>INDIRECT("[RoutineMapDataValidations.xlsm]StandardComments!C84#")</formula1>
    </dataValidation>
    <dataValidation type="list" allowBlank="1" showInputMessage="1" sqref="M92" xr:uid="{00000000-0002-0000-0300-000066000000}">
      <formula1>INDIRECT("[RoutineMapDataValidations.xlsm]StandardComments!C85#")</formula1>
    </dataValidation>
    <dataValidation type="list" allowBlank="1" showInputMessage="1" sqref="M93" xr:uid="{00000000-0002-0000-0300-000067000000}">
      <formula1>INDIRECT("[RoutineMapDataValidations.xlsm]StandardComments!C86#")</formula1>
    </dataValidation>
    <dataValidation type="list" allowBlank="1" showInputMessage="1" sqref="M94" xr:uid="{00000000-0002-0000-0300-000068000000}">
      <formula1>INDIRECT("[RoutineMapDataValidations.xlsm]StandardComments!C87#")</formula1>
    </dataValidation>
    <dataValidation type="list" allowBlank="1" showInputMessage="1" sqref="M95" xr:uid="{00000000-0002-0000-0300-000069000000}">
      <formula1>INDIRECT("[RoutineMapDataValidations.xlsm]StandardComments!C88#")</formula1>
    </dataValidation>
    <dataValidation type="list" allowBlank="1" showInputMessage="1" sqref="M96" xr:uid="{00000000-0002-0000-0300-00006A000000}">
      <formula1>INDIRECT("[RoutineMapDataValidations.xlsm]StandardComments!C89#")</formula1>
    </dataValidation>
    <dataValidation type="list" allowBlank="1" showInputMessage="1" sqref="M97" xr:uid="{00000000-0002-0000-0300-00006B000000}">
      <formula1>INDIRECT("[RoutineMapDataValidations.xlsm]StandardComments!C90#")</formula1>
    </dataValidation>
    <dataValidation type="list" allowBlank="1" showInputMessage="1" sqref="M98" xr:uid="{00000000-0002-0000-0300-00006C000000}">
      <formula1>INDIRECT("[RoutineMapDataValidations.xlsm]StandardComments!C91#")</formula1>
    </dataValidation>
    <dataValidation type="list" allowBlank="1" showInputMessage="1" sqref="M99" xr:uid="{00000000-0002-0000-0300-00006D000000}">
      <formula1>INDIRECT("[RoutineMapDataValidations.xlsm]StandardComments!C92#")</formula1>
    </dataValidation>
    <dataValidation type="list" allowBlank="1" showInputMessage="1" sqref="M100" xr:uid="{00000000-0002-0000-0300-00006E000000}">
      <formula1>INDIRECT("[RoutineMapDataValidations.xlsm]StandardComments!C93#")</formula1>
    </dataValidation>
    <dataValidation type="list" allowBlank="1" showInputMessage="1" sqref="M101" xr:uid="{00000000-0002-0000-0300-00006F000000}">
      <formula1>INDIRECT("[RoutineMapDataValidations.xlsm]StandardComments!C94#")</formula1>
    </dataValidation>
    <dataValidation type="list" allowBlank="1" showInputMessage="1" sqref="M102" xr:uid="{00000000-0002-0000-0300-000070000000}">
      <formula1>INDIRECT("[RoutineMapDataValidations.xlsm]StandardComments!C95#")</formula1>
    </dataValidation>
    <dataValidation type="list" allowBlank="1" showInputMessage="1" sqref="M103" xr:uid="{00000000-0002-0000-0300-000071000000}">
      <formula1>INDIRECT("[RoutineMapDataValidations.xlsm]StandardComments!C96#")</formula1>
    </dataValidation>
    <dataValidation type="list" allowBlank="1" showInputMessage="1" sqref="M104" xr:uid="{00000000-0002-0000-0300-000072000000}">
      <formula1>INDIRECT("[RoutineMapDataValidations.xlsm]StandardComments!C97#")</formula1>
    </dataValidation>
    <dataValidation type="list" allowBlank="1" showInputMessage="1" sqref="M105" xr:uid="{00000000-0002-0000-0300-000073000000}">
      <formula1>INDIRECT("[RoutineMapDataValidations.xlsm]StandardComments!C98#")</formula1>
    </dataValidation>
    <dataValidation type="list" allowBlank="1" showInputMessage="1" sqref="M106" xr:uid="{00000000-0002-0000-0300-000074000000}">
      <formula1>INDIRECT("[RoutineMapDataValidations.xlsm]StandardComments!C99#")</formula1>
    </dataValidation>
    <dataValidation type="list" allowBlank="1" showInputMessage="1" sqref="M107" xr:uid="{00000000-0002-0000-0300-000075000000}">
      <formula1>INDIRECT("[RoutineMapDataValidations.xlsm]StandardComments!C100#")</formula1>
    </dataValidation>
    <dataValidation type="list" allowBlank="1" showInputMessage="1" sqref="M108" xr:uid="{00000000-0002-0000-0300-000076000000}">
      <formula1>INDIRECT("[RoutineMapDataValidations.xlsm]StandardComments!C101#")</formula1>
    </dataValidation>
    <dataValidation type="list" allowBlank="1" showInputMessage="1" sqref="M109" xr:uid="{00000000-0002-0000-0300-000077000000}">
      <formula1>INDIRECT("[RoutineMapDataValidations.xlsm]StandardComments!C102#")</formula1>
    </dataValidation>
    <dataValidation type="list" allowBlank="1" showInputMessage="1" sqref="M110" xr:uid="{00000000-0002-0000-0300-000078000000}">
      <formula1>INDIRECT("[RoutineMapDataValidations.xlsm]StandardComments!C103#")</formula1>
    </dataValidation>
    <dataValidation type="list" allowBlank="1" showInputMessage="1" sqref="M111" xr:uid="{00000000-0002-0000-0300-000079000000}">
      <formula1>INDIRECT("[RoutineMapDataValidations.xlsm]StandardComments!C104#")</formula1>
    </dataValidation>
    <dataValidation type="list" allowBlank="1" showInputMessage="1" sqref="M112" xr:uid="{00000000-0002-0000-0300-00007A000000}">
      <formula1>INDIRECT("[RoutineMapDataValidations.xlsm]StandardComments!C105#")</formula1>
    </dataValidation>
    <dataValidation type="list" allowBlank="1" showInputMessage="1" sqref="M113" xr:uid="{00000000-0002-0000-0300-00007B000000}">
      <formula1>INDIRECT("[RoutineMapDataValidations.xlsm]StandardComments!C106#")</formula1>
    </dataValidation>
    <dataValidation type="list" allowBlank="1" showInputMessage="1" sqref="M114" xr:uid="{00000000-0002-0000-0300-00007C000000}">
      <formula1>INDIRECT("[RoutineMapDataValidations.xlsm]StandardComments!C107#")</formula1>
    </dataValidation>
    <dataValidation type="list" allowBlank="1" showInputMessage="1" sqref="M115" xr:uid="{00000000-0002-0000-0300-00007D000000}">
      <formula1>INDIRECT("[RoutineMapDataValidations.xlsm]StandardComments!C108#")</formula1>
    </dataValidation>
    <dataValidation type="list" allowBlank="1" showInputMessage="1" sqref="M116" xr:uid="{00000000-0002-0000-0300-00007E000000}">
      <formula1>INDIRECT("[RoutineMapDataValidations.xlsm]StandardComments!C109#")</formula1>
    </dataValidation>
    <dataValidation type="list" allowBlank="1" showInputMessage="1" sqref="M117" xr:uid="{00000000-0002-0000-0300-00007F000000}">
      <formula1>INDIRECT("[RoutineMapDataValidations.xlsm]StandardComments!C110#")</formula1>
    </dataValidation>
    <dataValidation type="list" allowBlank="1" showInputMessage="1" sqref="M118" xr:uid="{00000000-0002-0000-0300-000080000000}">
      <formula1>INDIRECT("[RoutineMapDataValidations.xlsm]StandardComments!C111#")</formula1>
    </dataValidation>
    <dataValidation type="list" allowBlank="1" showInputMessage="1" sqref="M119" xr:uid="{00000000-0002-0000-0300-000081000000}">
      <formula1>INDIRECT("[RoutineMapDataValidations.xlsm]StandardComments!C112#")</formula1>
    </dataValidation>
    <dataValidation type="list" allowBlank="1" showInputMessage="1" sqref="M120" xr:uid="{00000000-0002-0000-0300-000082000000}">
      <formula1>INDIRECT("[RoutineMapDataValidations.xlsm]StandardComments!C113#")</formula1>
    </dataValidation>
    <dataValidation type="list" allowBlank="1" showInputMessage="1" sqref="M121" xr:uid="{00000000-0002-0000-0300-000083000000}">
      <formula1>INDIRECT("[RoutineMapDataValidations.xlsm]StandardComments!C114#")</formula1>
    </dataValidation>
    <dataValidation type="list" allowBlank="1" showInputMessage="1" sqref="M122" xr:uid="{00000000-0002-0000-0300-000084000000}">
      <formula1>INDIRECT("[RoutineMapDataValidations.xlsm]StandardComments!C115#")</formula1>
    </dataValidation>
    <dataValidation type="list" allowBlank="1" showInputMessage="1" sqref="M123" xr:uid="{00000000-0002-0000-0300-000085000000}">
      <formula1>INDIRECT("[RoutineMapDataValidations.xlsm]StandardComments!C116#")</formula1>
    </dataValidation>
    <dataValidation type="list" allowBlank="1" showInputMessage="1" sqref="M124" xr:uid="{00000000-0002-0000-0300-000086000000}">
      <formula1>INDIRECT("[RoutineMapDataValidations.xlsm]StandardComments!C117#")</formula1>
    </dataValidation>
    <dataValidation type="list" allowBlank="1" showInputMessage="1" sqref="M125" xr:uid="{00000000-0002-0000-0300-000087000000}">
      <formula1>INDIRECT("[RoutineMapDataValidations.xlsm]StandardComments!C118#")</formula1>
    </dataValidation>
    <dataValidation type="list" allowBlank="1" showInputMessage="1" sqref="M126" xr:uid="{00000000-0002-0000-0300-000088000000}">
      <formula1>INDIRECT("[RoutineMapDataValidations.xlsm]StandardComments!C119#")</formula1>
    </dataValidation>
    <dataValidation type="list" allowBlank="1" showInputMessage="1" sqref="M127" xr:uid="{00000000-0002-0000-0300-000089000000}">
      <formula1>INDIRECT("[RoutineMapDataValidations.xlsm]StandardComments!C120#")</formula1>
    </dataValidation>
    <dataValidation type="list" allowBlank="1" showInputMessage="1" sqref="M128" xr:uid="{00000000-0002-0000-0300-00008A000000}">
      <formula1>INDIRECT("[RoutineMapDataValidations.xlsm]StandardComments!C121#")</formula1>
    </dataValidation>
    <dataValidation type="list" allowBlank="1" showInputMessage="1" sqref="M129" xr:uid="{00000000-0002-0000-0300-00008B000000}">
      <formula1>INDIRECT("[RoutineMapDataValidations.xlsm]StandardComments!C122#")</formula1>
    </dataValidation>
    <dataValidation type="list" allowBlank="1" showInputMessage="1" sqref="M130" xr:uid="{00000000-0002-0000-0300-00008C000000}">
      <formula1>INDIRECT("[RoutineMapDataValidations.xlsm]StandardComments!C123#")</formula1>
    </dataValidation>
    <dataValidation type="list" allowBlank="1" showInputMessage="1" sqref="M131" xr:uid="{00000000-0002-0000-0300-00008D000000}">
      <formula1>INDIRECT("[RoutineMapDataValidations.xlsm]StandardComments!C124#")</formula1>
    </dataValidation>
    <dataValidation type="list" allowBlank="1" showInputMessage="1" sqref="M132" xr:uid="{00000000-0002-0000-0300-00008E000000}">
      <formula1>INDIRECT("[RoutineMapDataValidations.xlsm]StandardComments!C125#")</formula1>
    </dataValidation>
    <dataValidation type="list" allowBlank="1" showInputMessage="1" sqref="M133" xr:uid="{00000000-0002-0000-0300-00008F000000}">
      <formula1>INDIRECT("[RoutineMapDataValidations.xlsm]StandardComments!C126#")</formula1>
    </dataValidation>
    <dataValidation type="list" allowBlank="1" showInputMessage="1" sqref="M134" xr:uid="{00000000-0002-0000-0300-000090000000}">
      <formula1>INDIRECT("[RoutineMapDataValidations.xlsm]StandardComments!C127#")</formula1>
    </dataValidation>
    <dataValidation type="list" allowBlank="1" showInputMessage="1" sqref="M135" xr:uid="{00000000-0002-0000-0300-000091000000}">
      <formula1>INDIRECT("[RoutineMapDataValidations.xlsm]StandardComments!C128#")</formula1>
    </dataValidation>
    <dataValidation type="list" allowBlank="1" showInputMessage="1" sqref="M136" xr:uid="{00000000-0002-0000-0300-000092000000}">
      <formula1>INDIRECT("[RoutineMapDataValidations.xlsm]StandardComments!C129#")</formula1>
    </dataValidation>
    <dataValidation type="list" allowBlank="1" showInputMessage="1" sqref="M137" xr:uid="{00000000-0002-0000-0300-000093000000}">
      <formula1>INDIRECT("[RoutineMapDataValidations.xlsm]StandardComments!C130#")</formula1>
    </dataValidation>
    <dataValidation type="list" allowBlank="1" showInputMessage="1" sqref="M138" xr:uid="{00000000-0002-0000-0300-000094000000}">
      <formula1>INDIRECT("[RoutineMapDataValidations.xlsm]StandardComments!C131#")</formula1>
    </dataValidation>
    <dataValidation type="list" allowBlank="1" showInputMessage="1" sqref="M139" xr:uid="{00000000-0002-0000-0300-000095000000}">
      <formula1>INDIRECT("[RoutineMapDataValidations.xlsm]StandardComments!C132#")</formula1>
    </dataValidation>
    <dataValidation type="list" allowBlank="1" showInputMessage="1" sqref="M140" xr:uid="{00000000-0002-0000-0300-000096000000}">
      <formula1>INDIRECT("[RoutineMapDataValidations.xlsm]StandardComments!C133#")</formula1>
    </dataValidation>
    <dataValidation type="list" allowBlank="1" showInputMessage="1" sqref="M141" xr:uid="{00000000-0002-0000-0300-000097000000}">
      <formula1>INDIRECT("[RoutineMapDataValidations.xlsm]StandardComments!C134#")</formula1>
    </dataValidation>
    <dataValidation type="list" allowBlank="1" showInputMessage="1" sqref="M142" xr:uid="{00000000-0002-0000-0300-000098000000}">
      <formula1>INDIRECT("[RoutineMapDataValidations.xlsm]StandardComments!C135#")</formula1>
    </dataValidation>
    <dataValidation type="list" allowBlank="1" showInputMessage="1" sqref="M143" xr:uid="{00000000-0002-0000-0300-000099000000}">
      <formula1>INDIRECT("[RoutineMapDataValidations.xlsm]StandardComments!C136#")</formula1>
    </dataValidation>
    <dataValidation type="list" allowBlank="1" showInputMessage="1" sqref="M144" xr:uid="{00000000-0002-0000-0300-00009A000000}">
      <formula1>INDIRECT("[RoutineMapDataValidations.xlsm]StandardComments!C137#")</formula1>
    </dataValidation>
    <dataValidation type="list" allowBlank="1" showInputMessage="1" sqref="M145" xr:uid="{00000000-0002-0000-0300-00009B000000}">
      <formula1>INDIRECT("[RoutineMapDataValidations.xlsm]StandardComments!C138#")</formula1>
    </dataValidation>
    <dataValidation type="list" allowBlank="1" showInputMessage="1" sqref="M146" xr:uid="{00000000-0002-0000-0300-00009C000000}">
      <formula1>INDIRECT("[RoutineMapDataValidations.xlsm]StandardComments!C139#")</formula1>
    </dataValidation>
    <dataValidation type="list" allowBlank="1" showInputMessage="1" sqref="M147" xr:uid="{00000000-0002-0000-0300-00009D000000}">
      <formula1>INDIRECT("[RoutineMapDataValidations.xlsm]StandardComments!C140#")</formula1>
    </dataValidation>
    <dataValidation type="list" allowBlank="1" showInputMessage="1" sqref="M148" xr:uid="{00000000-0002-0000-0300-00009E000000}">
      <formula1>INDIRECT("[RoutineMapDataValidations.xlsm]StandardComments!C141#")</formula1>
    </dataValidation>
    <dataValidation type="list" allowBlank="1" showInputMessage="1" sqref="M149" xr:uid="{00000000-0002-0000-0300-00009F000000}">
      <formula1>INDIRECT("[RoutineMapDataValidations.xlsm]StandardComments!C142#")</formula1>
    </dataValidation>
    <dataValidation type="list" allowBlank="1" showInputMessage="1" sqref="M150" xr:uid="{00000000-0002-0000-0300-0000A0000000}">
      <formula1>INDIRECT("[RoutineMapDataValidations.xlsm]StandardComments!C143#")</formula1>
    </dataValidation>
    <dataValidation type="list" allowBlank="1" showInputMessage="1" sqref="M151" xr:uid="{00000000-0002-0000-0300-0000A1000000}">
      <formula1>INDIRECT("[RoutineMapDataValidations.xlsm]StandardComments!C144#")</formula1>
    </dataValidation>
    <dataValidation type="list" allowBlank="1" showInputMessage="1" sqref="M152" xr:uid="{00000000-0002-0000-0300-0000A2000000}">
      <formula1>INDIRECT("[RoutineMapDataValidations.xlsm]StandardComments!C145#")</formula1>
    </dataValidation>
    <dataValidation type="list" allowBlank="1" showInputMessage="1" sqref="M153" xr:uid="{00000000-0002-0000-0300-0000A3000000}">
      <formula1>INDIRECT("[RoutineMapDataValidations.xlsm]StandardComments!C146#")</formula1>
    </dataValidation>
    <dataValidation type="list" allowBlank="1" showInputMessage="1" sqref="M154" xr:uid="{00000000-0002-0000-0300-0000A4000000}">
      <formula1>INDIRECT("[RoutineMapDataValidations.xlsm]StandardComments!C147#")</formula1>
    </dataValidation>
    <dataValidation type="list" allowBlank="1" showInputMessage="1" sqref="M155" xr:uid="{00000000-0002-0000-0300-0000A5000000}">
      <formula1>INDIRECT("[RoutineMapDataValidations.xlsm]StandardComments!C148#")</formula1>
    </dataValidation>
    <dataValidation type="list" allowBlank="1" showInputMessage="1" sqref="M156" xr:uid="{00000000-0002-0000-0300-0000A6000000}">
      <formula1>INDIRECT("[RoutineMapDataValidations.xlsm]StandardComments!C149#")</formula1>
    </dataValidation>
    <dataValidation type="list" allowBlank="1" showInputMessage="1" sqref="M157" xr:uid="{00000000-0002-0000-0300-0000A7000000}">
      <formula1>INDIRECT("[RoutineMapDataValidations.xlsm]StandardComments!C150#")</formula1>
    </dataValidation>
    <dataValidation type="list" allowBlank="1" showInputMessage="1" sqref="M158" xr:uid="{00000000-0002-0000-0300-0000A8000000}">
      <formula1>INDIRECT("[RoutineMapDataValidations.xlsm]StandardComments!C151#")</formula1>
    </dataValidation>
    <dataValidation type="list" allowBlank="1" showInputMessage="1" sqref="M159" xr:uid="{00000000-0002-0000-0300-0000A9000000}">
      <formula1>INDIRECT("[RoutineMapDataValidations.xlsm]StandardComments!C152#")</formula1>
    </dataValidation>
    <dataValidation type="list" allowBlank="1" showInputMessage="1" sqref="M160" xr:uid="{00000000-0002-0000-0300-0000AA000000}">
      <formula1>INDIRECT("[RoutineMapDataValidations.xlsm]StandardComments!C153#")</formula1>
    </dataValidation>
    <dataValidation type="list" allowBlank="1" showInputMessage="1" sqref="M161" xr:uid="{00000000-0002-0000-0300-0000AB000000}">
      <formula1>INDIRECT("[RoutineMapDataValidations.xlsm]StandardComments!C154#")</formula1>
    </dataValidation>
    <dataValidation type="list" allowBlank="1" showInputMessage="1" sqref="M162" xr:uid="{00000000-0002-0000-0300-0000AC000000}">
      <formula1>INDIRECT("[RoutineMapDataValidations.xlsm]StandardComments!C155#")</formula1>
    </dataValidation>
    <dataValidation type="list" allowBlank="1" showInputMessage="1" sqref="M163" xr:uid="{00000000-0002-0000-0300-0000AD000000}">
      <formula1>INDIRECT("[RoutineMapDataValidations.xlsm]StandardComments!C156#")</formula1>
    </dataValidation>
    <dataValidation type="list" allowBlank="1" showInputMessage="1" sqref="M164" xr:uid="{00000000-0002-0000-0300-0000AE000000}">
      <formula1>INDIRECT("[RoutineMapDataValidations.xlsm]StandardComments!C157#")</formula1>
    </dataValidation>
    <dataValidation type="list" allowBlank="1" showInputMessage="1" sqref="M165" xr:uid="{00000000-0002-0000-0300-0000AF000000}">
      <formula1>INDIRECT("[RoutineMapDataValidations.xlsm]StandardComments!C158#")</formula1>
    </dataValidation>
    <dataValidation type="list" allowBlank="1" showInputMessage="1" sqref="M166" xr:uid="{00000000-0002-0000-0300-0000B0000000}">
      <formula1>INDIRECT("[RoutineMapDataValidations.xlsm]StandardComments!C159#")</formula1>
    </dataValidation>
    <dataValidation type="list" allowBlank="1" showInputMessage="1" sqref="M167" xr:uid="{00000000-0002-0000-0300-0000B1000000}">
      <formula1>INDIRECT("[RoutineMapDataValidations.xlsm]StandardComments!C160#")</formula1>
    </dataValidation>
    <dataValidation type="list" allowBlank="1" showInputMessage="1" sqref="M168" xr:uid="{00000000-0002-0000-0300-0000B2000000}">
      <formula1>INDIRECT("[RoutineMapDataValidations.xlsm]StandardComments!C161#")</formula1>
    </dataValidation>
    <dataValidation type="list" allowBlank="1" showInputMessage="1" sqref="M169" xr:uid="{00000000-0002-0000-0300-0000B3000000}">
      <formula1>INDIRECT("[RoutineMapDataValidations.xlsm]StandardComments!C162#")</formula1>
    </dataValidation>
    <dataValidation type="list" allowBlank="1" showInputMessage="1" sqref="M170" xr:uid="{00000000-0002-0000-0300-0000B4000000}">
      <formula1>INDIRECT("[RoutineMapDataValidations.xlsm]StandardComments!C163#")</formula1>
    </dataValidation>
    <dataValidation type="list" allowBlank="1" showInputMessage="1" sqref="M171" xr:uid="{00000000-0002-0000-0300-0000B5000000}">
      <formula1>INDIRECT("[RoutineMapDataValidations.xlsm]StandardComments!C164#")</formula1>
    </dataValidation>
    <dataValidation type="list" allowBlank="1" showInputMessage="1" sqref="M172" xr:uid="{00000000-0002-0000-0300-0000B6000000}">
      <formula1>INDIRECT("[RoutineMapDataValidations.xlsm]StandardComments!C165#")</formula1>
    </dataValidation>
    <dataValidation type="list" allowBlank="1" showInputMessage="1" sqref="M173" xr:uid="{00000000-0002-0000-0300-0000B7000000}">
      <formula1>INDIRECT("[RoutineMapDataValidations.xlsm]StandardComments!C166#")</formula1>
    </dataValidation>
    <dataValidation type="list" allowBlank="1" showInputMessage="1" sqref="M174" xr:uid="{00000000-0002-0000-0300-0000B8000000}">
      <formula1>INDIRECT("[RoutineMapDataValidations.xlsm]StandardComments!C167#")</formula1>
    </dataValidation>
    <dataValidation type="list" allowBlank="1" showInputMessage="1" sqref="M175" xr:uid="{00000000-0002-0000-0300-0000B9000000}">
      <formula1>INDIRECT("[RoutineMapDataValidations.xlsm]StandardComments!C168#")</formula1>
    </dataValidation>
    <dataValidation type="list" allowBlank="1" showInputMessage="1" sqref="M176" xr:uid="{00000000-0002-0000-0300-0000BA000000}">
      <formula1>INDIRECT("[RoutineMapDataValidations.xlsm]StandardComments!C169#")</formula1>
    </dataValidation>
    <dataValidation type="list" allowBlank="1" showInputMessage="1" sqref="M177" xr:uid="{00000000-0002-0000-0300-0000BB000000}">
      <formula1>INDIRECT("[RoutineMapDataValidations.xlsm]StandardComments!C170#")</formula1>
    </dataValidation>
    <dataValidation type="list" allowBlank="1" showInputMessage="1" sqref="M178" xr:uid="{00000000-0002-0000-0300-0000BC000000}">
      <formula1>INDIRECT("[RoutineMapDataValidations.xlsm]StandardComments!C171#")</formula1>
    </dataValidation>
    <dataValidation type="list" allowBlank="1" showInputMessage="1" sqref="M179" xr:uid="{00000000-0002-0000-0300-0000BD000000}">
      <formula1>INDIRECT("[RoutineMapDataValidations.xlsm]StandardComments!C172#")</formula1>
    </dataValidation>
    <dataValidation type="list" allowBlank="1" showInputMessage="1" sqref="M180" xr:uid="{00000000-0002-0000-0300-0000BE000000}">
      <formula1>INDIRECT("[RoutineMapDataValidations.xlsm]StandardComments!C173#")</formula1>
    </dataValidation>
    <dataValidation type="list" allowBlank="1" showInputMessage="1" sqref="M181" xr:uid="{00000000-0002-0000-0300-0000BF000000}">
      <formula1>INDIRECT("[RoutineMapDataValidations.xlsm]StandardComments!C174#")</formula1>
    </dataValidation>
    <dataValidation type="list" allowBlank="1" showInputMessage="1" sqref="M182" xr:uid="{00000000-0002-0000-0300-0000C0000000}">
      <formula1>INDIRECT("[RoutineMapDataValidations.xlsm]StandardComments!C175#")</formula1>
    </dataValidation>
    <dataValidation type="list" allowBlank="1" showInputMessage="1" sqref="M183" xr:uid="{00000000-0002-0000-0300-0000C1000000}">
      <formula1>INDIRECT("[RoutineMapDataValidations.xlsm]StandardComments!C176#")</formula1>
    </dataValidation>
    <dataValidation type="list" allowBlank="1" showInputMessage="1" sqref="M184" xr:uid="{00000000-0002-0000-0300-0000C2000000}">
      <formula1>INDIRECT("[RoutineMapDataValidations.xlsm]StandardComments!C177#")</formula1>
    </dataValidation>
    <dataValidation type="list" allowBlank="1" showInputMessage="1" sqref="M185" xr:uid="{00000000-0002-0000-0300-0000C3000000}">
      <formula1>INDIRECT("[RoutineMapDataValidations.xlsm]StandardComments!C178#")</formula1>
    </dataValidation>
    <dataValidation type="list" allowBlank="1" showInputMessage="1" sqref="M186" xr:uid="{00000000-0002-0000-0300-0000C4000000}">
      <formula1>INDIRECT("[RoutineMapDataValidations.xlsm]StandardComments!C179#")</formula1>
    </dataValidation>
    <dataValidation type="list" allowBlank="1" showInputMessage="1" sqref="M187" xr:uid="{00000000-0002-0000-0300-0000C5000000}">
      <formula1>INDIRECT("[RoutineMapDataValidations.xlsm]StandardComments!C180#")</formula1>
    </dataValidation>
    <dataValidation type="list" allowBlank="1" showInputMessage="1" sqref="M188" xr:uid="{00000000-0002-0000-0300-0000C6000000}">
      <formula1>INDIRECT("[RoutineMapDataValidations.xlsm]StandardComments!C181#")</formula1>
    </dataValidation>
    <dataValidation type="list" allowBlank="1" showInputMessage="1" sqref="M189" xr:uid="{00000000-0002-0000-0300-0000C7000000}">
      <formula1>INDIRECT("[RoutineMapDataValidations.xlsm]StandardComments!C182#")</formula1>
    </dataValidation>
    <dataValidation type="list" allowBlank="1" showInputMessage="1" sqref="M190" xr:uid="{00000000-0002-0000-0300-0000C8000000}">
      <formula1>INDIRECT("[RoutineMapDataValidations.xlsm]StandardComments!C183#")</formula1>
    </dataValidation>
    <dataValidation type="list" allowBlank="1" showInputMessage="1" sqref="M191" xr:uid="{00000000-0002-0000-0300-0000C9000000}">
      <formula1>INDIRECT("[RoutineMapDataValidations.xlsm]StandardComments!C184#")</formula1>
    </dataValidation>
    <dataValidation type="list" allowBlank="1" showInputMessage="1" sqref="M192" xr:uid="{00000000-0002-0000-0300-0000CA000000}">
      <formula1>INDIRECT("[RoutineMapDataValidations.xlsm]StandardComments!C185#")</formula1>
    </dataValidation>
    <dataValidation type="list" allowBlank="1" showInputMessage="1" sqref="M193" xr:uid="{00000000-0002-0000-0300-0000CB000000}">
      <formula1>INDIRECT("[RoutineMapDataValidations.xlsm]StandardComments!C186#")</formula1>
    </dataValidation>
    <dataValidation type="list" allowBlank="1" showInputMessage="1" sqref="M194" xr:uid="{00000000-0002-0000-0300-0000CC000000}">
      <formula1>INDIRECT("[RoutineMapDataValidations.xlsm]StandardComments!C187#")</formula1>
    </dataValidation>
    <dataValidation type="list" allowBlank="1" showInputMessage="1" sqref="M195" xr:uid="{00000000-0002-0000-0300-0000CD000000}">
      <formula1>INDIRECT("[RoutineMapDataValidations.xlsm]StandardComments!C188#")</formula1>
    </dataValidation>
    <dataValidation type="list" allowBlank="1" showInputMessage="1" sqref="M196" xr:uid="{00000000-0002-0000-0300-0000CE000000}">
      <formula1>INDIRECT("[RoutineMapDataValidations.xlsm]StandardComments!C189#")</formula1>
    </dataValidation>
    <dataValidation type="list" allowBlank="1" showInputMessage="1" sqref="M197" xr:uid="{00000000-0002-0000-0300-0000CF000000}">
      <formula1>INDIRECT("[RoutineMapDataValidations.xlsm]StandardComments!C190#")</formula1>
    </dataValidation>
    <dataValidation type="list" allowBlank="1" showInputMessage="1" sqref="M198" xr:uid="{00000000-0002-0000-0300-0000D0000000}">
      <formula1>INDIRECT("[RoutineMapDataValidations.xlsm]StandardComments!C191#")</formula1>
    </dataValidation>
    <dataValidation type="list" allowBlank="1" showInputMessage="1" sqref="M199" xr:uid="{00000000-0002-0000-0300-0000D1000000}">
      <formula1>INDIRECT("[RoutineMapDataValidations.xlsm]StandardComments!C192#")</formula1>
    </dataValidation>
    <dataValidation type="list" allowBlank="1" showInputMessage="1" sqref="M200" xr:uid="{00000000-0002-0000-0300-0000D2000000}">
      <formula1>INDIRECT("[RoutineMapDataValidations.xlsm]StandardComments!C193#")</formula1>
    </dataValidation>
    <dataValidation type="list" allowBlank="1" showInputMessage="1" sqref="M201" xr:uid="{00000000-0002-0000-0300-0000D3000000}">
      <formula1>INDIRECT("[RoutineMapDataValidations.xlsm]StandardComments!C194#")</formula1>
    </dataValidation>
    <dataValidation type="list" allowBlank="1" showInputMessage="1" sqref="M202" xr:uid="{00000000-0002-0000-0300-0000D4000000}">
      <formula1>INDIRECT("[RoutineMapDataValidations.xlsm]StandardComments!C195#")</formula1>
    </dataValidation>
    <dataValidation type="list" allowBlank="1" showInputMessage="1" sqref="M203" xr:uid="{00000000-0002-0000-0300-0000D5000000}">
      <formula1>INDIRECT("[RoutineMapDataValidations.xlsm]StandardComments!C196#")</formula1>
    </dataValidation>
    <dataValidation type="list" allowBlank="1" showInputMessage="1" sqref="M204" xr:uid="{00000000-0002-0000-0300-0000D6000000}">
      <formula1>INDIRECT("[RoutineMapDataValidations.xlsm]StandardComments!C197#")</formula1>
    </dataValidation>
    <dataValidation type="list" allowBlank="1" showInputMessage="1" sqref="M205" xr:uid="{00000000-0002-0000-0300-0000D7000000}">
      <formula1>INDIRECT("[RoutineMapDataValidations.xlsm]StandardComments!C198#")</formula1>
    </dataValidation>
    <dataValidation type="list" allowBlank="1" showInputMessage="1" sqref="M206" xr:uid="{00000000-0002-0000-0300-0000D8000000}">
      <formula1>INDIRECT("[RoutineMapDataValidations.xlsm]StandardComments!C199#")</formula1>
    </dataValidation>
    <dataValidation type="list" allowBlank="1" showInputMessage="1" sqref="M207" xr:uid="{00000000-0002-0000-0300-0000D9000000}">
      <formula1>INDIRECT("[RoutineMapDataValidations.xlsm]StandardComments!C200#")</formula1>
    </dataValidation>
    <dataValidation type="list" allowBlank="1" showInputMessage="1" sqref="M208" xr:uid="{00000000-0002-0000-0300-0000DA000000}">
      <formula1>INDIRECT("[RoutineMapDataValidations.xlsm]StandardComments!C201#")</formula1>
    </dataValidation>
    <dataValidation type="list" allowBlank="1" showInputMessage="1" sqref="M209" xr:uid="{00000000-0002-0000-0300-0000DB000000}">
      <formula1>INDIRECT("[RoutineMapDataValidations.xlsm]StandardComments!C202#")</formula1>
    </dataValidation>
    <dataValidation type="list" allowBlank="1" showInputMessage="1" sqref="M210" xr:uid="{00000000-0002-0000-0300-0000DC000000}">
      <formula1>INDIRECT("[RoutineMapDataValidations.xlsm]StandardComments!C203#")</formula1>
    </dataValidation>
    <dataValidation type="list" allowBlank="1" showInputMessage="1" sqref="M211" xr:uid="{00000000-0002-0000-0300-0000DD000000}">
      <formula1>INDIRECT("[RoutineMapDataValidations.xlsm]StandardComments!C204#")</formula1>
    </dataValidation>
    <dataValidation type="list" allowBlank="1" showInputMessage="1" sqref="M212" xr:uid="{00000000-0002-0000-0300-0000DE000000}">
      <formula1>INDIRECT("[RoutineMapDataValidations.xlsm]StandardComments!C205#")</formula1>
    </dataValidation>
    <dataValidation type="list" allowBlank="1" showInputMessage="1" sqref="M213" xr:uid="{00000000-0002-0000-0300-0000DF000000}">
      <formula1>INDIRECT("[RoutineMapDataValidations.xlsm]StandardComments!C206#")</formula1>
    </dataValidation>
    <dataValidation type="list" allowBlank="1" showInputMessage="1" sqref="M214" xr:uid="{00000000-0002-0000-0300-0000E0000000}">
      <formula1>INDIRECT("[RoutineMapDataValidations.xlsm]StandardComments!C207#")</formula1>
    </dataValidation>
    <dataValidation type="list" allowBlank="1" showInputMessage="1" sqref="M215" xr:uid="{00000000-0002-0000-0300-0000E1000000}">
      <formula1>INDIRECT("[RoutineMapDataValidations.xlsm]StandardComments!C208#")</formula1>
    </dataValidation>
    <dataValidation type="list" allowBlank="1" showInputMessage="1" sqref="M216" xr:uid="{00000000-0002-0000-0300-0000E2000000}">
      <formula1>INDIRECT("[RoutineMapDataValidations.xlsm]StandardComments!C209#")</formula1>
    </dataValidation>
    <dataValidation type="list" allowBlank="1" showInputMessage="1" sqref="M217" xr:uid="{00000000-0002-0000-0300-0000E3000000}">
      <formula1>INDIRECT("[RoutineMapDataValidations.xlsm]StandardComments!C210#")</formula1>
    </dataValidation>
    <dataValidation type="list" allowBlank="1" showInputMessage="1" sqref="M218" xr:uid="{00000000-0002-0000-0300-0000E4000000}">
      <formula1>INDIRECT("[RoutineMapDataValidations.xlsm]StandardComments!C211#")</formula1>
    </dataValidation>
    <dataValidation type="list" allowBlank="1" showInputMessage="1" sqref="M219" xr:uid="{00000000-0002-0000-0300-0000E5000000}">
      <formula1>INDIRECT("[RoutineMapDataValidations.xlsm]StandardComments!C212#")</formula1>
    </dataValidation>
    <dataValidation type="list" allowBlank="1" showInputMessage="1" sqref="M220" xr:uid="{00000000-0002-0000-0300-0000E6000000}">
      <formula1>INDIRECT("[RoutineMapDataValidations.xlsm]StandardComments!C213#")</formula1>
    </dataValidation>
    <dataValidation type="list" allowBlank="1" showInputMessage="1" sqref="M221" xr:uid="{00000000-0002-0000-0300-0000E7000000}">
      <formula1>INDIRECT("[RoutineMapDataValidations.xlsm]StandardComments!C214#")</formula1>
    </dataValidation>
    <dataValidation type="list" allowBlank="1" showInputMessage="1" sqref="M222" xr:uid="{00000000-0002-0000-0300-0000E8000000}">
      <formula1>INDIRECT("[RoutineMapDataValidations.xlsm]StandardComments!C215#")</formula1>
    </dataValidation>
    <dataValidation type="list" allowBlank="1" showInputMessage="1" sqref="M223" xr:uid="{00000000-0002-0000-0300-0000E9000000}">
      <formula1>INDIRECT("[RoutineMapDataValidations.xlsm]StandardComments!C216#")</formula1>
    </dataValidation>
    <dataValidation type="list" allowBlank="1" showInputMessage="1" sqref="M224" xr:uid="{00000000-0002-0000-0300-0000EA000000}">
      <formula1>INDIRECT("[RoutineMapDataValidations.xlsm]StandardComments!C217#")</formula1>
    </dataValidation>
    <dataValidation type="list" allowBlank="1" showInputMessage="1" sqref="M225" xr:uid="{00000000-0002-0000-0300-0000EB000000}">
      <formula1>INDIRECT("[RoutineMapDataValidations.xlsm]StandardComments!C218#")</formula1>
    </dataValidation>
    <dataValidation type="list" allowBlank="1" showInputMessage="1" sqref="M226" xr:uid="{00000000-0002-0000-0300-0000EC000000}">
      <formula1>INDIRECT("[RoutineMapDataValidations.xlsm]StandardComments!C219#")</formula1>
    </dataValidation>
    <dataValidation type="list" allowBlank="1" showInputMessage="1" sqref="M227" xr:uid="{00000000-0002-0000-0300-0000ED000000}">
      <formula1>INDIRECT("[RoutineMapDataValidations.xlsm]StandardComments!C220#")</formula1>
    </dataValidation>
    <dataValidation type="list" allowBlank="1" showInputMessage="1" sqref="M228" xr:uid="{00000000-0002-0000-0300-0000EE000000}">
      <formula1>INDIRECT("[RoutineMapDataValidations.xlsm]StandardComments!C221#")</formula1>
    </dataValidation>
    <dataValidation type="list" allowBlank="1" showInputMessage="1" sqref="M229" xr:uid="{00000000-0002-0000-0300-0000EF000000}">
      <formula1>INDIRECT("[RoutineMapDataValidations.xlsm]StandardComments!C222#")</formula1>
    </dataValidation>
    <dataValidation type="list" allowBlank="1" showInputMessage="1" sqref="M230" xr:uid="{00000000-0002-0000-0300-0000F0000000}">
      <formula1>INDIRECT("[RoutineMapDataValidations.xlsm]StandardComments!C223#")</formula1>
    </dataValidation>
    <dataValidation type="list" allowBlank="1" showInputMessage="1" sqref="M231" xr:uid="{00000000-0002-0000-0300-0000F1000000}">
      <formula1>INDIRECT("[RoutineMapDataValidations.xlsm]StandardComments!C224#")</formula1>
    </dataValidation>
    <dataValidation type="list" allowBlank="1" showInputMessage="1" sqref="M232" xr:uid="{00000000-0002-0000-0300-0000F2000000}">
      <formula1>INDIRECT("[RoutineMapDataValidations.xlsm]StandardComments!C225#")</formula1>
    </dataValidation>
    <dataValidation type="list" allowBlank="1" showInputMessage="1" sqref="M233" xr:uid="{00000000-0002-0000-0300-0000F3000000}">
      <formula1>INDIRECT("[RoutineMapDataValidations.xlsm]StandardComments!C226#")</formula1>
    </dataValidation>
    <dataValidation type="list" allowBlank="1" showInputMessage="1" sqref="M234" xr:uid="{00000000-0002-0000-0300-0000F4000000}">
      <formula1>INDIRECT("[RoutineMapDataValidations.xlsm]StandardComments!C227#")</formula1>
    </dataValidation>
    <dataValidation type="list" allowBlank="1" showInputMessage="1" sqref="M235" xr:uid="{00000000-0002-0000-0300-0000F5000000}">
      <formula1>INDIRECT("[RoutineMapDataValidations.xlsm]StandardComments!C228#")</formula1>
    </dataValidation>
    <dataValidation type="list" allowBlank="1" showInputMessage="1" sqref="M236" xr:uid="{00000000-0002-0000-0300-0000F6000000}">
      <formula1>INDIRECT("[RoutineMapDataValidations.xlsm]StandardComments!C229#")</formula1>
    </dataValidation>
    <dataValidation type="list" allowBlank="1" showInputMessage="1" sqref="M237" xr:uid="{00000000-0002-0000-0300-0000F7000000}">
      <formula1>INDIRECT("[RoutineMapDataValidations.xlsm]StandardComments!C230#")</formula1>
    </dataValidation>
    <dataValidation type="list" allowBlank="1" showInputMessage="1" sqref="M238" xr:uid="{00000000-0002-0000-0300-0000F8000000}">
      <formula1>INDIRECT("[RoutineMapDataValidations.xlsm]StandardComments!C231#")</formula1>
    </dataValidation>
    <dataValidation type="list" allowBlank="1" showInputMessage="1" sqref="M239" xr:uid="{00000000-0002-0000-0300-0000F9000000}">
      <formula1>INDIRECT("[RoutineMapDataValidations.xlsm]StandardComments!C232#")</formula1>
    </dataValidation>
    <dataValidation type="list" allowBlank="1" showInputMessage="1" sqref="M240" xr:uid="{00000000-0002-0000-0300-0000FA000000}">
      <formula1>INDIRECT("[RoutineMapDataValidations.xlsm]StandardComments!C233#")</formula1>
    </dataValidation>
    <dataValidation type="list" allowBlank="1" showInputMessage="1" sqref="M241" xr:uid="{00000000-0002-0000-0300-0000FB000000}">
      <formula1>INDIRECT("[RoutineMapDataValidations.xlsm]StandardComments!C234#")</formula1>
    </dataValidation>
    <dataValidation type="list" allowBlank="1" showInputMessage="1" sqref="M242" xr:uid="{00000000-0002-0000-0300-0000FC000000}">
      <formula1>INDIRECT("[RoutineMapDataValidations.xlsm]StandardComments!C235#")</formula1>
    </dataValidation>
    <dataValidation type="list" allowBlank="1" showInputMessage="1" sqref="M243" xr:uid="{00000000-0002-0000-0300-0000FD000000}">
      <formula1>INDIRECT("[RoutineMapDataValidations.xlsm]StandardComments!C236#")</formula1>
    </dataValidation>
    <dataValidation type="list" allowBlank="1" showInputMessage="1" sqref="M244" xr:uid="{00000000-0002-0000-0300-0000FE000000}">
      <formula1>INDIRECT("[RoutineMapDataValidations.xlsm]StandardComments!C237#")</formula1>
    </dataValidation>
    <dataValidation type="list" allowBlank="1" showInputMessage="1" sqref="M245" xr:uid="{00000000-0002-0000-0300-0000FF000000}">
      <formula1>INDIRECT("[RoutineMapDataValidations.xlsm]StandardComments!C238#")</formula1>
    </dataValidation>
    <dataValidation type="list" allowBlank="1" showInputMessage="1" sqref="M246" xr:uid="{00000000-0002-0000-0300-000000010000}">
      <formula1>INDIRECT("[RoutineMapDataValidations.xlsm]StandardComments!C239#")</formula1>
    </dataValidation>
    <dataValidation type="list" allowBlank="1" showInputMessage="1" sqref="M247" xr:uid="{00000000-0002-0000-0300-000001010000}">
      <formula1>INDIRECT("[RoutineMapDataValidations.xlsm]StandardComments!C240#")</formula1>
    </dataValidation>
    <dataValidation type="list" allowBlank="1" showInputMessage="1" sqref="M248" xr:uid="{00000000-0002-0000-0300-000002010000}">
      <formula1>INDIRECT("[RoutineMapDataValidations.xlsm]StandardComments!C241#")</formula1>
    </dataValidation>
    <dataValidation type="list" allowBlank="1" showInputMessage="1" sqref="M249" xr:uid="{00000000-0002-0000-0300-000003010000}">
      <formula1>INDIRECT("[RoutineMapDataValidations.xlsm]StandardComments!C242#")</formula1>
    </dataValidation>
    <dataValidation type="list" allowBlank="1" showInputMessage="1" sqref="M250" xr:uid="{00000000-0002-0000-0300-000004010000}">
      <formula1>INDIRECT("[RoutineMapDataValidations.xlsm]StandardComments!C243#")</formula1>
    </dataValidation>
    <dataValidation type="list" allowBlank="1" showInputMessage="1" sqref="M251" xr:uid="{00000000-0002-0000-0300-000005010000}">
      <formula1>INDIRECT("[RoutineMapDataValidations.xlsm]StandardComments!C244#")</formula1>
    </dataValidation>
    <dataValidation type="list" allowBlank="1" showInputMessage="1" sqref="M252" xr:uid="{00000000-0002-0000-0300-000006010000}">
      <formula1>INDIRECT("[RoutineMapDataValidations.xlsm]StandardComments!C245#")</formula1>
    </dataValidation>
    <dataValidation type="list" allowBlank="1" showInputMessage="1" sqref="M253" xr:uid="{00000000-0002-0000-0300-000007010000}">
      <formula1>INDIRECT("[RoutineMapDataValidations.xlsm]StandardComments!C246#")</formula1>
    </dataValidation>
    <dataValidation type="list" allowBlank="1" showInputMessage="1" sqref="M254" xr:uid="{00000000-0002-0000-0300-000008010000}">
      <formula1>INDIRECT("[RoutineMapDataValidations.xlsm]StandardComments!C247#")</formula1>
    </dataValidation>
    <dataValidation type="list" allowBlank="1" showInputMessage="1" sqref="M255" xr:uid="{00000000-0002-0000-0300-000009010000}">
      <formula1>INDIRECT("[RoutineMapDataValidations.xlsm]StandardComments!C248#")</formula1>
    </dataValidation>
    <dataValidation type="list" allowBlank="1" showInputMessage="1" sqref="M256" xr:uid="{00000000-0002-0000-0300-00000A010000}">
      <formula1>INDIRECT("[RoutineMapDataValidations.xlsm]StandardComments!C249#")</formula1>
    </dataValidation>
    <dataValidation type="list" allowBlank="1" showInputMessage="1" sqref="M257" xr:uid="{00000000-0002-0000-0300-00000B010000}">
      <formula1>INDIRECT("[RoutineMapDataValidations.xlsm]StandardComments!C250#")</formula1>
    </dataValidation>
    <dataValidation type="list" allowBlank="1" showInputMessage="1" sqref="M258" xr:uid="{00000000-0002-0000-0300-00000C010000}">
      <formula1>INDIRECT("[RoutineMapDataValidations.xlsm]StandardComments!C251#")</formula1>
    </dataValidation>
    <dataValidation type="list" allowBlank="1" showInputMessage="1" sqref="M259" xr:uid="{00000000-0002-0000-0300-00000D010000}">
      <formula1>INDIRECT("[RoutineMapDataValidations.xlsm]StandardComments!C252#")</formula1>
    </dataValidation>
    <dataValidation type="list" allowBlank="1" showInputMessage="1" sqref="M260" xr:uid="{00000000-0002-0000-0300-00000E010000}">
      <formula1>INDIRECT("[RoutineMapDataValidations.xlsm]StandardComments!C253#")</formula1>
    </dataValidation>
    <dataValidation type="list" allowBlank="1" showInputMessage="1" sqref="M261" xr:uid="{00000000-0002-0000-0300-00000F010000}">
      <formula1>INDIRECT("[RoutineMapDataValidations.xlsm]StandardComments!C254#")</formula1>
    </dataValidation>
    <dataValidation type="list" allowBlank="1" showInputMessage="1" sqref="M262" xr:uid="{00000000-0002-0000-0300-000010010000}">
      <formula1>INDIRECT("[RoutineMapDataValidations.xlsm]StandardComments!C255#")</formula1>
    </dataValidation>
    <dataValidation type="list" allowBlank="1" showInputMessage="1" sqref="M263" xr:uid="{00000000-0002-0000-0300-000011010000}">
      <formula1>INDIRECT("[RoutineMapDataValidations.xlsm]StandardComments!C256#")</formula1>
    </dataValidation>
    <dataValidation type="list" allowBlank="1" showInputMessage="1" sqref="M264" xr:uid="{00000000-0002-0000-0300-000012010000}">
      <formula1>INDIRECT("[RoutineMapDataValidations.xlsm]StandardComments!C257#")</formula1>
    </dataValidation>
    <dataValidation type="list" allowBlank="1" showInputMessage="1" sqref="M265" xr:uid="{00000000-0002-0000-0300-000013010000}">
      <formula1>INDIRECT("[RoutineMapDataValidations.xlsm]StandardComments!C258#")</formula1>
    </dataValidation>
    <dataValidation type="list" allowBlank="1" showInputMessage="1" sqref="M266" xr:uid="{00000000-0002-0000-0300-000014010000}">
      <formula1>INDIRECT("[RoutineMapDataValidations.xlsm]StandardComments!C259#")</formula1>
    </dataValidation>
    <dataValidation type="list" allowBlank="1" showInputMessage="1" sqref="M267" xr:uid="{00000000-0002-0000-0300-000015010000}">
      <formula1>INDIRECT("[RoutineMapDataValidations.xlsm]StandardComments!C260#")</formula1>
    </dataValidation>
    <dataValidation type="list" allowBlank="1" showInputMessage="1" sqref="M268" xr:uid="{00000000-0002-0000-0300-000016010000}">
      <formula1>INDIRECT("[RoutineMapDataValidations.xlsm]StandardComments!C261#")</formula1>
    </dataValidation>
    <dataValidation type="list" allowBlank="1" showInputMessage="1" sqref="M269" xr:uid="{00000000-0002-0000-0300-000017010000}">
      <formula1>INDIRECT("[RoutineMapDataValidations.xlsm]StandardComments!C262#")</formula1>
    </dataValidation>
    <dataValidation type="list" allowBlank="1" showInputMessage="1" sqref="M270" xr:uid="{00000000-0002-0000-0300-000018010000}">
      <formula1>INDIRECT("[RoutineMapDataValidations.xlsm]StandardComments!C263#")</formula1>
    </dataValidation>
    <dataValidation type="list" allowBlank="1" showInputMessage="1" sqref="M271" xr:uid="{00000000-0002-0000-0300-000019010000}">
      <formula1>INDIRECT("[RoutineMapDataValidations.xlsm]StandardComments!C264#")</formula1>
    </dataValidation>
    <dataValidation type="list" allowBlank="1" showInputMessage="1" sqref="M272" xr:uid="{00000000-0002-0000-0300-00001A010000}">
      <formula1>INDIRECT("[RoutineMapDataValidations.xlsm]StandardComments!C265#")</formula1>
    </dataValidation>
    <dataValidation type="list" allowBlank="1" showInputMessage="1" sqref="M273" xr:uid="{00000000-0002-0000-0300-00001B010000}">
      <formula1>INDIRECT("[RoutineMapDataValidations.xlsm]StandardComments!C266#")</formula1>
    </dataValidation>
    <dataValidation type="list" allowBlank="1" showInputMessage="1" sqref="M274" xr:uid="{00000000-0002-0000-0300-00001C010000}">
      <formula1>INDIRECT("[RoutineMapDataValidations.xlsm]StandardComments!C267#")</formula1>
    </dataValidation>
    <dataValidation type="list" allowBlank="1" showInputMessage="1" sqref="M275" xr:uid="{00000000-0002-0000-0300-00001D010000}">
      <formula1>INDIRECT("[RoutineMapDataValidations.xlsm]StandardComments!C268#")</formula1>
    </dataValidation>
    <dataValidation type="list" allowBlank="1" showInputMessage="1" sqref="M276" xr:uid="{00000000-0002-0000-0300-00001E010000}">
      <formula1>INDIRECT("[RoutineMapDataValidations.xlsm]StandardComments!C269#")</formula1>
    </dataValidation>
    <dataValidation type="list" allowBlank="1" showInputMessage="1" sqref="M277" xr:uid="{00000000-0002-0000-0300-00001F010000}">
      <formula1>INDIRECT("[RoutineMapDataValidations.xlsm]StandardComments!C270#")</formula1>
    </dataValidation>
    <dataValidation type="list" allowBlank="1" showInputMessage="1" sqref="M278" xr:uid="{00000000-0002-0000-0300-000020010000}">
      <formula1>INDIRECT("[RoutineMapDataValidations.xlsm]StandardComments!C271#")</formula1>
    </dataValidation>
    <dataValidation type="list" allowBlank="1" showInputMessage="1" sqref="M279" xr:uid="{00000000-0002-0000-0300-000021010000}">
      <formula1>INDIRECT("[RoutineMapDataValidations.xlsm]StandardComments!C272#")</formula1>
    </dataValidation>
    <dataValidation type="list" allowBlank="1" showInputMessage="1" sqref="M280" xr:uid="{00000000-0002-0000-0300-000022010000}">
      <formula1>INDIRECT("[RoutineMapDataValidations.xlsm]StandardComments!C273#")</formula1>
    </dataValidation>
    <dataValidation type="list" allowBlank="1" showInputMessage="1" sqref="M281" xr:uid="{00000000-0002-0000-0300-000023010000}">
      <formula1>INDIRECT("[RoutineMapDataValidations.xlsm]StandardComments!C274#")</formula1>
    </dataValidation>
    <dataValidation type="list" allowBlank="1" showInputMessage="1" sqref="M282" xr:uid="{00000000-0002-0000-0300-000024010000}">
      <formula1>INDIRECT("[RoutineMapDataValidations.xlsm]StandardComments!C275#")</formula1>
    </dataValidation>
    <dataValidation type="list" allowBlank="1" showInputMessage="1" sqref="M283" xr:uid="{00000000-0002-0000-0300-000025010000}">
      <formula1>INDIRECT("[RoutineMapDataValidations.xlsm]StandardComments!C276#")</formula1>
    </dataValidation>
    <dataValidation type="list" allowBlank="1" showInputMessage="1" sqref="M284" xr:uid="{00000000-0002-0000-0300-000026010000}">
      <formula1>INDIRECT("[RoutineMapDataValidations.xlsm]StandardComments!C277#")</formula1>
    </dataValidation>
    <dataValidation type="list" allowBlank="1" showInputMessage="1" sqref="M285" xr:uid="{00000000-0002-0000-0300-000027010000}">
      <formula1>INDIRECT("[RoutineMapDataValidations.xlsm]StandardComments!C278#")</formula1>
    </dataValidation>
    <dataValidation type="list" allowBlank="1" showInputMessage="1" sqref="M286" xr:uid="{00000000-0002-0000-0300-000028010000}">
      <formula1>INDIRECT("[RoutineMapDataValidations.xlsm]StandardComments!C279#")</formula1>
    </dataValidation>
    <dataValidation type="list" allowBlank="1" showInputMessage="1" sqref="M287" xr:uid="{00000000-0002-0000-0300-000029010000}">
      <formula1>INDIRECT("[RoutineMapDataValidations.xlsm]StandardComments!C280#")</formula1>
    </dataValidation>
    <dataValidation type="list" allowBlank="1" showInputMessage="1" sqref="M288" xr:uid="{00000000-0002-0000-0300-00002A010000}">
      <formula1>INDIRECT("[RoutineMapDataValidations.xlsm]StandardComments!C281#")</formula1>
    </dataValidation>
    <dataValidation type="list" allowBlank="1" showInputMessage="1" sqref="M289" xr:uid="{00000000-0002-0000-0300-00002B010000}">
      <formula1>INDIRECT("[RoutineMapDataValidations.xlsm]StandardComments!C282#")</formula1>
    </dataValidation>
    <dataValidation type="list" allowBlank="1" showInputMessage="1" sqref="M290" xr:uid="{00000000-0002-0000-0300-00002C010000}">
      <formula1>INDIRECT("[RoutineMapDataValidations.xlsm]StandardComments!C283#")</formula1>
    </dataValidation>
    <dataValidation type="list" allowBlank="1" showInputMessage="1" sqref="M291" xr:uid="{00000000-0002-0000-0300-00002D010000}">
      <formula1>INDIRECT("[RoutineMapDataValidations.xlsm]StandardComments!C284#")</formula1>
    </dataValidation>
    <dataValidation type="list" allowBlank="1" showInputMessage="1" sqref="M292" xr:uid="{00000000-0002-0000-0300-00002E010000}">
      <formula1>INDIRECT("[RoutineMapDataValidations.xlsm]StandardComments!C285#")</formula1>
    </dataValidation>
    <dataValidation type="list" allowBlank="1" showInputMessage="1" sqref="M293" xr:uid="{00000000-0002-0000-0300-00002F010000}">
      <formula1>INDIRECT("[RoutineMapDataValidations.xlsm]StandardComments!C286#")</formula1>
    </dataValidation>
    <dataValidation type="list" allowBlank="1" showInputMessage="1" sqref="M294" xr:uid="{00000000-0002-0000-0300-000030010000}">
      <formula1>INDIRECT("[RoutineMapDataValidations.xlsm]StandardComments!C287#")</formula1>
    </dataValidation>
    <dataValidation type="list" allowBlank="1" showInputMessage="1" sqref="M295" xr:uid="{00000000-0002-0000-0300-000031010000}">
      <formula1>INDIRECT("[RoutineMapDataValidations.xlsm]StandardComments!C288#")</formula1>
    </dataValidation>
    <dataValidation type="list" allowBlank="1" showInputMessage="1" sqref="M296" xr:uid="{00000000-0002-0000-0300-000032010000}">
      <formula1>INDIRECT("[RoutineMapDataValidations.xlsm]StandardComments!C289#")</formula1>
    </dataValidation>
    <dataValidation type="list" allowBlank="1" showInputMessage="1" sqref="M297" xr:uid="{00000000-0002-0000-0300-000033010000}">
      <formula1>INDIRECT("[RoutineMapDataValidations.xlsm]StandardComments!C290#")</formula1>
    </dataValidation>
    <dataValidation type="list" allowBlank="1" showInputMessage="1" sqref="M298" xr:uid="{00000000-0002-0000-0300-000034010000}">
      <formula1>INDIRECT("[RoutineMapDataValidations.xlsm]StandardComments!C291#")</formula1>
    </dataValidation>
    <dataValidation type="list" allowBlank="1" showInputMessage="1" sqref="M299" xr:uid="{00000000-0002-0000-0300-000035010000}">
      <formula1>INDIRECT("[RoutineMapDataValidations.xlsm]StandardComments!C292#")</formula1>
    </dataValidation>
    <dataValidation type="list" allowBlank="1" showInputMessage="1" sqref="M300" xr:uid="{00000000-0002-0000-0300-000036010000}">
      <formula1>INDIRECT("[RoutineMapDataValidations.xlsm]StandardComments!C293#")</formula1>
    </dataValidation>
    <dataValidation type="list" allowBlank="1" showInputMessage="1" sqref="M301" xr:uid="{00000000-0002-0000-0300-000037010000}">
      <formula1>INDIRECT("[RoutineMapDataValidations.xlsm]StandardComments!C294#")</formula1>
    </dataValidation>
    <dataValidation type="list" allowBlank="1" showInputMessage="1" sqref="M302" xr:uid="{00000000-0002-0000-0300-000038010000}">
      <formula1>INDIRECT("[RoutineMapDataValidations.xlsm]StandardComments!C295#")</formula1>
    </dataValidation>
    <dataValidation type="list" allowBlank="1" showInputMessage="1" sqref="M303" xr:uid="{00000000-0002-0000-0300-000039010000}">
      <formula1>INDIRECT("[RoutineMapDataValidations.xlsm]StandardComments!C296#")</formula1>
    </dataValidation>
    <dataValidation type="list" allowBlank="1" showInputMessage="1" sqref="M304" xr:uid="{00000000-0002-0000-0300-00003A010000}">
      <formula1>INDIRECT("[RoutineMapDataValidations.xlsm]StandardComments!C297#")</formula1>
    </dataValidation>
    <dataValidation type="list" allowBlank="1" showInputMessage="1" sqref="M305" xr:uid="{00000000-0002-0000-0300-00003B010000}">
      <formula1>INDIRECT("[RoutineMapDataValidations.xlsm]StandardComments!C298#")</formula1>
    </dataValidation>
    <dataValidation type="list" allowBlank="1" showInputMessage="1" sqref="M306" xr:uid="{00000000-0002-0000-0300-00003C010000}">
      <formula1>INDIRECT("[RoutineMapDataValidations.xlsm]StandardComments!C299#")</formula1>
    </dataValidation>
    <dataValidation type="list" allowBlank="1" showInputMessage="1" sqref="M307" xr:uid="{00000000-0002-0000-0300-00003D010000}">
      <formula1>INDIRECT("[RoutineMapDataValidations.xlsm]StandardComments!C300#")</formula1>
    </dataValidation>
    <dataValidation type="list" allowBlank="1" showInputMessage="1" sqref="M308" xr:uid="{00000000-0002-0000-0300-00003E010000}">
      <formula1>INDIRECT("[RoutineMapDataValidations.xlsm]StandardComments!C301#")</formula1>
    </dataValidation>
    <dataValidation type="list" allowBlank="1" showInputMessage="1" sqref="M309" xr:uid="{00000000-0002-0000-0300-00003F010000}">
      <formula1>INDIRECT("[RoutineMapDataValidations.xlsm]StandardComments!C302#")</formula1>
    </dataValidation>
    <dataValidation type="list" allowBlank="1" showInputMessage="1" sqref="M310" xr:uid="{00000000-0002-0000-0300-000040010000}">
      <formula1>INDIRECT("[RoutineMapDataValidations.xlsm]StandardComments!C303#")</formula1>
    </dataValidation>
    <dataValidation type="list" allowBlank="1" showInputMessage="1" sqref="M311" xr:uid="{00000000-0002-0000-0300-000041010000}">
      <formula1>INDIRECT("[RoutineMapDataValidations.xlsm]StandardComments!C304#")</formula1>
    </dataValidation>
    <dataValidation type="list" allowBlank="1" showInputMessage="1" sqref="M312" xr:uid="{00000000-0002-0000-0300-000042010000}">
      <formula1>INDIRECT("[RoutineMapDataValidations.xlsm]StandardComments!C305#")</formula1>
    </dataValidation>
    <dataValidation type="list" allowBlank="1" showInputMessage="1" sqref="M313" xr:uid="{00000000-0002-0000-0300-000043010000}">
      <formula1>INDIRECT("[RoutineMapDataValidations.xlsm]StandardComments!C306#")</formula1>
    </dataValidation>
    <dataValidation type="list" allowBlank="1" showInputMessage="1" sqref="M314" xr:uid="{00000000-0002-0000-0300-000044010000}">
      <formula1>INDIRECT("[RoutineMapDataValidations.xlsm]StandardComments!C307#")</formula1>
    </dataValidation>
    <dataValidation type="list" allowBlank="1" showInputMessage="1" sqref="M315" xr:uid="{00000000-0002-0000-0300-000045010000}">
      <formula1>INDIRECT("[RoutineMapDataValidations.xlsm]StandardComments!C308#")</formula1>
    </dataValidation>
    <dataValidation type="list" allowBlank="1" showInputMessage="1" sqref="M316" xr:uid="{00000000-0002-0000-0300-000046010000}">
      <formula1>INDIRECT("[RoutineMapDataValidations.xlsm]StandardComments!C309#")</formula1>
    </dataValidation>
    <dataValidation type="list" allowBlank="1" showInputMessage="1" sqref="M317" xr:uid="{00000000-0002-0000-0300-000047010000}">
      <formula1>INDIRECT("[RoutineMapDataValidations.xlsm]StandardComments!C310#")</formula1>
    </dataValidation>
    <dataValidation type="list" allowBlank="1" showInputMessage="1" sqref="M318" xr:uid="{00000000-0002-0000-0300-000048010000}">
      <formula1>INDIRECT("[RoutineMapDataValidations.xlsm]StandardComments!C311#")</formula1>
    </dataValidation>
    <dataValidation type="list" allowBlank="1" showInputMessage="1" sqref="M319" xr:uid="{00000000-0002-0000-0300-000049010000}">
      <formula1>INDIRECT("[RoutineMapDataValidations.xlsm]StandardComments!C312#")</formula1>
    </dataValidation>
    <dataValidation type="list" allowBlank="1" showInputMessage="1" sqref="M320" xr:uid="{00000000-0002-0000-0300-00004A010000}">
      <formula1>INDIRECT("[RoutineMapDataValidations.xlsm]StandardComments!C313#")</formula1>
    </dataValidation>
    <dataValidation type="list" allowBlank="1" showInputMessage="1" sqref="M321" xr:uid="{00000000-0002-0000-0300-00004B010000}">
      <formula1>INDIRECT("[RoutineMapDataValidations.xlsm]StandardComments!C314#")</formula1>
    </dataValidation>
    <dataValidation type="list" allowBlank="1" showInputMessage="1" sqref="M322" xr:uid="{00000000-0002-0000-0300-00004C010000}">
      <formula1>INDIRECT("[RoutineMapDataValidations.xlsm]StandardComments!C315#")</formula1>
    </dataValidation>
    <dataValidation type="list" allowBlank="1" showInputMessage="1" sqref="M323" xr:uid="{00000000-0002-0000-0300-00004D010000}">
      <formula1>INDIRECT("[RoutineMapDataValidations.xlsm]StandardComments!C316#")</formula1>
    </dataValidation>
    <dataValidation type="list" allowBlank="1" showInputMessage="1" sqref="M324" xr:uid="{00000000-0002-0000-0300-00004E010000}">
      <formula1>INDIRECT("[RoutineMapDataValidations.xlsm]StandardComments!C317#")</formula1>
    </dataValidation>
    <dataValidation type="list" allowBlank="1" showInputMessage="1" sqref="M325" xr:uid="{00000000-0002-0000-0300-00004F010000}">
      <formula1>INDIRECT("[RoutineMapDataValidations.xlsm]StandardComments!C318#")</formula1>
    </dataValidation>
    <dataValidation type="list" allowBlank="1" showInputMessage="1" sqref="M326" xr:uid="{00000000-0002-0000-0300-000050010000}">
      <formula1>INDIRECT("[RoutineMapDataValidations.xlsm]StandardComments!C319#")</formula1>
    </dataValidation>
    <dataValidation type="list" allowBlank="1" showInputMessage="1" sqref="M327" xr:uid="{00000000-0002-0000-0300-000051010000}">
      <formula1>INDIRECT("[RoutineMapDataValidations.xlsm]StandardComments!C320#")</formula1>
    </dataValidation>
    <dataValidation type="list" allowBlank="1" showInputMessage="1" sqref="M328" xr:uid="{00000000-0002-0000-0300-000052010000}">
      <formula1>INDIRECT("[RoutineMapDataValidations.xlsm]StandardComments!C321#")</formula1>
    </dataValidation>
    <dataValidation type="list" allowBlank="1" showInputMessage="1" sqref="M329" xr:uid="{00000000-0002-0000-0300-000053010000}">
      <formula1>INDIRECT("[RoutineMapDataValidations.xlsm]StandardComments!C322#")</formula1>
    </dataValidation>
    <dataValidation type="list" allowBlank="1" showInputMessage="1" sqref="M330" xr:uid="{00000000-0002-0000-0300-000054010000}">
      <formula1>INDIRECT("[RoutineMapDataValidations.xlsm]StandardComments!C323#")</formula1>
    </dataValidation>
    <dataValidation type="list" allowBlank="1" showInputMessage="1" sqref="M331" xr:uid="{00000000-0002-0000-0300-000055010000}">
      <formula1>INDIRECT("[RoutineMapDataValidations.xlsm]StandardComments!C324#")</formula1>
    </dataValidation>
    <dataValidation type="list" allowBlank="1" showInputMessage="1" sqref="M332" xr:uid="{00000000-0002-0000-0300-000056010000}">
      <formula1>INDIRECT("[RoutineMapDataValidations.xlsm]StandardComments!C325#")</formula1>
    </dataValidation>
    <dataValidation type="list" allowBlank="1" showInputMessage="1" sqref="M333" xr:uid="{00000000-0002-0000-0300-000057010000}">
      <formula1>INDIRECT("[RoutineMapDataValidations.xlsm]StandardComments!C326#")</formula1>
    </dataValidation>
    <dataValidation type="list" allowBlank="1" showInputMessage="1" sqref="M334" xr:uid="{00000000-0002-0000-0300-000058010000}">
      <formula1>INDIRECT("[RoutineMapDataValidations.xlsm]StandardComments!C327#")</formula1>
    </dataValidation>
    <dataValidation type="list" allowBlank="1" showInputMessage="1" sqref="M335" xr:uid="{00000000-0002-0000-0300-000059010000}">
      <formula1>INDIRECT("[RoutineMapDataValidations.xlsm]StandardComments!C328#")</formula1>
    </dataValidation>
    <dataValidation type="list" allowBlank="1" showInputMessage="1" sqref="M336" xr:uid="{00000000-0002-0000-0300-00005A010000}">
      <formula1>INDIRECT("[RoutineMapDataValidations.xlsm]StandardComments!C329#")</formula1>
    </dataValidation>
    <dataValidation type="list" allowBlank="1" showInputMessage="1" sqref="M337" xr:uid="{00000000-0002-0000-0300-00005B010000}">
      <formula1>INDIRECT("[RoutineMapDataValidations.xlsm]StandardComments!C330#")</formula1>
    </dataValidation>
    <dataValidation type="list" allowBlank="1" showInputMessage="1" sqref="M338" xr:uid="{00000000-0002-0000-0300-00005C010000}">
      <formula1>INDIRECT("[RoutineMapDataValidations.xlsm]StandardComments!C331#")</formula1>
    </dataValidation>
    <dataValidation type="list" allowBlank="1" showInputMessage="1" sqref="M339" xr:uid="{00000000-0002-0000-0300-00005D010000}">
      <formula1>INDIRECT("[RoutineMapDataValidations.xlsm]StandardComments!C332#")</formula1>
    </dataValidation>
    <dataValidation type="list" allowBlank="1" showInputMessage="1" sqref="M340" xr:uid="{00000000-0002-0000-0300-00005E010000}">
      <formula1>INDIRECT("[RoutineMapDataValidations.xlsm]StandardComments!C333#")</formula1>
    </dataValidation>
    <dataValidation type="list" allowBlank="1" showInputMessage="1" sqref="M341" xr:uid="{00000000-0002-0000-0300-00005F010000}">
      <formula1>INDIRECT("[RoutineMapDataValidations.xlsm]StandardComments!C334#")</formula1>
    </dataValidation>
    <dataValidation type="list" allowBlank="1" showInputMessage="1" sqref="M342" xr:uid="{00000000-0002-0000-0300-000060010000}">
      <formula1>INDIRECT("[RoutineMapDataValidations.xlsm]StandardComments!C335#")</formula1>
    </dataValidation>
    <dataValidation type="list" allowBlank="1" showInputMessage="1" sqref="M343" xr:uid="{00000000-0002-0000-0300-000061010000}">
      <formula1>INDIRECT("[RoutineMapDataValidations.xlsm]StandardComments!C336#")</formula1>
    </dataValidation>
    <dataValidation type="list" allowBlank="1" showInputMessage="1" sqref="M344" xr:uid="{00000000-0002-0000-0300-000062010000}">
      <formula1>INDIRECT("[RoutineMapDataValidations.xlsm]StandardComments!C337#")</formula1>
    </dataValidation>
    <dataValidation type="list" allowBlank="1" showInputMessage="1" sqref="M345" xr:uid="{00000000-0002-0000-0300-000063010000}">
      <formula1>INDIRECT("[RoutineMapDataValidations.xlsm]StandardComments!C338#")</formula1>
    </dataValidation>
    <dataValidation type="list" allowBlank="1" showInputMessage="1" sqref="M346" xr:uid="{00000000-0002-0000-0300-000064010000}">
      <formula1>INDIRECT("[RoutineMapDataValidations.xlsm]StandardComments!C339#")</formula1>
    </dataValidation>
    <dataValidation type="list" allowBlank="1" showInputMessage="1" sqref="M347" xr:uid="{00000000-0002-0000-0300-000065010000}">
      <formula1>INDIRECT("[RoutineMapDataValidations.xlsm]StandardComments!C340#")</formula1>
    </dataValidation>
    <dataValidation type="list" allowBlank="1" showInputMessage="1" sqref="M348" xr:uid="{00000000-0002-0000-0300-000066010000}">
      <formula1>INDIRECT("[RoutineMapDataValidations.xlsm]StandardComments!C341#")</formula1>
    </dataValidation>
    <dataValidation type="list" allowBlank="1" showInputMessage="1" sqref="M349" xr:uid="{00000000-0002-0000-0300-000067010000}">
      <formula1>INDIRECT("[RoutineMapDataValidations.xlsm]StandardComments!C342#")</formula1>
    </dataValidation>
    <dataValidation type="list" allowBlank="1" showInputMessage="1" sqref="M350" xr:uid="{00000000-0002-0000-0300-000068010000}">
      <formula1>INDIRECT("[RoutineMapDataValidations.xlsm]StandardComments!C343#")</formula1>
    </dataValidation>
    <dataValidation type="list" allowBlank="1" showInputMessage="1" sqref="M351" xr:uid="{00000000-0002-0000-0300-000069010000}">
      <formula1>INDIRECT("[RoutineMapDataValidations.xlsm]StandardComments!C344#")</formula1>
    </dataValidation>
    <dataValidation type="list" allowBlank="1" showInputMessage="1" sqref="M352" xr:uid="{00000000-0002-0000-0300-00006A010000}">
      <formula1>INDIRECT("[RoutineMapDataValidations.xlsm]StandardComments!C345#")</formula1>
    </dataValidation>
    <dataValidation type="list" allowBlank="1" showInputMessage="1" sqref="M353" xr:uid="{00000000-0002-0000-0300-00006B010000}">
      <formula1>INDIRECT("[RoutineMapDataValidations.xlsm]StandardComments!C346#")</formula1>
    </dataValidation>
    <dataValidation type="list" allowBlank="1" showInputMessage="1" sqref="M354" xr:uid="{00000000-0002-0000-0300-00006C010000}">
      <formula1>INDIRECT("[RoutineMapDataValidations.xlsm]StandardComments!C347#")</formula1>
    </dataValidation>
    <dataValidation type="list" allowBlank="1" showInputMessage="1" sqref="M355" xr:uid="{00000000-0002-0000-0300-00006D010000}">
      <formula1>INDIRECT("[RoutineMapDataValidations.xlsm]StandardComments!C348#")</formula1>
    </dataValidation>
    <dataValidation type="list" allowBlank="1" showInputMessage="1" sqref="M356" xr:uid="{00000000-0002-0000-0300-00006E010000}">
      <formula1>INDIRECT("[RoutineMapDataValidations.xlsm]StandardComments!C349#")</formula1>
    </dataValidation>
    <dataValidation type="list" allowBlank="1" showInputMessage="1" sqref="M357" xr:uid="{00000000-0002-0000-0300-00006F010000}">
      <formula1>INDIRECT("[RoutineMapDataValidations.xlsm]StandardComments!C350#")</formula1>
    </dataValidation>
    <dataValidation type="list" allowBlank="1" showInputMessage="1" sqref="M358" xr:uid="{00000000-0002-0000-0300-000070010000}">
      <formula1>INDIRECT("[RoutineMapDataValidations.xlsm]StandardComments!C351#")</formula1>
    </dataValidation>
    <dataValidation type="list" allowBlank="1" showInputMessage="1" sqref="M359" xr:uid="{00000000-0002-0000-0300-000071010000}">
      <formula1>INDIRECT("[RoutineMapDataValidations.xlsm]StandardComments!C352#")</formula1>
    </dataValidation>
    <dataValidation type="list" allowBlank="1" showInputMessage="1" sqref="M360" xr:uid="{00000000-0002-0000-0300-000072010000}">
      <formula1>INDIRECT("[RoutineMapDataValidations.xlsm]StandardComments!C353#")</formula1>
    </dataValidation>
    <dataValidation type="list" allowBlank="1" showInputMessage="1" sqref="M361" xr:uid="{00000000-0002-0000-0300-000073010000}">
      <formula1>INDIRECT("[RoutineMapDataValidations.xlsm]StandardComments!C354#")</formula1>
    </dataValidation>
    <dataValidation type="list" allowBlank="1" showInputMessage="1" sqref="M362" xr:uid="{00000000-0002-0000-0300-000074010000}">
      <formula1>INDIRECT("[RoutineMapDataValidations.xlsm]StandardComments!C355#")</formula1>
    </dataValidation>
    <dataValidation type="list" allowBlank="1" showInputMessage="1" sqref="M363" xr:uid="{00000000-0002-0000-0300-000075010000}">
      <formula1>INDIRECT("[RoutineMapDataValidations.xlsm]StandardComments!C356#")</formula1>
    </dataValidation>
    <dataValidation type="list" allowBlank="1" showInputMessage="1" sqref="M364" xr:uid="{00000000-0002-0000-0300-000076010000}">
      <formula1>INDIRECT("[RoutineMapDataValidations.xlsm]StandardComments!C357#")</formula1>
    </dataValidation>
    <dataValidation type="list" allowBlank="1" showInputMessage="1" sqref="M365" xr:uid="{00000000-0002-0000-0300-000077010000}">
      <formula1>INDIRECT("[RoutineMapDataValidations.xlsm]StandardComments!C358#")</formula1>
    </dataValidation>
    <dataValidation type="list" allowBlank="1" showInputMessage="1" sqref="M366" xr:uid="{00000000-0002-0000-0300-000078010000}">
      <formula1>INDIRECT("[RoutineMapDataValidations.xlsm]StandardComments!C359#")</formula1>
    </dataValidation>
    <dataValidation type="list" allowBlank="1" showInputMessage="1" sqref="M367" xr:uid="{00000000-0002-0000-0300-000079010000}">
      <formula1>INDIRECT("[RoutineMapDataValidations.xlsm]StandardComments!C360#")</formula1>
    </dataValidation>
    <dataValidation type="list" allowBlank="1" showInputMessage="1" sqref="M368" xr:uid="{00000000-0002-0000-0300-00007A010000}">
      <formula1>INDIRECT("[RoutineMapDataValidations.xlsm]StandardComments!C361#")</formula1>
    </dataValidation>
    <dataValidation type="list" allowBlank="1" showInputMessage="1" sqref="M369" xr:uid="{00000000-0002-0000-0300-00007B010000}">
      <formula1>INDIRECT("[RoutineMapDataValidations.xlsm]StandardComments!C362#")</formula1>
    </dataValidation>
    <dataValidation type="list" allowBlank="1" showInputMessage="1" sqref="M370" xr:uid="{00000000-0002-0000-0300-00007C010000}">
      <formula1>INDIRECT("[RoutineMapDataValidations.xlsm]StandardComments!C363#")</formula1>
    </dataValidation>
    <dataValidation type="list" allowBlank="1" showInputMessage="1" sqref="M371" xr:uid="{00000000-0002-0000-0300-00007D010000}">
      <formula1>INDIRECT("[RoutineMapDataValidations.xlsm]StandardComments!C364#")</formula1>
    </dataValidation>
    <dataValidation type="list" allowBlank="1" showInputMessage="1" sqref="M372" xr:uid="{00000000-0002-0000-0300-00007E010000}">
      <formula1>INDIRECT("[RoutineMapDataValidations.xlsm]StandardComments!C365#")</formula1>
    </dataValidation>
    <dataValidation type="list" allowBlank="1" showInputMessage="1" sqref="M373" xr:uid="{00000000-0002-0000-0300-00007F010000}">
      <formula1>INDIRECT("[RoutineMapDataValidations.xlsm]StandardComments!C366#")</formula1>
    </dataValidation>
    <dataValidation type="list" allowBlank="1" showInputMessage="1" sqref="M374" xr:uid="{00000000-0002-0000-0300-000080010000}">
      <formula1>INDIRECT("[RoutineMapDataValidations.xlsm]StandardComments!C367#")</formula1>
    </dataValidation>
    <dataValidation type="list" allowBlank="1" showInputMessage="1" sqref="M375" xr:uid="{00000000-0002-0000-0300-000081010000}">
      <formula1>INDIRECT("[RoutineMapDataValidations.xlsm]StandardComments!C368#")</formula1>
    </dataValidation>
    <dataValidation type="list" allowBlank="1" showInputMessage="1" sqref="M376" xr:uid="{00000000-0002-0000-0300-000082010000}">
      <formula1>INDIRECT("[RoutineMapDataValidations.xlsm]StandardComments!C369#")</formula1>
    </dataValidation>
    <dataValidation type="list" allowBlank="1" showInputMessage="1" sqref="M377" xr:uid="{00000000-0002-0000-0300-000083010000}">
      <formula1>INDIRECT("[RoutineMapDataValidations.xlsm]StandardComments!C370#")</formula1>
    </dataValidation>
    <dataValidation type="list" allowBlank="1" showInputMessage="1" sqref="M378" xr:uid="{00000000-0002-0000-0300-000084010000}">
      <formula1>INDIRECT("[RoutineMapDataValidations.xlsm]StandardComments!C371#")</formula1>
    </dataValidation>
    <dataValidation type="list" allowBlank="1" showInputMessage="1" sqref="M379" xr:uid="{00000000-0002-0000-0300-000085010000}">
      <formula1>INDIRECT("[RoutineMapDataValidations.xlsm]StandardComments!C372#")</formula1>
    </dataValidation>
    <dataValidation type="list" allowBlank="1" showInputMessage="1" sqref="M380" xr:uid="{00000000-0002-0000-0300-000086010000}">
      <formula1>INDIRECT("[RoutineMapDataValidations.xlsm]StandardComments!C373#")</formula1>
    </dataValidation>
    <dataValidation type="list" allowBlank="1" showInputMessage="1" sqref="M381" xr:uid="{00000000-0002-0000-0300-000087010000}">
      <formula1>INDIRECT("[RoutineMapDataValidations.xlsm]StandardComments!C374#")</formula1>
    </dataValidation>
    <dataValidation type="list" allowBlank="1" showInputMessage="1" sqref="M382" xr:uid="{00000000-0002-0000-0300-000088010000}">
      <formula1>INDIRECT("[RoutineMapDataValidations.xlsm]StandardComments!C375#")</formula1>
    </dataValidation>
    <dataValidation type="list" allowBlank="1" showInputMessage="1" sqref="M383" xr:uid="{00000000-0002-0000-0300-000089010000}">
      <formula1>INDIRECT("[RoutineMapDataValidations.xlsm]StandardComments!C376#")</formula1>
    </dataValidation>
    <dataValidation type="list" allowBlank="1" showInputMessage="1" sqref="M384" xr:uid="{00000000-0002-0000-0300-00008A010000}">
      <formula1>INDIRECT("[RoutineMapDataValidations.xlsm]StandardComments!C377#")</formula1>
    </dataValidation>
    <dataValidation type="list" allowBlank="1" showInputMessage="1" sqref="M385" xr:uid="{00000000-0002-0000-0300-00008B010000}">
      <formula1>INDIRECT("[RoutineMapDataValidations.xlsm]StandardComments!C378#")</formula1>
    </dataValidation>
    <dataValidation type="list" allowBlank="1" showInputMessage="1" sqref="M386" xr:uid="{00000000-0002-0000-0300-00008C010000}">
      <formula1>INDIRECT("[RoutineMapDataValidations.xlsm]StandardComments!C379#")</formula1>
    </dataValidation>
    <dataValidation type="list" allowBlank="1" showInputMessage="1" sqref="M387" xr:uid="{00000000-0002-0000-0300-00008D010000}">
      <formula1>INDIRECT("[RoutineMapDataValidations.xlsm]StandardComments!C380#")</formula1>
    </dataValidation>
    <dataValidation type="list" allowBlank="1" showInputMessage="1" sqref="M388" xr:uid="{00000000-0002-0000-0300-00008E010000}">
      <formula1>INDIRECT("[RoutineMapDataValidations.xlsm]StandardComments!C381#")</formula1>
    </dataValidation>
    <dataValidation type="list" allowBlank="1" showInputMessage="1" sqref="M389" xr:uid="{00000000-0002-0000-0300-00008F010000}">
      <formula1>INDIRECT("[RoutineMapDataValidations.xlsm]StandardComments!C382#")</formula1>
    </dataValidation>
    <dataValidation type="list" allowBlank="1" showInputMessage="1" sqref="M390" xr:uid="{00000000-0002-0000-0300-000090010000}">
      <formula1>INDIRECT("[RoutineMapDataValidations.xlsm]StandardComments!C383#")</formula1>
    </dataValidation>
    <dataValidation type="list" allowBlank="1" showInputMessage="1" sqref="M391" xr:uid="{00000000-0002-0000-0300-000091010000}">
      <formula1>INDIRECT("[RoutineMapDataValidations.xlsm]StandardComments!C384#")</formula1>
    </dataValidation>
    <dataValidation type="list" allowBlank="1" showInputMessage="1" sqref="M392" xr:uid="{00000000-0002-0000-0300-000092010000}">
      <formula1>INDIRECT("[RoutineMapDataValidations.xlsm]StandardComments!C385#")</formula1>
    </dataValidation>
    <dataValidation type="list" allowBlank="1" showInputMessage="1" sqref="M393" xr:uid="{00000000-0002-0000-0300-000093010000}">
      <formula1>INDIRECT("[RoutineMapDataValidations.xlsm]StandardComments!C386#")</formula1>
    </dataValidation>
    <dataValidation type="list" allowBlank="1" showInputMessage="1" sqref="M394" xr:uid="{00000000-0002-0000-0300-000094010000}">
      <formula1>INDIRECT("[RoutineMapDataValidations.xlsm]StandardComments!C387#")</formula1>
    </dataValidation>
    <dataValidation type="list" allowBlank="1" showInputMessage="1" sqref="M395" xr:uid="{00000000-0002-0000-0300-000095010000}">
      <formula1>INDIRECT("[RoutineMapDataValidations.xlsm]StandardComments!C388#")</formula1>
    </dataValidation>
    <dataValidation type="list" allowBlank="1" showInputMessage="1" sqref="M396" xr:uid="{00000000-0002-0000-0300-000096010000}">
      <formula1>INDIRECT("[RoutineMapDataValidations.xlsm]StandardComments!C389#")</formula1>
    </dataValidation>
    <dataValidation type="list" allowBlank="1" showInputMessage="1" sqref="M397" xr:uid="{00000000-0002-0000-0300-000097010000}">
      <formula1>INDIRECT("[RoutineMapDataValidations.xlsm]StandardComments!C390#")</formula1>
    </dataValidation>
    <dataValidation type="list" allowBlank="1" showInputMessage="1" sqref="M398" xr:uid="{00000000-0002-0000-0300-000098010000}">
      <formula1>INDIRECT("[RoutineMapDataValidations.xlsm]StandardComments!C391#")</formula1>
    </dataValidation>
    <dataValidation type="list" allowBlank="1" showInputMessage="1" sqref="M399" xr:uid="{00000000-0002-0000-0300-000099010000}">
      <formula1>INDIRECT("[RoutineMapDataValidations.xlsm]StandardComments!C392#")</formula1>
    </dataValidation>
    <dataValidation type="list" allowBlank="1" showInputMessage="1" sqref="M400" xr:uid="{00000000-0002-0000-0300-00009A010000}">
      <formula1>INDIRECT("[RoutineMapDataValidations.xlsm]StandardComments!C393#")</formula1>
    </dataValidation>
    <dataValidation type="list" allowBlank="1" showInputMessage="1" sqref="M401" xr:uid="{00000000-0002-0000-0300-00009B010000}">
      <formula1>INDIRECT("[RoutineMapDataValidations.xlsm]StandardComments!C394#")</formula1>
    </dataValidation>
    <dataValidation type="list" allowBlank="1" showInputMessage="1" sqref="M402" xr:uid="{00000000-0002-0000-0300-00009C010000}">
      <formula1>INDIRECT("[RoutineMapDataValidations.xlsm]StandardComments!C395#")</formula1>
    </dataValidation>
    <dataValidation type="list" allowBlank="1" showInputMessage="1" sqref="M403" xr:uid="{00000000-0002-0000-0300-00009D010000}">
      <formula1>INDIRECT("[RoutineMapDataValidations.xlsm]StandardComments!C396#")</formula1>
    </dataValidation>
    <dataValidation type="list" allowBlank="1" showInputMessage="1" sqref="M404" xr:uid="{00000000-0002-0000-0300-00009E010000}">
      <formula1>INDIRECT("[RoutineMapDataValidations.xlsm]StandardComments!C397#")</formula1>
    </dataValidation>
    <dataValidation type="list" allowBlank="1" showInputMessage="1" sqref="M405" xr:uid="{00000000-0002-0000-0300-00009F010000}">
      <formula1>INDIRECT("[RoutineMapDataValidations.xlsm]StandardComments!C398#")</formula1>
    </dataValidation>
    <dataValidation type="list" allowBlank="1" showInputMessage="1" sqref="M406" xr:uid="{00000000-0002-0000-0300-0000A0010000}">
      <formula1>INDIRECT("[RoutineMapDataValidations.xlsm]StandardComments!C399#")</formula1>
    </dataValidation>
    <dataValidation type="list" allowBlank="1" showInputMessage="1" sqref="M407" xr:uid="{00000000-0002-0000-0300-0000A1010000}">
      <formula1>INDIRECT("[RoutineMapDataValidations.xlsm]StandardComments!C400#")</formula1>
    </dataValidation>
    <dataValidation type="list" allowBlank="1" showInputMessage="1" showErrorMessage="1" sqref="O4:O400" xr:uid="{00000000-0002-0000-0300-0000A2010000}">
      <formula1>Frequency</formula1>
    </dataValidation>
    <dataValidation type="list" allowBlank="1" showInputMessage="1" showErrorMessage="1" sqref="W4:W8 T4:T8" xr:uid="{00000000-0002-0000-0300-0000A3010000}">
      <formula1>AxisOffset</formula1>
    </dataValidation>
    <dataValidation type="list" allowBlank="1" showInputMessage="1" sqref="X4:X400 U4:U400" xr:uid="{00000000-0002-0000-0300-0000A4010000}">
      <formula1>MachineHead</formula1>
    </dataValidation>
    <dataValidation type="list" allowBlank="1" showInputMessage="1" showErrorMessage="1" sqref="G4:G407" xr:uid="{00000000-0002-0000-0300-0000A5010000}">
      <formula1>FeatureType</formula1>
    </dataValidation>
    <dataValidation type="list" allowBlank="1" showInputMessage="1" showErrorMessage="1" sqref="U401:X500 T401:T499 P501:P661 G408:G500" xr:uid="{00000000-0002-0000-0300-0000A6010000}">
      <formula1>#REF!</formula1>
    </dataValidation>
    <dataValidation type="list" allowBlank="1" showInputMessage="1" sqref="L408:M500 N401:O500" xr:uid="{00000000-0002-0000-0300-0000A7010000}">
      <formula1>_xlfn.ANCHORARRAY(#REF!)</formula1>
    </dataValidation>
    <dataValidation type="list" allowBlank="1" showInputMessage="1" sqref="N20" xr:uid="{00000000-0002-0000-0300-0000B3010000}">
      <formula1>INDIRECT("[RoutineMapDataValidations.xlsm]InspMethods!C13#")</formula1>
    </dataValidation>
    <dataValidation type="list" allowBlank="1" showInputMessage="1" sqref="N21" xr:uid="{00000000-0002-0000-0300-0000B4010000}">
      <formula1>INDIRECT("[RoutineMapDataValidations.xlsm]InspMethods!C14#")</formula1>
    </dataValidation>
    <dataValidation type="list" allowBlank="1" showInputMessage="1" sqref="N22" xr:uid="{00000000-0002-0000-0300-0000B5010000}">
      <formula1>INDIRECT("[RoutineMapDataValidations.xlsm]InspMethods!C15#")</formula1>
    </dataValidation>
    <dataValidation type="list" allowBlank="1" showInputMessage="1" sqref="N23" xr:uid="{00000000-0002-0000-0300-0000B6010000}">
      <formula1>INDIRECT("[RoutineMapDataValidations.xlsm]InspMethods!C16#")</formula1>
    </dataValidation>
    <dataValidation type="list" allowBlank="1" showInputMessage="1" sqref="N24" xr:uid="{00000000-0002-0000-0300-0000B7010000}">
      <formula1>INDIRECT("[RoutineMapDataValidations.xlsm]InspMethods!C17#")</formula1>
    </dataValidation>
    <dataValidation type="list" allowBlank="1" showInputMessage="1" sqref="N25" xr:uid="{00000000-0002-0000-0300-0000B8010000}">
      <formula1>INDIRECT("[RoutineMapDataValidations.xlsm]InspMethods!C18#")</formula1>
    </dataValidation>
    <dataValidation type="list" allowBlank="1" showInputMessage="1" sqref="N26" xr:uid="{00000000-0002-0000-0300-0000B9010000}">
      <formula1>INDIRECT("[RoutineMapDataValidations.xlsm]InspMethods!C19#")</formula1>
    </dataValidation>
    <dataValidation type="list" allowBlank="1" showInputMessage="1" sqref="N27" xr:uid="{00000000-0002-0000-0300-0000BA010000}">
      <formula1>INDIRECT("[RoutineMapDataValidations.xlsm]InspMethods!C20#")</formula1>
    </dataValidation>
    <dataValidation type="list" allowBlank="1" showInputMessage="1" sqref="N28" xr:uid="{00000000-0002-0000-0300-0000BB010000}">
      <formula1>INDIRECT("[RoutineMapDataValidations.xlsm]InspMethods!C21#")</formula1>
    </dataValidation>
    <dataValidation type="list" allowBlank="1" showInputMessage="1" sqref="N29" xr:uid="{00000000-0002-0000-0300-0000BC010000}">
      <formula1>INDIRECT("[RoutineMapDataValidations.xlsm]InspMethods!C22#")</formula1>
    </dataValidation>
    <dataValidation type="list" allowBlank="1" showInputMessage="1" sqref="N30" xr:uid="{00000000-0002-0000-0300-0000BD010000}">
      <formula1>INDIRECT("[RoutineMapDataValidations.xlsm]InspMethods!C23#")</formula1>
    </dataValidation>
    <dataValidation type="list" allowBlank="1" showInputMessage="1" sqref="N31" xr:uid="{00000000-0002-0000-0300-0000BE010000}">
      <formula1>INDIRECT("[RoutineMapDataValidations.xlsm]InspMethods!C24#")</formula1>
    </dataValidation>
    <dataValidation type="list" allowBlank="1" showInputMessage="1" sqref="N32" xr:uid="{00000000-0002-0000-0300-0000BF010000}">
      <formula1>INDIRECT("[RoutineMapDataValidations.xlsm]InspMethods!C25#")</formula1>
    </dataValidation>
    <dataValidation type="list" allowBlank="1" showInputMessage="1" sqref="N33" xr:uid="{00000000-0002-0000-0300-0000C0010000}">
      <formula1>INDIRECT("[RoutineMapDataValidations.xlsm]InspMethods!C26#")</formula1>
    </dataValidation>
    <dataValidation type="list" allowBlank="1" showInputMessage="1" sqref="N34" xr:uid="{00000000-0002-0000-0300-0000C1010000}">
      <formula1>INDIRECT("[RoutineMapDataValidations.xlsm]InspMethods!C27#")</formula1>
    </dataValidation>
    <dataValidation type="list" allowBlank="1" showInputMessage="1" sqref="N35" xr:uid="{00000000-0002-0000-0300-0000C2010000}">
      <formula1>INDIRECT("[RoutineMapDataValidations.xlsm]InspMethods!C28#")</formula1>
    </dataValidation>
    <dataValidation type="list" allowBlank="1" showInputMessage="1" sqref="N36" xr:uid="{00000000-0002-0000-0300-0000C3010000}">
      <formula1>INDIRECT("[RoutineMapDataValidations.xlsm]InspMethods!C29#")</formula1>
    </dataValidation>
    <dataValidation type="list" allowBlank="1" showInputMessage="1" sqref="N37" xr:uid="{00000000-0002-0000-0300-0000C4010000}">
      <formula1>INDIRECT("[RoutineMapDataValidations.xlsm]InspMethods!C30#")</formula1>
    </dataValidation>
    <dataValidation type="list" allowBlank="1" showInputMessage="1" sqref="N38" xr:uid="{00000000-0002-0000-0300-0000C5010000}">
      <formula1>INDIRECT("[RoutineMapDataValidations.xlsm]InspMethods!C31#")</formula1>
    </dataValidation>
    <dataValidation type="list" allowBlank="1" showInputMessage="1" sqref="N39" xr:uid="{00000000-0002-0000-0300-0000C6010000}">
      <formula1>INDIRECT("[RoutineMapDataValidations.xlsm]InspMethods!C32#")</formula1>
    </dataValidation>
    <dataValidation type="list" allowBlank="1" showInputMessage="1" sqref="N40" xr:uid="{00000000-0002-0000-0300-0000C7010000}">
      <formula1>INDIRECT("[RoutineMapDataValidations.xlsm]InspMethods!C33#")</formula1>
    </dataValidation>
    <dataValidation type="list" allowBlank="1" showInputMessage="1" sqref="N41" xr:uid="{00000000-0002-0000-0300-0000C8010000}">
      <formula1>INDIRECT("[RoutineMapDataValidations.xlsm]InspMethods!C34#")</formula1>
    </dataValidation>
    <dataValidation type="list" allowBlank="1" showInputMessage="1" sqref="N42" xr:uid="{00000000-0002-0000-0300-0000C9010000}">
      <formula1>INDIRECT("[RoutineMapDataValidations.xlsm]InspMethods!C35#")</formula1>
    </dataValidation>
    <dataValidation type="list" allowBlank="1" showInputMessage="1" sqref="N43" xr:uid="{00000000-0002-0000-0300-0000CA010000}">
      <formula1>INDIRECT("[RoutineMapDataValidations.xlsm]InspMethods!C36#")</formula1>
    </dataValidation>
    <dataValidation type="list" allowBlank="1" showInputMessage="1" sqref="N44" xr:uid="{00000000-0002-0000-0300-0000CB010000}">
      <formula1>INDIRECT("[RoutineMapDataValidations.xlsm]InspMethods!C37#")</formula1>
    </dataValidation>
    <dataValidation type="list" allowBlank="1" showInputMessage="1" sqref="N45" xr:uid="{00000000-0002-0000-0300-0000CC010000}">
      <formula1>INDIRECT("[RoutineMapDataValidations.xlsm]InspMethods!C38#")</formula1>
    </dataValidation>
    <dataValidation type="list" allowBlank="1" showInputMessage="1" sqref="N46" xr:uid="{00000000-0002-0000-0300-0000CD010000}">
      <formula1>INDIRECT("[RoutineMapDataValidations.xlsm]InspMethods!C39#")</formula1>
    </dataValidation>
    <dataValidation type="list" allowBlank="1" showInputMessage="1" sqref="N47" xr:uid="{00000000-0002-0000-0300-0000CE010000}">
      <formula1>INDIRECT("[RoutineMapDataValidations.xlsm]InspMethods!C40#")</formula1>
    </dataValidation>
    <dataValidation type="list" allowBlank="1" showInputMessage="1" sqref="N48" xr:uid="{00000000-0002-0000-0300-0000CF010000}">
      <formula1>INDIRECT("[RoutineMapDataValidations.xlsm]InspMethods!C41#")</formula1>
    </dataValidation>
    <dataValidation type="list" allowBlank="1" showInputMessage="1" sqref="N49" xr:uid="{00000000-0002-0000-0300-0000D0010000}">
      <formula1>INDIRECT("[RoutineMapDataValidations.xlsm]InspMethods!C42#")</formula1>
    </dataValidation>
    <dataValidation type="list" allowBlank="1" showInputMessage="1" sqref="N50" xr:uid="{00000000-0002-0000-0300-0000D1010000}">
      <formula1>INDIRECT("[RoutineMapDataValidations.xlsm]InspMethods!C43#")</formula1>
    </dataValidation>
    <dataValidation type="list" allowBlank="1" showInputMessage="1" sqref="N51" xr:uid="{00000000-0002-0000-0300-0000D2010000}">
      <formula1>INDIRECT("[RoutineMapDataValidations.xlsm]InspMethods!C44#")</formula1>
    </dataValidation>
    <dataValidation type="list" allowBlank="1" showInputMessage="1" sqref="N52" xr:uid="{00000000-0002-0000-0300-0000D3010000}">
      <formula1>INDIRECT("[RoutineMapDataValidations.xlsm]InspMethods!C45#")</formula1>
    </dataValidation>
    <dataValidation type="list" allowBlank="1" showInputMessage="1" sqref="N53" xr:uid="{00000000-0002-0000-0300-0000D4010000}">
      <formula1>INDIRECT("[RoutineMapDataValidations.xlsm]InspMethods!C46#")</formula1>
    </dataValidation>
    <dataValidation type="list" allowBlank="1" showInputMessage="1" sqref="N54" xr:uid="{00000000-0002-0000-0300-0000D5010000}">
      <formula1>INDIRECT("[RoutineMapDataValidations.xlsm]InspMethods!C47#")</formula1>
    </dataValidation>
    <dataValidation type="list" allowBlank="1" showInputMessage="1" sqref="N55" xr:uid="{00000000-0002-0000-0300-0000D6010000}">
      <formula1>INDIRECT("[RoutineMapDataValidations.xlsm]InspMethods!C48#")</formula1>
    </dataValidation>
    <dataValidation type="list" allowBlank="1" showInputMessage="1" sqref="N56" xr:uid="{00000000-0002-0000-0300-0000D7010000}">
      <formula1>INDIRECT("[RoutineMapDataValidations.xlsm]InspMethods!C49#")</formula1>
    </dataValidation>
    <dataValidation type="list" allowBlank="1" showInputMessage="1" sqref="N57" xr:uid="{00000000-0002-0000-0300-0000D8010000}">
      <formula1>INDIRECT("[RoutineMapDataValidations.xlsm]InspMethods!C50#")</formula1>
    </dataValidation>
    <dataValidation type="list" allowBlank="1" showInputMessage="1" sqref="N58" xr:uid="{00000000-0002-0000-0300-0000D9010000}">
      <formula1>INDIRECT("[RoutineMapDataValidations.xlsm]InspMethods!C51#")</formula1>
    </dataValidation>
    <dataValidation type="list" allowBlank="1" showInputMessage="1" sqref="N59" xr:uid="{00000000-0002-0000-0300-0000DA010000}">
      <formula1>INDIRECT("[RoutineMapDataValidations.xlsm]InspMethods!C52#")</formula1>
    </dataValidation>
    <dataValidation type="list" allowBlank="1" showInputMessage="1" sqref="N60" xr:uid="{00000000-0002-0000-0300-0000DB010000}">
      <formula1>INDIRECT("[RoutineMapDataValidations.xlsm]InspMethods!C53#")</formula1>
    </dataValidation>
    <dataValidation type="list" allowBlank="1" showInputMessage="1" sqref="N61" xr:uid="{00000000-0002-0000-0300-0000DC010000}">
      <formula1>INDIRECT("[RoutineMapDataValidations.xlsm]InspMethods!C54#")</formula1>
    </dataValidation>
    <dataValidation type="list" allowBlank="1" showInputMessage="1" sqref="N62" xr:uid="{00000000-0002-0000-0300-0000DD010000}">
      <formula1>INDIRECT("[RoutineMapDataValidations.xlsm]InspMethods!C55#")</formula1>
    </dataValidation>
    <dataValidation type="list" allowBlank="1" showInputMessage="1" sqref="N63" xr:uid="{00000000-0002-0000-0300-0000DE010000}">
      <formula1>INDIRECT("[RoutineMapDataValidations.xlsm]InspMethods!C56#")</formula1>
    </dataValidation>
    <dataValidation type="list" allowBlank="1" showInputMessage="1" sqref="N64" xr:uid="{00000000-0002-0000-0300-0000DF010000}">
      <formula1>INDIRECT("[RoutineMapDataValidations.xlsm]InspMethods!C57#")</formula1>
    </dataValidation>
    <dataValidation type="list" allowBlank="1" showInputMessage="1" sqref="N65" xr:uid="{00000000-0002-0000-0300-0000E0010000}">
      <formula1>INDIRECT("[RoutineMapDataValidations.xlsm]InspMethods!C58#")</formula1>
    </dataValidation>
    <dataValidation type="list" allowBlank="1" showInputMessage="1" sqref="N66" xr:uid="{00000000-0002-0000-0300-0000E1010000}">
      <formula1>INDIRECT("[RoutineMapDataValidations.xlsm]InspMethods!C59#")</formula1>
    </dataValidation>
    <dataValidation type="list" allowBlank="1" showInputMessage="1" sqref="N67" xr:uid="{00000000-0002-0000-0300-0000E2010000}">
      <formula1>INDIRECT("[RoutineMapDataValidations.xlsm]InspMethods!C60#")</formula1>
    </dataValidation>
    <dataValidation type="list" allowBlank="1" showInputMessage="1" sqref="N68" xr:uid="{00000000-0002-0000-0300-0000E3010000}">
      <formula1>INDIRECT("[RoutineMapDataValidations.xlsm]InspMethods!C61#")</formula1>
    </dataValidation>
    <dataValidation type="list" allowBlank="1" showInputMessage="1" sqref="N69" xr:uid="{00000000-0002-0000-0300-0000E4010000}">
      <formula1>INDIRECT("[RoutineMapDataValidations.xlsm]InspMethods!C62#")</formula1>
    </dataValidation>
    <dataValidation type="list" allowBlank="1" showInputMessage="1" sqref="N70" xr:uid="{00000000-0002-0000-0300-0000E5010000}">
      <formula1>INDIRECT("[RoutineMapDataValidations.xlsm]InspMethods!C63#")</formula1>
    </dataValidation>
    <dataValidation type="list" allowBlank="1" showInputMessage="1" sqref="N71" xr:uid="{00000000-0002-0000-0300-0000E6010000}">
      <formula1>INDIRECT("[RoutineMapDataValidations.xlsm]InspMethods!C64#")</formula1>
    </dataValidation>
    <dataValidation type="list" allowBlank="1" showInputMessage="1" sqref="N72" xr:uid="{00000000-0002-0000-0300-0000E7010000}">
      <formula1>INDIRECT("[RoutineMapDataValidations.xlsm]InspMethods!C65#")</formula1>
    </dataValidation>
    <dataValidation type="list" allowBlank="1" showInputMessage="1" sqref="N73" xr:uid="{00000000-0002-0000-0300-0000E8010000}">
      <formula1>INDIRECT("[RoutineMapDataValidations.xlsm]InspMethods!C66#")</formula1>
    </dataValidation>
    <dataValidation type="list" allowBlank="1" showInputMessage="1" sqref="N74" xr:uid="{00000000-0002-0000-0300-0000E9010000}">
      <formula1>INDIRECT("[RoutineMapDataValidations.xlsm]InspMethods!C67#")</formula1>
    </dataValidation>
    <dataValidation type="list" allowBlank="1" showInputMessage="1" sqref="N75" xr:uid="{00000000-0002-0000-0300-0000EA010000}">
      <formula1>INDIRECT("[RoutineMapDataValidations.xlsm]InspMethods!C68#")</formula1>
    </dataValidation>
    <dataValidation type="list" allowBlank="1" showInputMessage="1" sqref="N76" xr:uid="{00000000-0002-0000-0300-0000EB010000}">
      <formula1>INDIRECT("[RoutineMapDataValidations.xlsm]InspMethods!C69#")</formula1>
    </dataValidation>
    <dataValidation type="list" allowBlank="1" showInputMessage="1" sqref="N77" xr:uid="{00000000-0002-0000-0300-0000EC010000}">
      <formula1>INDIRECT("[RoutineMapDataValidations.xlsm]InspMethods!C70#")</formula1>
    </dataValidation>
    <dataValidation type="list" allowBlank="1" showInputMessage="1" sqref="N78" xr:uid="{00000000-0002-0000-0300-0000ED010000}">
      <formula1>INDIRECT("[RoutineMapDataValidations.xlsm]InspMethods!C71#")</formula1>
    </dataValidation>
    <dataValidation type="list" allowBlank="1" showInputMessage="1" sqref="N79" xr:uid="{00000000-0002-0000-0300-0000EE010000}">
      <formula1>INDIRECT("[RoutineMapDataValidations.xlsm]InspMethods!C72#")</formula1>
    </dataValidation>
    <dataValidation type="list" allowBlank="1" showInputMessage="1" sqref="N80" xr:uid="{00000000-0002-0000-0300-0000EF010000}">
      <formula1>INDIRECT("[RoutineMapDataValidations.xlsm]InspMethods!C73#")</formula1>
    </dataValidation>
    <dataValidation type="list" allowBlank="1" showInputMessage="1" sqref="N81" xr:uid="{00000000-0002-0000-0300-0000F0010000}">
      <formula1>INDIRECT("[RoutineMapDataValidations.xlsm]InspMethods!C74#")</formula1>
    </dataValidation>
    <dataValidation type="list" allowBlank="1" showInputMessage="1" sqref="N82" xr:uid="{00000000-0002-0000-0300-0000F1010000}">
      <formula1>INDIRECT("[RoutineMapDataValidations.xlsm]InspMethods!C75#")</formula1>
    </dataValidation>
    <dataValidation type="list" allowBlank="1" showInputMessage="1" sqref="N83" xr:uid="{00000000-0002-0000-0300-0000F2010000}">
      <formula1>INDIRECT("[RoutineMapDataValidations.xlsm]InspMethods!C76#")</formula1>
    </dataValidation>
    <dataValidation type="list" allowBlank="1" showInputMessage="1" sqref="N84" xr:uid="{00000000-0002-0000-0300-0000F3010000}">
      <formula1>INDIRECT("[RoutineMapDataValidations.xlsm]InspMethods!C77#")</formula1>
    </dataValidation>
    <dataValidation type="list" allowBlank="1" showInputMessage="1" sqref="N85" xr:uid="{00000000-0002-0000-0300-0000F4010000}">
      <formula1>INDIRECT("[RoutineMapDataValidations.xlsm]InspMethods!C78#")</formula1>
    </dataValidation>
    <dataValidation type="list" allowBlank="1" showInputMessage="1" sqref="N86" xr:uid="{00000000-0002-0000-0300-0000F5010000}">
      <formula1>INDIRECT("[RoutineMapDataValidations.xlsm]InspMethods!C79#")</formula1>
    </dataValidation>
    <dataValidation type="list" allowBlank="1" showInputMessage="1" sqref="N87" xr:uid="{00000000-0002-0000-0300-0000F6010000}">
      <formula1>INDIRECT("[RoutineMapDataValidations.xlsm]InspMethods!C80#")</formula1>
    </dataValidation>
    <dataValidation type="list" allowBlank="1" showInputMessage="1" sqref="N88" xr:uid="{00000000-0002-0000-0300-0000F7010000}">
      <formula1>INDIRECT("[RoutineMapDataValidations.xlsm]InspMethods!C81#")</formula1>
    </dataValidation>
    <dataValidation type="list" allowBlank="1" showInputMessage="1" sqref="N89" xr:uid="{00000000-0002-0000-0300-0000F8010000}">
      <formula1>INDIRECT("[RoutineMapDataValidations.xlsm]InspMethods!C82#")</formula1>
    </dataValidation>
    <dataValidation type="list" allowBlank="1" showInputMessage="1" sqref="N90" xr:uid="{00000000-0002-0000-0300-0000F9010000}">
      <formula1>INDIRECT("[RoutineMapDataValidations.xlsm]InspMethods!C83#")</formula1>
    </dataValidation>
    <dataValidation type="list" allowBlank="1" showInputMessage="1" sqref="N91" xr:uid="{00000000-0002-0000-0300-0000FA010000}">
      <formula1>INDIRECT("[RoutineMapDataValidations.xlsm]InspMethods!C84#")</formula1>
    </dataValidation>
    <dataValidation type="list" allowBlank="1" showInputMessage="1" sqref="N92" xr:uid="{00000000-0002-0000-0300-0000FB010000}">
      <formula1>INDIRECT("[RoutineMapDataValidations.xlsm]InspMethods!C85#")</formula1>
    </dataValidation>
    <dataValidation type="list" allowBlank="1" showInputMessage="1" sqref="N93" xr:uid="{00000000-0002-0000-0300-0000FC010000}">
      <formula1>INDIRECT("[RoutineMapDataValidations.xlsm]InspMethods!C86#")</formula1>
    </dataValidation>
    <dataValidation type="list" allowBlank="1" showInputMessage="1" sqref="N94" xr:uid="{00000000-0002-0000-0300-0000FD010000}">
      <formula1>INDIRECT("[RoutineMapDataValidations.xlsm]InspMethods!C87#")</formula1>
    </dataValidation>
    <dataValidation type="list" allowBlank="1" showInputMessage="1" sqref="N95" xr:uid="{00000000-0002-0000-0300-0000FE010000}">
      <formula1>INDIRECT("[RoutineMapDataValidations.xlsm]InspMethods!C88#")</formula1>
    </dataValidation>
    <dataValidation type="list" allowBlank="1" showInputMessage="1" sqref="N96" xr:uid="{00000000-0002-0000-0300-0000FF010000}">
      <formula1>INDIRECT("[RoutineMapDataValidations.xlsm]InspMethods!C89#")</formula1>
    </dataValidation>
    <dataValidation type="list" allowBlank="1" showInputMessage="1" sqref="N97" xr:uid="{00000000-0002-0000-0300-000000020000}">
      <formula1>INDIRECT("[RoutineMapDataValidations.xlsm]InspMethods!C90#")</formula1>
    </dataValidation>
    <dataValidation type="list" allowBlank="1" showInputMessage="1" sqref="N98" xr:uid="{00000000-0002-0000-0300-000001020000}">
      <formula1>INDIRECT("[RoutineMapDataValidations.xlsm]InspMethods!C91#")</formula1>
    </dataValidation>
    <dataValidation type="list" allowBlank="1" showInputMessage="1" sqref="N99" xr:uid="{00000000-0002-0000-0300-000002020000}">
      <formula1>INDIRECT("[RoutineMapDataValidations.xlsm]InspMethods!C92#")</formula1>
    </dataValidation>
    <dataValidation type="list" allowBlank="1" showInputMessage="1" sqref="N100" xr:uid="{00000000-0002-0000-0300-000003020000}">
      <formula1>INDIRECT("[RoutineMapDataValidations.xlsm]InspMethods!C93#")</formula1>
    </dataValidation>
    <dataValidation type="list" allowBlank="1" showInputMessage="1" sqref="N101" xr:uid="{00000000-0002-0000-0300-000004020000}">
      <formula1>INDIRECT("[RoutineMapDataValidations.xlsm]InspMethods!C94#")</formula1>
    </dataValidation>
    <dataValidation type="list" allowBlank="1" showInputMessage="1" sqref="N102" xr:uid="{00000000-0002-0000-0300-000005020000}">
      <formula1>INDIRECT("[RoutineMapDataValidations.xlsm]InspMethods!C95#")</formula1>
    </dataValidation>
    <dataValidation type="list" allowBlank="1" showInputMessage="1" sqref="N103" xr:uid="{00000000-0002-0000-0300-000006020000}">
      <formula1>INDIRECT("[RoutineMapDataValidations.xlsm]InspMethods!C96#")</formula1>
    </dataValidation>
    <dataValidation type="list" allowBlank="1" showInputMessage="1" sqref="N104" xr:uid="{00000000-0002-0000-0300-000007020000}">
      <formula1>INDIRECT("[RoutineMapDataValidations.xlsm]InspMethods!C97#")</formula1>
    </dataValidation>
    <dataValidation type="list" allowBlank="1" showInputMessage="1" sqref="N105" xr:uid="{00000000-0002-0000-0300-000008020000}">
      <formula1>INDIRECT("[RoutineMapDataValidations.xlsm]InspMethods!C98#")</formula1>
    </dataValidation>
    <dataValidation type="list" allowBlank="1" showInputMessage="1" sqref="N106" xr:uid="{00000000-0002-0000-0300-000009020000}">
      <formula1>INDIRECT("[RoutineMapDataValidations.xlsm]InspMethods!C99#")</formula1>
    </dataValidation>
    <dataValidation type="list" allowBlank="1" showInputMessage="1" sqref="N107" xr:uid="{00000000-0002-0000-0300-00000A020000}">
      <formula1>INDIRECT("[RoutineMapDataValidations.xlsm]InspMethods!C100#")</formula1>
    </dataValidation>
    <dataValidation type="list" allowBlank="1" showInputMessage="1" sqref="N108" xr:uid="{00000000-0002-0000-0300-00000B020000}">
      <formula1>INDIRECT("[RoutineMapDataValidations.xlsm]InspMethods!C101#")</formula1>
    </dataValidation>
    <dataValidation type="list" allowBlank="1" showInputMessage="1" sqref="N109" xr:uid="{00000000-0002-0000-0300-00000C020000}">
      <formula1>INDIRECT("[RoutineMapDataValidations.xlsm]InspMethods!C102#")</formula1>
    </dataValidation>
    <dataValidation type="list" allowBlank="1" showInputMessage="1" sqref="N110" xr:uid="{00000000-0002-0000-0300-00000D020000}">
      <formula1>INDIRECT("[RoutineMapDataValidations.xlsm]InspMethods!C103#")</formula1>
    </dataValidation>
    <dataValidation type="list" allowBlank="1" showInputMessage="1" sqref="N111" xr:uid="{00000000-0002-0000-0300-00000E020000}">
      <formula1>INDIRECT("[RoutineMapDataValidations.xlsm]InspMethods!C104#")</formula1>
    </dataValidation>
    <dataValidation type="list" allowBlank="1" showInputMessage="1" sqref="N112" xr:uid="{00000000-0002-0000-0300-00000F020000}">
      <formula1>INDIRECT("[RoutineMapDataValidations.xlsm]InspMethods!C105#")</formula1>
    </dataValidation>
    <dataValidation type="list" allowBlank="1" showInputMessage="1" sqref="N113" xr:uid="{00000000-0002-0000-0300-000010020000}">
      <formula1>INDIRECT("[RoutineMapDataValidations.xlsm]InspMethods!C106#")</formula1>
    </dataValidation>
    <dataValidation type="list" allowBlank="1" showInputMessage="1" sqref="N114" xr:uid="{00000000-0002-0000-0300-000011020000}">
      <formula1>INDIRECT("[RoutineMapDataValidations.xlsm]InspMethods!C107#")</formula1>
    </dataValidation>
    <dataValidation type="list" allowBlank="1" showInputMessage="1" sqref="N115" xr:uid="{00000000-0002-0000-0300-000012020000}">
      <formula1>INDIRECT("[RoutineMapDataValidations.xlsm]InspMethods!C108#")</formula1>
    </dataValidation>
    <dataValidation type="list" allowBlank="1" showInputMessage="1" sqref="N116" xr:uid="{00000000-0002-0000-0300-000013020000}">
      <formula1>INDIRECT("[RoutineMapDataValidations.xlsm]InspMethods!C109#")</formula1>
    </dataValidation>
    <dataValidation type="list" allowBlank="1" showInputMessage="1" sqref="N117" xr:uid="{00000000-0002-0000-0300-000014020000}">
      <formula1>INDIRECT("[RoutineMapDataValidations.xlsm]InspMethods!C110#")</formula1>
    </dataValidation>
    <dataValidation type="list" allowBlank="1" showInputMessage="1" sqref="N118" xr:uid="{00000000-0002-0000-0300-000015020000}">
      <formula1>INDIRECT("[RoutineMapDataValidations.xlsm]InspMethods!C111#")</formula1>
    </dataValidation>
    <dataValidation type="list" allowBlank="1" showInputMessage="1" sqref="N119" xr:uid="{00000000-0002-0000-0300-000016020000}">
      <formula1>INDIRECT("[RoutineMapDataValidations.xlsm]InspMethods!C112#")</formula1>
    </dataValidation>
    <dataValidation type="list" allowBlank="1" showInputMessage="1" sqref="N120" xr:uid="{00000000-0002-0000-0300-000017020000}">
      <formula1>INDIRECT("[RoutineMapDataValidations.xlsm]InspMethods!C113#")</formula1>
    </dataValidation>
    <dataValidation type="list" allowBlank="1" showInputMessage="1" sqref="N121" xr:uid="{00000000-0002-0000-0300-000018020000}">
      <formula1>INDIRECT("[RoutineMapDataValidations.xlsm]InspMethods!C114#")</formula1>
    </dataValidation>
    <dataValidation type="list" allowBlank="1" showInputMessage="1" sqref="N122" xr:uid="{00000000-0002-0000-0300-000019020000}">
      <formula1>INDIRECT("[RoutineMapDataValidations.xlsm]InspMethods!C115#")</formula1>
    </dataValidation>
    <dataValidation type="list" allowBlank="1" showInputMessage="1" sqref="N123" xr:uid="{00000000-0002-0000-0300-00001A020000}">
      <formula1>INDIRECT("[RoutineMapDataValidations.xlsm]InspMethods!C116#")</formula1>
    </dataValidation>
    <dataValidation type="list" allowBlank="1" showInputMessage="1" sqref="N124" xr:uid="{00000000-0002-0000-0300-00001B020000}">
      <formula1>INDIRECT("[RoutineMapDataValidations.xlsm]InspMethods!C117#")</formula1>
    </dataValidation>
    <dataValidation type="list" allowBlank="1" showInputMessage="1" sqref="N125" xr:uid="{00000000-0002-0000-0300-00001C020000}">
      <formula1>INDIRECT("[RoutineMapDataValidations.xlsm]InspMethods!C118#")</formula1>
    </dataValidation>
    <dataValidation type="list" allowBlank="1" showInputMessage="1" sqref="N126" xr:uid="{00000000-0002-0000-0300-00001D020000}">
      <formula1>INDIRECT("[RoutineMapDataValidations.xlsm]InspMethods!C119#")</formula1>
    </dataValidation>
    <dataValidation type="list" allowBlank="1" showInputMessage="1" sqref="N127" xr:uid="{00000000-0002-0000-0300-00001E020000}">
      <formula1>INDIRECT("[RoutineMapDataValidations.xlsm]InspMethods!C120#")</formula1>
    </dataValidation>
    <dataValidation type="list" allowBlank="1" showInputMessage="1" sqref="N128" xr:uid="{00000000-0002-0000-0300-00001F020000}">
      <formula1>INDIRECT("[RoutineMapDataValidations.xlsm]InspMethods!C121#")</formula1>
    </dataValidation>
    <dataValidation type="list" allowBlank="1" showInputMessage="1" sqref="N129" xr:uid="{00000000-0002-0000-0300-000020020000}">
      <formula1>INDIRECT("[RoutineMapDataValidations.xlsm]InspMethods!C122#")</formula1>
    </dataValidation>
    <dataValidation type="list" allowBlank="1" showInputMessage="1" sqref="N130" xr:uid="{00000000-0002-0000-0300-000021020000}">
      <formula1>INDIRECT("[RoutineMapDataValidations.xlsm]InspMethods!C123#")</formula1>
    </dataValidation>
    <dataValidation type="list" allowBlank="1" showInputMessage="1" sqref="N131" xr:uid="{00000000-0002-0000-0300-000022020000}">
      <formula1>INDIRECT("[RoutineMapDataValidations.xlsm]InspMethods!C124#")</formula1>
    </dataValidation>
    <dataValidation type="list" allowBlank="1" showInputMessage="1" sqref="N132" xr:uid="{00000000-0002-0000-0300-000023020000}">
      <formula1>INDIRECT("[RoutineMapDataValidations.xlsm]InspMethods!C125#")</formula1>
    </dataValidation>
    <dataValidation type="list" allowBlank="1" showInputMessage="1" sqref="N133" xr:uid="{00000000-0002-0000-0300-000024020000}">
      <formula1>INDIRECT("[RoutineMapDataValidations.xlsm]InspMethods!C126#")</formula1>
    </dataValidation>
    <dataValidation type="list" allowBlank="1" showInputMessage="1" sqref="N134" xr:uid="{00000000-0002-0000-0300-000025020000}">
      <formula1>INDIRECT("[RoutineMapDataValidations.xlsm]InspMethods!C127#")</formula1>
    </dataValidation>
    <dataValidation type="list" allowBlank="1" showInputMessage="1" sqref="N135" xr:uid="{00000000-0002-0000-0300-000026020000}">
      <formula1>INDIRECT("[RoutineMapDataValidations.xlsm]InspMethods!C128#")</formula1>
    </dataValidation>
    <dataValidation type="list" allowBlank="1" showInputMessage="1" sqref="N136" xr:uid="{00000000-0002-0000-0300-000027020000}">
      <formula1>INDIRECT("[RoutineMapDataValidations.xlsm]InspMethods!C129#")</formula1>
    </dataValidation>
    <dataValidation type="list" allowBlank="1" showInputMessage="1" sqref="N137" xr:uid="{00000000-0002-0000-0300-000028020000}">
      <formula1>INDIRECT("[RoutineMapDataValidations.xlsm]InspMethods!C130#")</formula1>
    </dataValidation>
    <dataValidation type="list" allowBlank="1" showInputMessage="1" sqref="N138" xr:uid="{00000000-0002-0000-0300-000029020000}">
      <formula1>INDIRECT("[RoutineMapDataValidations.xlsm]InspMethods!C131#")</formula1>
    </dataValidation>
    <dataValidation type="list" allowBlank="1" showInputMessage="1" sqref="N139" xr:uid="{00000000-0002-0000-0300-00002A020000}">
      <formula1>INDIRECT("[RoutineMapDataValidations.xlsm]InspMethods!C132#")</formula1>
    </dataValidation>
    <dataValidation type="list" allowBlank="1" showInputMessage="1" sqref="N140" xr:uid="{00000000-0002-0000-0300-00002B020000}">
      <formula1>INDIRECT("[RoutineMapDataValidations.xlsm]InspMethods!C133#")</formula1>
    </dataValidation>
    <dataValidation type="list" allowBlank="1" showInputMessage="1" sqref="N141" xr:uid="{00000000-0002-0000-0300-00002C020000}">
      <formula1>INDIRECT("[RoutineMapDataValidations.xlsm]InspMethods!C134#")</formula1>
    </dataValidation>
    <dataValidation type="list" allowBlank="1" showInputMessage="1" sqref="N142" xr:uid="{00000000-0002-0000-0300-00002D020000}">
      <formula1>INDIRECT("[RoutineMapDataValidations.xlsm]InspMethods!C135#")</formula1>
    </dataValidation>
    <dataValidation type="list" allowBlank="1" showInputMessage="1" sqref="N143" xr:uid="{00000000-0002-0000-0300-00002E020000}">
      <formula1>INDIRECT("[RoutineMapDataValidations.xlsm]InspMethods!C136#")</formula1>
    </dataValidation>
    <dataValidation type="list" allowBlank="1" showInputMessage="1" sqref="N144" xr:uid="{00000000-0002-0000-0300-00002F020000}">
      <formula1>INDIRECT("[RoutineMapDataValidations.xlsm]InspMethods!C137#")</formula1>
    </dataValidation>
    <dataValidation type="list" allowBlank="1" showInputMessage="1" sqref="N145" xr:uid="{00000000-0002-0000-0300-000030020000}">
      <formula1>INDIRECT("[RoutineMapDataValidations.xlsm]InspMethods!C138#")</formula1>
    </dataValidation>
    <dataValidation type="list" allowBlank="1" showInputMessage="1" sqref="N146" xr:uid="{00000000-0002-0000-0300-000031020000}">
      <formula1>INDIRECT("[RoutineMapDataValidations.xlsm]InspMethods!C139#")</formula1>
    </dataValidation>
    <dataValidation type="list" allowBlank="1" showInputMessage="1" sqref="N147" xr:uid="{00000000-0002-0000-0300-000032020000}">
      <formula1>INDIRECT("[RoutineMapDataValidations.xlsm]InspMethods!C140#")</formula1>
    </dataValidation>
    <dataValidation type="list" allowBlank="1" showInputMessage="1" sqref="N148" xr:uid="{00000000-0002-0000-0300-000033020000}">
      <formula1>INDIRECT("[RoutineMapDataValidations.xlsm]InspMethods!C141#")</formula1>
    </dataValidation>
    <dataValidation type="list" allowBlank="1" showInputMessage="1" sqref="N149" xr:uid="{00000000-0002-0000-0300-000034020000}">
      <formula1>INDIRECT("[RoutineMapDataValidations.xlsm]InspMethods!C142#")</formula1>
    </dataValidation>
    <dataValidation type="list" allowBlank="1" showInputMessage="1" sqref="N150" xr:uid="{00000000-0002-0000-0300-000035020000}">
      <formula1>INDIRECT("[RoutineMapDataValidations.xlsm]InspMethods!C143#")</formula1>
    </dataValidation>
    <dataValidation type="list" allowBlank="1" showInputMessage="1" sqref="N151" xr:uid="{00000000-0002-0000-0300-000036020000}">
      <formula1>INDIRECT("[RoutineMapDataValidations.xlsm]InspMethods!C144#")</formula1>
    </dataValidation>
    <dataValidation type="list" allowBlank="1" showInputMessage="1" sqref="N152" xr:uid="{00000000-0002-0000-0300-000037020000}">
      <formula1>INDIRECT("[RoutineMapDataValidations.xlsm]InspMethods!C145#")</formula1>
    </dataValidation>
    <dataValidation type="list" allowBlank="1" showInputMessage="1" sqref="N153" xr:uid="{00000000-0002-0000-0300-000038020000}">
      <formula1>INDIRECT("[RoutineMapDataValidations.xlsm]InspMethods!C146#")</formula1>
    </dataValidation>
    <dataValidation type="list" allowBlank="1" showInputMessage="1" sqref="N154" xr:uid="{00000000-0002-0000-0300-000039020000}">
      <formula1>INDIRECT("[RoutineMapDataValidations.xlsm]InspMethods!C147#")</formula1>
    </dataValidation>
    <dataValidation type="list" allowBlank="1" showInputMessage="1" sqref="N155" xr:uid="{00000000-0002-0000-0300-00003A020000}">
      <formula1>INDIRECT("[RoutineMapDataValidations.xlsm]InspMethods!C148#")</formula1>
    </dataValidation>
    <dataValidation type="list" allowBlank="1" showInputMessage="1" sqref="N156" xr:uid="{00000000-0002-0000-0300-00003B020000}">
      <formula1>INDIRECT("[RoutineMapDataValidations.xlsm]InspMethods!C149#")</formula1>
    </dataValidation>
    <dataValidation type="list" allowBlank="1" showInputMessage="1" sqref="N157" xr:uid="{00000000-0002-0000-0300-00003C020000}">
      <formula1>INDIRECT("[RoutineMapDataValidations.xlsm]InspMethods!C150#")</formula1>
    </dataValidation>
    <dataValidation type="list" allowBlank="1" showInputMessage="1" sqref="N158" xr:uid="{00000000-0002-0000-0300-00003D020000}">
      <formula1>INDIRECT("[RoutineMapDataValidations.xlsm]InspMethods!C151#")</formula1>
    </dataValidation>
    <dataValidation type="list" allowBlank="1" showInputMessage="1" sqref="N159" xr:uid="{00000000-0002-0000-0300-00003E020000}">
      <formula1>INDIRECT("[RoutineMapDataValidations.xlsm]InspMethods!C152#")</formula1>
    </dataValidation>
    <dataValidation type="list" allowBlank="1" showInputMessage="1" sqref="N160" xr:uid="{00000000-0002-0000-0300-00003F020000}">
      <formula1>INDIRECT("[RoutineMapDataValidations.xlsm]InspMethods!C153#")</formula1>
    </dataValidation>
    <dataValidation type="list" allowBlank="1" showInputMessage="1" sqref="N161" xr:uid="{00000000-0002-0000-0300-000040020000}">
      <formula1>INDIRECT("[RoutineMapDataValidations.xlsm]InspMethods!C154#")</formula1>
    </dataValidation>
    <dataValidation type="list" allowBlank="1" showInputMessage="1" sqref="N162" xr:uid="{00000000-0002-0000-0300-000041020000}">
      <formula1>INDIRECT("[RoutineMapDataValidations.xlsm]InspMethods!C155#")</formula1>
    </dataValidation>
    <dataValidation type="list" allowBlank="1" showInputMessage="1" sqref="N163" xr:uid="{00000000-0002-0000-0300-000042020000}">
      <formula1>INDIRECT("[RoutineMapDataValidations.xlsm]InspMethods!C156#")</formula1>
    </dataValidation>
    <dataValidation type="list" allowBlank="1" showInputMessage="1" sqref="N164" xr:uid="{00000000-0002-0000-0300-000043020000}">
      <formula1>INDIRECT("[RoutineMapDataValidations.xlsm]InspMethods!C157#")</formula1>
    </dataValidation>
    <dataValidation type="list" allowBlank="1" showInputMessage="1" sqref="N165" xr:uid="{00000000-0002-0000-0300-000044020000}">
      <formula1>INDIRECT("[RoutineMapDataValidations.xlsm]InspMethods!C158#")</formula1>
    </dataValidation>
    <dataValidation type="list" allowBlank="1" showInputMessage="1" sqref="N166" xr:uid="{00000000-0002-0000-0300-000045020000}">
      <formula1>INDIRECT("[RoutineMapDataValidations.xlsm]InspMethods!C159#")</formula1>
    </dataValidation>
    <dataValidation type="list" allowBlank="1" showInputMessage="1" sqref="N167" xr:uid="{00000000-0002-0000-0300-000046020000}">
      <formula1>INDIRECT("[RoutineMapDataValidations.xlsm]InspMethods!C160#")</formula1>
    </dataValidation>
    <dataValidation type="list" allowBlank="1" showInputMessage="1" sqref="N168" xr:uid="{00000000-0002-0000-0300-000047020000}">
      <formula1>INDIRECT("[RoutineMapDataValidations.xlsm]InspMethods!C161#")</formula1>
    </dataValidation>
    <dataValidation type="list" allowBlank="1" showInputMessage="1" sqref="N169" xr:uid="{00000000-0002-0000-0300-000048020000}">
      <formula1>INDIRECT("[RoutineMapDataValidations.xlsm]InspMethods!C162#")</formula1>
    </dataValidation>
    <dataValidation type="list" allowBlank="1" showInputMessage="1" sqref="N170" xr:uid="{00000000-0002-0000-0300-000049020000}">
      <formula1>INDIRECT("[RoutineMapDataValidations.xlsm]InspMethods!C163#")</formula1>
    </dataValidation>
    <dataValidation type="list" allowBlank="1" showInputMessage="1" sqref="N171" xr:uid="{00000000-0002-0000-0300-00004A020000}">
      <formula1>INDIRECT("[RoutineMapDataValidations.xlsm]InspMethods!C164#")</formula1>
    </dataValidation>
    <dataValidation type="list" allowBlank="1" showInputMessage="1" sqref="N172" xr:uid="{00000000-0002-0000-0300-00004B020000}">
      <formula1>INDIRECT("[RoutineMapDataValidations.xlsm]InspMethods!C165#")</formula1>
    </dataValidation>
    <dataValidation type="list" allowBlank="1" showInputMessage="1" sqref="N173" xr:uid="{00000000-0002-0000-0300-00004C020000}">
      <formula1>INDIRECT("[RoutineMapDataValidations.xlsm]InspMethods!C166#")</formula1>
    </dataValidation>
    <dataValidation type="list" allowBlank="1" showInputMessage="1" sqref="N174" xr:uid="{00000000-0002-0000-0300-00004D020000}">
      <formula1>INDIRECT("[RoutineMapDataValidations.xlsm]InspMethods!C167#")</formula1>
    </dataValidation>
    <dataValidation type="list" allowBlank="1" showInputMessage="1" sqref="N175" xr:uid="{00000000-0002-0000-0300-00004E020000}">
      <formula1>INDIRECT("[RoutineMapDataValidations.xlsm]InspMethods!C168#")</formula1>
    </dataValidation>
    <dataValidation type="list" allowBlank="1" showInputMessage="1" sqref="N176" xr:uid="{00000000-0002-0000-0300-00004F020000}">
      <formula1>INDIRECT("[RoutineMapDataValidations.xlsm]InspMethods!C169#")</formula1>
    </dataValidation>
    <dataValidation type="list" allowBlank="1" showInputMessage="1" sqref="N177" xr:uid="{00000000-0002-0000-0300-000050020000}">
      <formula1>INDIRECT("[RoutineMapDataValidations.xlsm]InspMethods!C170#")</formula1>
    </dataValidation>
    <dataValidation type="list" allowBlank="1" showInputMessage="1" sqref="N178" xr:uid="{00000000-0002-0000-0300-000051020000}">
      <formula1>INDIRECT("[RoutineMapDataValidations.xlsm]InspMethods!C171#")</formula1>
    </dataValidation>
    <dataValidation type="list" allowBlank="1" showInputMessage="1" sqref="N179" xr:uid="{00000000-0002-0000-0300-000052020000}">
      <formula1>INDIRECT("[RoutineMapDataValidations.xlsm]InspMethods!C172#")</formula1>
    </dataValidation>
    <dataValidation type="list" allowBlank="1" showInputMessage="1" sqref="N180" xr:uid="{00000000-0002-0000-0300-000053020000}">
      <formula1>INDIRECT("[RoutineMapDataValidations.xlsm]InspMethods!C173#")</formula1>
    </dataValidation>
    <dataValidation type="list" allowBlank="1" showInputMessage="1" sqref="N181" xr:uid="{00000000-0002-0000-0300-000054020000}">
      <formula1>INDIRECT("[RoutineMapDataValidations.xlsm]InspMethods!C174#")</formula1>
    </dataValidation>
    <dataValidation type="list" allowBlank="1" showInputMessage="1" sqref="N182" xr:uid="{00000000-0002-0000-0300-000055020000}">
      <formula1>INDIRECT("[RoutineMapDataValidations.xlsm]InspMethods!C175#")</formula1>
    </dataValidation>
    <dataValidation type="list" allowBlank="1" showInputMessage="1" sqref="N183" xr:uid="{00000000-0002-0000-0300-000056020000}">
      <formula1>INDIRECT("[RoutineMapDataValidations.xlsm]InspMethods!C176#")</formula1>
    </dataValidation>
    <dataValidation type="list" allowBlank="1" showInputMessage="1" sqref="N184" xr:uid="{00000000-0002-0000-0300-000057020000}">
      <formula1>INDIRECT("[RoutineMapDataValidations.xlsm]InspMethods!C177#")</formula1>
    </dataValidation>
    <dataValidation type="list" allowBlank="1" showInputMessage="1" sqref="N185" xr:uid="{00000000-0002-0000-0300-000058020000}">
      <formula1>INDIRECT("[RoutineMapDataValidations.xlsm]InspMethods!C178#")</formula1>
    </dataValidation>
    <dataValidation type="list" allowBlank="1" showInputMessage="1" sqref="N186" xr:uid="{00000000-0002-0000-0300-000059020000}">
      <formula1>INDIRECT("[RoutineMapDataValidations.xlsm]InspMethods!C179#")</formula1>
    </dataValidation>
    <dataValidation type="list" allowBlank="1" showInputMessage="1" sqref="N187" xr:uid="{00000000-0002-0000-0300-00005A020000}">
      <formula1>INDIRECT("[RoutineMapDataValidations.xlsm]InspMethods!C180#")</formula1>
    </dataValidation>
    <dataValidation type="list" allowBlank="1" showInputMessage="1" sqref="N188" xr:uid="{00000000-0002-0000-0300-00005B020000}">
      <formula1>INDIRECT("[RoutineMapDataValidations.xlsm]InspMethods!C181#")</formula1>
    </dataValidation>
    <dataValidation type="list" allowBlank="1" showInputMessage="1" sqref="N189" xr:uid="{00000000-0002-0000-0300-00005C020000}">
      <formula1>INDIRECT("[RoutineMapDataValidations.xlsm]InspMethods!C182#")</formula1>
    </dataValidation>
    <dataValidation type="list" allowBlank="1" showInputMessage="1" sqref="N190" xr:uid="{00000000-0002-0000-0300-00005D020000}">
      <formula1>INDIRECT("[RoutineMapDataValidations.xlsm]InspMethods!C183#")</formula1>
    </dataValidation>
    <dataValidation type="list" allowBlank="1" showInputMessage="1" sqref="N191" xr:uid="{00000000-0002-0000-0300-00005E020000}">
      <formula1>INDIRECT("[RoutineMapDataValidations.xlsm]InspMethods!C184#")</formula1>
    </dataValidation>
    <dataValidation type="list" allowBlank="1" showInputMessage="1" sqref="N192" xr:uid="{00000000-0002-0000-0300-00005F020000}">
      <formula1>INDIRECT("[RoutineMapDataValidations.xlsm]InspMethods!C185#")</formula1>
    </dataValidation>
    <dataValidation type="list" allowBlank="1" showInputMessage="1" sqref="N193" xr:uid="{00000000-0002-0000-0300-000060020000}">
      <formula1>INDIRECT("[RoutineMapDataValidations.xlsm]InspMethods!C186#")</formula1>
    </dataValidation>
    <dataValidation type="list" allowBlank="1" showInputMessage="1" sqref="N194" xr:uid="{00000000-0002-0000-0300-000061020000}">
      <formula1>INDIRECT("[RoutineMapDataValidations.xlsm]InspMethods!C187#")</formula1>
    </dataValidation>
    <dataValidation type="list" allowBlank="1" showInputMessage="1" sqref="N195" xr:uid="{00000000-0002-0000-0300-000062020000}">
      <formula1>INDIRECT("[RoutineMapDataValidations.xlsm]InspMethods!C188#")</formula1>
    </dataValidation>
    <dataValidation type="list" allowBlank="1" showInputMessage="1" sqref="N196" xr:uid="{00000000-0002-0000-0300-000063020000}">
      <formula1>INDIRECT("[RoutineMapDataValidations.xlsm]InspMethods!C189#")</formula1>
    </dataValidation>
    <dataValidation type="list" allowBlank="1" showInputMessage="1" sqref="N197" xr:uid="{00000000-0002-0000-0300-000064020000}">
      <formula1>INDIRECT("[RoutineMapDataValidations.xlsm]InspMethods!C190#")</formula1>
    </dataValidation>
    <dataValidation type="list" allowBlank="1" showInputMessage="1" sqref="N198" xr:uid="{00000000-0002-0000-0300-000065020000}">
      <formula1>INDIRECT("[RoutineMapDataValidations.xlsm]InspMethods!C191#")</formula1>
    </dataValidation>
    <dataValidation type="list" allowBlank="1" showInputMessage="1" sqref="N199" xr:uid="{00000000-0002-0000-0300-000066020000}">
      <formula1>INDIRECT("[RoutineMapDataValidations.xlsm]InspMethods!C192#")</formula1>
    </dataValidation>
    <dataValidation type="list" allowBlank="1" showInputMessage="1" sqref="N200" xr:uid="{00000000-0002-0000-0300-000067020000}">
      <formula1>INDIRECT("[RoutineMapDataValidations.xlsm]InspMethods!C193#")</formula1>
    </dataValidation>
    <dataValidation type="list" allowBlank="1" showInputMessage="1" sqref="N201" xr:uid="{00000000-0002-0000-0300-000068020000}">
      <formula1>INDIRECT("[RoutineMapDataValidations.xlsm]InspMethods!C194#")</formula1>
    </dataValidation>
    <dataValidation type="list" allowBlank="1" showInputMessage="1" sqref="N202" xr:uid="{00000000-0002-0000-0300-000069020000}">
      <formula1>INDIRECT("[RoutineMapDataValidations.xlsm]InspMethods!C195#")</formula1>
    </dataValidation>
    <dataValidation type="list" allowBlank="1" showInputMessage="1" sqref="N203" xr:uid="{00000000-0002-0000-0300-00006A020000}">
      <formula1>INDIRECT("[RoutineMapDataValidations.xlsm]InspMethods!C196#")</formula1>
    </dataValidation>
    <dataValidation type="list" allowBlank="1" showInputMessage="1" sqref="N204" xr:uid="{00000000-0002-0000-0300-00006B020000}">
      <formula1>INDIRECT("[RoutineMapDataValidations.xlsm]InspMethods!C197#")</formula1>
    </dataValidation>
    <dataValidation type="list" allowBlank="1" showInputMessage="1" sqref="N205" xr:uid="{00000000-0002-0000-0300-00006C020000}">
      <formula1>INDIRECT("[RoutineMapDataValidations.xlsm]InspMethods!C198#")</formula1>
    </dataValidation>
    <dataValidation type="list" allowBlank="1" showInputMessage="1" sqref="N206" xr:uid="{00000000-0002-0000-0300-00006D020000}">
      <formula1>INDIRECT("[RoutineMapDataValidations.xlsm]InspMethods!C199#")</formula1>
    </dataValidation>
    <dataValidation type="list" allowBlank="1" showInputMessage="1" sqref="N207" xr:uid="{00000000-0002-0000-0300-00006E020000}">
      <formula1>INDIRECT("[RoutineMapDataValidations.xlsm]InspMethods!C200#")</formula1>
    </dataValidation>
    <dataValidation type="list" allowBlank="1" showInputMessage="1" sqref="N208" xr:uid="{00000000-0002-0000-0300-00006F020000}">
      <formula1>INDIRECT("[RoutineMapDataValidations.xlsm]InspMethods!C201#")</formula1>
    </dataValidation>
    <dataValidation type="list" allowBlank="1" showInputMessage="1" sqref="N209" xr:uid="{00000000-0002-0000-0300-000070020000}">
      <formula1>INDIRECT("[RoutineMapDataValidations.xlsm]InspMethods!C202#")</formula1>
    </dataValidation>
    <dataValidation type="list" allowBlank="1" showInputMessage="1" sqref="N210" xr:uid="{00000000-0002-0000-0300-000071020000}">
      <formula1>INDIRECT("[RoutineMapDataValidations.xlsm]InspMethods!C203#")</formula1>
    </dataValidation>
    <dataValidation type="list" allowBlank="1" showInputMessage="1" sqref="N211" xr:uid="{00000000-0002-0000-0300-000072020000}">
      <formula1>INDIRECT("[RoutineMapDataValidations.xlsm]InspMethods!C204#")</formula1>
    </dataValidation>
    <dataValidation type="list" allowBlank="1" showInputMessage="1" sqref="N212" xr:uid="{00000000-0002-0000-0300-000073020000}">
      <formula1>INDIRECT("[RoutineMapDataValidations.xlsm]InspMethods!C205#")</formula1>
    </dataValidation>
    <dataValidation type="list" allowBlank="1" showInputMessage="1" sqref="N213" xr:uid="{00000000-0002-0000-0300-000074020000}">
      <formula1>INDIRECT("[RoutineMapDataValidations.xlsm]InspMethods!C206#")</formula1>
    </dataValidation>
    <dataValidation type="list" allowBlank="1" showInputMessage="1" sqref="N214" xr:uid="{00000000-0002-0000-0300-000075020000}">
      <formula1>INDIRECT("[RoutineMapDataValidations.xlsm]InspMethods!C207#")</formula1>
    </dataValidation>
    <dataValidation type="list" allowBlank="1" showInputMessage="1" sqref="N215" xr:uid="{00000000-0002-0000-0300-000076020000}">
      <formula1>INDIRECT("[RoutineMapDataValidations.xlsm]InspMethods!C208#")</formula1>
    </dataValidation>
    <dataValidation type="list" allowBlank="1" showInputMessage="1" sqref="N216" xr:uid="{00000000-0002-0000-0300-000077020000}">
      <formula1>INDIRECT("[RoutineMapDataValidations.xlsm]InspMethods!C209#")</formula1>
    </dataValidation>
    <dataValidation type="list" allowBlank="1" showInputMessage="1" sqref="N217" xr:uid="{00000000-0002-0000-0300-000078020000}">
      <formula1>INDIRECT("[RoutineMapDataValidations.xlsm]InspMethods!C210#")</formula1>
    </dataValidation>
    <dataValidation type="list" allowBlank="1" showInputMessage="1" sqref="N218" xr:uid="{00000000-0002-0000-0300-000079020000}">
      <formula1>INDIRECT("[RoutineMapDataValidations.xlsm]InspMethods!C211#")</formula1>
    </dataValidation>
    <dataValidation type="list" allowBlank="1" showInputMessage="1" sqref="N219" xr:uid="{00000000-0002-0000-0300-00007A020000}">
      <formula1>INDIRECT("[RoutineMapDataValidations.xlsm]InspMethods!C212#")</formula1>
    </dataValidation>
    <dataValidation type="list" allowBlank="1" showInputMessage="1" sqref="N220" xr:uid="{00000000-0002-0000-0300-00007B020000}">
      <formula1>INDIRECT("[RoutineMapDataValidations.xlsm]InspMethods!C213#")</formula1>
    </dataValidation>
    <dataValidation type="list" allowBlank="1" showInputMessage="1" sqref="N221" xr:uid="{00000000-0002-0000-0300-00007C020000}">
      <formula1>INDIRECT("[RoutineMapDataValidations.xlsm]InspMethods!C214#")</formula1>
    </dataValidation>
    <dataValidation type="list" allowBlank="1" showInputMessage="1" sqref="N222" xr:uid="{00000000-0002-0000-0300-00007D020000}">
      <formula1>INDIRECT("[RoutineMapDataValidations.xlsm]InspMethods!C215#")</formula1>
    </dataValidation>
    <dataValidation type="list" allowBlank="1" showInputMessage="1" sqref="N223" xr:uid="{00000000-0002-0000-0300-00007E020000}">
      <formula1>INDIRECT("[RoutineMapDataValidations.xlsm]InspMethods!C216#")</formula1>
    </dataValidation>
    <dataValidation type="list" allowBlank="1" showInputMessage="1" sqref="N224" xr:uid="{00000000-0002-0000-0300-00007F020000}">
      <formula1>INDIRECT("[RoutineMapDataValidations.xlsm]InspMethods!C217#")</formula1>
    </dataValidation>
    <dataValidation type="list" allowBlank="1" showInputMessage="1" sqref="N225" xr:uid="{00000000-0002-0000-0300-000080020000}">
      <formula1>INDIRECT("[RoutineMapDataValidations.xlsm]InspMethods!C218#")</formula1>
    </dataValidation>
    <dataValidation type="list" allowBlank="1" showInputMessage="1" sqref="N226" xr:uid="{00000000-0002-0000-0300-000081020000}">
      <formula1>INDIRECT("[RoutineMapDataValidations.xlsm]InspMethods!C219#")</formula1>
    </dataValidation>
    <dataValidation type="list" allowBlank="1" showInputMessage="1" sqref="N227" xr:uid="{00000000-0002-0000-0300-000082020000}">
      <formula1>INDIRECT("[RoutineMapDataValidations.xlsm]InspMethods!C220#")</formula1>
    </dataValidation>
    <dataValidation type="list" allowBlank="1" showInputMessage="1" sqref="N228" xr:uid="{00000000-0002-0000-0300-000083020000}">
      <formula1>INDIRECT("[RoutineMapDataValidations.xlsm]InspMethods!C221#")</formula1>
    </dataValidation>
    <dataValidation type="list" allowBlank="1" showInputMessage="1" sqref="N229" xr:uid="{00000000-0002-0000-0300-000084020000}">
      <formula1>INDIRECT("[RoutineMapDataValidations.xlsm]InspMethods!C222#")</formula1>
    </dataValidation>
    <dataValidation type="list" allowBlank="1" showInputMessage="1" sqref="N230" xr:uid="{00000000-0002-0000-0300-000085020000}">
      <formula1>INDIRECT("[RoutineMapDataValidations.xlsm]InspMethods!C223#")</formula1>
    </dataValidation>
    <dataValidation type="list" allowBlank="1" showInputMessage="1" sqref="N231" xr:uid="{00000000-0002-0000-0300-000086020000}">
      <formula1>INDIRECT("[RoutineMapDataValidations.xlsm]InspMethods!C224#")</formula1>
    </dataValidation>
    <dataValidation type="list" allowBlank="1" showInputMessage="1" sqref="N232" xr:uid="{00000000-0002-0000-0300-000087020000}">
      <formula1>INDIRECT("[RoutineMapDataValidations.xlsm]InspMethods!C225#")</formula1>
    </dataValidation>
    <dataValidation type="list" allowBlank="1" showInputMessage="1" sqref="N233" xr:uid="{00000000-0002-0000-0300-000088020000}">
      <formula1>INDIRECT("[RoutineMapDataValidations.xlsm]InspMethods!C226#")</formula1>
    </dataValidation>
    <dataValidation type="list" allowBlank="1" showInputMessage="1" sqref="N234" xr:uid="{00000000-0002-0000-0300-000089020000}">
      <formula1>INDIRECT("[RoutineMapDataValidations.xlsm]InspMethods!C227#")</formula1>
    </dataValidation>
    <dataValidation type="list" allowBlank="1" showInputMessage="1" sqref="N235" xr:uid="{00000000-0002-0000-0300-00008A020000}">
      <formula1>INDIRECT("[RoutineMapDataValidations.xlsm]InspMethods!C228#")</formula1>
    </dataValidation>
    <dataValidation type="list" allowBlank="1" showInputMessage="1" sqref="N236" xr:uid="{00000000-0002-0000-0300-00008B020000}">
      <formula1>INDIRECT("[RoutineMapDataValidations.xlsm]InspMethods!C229#")</formula1>
    </dataValidation>
    <dataValidation type="list" allowBlank="1" showInputMessage="1" sqref="N237" xr:uid="{00000000-0002-0000-0300-00008C020000}">
      <formula1>INDIRECT("[RoutineMapDataValidations.xlsm]InspMethods!C230#")</formula1>
    </dataValidation>
    <dataValidation type="list" allowBlank="1" showInputMessage="1" sqref="N238" xr:uid="{00000000-0002-0000-0300-00008D020000}">
      <formula1>INDIRECT("[RoutineMapDataValidations.xlsm]InspMethods!C231#")</formula1>
    </dataValidation>
    <dataValidation type="list" allowBlank="1" showInputMessage="1" sqref="N239" xr:uid="{00000000-0002-0000-0300-00008E020000}">
      <formula1>INDIRECT("[RoutineMapDataValidations.xlsm]InspMethods!C232#")</formula1>
    </dataValidation>
    <dataValidation type="list" allowBlank="1" showInputMessage="1" sqref="N240" xr:uid="{00000000-0002-0000-0300-00008F020000}">
      <formula1>INDIRECT("[RoutineMapDataValidations.xlsm]InspMethods!C233#")</formula1>
    </dataValidation>
    <dataValidation type="list" allowBlank="1" showInputMessage="1" sqref="N241" xr:uid="{00000000-0002-0000-0300-000090020000}">
      <formula1>INDIRECT("[RoutineMapDataValidations.xlsm]InspMethods!C234#")</formula1>
    </dataValidation>
    <dataValidation type="list" allowBlank="1" showInputMessage="1" sqref="N242" xr:uid="{00000000-0002-0000-0300-000091020000}">
      <formula1>INDIRECT("[RoutineMapDataValidations.xlsm]InspMethods!C235#")</formula1>
    </dataValidation>
    <dataValidation type="list" allowBlank="1" showInputMessage="1" sqref="N243" xr:uid="{00000000-0002-0000-0300-000092020000}">
      <formula1>INDIRECT("[RoutineMapDataValidations.xlsm]InspMethods!C236#")</formula1>
    </dataValidation>
    <dataValidation type="list" allowBlank="1" showInputMessage="1" sqref="N244" xr:uid="{00000000-0002-0000-0300-000093020000}">
      <formula1>INDIRECT("[RoutineMapDataValidations.xlsm]InspMethods!C237#")</formula1>
    </dataValidation>
    <dataValidation type="list" allowBlank="1" showInputMessage="1" sqref="N245" xr:uid="{00000000-0002-0000-0300-000094020000}">
      <formula1>INDIRECT("[RoutineMapDataValidations.xlsm]InspMethods!C238#")</formula1>
    </dataValidation>
    <dataValidation type="list" allowBlank="1" showInputMessage="1" sqref="N246" xr:uid="{00000000-0002-0000-0300-000095020000}">
      <formula1>INDIRECT("[RoutineMapDataValidations.xlsm]InspMethods!C239#")</formula1>
    </dataValidation>
    <dataValidation type="list" allowBlank="1" showInputMessage="1" sqref="N247" xr:uid="{00000000-0002-0000-0300-000096020000}">
      <formula1>INDIRECT("[RoutineMapDataValidations.xlsm]InspMethods!C240#")</formula1>
    </dataValidation>
    <dataValidation type="list" allowBlank="1" showInputMessage="1" sqref="N248" xr:uid="{00000000-0002-0000-0300-000097020000}">
      <formula1>INDIRECT("[RoutineMapDataValidations.xlsm]InspMethods!C241#")</formula1>
    </dataValidation>
    <dataValidation type="list" allowBlank="1" showInputMessage="1" sqref="N249" xr:uid="{00000000-0002-0000-0300-000098020000}">
      <formula1>INDIRECT("[RoutineMapDataValidations.xlsm]InspMethods!C242#")</formula1>
    </dataValidation>
    <dataValidation type="list" allowBlank="1" showInputMessage="1" sqref="N250" xr:uid="{00000000-0002-0000-0300-000099020000}">
      <formula1>INDIRECT("[RoutineMapDataValidations.xlsm]InspMethods!C243#")</formula1>
    </dataValidation>
    <dataValidation type="list" allowBlank="1" showInputMessage="1" sqref="N251" xr:uid="{00000000-0002-0000-0300-00009A020000}">
      <formula1>INDIRECT("[RoutineMapDataValidations.xlsm]InspMethods!C244#")</formula1>
    </dataValidation>
    <dataValidation type="list" allowBlank="1" showInputMessage="1" sqref="N252" xr:uid="{00000000-0002-0000-0300-00009B020000}">
      <formula1>INDIRECT("[RoutineMapDataValidations.xlsm]InspMethods!C245#")</formula1>
    </dataValidation>
    <dataValidation type="list" allowBlank="1" showInputMessage="1" sqref="N253" xr:uid="{00000000-0002-0000-0300-00009C020000}">
      <formula1>INDIRECT("[RoutineMapDataValidations.xlsm]InspMethods!C246#")</formula1>
    </dataValidation>
    <dataValidation type="list" allowBlank="1" showInputMessage="1" sqref="N254" xr:uid="{00000000-0002-0000-0300-00009D020000}">
      <formula1>INDIRECT("[RoutineMapDataValidations.xlsm]InspMethods!C247#")</formula1>
    </dataValidation>
    <dataValidation type="list" allowBlank="1" showInputMessage="1" sqref="N255" xr:uid="{00000000-0002-0000-0300-00009E020000}">
      <formula1>INDIRECT("[RoutineMapDataValidations.xlsm]InspMethods!C248#")</formula1>
    </dataValidation>
    <dataValidation type="list" allowBlank="1" showInputMessage="1" sqref="N256" xr:uid="{00000000-0002-0000-0300-00009F020000}">
      <formula1>INDIRECT("[RoutineMapDataValidations.xlsm]InspMethods!C249#")</formula1>
    </dataValidation>
    <dataValidation type="list" allowBlank="1" showInputMessage="1" sqref="N257" xr:uid="{00000000-0002-0000-0300-0000A0020000}">
      <formula1>INDIRECT("[RoutineMapDataValidations.xlsm]InspMethods!C250#")</formula1>
    </dataValidation>
    <dataValidation type="list" allowBlank="1" showInputMessage="1" sqref="N258" xr:uid="{00000000-0002-0000-0300-0000A1020000}">
      <formula1>INDIRECT("[RoutineMapDataValidations.xlsm]InspMethods!C251#")</formula1>
    </dataValidation>
    <dataValidation type="list" allowBlank="1" showInputMessage="1" sqref="N259" xr:uid="{00000000-0002-0000-0300-0000A2020000}">
      <formula1>INDIRECT("[RoutineMapDataValidations.xlsm]InspMethods!C252#")</formula1>
    </dataValidation>
    <dataValidation type="list" allowBlank="1" showInputMessage="1" sqref="N260" xr:uid="{00000000-0002-0000-0300-0000A3020000}">
      <formula1>INDIRECT("[RoutineMapDataValidations.xlsm]InspMethods!C253#")</formula1>
    </dataValidation>
    <dataValidation type="list" allowBlank="1" showInputMessage="1" sqref="N261" xr:uid="{00000000-0002-0000-0300-0000A4020000}">
      <formula1>INDIRECT("[RoutineMapDataValidations.xlsm]InspMethods!C254#")</formula1>
    </dataValidation>
    <dataValidation type="list" allowBlank="1" showInputMessage="1" sqref="N262" xr:uid="{00000000-0002-0000-0300-0000A5020000}">
      <formula1>INDIRECT("[RoutineMapDataValidations.xlsm]InspMethods!C255#")</formula1>
    </dataValidation>
    <dataValidation type="list" allowBlank="1" showInputMessage="1" sqref="N263" xr:uid="{00000000-0002-0000-0300-0000A6020000}">
      <formula1>INDIRECT("[RoutineMapDataValidations.xlsm]InspMethods!C256#")</formula1>
    </dataValidation>
    <dataValidation type="list" allowBlank="1" showInputMessage="1" sqref="N264" xr:uid="{00000000-0002-0000-0300-0000A7020000}">
      <formula1>INDIRECT("[RoutineMapDataValidations.xlsm]InspMethods!C257#")</formula1>
    </dataValidation>
    <dataValidation type="list" allowBlank="1" showInputMessage="1" sqref="N265" xr:uid="{00000000-0002-0000-0300-0000A8020000}">
      <formula1>INDIRECT("[RoutineMapDataValidations.xlsm]InspMethods!C258#")</formula1>
    </dataValidation>
    <dataValidation type="list" allowBlank="1" showInputMessage="1" sqref="N266" xr:uid="{00000000-0002-0000-0300-0000A9020000}">
      <formula1>INDIRECT("[RoutineMapDataValidations.xlsm]InspMethods!C259#")</formula1>
    </dataValidation>
    <dataValidation type="list" allowBlank="1" showInputMessage="1" sqref="N267" xr:uid="{00000000-0002-0000-0300-0000AA020000}">
      <formula1>INDIRECT("[RoutineMapDataValidations.xlsm]InspMethods!C260#")</formula1>
    </dataValidation>
    <dataValidation type="list" allowBlank="1" showInputMessage="1" sqref="N268" xr:uid="{00000000-0002-0000-0300-0000AB020000}">
      <formula1>INDIRECT("[RoutineMapDataValidations.xlsm]InspMethods!C261#")</formula1>
    </dataValidation>
    <dataValidation type="list" allowBlank="1" showInputMessage="1" sqref="N269" xr:uid="{00000000-0002-0000-0300-0000AC020000}">
      <formula1>INDIRECT("[RoutineMapDataValidations.xlsm]InspMethods!C262#")</formula1>
    </dataValidation>
    <dataValidation type="list" allowBlank="1" showInputMessage="1" sqref="N270" xr:uid="{00000000-0002-0000-0300-0000AD020000}">
      <formula1>INDIRECT("[RoutineMapDataValidations.xlsm]InspMethods!C263#")</formula1>
    </dataValidation>
    <dataValidation type="list" allowBlank="1" showInputMessage="1" sqref="N271" xr:uid="{00000000-0002-0000-0300-0000AE020000}">
      <formula1>INDIRECT("[RoutineMapDataValidations.xlsm]InspMethods!C264#")</formula1>
    </dataValidation>
    <dataValidation type="list" allowBlank="1" showInputMessage="1" sqref="N272" xr:uid="{00000000-0002-0000-0300-0000AF020000}">
      <formula1>INDIRECT("[RoutineMapDataValidations.xlsm]InspMethods!C265#")</formula1>
    </dataValidation>
    <dataValidation type="list" allowBlank="1" showInputMessage="1" sqref="N273" xr:uid="{00000000-0002-0000-0300-0000B0020000}">
      <formula1>INDIRECT("[RoutineMapDataValidations.xlsm]InspMethods!C266#")</formula1>
    </dataValidation>
    <dataValidation type="list" allowBlank="1" showInputMessage="1" sqref="N274" xr:uid="{00000000-0002-0000-0300-0000B1020000}">
      <formula1>INDIRECT("[RoutineMapDataValidations.xlsm]InspMethods!C267#")</formula1>
    </dataValidation>
    <dataValidation type="list" allowBlank="1" showInputMessage="1" sqref="N275" xr:uid="{00000000-0002-0000-0300-0000B2020000}">
      <formula1>INDIRECT("[RoutineMapDataValidations.xlsm]InspMethods!C268#")</formula1>
    </dataValidation>
    <dataValidation type="list" allowBlank="1" showInputMessage="1" sqref="N276" xr:uid="{00000000-0002-0000-0300-0000B3020000}">
      <formula1>INDIRECT("[RoutineMapDataValidations.xlsm]InspMethods!C269#")</formula1>
    </dataValidation>
    <dataValidation type="list" allowBlank="1" showInputMessage="1" sqref="N277" xr:uid="{00000000-0002-0000-0300-0000B4020000}">
      <formula1>INDIRECT("[RoutineMapDataValidations.xlsm]InspMethods!C270#")</formula1>
    </dataValidation>
    <dataValidation type="list" allowBlank="1" showInputMessage="1" sqref="N278" xr:uid="{00000000-0002-0000-0300-0000B5020000}">
      <formula1>INDIRECT("[RoutineMapDataValidations.xlsm]InspMethods!C271#")</formula1>
    </dataValidation>
    <dataValidation type="list" allowBlank="1" showInputMessage="1" sqref="N279" xr:uid="{00000000-0002-0000-0300-0000B6020000}">
      <formula1>INDIRECT("[RoutineMapDataValidations.xlsm]InspMethods!C272#")</formula1>
    </dataValidation>
    <dataValidation type="list" allowBlank="1" showInputMessage="1" sqref="N280" xr:uid="{00000000-0002-0000-0300-0000B7020000}">
      <formula1>INDIRECT("[RoutineMapDataValidations.xlsm]InspMethods!C273#")</formula1>
    </dataValidation>
    <dataValidation type="list" allowBlank="1" showInputMessage="1" sqref="N281" xr:uid="{00000000-0002-0000-0300-0000B8020000}">
      <formula1>INDIRECT("[RoutineMapDataValidations.xlsm]InspMethods!C274#")</formula1>
    </dataValidation>
    <dataValidation type="list" allowBlank="1" showInputMessage="1" sqref="N282" xr:uid="{00000000-0002-0000-0300-0000B9020000}">
      <formula1>INDIRECT("[RoutineMapDataValidations.xlsm]InspMethods!C275#")</formula1>
    </dataValidation>
    <dataValidation type="list" allowBlank="1" showInputMessage="1" sqref="N283" xr:uid="{00000000-0002-0000-0300-0000BA020000}">
      <formula1>INDIRECT("[RoutineMapDataValidations.xlsm]InspMethods!C276#")</formula1>
    </dataValidation>
    <dataValidation type="list" allowBlank="1" showInputMessage="1" sqref="N284" xr:uid="{00000000-0002-0000-0300-0000BB020000}">
      <formula1>INDIRECT("[RoutineMapDataValidations.xlsm]InspMethods!C277#")</formula1>
    </dataValidation>
    <dataValidation type="list" allowBlank="1" showInputMessage="1" sqref="N285" xr:uid="{00000000-0002-0000-0300-0000BC020000}">
      <formula1>INDIRECT("[RoutineMapDataValidations.xlsm]InspMethods!C278#")</formula1>
    </dataValidation>
    <dataValidation type="list" allowBlank="1" showInputMessage="1" sqref="N286" xr:uid="{00000000-0002-0000-0300-0000BD020000}">
      <formula1>INDIRECT("[RoutineMapDataValidations.xlsm]InspMethods!C279#")</formula1>
    </dataValidation>
    <dataValidation type="list" allowBlank="1" showInputMessage="1" sqref="N287" xr:uid="{00000000-0002-0000-0300-0000BE020000}">
      <formula1>INDIRECT("[RoutineMapDataValidations.xlsm]InspMethods!C280#")</formula1>
    </dataValidation>
    <dataValidation type="list" allowBlank="1" showInputMessage="1" sqref="N288" xr:uid="{00000000-0002-0000-0300-0000BF020000}">
      <formula1>INDIRECT("[RoutineMapDataValidations.xlsm]InspMethods!C281#")</formula1>
    </dataValidation>
    <dataValidation type="list" allowBlank="1" showInputMessage="1" sqref="N289" xr:uid="{00000000-0002-0000-0300-0000C0020000}">
      <formula1>INDIRECT("[RoutineMapDataValidations.xlsm]InspMethods!C282#")</formula1>
    </dataValidation>
    <dataValidation type="list" allowBlank="1" showInputMessage="1" sqref="N290" xr:uid="{00000000-0002-0000-0300-0000C1020000}">
      <formula1>INDIRECT("[RoutineMapDataValidations.xlsm]InspMethods!C283#")</formula1>
    </dataValidation>
    <dataValidation type="list" allowBlank="1" showInputMessage="1" sqref="N291" xr:uid="{00000000-0002-0000-0300-0000C2020000}">
      <formula1>INDIRECT("[RoutineMapDataValidations.xlsm]InspMethods!C284#")</formula1>
    </dataValidation>
    <dataValidation type="list" allowBlank="1" showInputMessage="1" sqref="N292" xr:uid="{00000000-0002-0000-0300-0000C3020000}">
      <formula1>INDIRECT("[RoutineMapDataValidations.xlsm]InspMethods!C285#")</formula1>
    </dataValidation>
    <dataValidation type="list" allowBlank="1" showInputMessage="1" sqref="N293" xr:uid="{00000000-0002-0000-0300-0000C4020000}">
      <formula1>INDIRECT("[RoutineMapDataValidations.xlsm]InspMethods!C286#")</formula1>
    </dataValidation>
    <dataValidation type="list" allowBlank="1" showInputMessage="1" sqref="N294" xr:uid="{00000000-0002-0000-0300-0000C5020000}">
      <formula1>INDIRECT("[RoutineMapDataValidations.xlsm]InspMethods!C287#")</formula1>
    </dataValidation>
    <dataValidation type="list" allowBlank="1" showInputMessage="1" sqref="N295" xr:uid="{00000000-0002-0000-0300-0000C6020000}">
      <formula1>INDIRECT("[RoutineMapDataValidations.xlsm]InspMethods!C288#")</formula1>
    </dataValidation>
    <dataValidation type="list" allowBlank="1" showInputMessage="1" sqref="N296" xr:uid="{00000000-0002-0000-0300-0000C7020000}">
      <formula1>INDIRECT("[RoutineMapDataValidations.xlsm]InspMethods!C289#")</formula1>
    </dataValidation>
    <dataValidation type="list" allowBlank="1" showInputMessage="1" sqref="N297" xr:uid="{00000000-0002-0000-0300-0000C8020000}">
      <formula1>INDIRECT("[RoutineMapDataValidations.xlsm]InspMethods!C290#")</formula1>
    </dataValidation>
    <dataValidation type="list" allowBlank="1" showInputMessage="1" sqref="N298" xr:uid="{00000000-0002-0000-0300-0000C9020000}">
      <formula1>INDIRECT("[RoutineMapDataValidations.xlsm]InspMethods!C291#")</formula1>
    </dataValidation>
    <dataValidation type="list" allowBlank="1" showInputMessage="1" sqref="N299" xr:uid="{00000000-0002-0000-0300-0000CA020000}">
      <formula1>INDIRECT("[RoutineMapDataValidations.xlsm]InspMethods!C292#")</formula1>
    </dataValidation>
    <dataValidation type="list" allowBlank="1" showInputMessage="1" sqref="N300" xr:uid="{00000000-0002-0000-0300-0000CB020000}">
      <formula1>INDIRECT("[RoutineMapDataValidations.xlsm]InspMethods!C293#")</formula1>
    </dataValidation>
    <dataValidation type="list" allowBlank="1" showInputMessage="1" sqref="N301" xr:uid="{00000000-0002-0000-0300-0000CC020000}">
      <formula1>INDIRECT("[RoutineMapDataValidations.xlsm]InspMethods!C294#")</formula1>
    </dataValidation>
    <dataValidation type="list" allowBlank="1" showInputMessage="1" sqref="N302" xr:uid="{00000000-0002-0000-0300-0000CD020000}">
      <formula1>INDIRECT("[RoutineMapDataValidations.xlsm]InspMethods!C295#")</formula1>
    </dataValidation>
    <dataValidation type="list" allowBlank="1" showInputMessage="1" sqref="N303" xr:uid="{00000000-0002-0000-0300-0000CE020000}">
      <formula1>INDIRECT("[RoutineMapDataValidations.xlsm]InspMethods!C296#")</formula1>
    </dataValidation>
    <dataValidation type="list" allowBlank="1" showInputMessage="1" sqref="N304" xr:uid="{00000000-0002-0000-0300-0000CF020000}">
      <formula1>INDIRECT("[RoutineMapDataValidations.xlsm]InspMethods!C297#")</formula1>
    </dataValidation>
    <dataValidation type="list" allowBlank="1" showInputMessage="1" sqref="N305" xr:uid="{00000000-0002-0000-0300-0000D0020000}">
      <formula1>INDIRECT("[RoutineMapDataValidations.xlsm]InspMethods!C298#")</formula1>
    </dataValidation>
    <dataValidation type="list" allowBlank="1" showInputMessage="1" sqref="N306" xr:uid="{00000000-0002-0000-0300-0000D1020000}">
      <formula1>INDIRECT("[RoutineMapDataValidations.xlsm]InspMethods!C299#")</formula1>
    </dataValidation>
    <dataValidation type="list" allowBlank="1" showInputMessage="1" sqref="N307" xr:uid="{00000000-0002-0000-0300-0000D2020000}">
      <formula1>INDIRECT("[RoutineMapDataValidations.xlsm]InspMethods!C300#")</formula1>
    </dataValidation>
    <dataValidation type="list" allowBlank="1" showInputMessage="1" sqref="N308" xr:uid="{00000000-0002-0000-0300-0000D3020000}">
      <formula1>INDIRECT("[RoutineMapDataValidations.xlsm]InspMethods!C301#")</formula1>
    </dataValidation>
    <dataValidation type="list" allowBlank="1" showInputMessage="1" sqref="N309" xr:uid="{00000000-0002-0000-0300-0000D4020000}">
      <formula1>INDIRECT("[RoutineMapDataValidations.xlsm]InspMethods!C302#")</formula1>
    </dataValidation>
    <dataValidation type="list" allowBlank="1" showInputMessage="1" sqref="N310" xr:uid="{00000000-0002-0000-0300-0000D5020000}">
      <formula1>INDIRECT("[RoutineMapDataValidations.xlsm]InspMethods!C303#")</formula1>
    </dataValidation>
    <dataValidation type="list" allowBlank="1" showInputMessage="1" sqref="N311" xr:uid="{00000000-0002-0000-0300-0000D6020000}">
      <formula1>INDIRECT("[RoutineMapDataValidations.xlsm]InspMethods!C304#")</formula1>
    </dataValidation>
    <dataValidation type="list" allowBlank="1" showInputMessage="1" sqref="N312" xr:uid="{00000000-0002-0000-0300-0000D7020000}">
      <formula1>INDIRECT("[RoutineMapDataValidations.xlsm]InspMethods!C305#")</formula1>
    </dataValidation>
    <dataValidation type="list" allowBlank="1" showInputMessage="1" sqref="N313" xr:uid="{00000000-0002-0000-0300-0000D8020000}">
      <formula1>INDIRECT("[RoutineMapDataValidations.xlsm]InspMethods!C306#")</formula1>
    </dataValidation>
    <dataValidation type="list" allowBlank="1" showInputMessage="1" sqref="N314" xr:uid="{00000000-0002-0000-0300-0000D9020000}">
      <formula1>INDIRECT("[RoutineMapDataValidations.xlsm]InspMethods!C307#")</formula1>
    </dataValidation>
    <dataValidation type="list" allowBlank="1" showInputMessage="1" sqref="N315" xr:uid="{00000000-0002-0000-0300-0000DA020000}">
      <formula1>INDIRECT("[RoutineMapDataValidations.xlsm]InspMethods!C308#")</formula1>
    </dataValidation>
    <dataValidation type="list" allowBlank="1" showInputMessage="1" sqref="N316" xr:uid="{00000000-0002-0000-0300-0000DB020000}">
      <formula1>INDIRECT("[RoutineMapDataValidations.xlsm]InspMethods!C309#")</formula1>
    </dataValidation>
    <dataValidation type="list" allowBlank="1" showInputMessage="1" sqref="N317" xr:uid="{00000000-0002-0000-0300-0000DC020000}">
      <formula1>INDIRECT("[RoutineMapDataValidations.xlsm]InspMethods!C310#")</formula1>
    </dataValidation>
    <dataValidation type="list" allowBlank="1" showInputMessage="1" sqref="N318" xr:uid="{00000000-0002-0000-0300-0000DD020000}">
      <formula1>INDIRECT("[RoutineMapDataValidations.xlsm]InspMethods!C311#")</formula1>
    </dataValidation>
    <dataValidation type="list" allowBlank="1" showInputMessage="1" sqref="N319" xr:uid="{00000000-0002-0000-0300-0000DE020000}">
      <formula1>INDIRECT("[RoutineMapDataValidations.xlsm]InspMethods!C312#")</formula1>
    </dataValidation>
    <dataValidation type="list" allowBlank="1" showInputMessage="1" sqref="N320" xr:uid="{00000000-0002-0000-0300-0000DF020000}">
      <formula1>INDIRECT("[RoutineMapDataValidations.xlsm]InspMethods!C313#")</formula1>
    </dataValidation>
    <dataValidation type="list" allowBlank="1" showInputMessage="1" sqref="N321" xr:uid="{00000000-0002-0000-0300-0000E0020000}">
      <formula1>INDIRECT("[RoutineMapDataValidations.xlsm]InspMethods!C314#")</formula1>
    </dataValidation>
    <dataValidation type="list" allowBlank="1" showInputMessage="1" sqref="N322" xr:uid="{00000000-0002-0000-0300-0000E1020000}">
      <formula1>INDIRECT("[RoutineMapDataValidations.xlsm]InspMethods!C315#")</formula1>
    </dataValidation>
    <dataValidation type="list" allowBlank="1" showInputMessage="1" sqref="N323" xr:uid="{00000000-0002-0000-0300-0000E2020000}">
      <formula1>INDIRECT("[RoutineMapDataValidations.xlsm]InspMethods!C316#")</formula1>
    </dataValidation>
    <dataValidation type="list" allowBlank="1" showInputMessage="1" sqref="N324" xr:uid="{00000000-0002-0000-0300-0000E3020000}">
      <formula1>INDIRECT("[RoutineMapDataValidations.xlsm]InspMethods!C317#")</formula1>
    </dataValidation>
    <dataValidation type="list" allowBlank="1" showInputMessage="1" sqref="N325" xr:uid="{00000000-0002-0000-0300-0000E4020000}">
      <formula1>INDIRECT("[RoutineMapDataValidations.xlsm]InspMethods!C318#")</formula1>
    </dataValidation>
    <dataValidation type="list" allowBlank="1" showInputMessage="1" sqref="N326" xr:uid="{00000000-0002-0000-0300-0000E5020000}">
      <formula1>INDIRECT("[RoutineMapDataValidations.xlsm]InspMethods!C319#")</formula1>
    </dataValidation>
    <dataValidation type="list" allowBlank="1" showInputMessage="1" sqref="N327" xr:uid="{00000000-0002-0000-0300-0000E6020000}">
      <formula1>INDIRECT("[RoutineMapDataValidations.xlsm]InspMethods!C320#")</formula1>
    </dataValidation>
    <dataValidation type="list" allowBlank="1" showInputMessage="1" sqref="N328" xr:uid="{00000000-0002-0000-0300-0000E7020000}">
      <formula1>INDIRECT("[RoutineMapDataValidations.xlsm]InspMethods!C321#")</formula1>
    </dataValidation>
    <dataValidation type="list" allowBlank="1" showInputMessage="1" sqref="N329" xr:uid="{00000000-0002-0000-0300-0000E8020000}">
      <formula1>INDIRECT("[RoutineMapDataValidations.xlsm]InspMethods!C322#")</formula1>
    </dataValidation>
    <dataValidation type="list" allowBlank="1" showInputMessage="1" sqref="N330" xr:uid="{00000000-0002-0000-0300-0000E9020000}">
      <formula1>INDIRECT("[RoutineMapDataValidations.xlsm]InspMethods!C323#")</formula1>
    </dataValidation>
    <dataValidation type="list" allowBlank="1" showInputMessage="1" sqref="N331" xr:uid="{00000000-0002-0000-0300-0000EA020000}">
      <formula1>INDIRECT("[RoutineMapDataValidations.xlsm]InspMethods!C324#")</formula1>
    </dataValidation>
    <dataValidation type="list" allowBlank="1" showInputMessage="1" sqref="N332" xr:uid="{00000000-0002-0000-0300-0000EB020000}">
      <formula1>INDIRECT("[RoutineMapDataValidations.xlsm]InspMethods!C325#")</formula1>
    </dataValidation>
    <dataValidation type="list" allowBlank="1" showInputMessage="1" sqref="N333" xr:uid="{00000000-0002-0000-0300-0000EC020000}">
      <formula1>INDIRECT("[RoutineMapDataValidations.xlsm]InspMethods!C326#")</formula1>
    </dataValidation>
    <dataValidation type="list" allowBlank="1" showInputMessage="1" sqref="N334" xr:uid="{00000000-0002-0000-0300-0000ED020000}">
      <formula1>INDIRECT("[RoutineMapDataValidations.xlsm]InspMethods!C327#")</formula1>
    </dataValidation>
    <dataValidation type="list" allowBlank="1" showInputMessage="1" sqref="N335" xr:uid="{00000000-0002-0000-0300-0000EE020000}">
      <formula1>INDIRECT("[RoutineMapDataValidations.xlsm]InspMethods!C328#")</formula1>
    </dataValidation>
    <dataValidation type="list" allowBlank="1" showInputMessage="1" sqref="N336" xr:uid="{00000000-0002-0000-0300-0000EF020000}">
      <formula1>INDIRECT("[RoutineMapDataValidations.xlsm]InspMethods!C329#")</formula1>
    </dataValidation>
    <dataValidation type="list" allowBlank="1" showInputMessage="1" sqref="N337" xr:uid="{00000000-0002-0000-0300-0000F0020000}">
      <formula1>INDIRECT("[RoutineMapDataValidations.xlsm]InspMethods!C330#")</formula1>
    </dataValidation>
    <dataValidation type="list" allowBlank="1" showInputMessage="1" sqref="N338" xr:uid="{00000000-0002-0000-0300-0000F1020000}">
      <formula1>INDIRECT("[RoutineMapDataValidations.xlsm]InspMethods!C331#")</formula1>
    </dataValidation>
    <dataValidation type="list" allowBlank="1" showInputMessage="1" sqref="N339" xr:uid="{00000000-0002-0000-0300-0000F2020000}">
      <formula1>INDIRECT("[RoutineMapDataValidations.xlsm]InspMethods!C332#")</formula1>
    </dataValidation>
    <dataValidation type="list" allowBlank="1" showInputMessage="1" sqref="N340" xr:uid="{00000000-0002-0000-0300-0000F3020000}">
      <formula1>INDIRECT("[RoutineMapDataValidations.xlsm]InspMethods!C333#")</formula1>
    </dataValidation>
    <dataValidation type="list" allowBlank="1" showInputMessage="1" sqref="N341" xr:uid="{00000000-0002-0000-0300-0000F4020000}">
      <formula1>INDIRECT("[RoutineMapDataValidations.xlsm]InspMethods!C334#")</formula1>
    </dataValidation>
    <dataValidation type="list" allowBlank="1" showInputMessage="1" sqref="N342" xr:uid="{00000000-0002-0000-0300-0000F5020000}">
      <formula1>INDIRECT("[RoutineMapDataValidations.xlsm]InspMethods!C335#")</formula1>
    </dataValidation>
    <dataValidation type="list" allowBlank="1" showInputMessage="1" sqref="N343" xr:uid="{00000000-0002-0000-0300-0000F6020000}">
      <formula1>INDIRECT("[RoutineMapDataValidations.xlsm]InspMethods!C336#")</formula1>
    </dataValidation>
    <dataValidation type="list" allowBlank="1" showInputMessage="1" sqref="N344" xr:uid="{00000000-0002-0000-0300-0000F7020000}">
      <formula1>INDIRECT("[RoutineMapDataValidations.xlsm]InspMethods!C337#")</formula1>
    </dataValidation>
    <dataValidation type="list" allowBlank="1" showInputMessage="1" sqref="N345" xr:uid="{00000000-0002-0000-0300-0000F8020000}">
      <formula1>INDIRECT("[RoutineMapDataValidations.xlsm]InspMethods!C338#")</formula1>
    </dataValidation>
    <dataValidation type="list" allowBlank="1" showInputMessage="1" sqref="N346" xr:uid="{00000000-0002-0000-0300-0000F9020000}">
      <formula1>INDIRECT("[RoutineMapDataValidations.xlsm]InspMethods!C339#")</formula1>
    </dataValidation>
    <dataValidation type="list" allowBlank="1" showInputMessage="1" sqref="N347" xr:uid="{00000000-0002-0000-0300-0000FA020000}">
      <formula1>INDIRECT("[RoutineMapDataValidations.xlsm]InspMethods!C340#")</formula1>
    </dataValidation>
    <dataValidation type="list" allowBlank="1" showInputMessage="1" sqref="N348" xr:uid="{00000000-0002-0000-0300-0000FB020000}">
      <formula1>INDIRECT("[RoutineMapDataValidations.xlsm]InspMethods!C341#")</formula1>
    </dataValidation>
    <dataValidation type="list" allowBlank="1" showInputMessage="1" sqref="N349" xr:uid="{00000000-0002-0000-0300-0000FC020000}">
      <formula1>INDIRECT("[RoutineMapDataValidations.xlsm]InspMethods!C342#")</formula1>
    </dataValidation>
    <dataValidation type="list" allowBlank="1" showInputMessage="1" sqref="N350" xr:uid="{00000000-0002-0000-0300-0000FD020000}">
      <formula1>INDIRECT("[RoutineMapDataValidations.xlsm]InspMethods!C343#")</formula1>
    </dataValidation>
    <dataValidation type="list" allowBlank="1" showInputMessage="1" sqref="N351" xr:uid="{00000000-0002-0000-0300-0000FE020000}">
      <formula1>INDIRECT("[RoutineMapDataValidations.xlsm]InspMethods!C344#")</formula1>
    </dataValidation>
    <dataValidation type="list" allowBlank="1" showInputMessage="1" sqref="N352" xr:uid="{00000000-0002-0000-0300-0000FF020000}">
      <formula1>INDIRECT("[RoutineMapDataValidations.xlsm]InspMethods!C345#")</formula1>
    </dataValidation>
    <dataValidation type="list" allowBlank="1" showInputMessage="1" sqref="N353" xr:uid="{00000000-0002-0000-0300-000000030000}">
      <formula1>INDIRECT("[RoutineMapDataValidations.xlsm]InspMethods!C346#")</formula1>
    </dataValidation>
    <dataValidation type="list" allowBlank="1" showInputMessage="1" sqref="N354" xr:uid="{00000000-0002-0000-0300-000001030000}">
      <formula1>INDIRECT("[RoutineMapDataValidations.xlsm]InspMethods!C347#")</formula1>
    </dataValidation>
    <dataValidation type="list" allowBlank="1" showInputMessage="1" sqref="N355" xr:uid="{00000000-0002-0000-0300-000002030000}">
      <formula1>INDIRECT("[RoutineMapDataValidations.xlsm]InspMethods!C348#")</formula1>
    </dataValidation>
    <dataValidation type="list" allowBlank="1" showInputMessage="1" sqref="N356" xr:uid="{00000000-0002-0000-0300-000003030000}">
      <formula1>INDIRECT("[RoutineMapDataValidations.xlsm]InspMethods!C349#")</formula1>
    </dataValidation>
    <dataValidation type="list" allowBlank="1" showInputMessage="1" sqref="N357" xr:uid="{00000000-0002-0000-0300-000004030000}">
      <formula1>INDIRECT("[RoutineMapDataValidations.xlsm]InspMethods!C350#")</formula1>
    </dataValidation>
    <dataValidation type="list" allowBlank="1" showInputMessage="1" sqref="N358" xr:uid="{00000000-0002-0000-0300-000005030000}">
      <formula1>INDIRECT("[RoutineMapDataValidations.xlsm]InspMethods!C351#")</formula1>
    </dataValidation>
    <dataValidation type="list" allowBlank="1" showInputMessage="1" sqref="N359" xr:uid="{00000000-0002-0000-0300-000006030000}">
      <formula1>INDIRECT("[RoutineMapDataValidations.xlsm]InspMethods!C352#")</formula1>
    </dataValidation>
    <dataValidation type="list" allowBlank="1" showInputMessage="1" sqref="N360" xr:uid="{00000000-0002-0000-0300-000007030000}">
      <formula1>INDIRECT("[RoutineMapDataValidations.xlsm]InspMethods!C353#")</formula1>
    </dataValidation>
    <dataValidation type="list" allowBlank="1" showInputMessage="1" sqref="N361" xr:uid="{00000000-0002-0000-0300-000008030000}">
      <formula1>INDIRECT("[RoutineMapDataValidations.xlsm]InspMethods!C354#")</formula1>
    </dataValidation>
    <dataValidation type="list" allowBlank="1" showInputMessage="1" sqref="N362" xr:uid="{00000000-0002-0000-0300-000009030000}">
      <formula1>INDIRECT("[RoutineMapDataValidations.xlsm]InspMethods!C355#")</formula1>
    </dataValidation>
    <dataValidation type="list" allowBlank="1" showInputMessage="1" sqref="N363" xr:uid="{00000000-0002-0000-0300-00000A030000}">
      <formula1>INDIRECT("[RoutineMapDataValidations.xlsm]InspMethods!C356#")</formula1>
    </dataValidation>
    <dataValidation type="list" allowBlank="1" showInputMessage="1" sqref="N364" xr:uid="{00000000-0002-0000-0300-00000B030000}">
      <formula1>INDIRECT("[RoutineMapDataValidations.xlsm]InspMethods!C357#")</formula1>
    </dataValidation>
    <dataValidation type="list" allowBlank="1" showInputMessage="1" sqref="N365" xr:uid="{00000000-0002-0000-0300-00000C030000}">
      <formula1>INDIRECT("[RoutineMapDataValidations.xlsm]InspMethods!C358#")</formula1>
    </dataValidation>
    <dataValidation type="list" allowBlank="1" showInputMessage="1" sqref="N366" xr:uid="{00000000-0002-0000-0300-00000D030000}">
      <formula1>INDIRECT("[RoutineMapDataValidations.xlsm]InspMethods!C359#")</formula1>
    </dataValidation>
    <dataValidation type="list" allowBlank="1" showInputMessage="1" sqref="N367" xr:uid="{00000000-0002-0000-0300-00000E030000}">
      <formula1>INDIRECT("[RoutineMapDataValidations.xlsm]InspMethods!C360#")</formula1>
    </dataValidation>
    <dataValidation type="list" allowBlank="1" showInputMessage="1" sqref="N368" xr:uid="{00000000-0002-0000-0300-00000F030000}">
      <formula1>INDIRECT("[RoutineMapDataValidations.xlsm]InspMethods!C361#")</formula1>
    </dataValidation>
    <dataValidation type="list" allowBlank="1" showInputMessage="1" sqref="N369" xr:uid="{00000000-0002-0000-0300-000010030000}">
      <formula1>INDIRECT("[RoutineMapDataValidations.xlsm]InspMethods!C362#")</formula1>
    </dataValidation>
    <dataValidation type="list" allowBlank="1" showInputMessage="1" sqref="N370" xr:uid="{00000000-0002-0000-0300-000011030000}">
      <formula1>INDIRECT("[RoutineMapDataValidations.xlsm]InspMethods!C363#")</formula1>
    </dataValidation>
    <dataValidation type="list" allowBlank="1" showInputMessage="1" sqref="N371" xr:uid="{00000000-0002-0000-0300-000012030000}">
      <formula1>INDIRECT("[RoutineMapDataValidations.xlsm]InspMethods!C364#")</formula1>
    </dataValidation>
    <dataValidation type="list" allowBlank="1" showInputMessage="1" sqref="N372" xr:uid="{00000000-0002-0000-0300-000013030000}">
      <formula1>INDIRECT("[RoutineMapDataValidations.xlsm]InspMethods!C365#")</formula1>
    </dataValidation>
    <dataValidation type="list" allowBlank="1" showInputMessage="1" sqref="N373" xr:uid="{00000000-0002-0000-0300-000014030000}">
      <formula1>INDIRECT("[RoutineMapDataValidations.xlsm]InspMethods!C366#")</formula1>
    </dataValidation>
    <dataValidation type="list" allowBlank="1" showInputMessage="1" sqref="N374" xr:uid="{00000000-0002-0000-0300-000015030000}">
      <formula1>INDIRECT("[RoutineMapDataValidations.xlsm]InspMethods!C367#")</formula1>
    </dataValidation>
    <dataValidation type="list" allowBlank="1" showInputMessage="1" sqref="N375" xr:uid="{00000000-0002-0000-0300-000016030000}">
      <formula1>INDIRECT("[RoutineMapDataValidations.xlsm]InspMethods!C368#")</formula1>
    </dataValidation>
    <dataValidation type="list" allowBlank="1" showInputMessage="1" sqref="N376" xr:uid="{00000000-0002-0000-0300-000017030000}">
      <formula1>INDIRECT("[RoutineMapDataValidations.xlsm]InspMethods!C369#")</formula1>
    </dataValidation>
    <dataValidation type="list" allowBlank="1" showInputMessage="1" sqref="N377" xr:uid="{00000000-0002-0000-0300-000018030000}">
      <formula1>INDIRECT("[RoutineMapDataValidations.xlsm]InspMethods!C370#")</formula1>
    </dataValidation>
    <dataValidation type="list" allowBlank="1" showInputMessage="1" sqref="N378" xr:uid="{00000000-0002-0000-0300-000019030000}">
      <formula1>INDIRECT("[RoutineMapDataValidations.xlsm]InspMethods!C371#")</formula1>
    </dataValidation>
    <dataValidation type="list" allowBlank="1" showInputMessage="1" sqref="N379" xr:uid="{00000000-0002-0000-0300-00001A030000}">
      <formula1>INDIRECT("[RoutineMapDataValidations.xlsm]InspMethods!C372#")</formula1>
    </dataValidation>
    <dataValidation type="list" allowBlank="1" showInputMessage="1" sqref="N380" xr:uid="{00000000-0002-0000-0300-00001B030000}">
      <formula1>INDIRECT("[RoutineMapDataValidations.xlsm]InspMethods!C373#")</formula1>
    </dataValidation>
    <dataValidation type="list" allowBlank="1" showInputMessage="1" sqref="N381" xr:uid="{00000000-0002-0000-0300-00001C030000}">
      <formula1>INDIRECT("[RoutineMapDataValidations.xlsm]InspMethods!C374#")</formula1>
    </dataValidation>
    <dataValidation type="list" allowBlank="1" showInputMessage="1" sqref="N382" xr:uid="{00000000-0002-0000-0300-00001D030000}">
      <formula1>INDIRECT("[RoutineMapDataValidations.xlsm]InspMethods!C375#")</formula1>
    </dataValidation>
    <dataValidation type="list" allowBlank="1" showInputMessage="1" sqref="N383" xr:uid="{00000000-0002-0000-0300-00001E030000}">
      <formula1>INDIRECT("[RoutineMapDataValidations.xlsm]InspMethods!C376#")</formula1>
    </dataValidation>
    <dataValidation type="list" allowBlank="1" showInputMessage="1" sqref="N384" xr:uid="{00000000-0002-0000-0300-00001F030000}">
      <formula1>INDIRECT("[RoutineMapDataValidations.xlsm]InspMethods!C377#")</formula1>
    </dataValidation>
    <dataValidation type="list" allowBlank="1" showInputMessage="1" sqref="N385" xr:uid="{00000000-0002-0000-0300-000020030000}">
      <formula1>INDIRECT("[RoutineMapDataValidations.xlsm]InspMethods!C378#")</formula1>
    </dataValidation>
    <dataValidation type="list" allowBlank="1" showInputMessage="1" sqref="N386" xr:uid="{00000000-0002-0000-0300-000021030000}">
      <formula1>INDIRECT("[RoutineMapDataValidations.xlsm]InspMethods!C379#")</formula1>
    </dataValidation>
    <dataValidation type="list" allowBlank="1" showInputMessage="1" sqref="N387" xr:uid="{00000000-0002-0000-0300-000022030000}">
      <formula1>INDIRECT("[RoutineMapDataValidations.xlsm]InspMethods!C380#")</formula1>
    </dataValidation>
    <dataValidation type="list" allowBlank="1" showInputMessage="1" sqref="N388" xr:uid="{00000000-0002-0000-0300-000023030000}">
      <formula1>INDIRECT("[RoutineMapDataValidations.xlsm]InspMethods!C381#")</formula1>
    </dataValidation>
    <dataValidation type="list" allowBlank="1" showInputMessage="1" sqref="N389" xr:uid="{00000000-0002-0000-0300-000024030000}">
      <formula1>INDIRECT("[RoutineMapDataValidations.xlsm]InspMethods!C382#")</formula1>
    </dataValidation>
    <dataValidation type="list" allowBlank="1" showInputMessage="1" sqref="N390" xr:uid="{00000000-0002-0000-0300-000025030000}">
      <formula1>INDIRECT("[RoutineMapDataValidations.xlsm]InspMethods!C383#")</formula1>
    </dataValidation>
    <dataValidation type="list" allowBlank="1" showInputMessage="1" sqref="N391" xr:uid="{00000000-0002-0000-0300-000026030000}">
      <formula1>INDIRECT("[RoutineMapDataValidations.xlsm]InspMethods!C384#")</formula1>
    </dataValidation>
    <dataValidation type="list" allowBlank="1" showInputMessage="1" sqref="N392" xr:uid="{00000000-0002-0000-0300-000027030000}">
      <formula1>INDIRECT("[RoutineMapDataValidations.xlsm]InspMethods!C385#")</formula1>
    </dataValidation>
    <dataValidation type="list" allowBlank="1" showInputMessage="1" sqref="N393" xr:uid="{00000000-0002-0000-0300-000028030000}">
      <formula1>INDIRECT("[RoutineMapDataValidations.xlsm]InspMethods!C386#")</formula1>
    </dataValidation>
    <dataValidation type="list" allowBlank="1" showInputMessage="1" sqref="N394" xr:uid="{00000000-0002-0000-0300-000029030000}">
      <formula1>INDIRECT("[RoutineMapDataValidations.xlsm]InspMethods!C387#")</formula1>
    </dataValidation>
    <dataValidation type="list" allowBlank="1" showInputMessage="1" sqref="N395" xr:uid="{00000000-0002-0000-0300-00002A030000}">
      <formula1>INDIRECT("[RoutineMapDataValidations.xlsm]InspMethods!C388#")</formula1>
    </dataValidation>
    <dataValidation type="list" allowBlank="1" showInputMessage="1" sqref="N396" xr:uid="{00000000-0002-0000-0300-00002B030000}">
      <formula1>INDIRECT("[RoutineMapDataValidations.xlsm]InspMethods!C389#")</formula1>
    </dataValidation>
    <dataValidation type="list" allowBlank="1" showInputMessage="1" sqref="N397" xr:uid="{00000000-0002-0000-0300-00002C030000}">
      <formula1>INDIRECT("[RoutineMapDataValidations.xlsm]InspMethods!C390#")</formula1>
    </dataValidation>
    <dataValidation type="list" allowBlank="1" showInputMessage="1" sqref="N398" xr:uid="{00000000-0002-0000-0300-00002D030000}">
      <formula1>INDIRECT("[RoutineMapDataValidations.xlsm]InspMethods!C391#")</formula1>
    </dataValidation>
    <dataValidation type="list" allowBlank="1" showInputMessage="1" sqref="N399" xr:uid="{00000000-0002-0000-0300-00002E030000}">
      <formula1>INDIRECT("[RoutineMapDataValidations.xlsm]InspMethods!C392#")</formula1>
    </dataValidation>
    <dataValidation type="list" allowBlank="1" showInputMessage="1" sqref="N400" xr:uid="{00000000-0002-0000-0300-00002F030000}">
      <formula1>INDIRECT("[RoutineMapDataValidations.xlsm]InspMethods!C393#")</formula1>
    </dataValidation>
    <dataValidation type="list" allowBlank="1" showInputMessage="1" sqref="W9:W400 T9:T400" xr:uid="{19281E1E-13D3-44D3-91D9-04C1939D9233}">
      <formula1>AxisOffset</formula1>
    </dataValidation>
    <dataValidation type="list" allowBlank="1" showInputMessage="1" sqref="M9" xr:uid="{D7681525-D369-41C6-9507-4754509D6101}">
      <formula1>INDIRECT("[RoutineMapDataValidations.xlsm]StandardComments!C2#")</formula1>
    </dataValidation>
    <dataValidation type="list" allowBlank="1" showInputMessage="1" sqref="M10" xr:uid="{CF9CCAE5-6D2B-460D-86F7-7A4F9F55F5C5}">
      <formula1>INDIRECT("[RoutineMapDataValidations.xlsm]StandardComments!C3#")</formula1>
    </dataValidation>
    <dataValidation type="list" allowBlank="1" showInputMessage="1" sqref="M11" xr:uid="{8A65FDE9-5E31-478E-B059-3B19D0A8F519}">
      <formula1>INDIRECT("[RoutineMapDataValidations.xlsm]StandardComments!C4#")</formula1>
    </dataValidation>
    <dataValidation type="list" allowBlank="1" showInputMessage="1" sqref="M12" xr:uid="{CCCF1825-E03B-4B26-AF96-4B87E3EA2122}">
      <formula1>INDIRECT("[RoutineMapDataValidations.xlsm]StandardComments!C5#")</formula1>
    </dataValidation>
    <dataValidation type="list" allowBlank="1" showInputMessage="1" sqref="M13:M18" xr:uid="{8C5A58D7-0346-4572-AF79-0A7EACA9EF33}">
      <formula1>INDIRECT("[RoutineMapDataValidations.xlsm]StandardComments!C6#")</formula1>
    </dataValidation>
    <dataValidation type="list" allowBlank="1" showInputMessage="1" sqref="N9" xr:uid="{D3DEDB5F-9315-4635-8589-7D08F9F4A58F}">
      <formula1>INDIRECT("[RoutineMapDataValidations.xlsm]InspMethods!C2#")</formula1>
    </dataValidation>
    <dataValidation type="list" allowBlank="1" showInputMessage="1" sqref="N10" xr:uid="{F8380389-1BAA-40CC-AFB6-28EF10EBDCCE}">
      <formula1>INDIRECT("[RoutineMapDataValidations.xlsm]InspMethods!C3#")</formula1>
    </dataValidation>
    <dataValidation type="list" allowBlank="1" showInputMessage="1" sqref="N13" xr:uid="{1183088C-2FB9-4DDD-B047-1473E449BCE8}">
      <formula1>INDIRECT("[RoutineMapDataValidations.xlsm]InspMethods!C6#")</formula1>
    </dataValidation>
    <dataValidation type="list" allowBlank="1" showInputMessage="1" sqref="N14" xr:uid="{89C926C6-A343-456F-A3B3-2D67FA6BBBE2}">
      <formula1>INDIRECT("[RoutineMapDataValidations.xlsm]InspMethods!C7#")</formula1>
    </dataValidation>
    <dataValidation type="list" allowBlank="1" showInputMessage="1" sqref="N15" xr:uid="{6324C0FF-DB66-422C-BEBB-990FEC91CC57}">
      <formula1>INDIRECT("[RoutineMapDataValidations.xlsm]InspMethods!C8#")</formula1>
    </dataValidation>
    <dataValidation type="list" allowBlank="1" showInputMessage="1" sqref="N16" xr:uid="{90A58476-3ECE-4601-B7ED-063CA3FD5D6F}">
      <formula1>INDIRECT("[RoutineMapDataValidations.xlsm]InspMethods!C9#")</formula1>
    </dataValidation>
    <dataValidation type="list" allowBlank="1" showInputMessage="1" sqref="N17" xr:uid="{9F83E597-2154-4229-8D6D-C9544C500CBE}">
      <formula1>INDIRECT("[RoutineMapDataValidations.xlsm]InspMethods!C10#")</formula1>
    </dataValidation>
    <dataValidation type="list" allowBlank="1" showInputMessage="1" sqref="N18" xr:uid="{907BB3FB-9904-43BB-B8B7-4ADBF46F2358}">
      <formula1>INDIRECT("[RoutineMapDataValidations.xlsm]InspMethods!C11#")</formula1>
    </dataValidation>
    <dataValidation type="list" allowBlank="1" showInputMessage="1" sqref="N19" xr:uid="{93CB39AD-D5BF-4223-AA66-28E499A047AD}">
      <formula1>INDIRECT("[RoutineMapDataValidations.xlsm]InspMethods!C12#")</formula1>
    </dataValidation>
    <dataValidation type="list" allowBlank="1" showInputMessage="1" sqref="Z9:Z400" xr:uid="{311FD7A5-1ECA-4A5F-98BB-643E396B259B}">
      <formula1>MachOps</formula1>
    </dataValidation>
    <dataValidation type="list" allowBlank="1" showInputMessage="1" sqref="N11" xr:uid="{411405C7-C0A0-484C-A328-93E211ED987D}">
      <formula1>INDIRECT("[RoutineMapDataValidations.xlsm]InspMethods!C4#")</formula1>
    </dataValidation>
    <dataValidation type="list" allowBlank="1" showInputMessage="1" sqref="N12" xr:uid="{BC65DDE0-F529-412F-8C06-08D1AB894773}">
      <formula1>INDIRECT("[RoutineMapDataValidations.xlsm]InspMethods!C5#")</formula1>
    </dataValidation>
  </dataValidations>
  <pageMargins left="0.7" right="0.7" top="0.75" bottom="0.75" header="0.3" footer="0.3"/>
  <pageSetup paperSize="3" scale="10" orientation="landscape"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5BB3-7B94-48CC-8CC8-8FB1D4F7E200}">
  <sheetPr codeName="Sheet17"/>
  <dimension ref="A1:A11"/>
  <sheetViews>
    <sheetView workbookViewId="0">
      <selection activeCell="A11" sqref="A11"/>
    </sheetView>
  </sheetViews>
  <sheetFormatPr defaultRowHeight="12.75"/>
  <cols>
    <col min="1" max="16384" width="9.140625" style="150"/>
  </cols>
  <sheetData>
    <row r="1" spans="1:1">
      <c r="A1" s="319">
        <v>0.25</v>
      </c>
    </row>
    <row r="2" spans="1:1">
      <c r="A2" s="319">
        <v>0.4</v>
      </c>
    </row>
    <row r="3" spans="1:1">
      <c r="A3" s="319">
        <v>0.65</v>
      </c>
    </row>
    <row r="4" spans="1:1">
      <c r="A4" s="319">
        <v>1</v>
      </c>
    </row>
    <row r="5" spans="1:1">
      <c r="A5" s="319">
        <v>1.5</v>
      </c>
    </row>
    <row r="6" spans="1:1">
      <c r="A6" s="319">
        <v>2.5</v>
      </c>
    </row>
    <row r="7" spans="1:1">
      <c r="A7" s="319">
        <v>4</v>
      </c>
    </row>
    <row r="8" spans="1:1">
      <c r="A8" s="319">
        <v>6.5</v>
      </c>
    </row>
    <row r="9" spans="1:1">
      <c r="A9" s="319">
        <v>10</v>
      </c>
    </row>
    <row r="10" spans="1:1">
      <c r="A10" s="320" t="s">
        <v>65</v>
      </c>
    </row>
    <row r="11" spans="1:1">
      <c r="A11" s="321" t="s">
        <v>104</v>
      </c>
    </row>
  </sheetData>
  <sheetProtection selectLockedCells="1"/>
  <pageMargins left="0.7" right="0.7" top="0.75" bottom="0.75" header="0.3" footer="0.3"/>
  <pageSetup orientation="portrai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C2DB9A-5FE3-431D-AF51-ADF83C8BF0C3}">
  <sheetPr codeName="Sheet9"/>
  <dimension ref="A1:U100"/>
  <sheetViews>
    <sheetView workbookViewId="0">
      <selection activeCell="C25" sqref="C25"/>
    </sheetView>
  </sheetViews>
  <sheetFormatPr defaultRowHeight="15" outlineLevelRow="1"/>
  <cols>
    <col min="1" max="1" width="9.140625" style="258"/>
    <col min="2" max="2" width="29.42578125" style="257" customWidth="1"/>
    <col min="3" max="21" width="15.7109375" style="261" customWidth="1"/>
    <col min="22" max="16384" width="9.140625" style="256"/>
  </cols>
  <sheetData>
    <row r="1" spans="1:21" s="264" customFormat="1" ht="28.5" customHeight="1">
      <c r="A1" s="263"/>
      <c r="B1" s="263"/>
      <c r="C1" s="282" t="s">
        <v>13</v>
      </c>
      <c r="D1" s="282"/>
      <c r="E1" s="282"/>
      <c r="F1" s="282"/>
      <c r="G1" s="282"/>
      <c r="H1" s="282"/>
      <c r="I1" s="282"/>
      <c r="J1" s="282"/>
      <c r="K1" s="282"/>
      <c r="L1" s="282"/>
      <c r="M1" s="282"/>
      <c r="N1" s="282"/>
      <c r="O1" s="282"/>
      <c r="P1" s="282"/>
      <c r="Q1" s="282"/>
      <c r="R1" s="282"/>
      <c r="S1" s="282"/>
      <c r="T1" s="282"/>
      <c r="U1" s="282"/>
    </row>
    <row r="2" spans="1:21">
      <c r="A2" s="262" t="s">
        <v>78</v>
      </c>
      <c r="B2" s="283" t="s">
        <v>80</v>
      </c>
      <c r="C2" s="294">
        <v>8</v>
      </c>
    </row>
    <row r="3" spans="1:21" ht="30" hidden="1" outlineLevel="1">
      <c r="A3" s="95" t="s">
        <v>286</v>
      </c>
      <c r="B3" s="284" t="s">
        <v>185</v>
      </c>
      <c r="C3" s="294"/>
    </row>
    <row r="4" spans="1:21" hidden="1" outlineLevel="1">
      <c r="A4" s="95" t="s">
        <v>288</v>
      </c>
      <c r="B4" s="285" t="s">
        <v>578</v>
      </c>
      <c r="C4" s="295"/>
    </row>
    <row r="5" spans="1:21" hidden="1" outlineLevel="1">
      <c r="A5" s="95" t="s">
        <v>288</v>
      </c>
      <c r="B5" s="285" t="s">
        <v>579</v>
      </c>
      <c r="C5" s="295"/>
    </row>
    <row r="6" spans="1:21" hidden="1" outlineLevel="1">
      <c r="A6" s="95" t="s">
        <v>288</v>
      </c>
      <c r="B6" s="285" t="s">
        <v>580</v>
      </c>
      <c r="C6" s="295"/>
    </row>
    <row r="7" spans="1:21" collapsed="1">
      <c r="A7" s="95" t="s">
        <v>288</v>
      </c>
      <c r="B7" s="286" t="s">
        <v>577</v>
      </c>
      <c r="C7" s="296"/>
    </row>
    <row r="8" spans="1:21" hidden="1" outlineLevel="1">
      <c r="A8" s="95" t="s">
        <v>288</v>
      </c>
      <c r="B8" s="287" t="s">
        <v>87</v>
      </c>
      <c r="C8" s="295"/>
    </row>
    <row r="9" spans="1:21" hidden="1" outlineLevel="1">
      <c r="A9" s="217" t="s">
        <v>288</v>
      </c>
      <c r="B9" s="288" t="s">
        <v>86</v>
      </c>
      <c r="C9" s="295"/>
    </row>
    <row r="10" spans="1:21" hidden="1" outlineLevel="1">
      <c r="A10" s="95" t="s">
        <v>288</v>
      </c>
      <c r="B10" s="287" t="s">
        <v>88</v>
      </c>
      <c r="C10" s="295"/>
    </row>
    <row r="11" spans="1:21" hidden="1" outlineLevel="1">
      <c r="A11" s="95" t="s">
        <v>288</v>
      </c>
      <c r="B11" s="287" t="s">
        <v>256</v>
      </c>
      <c r="C11" s="295"/>
    </row>
    <row r="12" spans="1:21" ht="36" customHeight="1" collapsed="1">
      <c r="A12" s="217" t="s">
        <v>288</v>
      </c>
      <c r="B12" s="289" t="s">
        <v>3</v>
      </c>
      <c r="C12" s="297"/>
    </row>
    <row r="13" spans="1:21">
      <c r="A13" s="96" t="s">
        <v>286</v>
      </c>
      <c r="B13" s="290" t="s">
        <v>257</v>
      </c>
      <c r="C13" s="297"/>
    </row>
    <row r="14" spans="1:21">
      <c r="A14" s="96" t="s">
        <v>78</v>
      </c>
      <c r="B14" s="290" t="s">
        <v>258</v>
      </c>
      <c r="C14" s="297"/>
    </row>
    <row r="15" spans="1:21" ht="30">
      <c r="A15" s="96" t="s">
        <v>287</v>
      </c>
      <c r="B15" s="291" t="s">
        <v>267</v>
      </c>
      <c r="C15" s="297"/>
    </row>
    <row r="16" spans="1:21">
      <c r="A16" s="96" t="s">
        <v>78</v>
      </c>
      <c r="B16" s="292" t="s">
        <v>255</v>
      </c>
      <c r="C16" s="296"/>
    </row>
    <row r="17" spans="1:3">
      <c r="A17" s="95" t="s">
        <v>288</v>
      </c>
      <c r="B17" s="292" t="s">
        <v>586</v>
      </c>
      <c r="C17" s="296"/>
    </row>
    <row r="18" spans="1:3" hidden="1" outlineLevel="1">
      <c r="A18" s="95" t="s">
        <v>288</v>
      </c>
      <c r="B18" s="287" t="s">
        <v>285</v>
      </c>
      <c r="C18" s="295"/>
    </row>
    <row r="19" spans="1:3" hidden="1" outlineLevel="1">
      <c r="A19" s="95" t="s">
        <v>79</v>
      </c>
      <c r="B19" s="284" t="s">
        <v>583</v>
      </c>
      <c r="C19" s="296"/>
    </row>
    <row r="20" spans="1:3" hidden="1" outlineLevel="1">
      <c r="A20" s="95" t="s">
        <v>79</v>
      </c>
      <c r="B20" s="284" t="s">
        <v>339</v>
      </c>
      <c r="C20" s="296"/>
    </row>
    <row r="21" spans="1:3" hidden="1" outlineLevel="1">
      <c r="A21" s="95" t="s">
        <v>79</v>
      </c>
      <c r="B21" s="284" t="s">
        <v>585</v>
      </c>
      <c r="C21" s="296"/>
    </row>
    <row r="22" spans="1:3" hidden="1" outlineLevel="1">
      <c r="A22" s="95" t="s">
        <v>79</v>
      </c>
      <c r="B22" s="293" t="s">
        <v>584</v>
      </c>
      <c r="C22" s="296"/>
    </row>
    <row r="23" spans="1:3" hidden="1" outlineLevel="1">
      <c r="A23" s="95" t="s">
        <v>79</v>
      </c>
      <c r="B23" s="293" t="s">
        <v>582</v>
      </c>
      <c r="C23" s="296"/>
    </row>
    <row r="24" spans="1:3" hidden="1" outlineLevel="1">
      <c r="A24" s="95" t="s">
        <v>79</v>
      </c>
      <c r="B24" s="293" t="s">
        <v>581</v>
      </c>
      <c r="C24" s="296"/>
    </row>
    <row r="25" spans="1:3" ht="58.5" customHeight="1" collapsed="1">
      <c r="A25" s="95" t="s">
        <v>78</v>
      </c>
      <c r="B25" s="284" t="s">
        <v>372</v>
      </c>
      <c r="C25" s="296"/>
    </row>
    <row r="26" spans="1:3">
      <c r="A26" s="307" t="s">
        <v>288</v>
      </c>
      <c r="B26" s="308" t="s">
        <v>609</v>
      </c>
      <c r="C26" s="296"/>
    </row>
    <row r="27" spans="1:3">
      <c r="A27" s="311" t="s">
        <v>78</v>
      </c>
      <c r="B27" s="310" t="s">
        <v>610</v>
      </c>
      <c r="C27" s="314"/>
    </row>
    <row r="28" spans="1:3">
      <c r="A28" s="313" t="s">
        <v>78</v>
      </c>
      <c r="B28" s="312" t="s">
        <v>611</v>
      </c>
      <c r="C28" s="315"/>
    </row>
    <row r="29" spans="1:3">
      <c r="A29" s="313" t="s">
        <v>78</v>
      </c>
      <c r="B29" s="312" t="s">
        <v>612</v>
      </c>
      <c r="C29" s="315"/>
    </row>
    <row r="30" spans="1:3">
      <c r="A30" s="313" t="s">
        <v>78</v>
      </c>
      <c r="B30" s="312" t="s">
        <v>613</v>
      </c>
      <c r="C30" s="315"/>
    </row>
    <row r="31" spans="1:3">
      <c r="A31" s="259"/>
      <c r="B31" s="49"/>
    </row>
    <row r="32" spans="1:3">
      <c r="A32" s="259"/>
      <c r="B32" s="49"/>
    </row>
    <row r="33" spans="1:2">
      <c r="A33" s="259"/>
      <c r="B33" s="49"/>
    </row>
    <row r="34" spans="1:2">
      <c r="A34" s="259"/>
      <c r="B34" s="49"/>
    </row>
    <row r="35" spans="1:2">
      <c r="A35" s="259"/>
      <c r="B35" s="49"/>
    </row>
    <row r="36" spans="1:2">
      <c r="A36" s="259"/>
      <c r="B36" s="49"/>
    </row>
    <row r="37" spans="1:2">
      <c r="A37" s="259"/>
      <c r="B37" s="49"/>
    </row>
    <row r="38" spans="1:2">
      <c r="A38" s="259"/>
      <c r="B38" s="49"/>
    </row>
    <row r="39" spans="1:2">
      <c r="A39" s="259"/>
      <c r="B39" s="49"/>
    </row>
    <row r="40" spans="1:2">
      <c r="A40" s="259"/>
      <c r="B40" s="49"/>
    </row>
    <row r="41" spans="1:2">
      <c r="A41" s="259"/>
      <c r="B41" s="49"/>
    </row>
    <row r="42" spans="1:2">
      <c r="A42" s="259"/>
      <c r="B42" s="49"/>
    </row>
    <row r="43" spans="1:2">
      <c r="A43" s="259"/>
      <c r="B43" s="49"/>
    </row>
    <row r="44" spans="1:2">
      <c r="A44" s="259"/>
      <c r="B44" s="49"/>
    </row>
    <row r="45" spans="1:2">
      <c r="A45" s="259"/>
      <c r="B45" s="49"/>
    </row>
    <row r="46" spans="1:2">
      <c r="A46" s="259"/>
      <c r="B46" s="49"/>
    </row>
    <row r="47" spans="1:2">
      <c r="A47" s="259"/>
      <c r="B47" s="49"/>
    </row>
    <row r="48" spans="1:2">
      <c r="A48" s="259"/>
      <c r="B48" s="49"/>
    </row>
    <row r="49" spans="1:2">
      <c r="A49" s="259"/>
      <c r="B49" s="49"/>
    </row>
    <row r="50" spans="1:2">
      <c r="A50" s="259"/>
      <c r="B50" s="49"/>
    </row>
    <row r="51" spans="1:2">
      <c r="A51" s="259"/>
      <c r="B51" s="49"/>
    </row>
    <row r="52" spans="1:2">
      <c r="A52" s="259"/>
      <c r="B52" s="49"/>
    </row>
    <row r="53" spans="1:2">
      <c r="A53" s="259"/>
      <c r="B53" s="49"/>
    </row>
    <row r="54" spans="1:2">
      <c r="A54" s="259"/>
      <c r="B54" s="49"/>
    </row>
    <row r="55" spans="1:2">
      <c r="A55" s="259"/>
      <c r="B55" s="49"/>
    </row>
    <row r="56" spans="1:2">
      <c r="A56" s="259"/>
      <c r="B56" s="49"/>
    </row>
    <row r="57" spans="1:2">
      <c r="A57" s="259"/>
      <c r="B57" s="49"/>
    </row>
    <row r="58" spans="1:2">
      <c r="A58" s="259"/>
      <c r="B58" s="49"/>
    </row>
    <row r="59" spans="1:2">
      <c r="A59" s="259"/>
      <c r="B59" s="49"/>
    </row>
    <row r="60" spans="1:2">
      <c r="A60" s="259"/>
      <c r="B60" s="49"/>
    </row>
    <row r="61" spans="1:2">
      <c r="A61" s="259"/>
      <c r="B61" s="49"/>
    </row>
    <row r="62" spans="1:2">
      <c r="A62" s="259"/>
      <c r="B62" s="49"/>
    </row>
    <row r="63" spans="1:2">
      <c r="A63" s="259"/>
      <c r="B63" s="49"/>
    </row>
    <row r="64" spans="1:2">
      <c r="A64" s="259"/>
      <c r="B64" s="49"/>
    </row>
    <row r="65" spans="1:2">
      <c r="A65" s="259"/>
      <c r="B65" s="49"/>
    </row>
    <row r="66" spans="1:2">
      <c r="A66" s="259"/>
      <c r="B66" s="49"/>
    </row>
    <row r="67" spans="1:2">
      <c r="A67" s="259"/>
      <c r="B67" s="49"/>
    </row>
    <row r="68" spans="1:2">
      <c r="A68" s="259"/>
      <c r="B68" s="49"/>
    </row>
    <row r="69" spans="1:2">
      <c r="A69" s="259"/>
      <c r="B69" s="49"/>
    </row>
    <row r="70" spans="1:2">
      <c r="A70" s="259"/>
      <c r="B70" s="49"/>
    </row>
    <row r="71" spans="1:2">
      <c r="A71" s="259"/>
      <c r="B71" s="49"/>
    </row>
    <row r="72" spans="1:2">
      <c r="A72" s="259"/>
      <c r="B72" s="49"/>
    </row>
    <row r="73" spans="1:2">
      <c r="A73" s="259"/>
      <c r="B73" s="49"/>
    </row>
    <row r="74" spans="1:2">
      <c r="A74" s="259"/>
      <c r="B74" s="49"/>
    </row>
    <row r="75" spans="1:2">
      <c r="A75" s="259"/>
      <c r="B75" s="49"/>
    </row>
    <row r="76" spans="1:2">
      <c r="A76" s="259"/>
      <c r="B76" s="49"/>
    </row>
    <row r="77" spans="1:2">
      <c r="A77" s="259"/>
      <c r="B77" s="49"/>
    </row>
    <row r="78" spans="1:2">
      <c r="A78" s="259"/>
      <c r="B78" s="49"/>
    </row>
    <row r="79" spans="1:2">
      <c r="A79" s="259"/>
      <c r="B79" s="49"/>
    </row>
    <row r="80" spans="1:2">
      <c r="A80" s="259"/>
      <c r="B80" s="49"/>
    </row>
    <row r="81" spans="1:2">
      <c r="A81" s="259"/>
      <c r="B81" s="49"/>
    </row>
    <row r="82" spans="1:2">
      <c r="A82" s="259"/>
      <c r="B82" s="49"/>
    </row>
    <row r="83" spans="1:2">
      <c r="A83" s="259"/>
      <c r="B83" s="49"/>
    </row>
    <row r="84" spans="1:2">
      <c r="A84" s="259"/>
      <c r="B84" s="49"/>
    </row>
    <row r="85" spans="1:2">
      <c r="A85" s="259"/>
      <c r="B85" s="49"/>
    </row>
    <row r="86" spans="1:2">
      <c r="A86" s="259"/>
      <c r="B86" s="49"/>
    </row>
    <row r="87" spans="1:2">
      <c r="A87" s="259"/>
      <c r="B87" s="49"/>
    </row>
    <row r="88" spans="1:2">
      <c r="A88" s="259"/>
      <c r="B88" s="49"/>
    </row>
    <row r="89" spans="1:2">
      <c r="A89" s="259"/>
      <c r="B89" s="49"/>
    </row>
    <row r="90" spans="1:2">
      <c r="A90" s="259"/>
      <c r="B90" s="49"/>
    </row>
    <row r="91" spans="1:2">
      <c r="A91" s="259"/>
      <c r="B91" s="49"/>
    </row>
    <row r="92" spans="1:2">
      <c r="A92" s="259"/>
      <c r="B92" s="49"/>
    </row>
    <row r="93" spans="1:2">
      <c r="A93" s="259"/>
      <c r="B93" s="49"/>
    </row>
    <row r="94" spans="1:2">
      <c r="A94" s="259"/>
      <c r="B94" s="49"/>
    </row>
    <row r="95" spans="1:2">
      <c r="A95" s="259"/>
      <c r="B95" s="49"/>
    </row>
    <row r="96" spans="1:2">
      <c r="A96" s="259"/>
      <c r="B96" s="49"/>
    </row>
    <row r="97" spans="1:2">
      <c r="A97" s="259"/>
      <c r="B97" s="49"/>
    </row>
    <row r="98" spans="1:2">
      <c r="A98" s="259"/>
      <c r="B98" s="49"/>
    </row>
    <row r="99" spans="1:2">
      <c r="A99" s="259"/>
      <c r="B99" s="49"/>
    </row>
    <row r="100" spans="1:2">
      <c r="A100" s="260"/>
      <c r="B100" s="261"/>
    </row>
  </sheetData>
  <sheetProtection algorithmName="SHA-512" hashValue="djz8kgELIjgHCmQPVeWDCetDcfevxOv3knETeA2PO7iuaP/lDjbGDd8QI6iNZFfrB4SKyDjLdao2gjRH5ATy9g==" saltValue="O+9JsluJhygrMzzwS0igsw==" spinCount="100000" sheet="1" objects="1" scenarios="1"/>
  <conditionalFormatting sqref="B14">
    <cfRule type="cellIs" dxfId="29" priority="6" operator="equal">
      <formula>"GCMM-000X (CMM) · Var.Meas."</formula>
    </cfRule>
    <cfRule type="cellIs" dxfId="28" priority="7" operator="equal">
      <formula>"GCMM-000X (CMM) · Pass / Fail"</formula>
    </cfRule>
    <cfRule type="cellIs" dxfId="27" priority="8" operator="equal">
      <formula>"GRAM-00XX (RAM) · Var.Meas."</formula>
    </cfRule>
    <cfRule type="cellIs" dxfId="26" priority="9" operator="equal">
      <formula>"GRAM-00XX (RAM) · Program"</formula>
    </cfRule>
    <cfRule type="cellIs" dxfId="25" priority="10" operator="equal">
      <formula>"GRAM-00XX (RAM) · Pass / Fail"</formula>
    </cfRule>
  </conditionalFormatting>
  <conditionalFormatting sqref="A14">
    <cfRule type="cellIs" dxfId="24" priority="1" operator="equal">
      <formula>"GCMM-000X (CMM) · Var.Meas."</formula>
    </cfRule>
    <cfRule type="cellIs" dxfId="23" priority="2" operator="equal">
      <formula>"GCMM-000X (CMM) · Pass / Fail"</formula>
    </cfRule>
    <cfRule type="cellIs" dxfId="22" priority="3" operator="equal">
      <formula>"GRAM-00XX (RAM) · Var.Meas."</formula>
    </cfRule>
    <cfRule type="cellIs" dxfId="21" priority="4" operator="equal">
      <formula>"GRAM-00XX (RAM) · Program"</formula>
    </cfRule>
    <cfRule type="cellIs" dxfId="20" priority="5" operator="equal">
      <formula>"GRAM-00XX (RAM) · Pass / Fail"</formula>
    </cfRule>
  </conditionalFormatting>
  <dataValidations count="8">
    <dataValidation allowBlank="1" showInputMessage="1" showErrorMessage="1" prompt="--You need to know the primary machine type program number before working on this column._x000a_--2 digit tool format is to sort tools in numerical order for research._x000a_--See &quot;Offset Examples&quot; worksheet for more information." sqref="B19:B20 B22:B23" xr:uid="{0FF88A3B-C4C4-41F5-87A5-B2E48FAC75F1}"/>
    <dataValidation allowBlank="1" showErrorMessage="1" promptTitle="Examples" prompt="Column B= (iv),            Column H=iv_x000a_Column B= 0_008_00, Column H=8_x000a_Column B= 0_008_01, Column H=8_1_x000a_Column B= A_002_00, Column H=A_2_x000a_Column B=B_003_01, Column H=B_3_1" sqref="A11" xr:uid="{A8C5C9DF-5634-48B0-9795-16E09C2D193B}"/>
    <dataValidation allowBlank="1" showInputMessage="1" showErrorMessage="1" promptTitle="Examples" prompt="1642652_D_1 or 1642652_D_9_2, Must complete all custom fields before attaching. Do work in Excel or Word and save with same name format, before snipping the GIF screen-shot" sqref="A25" xr:uid="{76210C6A-281E-4E2F-B099-C6EDBCFA9DEB}"/>
    <dataValidation allowBlank="1" showInputMessage="1" showErrorMessage="1" promptTitle="Pick the head for Primary Tool" prompt="--You must know the program number before filling out this column._x000a_--This is used to filter when researching" sqref="A21 A24" xr:uid="{0150FA79-3670-49C5-B5A4-44CAA4B80236}"/>
    <dataValidation allowBlank="1" showInputMessage="1" showErrorMessage="1" promptTitle="See &quot;Offset Examples&quot; worksheet" prompt="--When more than one tool or axies, list the primary control first. (Meaning the tool most likely to need adjustment)_x000a_If different machines/programs use different Axis or Tools only do the work for prefered machine type. Note conflict in Column T" sqref="A17" xr:uid="{A5C60130-8BA3-4B90-AC27-A6D5530AB2AE}"/>
    <dataValidation allowBlank="1" showErrorMessage="1" sqref="A13" xr:uid="{9D92EF5C-5801-4167-9193-E636CB036784}"/>
    <dataValidation allowBlank="1" showInputMessage="1" showErrorMessage="1" promptTitle="Last as shown on Ptint" prompt="--Do not list tolerance_x000a_--Use verbage for GD&amp;T See &quot;Text Guide&quot; for examples_x000a_--Don't use leading or trailing zeros unless they are on the print._x000a_--Be brief with balloned print notes._x000a_For example, BLAST per note 3" sqref="A12" xr:uid="{168FA753-ADDB-41E6-9FCE-18B64551E369}"/>
    <dataValidation allowBlank="1" showInputMessage="1" showErrorMessage="1" promptTitle="Don't list thread plugs or rings" prompt="**List Pin Sizes only once, other row cells refer to Balloon only. i.e Same As 8_1&lt;---Value from Column J. ** Copy pin sizes from Calculators Worksheet. Right Click Paste 123. Also list JPMC XXX or Cust XXX. Gauge Part Numbers_x000a_" sqref="A16" xr:uid="{D3BF8327-2D18-465A-9968-CA2E1BDCC83F}"/>
  </dataValidations>
  <pageMargins left="0.7" right="0.7" top="0.75" bottom="0.75" header="0.3" footer="0.3"/>
  <pageSetup orientation="landscape" verticalDpi="0"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T30"/>
  <sheetViews>
    <sheetView workbookViewId="0">
      <selection activeCell="G20" sqref="G20"/>
    </sheetView>
  </sheetViews>
  <sheetFormatPr defaultRowHeight="15"/>
  <cols>
    <col min="1" max="1" width="20.5703125" bestFit="1" customWidth="1"/>
    <col min="2" max="2" width="10.5703125" customWidth="1"/>
    <col min="3" max="3" width="14.140625" customWidth="1"/>
    <col min="4" max="4" width="11.28515625" customWidth="1"/>
    <col min="6" max="6" width="14.140625" customWidth="1"/>
    <col min="7" max="7" width="35.85546875" customWidth="1"/>
    <col min="9" max="9" width="10.85546875" customWidth="1"/>
    <col min="10" max="10" width="4.28515625" customWidth="1"/>
    <col min="11" max="11" width="25.28515625" customWidth="1"/>
    <col min="12" max="12" width="7.7109375" customWidth="1"/>
    <col min="14" max="14" width="25.85546875" bestFit="1" customWidth="1"/>
    <col min="15" max="15" width="7.42578125" customWidth="1"/>
    <col min="16" max="16" width="3.7109375" customWidth="1"/>
  </cols>
  <sheetData>
    <row r="1" spans="1:16" s="53" customFormat="1" ht="18.75">
      <c r="A1" s="54" t="s">
        <v>221</v>
      </c>
      <c r="B1" s="55"/>
      <c r="C1" s="55"/>
      <c r="D1" s="55"/>
      <c r="E1" s="55"/>
      <c r="F1" s="55"/>
      <c r="G1" s="55"/>
      <c r="H1" s="55"/>
      <c r="I1" s="56"/>
      <c r="K1" s="54" t="s">
        <v>220</v>
      </c>
      <c r="L1" s="62"/>
      <c r="M1" s="55"/>
      <c r="N1" s="55"/>
      <c r="O1" s="56"/>
      <c r="P1" s="71"/>
    </row>
    <row r="2" spans="1:16" s="53" customFormat="1" ht="18.75">
      <c r="A2" s="57" t="s">
        <v>222</v>
      </c>
      <c r="B2" s="58"/>
      <c r="C2" s="58"/>
      <c r="D2" s="58"/>
      <c r="E2" s="58"/>
      <c r="F2" s="58"/>
      <c r="G2" s="58"/>
      <c r="H2" s="58"/>
      <c r="I2" s="59"/>
      <c r="K2" s="57" t="s">
        <v>93</v>
      </c>
      <c r="L2" s="63"/>
      <c r="M2" s="58"/>
      <c r="N2" s="58"/>
      <c r="O2" s="59"/>
      <c r="P2" s="71"/>
    </row>
    <row r="3" spans="1:16" s="53" customFormat="1" ht="18.75">
      <c r="A3" s="57" t="s">
        <v>223</v>
      </c>
      <c r="B3" s="58"/>
      <c r="C3" s="58"/>
      <c r="D3" s="58"/>
      <c r="E3" s="58"/>
      <c r="F3" s="58"/>
      <c r="G3" s="58"/>
      <c r="H3" s="58"/>
      <c r="I3" s="59"/>
      <c r="K3" s="57" t="s">
        <v>168</v>
      </c>
      <c r="L3" s="63"/>
      <c r="M3" s="58"/>
      <c r="N3" s="58"/>
      <c r="O3" s="59"/>
      <c r="P3" s="71"/>
    </row>
    <row r="4" spans="1:16" s="53" customFormat="1" ht="18.75">
      <c r="A4" s="57"/>
      <c r="B4" s="58"/>
      <c r="C4" s="58"/>
      <c r="D4" s="58"/>
      <c r="E4" s="58"/>
      <c r="F4" s="58"/>
      <c r="G4" s="58"/>
      <c r="H4" s="58"/>
      <c r="I4" s="59"/>
      <c r="K4" s="57" t="s">
        <v>207</v>
      </c>
      <c r="L4" s="63"/>
      <c r="M4" s="58"/>
      <c r="N4" s="58"/>
      <c r="O4" s="59"/>
      <c r="P4" s="71"/>
    </row>
    <row r="5" spans="1:16" ht="15.75" thickBot="1">
      <c r="A5" s="43"/>
      <c r="B5" s="39"/>
      <c r="C5" s="39"/>
      <c r="D5" s="39"/>
      <c r="E5" s="39"/>
      <c r="F5" s="39"/>
      <c r="G5" s="39"/>
      <c r="H5" s="39"/>
      <c r="I5" s="50"/>
      <c r="K5" s="43"/>
      <c r="L5" s="39"/>
      <c r="M5" s="39"/>
      <c r="N5" s="39"/>
      <c r="O5" s="50"/>
      <c r="P5" s="72"/>
    </row>
    <row r="6" spans="1:16" ht="15.75" thickBot="1">
      <c r="A6" s="331" t="s">
        <v>199</v>
      </c>
      <c r="B6" s="333"/>
      <c r="C6" s="333"/>
      <c r="D6" s="332"/>
      <c r="E6" s="39"/>
      <c r="F6" s="39"/>
      <c r="G6" s="39"/>
      <c r="H6" s="39"/>
      <c r="I6" s="50"/>
      <c r="K6" s="331" t="s">
        <v>200</v>
      </c>
      <c r="L6" s="332"/>
      <c r="M6" s="39"/>
      <c r="N6" s="331" t="s">
        <v>201</v>
      </c>
      <c r="O6" s="332"/>
      <c r="P6" s="40"/>
    </row>
    <row r="7" spans="1:16" ht="16.5" thickTop="1" thickBot="1">
      <c r="A7" s="43" t="s">
        <v>196</v>
      </c>
      <c r="B7" s="42">
        <v>7.8E-2</v>
      </c>
      <c r="C7" s="48"/>
      <c r="D7" s="50"/>
      <c r="E7" s="39"/>
      <c r="F7" s="39"/>
      <c r="G7" s="39"/>
      <c r="H7" s="39"/>
      <c r="I7" s="50"/>
      <c r="K7" s="43" t="s">
        <v>205</v>
      </c>
      <c r="L7" s="69">
        <f>$D$12</f>
        <v>7.5999999999999998E-2</v>
      </c>
      <c r="M7" s="39"/>
      <c r="N7" s="43" t="s">
        <v>205</v>
      </c>
      <c r="O7" s="69">
        <f>$D$12</f>
        <v>7.5999999999999998E-2</v>
      </c>
      <c r="P7" s="40"/>
    </row>
    <row r="8" spans="1:16" ht="16.5" thickTop="1" thickBot="1">
      <c r="A8" s="43" t="s">
        <v>194</v>
      </c>
      <c r="B8" s="42">
        <v>2E-3</v>
      </c>
      <c r="C8" s="48"/>
      <c r="D8" s="50"/>
      <c r="E8" s="39"/>
      <c r="F8" s="39"/>
      <c r="G8" s="39"/>
      <c r="H8" s="39"/>
      <c r="I8" s="50"/>
      <c r="K8" s="43" t="s">
        <v>86</v>
      </c>
      <c r="L8" s="69">
        <f>SUM(L7,L9)/2</f>
        <v>7.8E-2</v>
      </c>
      <c r="M8" s="39"/>
      <c r="N8" s="43" t="s">
        <v>86</v>
      </c>
      <c r="O8" s="69">
        <f>SUM(O7,O9)/2</f>
        <v>7.8E-2</v>
      </c>
      <c r="P8" s="40"/>
    </row>
    <row r="9" spans="1:16" ht="16.5" thickTop="1" thickBot="1">
      <c r="A9" s="43" t="s">
        <v>195</v>
      </c>
      <c r="B9" s="42">
        <v>2E-3</v>
      </c>
      <c r="C9" s="48"/>
      <c r="D9" s="50"/>
      <c r="E9" s="39"/>
      <c r="F9" s="39"/>
      <c r="G9" s="39"/>
      <c r="H9" s="39"/>
      <c r="I9" s="50"/>
      <c r="K9" s="43" t="s">
        <v>206</v>
      </c>
      <c r="L9" s="69">
        <f>$D$14</f>
        <v>0.08</v>
      </c>
      <c r="M9" s="39"/>
      <c r="N9" s="43" t="s">
        <v>206</v>
      </c>
      <c r="O9" s="69">
        <f>$D$14</f>
        <v>0.08</v>
      </c>
      <c r="P9" s="40"/>
    </row>
    <row r="10" spans="1:16" ht="16.5" thickTop="1" thickBot="1">
      <c r="A10" s="51" t="s">
        <v>203</v>
      </c>
      <c r="B10" s="52" t="s">
        <v>202</v>
      </c>
      <c r="C10" s="49"/>
      <c r="D10" s="50"/>
      <c r="E10" s="39"/>
      <c r="F10" s="39"/>
      <c r="G10" s="39"/>
      <c r="H10" s="39"/>
      <c r="I10" s="50"/>
      <c r="K10" s="43"/>
      <c r="L10" s="44"/>
      <c r="M10" s="39"/>
      <c r="N10" s="43"/>
      <c r="O10" s="44"/>
      <c r="P10" s="40"/>
    </row>
    <row r="11" spans="1:16" ht="15.75" thickTop="1">
      <c r="A11" s="43"/>
      <c r="B11" s="39"/>
      <c r="C11" s="40"/>
      <c r="D11" s="50"/>
      <c r="E11" s="39"/>
      <c r="F11" s="39"/>
      <c r="G11" s="39"/>
      <c r="H11" s="39"/>
      <c r="I11" s="50"/>
      <c r="K11" s="45" t="s">
        <v>167</v>
      </c>
      <c r="L11" s="46">
        <f>SUM(L9-L7)</f>
        <v>4.0000000000000036E-3</v>
      </c>
      <c r="M11" s="41"/>
      <c r="N11" s="45" t="s">
        <v>167</v>
      </c>
      <c r="O11" s="46">
        <f>SUM(O9-O7)</f>
        <v>4.0000000000000036E-3</v>
      </c>
      <c r="P11" s="40"/>
    </row>
    <row r="12" spans="1:16">
      <c r="A12" s="43" t="s">
        <v>198</v>
      </c>
      <c r="B12" s="67">
        <f>SUM(B7-(ABS(B9)))</f>
        <v>7.5999999999999998E-2</v>
      </c>
      <c r="C12" s="67" t="s">
        <v>204</v>
      </c>
      <c r="D12" s="69">
        <f>IF(B10="yes",B12/25.4,B12)</f>
        <v>7.5999999999999998E-2</v>
      </c>
      <c r="E12" s="39"/>
      <c r="F12" s="39"/>
      <c r="G12" s="39"/>
      <c r="H12" s="39"/>
      <c r="I12" s="50"/>
      <c r="K12" s="45" t="s">
        <v>166</v>
      </c>
      <c r="L12" s="46">
        <f>SUM((L11)*0.5)/2</f>
        <v>1.0000000000000009E-3</v>
      </c>
      <c r="M12" s="41"/>
      <c r="N12" s="45" t="s">
        <v>166</v>
      </c>
      <c r="O12" s="46">
        <f>SUM((O11)*0.75)/2</f>
        <v>1.5000000000000013E-3</v>
      </c>
      <c r="P12" s="40"/>
    </row>
    <row r="13" spans="1:16">
      <c r="A13" s="51" t="s">
        <v>86</v>
      </c>
      <c r="B13" s="67">
        <f>SUM(B14,B12)/2</f>
        <v>7.8E-2</v>
      </c>
      <c r="C13" s="67" t="s">
        <v>204</v>
      </c>
      <c r="D13" s="69">
        <f>IF(B10="yes",B13/25.4,B13)</f>
        <v>7.8E-2</v>
      </c>
      <c r="E13" s="39"/>
      <c r="F13" s="39"/>
      <c r="G13" s="39"/>
      <c r="H13" s="39"/>
      <c r="I13" s="50"/>
      <c r="K13" s="43" t="s">
        <v>91</v>
      </c>
      <c r="L13" s="69">
        <f>SUM(L8-L12)</f>
        <v>7.6999999999999999E-2</v>
      </c>
      <c r="M13" s="39"/>
      <c r="N13" s="43" t="s">
        <v>91</v>
      </c>
      <c r="O13" s="69">
        <f>SUM(O8-O12)</f>
        <v>7.6499999999999999E-2</v>
      </c>
      <c r="P13" s="40"/>
    </row>
    <row r="14" spans="1:16" ht="15.75" thickBot="1">
      <c r="A14" s="47" t="s">
        <v>197</v>
      </c>
      <c r="B14" s="68">
        <f>SUM(B7+(ABS(B8)))</f>
        <v>0.08</v>
      </c>
      <c r="C14" s="68" t="s">
        <v>204</v>
      </c>
      <c r="D14" s="70">
        <f>IF(B10="yes",B14/25.4,B14)</f>
        <v>0.08</v>
      </c>
      <c r="E14" s="60"/>
      <c r="F14" s="60"/>
      <c r="G14" s="60"/>
      <c r="H14" s="60"/>
      <c r="I14" s="61"/>
      <c r="K14" s="47" t="s">
        <v>92</v>
      </c>
      <c r="L14" s="70">
        <f>SUM(L8+L12)</f>
        <v>7.9000000000000001E-2</v>
      </c>
      <c r="M14" s="60"/>
      <c r="N14" s="47" t="s">
        <v>92</v>
      </c>
      <c r="O14" s="70">
        <f>SUM(O8+O12)</f>
        <v>7.9500000000000001E-2</v>
      </c>
      <c r="P14" s="40"/>
    </row>
    <row r="15" spans="1:16">
      <c r="L15" s="32"/>
    </row>
    <row r="16" spans="1:16">
      <c r="L16" s="32"/>
    </row>
    <row r="17" spans="1:20" ht="76.5" customHeight="1">
      <c r="A17" s="334" t="s">
        <v>242</v>
      </c>
      <c r="B17" s="335"/>
      <c r="C17" s="335"/>
      <c r="D17" s="335"/>
      <c r="E17" s="335"/>
      <c r="F17" s="335"/>
      <c r="G17" s="335"/>
      <c r="H17" s="335"/>
      <c r="I17" s="335"/>
      <c r="J17" s="335"/>
      <c r="K17" s="335"/>
      <c r="L17" s="335"/>
      <c r="M17" s="335"/>
      <c r="N17" s="335"/>
      <c r="O17" s="335"/>
      <c r="P17" s="335"/>
      <c r="Q17" s="335"/>
      <c r="R17" s="335"/>
      <c r="S17" s="335"/>
      <c r="T17" s="335"/>
    </row>
    <row r="18" spans="1:20">
      <c r="L18" s="32"/>
    </row>
    <row r="19" spans="1:20">
      <c r="B19" s="34" t="s">
        <v>89</v>
      </c>
      <c r="C19" s="34" t="s">
        <v>236</v>
      </c>
      <c r="D19" s="34" t="s">
        <v>290</v>
      </c>
      <c r="F19" s="4" t="s">
        <v>241</v>
      </c>
      <c r="G19" s="4" t="s">
        <v>238</v>
      </c>
      <c r="L19" s="32"/>
    </row>
    <row r="20" spans="1:20">
      <c r="B20" s="64">
        <f>$B$12</f>
        <v>7.5999999999999998E-2</v>
      </c>
      <c r="C20" s="64">
        <f>$B$13</f>
        <v>7.8E-2</v>
      </c>
      <c r="D20" s="64">
        <f>$B$14</f>
        <v>0.08</v>
      </c>
      <c r="F20" s="65" t="s">
        <v>237</v>
      </c>
      <c r="G20" s="66" t="str">
        <f>CONCATENATE("(",TEXT(L13,".0000")," ",TEXT(L14,".0000")," SET) (",TEXT(L7,".0000")," ",TEXT(L9,".0000")," FULL)")</f>
        <v>(.0770 .0790 SET) (.0760 .0800 FULL)</v>
      </c>
      <c r="L20" s="32"/>
    </row>
    <row r="21" spans="1:20">
      <c r="F21" s="30" t="s">
        <v>239</v>
      </c>
      <c r="G21" s="66" t="str">
        <f>CONCATENATE("(",TEXT(O13,".0000")," ",TEXT(O14,".0000")," SET) (",TEXT(L7,".0000")," ",TEXT(L9,".0000")," FULL)")</f>
        <v>(.0765 .0795 SET) (.0760 .0800 FULL)</v>
      </c>
      <c r="L21" s="32"/>
    </row>
    <row r="22" spans="1:20">
      <c r="F22" s="30" t="s">
        <v>240</v>
      </c>
      <c r="G22" s="66" t="str">
        <f>CONCATENATE(" (",TEXT(L7,".0000")," ",TEXT(L9,".0000")," FULL)")</f>
        <v xml:space="preserve"> (.0760 .0800 FULL)</v>
      </c>
      <c r="L22" s="32"/>
    </row>
    <row r="23" spans="1:20">
      <c r="L23" s="32"/>
    </row>
    <row r="24" spans="1:20">
      <c r="L24" s="32"/>
    </row>
    <row r="25" spans="1:20">
      <c r="L25" s="32"/>
    </row>
    <row r="26" spans="1:20">
      <c r="L26" s="32"/>
    </row>
    <row r="27" spans="1:20">
      <c r="L27" s="32"/>
    </row>
    <row r="28" spans="1:20">
      <c r="L28" s="32"/>
    </row>
    <row r="29" spans="1:20">
      <c r="L29" s="32"/>
    </row>
    <row r="30" spans="1:20">
      <c r="L30" s="32"/>
    </row>
  </sheetData>
  <sheetProtection algorithmName="SHA-512" hashValue="15eEnDklUZXWCkj5HZ3roMFDaE1/Z/gHXIUm6Kgy9rV7XwMKboYa+Qpe7P6HKsxsyCobYy5ZhkwcKBrI1a6CTA==" saltValue="GhPH4bpPk2UwTey44WMQwQ==" spinCount="100000" sheet="1" objects="1" scenarios="1"/>
  <customSheetViews>
    <customSheetView guid="{F0DBE041-7F72-4DC6-B849-ADDFA5F25C5A}">
      <selection activeCell="F2" sqref="F2"/>
      <pageMargins left="0.7" right="0.7" top="0.75" bottom="0.75" header="0.3" footer="0.3"/>
      <pageSetup orientation="portrait"/>
    </customSheetView>
  </customSheetViews>
  <mergeCells count="4">
    <mergeCell ref="K6:L6"/>
    <mergeCell ref="N6:O6"/>
    <mergeCell ref="A6:D6"/>
    <mergeCell ref="A17:T17"/>
  </mergeCells>
  <conditionalFormatting sqref="F20">
    <cfRule type="expression" dxfId="19" priority="5">
      <formula>$L$11&gt;=0.002</formula>
    </cfRule>
  </conditionalFormatting>
  <conditionalFormatting sqref="F21">
    <cfRule type="expression" dxfId="18" priority="2">
      <formula>AND(L11&gt;0.001,L11&lt;0.002)</formula>
    </cfRule>
  </conditionalFormatting>
  <conditionalFormatting sqref="F22">
    <cfRule type="expression" dxfId="17" priority="1">
      <formula>$L$11&lt;=0.001</formula>
    </cfRule>
  </conditionalFormatting>
  <dataValidations count="1">
    <dataValidation type="list" allowBlank="1" showInputMessage="1" showErrorMessage="1" sqref="B10:C10" xr:uid="{00000000-0002-0000-0400-000000000000}">
      <formula1>#REF!</formula1>
    </dataValidation>
  </dataValidation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C2CAC-6B8C-4E45-AABD-9093AAD687D5}">
  <sheetPr codeName="Sheet3"/>
  <dimension ref="A1:M55"/>
  <sheetViews>
    <sheetView workbookViewId="0">
      <selection activeCell="G8" sqref="G8"/>
    </sheetView>
  </sheetViews>
  <sheetFormatPr defaultColWidth="9.140625" defaultRowHeight="15"/>
  <cols>
    <col min="1" max="1" width="15.5703125" style="73" bestFit="1" customWidth="1"/>
    <col min="2" max="2" width="19.7109375" style="73" bestFit="1" customWidth="1"/>
    <col min="3" max="3" width="10.42578125" style="109" bestFit="1" customWidth="1"/>
    <col min="4" max="4" width="11.28515625" style="111" bestFit="1" customWidth="1"/>
    <col min="5" max="5" width="10" style="109" customWidth="1"/>
    <col min="6" max="6" width="11.5703125" style="111" bestFit="1" customWidth="1"/>
    <col min="7" max="8" width="19.28515625" style="112" customWidth="1"/>
    <col min="9" max="9" width="9.140625" style="109"/>
    <col min="10" max="10" width="10.85546875" style="109" bestFit="1" customWidth="1"/>
    <col min="11" max="11" width="9.5703125" style="109" bestFit="1" customWidth="1"/>
    <col min="12" max="12" width="11.28515625" style="110" bestFit="1" customWidth="1"/>
    <col min="13" max="13" width="43.7109375" style="73" customWidth="1"/>
    <col min="14" max="16384" width="9.140625" style="73"/>
  </cols>
  <sheetData>
    <row r="1" spans="1:13">
      <c r="A1" s="336" t="s">
        <v>298</v>
      </c>
      <c r="B1" s="336"/>
      <c r="C1" s="336"/>
      <c r="D1" s="336"/>
      <c r="E1" s="336"/>
      <c r="F1" s="336"/>
      <c r="G1" s="336"/>
      <c r="H1" s="336"/>
      <c r="I1" s="336"/>
      <c r="J1" s="336"/>
      <c r="K1" s="336"/>
      <c r="L1" s="336"/>
      <c r="M1" s="336"/>
    </row>
    <row r="2" spans="1:13">
      <c r="A2" s="31" t="s">
        <v>299</v>
      </c>
      <c r="B2" s="31" t="s">
        <v>300</v>
      </c>
      <c r="C2" s="105" t="s">
        <v>301</v>
      </c>
      <c r="D2" s="106" t="s">
        <v>302</v>
      </c>
      <c r="E2" s="105" t="s">
        <v>303</v>
      </c>
      <c r="F2" s="106" t="s">
        <v>304</v>
      </c>
      <c r="G2" s="15" t="s">
        <v>305</v>
      </c>
      <c r="H2" s="15" t="s">
        <v>306</v>
      </c>
      <c r="I2" s="105" t="s">
        <v>307</v>
      </c>
      <c r="J2" s="105" t="s">
        <v>308</v>
      </c>
      <c r="K2" s="105" t="s">
        <v>309</v>
      </c>
      <c r="L2" s="107" t="s">
        <v>310</v>
      </c>
      <c r="M2" s="31" t="s">
        <v>312</v>
      </c>
    </row>
    <row r="3" spans="1:13">
      <c r="A3" s="31">
        <v>4</v>
      </c>
      <c r="B3" s="31" t="s">
        <v>311</v>
      </c>
      <c r="C3" s="105">
        <f>SUM(D3-F3)</f>
        <v>0</v>
      </c>
      <c r="D3" s="106"/>
      <c r="E3" s="105">
        <f>SUM(D3+F3)</f>
        <v>0</v>
      </c>
      <c r="F3" s="106"/>
      <c r="G3" s="15"/>
      <c r="H3" s="15"/>
      <c r="I3" s="105">
        <f>SUM(C3-G3)</f>
        <v>0</v>
      </c>
      <c r="J3" s="105">
        <f>SUM(I3,K3)/2</f>
        <v>0</v>
      </c>
      <c r="K3" s="105">
        <f>SUM(E3-H3)</f>
        <v>0</v>
      </c>
      <c r="L3" s="107">
        <f>SUM(K3-I3)/2</f>
        <v>0</v>
      </c>
      <c r="M3" s="31"/>
    </row>
    <row r="4" spans="1:13">
      <c r="A4" s="31">
        <v>6</v>
      </c>
      <c r="B4" s="31" t="s">
        <v>311</v>
      </c>
      <c r="C4" s="105">
        <f t="shared" ref="C4:C6" si="0">SUM(D4-F4)</f>
        <v>0</v>
      </c>
      <c r="D4" s="106"/>
      <c r="E4" s="105">
        <f t="shared" ref="E4:E6" si="1">SUM(D4+F4)</f>
        <v>0</v>
      </c>
      <c r="F4" s="106"/>
      <c r="G4" s="15"/>
      <c r="H4" s="15"/>
      <c r="I4" s="105">
        <f t="shared" ref="I4:I6" si="2">SUM(C4-G4)</f>
        <v>0</v>
      </c>
      <c r="J4" s="105">
        <f>SUM(I4,K4)/2</f>
        <v>0</v>
      </c>
      <c r="K4" s="105">
        <f t="shared" ref="K4:K6" si="3">SUM(E4-H4)</f>
        <v>0</v>
      </c>
      <c r="L4" s="108">
        <f>SUM(K4-I4)/2</f>
        <v>0</v>
      </c>
      <c r="M4" s="31"/>
    </row>
    <row r="5" spans="1:13">
      <c r="A5" s="31">
        <v>7</v>
      </c>
      <c r="B5" s="31" t="s">
        <v>311</v>
      </c>
      <c r="C5" s="105">
        <f t="shared" si="0"/>
        <v>0</v>
      </c>
      <c r="D5" s="106"/>
      <c r="E5" s="105">
        <f t="shared" si="1"/>
        <v>0</v>
      </c>
      <c r="F5" s="106"/>
      <c r="G5" s="15"/>
      <c r="H5" s="15"/>
      <c r="I5" s="105">
        <f t="shared" si="2"/>
        <v>0</v>
      </c>
      <c r="J5" s="105">
        <f>SUM(I5,K5)/2</f>
        <v>0</v>
      </c>
      <c r="K5" s="105">
        <f t="shared" si="3"/>
        <v>0</v>
      </c>
      <c r="L5" s="108">
        <f>SUM(K5-I5)/2</f>
        <v>0</v>
      </c>
      <c r="M5" s="31"/>
    </row>
    <row r="6" spans="1:13">
      <c r="A6" s="31">
        <v>11</v>
      </c>
      <c r="B6" s="31" t="s">
        <v>311</v>
      </c>
      <c r="C6" s="105">
        <f t="shared" si="0"/>
        <v>0</v>
      </c>
      <c r="D6" s="106"/>
      <c r="E6" s="105">
        <f t="shared" si="1"/>
        <v>0</v>
      </c>
      <c r="F6" s="106"/>
      <c r="G6" s="15"/>
      <c r="H6" s="15"/>
      <c r="I6" s="105">
        <f t="shared" si="2"/>
        <v>0</v>
      </c>
      <c r="J6" s="105">
        <f>SUM(I6,K6)/2</f>
        <v>0</v>
      </c>
      <c r="K6" s="105">
        <f t="shared" si="3"/>
        <v>0</v>
      </c>
      <c r="L6" s="107">
        <f>SUM(K6-I6)/2</f>
        <v>0</v>
      </c>
      <c r="M6" s="31"/>
    </row>
    <row r="7" spans="1:13">
      <c r="A7" s="31"/>
      <c r="B7" s="31"/>
      <c r="C7" s="105"/>
      <c r="D7" s="106"/>
      <c r="E7" s="105"/>
      <c r="F7" s="106"/>
      <c r="G7" s="15"/>
      <c r="H7" s="15"/>
      <c r="I7" s="105"/>
      <c r="J7" s="105"/>
      <c r="K7" s="105"/>
      <c r="L7" s="107"/>
      <c r="M7" s="31"/>
    </row>
    <row r="8" spans="1:13">
      <c r="A8" s="31"/>
      <c r="B8" s="31"/>
      <c r="C8" s="105"/>
      <c r="D8" s="106"/>
      <c r="E8" s="105"/>
      <c r="F8" s="106"/>
      <c r="G8" s="15"/>
      <c r="H8" s="15"/>
      <c r="I8" s="105"/>
      <c r="K8" s="105"/>
    </row>
    <row r="9" spans="1:13">
      <c r="A9" s="31"/>
      <c r="B9" s="31"/>
      <c r="C9" s="105"/>
      <c r="D9" s="106"/>
      <c r="E9" s="105"/>
      <c r="F9" s="106"/>
      <c r="G9" s="15"/>
      <c r="H9" s="15"/>
      <c r="I9" s="105"/>
      <c r="K9" s="105"/>
    </row>
    <row r="10" spans="1:13">
      <c r="A10" s="31"/>
      <c r="B10" s="31"/>
      <c r="C10" s="105"/>
      <c r="D10" s="106"/>
      <c r="E10" s="105"/>
      <c r="F10" s="106"/>
      <c r="G10" s="15"/>
      <c r="H10" s="15"/>
      <c r="I10" s="105"/>
      <c r="K10" s="105"/>
    </row>
    <row r="11" spans="1:13">
      <c r="A11" s="31"/>
      <c r="B11" s="31"/>
      <c r="C11" s="105"/>
      <c r="D11" s="106"/>
      <c r="E11" s="105"/>
      <c r="F11" s="106"/>
      <c r="G11" s="15"/>
      <c r="H11" s="15"/>
      <c r="I11" s="105"/>
      <c r="K11" s="105"/>
    </row>
    <row r="12" spans="1:13">
      <c r="A12" s="31"/>
      <c r="B12" s="31"/>
      <c r="C12" s="105"/>
      <c r="D12" s="106"/>
      <c r="E12" s="105"/>
      <c r="F12" s="106"/>
      <c r="G12" s="15"/>
      <c r="H12" s="15"/>
      <c r="I12" s="105"/>
      <c r="K12" s="105"/>
    </row>
    <row r="13" spans="1:13">
      <c r="A13" s="31"/>
      <c r="B13" s="31"/>
      <c r="C13" s="105"/>
      <c r="D13" s="106"/>
      <c r="E13" s="105"/>
      <c r="F13" s="106"/>
      <c r="G13" s="15"/>
      <c r="H13" s="15"/>
      <c r="I13" s="105"/>
      <c r="K13" s="105"/>
    </row>
    <row r="14" spans="1:13">
      <c r="A14" s="31"/>
      <c r="B14" s="31"/>
      <c r="C14" s="105"/>
      <c r="D14" s="106"/>
      <c r="E14" s="105"/>
      <c r="F14" s="106"/>
      <c r="G14" s="15"/>
      <c r="H14" s="15"/>
      <c r="I14" s="105"/>
      <c r="K14" s="105"/>
    </row>
    <row r="15" spans="1:13">
      <c r="A15" s="31"/>
      <c r="B15" s="31"/>
      <c r="C15" s="105"/>
      <c r="D15" s="106"/>
      <c r="E15" s="105"/>
      <c r="F15" s="106"/>
      <c r="G15" s="15"/>
      <c r="H15" s="15"/>
      <c r="I15" s="105"/>
      <c r="K15" s="105"/>
    </row>
    <row r="16" spans="1:13">
      <c r="A16" s="31"/>
      <c r="B16" s="31"/>
      <c r="C16" s="105"/>
      <c r="D16" s="106"/>
      <c r="E16" s="105"/>
      <c r="F16" s="106"/>
      <c r="G16" s="15"/>
      <c r="H16" s="15"/>
      <c r="I16" s="105"/>
      <c r="K16" s="105"/>
    </row>
    <row r="17" spans="1:11">
      <c r="A17" s="31"/>
      <c r="B17" s="31"/>
      <c r="C17" s="105"/>
      <c r="D17" s="106"/>
      <c r="E17" s="105"/>
      <c r="F17" s="106"/>
      <c r="G17" s="15"/>
      <c r="H17" s="15"/>
      <c r="I17" s="105"/>
      <c r="K17" s="105"/>
    </row>
    <row r="18" spans="1:11">
      <c r="A18" s="31"/>
      <c r="B18" s="31"/>
      <c r="C18" s="105"/>
      <c r="D18" s="106"/>
      <c r="E18" s="105"/>
      <c r="F18" s="106"/>
      <c r="G18" s="15"/>
      <c r="H18" s="15"/>
      <c r="I18" s="105"/>
      <c r="K18" s="105"/>
    </row>
    <row r="19" spans="1:11">
      <c r="A19" s="31"/>
      <c r="B19" s="31"/>
      <c r="C19" s="105"/>
      <c r="D19" s="106"/>
      <c r="E19" s="105"/>
      <c r="F19" s="106"/>
      <c r="G19" s="15"/>
      <c r="H19" s="15"/>
      <c r="I19" s="105"/>
      <c r="K19" s="105"/>
    </row>
    <row r="20" spans="1:11">
      <c r="A20" s="31"/>
      <c r="B20" s="31"/>
      <c r="C20" s="105"/>
      <c r="D20" s="106"/>
      <c r="E20" s="105"/>
      <c r="F20" s="106"/>
      <c r="G20" s="15"/>
      <c r="H20" s="15"/>
      <c r="I20" s="105"/>
      <c r="K20" s="105"/>
    </row>
    <row r="21" spans="1:11">
      <c r="A21" s="31"/>
      <c r="B21" s="31"/>
      <c r="C21" s="105"/>
      <c r="D21" s="106"/>
      <c r="E21" s="105"/>
      <c r="F21" s="106"/>
      <c r="G21" s="15"/>
      <c r="H21" s="15"/>
      <c r="I21" s="105"/>
      <c r="K21" s="105"/>
    </row>
    <row r="22" spans="1:11">
      <c r="A22" s="31"/>
      <c r="B22" s="31"/>
      <c r="C22" s="105"/>
      <c r="D22" s="106"/>
      <c r="E22" s="105"/>
      <c r="F22" s="106"/>
      <c r="G22" s="15"/>
      <c r="H22" s="15"/>
      <c r="I22" s="105"/>
      <c r="K22" s="105"/>
    </row>
    <row r="23" spans="1:11">
      <c r="A23" s="31"/>
      <c r="B23" s="31"/>
      <c r="C23" s="105"/>
      <c r="D23" s="106"/>
      <c r="E23" s="105"/>
      <c r="F23" s="106"/>
      <c r="G23" s="15"/>
      <c r="H23" s="15"/>
      <c r="I23" s="105"/>
      <c r="K23" s="105"/>
    </row>
    <row r="24" spans="1:11">
      <c r="A24" s="31"/>
      <c r="B24" s="31"/>
      <c r="C24" s="105"/>
      <c r="D24" s="106"/>
      <c r="E24" s="105"/>
      <c r="F24" s="106"/>
      <c r="G24" s="15"/>
      <c r="H24" s="15"/>
      <c r="I24" s="105"/>
      <c r="K24" s="105"/>
    </row>
    <row r="25" spans="1:11">
      <c r="A25" s="31"/>
      <c r="B25" s="31"/>
      <c r="C25" s="105"/>
      <c r="D25" s="106"/>
      <c r="E25" s="105"/>
      <c r="F25" s="106"/>
      <c r="G25" s="15"/>
      <c r="H25" s="15"/>
      <c r="I25" s="105"/>
      <c r="K25" s="105"/>
    </row>
    <row r="26" spans="1:11">
      <c r="A26" s="31"/>
      <c r="B26" s="31"/>
      <c r="C26" s="105"/>
      <c r="D26" s="106"/>
      <c r="E26" s="105"/>
      <c r="F26" s="106"/>
      <c r="G26" s="15"/>
      <c r="H26" s="15"/>
      <c r="I26" s="105"/>
      <c r="K26" s="105"/>
    </row>
    <row r="27" spans="1:11">
      <c r="A27" s="31"/>
      <c r="B27" s="31"/>
      <c r="C27" s="105"/>
      <c r="D27" s="106"/>
      <c r="E27" s="105"/>
      <c r="F27" s="106"/>
      <c r="G27" s="15"/>
      <c r="H27" s="15"/>
      <c r="I27" s="105"/>
      <c r="K27" s="105"/>
    </row>
    <row r="28" spans="1:11">
      <c r="A28" s="31"/>
      <c r="B28" s="31"/>
      <c r="C28" s="105"/>
      <c r="D28" s="106"/>
      <c r="E28" s="105"/>
      <c r="F28" s="106"/>
      <c r="G28" s="15"/>
      <c r="H28" s="15"/>
      <c r="I28" s="105"/>
      <c r="K28" s="105"/>
    </row>
    <row r="29" spans="1:11">
      <c r="A29" s="31"/>
      <c r="B29" s="31"/>
      <c r="C29" s="105"/>
      <c r="D29" s="106"/>
      <c r="E29" s="105"/>
      <c r="F29" s="106"/>
      <c r="G29" s="15"/>
      <c r="H29" s="15"/>
      <c r="I29" s="105"/>
      <c r="K29" s="105"/>
    </row>
    <row r="30" spans="1:11">
      <c r="A30" s="31"/>
      <c r="B30" s="31"/>
      <c r="C30" s="105"/>
      <c r="D30" s="106"/>
      <c r="E30" s="105"/>
      <c r="F30" s="106"/>
      <c r="G30" s="15"/>
      <c r="H30" s="15"/>
      <c r="I30" s="105"/>
      <c r="K30" s="105"/>
    </row>
    <row r="31" spans="1:11">
      <c r="A31" s="31"/>
      <c r="B31" s="31"/>
      <c r="C31" s="105"/>
      <c r="D31" s="106"/>
      <c r="E31" s="105"/>
      <c r="F31" s="106"/>
      <c r="G31" s="15"/>
      <c r="H31" s="15"/>
      <c r="I31" s="105"/>
      <c r="K31" s="105"/>
    </row>
    <row r="32" spans="1:11">
      <c r="A32" s="31"/>
      <c r="B32" s="31"/>
      <c r="C32" s="105"/>
      <c r="D32" s="106"/>
      <c r="E32" s="105"/>
      <c r="F32" s="106"/>
      <c r="G32" s="15"/>
      <c r="H32" s="15"/>
      <c r="I32" s="105"/>
      <c r="K32" s="105"/>
    </row>
    <row r="33" spans="1:11">
      <c r="A33" s="31"/>
      <c r="B33" s="31"/>
      <c r="C33" s="105"/>
      <c r="D33" s="106"/>
      <c r="E33" s="105"/>
      <c r="F33" s="106"/>
      <c r="G33" s="15"/>
      <c r="H33" s="15"/>
      <c r="I33" s="105"/>
      <c r="K33" s="105"/>
    </row>
    <row r="34" spans="1:11">
      <c r="A34" s="31"/>
      <c r="B34" s="31"/>
      <c r="C34" s="105"/>
      <c r="D34" s="106"/>
      <c r="E34" s="105"/>
      <c r="F34" s="106"/>
      <c r="G34" s="15"/>
      <c r="H34" s="15"/>
      <c r="I34" s="105"/>
      <c r="K34" s="105"/>
    </row>
    <row r="35" spans="1:11">
      <c r="A35" s="31"/>
      <c r="B35" s="31"/>
      <c r="C35" s="105"/>
      <c r="D35" s="106"/>
      <c r="E35" s="105"/>
      <c r="F35" s="106"/>
      <c r="G35" s="15"/>
      <c r="H35" s="15"/>
      <c r="I35" s="105"/>
      <c r="K35" s="105"/>
    </row>
    <row r="36" spans="1:11">
      <c r="A36" s="31"/>
      <c r="B36" s="31"/>
      <c r="C36" s="105"/>
      <c r="D36" s="106"/>
      <c r="E36" s="105"/>
      <c r="F36" s="106"/>
      <c r="G36" s="15"/>
      <c r="H36" s="15"/>
      <c r="I36" s="105"/>
      <c r="K36" s="105"/>
    </row>
    <row r="37" spans="1:11">
      <c r="A37" s="31"/>
      <c r="B37" s="31"/>
      <c r="C37" s="105"/>
      <c r="D37" s="106"/>
      <c r="E37" s="105"/>
      <c r="F37" s="106"/>
      <c r="G37" s="15"/>
      <c r="H37" s="15"/>
      <c r="I37" s="105"/>
      <c r="K37" s="105"/>
    </row>
    <row r="38" spans="1:11">
      <c r="A38" s="31"/>
      <c r="B38" s="31"/>
      <c r="C38" s="105"/>
      <c r="D38" s="106"/>
      <c r="E38" s="105"/>
      <c r="F38" s="106"/>
      <c r="G38" s="15"/>
      <c r="H38" s="15"/>
      <c r="I38" s="105"/>
      <c r="K38" s="105"/>
    </row>
    <row r="39" spans="1:11">
      <c r="A39" s="31"/>
      <c r="B39" s="31"/>
      <c r="C39" s="105"/>
      <c r="D39" s="106"/>
      <c r="E39" s="105"/>
      <c r="F39" s="106"/>
      <c r="G39" s="15"/>
      <c r="H39" s="15"/>
      <c r="I39" s="105"/>
      <c r="K39" s="105"/>
    </row>
    <row r="40" spans="1:11">
      <c r="A40" s="31"/>
      <c r="B40" s="31"/>
      <c r="C40" s="105"/>
      <c r="D40" s="106"/>
      <c r="E40" s="105"/>
      <c r="F40" s="106"/>
      <c r="G40" s="15"/>
      <c r="H40" s="15"/>
      <c r="I40" s="105"/>
      <c r="K40" s="105"/>
    </row>
    <row r="41" spans="1:11">
      <c r="A41" s="31"/>
      <c r="B41" s="31"/>
      <c r="C41" s="105"/>
      <c r="D41" s="106"/>
      <c r="E41" s="105"/>
      <c r="F41" s="106"/>
      <c r="G41" s="15"/>
      <c r="H41" s="15"/>
      <c r="I41" s="105"/>
      <c r="K41" s="105"/>
    </row>
    <row r="42" spans="1:11">
      <c r="A42" s="31"/>
      <c r="B42" s="31"/>
      <c r="C42" s="105"/>
      <c r="D42" s="106"/>
      <c r="E42" s="105"/>
      <c r="F42" s="106"/>
      <c r="G42" s="15"/>
      <c r="H42" s="15"/>
      <c r="I42" s="105"/>
      <c r="K42" s="105"/>
    </row>
    <row r="43" spans="1:11">
      <c r="A43" s="31"/>
      <c r="B43" s="31"/>
      <c r="C43" s="105"/>
      <c r="D43" s="106"/>
      <c r="E43" s="105"/>
      <c r="F43" s="106"/>
      <c r="G43" s="15"/>
      <c r="H43" s="15"/>
      <c r="I43" s="105"/>
      <c r="K43" s="105"/>
    </row>
    <row r="44" spans="1:11">
      <c r="A44" s="31"/>
      <c r="B44" s="31"/>
      <c r="C44" s="105"/>
      <c r="D44" s="106"/>
      <c r="E44" s="105"/>
      <c r="F44" s="106"/>
      <c r="G44" s="15"/>
      <c r="H44" s="15"/>
      <c r="I44" s="105"/>
      <c r="K44" s="105"/>
    </row>
    <row r="45" spans="1:11">
      <c r="A45" s="31"/>
      <c r="B45" s="31"/>
      <c r="C45" s="105"/>
      <c r="D45" s="106"/>
      <c r="E45" s="105"/>
      <c r="F45" s="106"/>
      <c r="G45" s="15"/>
      <c r="H45" s="15"/>
      <c r="I45" s="105"/>
      <c r="K45" s="105"/>
    </row>
    <row r="46" spans="1:11">
      <c r="A46" s="31"/>
      <c r="B46" s="31"/>
      <c r="C46" s="105"/>
      <c r="D46" s="106"/>
      <c r="E46" s="105"/>
      <c r="F46" s="106"/>
      <c r="G46" s="15"/>
      <c r="H46" s="15"/>
      <c r="I46" s="105"/>
      <c r="K46" s="105"/>
    </row>
    <row r="47" spans="1:11">
      <c r="A47" s="31"/>
      <c r="B47" s="31"/>
      <c r="C47" s="105"/>
      <c r="D47" s="106"/>
      <c r="E47" s="105"/>
      <c r="F47" s="106"/>
      <c r="G47" s="15"/>
      <c r="H47" s="15"/>
      <c r="I47" s="105"/>
      <c r="K47" s="105"/>
    </row>
    <row r="48" spans="1:11">
      <c r="A48" s="31"/>
      <c r="B48" s="31"/>
      <c r="C48" s="105"/>
      <c r="D48" s="106"/>
      <c r="E48" s="105"/>
      <c r="F48" s="106"/>
      <c r="G48" s="15"/>
      <c r="H48" s="15"/>
      <c r="I48" s="105"/>
      <c r="K48" s="105"/>
    </row>
    <row r="49" spans="1:11">
      <c r="A49" s="31"/>
      <c r="B49" s="31"/>
      <c r="C49" s="105"/>
      <c r="D49" s="106"/>
      <c r="E49" s="105"/>
      <c r="F49" s="106"/>
      <c r="G49" s="15"/>
      <c r="H49" s="15"/>
      <c r="I49" s="105"/>
      <c r="K49" s="105"/>
    </row>
    <row r="50" spans="1:11">
      <c r="A50" s="31"/>
      <c r="B50" s="31"/>
      <c r="C50" s="105"/>
      <c r="D50" s="106"/>
      <c r="E50" s="105"/>
      <c r="F50" s="106"/>
      <c r="G50" s="15"/>
      <c r="H50" s="15"/>
      <c r="I50" s="105"/>
      <c r="K50" s="105"/>
    </row>
    <row r="51" spans="1:11">
      <c r="A51" s="31"/>
      <c r="B51" s="31"/>
      <c r="C51" s="105"/>
      <c r="D51" s="106"/>
      <c r="E51" s="105"/>
      <c r="F51" s="106"/>
      <c r="G51" s="15"/>
      <c r="H51" s="15"/>
      <c r="I51" s="105"/>
      <c r="K51" s="105"/>
    </row>
    <row r="52" spans="1:11">
      <c r="A52" s="31"/>
      <c r="B52" s="31"/>
      <c r="C52" s="105"/>
      <c r="D52" s="106"/>
      <c r="E52" s="105"/>
      <c r="F52" s="106"/>
      <c r="G52" s="15"/>
      <c r="H52" s="15"/>
      <c r="I52" s="105"/>
      <c r="K52" s="105"/>
    </row>
    <row r="53" spans="1:11">
      <c r="A53" s="31"/>
      <c r="B53" s="31"/>
      <c r="C53" s="105"/>
      <c r="D53" s="106"/>
      <c r="E53" s="105"/>
      <c r="F53" s="106"/>
      <c r="G53" s="15"/>
      <c r="H53" s="15"/>
      <c r="I53" s="105"/>
      <c r="K53" s="105"/>
    </row>
    <row r="54" spans="1:11">
      <c r="A54" s="31"/>
      <c r="B54" s="31"/>
      <c r="C54" s="105"/>
      <c r="D54" s="106"/>
      <c r="E54" s="105"/>
      <c r="F54" s="106"/>
      <c r="G54" s="15"/>
      <c r="H54" s="15"/>
      <c r="I54" s="105"/>
      <c r="K54" s="105"/>
    </row>
    <row r="55" spans="1:11" ht="15.75" thickBot="1">
      <c r="A55" s="31"/>
      <c r="B55" s="31"/>
      <c r="C55" s="105"/>
      <c r="D55" s="106"/>
      <c r="E55" s="105"/>
      <c r="F55" s="106"/>
      <c r="G55" s="15"/>
      <c r="H55" s="15"/>
      <c r="I55" s="105"/>
      <c r="K55" s="105"/>
    </row>
  </sheetData>
  <mergeCells count="1">
    <mergeCell ref="A1:M1"/>
  </mergeCells>
  <pageMargins left="0.7" right="0.7" top="0.75" bottom="0.75" header="0.3" footer="0.3"/>
  <pageSetup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CF1020"/>
  <sheetViews>
    <sheetView topLeftCell="E1" workbookViewId="0">
      <pane ySplit="2" topLeftCell="A3" activePane="bottomLeft" state="frozen"/>
      <selection activeCell="E1" sqref="E1"/>
      <selection pane="bottomLeft" activeCell="E3" sqref="E3"/>
    </sheetView>
  </sheetViews>
  <sheetFormatPr defaultRowHeight="15"/>
  <cols>
    <col min="2" max="2" width="33" customWidth="1"/>
    <col min="3" max="3" width="4" style="33" customWidth="1"/>
    <col min="4" max="4" width="108.140625" bestFit="1" customWidth="1"/>
    <col min="5" max="5" width="33.5703125" bestFit="1" customWidth="1"/>
  </cols>
  <sheetData>
    <row r="1" spans="1:84">
      <c r="A1" s="337" t="s">
        <v>175</v>
      </c>
      <c r="B1" s="338"/>
      <c r="C1" s="338"/>
      <c r="D1" s="338"/>
    </row>
    <row r="2" spans="1:84">
      <c r="A2" s="29" t="s">
        <v>80</v>
      </c>
      <c r="B2" s="117" t="s">
        <v>114</v>
      </c>
      <c r="D2" s="36" t="s">
        <v>216</v>
      </c>
      <c r="E2" t="s">
        <v>324</v>
      </c>
    </row>
    <row r="3" spans="1:84">
      <c r="A3" s="31">
        <v>1</v>
      </c>
      <c r="B3" s="114" t="s">
        <v>97</v>
      </c>
      <c r="D3" s="31" t="s">
        <v>98</v>
      </c>
      <c r="E3" s="73" t="str">
        <f t="array" ref="E3:CF3">TRANSPOSE(_xlfn._xlws.SORT(_xlfn._xlws.FILTER(B3:B370,ISNUMBER(SEARCH('PartLib Table'!M9,B3:B370)),"not found")))</f>
        <v>(.2160 .2200 SET) (.2150 .2250 FINAL)</v>
      </c>
      <c r="F3" t="str">
        <v>.1250 HEX</v>
      </c>
      <c r="G3" t="str">
        <v>@ ID &amp; FACE</v>
      </c>
      <c r="H3" t="str">
        <v>@ OD &amp; BACK FACE</v>
      </c>
      <c r="I3" t="str">
        <v>AQL 1.0</v>
      </c>
      <c r="J3" t="str">
        <v>Balloon 7 Blank, Datum A = Ø.370</v>
      </c>
      <c r="K3" t="str">
        <v>Blank</v>
      </c>
      <c r="L3" t="str">
        <v xml:space="preserve">Blank, Thrd. </v>
      </c>
      <c r="M3" t="str">
        <v>BLAST Per Note 3</v>
      </c>
      <c r="N3" t="str">
        <v>Blast Per Note 4</v>
      </c>
      <c r="O3" t="str">
        <v>Blend to .340 Ø</v>
      </c>
      <c r="P3" t="str">
        <v>Broachless Blank</v>
      </c>
      <c r="Q3" t="str">
        <v>Calc.</v>
      </c>
      <c r="R3" t="str">
        <v xml:space="preserve">Center of V Grv. </v>
      </c>
      <c r="S3" t="str">
        <v>Centered within .001 or Less=Pass</v>
      </c>
      <c r="T3" t="str">
        <v>Check across from slot, Final AQL 1.0</v>
      </c>
      <c r="U3" t="str">
        <v>Check close to Rod Slot</v>
      </c>
      <c r="V3" t="str">
        <v>CMM Blank</v>
      </c>
      <c r="W3" t="str">
        <v>C-Sink</v>
      </c>
      <c r="X3" t="str">
        <v>Cust. Gauge</v>
      </c>
      <c r="Y3" t="str">
        <v>Diff.</v>
      </c>
      <c r="Z3" t="str">
        <v>Drawing Note 3</v>
      </c>
      <c r="AA3" t="str">
        <v>EXT. Sphere Location</v>
      </c>
      <c r="AB3" t="str">
        <v>Fav. Ang. Align</v>
      </c>
      <c r="AC3" t="str">
        <v>Final AQL 1.0</v>
      </c>
      <c r="AD3" t="str">
        <v>Go GaugeFunc.</v>
      </c>
      <c r="AE3" t="str">
        <v>Go Pin must pass through</v>
      </c>
      <c r="AF3" t="str">
        <v>Go Pin, No Light, at Radius</v>
      </c>
      <c r="AG3" t="str">
        <v>Grv. Wth.</v>
      </c>
      <c r="AH3" t="str">
        <v>Hex &amp; Lobe Oriented</v>
      </c>
      <c r="AI3" t="str">
        <v>Hex Minor to OD .0005 or less = Pass</v>
      </c>
      <c r="AJ3" t="str">
        <v>ID @ Face</v>
      </c>
      <c r="AK3" t="str">
        <v>Ind. Tip</v>
      </c>
      <c r="AL3" t="str">
        <v>Insp.</v>
      </c>
      <c r="AM3" t="str">
        <v>Insp. Fixt.</v>
      </c>
      <c r="AN3" t="str">
        <v>INT. Sphere Location.</v>
      </c>
      <c r="AO3" t="str">
        <v>Mfg. Tol.</v>
      </c>
      <c r="AP3" t="str">
        <v>NA</v>
      </c>
      <c r="AQ3" t="str">
        <v>NA</v>
      </c>
      <c r="AR3" t="str">
        <v>No Copper Deposits Allowed</v>
      </c>
      <c r="AS3" t="str">
        <v>No Section</v>
      </c>
      <c r="AT3" t="str">
        <v>O.A.L.</v>
      </c>
      <c r="AU3" t="str">
        <v>OL1234</v>
      </c>
      <c r="AV3" t="str">
        <v>One side of slot</v>
      </c>
      <c r="AW3" t="str">
        <v>Perp.|0.05|A|</v>
      </c>
      <c r="AX3" t="str">
        <v>Point Tip</v>
      </c>
      <c r="AY3" t="str">
        <v>Profile|.001|A|B| A&lt;-&gt;B C&lt;-&gt;D</v>
      </c>
      <c r="AZ3" t="str">
        <v>Profile|.0016|B|D|</v>
      </c>
      <c r="BA3" t="str">
        <v>Profile|.005|A|C|</v>
      </c>
      <c r="BB3" t="str">
        <v>Profile|.010|A|B|</v>
      </c>
      <c r="BC3" t="str">
        <v>Rotate Part</v>
      </c>
      <c r="BD3" t="str">
        <v>Same as 38_1</v>
      </c>
      <c r="BE3" t="str">
        <v>Section</v>
      </c>
      <c r="BF3" t="str">
        <v>Section, OL02560</v>
      </c>
      <c r="BG3" t="str">
        <v>See Comments Sheet</v>
      </c>
      <c r="BH3" t="str">
        <v>See Image</v>
      </c>
      <c r="BI3" t="str">
        <v>Sharp Okay, No Burr</v>
      </c>
      <c r="BJ3" t="str">
        <v>SØ.331</v>
      </c>
      <c r="BK3" t="str">
        <v>Start of Radius</v>
      </c>
      <c r="BL3" t="str">
        <v>Start of Radius @ .21 Ø</v>
      </c>
      <c r="BM3" t="str">
        <v>Surface Finish Per Note 1</v>
      </c>
      <c r="BN3" t="str">
        <v>T.S.C.</v>
      </c>
      <c r="BO3" t="str">
        <v>T3 HD1 TOOL SFI</v>
      </c>
      <c r="BP3" t="str">
        <v>Tangent Point</v>
      </c>
      <c r="BQ3" t="str">
        <v>Taper Check</v>
      </c>
      <c r="BR3" t="str">
        <v>Theo.</v>
      </c>
      <c r="BS3" t="str">
        <v>Thrd. Minor Ø</v>
      </c>
      <c r="BT3" t="str">
        <v>Thrd. Relief Ø</v>
      </c>
      <c r="BU3" t="str">
        <v>Threadless Blank</v>
      </c>
      <c r="BV3" t="str">
        <v>Threadless Blank</v>
      </c>
      <c r="BW3" t="str">
        <v>Thru. Hole Present</v>
      </c>
      <c r="BX3" t="str">
        <v>To center of R.005</v>
      </c>
      <c r="BY3" t="str">
        <v>Tot. Runout</v>
      </c>
      <c r="BZ3" t="str">
        <v>True Pos.</v>
      </c>
      <c r="CA3" t="str">
        <v>True Pos.|.001|B|</v>
      </c>
      <c r="CB3" t="str">
        <v>True Pos.|Ø.03 (M)|A</v>
      </c>
      <c r="CC3" t="str">
        <v>True. Pos.|Ø.001(M)|A|</v>
      </c>
      <c r="CD3" t="str">
        <v>Turn Ø Free of Mill Marks</v>
      </c>
      <c r="CE3" t="str">
        <v>UNI.</v>
      </c>
      <c r="CF3" t="str">
        <v>Use Go Hex</v>
      </c>
    </row>
    <row r="4" spans="1:84">
      <c r="A4" s="31">
        <v>2</v>
      </c>
      <c r="B4" s="114" t="s">
        <v>99</v>
      </c>
      <c r="D4" s="31" t="s">
        <v>100</v>
      </c>
      <c r="E4" s="73" t="str">
        <f t="array" ref="E4:CE4">TRANSPOSE(_xlfn._xlws.SORT(_xlfn._xlws.FILTER(B4:B371,ISNUMBER(SEARCH('PartLib Table'!M10,B4:B371)),"not found")))</f>
        <v>(.2160 .2200 SET) (.2150 .2250 FINAL)</v>
      </c>
      <c r="F4" t="str">
        <v>.1250 HEX</v>
      </c>
      <c r="G4" t="str">
        <v>@ ID &amp; FACE</v>
      </c>
      <c r="H4" t="str">
        <v>@ OD &amp; BACK FACE</v>
      </c>
      <c r="I4" t="str">
        <v>AQL 1.0</v>
      </c>
      <c r="J4" t="str">
        <v>Balloon 7 Blank, Datum A = Ø.370</v>
      </c>
      <c r="K4" t="str">
        <v>Blank</v>
      </c>
      <c r="L4" t="str">
        <v xml:space="preserve">Blank, Thrd. </v>
      </c>
      <c r="M4" t="str">
        <v>BLAST Per Note 3</v>
      </c>
      <c r="N4" t="str">
        <v>Blast Per Note 4</v>
      </c>
      <c r="O4" t="str">
        <v>Blend to .340 Ø</v>
      </c>
      <c r="P4" t="str">
        <v>Broachless Blank</v>
      </c>
      <c r="Q4" t="str">
        <v>Calc.</v>
      </c>
      <c r="R4" t="str">
        <v xml:space="preserve">Center of V Grv. </v>
      </c>
      <c r="S4" t="str">
        <v>Centered within .001 or Less=Pass</v>
      </c>
      <c r="T4" t="str">
        <v>Check across from slot, Final AQL 1.0</v>
      </c>
      <c r="U4" t="str">
        <v>Check close to Rod Slot</v>
      </c>
      <c r="V4" t="str">
        <v>CMM Blank</v>
      </c>
      <c r="W4" t="str">
        <v>C-Sink</v>
      </c>
      <c r="X4" t="str">
        <v>Cust. Gauge</v>
      </c>
      <c r="Y4" t="str">
        <v>Diff.</v>
      </c>
      <c r="Z4" t="str">
        <v>Drawing Note 3</v>
      </c>
      <c r="AA4" t="str">
        <v>EXT. Sphere Location</v>
      </c>
      <c r="AB4" t="str">
        <v>Fav. Ang. Align</v>
      </c>
      <c r="AC4" t="str">
        <v>Final AQL 1.0</v>
      </c>
      <c r="AD4" t="str">
        <v>Go GaugeFunc.</v>
      </c>
      <c r="AE4" t="str">
        <v>Go Pin must pass through</v>
      </c>
      <c r="AF4" t="str">
        <v>Go Pin, No Light, at Radius</v>
      </c>
      <c r="AG4" t="str">
        <v>Grv. Wth.</v>
      </c>
      <c r="AH4" t="str">
        <v>Hex &amp; Lobe Oriented</v>
      </c>
      <c r="AI4" t="str">
        <v>Hex Minor to OD .0005 or less = Pass</v>
      </c>
      <c r="AJ4" t="str">
        <v>ID @ Face</v>
      </c>
      <c r="AK4" t="str">
        <v>Ind. Tip</v>
      </c>
      <c r="AL4" t="str">
        <v>Insp.</v>
      </c>
      <c r="AM4" t="str">
        <v>Insp. Fixt.</v>
      </c>
      <c r="AN4" t="str">
        <v>INT. Sphere Location.</v>
      </c>
      <c r="AO4" t="str">
        <v>Mfg. Tol.</v>
      </c>
      <c r="AP4" t="str">
        <v>NA</v>
      </c>
      <c r="AQ4" t="str">
        <v>NA</v>
      </c>
      <c r="AR4" t="str">
        <v>No Copper Deposits Allowed</v>
      </c>
      <c r="AS4" t="str">
        <v>No Section</v>
      </c>
      <c r="AT4" t="str">
        <v>O.A.L.</v>
      </c>
      <c r="AU4" t="str">
        <v>One side of slot</v>
      </c>
      <c r="AV4" t="str">
        <v>Perp.|0.05|A|</v>
      </c>
      <c r="AW4" t="str">
        <v>Point Tip</v>
      </c>
      <c r="AX4" t="str">
        <v>Profile|.001|A|B| A&lt;-&gt;B C&lt;-&gt;D</v>
      </c>
      <c r="AY4" t="str">
        <v>Profile|.0016|B|D|</v>
      </c>
      <c r="AZ4" t="str">
        <v>Profile|.005|A|C|</v>
      </c>
      <c r="BA4" t="str">
        <v>Profile|.010|A|B|</v>
      </c>
      <c r="BB4" t="str">
        <v>Rotate Part</v>
      </c>
      <c r="BC4" t="str">
        <v>Same as 38_1</v>
      </c>
      <c r="BD4" t="str">
        <v>Section</v>
      </c>
      <c r="BE4" t="str">
        <v>Section, OL02560</v>
      </c>
      <c r="BF4" t="str">
        <v>See Comments Sheet</v>
      </c>
      <c r="BG4" t="str">
        <v>See Image</v>
      </c>
      <c r="BH4" t="str">
        <v>Sharp Okay, No Burr</v>
      </c>
      <c r="BI4" t="str">
        <v>SØ.331</v>
      </c>
      <c r="BJ4" t="str">
        <v>Start of Radius</v>
      </c>
      <c r="BK4" t="str">
        <v>Start of Radius @ .21 Ø</v>
      </c>
      <c r="BL4" t="str">
        <v>Surface Finish Per Note 1</v>
      </c>
      <c r="BM4" t="str">
        <v>T.S.C.</v>
      </c>
      <c r="BN4" t="str">
        <v>T3 HD1 TOOL SFI</v>
      </c>
      <c r="BO4" t="str">
        <v>Tangent Point</v>
      </c>
      <c r="BP4" t="str">
        <v>Taper Check</v>
      </c>
      <c r="BQ4" t="str">
        <v>Theo.</v>
      </c>
      <c r="BR4" t="str">
        <v>Thrd. Minor Ø</v>
      </c>
      <c r="BS4" t="str">
        <v>Thrd. Relief Ø</v>
      </c>
      <c r="BT4" t="str">
        <v>Threadless Blank</v>
      </c>
      <c r="BU4" t="str">
        <v>Threadless Blank</v>
      </c>
      <c r="BV4" t="str">
        <v>Thru. Hole Present</v>
      </c>
      <c r="BW4" t="str">
        <v>To center of R.005</v>
      </c>
      <c r="BX4" t="str">
        <v>Tot. Runout</v>
      </c>
      <c r="BY4" t="str">
        <v>True Pos.</v>
      </c>
      <c r="BZ4" t="str">
        <v>True Pos.|.001|B|</v>
      </c>
      <c r="CA4" t="str">
        <v>True Pos.|Ø.03 (M)|A</v>
      </c>
      <c r="CB4" t="str">
        <v>True. Pos.|Ø.001(M)|A|</v>
      </c>
      <c r="CC4" t="str">
        <v>Turn Ø Free of Mill Marks</v>
      </c>
      <c r="CD4" t="str">
        <v>UNI.</v>
      </c>
      <c r="CE4" t="str">
        <v>Use Go Hex</v>
      </c>
    </row>
    <row r="5" spans="1:84">
      <c r="A5" s="31">
        <v>3</v>
      </c>
      <c r="B5" s="114" t="s">
        <v>101</v>
      </c>
      <c r="D5" s="31" t="s">
        <v>129</v>
      </c>
      <c r="E5" s="73" t="str">
        <f t="array" ref="E5:CD5">TRANSPOSE(_xlfn._xlws.SORT(_xlfn._xlws.FILTER(B5:B372,ISNUMBER(SEARCH('PartLib Table'!M11,B5:B372)),"not found")))</f>
        <v>(.2160 .2200 SET) (.2150 .2250 FINAL)</v>
      </c>
      <c r="F5" t="str">
        <v>.1250 HEX</v>
      </c>
      <c r="G5" t="str">
        <v>@ ID &amp; FACE</v>
      </c>
      <c r="H5" t="str">
        <v>@ OD &amp; BACK FACE</v>
      </c>
      <c r="I5" t="str">
        <v>Balloon 7 Blank, Datum A = Ø.370</v>
      </c>
      <c r="J5" t="str">
        <v>Blank</v>
      </c>
      <c r="K5" t="str">
        <v xml:space="preserve">Blank, Thrd. </v>
      </c>
      <c r="L5" t="str">
        <v>BLAST Per Note 3</v>
      </c>
      <c r="M5" t="str">
        <v>Blast Per Note 4</v>
      </c>
      <c r="N5" t="str">
        <v>Blend to .340 Ø</v>
      </c>
      <c r="O5" t="str">
        <v>Broachless Blank</v>
      </c>
      <c r="P5" t="str">
        <v>Calc.</v>
      </c>
      <c r="Q5" t="str">
        <v xml:space="preserve">Center of V Grv. </v>
      </c>
      <c r="R5" t="str">
        <v>Centered within .001 or Less=Pass</v>
      </c>
      <c r="S5" t="str">
        <v>Check across from slot, Final AQL 1.0</v>
      </c>
      <c r="T5" t="str">
        <v>Check close to Rod Slot</v>
      </c>
      <c r="U5" t="str">
        <v>CMM Blank</v>
      </c>
      <c r="V5" t="str">
        <v>C-Sink</v>
      </c>
      <c r="W5" t="str">
        <v>Cust. Gauge</v>
      </c>
      <c r="X5" t="str">
        <v>Diff.</v>
      </c>
      <c r="Y5" t="str">
        <v>Drawing Note 3</v>
      </c>
      <c r="Z5" t="str">
        <v>EXT. Sphere Location</v>
      </c>
      <c r="AA5" t="str">
        <v>Fav. Ang. Align</v>
      </c>
      <c r="AB5" t="str">
        <v>Final AQL 1.0</v>
      </c>
      <c r="AC5" t="str">
        <v>Go GaugeFunc.</v>
      </c>
      <c r="AD5" t="str">
        <v>Go Pin must pass through</v>
      </c>
      <c r="AE5" t="str">
        <v>Go Pin, No Light, at Radius</v>
      </c>
      <c r="AF5" t="str">
        <v>Grv. Wth.</v>
      </c>
      <c r="AG5" t="str">
        <v>Hex &amp; Lobe Oriented</v>
      </c>
      <c r="AH5" t="str">
        <v>Hex Minor to OD .0005 or less = Pass</v>
      </c>
      <c r="AI5" t="str">
        <v>ID @ Face</v>
      </c>
      <c r="AJ5" t="str">
        <v>Ind. Tip</v>
      </c>
      <c r="AK5" t="str">
        <v>Insp.</v>
      </c>
      <c r="AL5" t="str">
        <v>Insp. Fixt.</v>
      </c>
      <c r="AM5" t="str">
        <v>INT. Sphere Location.</v>
      </c>
      <c r="AN5" t="str">
        <v>Mfg. Tol.</v>
      </c>
      <c r="AO5" t="str">
        <v>NA</v>
      </c>
      <c r="AP5" t="str">
        <v>NA</v>
      </c>
      <c r="AQ5" t="str">
        <v>No Copper Deposits Allowed</v>
      </c>
      <c r="AR5" t="str">
        <v>No Section</v>
      </c>
      <c r="AS5" t="str">
        <v>O.A.L.</v>
      </c>
      <c r="AT5" t="str">
        <v>One side of slot</v>
      </c>
      <c r="AU5" t="str">
        <v>Perp.|0.05|A|</v>
      </c>
      <c r="AV5" t="str">
        <v>Point Tip</v>
      </c>
      <c r="AW5" t="str">
        <v>Profile|.001|A|B| A&lt;-&gt;B C&lt;-&gt;D</v>
      </c>
      <c r="AX5" t="str">
        <v>Profile|.0016|B|D|</v>
      </c>
      <c r="AY5" t="str">
        <v>Profile|.005|A|C|</v>
      </c>
      <c r="AZ5" t="str">
        <v>Profile|.010|A|B|</v>
      </c>
      <c r="BA5" t="str">
        <v>Rotate Part</v>
      </c>
      <c r="BB5" t="str">
        <v>Same as 38_1</v>
      </c>
      <c r="BC5" t="str">
        <v>Section</v>
      </c>
      <c r="BD5" t="str">
        <v>Section, OL02560</v>
      </c>
      <c r="BE5" t="str">
        <v>See Comments Sheet</v>
      </c>
      <c r="BF5" t="str">
        <v>See Image</v>
      </c>
      <c r="BG5" t="str">
        <v>Sharp Okay, No Burr</v>
      </c>
      <c r="BH5" t="str">
        <v>SØ.331</v>
      </c>
      <c r="BI5" t="str">
        <v>Start of Radius</v>
      </c>
      <c r="BJ5" t="str">
        <v>Start of Radius @ .21 Ø</v>
      </c>
      <c r="BK5" t="str">
        <v>Surface Finish Per Note 1</v>
      </c>
      <c r="BL5" t="str">
        <v>T.S.C.</v>
      </c>
      <c r="BM5" t="str">
        <v>T3 HD1 TOOL SFI</v>
      </c>
      <c r="BN5" t="str">
        <v>Tangent Point</v>
      </c>
      <c r="BO5" t="str">
        <v>Taper Check</v>
      </c>
      <c r="BP5" t="str">
        <v>Theo.</v>
      </c>
      <c r="BQ5" t="str">
        <v>Thrd. Minor Ø</v>
      </c>
      <c r="BR5" t="str">
        <v>Thrd. Relief Ø</v>
      </c>
      <c r="BS5" t="str">
        <v>Threadless Blank</v>
      </c>
      <c r="BT5" t="str">
        <v>Threadless Blank</v>
      </c>
      <c r="BU5" t="str">
        <v>Thru. Hole Present</v>
      </c>
      <c r="BV5" t="str">
        <v>To center of R.005</v>
      </c>
      <c r="BW5" t="str">
        <v>Tot. Runout</v>
      </c>
      <c r="BX5" t="str">
        <v>True Pos.</v>
      </c>
      <c r="BY5" t="str">
        <v>True Pos.|.001|B|</v>
      </c>
      <c r="BZ5" t="str">
        <v>True Pos.|Ø.03 (M)|A</v>
      </c>
      <c r="CA5" t="str">
        <v>True. Pos.|Ø.001(M)|A|</v>
      </c>
      <c r="CB5" t="str">
        <v>Turn Ø Free of Mill Marks</v>
      </c>
      <c r="CC5" t="str">
        <v>UNI.</v>
      </c>
      <c r="CD5" t="str">
        <v>Use Go Hex</v>
      </c>
    </row>
    <row r="6" spans="1:84">
      <c r="A6" s="31">
        <v>4</v>
      </c>
      <c r="B6" s="114" t="s">
        <v>102</v>
      </c>
      <c r="D6" s="31" t="s">
        <v>103</v>
      </c>
      <c r="E6" s="73" t="str">
        <f t="array" ref="E6:CC6">TRANSPOSE(_xlfn._xlws.SORT(_xlfn._xlws.FILTER(B6:B373,ISNUMBER(SEARCH('PartLib Table'!M12,B6:B373)),"not found")))</f>
        <v>(.2160 .2200 SET) (.2150 .2250 FINAL)</v>
      </c>
      <c r="F6" t="str">
        <v>.1250 HEX</v>
      </c>
      <c r="G6" t="str">
        <v>@ ID &amp; FACE</v>
      </c>
      <c r="H6" t="str">
        <v>@ OD &amp; BACK FACE</v>
      </c>
      <c r="I6" t="str">
        <v>Balloon 7 Blank, Datum A = Ø.370</v>
      </c>
      <c r="J6" t="str">
        <v>Blank</v>
      </c>
      <c r="K6" t="str">
        <v xml:space="preserve">Blank, Thrd. </v>
      </c>
      <c r="L6" t="str">
        <v>BLAST Per Note 3</v>
      </c>
      <c r="M6" t="str">
        <v>Blast Per Note 4</v>
      </c>
      <c r="N6" t="str">
        <v>Blend to .340 Ø</v>
      </c>
      <c r="O6" t="str">
        <v>Broachless Blank</v>
      </c>
      <c r="P6" t="str">
        <v>Calc.</v>
      </c>
      <c r="Q6" t="str">
        <v xml:space="preserve">Center of V Grv. </v>
      </c>
      <c r="R6" t="str">
        <v>Centered within .001 or Less=Pass</v>
      </c>
      <c r="S6" t="str">
        <v>Check across from slot, Final AQL 1.0</v>
      </c>
      <c r="T6" t="str">
        <v>Check close to Rod Slot</v>
      </c>
      <c r="U6" t="str">
        <v>CMM Blank</v>
      </c>
      <c r="V6" t="str">
        <v>C-Sink</v>
      </c>
      <c r="W6" t="str">
        <v>Cust. Gauge</v>
      </c>
      <c r="X6" t="str">
        <v>Diff.</v>
      </c>
      <c r="Y6" t="str">
        <v>Drawing Note 3</v>
      </c>
      <c r="Z6" t="str">
        <v>EXT. Sphere Location</v>
      </c>
      <c r="AA6" t="str">
        <v>Fav. Ang. Align</v>
      </c>
      <c r="AB6" t="str">
        <v>Go GaugeFunc.</v>
      </c>
      <c r="AC6" t="str">
        <v>Go Pin must pass through</v>
      </c>
      <c r="AD6" t="str">
        <v>Go Pin, No Light, at Radius</v>
      </c>
      <c r="AE6" t="str">
        <v>Grv. Wth.</v>
      </c>
      <c r="AF6" t="str">
        <v>Hex &amp; Lobe Oriented</v>
      </c>
      <c r="AG6" t="str">
        <v>Hex Minor to OD .0005 or less = Pass</v>
      </c>
      <c r="AH6" t="str">
        <v>ID @ Face</v>
      </c>
      <c r="AI6" t="str">
        <v>Ind. Tip</v>
      </c>
      <c r="AJ6" t="str">
        <v>Insp.</v>
      </c>
      <c r="AK6" t="str">
        <v>Insp. Fixt.</v>
      </c>
      <c r="AL6" t="str">
        <v>INT. Sphere Location.</v>
      </c>
      <c r="AM6" t="str">
        <v>Mfg. Tol.</v>
      </c>
      <c r="AN6" t="str">
        <v>NA</v>
      </c>
      <c r="AO6" t="str">
        <v>NA</v>
      </c>
      <c r="AP6" t="str">
        <v>No Copper Deposits Allowed</v>
      </c>
      <c r="AQ6" t="str">
        <v>No Section</v>
      </c>
      <c r="AR6" t="str">
        <v>O.A.L.</v>
      </c>
      <c r="AS6" t="str">
        <v>One side of slot</v>
      </c>
      <c r="AT6" t="str">
        <v>Perp.|0.05|A|</v>
      </c>
      <c r="AU6" t="str">
        <v>Point Tip</v>
      </c>
      <c r="AV6" t="str">
        <v>Profile|.001|A|B| A&lt;-&gt;B C&lt;-&gt;D</v>
      </c>
      <c r="AW6" t="str">
        <v>Profile|.0016|B|D|</v>
      </c>
      <c r="AX6" t="str">
        <v>Profile|.005|A|C|</v>
      </c>
      <c r="AY6" t="str">
        <v>Profile|.010|A|B|</v>
      </c>
      <c r="AZ6" t="str">
        <v>Rotate Part</v>
      </c>
      <c r="BA6" t="str">
        <v>Same as 38_1</v>
      </c>
      <c r="BB6" t="str">
        <v>Section</v>
      </c>
      <c r="BC6" t="str">
        <v>Section, OL02560</v>
      </c>
      <c r="BD6" t="str">
        <v>See Comments Sheet</v>
      </c>
      <c r="BE6" t="str">
        <v>See Image</v>
      </c>
      <c r="BF6" t="str">
        <v>Sharp Okay, No Burr</v>
      </c>
      <c r="BG6" t="str">
        <v>SØ.331</v>
      </c>
      <c r="BH6" t="str">
        <v>Start of Radius</v>
      </c>
      <c r="BI6" t="str">
        <v>Start of Radius @ .21 Ø</v>
      </c>
      <c r="BJ6" t="str">
        <v>Surface Finish Per Note 1</v>
      </c>
      <c r="BK6" t="str">
        <v>T.S.C.</v>
      </c>
      <c r="BL6" t="str">
        <v>T3 HD1 TOOL SFI</v>
      </c>
      <c r="BM6" t="str">
        <v>Tangent Point</v>
      </c>
      <c r="BN6" t="str">
        <v>Taper Check</v>
      </c>
      <c r="BO6" t="str">
        <v>Theo.</v>
      </c>
      <c r="BP6" t="str">
        <v>Thrd. Minor Ø</v>
      </c>
      <c r="BQ6" t="str">
        <v>Thrd. Relief Ø</v>
      </c>
      <c r="BR6" t="str">
        <v>Threadless Blank</v>
      </c>
      <c r="BS6" t="str">
        <v>Threadless Blank</v>
      </c>
      <c r="BT6" t="str">
        <v>Thru. Hole Present</v>
      </c>
      <c r="BU6" t="str">
        <v>To center of R.005</v>
      </c>
      <c r="BV6" t="str">
        <v>Tot. Runout</v>
      </c>
      <c r="BW6" t="str">
        <v>True Pos.</v>
      </c>
      <c r="BX6" t="str">
        <v>True Pos.|.001|B|</v>
      </c>
      <c r="BY6" t="str">
        <v>True Pos.|Ø.03 (M)|A</v>
      </c>
      <c r="BZ6" t="str">
        <v>True. Pos.|Ø.001(M)|A|</v>
      </c>
      <c r="CA6" t="str">
        <v>Turn Ø Free of Mill Marks</v>
      </c>
      <c r="CB6" t="str">
        <v>UNI.</v>
      </c>
      <c r="CC6" t="str">
        <v>Use Go Hex</v>
      </c>
    </row>
    <row r="7" spans="1:84">
      <c r="A7" s="31">
        <v>5</v>
      </c>
      <c r="B7" s="114" t="s">
        <v>104</v>
      </c>
      <c r="D7" s="31" t="s">
        <v>111</v>
      </c>
      <c r="E7" s="73" t="str">
        <f t="array" ref="E7:CB7">TRANSPOSE(_xlfn._xlws.SORT(_xlfn._xlws.FILTER(B7:B374,ISNUMBER(SEARCH('PartLib Table'!M13,B7:B374)),"not found")))</f>
        <v>.1250 HEX</v>
      </c>
      <c r="F7" t="str">
        <v>@ ID &amp; FACE</v>
      </c>
      <c r="G7" t="str">
        <v>@ OD &amp; BACK FACE</v>
      </c>
      <c r="H7" t="str">
        <v>Balloon 7 Blank, Datum A = Ø.370</v>
      </c>
      <c r="I7" t="str">
        <v>Blank</v>
      </c>
      <c r="J7" t="str">
        <v xml:space="preserve">Blank, Thrd. </v>
      </c>
      <c r="K7" t="str">
        <v>BLAST Per Note 3</v>
      </c>
      <c r="L7" t="str">
        <v>Blast Per Note 4</v>
      </c>
      <c r="M7" t="str">
        <v>Blend to .340 Ø</v>
      </c>
      <c r="N7" t="str">
        <v>Broachless Blank</v>
      </c>
      <c r="O7" t="str">
        <v>Calc.</v>
      </c>
      <c r="P7" t="str">
        <v xml:space="preserve">Center of V Grv. </v>
      </c>
      <c r="Q7" t="str">
        <v>Centered within .001 or Less=Pass</v>
      </c>
      <c r="R7" t="str">
        <v>Check across from slot, Final AQL 1.0</v>
      </c>
      <c r="S7" t="str">
        <v>Check close to Rod Slot</v>
      </c>
      <c r="T7" t="str">
        <v>CMM Blank</v>
      </c>
      <c r="U7" t="str">
        <v>C-Sink</v>
      </c>
      <c r="V7" t="str">
        <v>Cust. Gauge</v>
      </c>
      <c r="W7" t="str">
        <v>Diff.</v>
      </c>
      <c r="X7" t="str">
        <v>Drawing Note 3</v>
      </c>
      <c r="Y7" t="str">
        <v>EXT. Sphere Location</v>
      </c>
      <c r="Z7" t="str">
        <v>Fav. Ang. Align</v>
      </c>
      <c r="AA7" t="str">
        <v>Go GaugeFunc.</v>
      </c>
      <c r="AB7" t="str">
        <v>Go Pin must pass through</v>
      </c>
      <c r="AC7" t="str">
        <v>Go Pin, No Light, at Radius</v>
      </c>
      <c r="AD7" t="str">
        <v>Grv. Wth.</v>
      </c>
      <c r="AE7" t="str">
        <v>Hex &amp; Lobe Oriented</v>
      </c>
      <c r="AF7" t="str">
        <v>Hex Minor to OD .0005 or less = Pass</v>
      </c>
      <c r="AG7" t="str">
        <v>ID @ Face</v>
      </c>
      <c r="AH7" t="str">
        <v>Ind. Tip</v>
      </c>
      <c r="AI7" t="str">
        <v>Insp.</v>
      </c>
      <c r="AJ7" t="str">
        <v>Insp. Fixt.</v>
      </c>
      <c r="AK7" t="str">
        <v>INT. Sphere Location.</v>
      </c>
      <c r="AL7" t="str">
        <v>Mfg. Tol.</v>
      </c>
      <c r="AM7" t="str">
        <v>NA</v>
      </c>
      <c r="AN7" t="str">
        <v>NA</v>
      </c>
      <c r="AO7" t="str">
        <v>No Copper Deposits Allowed</v>
      </c>
      <c r="AP7" t="str">
        <v>No Section</v>
      </c>
      <c r="AQ7" t="str">
        <v>O.A.L.</v>
      </c>
      <c r="AR7" t="str">
        <v>One side of slot</v>
      </c>
      <c r="AS7" t="str">
        <v>Perp.|0.05|A|</v>
      </c>
      <c r="AT7" t="str">
        <v>Point Tip</v>
      </c>
      <c r="AU7" t="str">
        <v>Profile|.001|A|B| A&lt;-&gt;B C&lt;-&gt;D</v>
      </c>
      <c r="AV7" t="str">
        <v>Profile|.0016|B|D|</v>
      </c>
      <c r="AW7" t="str">
        <v>Profile|.005|A|C|</v>
      </c>
      <c r="AX7" t="str">
        <v>Profile|.010|A|B|</v>
      </c>
      <c r="AY7" t="str">
        <v>Rotate Part</v>
      </c>
      <c r="AZ7" t="str">
        <v>Same as 38_1</v>
      </c>
      <c r="BA7" t="str">
        <v>Section</v>
      </c>
      <c r="BB7" t="str">
        <v>Section, OL02560</v>
      </c>
      <c r="BC7" t="str">
        <v>See Comments Sheet</v>
      </c>
      <c r="BD7" t="str">
        <v>See Image</v>
      </c>
      <c r="BE7" t="str">
        <v>Sharp Okay, No Burr</v>
      </c>
      <c r="BF7" t="str">
        <v>SØ.331</v>
      </c>
      <c r="BG7" t="str">
        <v>Start of Radius</v>
      </c>
      <c r="BH7" t="str">
        <v>Start of Radius @ .21 Ø</v>
      </c>
      <c r="BI7" t="str">
        <v>Surface Finish Per Note 1</v>
      </c>
      <c r="BJ7" t="str">
        <v>T.S.C.</v>
      </c>
      <c r="BK7" t="str">
        <v>T3 HD1 TOOL SFI</v>
      </c>
      <c r="BL7" t="str">
        <v>Tangent Point</v>
      </c>
      <c r="BM7" t="str">
        <v>Taper Check</v>
      </c>
      <c r="BN7" t="str">
        <v>Theo.</v>
      </c>
      <c r="BO7" t="str">
        <v>Thrd. Minor Ø</v>
      </c>
      <c r="BP7" t="str">
        <v>Thrd. Relief Ø</v>
      </c>
      <c r="BQ7" t="str">
        <v>Threadless Blank</v>
      </c>
      <c r="BR7" t="str">
        <v>Threadless Blank</v>
      </c>
      <c r="BS7" t="str">
        <v>Thru. Hole Present</v>
      </c>
      <c r="BT7" t="str">
        <v>To center of R.005</v>
      </c>
      <c r="BU7" t="str">
        <v>Tot. Runout</v>
      </c>
      <c r="BV7" t="str">
        <v>True Pos.</v>
      </c>
      <c r="BW7" t="str">
        <v>True Pos.|.001|B|</v>
      </c>
      <c r="BX7" t="str">
        <v>True Pos.|Ø.03 (M)|A</v>
      </c>
      <c r="BY7" t="str">
        <v>True. Pos.|Ø.001(M)|A|</v>
      </c>
      <c r="BZ7" t="str">
        <v>Turn Ø Free of Mill Marks</v>
      </c>
      <c r="CA7" t="str">
        <v>UNI.</v>
      </c>
      <c r="CB7" t="str">
        <v>Use Go Hex</v>
      </c>
    </row>
    <row r="8" spans="1:84">
      <c r="A8" s="31">
        <v>6</v>
      </c>
      <c r="B8" s="114" t="s">
        <v>105</v>
      </c>
      <c r="D8" s="31" t="s">
        <v>125</v>
      </c>
      <c r="E8" s="73" t="str">
        <f t="array" ref="E8:CA8">TRANSPOSE(_xlfn._xlws.SORT(_xlfn._xlws.FILTER(B8:B375,ISNUMBER(SEARCH('PartLib Table'!M14,B8:B375)),"not found")))</f>
        <v>.1250 HEX</v>
      </c>
      <c r="F8" t="str">
        <v>@ ID &amp; FACE</v>
      </c>
      <c r="G8" t="str">
        <v>@ OD &amp; BACK FACE</v>
      </c>
      <c r="H8" t="str">
        <v>Balloon 7 Blank, Datum A = Ø.370</v>
      </c>
      <c r="I8" t="str">
        <v>Blank</v>
      </c>
      <c r="J8" t="str">
        <v xml:space="preserve">Blank, Thrd. </v>
      </c>
      <c r="K8" t="str">
        <v>BLAST Per Note 3</v>
      </c>
      <c r="L8" t="str">
        <v>Blast Per Note 4</v>
      </c>
      <c r="M8" t="str">
        <v>Blend to .340 Ø</v>
      </c>
      <c r="N8" t="str">
        <v>Broachless Blank</v>
      </c>
      <c r="O8" t="str">
        <v>Calc.</v>
      </c>
      <c r="P8" t="str">
        <v xml:space="preserve">Center of V Grv. </v>
      </c>
      <c r="Q8" t="str">
        <v>Centered within .001 or Less=Pass</v>
      </c>
      <c r="R8" t="str">
        <v>Check across from slot, Final AQL 1.0</v>
      </c>
      <c r="S8" t="str">
        <v>Check close to Rod Slot</v>
      </c>
      <c r="T8" t="str">
        <v>CMM Blank</v>
      </c>
      <c r="U8" t="str">
        <v>C-Sink</v>
      </c>
      <c r="V8" t="str">
        <v>Cust. Gauge</v>
      </c>
      <c r="W8" t="str">
        <v>Diff.</v>
      </c>
      <c r="X8" t="str">
        <v>Drawing Note 3</v>
      </c>
      <c r="Y8" t="str">
        <v>EXT. Sphere Location</v>
      </c>
      <c r="Z8" t="str">
        <v>Fav. Ang. Align</v>
      </c>
      <c r="AA8" t="str">
        <v>Go GaugeFunc.</v>
      </c>
      <c r="AB8" t="str">
        <v>Go Pin must pass through</v>
      </c>
      <c r="AC8" t="str">
        <v>Go Pin, No Light, at Radius</v>
      </c>
      <c r="AD8" t="str">
        <v>Grv. Wth.</v>
      </c>
      <c r="AE8" t="str">
        <v>Hex &amp; Lobe Oriented</v>
      </c>
      <c r="AF8" t="str">
        <v>Hex Minor to OD .0005 or less = Pass</v>
      </c>
      <c r="AG8" t="str">
        <v>ID @ Face</v>
      </c>
      <c r="AH8" t="str">
        <v>Ind. Tip</v>
      </c>
      <c r="AI8" t="str">
        <v>Insp.</v>
      </c>
      <c r="AJ8" t="str">
        <v>Insp. Fixt.</v>
      </c>
      <c r="AK8" t="str">
        <v>INT. Sphere Location.</v>
      </c>
      <c r="AL8" t="str">
        <v>Mfg. Tol.</v>
      </c>
      <c r="AM8" t="str">
        <v>NA</v>
      </c>
      <c r="AN8" t="str">
        <v>NA</v>
      </c>
      <c r="AO8" t="str">
        <v>No Copper Deposits Allowed</v>
      </c>
      <c r="AP8" t="str">
        <v>No Section</v>
      </c>
      <c r="AQ8" t="str">
        <v>O.A.L.</v>
      </c>
      <c r="AR8" t="str">
        <v>One side of slot</v>
      </c>
      <c r="AS8" t="str">
        <v>Perp.|0.05|A|</v>
      </c>
      <c r="AT8" t="str">
        <v>Point Tip</v>
      </c>
      <c r="AU8" t="str">
        <v>Profile|.001|A|B| A&lt;-&gt;B C&lt;-&gt;D</v>
      </c>
      <c r="AV8" t="str">
        <v>Profile|.0016|B|D|</v>
      </c>
      <c r="AW8" t="str">
        <v>Profile|.005|A|C|</v>
      </c>
      <c r="AX8" t="str">
        <v>Profile|.010|A|B|</v>
      </c>
      <c r="AY8" t="str">
        <v>Rotate Part</v>
      </c>
      <c r="AZ8" t="str">
        <v>Same as 38_1</v>
      </c>
      <c r="BA8" t="str">
        <v>Section, OL02560</v>
      </c>
      <c r="BB8" t="str">
        <v>See Comments Sheet</v>
      </c>
      <c r="BC8" t="str">
        <v>See Image</v>
      </c>
      <c r="BD8" t="str">
        <v>Sharp Okay, No Burr</v>
      </c>
      <c r="BE8" t="str">
        <v>SØ.331</v>
      </c>
      <c r="BF8" t="str">
        <v>Start of Radius</v>
      </c>
      <c r="BG8" t="str">
        <v>Start of Radius @ .21 Ø</v>
      </c>
      <c r="BH8" t="str">
        <v>Surface Finish Per Note 1</v>
      </c>
      <c r="BI8" t="str">
        <v>T.S.C.</v>
      </c>
      <c r="BJ8" t="str">
        <v>T3 HD1 TOOL SFI</v>
      </c>
      <c r="BK8" t="str">
        <v>Tangent Point</v>
      </c>
      <c r="BL8" t="str">
        <v>Taper Check</v>
      </c>
      <c r="BM8" t="str">
        <v>Theo.</v>
      </c>
      <c r="BN8" t="str">
        <v>Thrd. Minor Ø</v>
      </c>
      <c r="BO8" t="str">
        <v>Thrd. Relief Ø</v>
      </c>
      <c r="BP8" t="str">
        <v>Threadless Blank</v>
      </c>
      <c r="BQ8" t="str">
        <v>Threadless Blank</v>
      </c>
      <c r="BR8" t="str">
        <v>Thru. Hole Present</v>
      </c>
      <c r="BS8" t="str">
        <v>To center of R.005</v>
      </c>
      <c r="BT8" t="str">
        <v>Tot. Runout</v>
      </c>
      <c r="BU8" t="str">
        <v>True Pos.</v>
      </c>
      <c r="BV8" t="str">
        <v>True Pos.|.001|B|</v>
      </c>
      <c r="BW8" t="str">
        <v>True Pos.|Ø.03 (M)|A</v>
      </c>
      <c r="BX8" t="str">
        <v>True. Pos.|Ø.001(M)|A|</v>
      </c>
      <c r="BY8" t="str">
        <v>Turn Ø Free of Mill Marks</v>
      </c>
      <c r="BZ8" t="str">
        <v>UNI.</v>
      </c>
      <c r="CA8" t="str">
        <v>Use Go Hex</v>
      </c>
    </row>
    <row r="9" spans="1:84">
      <c r="A9" s="31">
        <v>7</v>
      </c>
      <c r="B9" s="114" t="s">
        <v>107</v>
      </c>
      <c r="C9" s="35"/>
      <c r="D9" s="31" t="s">
        <v>106</v>
      </c>
      <c r="E9" s="73" t="str">
        <f t="array" ref="E9:BZ9">TRANSPOSE(_xlfn._xlws.SORT(_xlfn._xlws.FILTER(B9:B376,ISNUMBER(SEARCH('PartLib Table'!M15,B9:B376)),"not found")))</f>
        <v>.1250 HEX</v>
      </c>
      <c r="F9" t="str">
        <v>@ ID &amp; FACE</v>
      </c>
      <c r="G9" t="str">
        <v>@ OD &amp; BACK FACE</v>
      </c>
      <c r="H9" t="str">
        <v>Balloon 7 Blank, Datum A = Ø.370</v>
      </c>
      <c r="I9" t="str">
        <v xml:space="preserve">Blank, Thrd. </v>
      </c>
      <c r="J9" t="str">
        <v>BLAST Per Note 3</v>
      </c>
      <c r="K9" t="str">
        <v>Blast Per Note 4</v>
      </c>
      <c r="L9" t="str">
        <v>Blend to .340 Ø</v>
      </c>
      <c r="M9" t="str">
        <v>Broachless Blank</v>
      </c>
      <c r="N9" t="str">
        <v>Calc.</v>
      </c>
      <c r="O9" t="str">
        <v xml:space="preserve">Center of V Grv. </v>
      </c>
      <c r="P9" t="str">
        <v>Centered within .001 or Less=Pass</v>
      </c>
      <c r="Q9" t="str">
        <v>Check across from slot, Final AQL 1.0</v>
      </c>
      <c r="R9" t="str">
        <v>Check close to Rod Slot</v>
      </c>
      <c r="S9" t="str">
        <v>CMM Blank</v>
      </c>
      <c r="T9" t="str">
        <v>C-Sink</v>
      </c>
      <c r="U9" t="str">
        <v>Cust. Gauge</v>
      </c>
      <c r="V9" t="str">
        <v>Diff.</v>
      </c>
      <c r="W9" t="str">
        <v>Drawing Note 3</v>
      </c>
      <c r="X9" t="str">
        <v>EXT. Sphere Location</v>
      </c>
      <c r="Y9" t="str">
        <v>Fav. Ang. Align</v>
      </c>
      <c r="Z9" t="str">
        <v>Go GaugeFunc.</v>
      </c>
      <c r="AA9" t="str">
        <v>Go Pin must pass through</v>
      </c>
      <c r="AB9" t="str">
        <v>Go Pin, No Light, at Radius</v>
      </c>
      <c r="AC9" t="str">
        <v>Grv. Wth.</v>
      </c>
      <c r="AD9" t="str">
        <v>Hex &amp; Lobe Oriented</v>
      </c>
      <c r="AE9" t="str">
        <v>Hex Minor to OD .0005 or less = Pass</v>
      </c>
      <c r="AF9" t="str">
        <v>ID @ Face</v>
      </c>
      <c r="AG9" t="str">
        <v>Ind. Tip</v>
      </c>
      <c r="AH9" t="str">
        <v>Insp.</v>
      </c>
      <c r="AI9" t="str">
        <v>Insp. Fixt.</v>
      </c>
      <c r="AJ9" t="str">
        <v>INT. Sphere Location.</v>
      </c>
      <c r="AK9" t="str">
        <v>Mfg. Tol.</v>
      </c>
      <c r="AL9" t="str">
        <v>NA</v>
      </c>
      <c r="AM9" t="str">
        <v>NA</v>
      </c>
      <c r="AN9" t="str">
        <v>No Copper Deposits Allowed</v>
      </c>
      <c r="AO9" t="str">
        <v>No Section</v>
      </c>
      <c r="AP9" t="str">
        <v>O.A.L.</v>
      </c>
      <c r="AQ9" t="str">
        <v>One side of slot</v>
      </c>
      <c r="AR9" t="str">
        <v>Perp.|0.05|A|</v>
      </c>
      <c r="AS9" t="str">
        <v>Point Tip</v>
      </c>
      <c r="AT9" t="str">
        <v>Profile|.001|A|B| A&lt;-&gt;B C&lt;-&gt;D</v>
      </c>
      <c r="AU9" t="str">
        <v>Profile|.0016|B|D|</v>
      </c>
      <c r="AV9" t="str">
        <v>Profile|.005|A|C|</v>
      </c>
      <c r="AW9" t="str">
        <v>Profile|.010|A|B|</v>
      </c>
      <c r="AX9" t="str">
        <v>Rotate Part</v>
      </c>
      <c r="AY9" t="str">
        <v>Same as 38_1</v>
      </c>
      <c r="AZ9" t="str">
        <v>Section, OL02560</v>
      </c>
      <c r="BA9" t="str">
        <v>See Comments Sheet</v>
      </c>
      <c r="BB9" t="str">
        <v>See Image</v>
      </c>
      <c r="BC9" t="str">
        <v>Sharp Okay, No Burr</v>
      </c>
      <c r="BD9" t="str">
        <v>SØ.331</v>
      </c>
      <c r="BE9" t="str">
        <v>Start of Radius</v>
      </c>
      <c r="BF9" t="str">
        <v>Start of Radius @ .21 Ø</v>
      </c>
      <c r="BG9" t="str">
        <v>Surface Finish Per Note 1</v>
      </c>
      <c r="BH9" t="str">
        <v>T.S.C.</v>
      </c>
      <c r="BI9" t="str">
        <v>T3 HD1 TOOL SFI</v>
      </c>
      <c r="BJ9" t="str">
        <v>Tangent Point</v>
      </c>
      <c r="BK9" t="str">
        <v>Taper Check</v>
      </c>
      <c r="BL9" t="str">
        <v>Theo.</v>
      </c>
      <c r="BM9" t="str">
        <v>Thrd. Minor Ø</v>
      </c>
      <c r="BN9" t="str">
        <v>Thrd. Relief Ø</v>
      </c>
      <c r="BO9" t="str">
        <v>Threadless Blank</v>
      </c>
      <c r="BP9" t="str">
        <v>Threadless Blank</v>
      </c>
      <c r="BQ9" t="str">
        <v>Thru. Hole Present</v>
      </c>
      <c r="BR9" t="str">
        <v>To center of R.005</v>
      </c>
      <c r="BS9" t="str">
        <v>Tot. Runout</v>
      </c>
      <c r="BT9" t="str">
        <v>True Pos.</v>
      </c>
      <c r="BU9" t="str">
        <v>True Pos.|.001|B|</v>
      </c>
      <c r="BV9" t="str">
        <v>True Pos.|Ø.03 (M)|A</v>
      </c>
      <c r="BW9" t="str">
        <v>True. Pos.|Ø.001(M)|A|</v>
      </c>
      <c r="BX9" t="str">
        <v>Turn Ø Free of Mill Marks</v>
      </c>
      <c r="BY9" t="str">
        <v>UNI.</v>
      </c>
      <c r="BZ9" t="str">
        <v>Use Go Hex</v>
      </c>
    </row>
    <row r="10" spans="1:84">
      <c r="A10" s="31">
        <v>8</v>
      </c>
      <c r="B10" s="114" t="s">
        <v>110</v>
      </c>
      <c r="D10" s="31" t="s">
        <v>109</v>
      </c>
      <c r="E10" s="73" t="str">
        <f t="array" ref="E10:BY10">TRANSPOSE(_xlfn._xlws.SORT(_xlfn._xlws.FILTER(B10:B377,ISNUMBER(SEARCH('PartLib Table'!M16,B10:B377)),"not found")))</f>
        <v>.1250 HEX</v>
      </c>
      <c r="F10" t="str">
        <v>@ ID &amp; FACE</v>
      </c>
      <c r="G10" t="str">
        <v>@ OD &amp; BACK FACE</v>
      </c>
      <c r="H10" t="str">
        <v>Balloon 7 Blank, Datum A = Ø.370</v>
      </c>
      <c r="I10" t="str">
        <v xml:space="preserve">Blank, Thrd. </v>
      </c>
      <c r="J10" t="str">
        <v>BLAST Per Note 3</v>
      </c>
      <c r="K10" t="str">
        <v>Blast Per Note 4</v>
      </c>
      <c r="L10" t="str">
        <v>Blend to .340 Ø</v>
      </c>
      <c r="M10" t="str">
        <v>Broachless Blank</v>
      </c>
      <c r="N10" t="str">
        <v>Calc.</v>
      </c>
      <c r="O10" t="str">
        <v xml:space="preserve">Center of V Grv. </v>
      </c>
      <c r="P10" t="str">
        <v>Centered within .001 or Less=Pass</v>
      </c>
      <c r="Q10" t="str">
        <v>Check across from slot, Final AQL 1.0</v>
      </c>
      <c r="R10" t="str">
        <v>Check close to Rod Slot</v>
      </c>
      <c r="S10" t="str">
        <v>CMM Blank</v>
      </c>
      <c r="T10" t="str">
        <v>C-Sink</v>
      </c>
      <c r="U10" t="str">
        <v>Cust. Gauge</v>
      </c>
      <c r="V10" t="str">
        <v>Diff.</v>
      </c>
      <c r="W10" t="str">
        <v>Drawing Note 3</v>
      </c>
      <c r="X10" t="str">
        <v>EXT. Sphere Location</v>
      </c>
      <c r="Y10" t="str">
        <v>Fav. Ang. Align</v>
      </c>
      <c r="Z10" t="str">
        <v>Go GaugeFunc.</v>
      </c>
      <c r="AA10" t="str">
        <v>Go Pin must pass through</v>
      </c>
      <c r="AB10" t="str">
        <v>Go Pin, No Light, at Radius</v>
      </c>
      <c r="AC10" t="str">
        <v>Grv. Wth.</v>
      </c>
      <c r="AD10" t="str">
        <v>Hex &amp; Lobe Oriented</v>
      </c>
      <c r="AE10" t="str">
        <v>Hex Minor to OD .0005 or less = Pass</v>
      </c>
      <c r="AF10" t="str">
        <v>ID @ Face</v>
      </c>
      <c r="AG10" t="str">
        <v>Ind. Tip</v>
      </c>
      <c r="AH10" t="str">
        <v>Insp.</v>
      </c>
      <c r="AI10" t="str">
        <v>Insp. Fixt.</v>
      </c>
      <c r="AJ10" t="str">
        <v>INT. Sphere Location.</v>
      </c>
      <c r="AK10" t="str">
        <v>Mfg. Tol.</v>
      </c>
      <c r="AL10" t="str">
        <v>NA</v>
      </c>
      <c r="AM10" t="str">
        <v>NA</v>
      </c>
      <c r="AN10" t="str">
        <v>No Copper Deposits Allowed</v>
      </c>
      <c r="AO10" t="str">
        <v>No Section</v>
      </c>
      <c r="AP10" t="str">
        <v>O.A.L.</v>
      </c>
      <c r="AQ10" t="str">
        <v>One side of slot</v>
      </c>
      <c r="AR10" t="str">
        <v>Perp.|0.05|A|</v>
      </c>
      <c r="AS10" t="str">
        <v>Point Tip</v>
      </c>
      <c r="AT10" t="str">
        <v>Profile|.001|A|B| A&lt;-&gt;B C&lt;-&gt;D</v>
      </c>
      <c r="AU10" t="str">
        <v>Profile|.0016|B|D|</v>
      </c>
      <c r="AV10" t="str">
        <v>Profile|.005|A|C|</v>
      </c>
      <c r="AW10" t="str">
        <v>Profile|.010|A|B|</v>
      </c>
      <c r="AX10" t="str">
        <v>Rotate Part</v>
      </c>
      <c r="AY10" t="str">
        <v>Same as 38_1</v>
      </c>
      <c r="AZ10" t="str">
        <v>See Comments Sheet</v>
      </c>
      <c r="BA10" t="str">
        <v>See Image</v>
      </c>
      <c r="BB10" t="str">
        <v>Sharp Okay, No Burr</v>
      </c>
      <c r="BC10" t="str">
        <v>SØ.331</v>
      </c>
      <c r="BD10" t="str">
        <v>Start of Radius</v>
      </c>
      <c r="BE10" t="str">
        <v>Start of Radius @ .21 Ø</v>
      </c>
      <c r="BF10" t="str">
        <v>Surface Finish Per Note 1</v>
      </c>
      <c r="BG10" t="str">
        <v>T.S.C.</v>
      </c>
      <c r="BH10" t="str">
        <v>T3 HD1 TOOL SFI</v>
      </c>
      <c r="BI10" t="str">
        <v>Tangent Point</v>
      </c>
      <c r="BJ10" t="str">
        <v>Taper Check</v>
      </c>
      <c r="BK10" t="str">
        <v>Theo.</v>
      </c>
      <c r="BL10" t="str">
        <v>Thrd. Minor Ø</v>
      </c>
      <c r="BM10" t="str">
        <v>Thrd. Relief Ø</v>
      </c>
      <c r="BN10" t="str">
        <v>Threadless Blank</v>
      </c>
      <c r="BO10" t="str">
        <v>Threadless Blank</v>
      </c>
      <c r="BP10" t="str">
        <v>Thru. Hole Present</v>
      </c>
      <c r="BQ10" t="str">
        <v>To center of R.005</v>
      </c>
      <c r="BR10" t="str">
        <v>Tot. Runout</v>
      </c>
      <c r="BS10" t="str">
        <v>True Pos.</v>
      </c>
      <c r="BT10" t="str">
        <v>True Pos.|.001|B|</v>
      </c>
      <c r="BU10" t="str">
        <v>True Pos.|Ø.03 (M)|A</v>
      </c>
      <c r="BV10" t="str">
        <v>True. Pos.|Ø.001(M)|A|</v>
      </c>
      <c r="BW10" t="str">
        <v>Turn Ø Free of Mill Marks</v>
      </c>
      <c r="BX10" t="str">
        <v>UNI.</v>
      </c>
      <c r="BY10" t="str">
        <v>Use Go Hex</v>
      </c>
    </row>
    <row r="11" spans="1:84">
      <c r="A11" s="31">
        <v>9</v>
      </c>
      <c r="B11" s="114" t="s">
        <v>251</v>
      </c>
      <c r="D11" s="31" t="s">
        <v>144</v>
      </c>
      <c r="E11" s="73" t="str">
        <f t="array" ref="E11:BX11">TRANSPOSE(_xlfn._xlws.SORT(_xlfn._xlws.FILTER(B11:B378,ISNUMBER(SEARCH('PartLib Table'!M17,B11:B378)),"not found")))</f>
        <v>.1250 HEX</v>
      </c>
      <c r="F11" t="str">
        <v>@ ID &amp; FACE</v>
      </c>
      <c r="G11" t="str">
        <v>@ OD &amp; BACK FACE</v>
      </c>
      <c r="H11" t="str">
        <v>Balloon 7 Blank, Datum A = Ø.370</v>
      </c>
      <c r="I11" t="str">
        <v xml:space="preserve">Blank, Thrd. </v>
      </c>
      <c r="J11" t="str">
        <v>BLAST Per Note 3</v>
      </c>
      <c r="K11" t="str">
        <v>Blast Per Note 4</v>
      </c>
      <c r="L11" t="str">
        <v>Blend to .340 Ø</v>
      </c>
      <c r="M11" t="str">
        <v>Broachless Blank</v>
      </c>
      <c r="N11" t="str">
        <v>Calc.</v>
      </c>
      <c r="O11" t="str">
        <v xml:space="preserve">Center of V Grv. </v>
      </c>
      <c r="P11" t="str">
        <v>Centered within .001 or Less=Pass</v>
      </c>
      <c r="Q11" t="str">
        <v>Check across from slot, Final AQL 1.0</v>
      </c>
      <c r="R11" t="str">
        <v>Check close to Rod Slot</v>
      </c>
      <c r="S11" t="str">
        <v>CMM Blank</v>
      </c>
      <c r="T11" t="str">
        <v>C-Sink</v>
      </c>
      <c r="U11" t="str">
        <v>Cust. Gauge</v>
      </c>
      <c r="V11" t="str">
        <v>Diff.</v>
      </c>
      <c r="W11" t="str">
        <v>Drawing Note 3</v>
      </c>
      <c r="X11" t="str">
        <v>EXT. Sphere Location</v>
      </c>
      <c r="Y11" t="str">
        <v>Fav. Ang. Align</v>
      </c>
      <c r="Z11" t="str">
        <v>Go GaugeFunc.</v>
      </c>
      <c r="AA11" t="str">
        <v>Go Pin must pass through</v>
      </c>
      <c r="AB11" t="str">
        <v>Go Pin, No Light, at Radius</v>
      </c>
      <c r="AC11" t="str">
        <v>Grv. Wth.</v>
      </c>
      <c r="AD11" t="str">
        <v>Hex &amp; Lobe Oriented</v>
      </c>
      <c r="AE11" t="str">
        <v>Hex Minor to OD .0005 or less = Pass</v>
      </c>
      <c r="AF11" t="str">
        <v>ID @ Face</v>
      </c>
      <c r="AG11" t="str">
        <v>Ind. Tip</v>
      </c>
      <c r="AH11" t="str">
        <v>Insp.</v>
      </c>
      <c r="AI11" t="str">
        <v>Insp. Fixt.</v>
      </c>
      <c r="AJ11" t="str">
        <v>INT. Sphere Location.</v>
      </c>
      <c r="AK11" t="str">
        <v>NA</v>
      </c>
      <c r="AL11" t="str">
        <v>NA</v>
      </c>
      <c r="AM11" t="str">
        <v>No Copper Deposits Allowed</v>
      </c>
      <c r="AN11" t="str">
        <v>No Section</v>
      </c>
      <c r="AO11" t="str">
        <v>O.A.L.</v>
      </c>
      <c r="AP11" t="str">
        <v>One side of slot</v>
      </c>
      <c r="AQ11" t="str">
        <v>Perp.|0.05|A|</v>
      </c>
      <c r="AR11" t="str">
        <v>Point Tip</v>
      </c>
      <c r="AS11" t="str">
        <v>Profile|.001|A|B| A&lt;-&gt;B C&lt;-&gt;D</v>
      </c>
      <c r="AT11" t="str">
        <v>Profile|.0016|B|D|</v>
      </c>
      <c r="AU11" t="str">
        <v>Profile|.005|A|C|</v>
      </c>
      <c r="AV11" t="str">
        <v>Profile|.010|A|B|</v>
      </c>
      <c r="AW11" t="str">
        <v>Rotate Part</v>
      </c>
      <c r="AX11" t="str">
        <v>Same as 38_1</v>
      </c>
      <c r="AY11" t="str">
        <v>See Comments Sheet</v>
      </c>
      <c r="AZ11" t="str">
        <v>See Image</v>
      </c>
      <c r="BA11" t="str">
        <v>Sharp Okay, No Burr</v>
      </c>
      <c r="BB11" t="str">
        <v>SØ.331</v>
      </c>
      <c r="BC11" t="str">
        <v>Start of Radius</v>
      </c>
      <c r="BD11" t="str">
        <v>Start of Radius @ .21 Ø</v>
      </c>
      <c r="BE11" t="str">
        <v>Surface Finish Per Note 1</v>
      </c>
      <c r="BF11" t="str">
        <v>T.S.C.</v>
      </c>
      <c r="BG11" t="str">
        <v>T3 HD1 TOOL SFI</v>
      </c>
      <c r="BH11" t="str">
        <v>Tangent Point</v>
      </c>
      <c r="BI11" t="str">
        <v>Taper Check</v>
      </c>
      <c r="BJ11" t="str">
        <v>Theo.</v>
      </c>
      <c r="BK11" t="str">
        <v>Thrd. Minor Ø</v>
      </c>
      <c r="BL11" t="str">
        <v>Thrd. Relief Ø</v>
      </c>
      <c r="BM11" t="str">
        <v>Threadless Blank</v>
      </c>
      <c r="BN11" t="str">
        <v>Threadless Blank</v>
      </c>
      <c r="BO11" t="str">
        <v>Thru. Hole Present</v>
      </c>
      <c r="BP11" t="str">
        <v>To center of R.005</v>
      </c>
      <c r="BQ11" t="str">
        <v>Tot. Runout</v>
      </c>
      <c r="BR11" t="str">
        <v>True Pos.</v>
      </c>
      <c r="BS11" t="str">
        <v>True Pos.|.001|B|</v>
      </c>
      <c r="BT11" t="str">
        <v>True Pos.|Ø.03 (M)|A</v>
      </c>
      <c r="BU11" t="str">
        <v>True. Pos.|Ø.001(M)|A|</v>
      </c>
      <c r="BV11" t="str">
        <v>Turn Ø Free of Mill Marks</v>
      </c>
      <c r="BW11" t="str">
        <v>UNI.</v>
      </c>
      <c r="BX11" t="str">
        <v>Use Go Hex</v>
      </c>
    </row>
    <row r="12" spans="1:84">
      <c r="A12" s="31">
        <v>10</v>
      </c>
      <c r="B12" s="114" t="s">
        <v>112</v>
      </c>
      <c r="D12" s="31" t="s">
        <v>113</v>
      </c>
      <c r="E12" s="73" t="str">
        <f t="array" ref="E12:BW12">TRANSPOSE(_xlfn._xlws.SORT(_xlfn._xlws.FILTER(B12:B379,ISNUMBER(SEARCH('PartLib Table'!M18,B12:B379)),"not found")))</f>
        <v>.1250 HEX</v>
      </c>
      <c r="F12" t="str">
        <v>@ ID &amp; FACE</v>
      </c>
      <c r="G12" t="str">
        <v>@ OD &amp; BACK FACE</v>
      </c>
      <c r="H12" t="str">
        <v>Balloon 7 Blank, Datum A = Ø.370</v>
      </c>
      <c r="I12" t="str">
        <v xml:space="preserve">Blank, Thrd. </v>
      </c>
      <c r="J12" t="str">
        <v>BLAST Per Note 3</v>
      </c>
      <c r="K12" t="str">
        <v>Blast Per Note 4</v>
      </c>
      <c r="L12" t="str">
        <v>Blend to .340 Ø</v>
      </c>
      <c r="M12" t="str">
        <v>Broachless Blank</v>
      </c>
      <c r="N12" t="str">
        <v>Calc.</v>
      </c>
      <c r="O12" t="str">
        <v xml:space="preserve">Center of V Grv. </v>
      </c>
      <c r="P12" t="str">
        <v>Centered within .001 or Less=Pass</v>
      </c>
      <c r="Q12" t="str">
        <v>Check across from slot, Final AQL 1.0</v>
      </c>
      <c r="R12" t="str">
        <v>Check close to Rod Slot</v>
      </c>
      <c r="S12" t="str">
        <v>CMM Blank</v>
      </c>
      <c r="T12" t="str">
        <v>C-Sink</v>
      </c>
      <c r="U12" t="str">
        <v>Cust. Gauge</v>
      </c>
      <c r="V12" t="str">
        <v>Diff.</v>
      </c>
      <c r="W12" t="str">
        <v>Drawing Note 3</v>
      </c>
      <c r="X12" t="str">
        <v>EXT. Sphere Location</v>
      </c>
      <c r="Y12" t="str">
        <v>Fav. Ang. Align</v>
      </c>
      <c r="Z12" t="str">
        <v>Go GaugeFunc.</v>
      </c>
      <c r="AA12" t="str">
        <v>Go Pin must pass through</v>
      </c>
      <c r="AB12" t="str">
        <v>Go Pin, No Light, at Radius</v>
      </c>
      <c r="AC12" t="str">
        <v>Grv. Wth.</v>
      </c>
      <c r="AD12" t="str">
        <v>Hex &amp; Lobe Oriented</v>
      </c>
      <c r="AE12" t="str">
        <v>Hex Minor to OD .0005 or less = Pass</v>
      </c>
      <c r="AF12" t="str">
        <v>ID @ Face</v>
      </c>
      <c r="AG12" t="str">
        <v>Ind. Tip</v>
      </c>
      <c r="AH12" t="str">
        <v>Insp.</v>
      </c>
      <c r="AI12" t="str">
        <v>Insp. Fixt.</v>
      </c>
      <c r="AJ12" t="str">
        <v>INT. Sphere Location.</v>
      </c>
      <c r="AK12" t="str">
        <v>NA</v>
      </c>
      <c r="AL12" t="str">
        <v>NA</v>
      </c>
      <c r="AM12" t="str">
        <v>No Copper Deposits Allowed</v>
      </c>
      <c r="AN12" t="str">
        <v>No Section</v>
      </c>
      <c r="AO12" t="str">
        <v>O.A.L.</v>
      </c>
      <c r="AP12" t="str">
        <v>One side of slot</v>
      </c>
      <c r="AQ12" t="str">
        <v>Perp.|0.05|A|</v>
      </c>
      <c r="AR12" t="str">
        <v>Point Tip</v>
      </c>
      <c r="AS12" t="str">
        <v>Profile|.001|A|B| A&lt;-&gt;B C&lt;-&gt;D</v>
      </c>
      <c r="AT12" t="str">
        <v>Profile|.0016|B|D|</v>
      </c>
      <c r="AU12" t="str">
        <v>Profile|.005|A|C|</v>
      </c>
      <c r="AV12" t="str">
        <v>Profile|.010|A|B|</v>
      </c>
      <c r="AW12" t="str">
        <v>Rotate Part</v>
      </c>
      <c r="AX12" t="str">
        <v>Same as 38_1</v>
      </c>
      <c r="AY12" t="str">
        <v>See Comments Sheet</v>
      </c>
      <c r="AZ12" t="str">
        <v>See Image</v>
      </c>
      <c r="BA12" t="str">
        <v>Sharp Okay, No Burr</v>
      </c>
      <c r="BB12" t="str">
        <v>SØ.331</v>
      </c>
      <c r="BC12" t="str">
        <v>Start of Radius</v>
      </c>
      <c r="BD12" t="str">
        <v>Start of Radius @ .21 Ø</v>
      </c>
      <c r="BE12" t="str">
        <v>Surface Finish Per Note 1</v>
      </c>
      <c r="BF12" t="str">
        <v>T.S.C.</v>
      </c>
      <c r="BG12" t="str">
        <v>T3 HD1 TOOL SFI</v>
      </c>
      <c r="BH12" t="str">
        <v>Tangent Point</v>
      </c>
      <c r="BI12" t="str">
        <v>Taper Check</v>
      </c>
      <c r="BJ12" t="str">
        <v>Theo.</v>
      </c>
      <c r="BK12" t="str">
        <v>Thrd. Minor Ø</v>
      </c>
      <c r="BL12" t="str">
        <v>Thrd. Relief Ø</v>
      </c>
      <c r="BM12" t="str">
        <v>Threadless Blank</v>
      </c>
      <c r="BN12" t="str">
        <v>Thru. Hole Present</v>
      </c>
      <c r="BO12" t="str">
        <v>To center of R.005</v>
      </c>
      <c r="BP12" t="str">
        <v>Tot. Runout</v>
      </c>
      <c r="BQ12" t="str">
        <v>True Pos.</v>
      </c>
      <c r="BR12" t="str">
        <v>True Pos.|.001|B|</v>
      </c>
      <c r="BS12" t="str">
        <v>True Pos.|Ø.03 (M)|A</v>
      </c>
      <c r="BT12" t="str">
        <v>True. Pos.|Ø.001(M)|A|</v>
      </c>
      <c r="BU12" t="str">
        <v>Turn Ø Free of Mill Marks</v>
      </c>
      <c r="BV12" t="str">
        <v>UNI.</v>
      </c>
      <c r="BW12" t="str">
        <v>Use Go Hex</v>
      </c>
    </row>
    <row r="13" spans="1:84">
      <c r="A13" s="31">
        <v>11</v>
      </c>
      <c r="B13" s="114" t="s">
        <v>115</v>
      </c>
      <c r="D13" s="31" t="s">
        <v>116</v>
      </c>
      <c r="E13" s="73" t="str">
        <f t="array" ref="E13:BV13">TRANSPOSE(_xlfn._xlws.SORT(_xlfn._xlws.FILTER(B13:B380,ISNUMBER(SEARCH('PartLib Table'!M19,B13:B380)),"not found")))</f>
        <v>.1250 HEX</v>
      </c>
      <c r="F13" t="str">
        <v>@ ID &amp; FACE</v>
      </c>
      <c r="G13" t="str">
        <v>@ OD &amp; BACK FACE</v>
      </c>
      <c r="H13" t="str">
        <v>Balloon 7 Blank, Datum A = Ø.370</v>
      </c>
      <c r="I13" t="str">
        <v xml:space="preserve">Blank, Thrd. </v>
      </c>
      <c r="J13" t="str">
        <v>BLAST Per Note 3</v>
      </c>
      <c r="K13" t="str">
        <v>Blast Per Note 4</v>
      </c>
      <c r="L13" t="str">
        <v>Blend to .340 Ø</v>
      </c>
      <c r="M13" t="str">
        <v>Broachless Blank</v>
      </c>
      <c r="N13" t="str">
        <v>Calc.</v>
      </c>
      <c r="O13" t="str">
        <v xml:space="preserve">Center of V Grv. </v>
      </c>
      <c r="P13" t="str">
        <v>Centered within .001 or Less=Pass</v>
      </c>
      <c r="Q13" t="str">
        <v>Check across from slot, Final AQL 1.0</v>
      </c>
      <c r="R13" t="str">
        <v>Check close to Rod Slot</v>
      </c>
      <c r="S13" t="str">
        <v>CMM Blank</v>
      </c>
      <c r="T13" t="str">
        <v>C-Sink</v>
      </c>
      <c r="U13" t="str">
        <v>Cust. Gauge</v>
      </c>
      <c r="V13" t="str">
        <v>Diff.</v>
      </c>
      <c r="W13" t="str">
        <v>Drawing Note 3</v>
      </c>
      <c r="X13" t="str">
        <v>EXT. Sphere Location</v>
      </c>
      <c r="Y13" t="str">
        <v>Fav. Ang. Align</v>
      </c>
      <c r="Z13" t="str">
        <v>Go GaugeFunc.</v>
      </c>
      <c r="AA13" t="str">
        <v>Go Pin must pass through</v>
      </c>
      <c r="AB13" t="str">
        <v>Go Pin, No Light, at Radius</v>
      </c>
      <c r="AC13" t="str">
        <v>Hex &amp; Lobe Oriented</v>
      </c>
      <c r="AD13" t="str">
        <v>Hex Minor to OD .0005 or less = Pass</v>
      </c>
      <c r="AE13" t="str">
        <v>ID @ Face</v>
      </c>
      <c r="AF13" t="str">
        <v>Ind. Tip</v>
      </c>
      <c r="AG13" t="str">
        <v>Insp.</v>
      </c>
      <c r="AH13" t="str">
        <v>Insp. Fixt.</v>
      </c>
      <c r="AI13" t="str">
        <v>INT. Sphere Location.</v>
      </c>
      <c r="AJ13" t="str">
        <v>NA</v>
      </c>
      <c r="AK13" t="str">
        <v>NA</v>
      </c>
      <c r="AL13" t="str">
        <v>No Copper Deposits Allowed</v>
      </c>
      <c r="AM13" t="str">
        <v>No Section</v>
      </c>
      <c r="AN13" t="str">
        <v>O.A.L.</v>
      </c>
      <c r="AO13" t="str">
        <v>One side of slot</v>
      </c>
      <c r="AP13" t="str">
        <v>Perp.|0.05|A|</v>
      </c>
      <c r="AQ13" t="str">
        <v>Point Tip</v>
      </c>
      <c r="AR13" t="str">
        <v>Profile|.001|A|B| A&lt;-&gt;B C&lt;-&gt;D</v>
      </c>
      <c r="AS13" t="str">
        <v>Profile|.0016|B|D|</v>
      </c>
      <c r="AT13" t="str">
        <v>Profile|.005|A|C|</v>
      </c>
      <c r="AU13" t="str">
        <v>Profile|.010|A|B|</v>
      </c>
      <c r="AV13" t="str">
        <v>Rotate Part</v>
      </c>
      <c r="AW13" t="str">
        <v>Same as 38_1</v>
      </c>
      <c r="AX13" t="str">
        <v>See Comments Sheet</v>
      </c>
      <c r="AY13" t="str">
        <v>See Image</v>
      </c>
      <c r="AZ13" t="str">
        <v>Sharp Okay, No Burr</v>
      </c>
      <c r="BA13" t="str">
        <v>SØ.331</v>
      </c>
      <c r="BB13" t="str">
        <v>Start of Radius</v>
      </c>
      <c r="BC13" t="str">
        <v>Start of Radius @ .21 Ø</v>
      </c>
      <c r="BD13" t="str">
        <v>Surface Finish Per Note 1</v>
      </c>
      <c r="BE13" t="str">
        <v>T.S.C.</v>
      </c>
      <c r="BF13" t="str">
        <v>T3 HD1 TOOL SFI</v>
      </c>
      <c r="BG13" t="str">
        <v>Tangent Point</v>
      </c>
      <c r="BH13" t="str">
        <v>Taper Check</v>
      </c>
      <c r="BI13" t="str">
        <v>Theo.</v>
      </c>
      <c r="BJ13" t="str">
        <v>Thrd. Minor Ø</v>
      </c>
      <c r="BK13" t="str">
        <v>Thrd. Relief Ø</v>
      </c>
      <c r="BL13" t="str">
        <v>Threadless Blank</v>
      </c>
      <c r="BM13" t="str">
        <v>Thru. Hole Present</v>
      </c>
      <c r="BN13" t="str">
        <v>To center of R.005</v>
      </c>
      <c r="BO13" t="str">
        <v>Tot. Runout</v>
      </c>
      <c r="BP13" t="str">
        <v>True Pos.</v>
      </c>
      <c r="BQ13" t="str">
        <v>True Pos.|.001|B|</v>
      </c>
      <c r="BR13" t="str">
        <v>True Pos.|Ø.03 (M)|A</v>
      </c>
      <c r="BS13" t="str">
        <v>True. Pos.|Ø.001(M)|A|</v>
      </c>
      <c r="BT13" t="str">
        <v>Turn Ø Free of Mill Marks</v>
      </c>
      <c r="BU13" t="str">
        <v>UNI.</v>
      </c>
      <c r="BV13" t="str">
        <v>Use Go Hex</v>
      </c>
    </row>
    <row r="14" spans="1:84">
      <c r="A14" s="31">
        <v>12</v>
      </c>
      <c r="B14" s="114" t="s">
        <v>117</v>
      </c>
      <c r="D14" s="31" t="s">
        <v>118</v>
      </c>
      <c r="E14" s="73" t="str">
        <f t="array" ref="E14:BU14">TRANSPOSE(_xlfn._xlws.SORT(_xlfn._xlws.FILTER(B14:B381,ISNUMBER(SEARCH('PartLib Table'!M20,B14:B381)),"not found")))</f>
        <v>.1250 HEX</v>
      </c>
      <c r="F14" t="str">
        <v>@ ID &amp; FACE</v>
      </c>
      <c r="G14" t="str">
        <v>@ OD &amp; BACK FACE</v>
      </c>
      <c r="H14" t="str">
        <v>Balloon 7 Blank, Datum A = Ø.370</v>
      </c>
      <c r="I14" t="str">
        <v xml:space="preserve">Blank, Thrd. </v>
      </c>
      <c r="J14" t="str">
        <v>BLAST Per Note 3</v>
      </c>
      <c r="K14" t="str">
        <v>Blast Per Note 4</v>
      </c>
      <c r="L14" t="str">
        <v>Blend to .340 Ø</v>
      </c>
      <c r="M14" t="str">
        <v>Broachless Blank</v>
      </c>
      <c r="N14" t="str">
        <v>Calc.</v>
      </c>
      <c r="O14" t="str">
        <v xml:space="preserve">Center of V Grv. </v>
      </c>
      <c r="P14" t="str">
        <v>Centered within .001 or Less=Pass</v>
      </c>
      <c r="Q14" t="str">
        <v>Check across from slot, Final AQL 1.0</v>
      </c>
      <c r="R14" t="str">
        <v>Check close to Rod Slot</v>
      </c>
      <c r="S14" t="str">
        <v>CMM Blank</v>
      </c>
      <c r="T14" t="str">
        <v>C-Sink</v>
      </c>
      <c r="U14" t="str">
        <v>Cust. Gauge</v>
      </c>
      <c r="V14" t="str">
        <v>Diff.</v>
      </c>
      <c r="W14" t="str">
        <v>Drawing Note 3</v>
      </c>
      <c r="X14" t="str">
        <v>EXT. Sphere Location</v>
      </c>
      <c r="Y14" t="str">
        <v>Fav. Ang. Align</v>
      </c>
      <c r="Z14" t="str">
        <v>Go GaugeFunc.</v>
      </c>
      <c r="AA14" t="str">
        <v>Go Pin must pass through</v>
      </c>
      <c r="AB14" t="str">
        <v>Go Pin, No Light, at Radius</v>
      </c>
      <c r="AC14" t="str">
        <v>Hex &amp; Lobe Oriented</v>
      </c>
      <c r="AD14" t="str">
        <v>Hex Minor to OD .0005 or less = Pass</v>
      </c>
      <c r="AE14" t="str">
        <v>ID @ Face</v>
      </c>
      <c r="AF14" t="str">
        <v>Insp.</v>
      </c>
      <c r="AG14" t="str">
        <v>Insp. Fixt.</v>
      </c>
      <c r="AH14" t="str">
        <v>INT. Sphere Location.</v>
      </c>
      <c r="AI14" t="str">
        <v>NA</v>
      </c>
      <c r="AJ14" t="str">
        <v>NA</v>
      </c>
      <c r="AK14" t="str">
        <v>No Copper Deposits Allowed</v>
      </c>
      <c r="AL14" t="str">
        <v>No Section</v>
      </c>
      <c r="AM14" t="str">
        <v>O.A.L.</v>
      </c>
      <c r="AN14" t="str">
        <v>One side of slot</v>
      </c>
      <c r="AO14" t="str">
        <v>Perp.|0.05|A|</v>
      </c>
      <c r="AP14" t="str">
        <v>Point Tip</v>
      </c>
      <c r="AQ14" t="str">
        <v>Profile|.001|A|B| A&lt;-&gt;B C&lt;-&gt;D</v>
      </c>
      <c r="AR14" t="str">
        <v>Profile|.0016|B|D|</v>
      </c>
      <c r="AS14" t="str">
        <v>Profile|.005|A|C|</v>
      </c>
      <c r="AT14" t="str">
        <v>Profile|.010|A|B|</v>
      </c>
      <c r="AU14" t="str">
        <v>Rotate Part</v>
      </c>
      <c r="AV14" t="str">
        <v>Same as 38_1</v>
      </c>
      <c r="AW14" t="str">
        <v>See Comments Sheet</v>
      </c>
      <c r="AX14" t="str">
        <v>See Image</v>
      </c>
      <c r="AY14" t="str">
        <v>Sharp Okay, No Burr</v>
      </c>
      <c r="AZ14" t="str">
        <v>SØ.331</v>
      </c>
      <c r="BA14" t="str">
        <v>Start of Radius</v>
      </c>
      <c r="BB14" t="str">
        <v>Start of Radius @ .21 Ø</v>
      </c>
      <c r="BC14" t="str">
        <v>Surface Finish Per Note 1</v>
      </c>
      <c r="BD14" t="str">
        <v>T.S.C.</v>
      </c>
      <c r="BE14" t="str">
        <v>T3 HD1 TOOL SFI</v>
      </c>
      <c r="BF14" t="str">
        <v>Tangent Point</v>
      </c>
      <c r="BG14" t="str">
        <v>Taper Check</v>
      </c>
      <c r="BH14" t="str">
        <v>Theo.</v>
      </c>
      <c r="BI14" t="str">
        <v>Thrd. Minor Ø</v>
      </c>
      <c r="BJ14" t="str">
        <v>Thrd. Relief Ø</v>
      </c>
      <c r="BK14" t="str">
        <v>Threadless Blank</v>
      </c>
      <c r="BL14" t="str">
        <v>Thru. Hole Present</v>
      </c>
      <c r="BM14" t="str">
        <v>To center of R.005</v>
      </c>
      <c r="BN14" t="str">
        <v>Tot. Runout</v>
      </c>
      <c r="BO14" t="str">
        <v>True Pos.</v>
      </c>
      <c r="BP14" t="str">
        <v>True Pos.|.001|B|</v>
      </c>
      <c r="BQ14" t="str">
        <v>True Pos.|Ø.03 (M)|A</v>
      </c>
      <c r="BR14" t="str">
        <v>True. Pos.|Ø.001(M)|A|</v>
      </c>
      <c r="BS14" t="str">
        <v>Turn Ø Free of Mill Marks</v>
      </c>
      <c r="BT14" t="str">
        <v>UNI.</v>
      </c>
      <c r="BU14" t="str">
        <v>Use Go Hex</v>
      </c>
    </row>
    <row r="15" spans="1:84">
      <c r="A15" s="31">
        <v>13</v>
      </c>
      <c r="B15" s="114" t="s">
        <v>119</v>
      </c>
      <c r="D15" s="31" t="s">
        <v>120</v>
      </c>
      <c r="E15" s="73" t="str">
        <f t="array" ref="E15:BT15">TRANSPOSE(_xlfn._xlws.SORT(_xlfn._xlws.FILTER(B15:B382,ISNUMBER(SEARCH('PartLib Table'!M21,B15:B382)),"not found")))</f>
        <v>.1250 HEX</v>
      </c>
      <c r="F15" t="str">
        <v>@ ID &amp; FACE</v>
      </c>
      <c r="G15" t="str">
        <v>@ OD &amp; BACK FACE</v>
      </c>
      <c r="H15" t="str">
        <v>Balloon 7 Blank, Datum A = Ø.370</v>
      </c>
      <c r="I15" t="str">
        <v xml:space="preserve">Blank, Thrd. </v>
      </c>
      <c r="J15" t="str">
        <v>BLAST Per Note 3</v>
      </c>
      <c r="K15" t="str">
        <v>Blast Per Note 4</v>
      </c>
      <c r="L15" t="str">
        <v>Blend to .340 Ø</v>
      </c>
      <c r="M15" t="str">
        <v>Broachless Blank</v>
      </c>
      <c r="N15" t="str">
        <v>Calc.</v>
      </c>
      <c r="O15" t="str">
        <v xml:space="preserve">Center of V Grv. </v>
      </c>
      <c r="P15" t="str">
        <v>Centered within .001 or Less=Pass</v>
      </c>
      <c r="Q15" t="str">
        <v>Check across from slot, Final AQL 1.0</v>
      </c>
      <c r="R15" t="str">
        <v>Check close to Rod Slot</v>
      </c>
      <c r="S15" t="str">
        <v>CMM Blank</v>
      </c>
      <c r="T15" t="str">
        <v>C-Sink</v>
      </c>
      <c r="U15" t="str">
        <v>Cust. Gauge</v>
      </c>
      <c r="V15" t="str">
        <v>Diff.</v>
      </c>
      <c r="W15" t="str">
        <v>Drawing Note 3</v>
      </c>
      <c r="X15" t="str">
        <v>EXT. Sphere Location</v>
      </c>
      <c r="Y15" t="str">
        <v>Fav. Ang. Align</v>
      </c>
      <c r="Z15" t="str">
        <v>Go GaugeFunc.</v>
      </c>
      <c r="AA15" t="str">
        <v>Go Pin must pass through</v>
      </c>
      <c r="AB15" t="str">
        <v>Go Pin, No Light, at Radius</v>
      </c>
      <c r="AC15" t="str">
        <v>Hex &amp; Lobe Oriented</v>
      </c>
      <c r="AD15" t="str">
        <v>Hex Minor to OD .0005 or less = Pass</v>
      </c>
      <c r="AE15" t="str">
        <v>ID @ Face</v>
      </c>
      <c r="AF15" t="str">
        <v>Insp. Fixt.</v>
      </c>
      <c r="AG15" t="str">
        <v>INT. Sphere Location.</v>
      </c>
      <c r="AH15" t="str">
        <v>NA</v>
      </c>
      <c r="AI15" t="str">
        <v>NA</v>
      </c>
      <c r="AJ15" t="str">
        <v>No Copper Deposits Allowed</v>
      </c>
      <c r="AK15" t="str">
        <v>No Section</v>
      </c>
      <c r="AL15" t="str">
        <v>O.A.L.</v>
      </c>
      <c r="AM15" t="str">
        <v>One side of slot</v>
      </c>
      <c r="AN15" t="str">
        <v>Perp.|0.05|A|</v>
      </c>
      <c r="AO15" t="str">
        <v>Point Tip</v>
      </c>
      <c r="AP15" t="str">
        <v>Profile|.001|A|B| A&lt;-&gt;B C&lt;-&gt;D</v>
      </c>
      <c r="AQ15" t="str">
        <v>Profile|.0016|B|D|</v>
      </c>
      <c r="AR15" t="str">
        <v>Profile|.005|A|C|</v>
      </c>
      <c r="AS15" t="str">
        <v>Profile|.010|A|B|</v>
      </c>
      <c r="AT15" t="str">
        <v>Rotate Part</v>
      </c>
      <c r="AU15" t="str">
        <v>Same as 38_1</v>
      </c>
      <c r="AV15" t="str">
        <v>See Comments Sheet</v>
      </c>
      <c r="AW15" t="str">
        <v>See Image</v>
      </c>
      <c r="AX15" t="str">
        <v>Sharp Okay, No Burr</v>
      </c>
      <c r="AY15" t="str">
        <v>SØ.331</v>
      </c>
      <c r="AZ15" t="str">
        <v>Start of Radius</v>
      </c>
      <c r="BA15" t="str">
        <v>Start of Radius @ .21 Ø</v>
      </c>
      <c r="BB15" t="str">
        <v>Surface Finish Per Note 1</v>
      </c>
      <c r="BC15" t="str">
        <v>T.S.C.</v>
      </c>
      <c r="BD15" t="str">
        <v>T3 HD1 TOOL SFI</v>
      </c>
      <c r="BE15" t="str">
        <v>Tangent Point</v>
      </c>
      <c r="BF15" t="str">
        <v>Taper Check</v>
      </c>
      <c r="BG15" t="str">
        <v>Theo.</v>
      </c>
      <c r="BH15" t="str">
        <v>Thrd. Minor Ø</v>
      </c>
      <c r="BI15" t="str">
        <v>Thrd. Relief Ø</v>
      </c>
      <c r="BJ15" t="str">
        <v>Threadless Blank</v>
      </c>
      <c r="BK15" t="str">
        <v>Thru. Hole Present</v>
      </c>
      <c r="BL15" t="str">
        <v>To center of R.005</v>
      </c>
      <c r="BM15" t="str">
        <v>Tot. Runout</v>
      </c>
      <c r="BN15" t="str">
        <v>True Pos.</v>
      </c>
      <c r="BO15" t="str">
        <v>True Pos.|.001|B|</v>
      </c>
      <c r="BP15" t="str">
        <v>True Pos.|Ø.03 (M)|A</v>
      </c>
      <c r="BQ15" t="str">
        <v>True. Pos.|Ø.001(M)|A|</v>
      </c>
      <c r="BR15" t="str">
        <v>Turn Ø Free of Mill Marks</v>
      </c>
      <c r="BS15" t="str">
        <v>UNI.</v>
      </c>
      <c r="BT15" t="str">
        <v>Use Go Hex</v>
      </c>
    </row>
    <row r="16" spans="1:84">
      <c r="A16" s="31">
        <v>14</v>
      </c>
      <c r="B16" s="114" t="s">
        <v>121</v>
      </c>
      <c r="D16" s="31" t="s">
        <v>122</v>
      </c>
      <c r="E16" s="73" t="str">
        <f t="array" ref="E16:BS16">TRANSPOSE(_xlfn._xlws.SORT(_xlfn._xlws.FILTER(B16:B383,ISNUMBER(SEARCH('PartLib Table'!M22,B16:B383)),"not found")))</f>
        <v>.1250 HEX</v>
      </c>
      <c r="F16" t="str">
        <v>@ ID &amp; FACE</v>
      </c>
      <c r="G16" t="str">
        <v>@ OD &amp; BACK FACE</v>
      </c>
      <c r="H16" t="str">
        <v>Balloon 7 Blank, Datum A = Ø.370</v>
      </c>
      <c r="I16" t="str">
        <v xml:space="preserve">Blank, Thrd. </v>
      </c>
      <c r="J16" t="str">
        <v>BLAST Per Note 3</v>
      </c>
      <c r="K16" t="str">
        <v>Blast Per Note 4</v>
      </c>
      <c r="L16" t="str">
        <v>Blend to .340 Ø</v>
      </c>
      <c r="M16" t="str">
        <v>Broachless Blank</v>
      </c>
      <c r="N16" t="str">
        <v>Calc.</v>
      </c>
      <c r="O16" t="str">
        <v xml:space="preserve">Center of V Grv. </v>
      </c>
      <c r="P16" t="str">
        <v>Centered within .001 or Less=Pass</v>
      </c>
      <c r="Q16" t="str">
        <v>Check across from slot, Final AQL 1.0</v>
      </c>
      <c r="R16" t="str">
        <v>Check close to Rod Slot</v>
      </c>
      <c r="S16" t="str">
        <v>CMM Blank</v>
      </c>
      <c r="T16" t="str">
        <v>C-Sink</v>
      </c>
      <c r="U16" t="str">
        <v>Cust. Gauge</v>
      </c>
      <c r="V16" t="str">
        <v>Drawing Note 3</v>
      </c>
      <c r="W16" t="str">
        <v>EXT. Sphere Location</v>
      </c>
      <c r="X16" t="str">
        <v>Fav. Ang. Align</v>
      </c>
      <c r="Y16" t="str">
        <v>Go GaugeFunc.</v>
      </c>
      <c r="Z16" t="str">
        <v>Go Pin must pass through</v>
      </c>
      <c r="AA16" t="str">
        <v>Go Pin, No Light, at Radius</v>
      </c>
      <c r="AB16" t="str">
        <v>Hex &amp; Lobe Oriented</v>
      </c>
      <c r="AC16" t="str">
        <v>Hex Minor to OD .0005 or less = Pass</v>
      </c>
      <c r="AD16" t="str">
        <v>ID @ Face</v>
      </c>
      <c r="AE16" t="str">
        <v>Insp. Fixt.</v>
      </c>
      <c r="AF16" t="str">
        <v>INT. Sphere Location.</v>
      </c>
      <c r="AG16" t="str">
        <v>NA</v>
      </c>
      <c r="AH16" t="str">
        <v>NA</v>
      </c>
      <c r="AI16" t="str">
        <v>No Copper Deposits Allowed</v>
      </c>
      <c r="AJ16" t="str">
        <v>No Section</v>
      </c>
      <c r="AK16" t="str">
        <v>O.A.L.</v>
      </c>
      <c r="AL16" t="str">
        <v>One side of slot</v>
      </c>
      <c r="AM16" t="str">
        <v>Perp.|0.05|A|</v>
      </c>
      <c r="AN16" t="str">
        <v>Point Tip</v>
      </c>
      <c r="AO16" t="str">
        <v>Profile|.001|A|B| A&lt;-&gt;B C&lt;-&gt;D</v>
      </c>
      <c r="AP16" t="str">
        <v>Profile|.0016|B|D|</v>
      </c>
      <c r="AQ16" t="str">
        <v>Profile|.005|A|C|</v>
      </c>
      <c r="AR16" t="str">
        <v>Profile|.010|A|B|</v>
      </c>
      <c r="AS16" t="str">
        <v>Rotate Part</v>
      </c>
      <c r="AT16" t="str">
        <v>Same as 38_1</v>
      </c>
      <c r="AU16" t="str">
        <v>See Comments Sheet</v>
      </c>
      <c r="AV16" t="str">
        <v>See Image</v>
      </c>
      <c r="AW16" t="str">
        <v>Sharp Okay, No Burr</v>
      </c>
      <c r="AX16" t="str">
        <v>SØ.331</v>
      </c>
      <c r="AY16" t="str">
        <v>Start of Radius</v>
      </c>
      <c r="AZ16" t="str">
        <v>Start of Radius @ .21 Ø</v>
      </c>
      <c r="BA16" t="str">
        <v>Surface Finish Per Note 1</v>
      </c>
      <c r="BB16" t="str">
        <v>T.S.C.</v>
      </c>
      <c r="BC16" t="str">
        <v>T3 HD1 TOOL SFI</v>
      </c>
      <c r="BD16" t="str">
        <v>Tangent Point</v>
      </c>
      <c r="BE16" t="str">
        <v>Taper Check</v>
      </c>
      <c r="BF16" t="str">
        <v>Theo.</v>
      </c>
      <c r="BG16" t="str">
        <v>Thrd. Minor Ø</v>
      </c>
      <c r="BH16" t="str">
        <v>Thrd. Relief Ø</v>
      </c>
      <c r="BI16" t="str">
        <v>Threadless Blank</v>
      </c>
      <c r="BJ16" t="str">
        <v>Thru. Hole Present</v>
      </c>
      <c r="BK16" t="str">
        <v>To center of R.005</v>
      </c>
      <c r="BL16" t="str">
        <v>Tot. Runout</v>
      </c>
      <c r="BM16" t="str">
        <v>True Pos.</v>
      </c>
      <c r="BN16" t="str">
        <v>True Pos.|.001|B|</v>
      </c>
      <c r="BO16" t="str">
        <v>True Pos.|Ø.03 (M)|A</v>
      </c>
      <c r="BP16" t="str">
        <v>True. Pos.|Ø.001(M)|A|</v>
      </c>
      <c r="BQ16" t="str">
        <v>Turn Ø Free of Mill Marks</v>
      </c>
      <c r="BR16" t="str">
        <v>UNI.</v>
      </c>
      <c r="BS16" t="str">
        <v>Use Go Hex</v>
      </c>
    </row>
    <row r="17" spans="1:70">
      <c r="A17" s="31">
        <v>15</v>
      </c>
      <c r="B17" s="114" t="s">
        <v>124</v>
      </c>
      <c r="D17" s="31" t="s">
        <v>123</v>
      </c>
      <c r="E17" s="73" t="str">
        <f t="array" ref="E17:BR17">TRANSPOSE(_xlfn._xlws.SORT(_xlfn._xlws.FILTER(B17:B384,ISNUMBER(SEARCH('PartLib Table'!M23,B17:B384)),"not found")))</f>
        <v>.1250 HEX</v>
      </c>
      <c r="F17" t="str">
        <v>@ ID &amp; FACE</v>
      </c>
      <c r="G17" t="str">
        <v>@ OD &amp; BACK FACE</v>
      </c>
      <c r="H17" t="str">
        <v>Balloon 7 Blank, Datum A = Ø.370</v>
      </c>
      <c r="I17" t="str">
        <v xml:space="preserve">Blank, Thrd. </v>
      </c>
      <c r="J17" t="str">
        <v>BLAST Per Note 3</v>
      </c>
      <c r="K17" t="str">
        <v>Blast Per Note 4</v>
      </c>
      <c r="L17" t="str">
        <v>Blend to .340 Ø</v>
      </c>
      <c r="M17" t="str">
        <v>Broachless Blank</v>
      </c>
      <c r="N17" t="str">
        <v>Calc.</v>
      </c>
      <c r="O17" t="str">
        <v xml:space="preserve">Center of V Grv. </v>
      </c>
      <c r="P17" t="str">
        <v>Centered within .001 or Less=Pass</v>
      </c>
      <c r="Q17" t="str">
        <v>Check across from slot, Final AQL 1.0</v>
      </c>
      <c r="R17" t="str">
        <v>Check close to Rod Slot</v>
      </c>
      <c r="S17" t="str">
        <v>CMM Blank</v>
      </c>
      <c r="T17" t="str">
        <v>C-Sink</v>
      </c>
      <c r="U17" t="str">
        <v>Cust. Gauge</v>
      </c>
      <c r="V17" t="str">
        <v>Drawing Note 3</v>
      </c>
      <c r="W17" t="str">
        <v>EXT. Sphere Location</v>
      </c>
      <c r="X17" t="str">
        <v>Fav. Ang. Align</v>
      </c>
      <c r="Y17" t="str">
        <v>Go GaugeFunc.</v>
      </c>
      <c r="Z17" t="str">
        <v>Go Pin must pass through</v>
      </c>
      <c r="AA17" t="str">
        <v>Go Pin, No Light, at Radius</v>
      </c>
      <c r="AB17" t="str">
        <v>Hex &amp; Lobe Oriented</v>
      </c>
      <c r="AC17" t="str">
        <v>Hex Minor to OD .0005 or less = Pass</v>
      </c>
      <c r="AD17" t="str">
        <v>ID @ Face</v>
      </c>
      <c r="AE17" t="str">
        <v>Insp. Fixt.</v>
      </c>
      <c r="AF17" t="str">
        <v>INT. Sphere Location.</v>
      </c>
      <c r="AG17" t="str">
        <v>NA</v>
      </c>
      <c r="AH17" t="str">
        <v>NA</v>
      </c>
      <c r="AI17" t="str">
        <v>No Copper Deposits Allowed</v>
      </c>
      <c r="AJ17" t="str">
        <v>No Section</v>
      </c>
      <c r="AK17" t="str">
        <v>O.A.L.</v>
      </c>
      <c r="AL17" t="str">
        <v>One side of slot</v>
      </c>
      <c r="AM17" t="str">
        <v>Perp.|0.05|A|</v>
      </c>
      <c r="AN17" t="str">
        <v>Point Tip</v>
      </c>
      <c r="AO17" t="str">
        <v>Profile|.001|A|B| A&lt;-&gt;B C&lt;-&gt;D</v>
      </c>
      <c r="AP17" t="str">
        <v>Profile|.0016|B|D|</v>
      </c>
      <c r="AQ17" t="str">
        <v>Profile|.005|A|C|</v>
      </c>
      <c r="AR17" t="str">
        <v>Profile|.010|A|B|</v>
      </c>
      <c r="AS17" t="str">
        <v>Rotate Part</v>
      </c>
      <c r="AT17" t="str">
        <v>See Comments Sheet</v>
      </c>
      <c r="AU17" t="str">
        <v>See Image</v>
      </c>
      <c r="AV17" t="str">
        <v>Sharp Okay, No Burr</v>
      </c>
      <c r="AW17" t="str">
        <v>SØ.331</v>
      </c>
      <c r="AX17" t="str">
        <v>Start of Radius</v>
      </c>
      <c r="AY17" t="str">
        <v>Start of Radius @ .21 Ø</v>
      </c>
      <c r="AZ17" t="str">
        <v>Surface Finish Per Note 1</v>
      </c>
      <c r="BA17" t="str">
        <v>T.S.C.</v>
      </c>
      <c r="BB17" t="str">
        <v>T3 HD1 TOOL SFI</v>
      </c>
      <c r="BC17" t="str">
        <v>Tangent Point</v>
      </c>
      <c r="BD17" t="str">
        <v>Taper Check</v>
      </c>
      <c r="BE17" t="str">
        <v>Theo.</v>
      </c>
      <c r="BF17" t="str">
        <v>Thrd. Minor Ø</v>
      </c>
      <c r="BG17" t="str">
        <v>Thrd. Relief Ø</v>
      </c>
      <c r="BH17" t="str">
        <v>Threadless Blank</v>
      </c>
      <c r="BI17" t="str">
        <v>Thru. Hole Present</v>
      </c>
      <c r="BJ17" t="str">
        <v>To center of R.005</v>
      </c>
      <c r="BK17" t="str">
        <v>Tot. Runout</v>
      </c>
      <c r="BL17" t="str">
        <v>True Pos.</v>
      </c>
      <c r="BM17" t="str">
        <v>True Pos.|.001|B|</v>
      </c>
      <c r="BN17" t="str">
        <v>True Pos.|Ø.03 (M)|A</v>
      </c>
      <c r="BO17" t="str">
        <v>True. Pos.|Ø.001(M)|A|</v>
      </c>
      <c r="BP17" t="str">
        <v>Turn Ø Free of Mill Marks</v>
      </c>
      <c r="BQ17" t="str">
        <v>UNI.</v>
      </c>
      <c r="BR17" t="str">
        <v>Use Go Hex</v>
      </c>
    </row>
    <row r="18" spans="1:70">
      <c r="A18" s="31">
        <v>16</v>
      </c>
      <c r="B18" s="114" t="s">
        <v>250</v>
      </c>
      <c r="D18" s="31" t="s">
        <v>126</v>
      </c>
      <c r="E18" s="73" t="str">
        <f t="array" ref="E18:BQ18">TRANSPOSE(_xlfn._xlws.SORT(_xlfn._xlws.FILTER(B18:B385,ISNUMBER(SEARCH('PartLib Table'!M24,B18:B385)),"not found")))</f>
        <v>.1250 HEX</v>
      </c>
      <c r="F18" t="str">
        <v>@ ID &amp; FACE</v>
      </c>
      <c r="G18" t="str">
        <v>@ OD &amp; BACK FACE</v>
      </c>
      <c r="H18" t="str">
        <v>Balloon 7 Blank, Datum A = Ø.370</v>
      </c>
      <c r="I18" t="str">
        <v xml:space="preserve">Blank, Thrd. </v>
      </c>
      <c r="J18" t="str">
        <v>BLAST Per Note 3</v>
      </c>
      <c r="K18" t="str">
        <v>Blast Per Note 4</v>
      </c>
      <c r="L18" t="str">
        <v>Blend to .340 Ø</v>
      </c>
      <c r="M18" t="str">
        <v>Broachless Blank</v>
      </c>
      <c r="N18" t="str">
        <v>Calc.</v>
      </c>
      <c r="O18" t="str">
        <v xml:space="preserve">Center of V Grv. </v>
      </c>
      <c r="P18" t="str">
        <v>Centered within .001 or Less=Pass</v>
      </c>
      <c r="Q18" t="str">
        <v>Check across from slot, Final AQL 1.0</v>
      </c>
      <c r="R18" t="str">
        <v>Check close to Rod Slot</v>
      </c>
      <c r="S18" t="str">
        <v>CMM Blank</v>
      </c>
      <c r="T18" t="str">
        <v>C-Sink</v>
      </c>
      <c r="U18" t="str">
        <v>Cust. Gauge</v>
      </c>
      <c r="V18" t="str">
        <v>EXT. Sphere Location</v>
      </c>
      <c r="W18" t="str">
        <v>Fav. Ang. Align</v>
      </c>
      <c r="X18" t="str">
        <v>Go GaugeFunc.</v>
      </c>
      <c r="Y18" t="str">
        <v>Go Pin must pass through</v>
      </c>
      <c r="Z18" t="str">
        <v>Go Pin, No Light, at Radius</v>
      </c>
      <c r="AA18" t="str">
        <v>Hex &amp; Lobe Oriented</v>
      </c>
      <c r="AB18" t="str">
        <v>Hex Minor to OD .0005 or less = Pass</v>
      </c>
      <c r="AC18" t="str">
        <v>ID @ Face</v>
      </c>
      <c r="AD18" t="str">
        <v>Insp. Fixt.</v>
      </c>
      <c r="AE18" t="str">
        <v>INT. Sphere Location.</v>
      </c>
      <c r="AF18" t="str">
        <v>NA</v>
      </c>
      <c r="AG18" t="str">
        <v>NA</v>
      </c>
      <c r="AH18" t="str">
        <v>No Copper Deposits Allowed</v>
      </c>
      <c r="AI18" t="str">
        <v>No Section</v>
      </c>
      <c r="AJ18" t="str">
        <v>O.A.L.</v>
      </c>
      <c r="AK18" t="str">
        <v>One side of slot</v>
      </c>
      <c r="AL18" t="str">
        <v>Perp.|0.05|A|</v>
      </c>
      <c r="AM18" t="str">
        <v>Point Tip</v>
      </c>
      <c r="AN18" t="str">
        <v>Profile|.001|A|B| A&lt;-&gt;B C&lt;-&gt;D</v>
      </c>
      <c r="AO18" t="str">
        <v>Profile|.0016|B|D|</v>
      </c>
      <c r="AP18" t="str">
        <v>Profile|.005|A|C|</v>
      </c>
      <c r="AQ18" t="str">
        <v>Profile|.010|A|B|</v>
      </c>
      <c r="AR18" t="str">
        <v>Rotate Part</v>
      </c>
      <c r="AS18" t="str">
        <v>See Comments Sheet</v>
      </c>
      <c r="AT18" t="str">
        <v>See Image</v>
      </c>
      <c r="AU18" t="str">
        <v>Sharp Okay, No Burr</v>
      </c>
      <c r="AV18" t="str">
        <v>SØ.331</v>
      </c>
      <c r="AW18" t="str">
        <v>Start of Radius</v>
      </c>
      <c r="AX18" t="str">
        <v>Start of Radius @ .21 Ø</v>
      </c>
      <c r="AY18" t="str">
        <v>Surface Finish Per Note 1</v>
      </c>
      <c r="AZ18" t="str">
        <v>T.S.C.</v>
      </c>
      <c r="BA18" t="str">
        <v>T3 HD1 TOOL SFI</v>
      </c>
      <c r="BB18" t="str">
        <v>Tangent Point</v>
      </c>
      <c r="BC18" t="str">
        <v>Taper Check</v>
      </c>
      <c r="BD18" t="str">
        <v>Theo.</v>
      </c>
      <c r="BE18" t="str">
        <v>Thrd. Minor Ø</v>
      </c>
      <c r="BF18" t="str">
        <v>Thrd. Relief Ø</v>
      </c>
      <c r="BG18" t="str">
        <v>Threadless Blank</v>
      </c>
      <c r="BH18" t="str">
        <v>Thru. Hole Present</v>
      </c>
      <c r="BI18" t="str">
        <v>To center of R.005</v>
      </c>
      <c r="BJ18" t="str">
        <v>Tot. Runout</v>
      </c>
      <c r="BK18" t="str">
        <v>True Pos.</v>
      </c>
      <c r="BL18" t="str">
        <v>True Pos.|.001|B|</v>
      </c>
      <c r="BM18" t="str">
        <v>True Pos.|Ø.03 (M)|A</v>
      </c>
      <c r="BN18" t="str">
        <v>True. Pos.|Ø.001(M)|A|</v>
      </c>
      <c r="BO18" t="str">
        <v>Turn Ø Free of Mill Marks</v>
      </c>
      <c r="BP18" t="str">
        <v>UNI.</v>
      </c>
      <c r="BQ18" t="str">
        <v>Use Go Hex</v>
      </c>
    </row>
    <row r="19" spans="1:70">
      <c r="A19" s="31">
        <v>17</v>
      </c>
      <c r="B19" s="114" t="s">
        <v>128</v>
      </c>
      <c r="D19" s="31" t="s">
        <v>127</v>
      </c>
      <c r="E19" s="73" t="str">
        <f t="array" ref="E19:BP19">TRANSPOSE(_xlfn._xlws.SORT(_xlfn._xlws.FILTER(B19:B386,ISNUMBER(SEARCH('PartLib Table'!M25,B19:B386)),"not found")))</f>
        <v>.1250 HEX</v>
      </c>
      <c r="F19" t="str">
        <v>@ ID &amp; FACE</v>
      </c>
      <c r="G19" t="str">
        <v>@ OD &amp; BACK FACE</v>
      </c>
      <c r="H19" t="str">
        <v>Balloon 7 Blank, Datum A = Ø.370</v>
      </c>
      <c r="I19" t="str">
        <v xml:space="preserve">Blank, Thrd. </v>
      </c>
      <c r="J19" t="str">
        <v>BLAST Per Note 3</v>
      </c>
      <c r="K19" t="str">
        <v>Blast Per Note 4</v>
      </c>
      <c r="L19" t="str">
        <v>Broachless Blank</v>
      </c>
      <c r="M19" t="str">
        <v>Calc.</v>
      </c>
      <c r="N19" t="str">
        <v xml:space="preserve">Center of V Grv. </v>
      </c>
      <c r="O19" t="str">
        <v>Centered within .001 or Less=Pass</v>
      </c>
      <c r="P19" t="str">
        <v>Check across from slot, Final AQL 1.0</v>
      </c>
      <c r="Q19" t="str">
        <v>Check close to Rod Slot</v>
      </c>
      <c r="R19" t="str">
        <v>CMM Blank</v>
      </c>
      <c r="S19" t="str">
        <v>C-Sink</v>
      </c>
      <c r="T19" t="str">
        <v>Cust. Gauge</v>
      </c>
      <c r="U19" t="str">
        <v>EXT. Sphere Location</v>
      </c>
      <c r="V19" t="str">
        <v>Fav. Ang. Align</v>
      </c>
      <c r="W19" t="str">
        <v>Go GaugeFunc.</v>
      </c>
      <c r="X19" t="str">
        <v>Go Pin must pass through</v>
      </c>
      <c r="Y19" t="str">
        <v>Go Pin, No Light, at Radius</v>
      </c>
      <c r="Z19" t="str">
        <v>Hex &amp; Lobe Oriented</v>
      </c>
      <c r="AA19" t="str">
        <v>Hex Minor to OD .0005 or less = Pass</v>
      </c>
      <c r="AB19" t="str">
        <v>ID @ Face</v>
      </c>
      <c r="AC19" t="str">
        <v>Insp. Fixt.</v>
      </c>
      <c r="AD19" t="str">
        <v>INT. Sphere Location.</v>
      </c>
      <c r="AE19" t="str">
        <v>NA</v>
      </c>
      <c r="AF19" t="str">
        <v>NA</v>
      </c>
      <c r="AG19" t="str">
        <v>No Copper Deposits Allowed</v>
      </c>
      <c r="AH19" t="str">
        <v>No Section</v>
      </c>
      <c r="AI19" t="str">
        <v>O.A.L.</v>
      </c>
      <c r="AJ19" t="str">
        <v>One side of slot</v>
      </c>
      <c r="AK19" t="str">
        <v>Perp.|0.05|A|</v>
      </c>
      <c r="AL19" t="str">
        <v>Point Tip</v>
      </c>
      <c r="AM19" t="str">
        <v>Profile|.001|A|B| A&lt;-&gt;B C&lt;-&gt;D</v>
      </c>
      <c r="AN19" t="str">
        <v>Profile|.0016|B|D|</v>
      </c>
      <c r="AO19" t="str">
        <v>Profile|.005|A|C|</v>
      </c>
      <c r="AP19" t="str">
        <v>Profile|.010|A|B|</v>
      </c>
      <c r="AQ19" t="str">
        <v>Rotate Part</v>
      </c>
      <c r="AR19" t="str">
        <v>See Comments Sheet</v>
      </c>
      <c r="AS19" t="str">
        <v>See Image</v>
      </c>
      <c r="AT19" t="str">
        <v>Sharp Okay, No Burr</v>
      </c>
      <c r="AU19" t="str">
        <v>SØ.331</v>
      </c>
      <c r="AV19" t="str">
        <v>Start of Radius</v>
      </c>
      <c r="AW19" t="str">
        <v>Start of Radius @ .21 Ø</v>
      </c>
      <c r="AX19" t="str">
        <v>Surface Finish Per Note 1</v>
      </c>
      <c r="AY19" t="str">
        <v>T.S.C.</v>
      </c>
      <c r="AZ19" t="str">
        <v>T3 HD1 TOOL SFI</v>
      </c>
      <c r="BA19" t="str">
        <v>Tangent Point</v>
      </c>
      <c r="BB19" t="str">
        <v>Taper Check</v>
      </c>
      <c r="BC19" t="str">
        <v>Theo.</v>
      </c>
      <c r="BD19" t="str">
        <v>Thrd. Minor Ø</v>
      </c>
      <c r="BE19" t="str">
        <v>Thrd. Relief Ø</v>
      </c>
      <c r="BF19" t="str">
        <v>Threadless Blank</v>
      </c>
      <c r="BG19" t="str">
        <v>Thru. Hole Present</v>
      </c>
      <c r="BH19" t="str">
        <v>To center of R.005</v>
      </c>
      <c r="BI19" t="str">
        <v>Tot. Runout</v>
      </c>
      <c r="BJ19" t="str">
        <v>True Pos.</v>
      </c>
      <c r="BK19" t="str">
        <v>True Pos.|.001|B|</v>
      </c>
      <c r="BL19" t="str">
        <v>True Pos.|Ø.03 (M)|A</v>
      </c>
      <c r="BM19" t="str">
        <v>True. Pos.|Ø.001(M)|A|</v>
      </c>
      <c r="BN19" t="str">
        <v>Turn Ø Free of Mill Marks</v>
      </c>
      <c r="BO19" t="str">
        <v>UNI.</v>
      </c>
      <c r="BP19" t="str">
        <v>Use Go Hex</v>
      </c>
    </row>
    <row r="20" spans="1:70">
      <c r="A20" s="31">
        <v>18</v>
      </c>
      <c r="B20" s="114" t="s">
        <v>131</v>
      </c>
      <c r="D20" s="31" t="s">
        <v>130</v>
      </c>
      <c r="E20" s="73" t="str">
        <f t="array" ref="E20:BO20">TRANSPOSE(_xlfn._xlws.SORT(_xlfn._xlws.FILTER(B20:B387,ISNUMBER(SEARCH('PartLib Table'!M26,B20:B387)),"not found")))</f>
        <v>.1250 HEX</v>
      </c>
      <c r="F20" t="str">
        <v>@ ID &amp; FACE</v>
      </c>
      <c r="G20" t="str">
        <v>@ OD &amp; BACK FACE</v>
      </c>
      <c r="H20" t="str">
        <v>Balloon 7 Blank, Datum A = Ø.370</v>
      </c>
      <c r="I20" t="str">
        <v xml:space="preserve">Blank, Thrd. </v>
      </c>
      <c r="J20" t="str">
        <v>BLAST Per Note 3</v>
      </c>
      <c r="K20" t="str">
        <v>Blast Per Note 4</v>
      </c>
      <c r="L20" t="str">
        <v>Broachless Blank</v>
      </c>
      <c r="M20" t="str">
        <v>Calc.</v>
      </c>
      <c r="N20" t="str">
        <v xml:space="preserve">Center of V Grv. </v>
      </c>
      <c r="O20" t="str">
        <v>Centered within .001 or Less=Pass</v>
      </c>
      <c r="P20" t="str">
        <v>Check across from slot, Final AQL 1.0</v>
      </c>
      <c r="Q20" t="str">
        <v>Check close to Rod Slot</v>
      </c>
      <c r="R20" t="str">
        <v>CMM Blank</v>
      </c>
      <c r="S20" t="str">
        <v>C-Sink</v>
      </c>
      <c r="T20" t="str">
        <v>Cust. Gauge</v>
      </c>
      <c r="U20" t="str">
        <v>EXT. Sphere Location</v>
      </c>
      <c r="V20" t="str">
        <v>Fav. Ang. Align</v>
      </c>
      <c r="W20" t="str">
        <v>Go GaugeFunc.</v>
      </c>
      <c r="X20" t="str">
        <v>Go Pin must pass through</v>
      </c>
      <c r="Y20" t="str">
        <v>Go Pin, No Light, at Radius</v>
      </c>
      <c r="Z20" t="str">
        <v>Hex &amp; Lobe Oriented</v>
      </c>
      <c r="AA20" t="str">
        <v>Hex Minor to OD .0005 or less = Pass</v>
      </c>
      <c r="AB20" t="str">
        <v>Insp. Fixt.</v>
      </c>
      <c r="AC20" t="str">
        <v>INT. Sphere Location.</v>
      </c>
      <c r="AD20" t="str">
        <v>NA</v>
      </c>
      <c r="AE20" t="str">
        <v>NA</v>
      </c>
      <c r="AF20" t="str">
        <v>No Copper Deposits Allowed</v>
      </c>
      <c r="AG20" t="str">
        <v>No Section</v>
      </c>
      <c r="AH20" t="str">
        <v>O.A.L.</v>
      </c>
      <c r="AI20" t="str">
        <v>One side of slot</v>
      </c>
      <c r="AJ20" t="str">
        <v>Perp.|0.05|A|</v>
      </c>
      <c r="AK20" t="str">
        <v>Point Tip</v>
      </c>
      <c r="AL20" t="str">
        <v>Profile|.001|A|B| A&lt;-&gt;B C&lt;-&gt;D</v>
      </c>
      <c r="AM20" t="str">
        <v>Profile|.0016|B|D|</v>
      </c>
      <c r="AN20" t="str">
        <v>Profile|.005|A|C|</v>
      </c>
      <c r="AO20" t="str">
        <v>Profile|.010|A|B|</v>
      </c>
      <c r="AP20" t="str">
        <v>Rotate Part</v>
      </c>
      <c r="AQ20" t="str">
        <v>See Comments Sheet</v>
      </c>
      <c r="AR20" t="str">
        <v>See Image</v>
      </c>
      <c r="AS20" t="str">
        <v>Sharp Okay, No Burr</v>
      </c>
      <c r="AT20" t="str">
        <v>SØ.331</v>
      </c>
      <c r="AU20" t="str">
        <v>Start of Radius</v>
      </c>
      <c r="AV20" t="str">
        <v>Start of Radius @ .21 Ø</v>
      </c>
      <c r="AW20" t="str">
        <v>Surface Finish Per Note 1</v>
      </c>
      <c r="AX20" t="str">
        <v>T.S.C.</v>
      </c>
      <c r="AY20" t="str">
        <v>T3 HD1 TOOL SFI</v>
      </c>
      <c r="AZ20" t="str">
        <v>Tangent Point</v>
      </c>
      <c r="BA20" t="str">
        <v>Taper Check</v>
      </c>
      <c r="BB20" t="str">
        <v>Theo.</v>
      </c>
      <c r="BC20" t="str">
        <v>Thrd. Minor Ø</v>
      </c>
      <c r="BD20" t="str">
        <v>Thrd. Relief Ø</v>
      </c>
      <c r="BE20" t="str">
        <v>Threadless Blank</v>
      </c>
      <c r="BF20" t="str">
        <v>Thru. Hole Present</v>
      </c>
      <c r="BG20" t="str">
        <v>To center of R.005</v>
      </c>
      <c r="BH20" t="str">
        <v>Tot. Runout</v>
      </c>
      <c r="BI20" t="str">
        <v>True Pos.</v>
      </c>
      <c r="BJ20" t="str">
        <v>True Pos.|.001|B|</v>
      </c>
      <c r="BK20" t="str">
        <v>True Pos.|Ø.03 (M)|A</v>
      </c>
      <c r="BL20" t="str">
        <v>True. Pos.|Ø.001(M)|A|</v>
      </c>
      <c r="BM20" t="str">
        <v>Turn Ø Free of Mill Marks</v>
      </c>
      <c r="BN20" t="str">
        <v>UNI.</v>
      </c>
      <c r="BO20" t="str">
        <v>Use Go Hex</v>
      </c>
    </row>
    <row r="21" spans="1:70">
      <c r="A21" s="31">
        <v>19</v>
      </c>
      <c r="B21" s="114" t="s">
        <v>132</v>
      </c>
      <c r="D21" s="31" t="s">
        <v>133</v>
      </c>
      <c r="E21" s="73" t="str">
        <f t="array" ref="E21:BN21">TRANSPOSE(_xlfn._xlws.SORT(_xlfn._xlws.FILTER(B21:B388,ISNUMBER(SEARCH('PartLib Table'!M27,B21:B388)),"not found")))</f>
        <v>.1250 HEX</v>
      </c>
      <c r="F21" t="str">
        <v>@ ID &amp; FACE</v>
      </c>
      <c r="G21" t="str">
        <v>@ OD &amp; BACK FACE</v>
      </c>
      <c r="H21" t="str">
        <v>Balloon 7 Blank, Datum A = Ø.370</v>
      </c>
      <c r="I21" t="str">
        <v xml:space="preserve">Blank, Thrd. </v>
      </c>
      <c r="J21" t="str">
        <v>BLAST Per Note 3</v>
      </c>
      <c r="K21" t="str">
        <v>Blast Per Note 4</v>
      </c>
      <c r="L21" t="str">
        <v>Broachless Blank</v>
      </c>
      <c r="M21" t="str">
        <v>Calc.</v>
      </c>
      <c r="N21" t="str">
        <v xml:space="preserve">Center of V Grv. </v>
      </c>
      <c r="O21" t="str">
        <v>Centered within .001 or Less=Pass</v>
      </c>
      <c r="P21" t="str">
        <v>Check across from slot, Final AQL 1.0</v>
      </c>
      <c r="Q21" t="str">
        <v>CMM Blank</v>
      </c>
      <c r="R21" t="str">
        <v>C-Sink</v>
      </c>
      <c r="S21" t="str">
        <v>Cust. Gauge</v>
      </c>
      <c r="T21" t="str">
        <v>EXT. Sphere Location</v>
      </c>
      <c r="U21" t="str">
        <v>Fav. Ang. Align</v>
      </c>
      <c r="V21" t="str">
        <v>Go GaugeFunc.</v>
      </c>
      <c r="W21" t="str">
        <v>Go Pin must pass through</v>
      </c>
      <c r="X21" t="str">
        <v>Go Pin, No Light, at Radius</v>
      </c>
      <c r="Y21" t="str">
        <v>Hex &amp; Lobe Oriented</v>
      </c>
      <c r="Z21" t="str">
        <v>Hex Minor to OD .0005 or less = Pass</v>
      </c>
      <c r="AA21" t="str">
        <v>Insp. Fixt.</v>
      </c>
      <c r="AB21" t="str">
        <v>INT. Sphere Location.</v>
      </c>
      <c r="AC21" t="str">
        <v>NA</v>
      </c>
      <c r="AD21" t="str">
        <v>NA</v>
      </c>
      <c r="AE21" t="str">
        <v>No Copper Deposits Allowed</v>
      </c>
      <c r="AF21" t="str">
        <v>No Section</v>
      </c>
      <c r="AG21" t="str">
        <v>O.A.L.</v>
      </c>
      <c r="AH21" t="str">
        <v>One side of slot</v>
      </c>
      <c r="AI21" t="str">
        <v>Perp.|0.05|A|</v>
      </c>
      <c r="AJ21" t="str">
        <v>Point Tip</v>
      </c>
      <c r="AK21" t="str">
        <v>Profile|.001|A|B| A&lt;-&gt;B C&lt;-&gt;D</v>
      </c>
      <c r="AL21" t="str">
        <v>Profile|.0016|B|D|</v>
      </c>
      <c r="AM21" t="str">
        <v>Profile|.005|A|C|</v>
      </c>
      <c r="AN21" t="str">
        <v>Profile|.010|A|B|</v>
      </c>
      <c r="AO21" t="str">
        <v>Rotate Part</v>
      </c>
      <c r="AP21" t="str">
        <v>See Comments Sheet</v>
      </c>
      <c r="AQ21" t="str">
        <v>See Image</v>
      </c>
      <c r="AR21" t="str">
        <v>Sharp Okay, No Burr</v>
      </c>
      <c r="AS21" t="str">
        <v>SØ.331</v>
      </c>
      <c r="AT21" t="str">
        <v>Start of Radius</v>
      </c>
      <c r="AU21" t="str">
        <v>Start of Radius @ .21 Ø</v>
      </c>
      <c r="AV21" t="str">
        <v>Surface Finish Per Note 1</v>
      </c>
      <c r="AW21" t="str">
        <v>T.S.C.</v>
      </c>
      <c r="AX21" t="str">
        <v>T3 HD1 TOOL SFI</v>
      </c>
      <c r="AY21" t="str">
        <v>Tangent Point</v>
      </c>
      <c r="AZ21" t="str">
        <v>Taper Check</v>
      </c>
      <c r="BA21" t="str">
        <v>Theo.</v>
      </c>
      <c r="BB21" t="str">
        <v>Thrd. Minor Ø</v>
      </c>
      <c r="BC21" t="str">
        <v>Thrd. Relief Ø</v>
      </c>
      <c r="BD21" t="str">
        <v>Threadless Blank</v>
      </c>
      <c r="BE21" t="str">
        <v>Thru. Hole Present</v>
      </c>
      <c r="BF21" t="str">
        <v>To center of R.005</v>
      </c>
      <c r="BG21" t="str">
        <v>Tot. Runout</v>
      </c>
      <c r="BH21" t="str">
        <v>True Pos.</v>
      </c>
      <c r="BI21" t="str">
        <v>True Pos.|.001|B|</v>
      </c>
      <c r="BJ21" t="str">
        <v>True Pos.|Ø.03 (M)|A</v>
      </c>
      <c r="BK21" t="str">
        <v>True. Pos.|Ø.001(M)|A|</v>
      </c>
      <c r="BL21" t="str">
        <v>Turn Ø Free of Mill Marks</v>
      </c>
      <c r="BM21" t="str">
        <v>UNI.</v>
      </c>
      <c r="BN21" t="str">
        <v>Use Go Hex</v>
      </c>
    </row>
    <row r="22" spans="1:70">
      <c r="A22" s="31">
        <v>20</v>
      </c>
      <c r="B22" s="114" t="s">
        <v>135</v>
      </c>
      <c r="D22" s="31" t="s">
        <v>134</v>
      </c>
      <c r="E22" s="73" t="str">
        <f t="array" ref="E22:BM22">TRANSPOSE(_xlfn._xlws.SORT(_xlfn._xlws.FILTER(B22:B389,ISNUMBER(SEARCH('PartLib Table'!M28,B22:B389)),"not found")))</f>
        <v>.1250 HEX</v>
      </c>
      <c r="F22" t="str">
        <v>@ ID &amp; FACE</v>
      </c>
      <c r="G22" t="str">
        <v>@ OD &amp; BACK FACE</v>
      </c>
      <c r="H22" t="str">
        <v>Balloon 7 Blank, Datum A = Ø.370</v>
      </c>
      <c r="I22" t="str">
        <v xml:space="preserve">Blank, Thrd. </v>
      </c>
      <c r="J22" t="str">
        <v>BLAST Per Note 3</v>
      </c>
      <c r="K22" t="str">
        <v>Blast Per Note 4</v>
      </c>
      <c r="L22" t="str">
        <v>Broachless Blank</v>
      </c>
      <c r="M22" t="str">
        <v>Calc.</v>
      </c>
      <c r="N22" t="str">
        <v xml:space="preserve">Center of V Grv. </v>
      </c>
      <c r="O22" t="str">
        <v>Centered within .001 or Less=Pass</v>
      </c>
      <c r="P22" t="str">
        <v>Check across from slot, Final AQL 1.0</v>
      </c>
      <c r="Q22" t="str">
        <v>CMM Blank</v>
      </c>
      <c r="R22" t="str">
        <v>C-Sink</v>
      </c>
      <c r="S22" t="str">
        <v>Cust. Gauge</v>
      </c>
      <c r="T22" t="str">
        <v>EXT. Sphere Location</v>
      </c>
      <c r="U22" t="str">
        <v>Fav. Ang. Align</v>
      </c>
      <c r="V22" t="str">
        <v>Go GaugeFunc.</v>
      </c>
      <c r="W22" t="str">
        <v>Go Pin must pass through</v>
      </c>
      <c r="X22" t="str">
        <v>Go Pin, No Light, at Radius</v>
      </c>
      <c r="Y22" t="str">
        <v>Hex &amp; Lobe Oriented</v>
      </c>
      <c r="Z22" t="str">
        <v>Hex Minor to OD .0005 or less = Pass</v>
      </c>
      <c r="AA22" t="str">
        <v>Insp. Fixt.</v>
      </c>
      <c r="AB22" t="str">
        <v>INT. Sphere Location.</v>
      </c>
      <c r="AC22" t="str">
        <v>NA</v>
      </c>
      <c r="AD22" t="str">
        <v>NA</v>
      </c>
      <c r="AE22" t="str">
        <v>No Copper Deposits Allowed</v>
      </c>
      <c r="AF22" t="str">
        <v>No Section</v>
      </c>
      <c r="AG22" t="str">
        <v>O.A.L.</v>
      </c>
      <c r="AH22" t="str">
        <v>One side of slot</v>
      </c>
      <c r="AI22" t="str">
        <v>Perp.|0.05|A|</v>
      </c>
      <c r="AJ22" t="str">
        <v>Point Tip</v>
      </c>
      <c r="AK22" t="str">
        <v>Profile|.001|A|B| A&lt;-&gt;B C&lt;-&gt;D</v>
      </c>
      <c r="AL22" t="str">
        <v>Profile|.0016|B|D|</v>
      </c>
      <c r="AM22" t="str">
        <v>Profile|.005|A|C|</v>
      </c>
      <c r="AN22" t="str">
        <v>Profile|.010|A|B|</v>
      </c>
      <c r="AO22" t="str">
        <v>Rotate Part</v>
      </c>
      <c r="AP22" t="str">
        <v>See Comments Sheet</v>
      </c>
      <c r="AQ22" t="str">
        <v>See Image</v>
      </c>
      <c r="AR22" t="str">
        <v>Sharp Okay, No Burr</v>
      </c>
      <c r="AS22" t="str">
        <v>SØ.331</v>
      </c>
      <c r="AT22" t="str">
        <v>Start of Radius</v>
      </c>
      <c r="AU22" t="str">
        <v>Start of Radius @ .21 Ø</v>
      </c>
      <c r="AV22" t="str">
        <v>Surface Finish Per Note 1</v>
      </c>
      <c r="AW22" t="str">
        <v>T.S.C.</v>
      </c>
      <c r="AX22" t="str">
        <v>T3 HD1 TOOL SFI</v>
      </c>
      <c r="AY22" t="str">
        <v>Tangent Point</v>
      </c>
      <c r="AZ22" t="str">
        <v>Taper Check</v>
      </c>
      <c r="BA22" t="str">
        <v>Theo.</v>
      </c>
      <c r="BB22" t="str">
        <v>Thrd. Minor Ø</v>
      </c>
      <c r="BC22" t="str">
        <v>Thrd. Relief Ø</v>
      </c>
      <c r="BD22" t="str">
        <v>Threadless Blank</v>
      </c>
      <c r="BE22" t="str">
        <v>Thru. Hole Present</v>
      </c>
      <c r="BF22" t="str">
        <v>To center of R.005</v>
      </c>
      <c r="BG22" t="str">
        <v>Tot. Runout</v>
      </c>
      <c r="BH22" t="str">
        <v>True Pos.|.001|B|</v>
      </c>
      <c r="BI22" t="str">
        <v>True Pos.|Ø.03 (M)|A</v>
      </c>
      <c r="BJ22" t="str">
        <v>True. Pos.|Ø.001(M)|A|</v>
      </c>
      <c r="BK22" t="str">
        <v>Turn Ø Free of Mill Marks</v>
      </c>
      <c r="BL22" t="str">
        <v>UNI.</v>
      </c>
      <c r="BM22" t="str">
        <v>Use Go Hex</v>
      </c>
    </row>
    <row r="23" spans="1:70">
      <c r="A23" s="31">
        <v>21</v>
      </c>
      <c r="B23" s="114" t="s">
        <v>137</v>
      </c>
      <c r="D23" s="31" t="s">
        <v>136</v>
      </c>
      <c r="E23" s="73" t="str">
        <f t="array" ref="E23:BL23">TRANSPOSE(_xlfn._xlws.SORT(_xlfn._xlws.FILTER(B23:B390,ISNUMBER(SEARCH('PartLib Table'!M29,B23:B390)),"not found")))</f>
        <v>.1250 HEX</v>
      </c>
      <c r="F23" t="str">
        <v>@ ID &amp; FACE</v>
      </c>
      <c r="G23" t="str">
        <v>@ OD &amp; BACK FACE</v>
      </c>
      <c r="H23" t="str">
        <v xml:space="preserve">Blank, Thrd. </v>
      </c>
      <c r="I23" t="str">
        <v>BLAST Per Note 3</v>
      </c>
      <c r="J23" t="str">
        <v>Blast Per Note 4</v>
      </c>
      <c r="K23" t="str">
        <v>Broachless Blank</v>
      </c>
      <c r="L23" t="str">
        <v>Calc.</v>
      </c>
      <c r="M23" t="str">
        <v xml:space="preserve">Center of V Grv. </v>
      </c>
      <c r="N23" t="str">
        <v>Centered within .001 or Less=Pass</v>
      </c>
      <c r="O23" t="str">
        <v>Check across from slot, Final AQL 1.0</v>
      </c>
      <c r="P23" t="str">
        <v>CMM Blank</v>
      </c>
      <c r="Q23" t="str">
        <v>C-Sink</v>
      </c>
      <c r="R23" t="str">
        <v>Cust. Gauge</v>
      </c>
      <c r="S23" t="str">
        <v>EXT. Sphere Location</v>
      </c>
      <c r="T23" t="str">
        <v>Fav. Ang. Align</v>
      </c>
      <c r="U23" t="str">
        <v>Go GaugeFunc.</v>
      </c>
      <c r="V23" t="str">
        <v>Go Pin must pass through</v>
      </c>
      <c r="W23" t="str">
        <v>Go Pin, No Light, at Radius</v>
      </c>
      <c r="X23" t="str">
        <v>Hex &amp; Lobe Oriented</v>
      </c>
      <c r="Y23" t="str">
        <v>Hex Minor to OD .0005 or less = Pass</v>
      </c>
      <c r="Z23" t="str">
        <v>Insp. Fixt.</v>
      </c>
      <c r="AA23" t="str">
        <v>INT. Sphere Location.</v>
      </c>
      <c r="AB23" t="str">
        <v>NA</v>
      </c>
      <c r="AC23" t="str">
        <v>NA</v>
      </c>
      <c r="AD23" t="str">
        <v>No Copper Deposits Allowed</v>
      </c>
      <c r="AE23" t="str">
        <v>No Section</v>
      </c>
      <c r="AF23" t="str">
        <v>O.A.L.</v>
      </c>
      <c r="AG23" t="str">
        <v>One side of slot</v>
      </c>
      <c r="AH23" t="str">
        <v>Perp.|0.05|A|</v>
      </c>
      <c r="AI23" t="str">
        <v>Point Tip</v>
      </c>
      <c r="AJ23" t="str">
        <v>Profile|.001|A|B| A&lt;-&gt;B C&lt;-&gt;D</v>
      </c>
      <c r="AK23" t="str">
        <v>Profile|.0016|B|D|</v>
      </c>
      <c r="AL23" t="str">
        <v>Profile|.005|A|C|</v>
      </c>
      <c r="AM23" t="str">
        <v>Profile|.010|A|B|</v>
      </c>
      <c r="AN23" t="str">
        <v>Rotate Part</v>
      </c>
      <c r="AO23" t="str">
        <v>See Comments Sheet</v>
      </c>
      <c r="AP23" t="str">
        <v>See Image</v>
      </c>
      <c r="AQ23" t="str">
        <v>Sharp Okay, No Burr</v>
      </c>
      <c r="AR23" t="str">
        <v>SØ.331</v>
      </c>
      <c r="AS23" t="str">
        <v>Start of Radius</v>
      </c>
      <c r="AT23" t="str">
        <v>Start of Radius @ .21 Ø</v>
      </c>
      <c r="AU23" t="str">
        <v>Surface Finish Per Note 1</v>
      </c>
      <c r="AV23" t="str">
        <v>T.S.C.</v>
      </c>
      <c r="AW23" t="str">
        <v>T3 HD1 TOOL SFI</v>
      </c>
      <c r="AX23" t="str">
        <v>Tangent Point</v>
      </c>
      <c r="AY23" t="str">
        <v>Taper Check</v>
      </c>
      <c r="AZ23" t="str">
        <v>Theo.</v>
      </c>
      <c r="BA23" t="str">
        <v>Thrd. Minor Ø</v>
      </c>
      <c r="BB23" t="str">
        <v>Thrd. Relief Ø</v>
      </c>
      <c r="BC23" t="str">
        <v>Threadless Blank</v>
      </c>
      <c r="BD23" t="str">
        <v>Thru. Hole Present</v>
      </c>
      <c r="BE23" t="str">
        <v>To center of R.005</v>
      </c>
      <c r="BF23" t="str">
        <v>Tot. Runout</v>
      </c>
      <c r="BG23" t="str">
        <v>True Pos.|.001|B|</v>
      </c>
      <c r="BH23" t="str">
        <v>True Pos.|Ø.03 (M)|A</v>
      </c>
      <c r="BI23" t="str">
        <v>True. Pos.|Ø.001(M)|A|</v>
      </c>
      <c r="BJ23" t="str">
        <v>Turn Ø Free of Mill Marks</v>
      </c>
      <c r="BK23" t="str">
        <v>UNI.</v>
      </c>
      <c r="BL23" t="str">
        <v>Use Go Hex</v>
      </c>
    </row>
    <row r="24" spans="1:70">
      <c r="A24" s="31">
        <v>22</v>
      </c>
      <c r="B24" s="114" t="s">
        <v>138</v>
      </c>
      <c r="D24" s="31" t="s">
        <v>139</v>
      </c>
      <c r="E24" s="73" t="str">
        <f t="array" ref="E24:BK24">TRANSPOSE(_xlfn._xlws.SORT(_xlfn._xlws.FILTER(B24:B391,ISNUMBER(SEARCH('PartLib Table'!M30,B24:B391)),"not found")))</f>
        <v>.1250 HEX</v>
      </c>
      <c r="F24" t="str">
        <v>@ ID &amp; FACE</v>
      </c>
      <c r="G24" t="str">
        <v>@ OD &amp; BACK FACE</v>
      </c>
      <c r="H24" t="str">
        <v xml:space="preserve">Blank, Thrd. </v>
      </c>
      <c r="I24" t="str">
        <v>BLAST Per Note 3</v>
      </c>
      <c r="J24" t="str">
        <v>Blast Per Note 4</v>
      </c>
      <c r="K24" t="str">
        <v>Broachless Blank</v>
      </c>
      <c r="L24" t="str">
        <v>Calc.</v>
      </c>
      <c r="M24" t="str">
        <v xml:space="preserve">Center of V Grv. </v>
      </c>
      <c r="N24" t="str">
        <v>Centered within .001 or Less=Pass</v>
      </c>
      <c r="O24" t="str">
        <v>Check across from slot, Final AQL 1.0</v>
      </c>
      <c r="P24" t="str">
        <v>C-Sink</v>
      </c>
      <c r="Q24" t="str">
        <v>Cust. Gauge</v>
      </c>
      <c r="R24" t="str">
        <v>EXT. Sphere Location</v>
      </c>
      <c r="S24" t="str">
        <v>Fav. Ang. Align</v>
      </c>
      <c r="T24" t="str">
        <v>Go GaugeFunc.</v>
      </c>
      <c r="U24" t="str">
        <v>Go Pin must pass through</v>
      </c>
      <c r="V24" t="str">
        <v>Go Pin, No Light, at Radius</v>
      </c>
      <c r="W24" t="str">
        <v>Hex &amp; Lobe Oriented</v>
      </c>
      <c r="X24" t="str">
        <v>Hex Minor to OD .0005 or less = Pass</v>
      </c>
      <c r="Y24" t="str">
        <v>Insp. Fixt.</v>
      </c>
      <c r="Z24" t="str">
        <v>INT. Sphere Location.</v>
      </c>
      <c r="AA24" t="str">
        <v>NA</v>
      </c>
      <c r="AB24" t="str">
        <v>NA</v>
      </c>
      <c r="AC24" t="str">
        <v>No Copper Deposits Allowed</v>
      </c>
      <c r="AD24" t="str">
        <v>No Section</v>
      </c>
      <c r="AE24" t="str">
        <v>O.A.L.</v>
      </c>
      <c r="AF24" t="str">
        <v>One side of slot</v>
      </c>
      <c r="AG24" t="str">
        <v>Perp.|0.05|A|</v>
      </c>
      <c r="AH24" t="str">
        <v>Point Tip</v>
      </c>
      <c r="AI24" t="str">
        <v>Profile|.001|A|B| A&lt;-&gt;B C&lt;-&gt;D</v>
      </c>
      <c r="AJ24" t="str">
        <v>Profile|.0016|B|D|</v>
      </c>
      <c r="AK24" t="str">
        <v>Profile|.005|A|C|</v>
      </c>
      <c r="AL24" t="str">
        <v>Profile|.010|A|B|</v>
      </c>
      <c r="AM24" t="str">
        <v>Rotate Part</v>
      </c>
      <c r="AN24" t="str">
        <v>See Comments Sheet</v>
      </c>
      <c r="AO24" t="str">
        <v>See Image</v>
      </c>
      <c r="AP24" t="str">
        <v>Sharp Okay, No Burr</v>
      </c>
      <c r="AQ24" t="str">
        <v>SØ.331</v>
      </c>
      <c r="AR24" t="str">
        <v>Start of Radius</v>
      </c>
      <c r="AS24" t="str">
        <v>Start of Radius @ .21 Ø</v>
      </c>
      <c r="AT24" t="str">
        <v>Surface Finish Per Note 1</v>
      </c>
      <c r="AU24" t="str">
        <v>T.S.C.</v>
      </c>
      <c r="AV24" t="str">
        <v>T3 HD1 TOOL SFI</v>
      </c>
      <c r="AW24" t="str">
        <v>Tangent Point</v>
      </c>
      <c r="AX24" t="str">
        <v>Taper Check</v>
      </c>
      <c r="AY24" t="str">
        <v>Theo.</v>
      </c>
      <c r="AZ24" t="str">
        <v>Thrd. Minor Ø</v>
      </c>
      <c r="BA24" t="str">
        <v>Thrd. Relief Ø</v>
      </c>
      <c r="BB24" t="str">
        <v>Threadless Blank</v>
      </c>
      <c r="BC24" t="str">
        <v>Thru. Hole Present</v>
      </c>
      <c r="BD24" t="str">
        <v>To center of R.005</v>
      </c>
      <c r="BE24" t="str">
        <v>Tot. Runout</v>
      </c>
      <c r="BF24" t="str">
        <v>True Pos.|.001|B|</v>
      </c>
      <c r="BG24" t="str">
        <v>True Pos.|Ø.03 (M)|A</v>
      </c>
      <c r="BH24" t="str">
        <v>True. Pos.|Ø.001(M)|A|</v>
      </c>
      <c r="BI24" t="str">
        <v>Turn Ø Free of Mill Marks</v>
      </c>
      <c r="BJ24" t="str">
        <v>UNI.</v>
      </c>
      <c r="BK24" t="str">
        <v>Use Go Hex</v>
      </c>
    </row>
    <row r="25" spans="1:70">
      <c r="A25" s="31">
        <v>23</v>
      </c>
      <c r="B25" s="114" t="s">
        <v>141</v>
      </c>
      <c r="D25" s="31" t="s">
        <v>140</v>
      </c>
      <c r="E25" s="73" t="str">
        <f t="array" ref="E25:BJ25">TRANSPOSE(_xlfn._xlws.SORT(_xlfn._xlws.FILTER(B25:B392,ISNUMBER(SEARCH('PartLib Table'!M31,B25:B392)),"not found")))</f>
        <v>.1250 HEX</v>
      </c>
      <c r="F25" t="str">
        <v>@ ID &amp; FACE</v>
      </c>
      <c r="G25" t="str">
        <v>@ OD &amp; BACK FACE</v>
      </c>
      <c r="H25" t="str">
        <v xml:space="preserve">Blank, Thrd. </v>
      </c>
      <c r="I25" t="str">
        <v>BLAST Per Note 3</v>
      </c>
      <c r="J25" t="str">
        <v>Blast Per Note 4</v>
      </c>
      <c r="K25" t="str">
        <v>Broachless Blank</v>
      </c>
      <c r="L25" t="str">
        <v>Calc.</v>
      </c>
      <c r="M25" t="str">
        <v xml:space="preserve">Center of V Grv. </v>
      </c>
      <c r="N25" t="str">
        <v>Centered within .001 or Less=Pass</v>
      </c>
      <c r="O25" t="str">
        <v>C-Sink</v>
      </c>
      <c r="P25" t="str">
        <v>Cust. Gauge</v>
      </c>
      <c r="Q25" t="str">
        <v>EXT. Sphere Location</v>
      </c>
      <c r="R25" t="str">
        <v>Fav. Ang. Align</v>
      </c>
      <c r="S25" t="str">
        <v>Go GaugeFunc.</v>
      </c>
      <c r="T25" t="str">
        <v>Go Pin must pass through</v>
      </c>
      <c r="U25" t="str">
        <v>Go Pin, No Light, at Radius</v>
      </c>
      <c r="V25" t="str">
        <v>Hex &amp; Lobe Oriented</v>
      </c>
      <c r="W25" t="str">
        <v>Hex Minor to OD .0005 or less = Pass</v>
      </c>
      <c r="X25" t="str">
        <v>Insp. Fixt.</v>
      </c>
      <c r="Y25" t="str">
        <v>INT. Sphere Location.</v>
      </c>
      <c r="Z25" t="str">
        <v>NA</v>
      </c>
      <c r="AA25" t="str">
        <v>NA</v>
      </c>
      <c r="AB25" t="str">
        <v>No Copper Deposits Allowed</v>
      </c>
      <c r="AC25" t="str">
        <v>No Section</v>
      </c>
      <c r="AD25" t="str">
        <v>O.A.L.</v>
      </c>
      <c r="AE25" t="str">
        <v>One side of slot</v>
      </c>
      <c r="AF25" t="str">
        <v>Perp.|0.05|A|</v>
      </c>
      <c r="AG25" t="str">
        <v>Point Tip</v>
      </c>
      <c r="AH25" t="str">
        <v>Profile|.001|A|B| A&lt;-&gt;B C&lt;-&gt;D</v>
      </c>
      <c r="AI25" t="str">
        <v>Profile|.0016|B|D|</v>
      </c>
      <c r="AJ25" t="str">
        <v>Profile|.005|A|C|</v>
      </c>
      <c r="AK25" t="str">
        <v>Profile|.010|A|B|</v>
      </c>
      <c r="AL25" t="str">
        <v>Rotate Part</v>
      </c>
      <c r="AM25" t="str">
        <v>See Comments Sheet</v>
      </c>
      <c r="AN25" t="str">
        <v>See Image</v>
      </c>
      <c r="AO25" t="str">
        <v>Sharp Okay, No Burr</v>
      </c>
      <c r="AP25" t="str">
        <v>SØ.331</v>
      </c>
      <c r="AQ25" t="str">
        <v>Start of Radius</v>
      </c>
      <c r="AR25" t="str">
        <v>Start of Radius @ .21 Ø</v>
      </c>
      <c r="AS25" t="str">
        <v>Surface Finish Per Note 1</v>
      </c>
      <c r="AT25" t="str">
        <v>T.S.C.</v>
      </c>
      <c r="AU25" t="str">
        <v>T3 HD1 TOOL SFI</v>
      </c>
      <c r="AV25" t="str">
        <v>Tangent Point</v>
      </c>
      <c r="AW25" t="str">
        <v>Taper Check</v>
      </c>
      <c r="AX25" t="str">
        <v>Theo.</v>
      </c>
      <c r="AY25" t="str">
        <v>Thrd. Minor Ø</v>
      </c>
      <c r="AZ25" t="str">
        <v>Thrd. Relief Ø</v>
      </c>
      <c r="BA25" t="str">
        <v>Threadless Blank</v>
      </c>
      <c r="BB25" t="str">
        <v>Thru. Hole Present</v>
      </c>
      <c r="BC25" t="str">
        <v>To center of R.005</v>
      </c>
      <c r="BD25" t="str">
        <v>Tot. Runout</v>
      </c>
      <c r="BE25" t="str">
        <v>True Pos.|.001|B|</v>
      </c>
      <c r="BF25" t="str">
        <v>True Pos.|Ø.03 (M)|A</v>
      </c>
      <c r="BG25" t="str">
        <v>True. Pos.|Ø.001(M)|A|</v>
      </c>
      <c r="BH25" t="str">
        <v>Turn Ø Free of Mill Marks</v>
      </c>
      <c r="BI25" t="str">
        <v>UNI.</v>
      </c>
      <c r="BJ25" t="str">
        <v>Use Go Hex</v>
      </c>
    </row>
    <row r="26" spans="1:70">
      <c r="A26" s="31">
        <v>24</v>
      </c>
      <c r="B26" s="114" t="s">
        <v>143</v>
      </c>
      <c r="D26" s="31" t="s">
        <v>142</v>
      </c>
      <c r="E26" s="73" t="str">
        <f t="array" ref="E26:BI26">TRANSPOSE(_xlfn._xlws.SORT(_xlfn._xlws.FILTER(B26:B393,ISNUMBER(SEARCH('PartLib Table'!M32,B26:B393)),"not found")))</f>
        <v>.1250 HEX</v>
      </c>
      <c r="F26" t="str">
        <v>@ OD &amp; BACK FACE</v>
      </c>
      <c r="G26" t="str">
        <v xml:space="preserve">Blank, Thrd. </v>
      </c>
      <c r="H26" t="str">
        <v>BLAST Per Note 3</v>
      </c>
      <c r="I26" t="str">
        <v>Blast Per Note 4</v>
      </c>
      <c r="J26" t="str">
        <v>Broachless Blank</v>
      </c>
      <c r="K26" t="str">
        <v>Calc.</v>
      </c>
      <c r="L26" t="str">
        <v xml:space="preserve">Center of V Grv. </v>
      </c>
      <c r="M26" t="str">
        <v>Centered within .001 or Less=Pass</v>
      </c>
      <c r="N26" t="str">
        <v>C-Sink</v>
      </c>
      <c r="O26" t="str">
        <v>Cust. Gauge</v>
      </c>
      <c r="P26" t="str">
        <v>EXT. Sphere Location</v>
      </c>
      <c r="Q26" t="str">
        <v>Fav. Ang. Align</v>
      </c>
      <c r="R26" t="str">
        <v>Go GaugeFunc.</v>
      </c>
      <c r="S26" t="str">
        <v>Go Pin must pass through</v>
      </c>
      <c r="T26" t="str">
        <v>Go Pin, No Light, at Radius</v>
      </c>
      <c r="U26" t="str">
        <v>Hex &amp; Lobe Oriented</v>
      </c>
      <c r="V26" t="str">
        <v>Hex Minor to OD .0005 or less = Pass</v>
      </c>
      <c r="W26" t="str">
        <v>Insp. Fixt.</v>
      </c>
      <c r="X26" t="str">
        <v>INT. Sphere Location.</v>
      </c>
      <c r="Y26" t="str">
        <v>NA</v>
      </c>
      <c r="Z26" t="str">
        <v>NA</v>
      </c>
      <c r="AA26" t="str">
        <v>No Copper Deposits Allowed</v>
      </c>
      <c r="AB26" t="str">
        <v>No Section</v>
      </c>
      <c r="AC26" t="str">
        <v>O.A.L.</v>
      </c>
      <c r="AD26" t="str">
        <v>One side of slot</v>
      </c>
      <c r="AE26" t="str">
        <v>Perp.|0.05|A|</v>
      </c>
      <c r="AF26" t="str">
        <v>Point Tip</v>
      </c>
      <c r="AG26" t="str">
        <v>Profile|.001|A|B| A&lt;-&gt;B C&lt;-&gt;D</v>
      </c>
      <c r="AH26" t="str">
        <v>Profile|.0016|B|D|</v>
      </c>
      <c r="AI26" t="str">
        <v>Profile|.005|A|C|</v>
      </c>
      <c r="AJ26" t="str">
        <v>Profile|.010|A|B|</v>
      </c>
      <c r="AK26" t="str">
        <v>Rotate Part</v>
      </c>
      <c r="AL26" t="str">
        <v>See Comments Sheet</v>
      </c>
      <c r="AM26" t="str">
        <v>See Image</v>
      </c>
      <c r="AN26" t="str">
        <v>Sharp Okay, No Burr</v>
      </c>
      <c r="AO26" t="str">
        <v>SØ.331</v>
      </c>
      <c r="AP26" t="str">
        <v>Start of Radius</v>
      </c>
      <c r="AQ26" t="str">
        <v>Start of Radius @ .21 Ø</v>
      </c>
      <c r="AR26" t="str">
        <v>Surface Finish Per Note 1</v>
      </c>
      <c r="AS26" t="str">
        <v>T.S.C.</v>
      </c>
      <c r="AT26" t="str">
        <v>T3 HD1 TOOL SFI</v>
      </c>
      <c r="AU26" t="str">
        <v>Tangent Point</v>
      </c>
      <c r="AV26" t="str">
        <v>Taper Check</v>
      </c>
      <c r="AW26" t="str">
        <v>Theo.</v>
      </c>
      <c r="AX26" t="str">
        <v>Thrd. Minor Ø</v>
      </c>
      <c r="AY26" t="str">
        <v>Thrd. Relief Ø</v>
      </c>
      <c r="AZ26" t="str">
        <v>Threadless Blank</v>
      </c>
      <c r="BA26" t="str">
        <v>Thru. Hole Present</v>
      </c>
      <c r="BB26" t="str">
        <v>To center of R.005</v>
      </c>
      <c r="BC26" t="str">
        <v>Tot. Runout</v>
      </c>
      <c r="BD26" t="str">
        <v>True Pos.|.001|B|</v>
      </c>
      <c r="BE26" t="str">
        <v>True Pos.|Ø.03 (M)|A</v>
      </c>
      <c r="BF26" t="str">
        <v>True. Pos.|Ø.001(M)|A|</v>
      </c>
      <c r="BG26" t="str">
        <v>Turn Ø Free of Mill Marks</v>
      </c>
      <c r="BH26" t="str">
        <v>UNI.</v>
      </c>
      <c r="BI26" t="str">
        <v>Use Go Hex</v>
      </c>
    </row>
    <row r="27" spans="1:70">
      <c r="A27" s="31">
        <v>25</v>
      </c>
      <c r="B27" s="114" t="s">
        <v>146</v>
      </c>
      <c r="D27" s="31" t="s">
        <v>145</v>
      </c>
      <c r="E27" s="73" t="str">
        <f t="array" ref="E27:BH27">TRANSPOSE(_xlfn._xlws.SORT(_xlfn._xlws.FILTER(B27:B394,ISNUMBER(SEARCH('PartLib Table'!M33,B27:B394)),"not found")))</f>
        <v>.1250 HEX</v>
      </c>
      <c r="F27" t="str">
        <v xml:space="preserve">Blank, Thrd. </v>
      </c>
      <c r="G27" t="str">
        <v>BLAST Per Note 3</v>
      </c>
      <c r="H27" t="str">
        <v>Blast Per Note 4</v>
      </c>
      <c r="I27" t="str">
        <v>Broachless Blank</v>
      </c>
      <c r="J27" t="str">
        <v>Calc.</v>
      </c>
      <c r="K27" t="str">
        <v xml:space="preserve">Center of V Grv. </v>
      </c>
      <c r="L27" t="str">
        <v>Centered within .001 or Less=Pass</v>
      </c>
      <c r="M27" t="str">
        <v>C-Sink</v>
      </c>
      <c r="N27" t="str">
        <v>Cust. Gauge</v>
      </c>
      <c r="O27" t="str">
        <v>EXT. Sphere Location</v>
      </c>
      <c r="P27" t="str">
        <v>Fav. Ang. Align</v>
      </c>
      <c r="Q27" t="str">
        <v>Go GaugeFunc.</v>
      </c>
      <c r="R27" t="str">
        <v>Go Pin must pass through</v>
      </c>
      <c r="S27" t="str">
        <v>Go Pin, No Light, at Radius</v>
      </c>
      <c r="T27" t="str">
        <v>Hex &amp; Lobe Oriented</v>
      </c>
      <c r="U27" t="str">
        <v>Hex Minor to OD .0005 or less = Pass</v>
      </c>
      <c r="V27" t="str">
        <v>Insp. Fixt.</v>
      </c>
      <c r="W27" t="str">
        <v>INT. Sphere Location.</v>
      </c>
      <c r="X27" t="str">
        <v>NA</v>
      </c>
      <c r="Y27" t="str">
        <v>NA</v>
      </c>
      <c r="Z27" t="str">
        <v>No Copper Deposits Allowed</v>
      </c>
      <c r="AA27" t="str">
        <v>No Section</v>
      </c>
      <c r="AB27" t="str">
        <v>O.A.L.</v>
      </c>
      <c r="AC27" t="str">
        <v>One side of slot</v>
      </c>
      <c r="AD27" t="str">
        <v>Perp.|0.05|A|</v>
      </c>
      <c r="AE27" t="str">
        <v>Point Tip</v>
      </c>
      <c r="AF27" t="str">
        <v>Profile|.001|A|B| A&lt;-&gt;B C&lt;-&gt;D</v>
      </c>
      <c r="AG27" t="str">
        <v>Profile|.0016|B|D|</v>
      </c>
      <c r="AH27" t="str">
        <v>Profile|.005|A|C|</v>
      </c>
      <c r="AI27" t="str">
        <v>Profile|.010|A|B|</v>
      </c>
      <c r="AJ27" t="str">
        <v>Rotate Part</v>
      </c>
      <c r="AK27" t="str">
        <v>See Comments Sheet</v>
      </c>
      <c r="AL27" t="str">
        <v>See Image</v>
      </c>
      <c r="AM27" t="str">
        <v>Sharp Okay, No Burr</v>
      </c>
      <c r="AN27" t="str">
        <v>SØ.331</v>
      </c>
      <c r="AO27" t="str">
        <v>Start of Radius</v>
      </c>
      <c r="AP27" t="str">
        <v>Start of Radius @ .21 Ø</v>
      </c>
      <c r="AQ27" t="str">
        <v>Surface Finish Per Note 1</v>
      </c>
      <c r="AR27" t="str">
        <v>T.S.C.</v>
      </c>
      <c r="AS27" t="str">
        <v>T3 HD1 TOOL SFI</v>
      </c>
      <c r="AT27" t="str">
        <v>Tangent Point</v>
      </c>
      <c r="AU27" t="str">
        <v>Taper Check</v>
      </c>
      <c r="AV27" t="str">
        <v>Theo.</v>
      </c>
      <c r="AW27" t="str">
        <v>Thrd. Minor Ø</v>
      </c>
      <c r="AX27" t="str">
        <v>Thrd. Relief Ø</v>
      </c>
      <c r="AY27" t="str">
        <v>Threadless Blank</v>
      </c>
      <c r="AZ27" t="str">
        <v>Thru. Hole Present</v>
      </c>
      <c r="BA27" t="str">
        <v>To center of R.005</v>
      </c>
      <c r="BB27" t="str">
        <v>Tot. Runout</v>
      </c>
      <c r="BC27" t="str">
        <v>True Pos.|.001|B|</v>
      </c>
      <c r="BD27" t="str">
        <v>True Pos.|Ø.03 (M)|A</v>
      </c>
      <c r="BE27" t="str">
        <v>True. Pos.|Ø.001(M)|A|</v>
      </c>
      <c r="BF27" t="str">
        <v>Turn Ø Free of Mill Marks</v>
      </c>
      <c r="BG27" t="str">
        <v>UNI.</v>
      </c>
      <c r="BH27" t="str">
        <v>Use Go Hex</v>
      </c>
    </row>
    <row r="28" spans="1:70">
      <c r="A28" s="31">
        <v>26</v>
      </c>
      <c r="B28" s="114" t="s">
        <v>33</v>
      </c>
      <c r="D28" s="31" t="s">
        <v>147</v>
      </c>
      <c r="E28" s="73" t="str">
        <f t="array" ref="E28:BG28">TRANSPOSE(_xlfn._xlws.SORT(_xlfn._xlws.FILTER(B28:B395,ISNUMBER(SEARCH('PartLib Table'!M34,B28:B395)),"not found")))</f>
        <v>.1250 HEX</v>
      </c>
      <c r="F28" t="str">
        <v xml:space="preserve">Blank, Thrd. </v>
      </c>
      <c r="G28" t="str">
        <v>BLAST Per Note 3</v>
      </c>
      <c r="H28" t="str">
        <v>Blast Per Note 4</v>
      </c>
      <c r="I28" t="str">
        <v>Broachless Blank</v>
      </c>
      <c r="J28" t="str">
        <v>Calc.</v>
      </c>
      <c r="K28" t="str">
        <v xml:space="preserve">Center of V Grv. </v>
      </c>
      <c r="L28" t="str">
        <v>Centered within .001 or Less=Pass</v>
      </c>
      <c r="M28" t="str">
        <v>C-Sink</v>
      </c>
      <c r="N28" t="str">
        <v>Cust. Gauge</v>
      </c>
      <c r="O28" t="str">
        <v>EXT. Sphere Location</v>
      </c>
      <c r="P28" t="str">
        <v>Fav. Ang. Align</v>
      </c>
      <c r="Q28" t="str">
        <v>Go GaugeFunc.</v>
      </c>
      <c r="R28" t="str">
        <v>Go Pin must pass through</v>
      </c>
      <c r="S28" t="str">
        <v>Go Pin, No Light, at Radius</v>
      </c>
      <c r="T28" t="str">
        <v>Hex &amp; Lobe Oriented</v>
      </c>
      <c r="U28" t="str">
        <v>Hex Minor to OD .0005 or less = Pass</v>
      </c>
      <c r="V28" t="str">
        <v>Insp. Fixt.</v>
      </c>
      <c r="W28" t="str">
        <v>INT. Sphere Location.</v>
      </c>
      <c r="X28" t="str">
        <v>NA</v>
      </c>
      <c r="Y28" t="str">
        <v>NA</v>
      </c>
      <c r="Z28" t="str">
        <v>No Copper Deposits Allowed</v>
      </c>
      <c r="AA28" t="str">
        <v>No Section</v>
      </c>
      <c r="AB28" t="str">
        <v>O.A.L.</v>
      </c>
      <c r="AC28" t="str">
        <v>Perp.|0.05|A|</v>
      </c>
      <c r="AD28" t="str">
        <v>Point Tip</v>
      </c>
      <c r="AE28" t="str">
        <v>Profile|.001|A|B| A&lt;-&gt;B C&lt;-&gt;D</v>
      </c>
      <c r="AF28" t="str">
        <v>Profile|.0016|B|D|</v>
      </c>
      <c r="AG28" t="str">
        <v>Profile|.005|A|C|</v>
      </c>
      <c r="AH28" t="str">
        <v>Profile|.010|A|B|</v>
      </c>
      <c r="AI28" t="str">
        <v>Rotate Part</v>
      </c>
      <c r="AJ28" t="str">
        <v>See Comments Sheet</v>
      </c>
      <c r="AK28" t="str">
        <v>See Image</v>
      </c>
      <c r="AL28" t="str">
        <v>Sharp Okay, No Burr</v>
      </c>
      <c r="AM28" t="str">
        <v>SØ.331</v>
      </c>
      <c r="AN28" t="str">
        <v>Start of Radius</v>
      </c>
      <c r="AO28" t="str">
        <v>Start of Radius @ .21 Ø</v>
      </c>
      <c r="AP28" t="str">
        <v>Surface Finish Per Note 1</v>
      </c>
      <c r="AQ28" t="str">
        <v>T.S.C.</v>
      </c>
      <c r="AR28" t="str">
        <v>T3 HD1 TOOL SFI</v>
      </c>
      <c r="AS28" t="str">
        <v>Tangent Point</v>
      </c>
      <c r="AT28" t="str">
        <v>Taper Check</v>
      </c>
      <c r="AU28" t="str">
        <v>Theo.</v>
      </c>
      <c r="AV28" t="str">
        <v>Thrd. Minor Ø</v>
      </c>
      <c r="AW28" t="str">
        <v>Thrd. Relief Ø</v>
      </c>
      <c r="AX28" t="str">
        <v>Threadless Blank</v>
      </c>
      <c r="AY28" t="str">
        <v>Thru. Hole Present</v>
      </c>
      <c r="AZ28" t="str">
        <v>To center of R.005</v>
      </c>
      <c r="BA28" t="str">
        <v>Tot. Runout</v>
      </c>
      <c r="BB28" t="str">
        <v>True Pos.|.001|B|</v>
      </c>
      <c r="BC28" t="str">
        <v>True Pos.|Ø.03 (M)|A</v>
      </c>
      <c r="BD28" t="str">
        <v>True. Pos.|Ø.001(M)|A|</v>
      </c>
      <c r="BE28" t="str">
        <v>Turn Ø Free of Mill Marks</v>
      </c>
      <c r="BF28" t="str">
        <v>UNI.</v>
      </c>
      <c r="BG28" t="str">
        <v>Use Go Hex</v>
      </c>
    </row>
    <row r="29" spans="1:70">
      <c r="A29" s="31">
        <v>27</v>
      </c>
      <c r="B29" s="114" t="s">
        <v>149</v>
      </c>
      <c r="D29" s="31" t="s">
        <v>148</v>
      </c>
      <c r="E29" s="73" t="str">
        <f t="array" ref="E29:BF29">TRANSPOSE(_xlfn._xlws.SORT(_xlfn._xlws.FILTER(B29:B396,ISNUMBER(SEARCH('PartLib Table'!M35,B29:B396)),"not found")))</f>
        <v>.1250 HEX</v>
      </c>
      <c r="F29" t="str">
        <v xml:space="preserve">Blank, Thrd. </v>
      </c>
      <c r="G29" t="str">
        <v>BLAST Per Note 3</v>
      </c>
      <c r="H29" t="str">
        <v>Blast Per Note 4</v>
      </c>
      <c r="I29" t="str">
        <v>Broachless Blank</v>
      </c>
      <c r="J29" t="str">
        <v>Calc.</v>
      </c>
      <c r="K29" t="str">
        <v xml:space="preserve">Center of V Grv. </v>
      </c>
      <c r="L29" t="str">
        <v>Centered within .001 or Less=Pass</v>
      </c>
      <c r="M29" t="str">
        <v>C-Sink</v>
      </c>
      <c r="N29" t="str">
        <v>Cust. Gauge</v>
      </c>
      <c r="O29" t="str">
        <v>EXT. Sphere Location</v>
      </c>
      <c r="P29" t="str">
        <v>Fav. Ang. Align</v>
      </c>
      <c r="Q29" t="str">
        <v>Go GaugeFunc.</v>
      </c>
      <c r="R29" t="str">
        <v>Go Pin must pass through</v>
      </c>
      <c r="S29" t="str">
        <v>Go Pin, No Light, at Radius</v>
      </c>
      <c r="T29" t="str">
        <v>Hex &amp; Lobe Oriented</v>
      </c>
      <c r="U29" t="str">
        <v>Hex Minor to OD .0005 or less = Pass</v>
      </c>
      <c r="V29" t="str">
        <v>Insp. Fixt.</v>
      </c>
      <c r="W29" t="str">
        <v>INT. Sphere Location.</v>
      </c>
      <c r="X29" t="str">
        <v>NA</v>
      </c>
      <c r="Y29" t="str">
        <v>No Copper Deposits Allowed</v>
      </c>
      <c r="Z29" t="str">
        <v>No Section</v>
      </c>
      <c r="AA29" t="str">
        <v>O.A.L.</v>
      </c>
      <c r="AB29" t="str">
        <v>Perp.|0.05|A|</v>
      </c>
      <c r="AC29" t="str">
        <v>Point Tip</v>
      </c>
      <c r="AD29" t="str">
        <v>Profile|.001|A|B| A&lt;-&gt;B C&lt;-&gt;D</v>
      </c>
      <c r="AE29" t="str">
        <v>Profile|.0016|B|D|</v>
      </c>
      <c r="AF29" t="str">
        <v>Profile|.005|A|C|</v>
      </c>
      <c r="AG29" t="str">
        <v>Profile|.010|A|B|</v>
      </c>
      <c r="AH29" t="str">
        <v>Rotate Part</v>
      </c>
      <c r="AI29" t="str">
        <v>See Comments Sheet</v>
      </c>
      <c r="AJ29" t="str">
        <v>See Image</v>
      </c>
      <c r="AK29" t="str">
        <v>Sharp Okay, No Burr</v>
      </c>
      <c r="AL29" t="str">
        <v>SØ.331</v>
      </c>
      <c r="AM29" t="str">
        <v>Start of Radius</v>
      </c>
      <c r="AN29" t="str">
        <v>Start of Radius @ .21 Ø</v>
      </c>
      <c r="AO29" t="str">
        <v>Surface Finish Per Note 1</v>
      </c>
      <c r="AP29" t="str">
        <v>T.S.C.</v>
      </c>
      <c r="AQ29" t="str">
        <v>T3 HD1 TOOL SFI</v>
      </c>
      <c r="AR29" t="str">
        <v>Tangent Point</v>
      </c>
      <c r="AS29" t="str">
        <v>Taper Check</v>
      </c>
      <c r="AT29" t="str">
        <v>Theo.</v>
      </c>
      <c r="AU29" t="str">
        <v>Thrd. Minor Ø</v>
      </c>
      <c r="AV29" t="str">
        <v>Thrd. Relief Ø</v>
      </c>
      <c r="AW29" t="str">
        <v>Threadless Blank</v>
      </c>
      <c r="AX29" t="str">
        <v>Thru. Hole Present</v>
      </c>
      <c r="AY29" t="str">
        <v>To center of R.005</v>
      </c>
      <c r="AZ29" t="str">
        <v>Tot. Runout</v>
      </c>
      <c r="BA29" t="str">
        <v>True Pos.|.001|B|</v>
      </c>
      <c r="BB29" t="str">
        <v>True Pos.|Ø.03 (M)|A</v>
      </c>
      <c r="BC29" t="str">
        <v>True. Pos.|Ø.001(M)|A|</v>
      </c>
      <c r="BD29" t="str">
        <v>Turn Ø Free of Mill Marks</v>
      </c>
      <c r="BE29" t="str">
        <v>UNI.</v>
      </c>
      <c r="BF29" t="str">
        <v>Use Go Hex</v>
      </c>
    </row>
    <row r="30" spans="1:70">
      <c r="A30" s="31">
        <v>28</v>
      </c>
      <c r="B30" s="114" t="s">
        <v>151</v>
      </c>
      <c r="D30" s="31" t="s">
        <v>150</v>
      </c>
      <c r="E30" s="73" t="str">
        <f t="array" ref="E30:BE30">TRANSPOSE(_xlfn._xlws.SORT(_xlfn._xlws.FILTER(B30:B397,ISNUMBER(SEARCH('PartLib Table'!M36,B30:B397)),"not found")))</f>
        <v>.1250 HEX</v>
      </c>
      <c r="F30" t="str">
        <v xml:space="preserve">Blank, Thrd. </v>
      </c>
      <c r="G30" t="str">
        <v>BLAST Per Note 3</v>
      </c>
      <c r="H30" t="str">
        <v>Blast Per Note 4</v>
      </c>
      <c r="I30" t="str">
        <v>Broachless Blank</v>
      </c>
      <c r="J30" t="str">
        <v>Calc.</v>
      </c>
      <c r="K30" t="str">
        <v xml:space="preserve">Center of V Grv. </v>
      </c>
      <c r="L30" t="str">
        <v>Centered within .001 or Less=Pass</v>
      </c>
      <c r="M30" t="str">
        <v>C-Sink</v>
      </c>
      <c r="N30" t="str">
        <v>Cust. Gauge</v>
      </c>
      <c r="O30" t="str">
        <v>EXT. Sphere Location</v>
      </c>
      <c r="P30" t="str">
        <v>Fav. Ang. Align</v>
      </c>
      <c r="Q30" t="str">
        <v>Go GaugeFunc.</v>
      </c>
      <c r="R30" t="str">
        <v>Go Pin must pass through</v>
      </c>
      <c r="S30" t="str">
        <v>Go Pin, No Light, at Radius</v>
      </c>
      <c r="T30" t="str">
        <v>Hex &amp; Lobe Oriented</v>
      </c>
      <c r="U30" t="str">
        <v>Hex Minor to OD .0005 or less = Pass</v>
      </c>
      <c r="V30" t="str">
        <v>Insp. Fixt.</v>
      </c>
      <c r="W30" t="str">
        <v>INT. Sphere Location.</v>
      </c>
      <c r="X30" t="str">
        <v>NA</v>
      </c>
      <c r="Y30" t="str">
        <v>No Copper Deposits Allowed</v>
      </c>
      <c r="Z30" t="str">
        <v>No Section</v>
      </c>
      <c r="AA30" t="str">
        <v>O.A.L.</v>
      </c>
      <c r="AB30" t="str">
        <v>Perp.|0.05|A|</v>
      </c>
      <c r="AC30" t="str">
        <v>Point Tip</v>
      </c>
      <c r="AD30" t="str">
        <v>Profile|.001|A|B| A&lt;-&gt;B C&lt;-&gt;D</v>
      </c>
      <c r="AE30" t="str">
        <v>Profile|.0016|B|D|</v>
      </c>
      <c r="AF30" t="str">
        <v>Profile|.005|A|C|</v>
      </c>
      <c r="AG30" t="str">
        <v>Profile|.010|A|B|</v>
      </c>
      <c r="AH30" t="str">
        <v>Rotate Part</v>
      </c>
      <c r="AI30" t="str">
        <v>See Comments Sheet</v>
      </c>
      <c r="AJ30" t="str">
        <v>See Image</v>
      </c>
      <c r="AK30" t="str">
        <v>Sharp Okay, No Burr</v>
      </c>
      <c r="AL30" t="str">
        <v>SØ.331</v>
      </c>
      <c r="AM30" t="str">
        <v>Start of Radius</v>
      </c>
      <c r="AN30" t="str">
        <v>Start of Radius @ .21 Ø</v>
      </c>
      <c r="AO30" t="str">
        <v>Surface Finish Per Note 1</v>
      </c>
      <c r="AP30" t="str">
        <v>T.S.C.</v>
      </c>
      <c r="AQ30" t="str">
        <v>T3 HD1 TOOL SFI</v>
      </c>
      <c r="AR30" t="str">
        <v>Tangent Point</v>
      </c>
      <c r="AS30" t="str">
        <v>Taper Check</v>
      </c>
      <c r="AT30" t="str">
        <v>Theo.</v>
      </c>
      <c r="AU30" t="str">
        <v>Thrd. Relief Ø</v>
      </c>
      <c r="AV30" t="str">
        <v>Threadless Blank</v>
      </c>
      <c r="AW30" t="str">
        <v>Thru. Hole Present</v>
      </c>
      <c r="AX30" t="str">
        <v>To center of R.005</v>
      </c>
      <c r="AY30" t="str">
        <v>Tot. Runout</v>
      </c>
      <c r="AZ30" t="str">
        <v>True Pos.|.001|B|</v>
      </c>
      <c r="BA30" t="str">
        <v>True Pos.|Ø.03 (M)|A</v>
      </c>
      <c r="BB30" t="str">
        <v>True. Pos.|Ø.001(M)|A|</v>
      </c>
      <c r="BC30" t="str">
        <v>Turn Ø Free of Mill Marks</v>
      </c>
      <c r="BD30" t="str">
        <v>UNI.</v>
      </c>
      <c r="BE30" t="str">
        <v>Use Go Hex</v>
      </c>
    </row>
    <row r="31" spans="1:70">
      <c r="A31" s="31">
        <v>29</v>
      </c>
      <c r="B31" s="114" t="s">
        <v>153</v>
      </c>
      <c r="D31" s="31" t="s">
        <v>152</v>
      </c>
      <c r="E31" s="73" t="str">
        <f t="array" ref="E31:BD31">TRANSPOSE(_xlfn._xlws.SORT(_xlfn._xlws.FILTER(B31:B398,ISNUMBER(SEARCH('PartLib Table'!M37,B31:B398)),"not found")))</f>
        <v>.1250 HEX</v>
      </c>
      <c r="F31" t="str">
        <v xml:space="preserve">Blank, Thrd. </v>
      </c>
      <c r="G31" t="str">
        <v>BLAST Per Note 3</v>
      </c>
      <c r="H31" t="str">
        <v>Blast Per Note 4</v>
      </c>
      <c r="I31" t="str">
        <v>Broachless Blank</v>
      </c>
      <c r="J31" t="str">
        <v>Calc.</v>
      </c>
      <c r="K31" t="str">
        <v xml:space="preserve">Center of V Grv. </v>
      </c>
      <c r="L31" t="str">
        <v>Centered within .001 or Less=Pass</v>
      </c>
      <c r="M31" t="str">
        <v>C-Sink</v>
      </c>
      <c r="N31" t="str">
        <v>Cust. Gauge</v>
      </c>
      <c r="O31" t="str">
        <v>EXT. Sphere Location</v>
      </c>
      <c r="P31" t="str">
        <v>Fav. Ang. Align</v>
      </c>
      <c r="Q31" t="str">
        <v>Go GaugeFunc.</v>
      </c>
      <c r="R31" t="str">
        <v>Go Pin must pass through</v>
      </c>
      <c r="S31" t="str">
        <v>Go Pin, No Light, at Radius</v>
      </c>
      <c r="T31" t="str">
        <v>Hex &amp; Lobe Oriented</v>
      </c>
      <c r="U31" t="str">
        <v>Hex Minor to OD .0005 or less = Pass</v>
      </c>
      <c r="V31" t="str">
        <v>Insp. Fixt.</v>
      </c>
      <c r="W31" t="str">
        <v>INT. Sphere Location.</v>
      </c>
      <c r="X31" t="str">
        <v>NA</v>
      </c>
      <c r="Y31" t="str">
        <v>No Copper Deposits Allowed</v>
      </c>
      <c r="Z31" t="str">
        <v>No Section</v>
      </c>
      <c r="AA31" t="str">
        <v>O.A.L.</v>
      </c>
      <c r="AB31" t="str">
        <v>Perp.|0.05|A|</v>
      </c>
      <c r="AC31" t="str">
        <v>Point Tip</v>
      </c>
      <c r="AD31" t="str">
        <v>Profile|.001|A|B| A&lt;-&gt;B C&lt;-&gt;D</v>
      </c>
      <c r="AE31" t="str">
        <v>Profile|.0016|B|D|</v>
      </c>
      <c r="AF31" t="str">
        <v>Profile|.005|A|C|</v>
      </c>
      <c r="AG31" t="str">
        <v>Profile|.010|A|B|</v>
      </c>
      <c r="AH31" t="str">
        <v>Rotate Part</v>
      </c>
      <c r="AI31" t="str">
        <v>See Comments Sheet</v>
      </c>
      <c r="AJ31" t="str">
        <v>See Image</v>
      </c>
      <c r="AK31" t="str">
        <v>Sharp Okay, No Burr</v>
      </c>
      <c r="AL31" t="str">
        <v>SØ.331</v>
      </c>
      <c r="AM31" t="str">
        <v>Start of Radius</v>
      </c>
      <c r="AN31" t="str">
        <v>Start of Radius @ .21 Ø</v>
      </c>
      <c r="AO31" t="str">
        <v>Surface Finish Per Note 1</v>
      </c>
      <c r="AP31" t="str">
        <v>T.S.C.</v>
      </c>
      <c r="AQ31" t="str">
        <v>T3 HD1 TOOL SFI</v>
      </c>
      <c r="AR31" t="str">
        <v>Tangent Point</v>
      </c>
      <c r="AS31" t="str">
        <v>Taper Check</v>
      </c>
      <c r="AT31" t="str">
        <v>Theo.</v>
      </c>
      <c r="AU31" t="str">
        <v>Threadless Blank</v>
      </c>
      <c r="AV31" t="str">
        <v>Thru. Hole Present</v>
      </c>
      <c r="AW31" t="str">
        <v>To center of R.005</v>
      </c>
      <c r="AX31" t="str">
        <v>Tot. Runout</v>
      </c>
      <c r="AY31" t="str">
        <v>True Pos.|.001|B|</v>
      </c>
      <c r="AZ31" t="str">
        <v>True Pos.|Ø.03 (M)|A</v>
      </c>
      <c r="BA31" t="str">
        <v>True. Pos.|Ø.001(M)|A|</v>
      </c>
      <c r="BB31" t="str">
        <v>Turn Ø Free of Mill Marks</v>
      </c>
      <c r="BC31" t="str">
        <v>UNI.</v>
      </c>
      <c r="BD31" t="str">
        <v>Use Go Hex</v>
      </c>
    </row>
    <row r="32" spans="1:70">
      <c r="A32" s="31">
        <v>30</v>
      </c>
      <c r="B32" s="114" t="s">
        <v>155</v>
      </c>
      <c r="D32" s="31" t="s">
        <v>154</v>
      </c>
      <c r="E32" s="73" t="str">
        <f t="array" ref="E32:BC32">TRANSPOSE(_xlfn._xlws.SORT(_xlfn._xlws.FILTER(B32:B399,ISNUMBER(SEARCH('PartLib Table'!M38,B32:B399)),"not found")))</f>
        <v>.1250 HEX</v>
      </c>
      <c r="F32" t="str">
        <v>BLAST Per Note 3</v>
      </c>
      <c r="G32" t="str">
        <v>Blast Per Note 4</v>
      </c>
      <c r="H32" t="str">
        <v>Broachless Blank</v>
      </c>
      <c r="I32" t="str">
        <v>Calc.</v>
      </c>
      <c r="J32" t="str">
        <v xml:space="preserve">Center of V Grv. </v>
      </c>
      <c r="K32" t="str">
        <v>Centered within .001 or Less=Pass</v>
      </c>
      <c r="L32" t="str">
        <v>C-Sink</v>
      </c>
      <c r="M32" t="str">
        <v>Cust. Gauge</v>
      </c>
      <c r="N32" t="str">
        <v>EXT. Sphere Location</v>
      </c>
      <c r="O32" t="str">
        <v>Fav. Ang. Align</v>
      </c>
      <c r="P32" t="str">
        <v>Go GaugeFunc.</v>
      </c>
      <c r="Q32" t="str">
        <v>Go Pin must pass through</v>
      </c>
      <c r="R32" t="str">
        <v>Go Pin, No Light, at Radius</v>
      </c>
      <c r="S32" t="str">
        <v>Hex &amp; Lobe Oriented</v>
      </c>
      <c r="T32" t="str">
        <v>Hex Minor to OD .0005 or less = Pass</v>
      </c>
      <c r="U32" t="str">
        <v>Insp. Fixt.</v>
      </c>
      <c r="V32" t="str">
        <v>INT. Sphere Location.</v>
      </c>
      <c r="W32" t="str">
        <v>NA</v>
      </c>
      <c r="X32" t="str">
        <v>No Copper Deposits Allowed</v>
      </c>
      <c r="Y32" t="str">
        <v>No Section</v>
      </c>
      <c r="Z32" t="str">
        <v>O.A.L.</v>
      </c>
      <c r="AA32" t="str">
        <v>Perp.|0.05|A|</v>
      </c>
      <c r="AB32" t="str">
        <v>Point Tip</v>
      </c>
      <c r="AC32" t="str">
        <v>Profile|.001|A|B| A&lt;-&gt;B C&lt;-&gt;D</v>
      </c>
      <c r="AD32" t="str">
        <v>Profile|.0016|B|D|</v>
      </c>
      <c r="AE32" t="str">
        <v>Profile|.005|A|C|</v>
      </c>
      <c r="AF32" t="str">
        <v>Profile|.010|A|B|</v>
      </c>
      <c r="AG32" t="str">
        <v>Rotate Part</v>
      </c>
      <c r="AH32" t="str">
        <v>See Comments Sheet</v>
      </c>
      <c r="AI32" t="str">
        <v>See Image</v>
      </c>
      <c r="AJ32" t="str">
        <v>Sharp Okay, No Burr</v>
      </c>
      <c r="AK32" t="str">
        <v>SØ.331</v>
      </c>
      <c r="AL32" t="str">
        <v>Start of Radius</v>
      </c>
      <c r="AM32" t="str">
        <v>Start of Radius @ .21 Ø</v>
      </c>
      <c r="AN32" t="str">
        <v>Surface Finish Per Note 1</v>
      </c>
      <c r="AO32" t="str">
        <v>T.S.C.</v>
      </c>
      <c r="AP32" t="str">
        <v>T3 HD1 TOOL SFI</v>
      </c>
      <c r="AQ32" t="str">
        <v>Tangent Point</v>
      </c>
      <c r="AR32" t="str">
        <v>Taper Check</v>
      </c>
      <c r="AS32" t="str">
        <v>Theo.</v>
      </c>
      <c r="AT32" t="str">
        <v>Threadless Blank</v>
      </c>
      <c r="AU32" t="str">
        <v>Thru. Hole Present</v>
      </c>
      <c r="AV32" t="str">
        <v>To center of R.005</v>
      </c>
      <c r="AW32" t="str">
        <v>Tot. Runout</v>
      </c>
      <c r="AX32" t="str">
        <v>True Pos.|.001|B|</v>
      </c>
      <c r="AY32" t="str">
        <v>True Pos.|Ø.03 (M)|A</v>
      </c>
      <c r="AZ32" t="str">
        <v>True. Pos.|Ø.001(M)|A|</v>
      </c>
      <c r="BA32" t="str">
        <v>Turn Ø Free of Mill Marks</v>
      </c>
      <c r="BB32" t="str">
        <v>UNI.</v>
      </c>
      <c r="BC32" t="str">
        <v>Use Go Hex</v>
      </c>
    </row>
    <row r="33" spans="1:54">
      <c r="A33" s="31">
        <v>31</v>
      </c>
      <c r="B33" s="114" t="s">
        <v>156</v>
      </c>
      <c r="D33" s="31" t="s">
        <v>157</v>
      </c>
      <c r="E33" s="73" t="str">
        <f t="array" ref="E33:BB33">TRANSPOSE(_xlfn._xlws.SORT(_xlfn._xlws.FILTER(B33:B400,ISNUMBER(SEARCH('PartLib Table'!M39,B33:B400)),"not found")))</f>
        <v>.1250 HEX</v>
      </c>
      <c r="F33" t="str">
        <v>BLAST Per Note 3</v>
      </c>
      <c r="G33" t="str">
        <v>Blast Per Note 4</v>
      </c>
      <c r="H33" t="str">
        <v>Broachless Blank</v>
      </c>
      <c r="I33" t="str">
        <v>Calc.</v>
      </c>
      <c r="J33" t="str">
        <v xml:space="preserve">Center of V Grv. </v>
      </c>
      <c r="K33" t="str">
        <v>Centered within .001 or Less=Pass</v>
      </c>
      <c r="L33" t="str">
        <v>C-Sink</v>
      </c>
      <c r="M33" t="str">
        <v>Cust. Gauge</v>
      </c>
      <c r="N33" t="str">
        <v>EXT. Sphere Location</v>
      </c>
      <c r="O33" t="str">
        <v>Fav. Ang. Align</v>
      </c>
      <c r="P33" t="str">
        <v>Go GaugeFunc.</v>
      </c>
      <c r="Q33" t="str">
        <v>Go Pin must pass through</v>
      </c>
      <c r="R33" t="str">
        <v>Go Pin, No Light, at Radius</v>
      </c>
      <c r="S33" t="str">
        <v>Hex &amp; Lobe Oriented</v>
      </c>
      <c r="T33" t="str">
        <v>Hex Minor to OD .0005 or less = Pass</v>
      </c>
      <c r="U33" t="str">
        <v>Insp. Fixt.</v>
      </c>
      <c r="V33" t="str">
        <v>INT. Sphere Location.</v>
      </c>
      <c r="W33" t="str">
        <v>NA</v>
      </c>
      <c r="X33" t="str">
        <v>No Copper Deposits Allowed</v>
      </c>
      <c r="Y33" t="str">
        <v>No Section</v>
      </c>
      <c r="Z33" t="str">
        <v>O.A.L.</v>
      </c>
      <c r="AA33" t="str">
        <v>Perp.|0.05|A|</v>
      </c>
      <c r="AB33" t="str">
        <v>Point Tip</v>
      </c>
      <c r="AC33" t="str">
        <v>Profile|.001|A|B| A&lt;-&gt;B C&lt;-&gt;D</v>
      </c>
      <c r="AD33" t="str">
        <v>Profile|.0016|B|D|</v>
      </c>
      <c r="AE33" t="str">
        <v>Profile|.005|A|C|</v>
      </c>
      <c r="AF33" t="str">
        <v>Profile|.010|A|B|</v>
      </c>
      <c r="AG33" t="str">
        <v>Rotate Part</v>
      </c>
      <c r="AH33" t="str">
        <v>See Comments Sheet</v>
      </c>
      <c r="AI33" t="str">
        <v>See Image</v>
      </c>
      <c r="AJ33" t="str">
        <v>Sharp Okay, No Burr</v>
      </c>
      <c r="AK33" t="str">
        <v>SØ.331</v>
      </c>
      <c r="AL33" t="str">
        <v>Start of Radius</v>
      </c>
      <c r="AM33" t="str">
        <v>Start of Radius @ .21 Ø</v>
      </c>
      <c r="AN33" t="str">
        <v>Surface Finish Per Note 1</v>
      </c>
      <c r="AO33" t="str">
        <v>T.S.C.</v>
      </c>
      <c r="AP33" t="str">
        <v>Tangent Point</v>
      </c>
      <c r="AQ33" t="str">
        <v>Taper Check</v>
      </c>
      <c r="AR33" t="str">
        <v>Theo.</v>
      </c>
      <c r="AS33" t="str">
        <v>Threadless Blank</v>
      </c>
      <c r="AT33" t="str">
        <v>Thru. Hole Present</v>
      </c>
      <c r="AU33" t="str">
        <v>To center of R.005</v>
      </c>
      <c r="AV33" t="str">
        <v>Tot. Runout</v>
      </c>
      <c r="AW33" t="str">
        <v>True Pos.|.001|B|</v>
      </c>
      <c r="AX33" t="str">
        <v>True Pos.|Ø.03 (M)|A</v>
      </c>
      <c r="AY33" t="str">
        <v>True. Pos.|Ø.001(M)|A|</v>
      </c>
      <c r="AZ33" t="str">
        <v>Turn Ø Free of Mill Marks</v>
      </c>
      <c r="BA33" t="str">
        <v>UNI.</v>
      </c>
      <c r="BB33" t="str">
        <v>Use Go Hex</v>
      </c>
    </row>
    <row r="34" spans="1:54">
      <c r="A34" s="31">
        <v>32</v>
      </c>
      <c r="B34" s="114" t="s">
        <v>159</v>
      </c>
      <c r="D34" s="31" t="s">
        <v>158</v>
      </c>
      <c r="E34" s="73" t="str">
        <f t="array" ref="E34:BA34">TRANSPOSE(_xlfn._xlws.SORT(_xlfn._xlws.FILTER(B34:B401,ISNUMBER(SEARCH('PartLib Table'!M40,B34:B401)),"not found")))</f>
        <v>.1250 HEX</v>
      </c>
      <c r="F34" t="str">
        <v>BLAST Per Note 3</v>
      </c>
      <c r="G34" t="str">
        <v>Blast Per Note 4</v>
      </c>
      <c r="H34" t="str">
        <v>Broachless Blank</v>
      </c>
      <c r="I34" t="str">
        <v>Calc.</v>
      </c>
      <c r="J34" t="str">
        <v>Centered within .001 or Less=Pass</v>
      </c>
      <c r="K34" t="str">
        <v>C-Sink</v>
      </c>
      <c r="L34" t="str">
        <v>Cust. Gauge</v>
      </c>
      <c r="M34" t="str">
        <v>EXT. Sphere Location</v>
      </c>
      <c r="N34" t="str">
        <v>Fav. Ang. Align</v>
      </c>
      <c r="O34" t="str">
        <v>Go GaugeFunc.</v>
      </c>
      <c r="P34" t="str">
        <v>Go Pin must pass through</v>
      </c>
      <c r="Q34" t="str">
        <v>Go Pin, No Light, at Radius</v>
      </c>
      <c r="R34" t="str">
        <v>Hex &amp; Lobe Oriented</v>
      </c>
      <c r="S34" t="str">
        <v>Hex Minor to OD .0005 or less = Pass</v>
      </c>
      <c r="T34" t="str">
        <v>Insp. Fixt.</v>
      </c>
      <c r="U34" t="str">
        <v>INT. Sphere Location.</v>
      </c>
      <c r="V34" t="str">
        <v>NA</v>
      </c>
      <c r="W34" t="str">
        <v>No Copper Deposits Allowed</v>
      </c>
      <c r="X34" t="str">
        <v>No Section</v>
      </c>
      <c r="Y34" t="str">
        <v>O.A.L.</v>
      </c>
      <c r="Z34" t="str">
        <v>Perp.|0.05|A|</v>
      </c>
      <c r="AA34" t="str">
        <v>Point Tip</v>
      </c>
      <c r="AB34" t="str">
        <v>Profile|.001|A|B| A&lt;-&gt;B C&lt;-&gt;D</v>
      </c>
      <c r="AC34" t="str">
        <v>Profile|.0016|B|D|</v>
      </c>
      <c r="AD34" t="str">
        <v>Profile|.005|A|C|</v>
      </c>
      <c r="AE34" t="str">
        <v>Profile|.010|A|B|</v>
      </c>
      <c r="AF34" t="str">
        <v>Rotate Part</v>
      </c>
      <c r="AG34" t="str">
        <v>See Comments Sheet</v>
      </c>
      <c r="AH34" t="str">
        <v>See Image</v>
      </c>
      <c r="AI34" t="str">
        <v>Sharp Okay, No Burr</v>
      </c>
      <c r="AJ34" t="str">
        <v>SØ.331</v>
      </c>
      <c r="AK34" t="str">
        <v>Start of Radius</v>
      </c>
      <c r="AL34" t="str">
        <v>Start of Radius @ .21 Ø</v>
      </c>
      <c r="AM34" t="str">
        <v>Surface Finish Per Note 1</v>
      </c>
      <c r="AN34" t="str">
        <v>T.S.C.</v>
      </c>
      <c r="AO34" t="str">
        <v>Tangent Point</v>
      </c>
      <c r="AP34" t="str">
        <v>Taper Check</v>
      </c>
      <c r="AQ34" t="str">
        <v>Theo.</v>
      </c>
      <c r="AR34" t="str">
        <v>Threadless Blank</v>
      </c>
      <c r="AS34" t="str">
        <v>Thru. Hole Present</v>
      </c>
      <c r="AT34" t="str">
        <v>To center of R.005</v>
      </c>
      <c r="AU34" t="str">
        <v>Tot. Runout</v>
      </c>
      <c r="AV34" t="str">
        <v>True Pos.|.001|B|</v>
      </c>
      <c r="AW34" t="str">
        <v>True Pos.|Ø.03 (M)|A</v>
      </c>
      <c r="AX34" t="str">
        <v>True. Pos.|Ø.001(M)|A|</v>
      </c>
      <c r="AY34" t="str">
        <v>Turn Ø Free of Mill Marks</v>
      </c>
      <c r="AZ34" t="str">
        <v>UNI.</v>
      </c>
      <c r="BA34" t="str">
        <v>Use Go Hex</v>
      </c>
    </row>
    <row r="35" spans="1:54">
      <c r="A35" s="31">
        <v>33</v>
      </c>
      <c r="B35" s="114" t="s">
        <v>161</v>
      </c>
      <c r="D35" s="31" t="s">
        <v>160</v>
      </c>
      <c r="E35" s="73" t="str">
        <f t="array" ref="E35:AZ35">TRANSPOSE(_xlfn._xlws.SORT(_xlfn._xlws.FILTER(B35:B402,ISNUMBER(SEARCH('PartLib Table'!M41,B35:B402)),"not found")))</f>
        <v>.1250 HEX</v>
      </c>
      <c r="F35" t="str">
        <v>BLAST Per Note 3</v>
      </c>
      <c r="G35" t="str">
        <v>Blast Per Note 4</v>
      </c>
      <c r="H35" t="str">
        <v>Broachless Blank</v>
      </c>
      <c r="I35" t="str">
        <v>Calc.</v>
      </c>
      <c r="J35" t="str">
        <v>Centered within .001 or Less=Pass</v>
      </c>
      <c r="K35" t="str">
        <v>C-Sink</v>
      </c>
      <c r="L35" t="str">
        <v>Cust. Gauge</v>
      </c>
      <c r="M35" t="str">
        <v>EXT. Sphere Location</v>
      </c>
      <c r="N35" t="str">
        <v>Fav. Ang. Align</v>
      </c>
      <c r="O35" t="str">
        <v>Go GaugeFunc.</v>
      </c>
      <c r="P35" t="str">
        <v>Go Pin must pass through</v>
      </c>
      <c r="Q35" t="str">
        <v>Go Pin, No Light, at Radius</v>
      </c>
      <c r="R35" t="str">
        <v>Hex &amp; Lobe Oriented</v>
      </c>
      <c r="S35" t="str">
        <v>Hex Minor to OD .0005 or less = Pass</v>
      </c>
      <c r="T35" t="str">
        <v>Insp. Fixt.</v>
      </c>
      <c r="U35" t="str">
        <v>INT. Sphere Location.</v>
      </c>
      <c r="V35" t="str">
        <v>NA</v>
      </c>
      <c r="W35" t="str">
        <v>No Copper Deposits Allowed</v>
      </c>
      <c r="X35" t="str">
        <v>No Section</v>
      </c>
      <c r="Y35" t="str">
        <v>O.A.L.</v>
      </c>
      <c r="Z35" t="str">
        <v>Perp.|0.05|A|</v>
      </c>
      <c r="AA35" t="str">
        <v>Point Tip</v>
      </c>
      <c r="AB35" t="str">
        <v>Profile|.001|A|B| A&lt;-&gt;B C&lt;-&gt;D</v>
      </c>
      <c r="AC35" t="str">
        <v>Profile|.0016|B|D|</v>
      </c>
      <c r="AD35" t="str">
        <v>Profile|.005|A|C|</v>
      </c>
      <c r="AE35" t="str">
        <v>Profile|.010|A|B|</v>
      </c>
      <c r="AF35" t="str">
        <v>Rotate Part</v>
      </c>
      <c r="AG35" t="str">
        <v>See Comments Sheet</v>
      </c>
      <c r="AH35" t="str">
        <v>See Image</v>
      </c>
      <c r="AI35" t="str">
        <v>Sharp Okay, No Burr</v>
      </c>
      <c r="AJ35" t="str">
        <v>SØ.331</v>
      </c>
      <c r="AK35" t="str">
        <v>Start of Radius</v>
      </c>
      <c r="AL35" t="str">
        <v>Start of Radius @ .21 Ø</v>
      </c>
      <c r="AM35" t="str">
        <v>Surface Finish Per Note 1</v>
      </c>
      <c r="AN35" t="str">
        <v>T.S.C.</v>
      </c>
      <c r="AO35" t="str">
        <v>Taper Check</v>
      </c>
      <c r="AP35" t="str">
        <v>Theo.</v>
      </c>
      <c r="AQ35" t="str">
        <v>Threadless Blank</v>
      </c>
      <c r="AR35" t="str">
        <v>Thru. Hole Present</v>
      </c>
      <c r="AS35" t="str">
        <v>To center of R.005</v>
      </c>
      <c r="AT35" t="str">
        <v>Tot. Runout</v>
      </c>
      <c r="AU35" t="str">
        <v>True Pos.|.001|B|</v>
      </c>
      <c r="AV35" t="str">
        <v>True Pos.|Ø.03 (M)|A</v>
      </c>
      <c r="AW35" t="str">
        <v>True. Pos.|Ø.001(M)|A|</v>
      </c>
      <c r="AX35" t="str">
        <v>Turn Ø Free of Mill Marks</v>
      </c>
      <c r="AY35" t="str">
        <v>UNI.</v>
      </c>
      <c r="AZ35" t="str">
        <v>Use Go Hex</v>
      </c>
    </row>
    <row r="36" spans="1:54">
      <c r="A36" s="31">
        <v>34</v>
      </c>
      <c r="B36" s="114" t="s">
        <v>163</v>
      </c>
      <c r="D36" s="31" t="s">
        <v>162</v>
      </c>
      <c r="E36" s="73" t="str">
        <f t="array" ref="E36:AY36">TRANSPOSE(_xlfn._xlws.SORT(_xlfn._xlws.FILTER(B36:B403,ISNUMBER(SEARCH('PartLib Table'!M42,B36:B403)),"not found")))</f>
        <v>.1250 HEX</v>
      </c>
      <c r="F36" t="str">
        <v>BLAST Per Note 3</v>
      </c>
      <c r="G36" t="str">
        <v>Blast Per Note 4</v>
      </c>
      <c r="H36" t="str">
        <v>Broachless Blank</v>
      </c>
      <c r="I36" t="str">
        <v>Calc.</v>
      </c>
      <c r="J36" t="str">
        <v>Centered within .001 or Less=Pass</v>
      </c>
      <c r="K36" t="str">
        <v>C-Sink</v>
      </c>
      <c r="L36" t="str">
        <v>Cust. Gauge</v>
      </c>
      <c r="M36" t="str">
        <v>EXT. Sphere Location</v>
      </c>
      <c r="N36" t="str">
        <v>Fav. Ang. Align</v>
      </c>
      <c r="O36" t="str">
        <v>Go GaugeFunc.</v>
      </c>
      <c r="P36" t="str">
        <v>Go Pin must pass through</v>
      </c>
      <c r="Q36" t="str">
        <v>Go Pin, No Light, at Radius</v>
      </c>
      <c r="R36" t="str">
        <v>Hex &amp; Lobe Oriented</v>
      </c>
      <c r="S36" t="str">
        <v>Hex Minor to OD .0005 or less = Pass</v>
      </c>
      <c r="T36" t="str">
        <v>Insp. Fixt.</v>
      </c>
      <c r="U36" t="str">
        <v>INT. Sphere Location.</v>
      </c>
      <c r="V36" t="str">
        <v>NA</v>
      </c>
      <c r="W36" t="str">
        <v>No Copper Deposits Allowed</v>
      </c>
      <c r="X36" t="str">
        <v>No Section</v>
      </c>
      <c r="Y36" t="str">
        <v>O.A.L.</v>
      </c>
      <c r="Z36" t="str">
        <v>Perp.|0.05|A|</v>
      </c>
      <c r="AA36" t="str">
        <v>Point Tip</v>
      </c>
      <c r="AB36" t="str">
        <v>Profile|.001|A|B| A&lt;-&gt;B C&lt;-&gt;D</v>
      </c>
      <c r="AC36" t="str">
        <v>Profile|.0016|B|D|</v>
      </c>
      <c r="AD36" t="str">
        <v>Profile|.005|A|C|</v>
      </c>
      <c r="AE36" t="str">
        <v>Profile|.010|A|B|</v>
      </c>
      <c r="AF36" t="str">
        <v>Rotate Part</v>
      </c>
      <c r="AG36" t="str">
        <v>See Comments Sheet</v>
      </c>
      <c r="AH36" t="str">
        <v>See Image</v>
      </c>
      <c r="AI36" t="str">
        <v>Sharp Okay, No Burr</v>
      </c>
      <c r="AJ36" t="str">
        <v>SØ.331</v>
      </c>
      <c r="AK36" t="str">
        <v>Start of Radius @ .21 Ø</v>
      </c>
      <c r="AL36" t="str">
        <v>Surface Finish Per Note 1</v>
      </c>
      <c r="AM36" t="str">
        <v>T.S.C.</v>
      </c>
      <c r="AN36" t="str">
        <v>Taper Check</v>
      </c>
      <c r="AO36" t="str">
        <v>Theo.</v>
      </c>
      <c r="AP36" t="str">
        <v>Threadless Blank</v>
      </c>
      <c r="AQ36" t="str">
        <v>Thru. Hole Present</v>
      </c>
      <c r="AR36" t="str">
        <v>To center of R.005</v>
      </c>
      <c r="AS36" t="str">
        <v>Tot. Runout</v>
      </c>
      <c r="AT36" t="str">
        <v>True Pos.|.001|B|</v>
      </c>
      <c r="AU36" t="str">
        <v>True Pos.|Ø.03 (M)|A</v>
      </c>
      <c r="AV36" t="str">
        <v>True. Pos.|Ø.001(M)|A|</v>
      </c>
      <c r="AW36" t="str">
        <v>Turn Ø Free of Mill Marks</v>
      </c>
      <c r="AX36" t="str">
        <v>UNI.</v>
      </c>
      <c r="AY36" t="str">
        <v>Use Go Hex</v>
      </c>
    </row>
    <row r="37" spans="1:54">
      <c r="A37" s="31">
        <v>35</v>
      </c>
      <c r="B37" s="114" t="s">
        <v>165</v>
      </c>
      <c r="D37" s="31" t="s">
        <v>164</v>
      </c>
      <c r="E37" s="73" t="str">
        <f t="array" ref="E37:AX37">TRANSPOSE(_xlfn._xlws.SORT(_xlfn._xlws.FILTER(B37:B404,ISNUMBER(SEARCH('PartLib Table'!M43,B37:B404)),"not found")))</f>
        <v>.1250 HEX</v>
      </c>
      <c r="F37" t="str">
        <v>BLAST Per Note 3</v>
      </c>
      <c r="G37" t="str">
        <v>Blast Per Note 4</v>
      </c>
      <c r="H37" t="str">
        <v>Broachless Blank</v>
      </c>
      <c r="I37" t="str">
        <v>Calc.</v>
      </c>
      <c r="J37" t="str">
        <v>Centered within .001 or Less=Pass</v>
      </c>
      <c r="K37" t="str">
        <v>C-Sink</v>
      </c>
      <c r="L37" t="str">
        <v>Cust. Gauge</v>
      </c>
      <c r="M37" t="str">
        <v>EXT. Sphere Location</v>
      </c>
      <c r="N37" t="str">
        <v>Fav. Ang. Align</v>
      </c>
      <c r="O37" t="str">
        <v>Go GaugeFunc.</v>
      </c>
      <c r="P37" t="str">
        <v>Go Pin must pass through</v>
      </c>
      <c r="Q37" t="str">
        <v>Go Pin, No Light, at Radius</v>
      </c>
      <c r="R37" t="str">
        <v>Hex Minor to OD .0005 or less = Pass</v>
      </c>
      <c r="S37" t="str">
        <v>Insp. Fixt.</v>
      </c>
      <c r="T37" t="str">
        <v>INT. Sphere Location.</v>
      </c>
      <c r="U37" t="str">
        <v>NA</v>
      </c>
      <c r="V37" t="str">
        <v>No Copper Deposits Allowed</v>
      </c>
      <c r="W37" t="str">
        <v>No Section</v>
      </c>
      <c r="X37" t="str">
        <v>O.A.L.</v>
      </c>
      <c r="Y37" t="str">
        <v>Perp.|0.05|A|</v>
      </c>
      <c r="Z37" t="str">
        <v>Point Tip</v>
      </c>
      <c r="AA37" t="str">
        <v>Profile|.001|A|B| A&lt;-&gt;B C&lt;-&gt;D</v>
      </c>
      <c r="AB37" t="str">
        <v>Profile|.0016|B|D|</v>
      </c>
      <c r="AC37" t="str">
        <v>Profile|.005|A|C|</v>
      </c>
      <c r="AD37" t="str">
        <v>Profile|.010|A|B|</v>
      </c>
      <c r="AE37" t="str">
        <v>Rotate Part</v>
      </c>
      <c r="AF37" t="str">
        <v>See Comments Sheet</v>
      </c>
      <c r="AG37" t="str">
        <v>See Image</v>
      </c>
      <c r="AH37" t="str">
        <v>Sharp Okay, No Burr</v>
      </c>
      <c r="AI37" t="str">
        <v>SØ.331</v>
      </c>
      <c r="AJ37" t="str">
        <v>Start of Radius @ .21 Ø</v>
      </c>
      <c r="AK37" t="str">
        <v>Surface Finish Per Note 1</v>
      </c>
      <c r="AL37" t="str">
        <v>T.S.C.</v>
      </c>
      <c r="AM37" t="str">
        <v>Taper Check</v>
      </c>
      <c r="AN37" t="str">
        <v>Theo.</v>
      </c>
      <c r="AO37" t="str">
        <v>Threadless Blank</v>
      </c>
      <c r="AP37" t="str">
        <v>Thru. Hole Present</v>
      </c>
      <c r="AQ37" t="str">
        <v>To center of R.005</v>
      </c>
      <c r="AR37" t="str">
        <v>Tot. Runout</v>
      </c>
      <c r="AS37" t="str">
        <v>True Pos.|.001|B|</v>
      </c>
      <c r="AT37" t="str">
        <v>True Pos.|Ø.03 (M)|A</v>
      </c>
      <c r="AU37" t="str">
        <v>True. Pos.|Ø.001(M)|A|</v>
      </c>
      <c r="AV37" t="str">
        <v>Turn Ø Free of Mill Marks</v>
      </c>
      <c r="AW37" t="str">
        <v>UNI.</v>
      </c>
      <c r="AX37" t="str">
        <v>Use Go Hex</v>
      </c>
    </row>
    <row r="38" spans="1:54">
      <c r="A38" s="31">
        <v>36</v>
      </c>
      <c r="B38" s="114" t="s">
        <v>169</v>
      </c>
      <c r="D38" s="31" t="s">
        <v>170</v>
      </c>
      <c r="E38" s="73" t="str">
        <f t="array" ref="E38:AW38">TRANSPOSE(_xlfn._xlws.SORT(_xlfn._xlws.FILTER(B38:B405,ISNUMBER(SEARCH('PartLib Table'!M44,B38:B405)),"not found")))</f>
        <v>.1250 HEX</v>
      </c>
      <c r="F38" t="str">
        <v>BLAST Per Note 3</v>
      </c>
      <c r="G38" t="str">
        <v>Blast Per Note 4</v>
      </c>
      <c r="H38" t="str">
        <v>Broachless Blank</v>
      </c>
      <c r="I38" t="str">
        <v>Calc.</v>
      </c>
      <c r="J38" t="str">
        <v>Centered within .001 or Less=Pass</v>
      </c>
      <c r="K38" t="str">
        <v>C-Sink</v>
      </c>
      <c r="L38" t="str">
        <v>Cust. Gauge</v>
      </c>
      <c r="M38" t="str">
        <v>EXT. Sphere Location</v>
      </c>
      <c r="N38" t="str">
        <v>Fav. Ang. Align</v>
      </c>
      <c r="O38" t="str">
        <v>Go GaugeFunc.</v>
      </c>
      <c r="P38" t="str">
        <v>Go Pin must pass through</v>
      </c>
      <c r="Q38" t="str">
        <v>Go Pin, No Light, at Radius</v>
      </c>
      <c r="R38" t="str">
        <v>Hex Minor to OD .0005 or less = Pass</v>
      </c>
      <c r="S38" t="str">
        <v>Insp. Fixt.</v>
      </c>
      <c r="T38" t="str">
        <v>INT. Sphere Location.</v>
      </c>
      <c r="U38" t="str">
        <v>NA</v>
      </c>
      <c r="V38" t="str">
        <v>No Copper Deposits Allowed</v>
      </c>
      <c r="W38" t="str">
        <v>No Section</v>
      </c>
      <c r="X38" t="str">
        <v>Perp.|0.05|A|</v>
      </c>
      <c r="Y38" t="str">
        <v>Point Tip</v>
      </c>
      <c r="Z38" t="str">
        <v>Profile|.001|A|B| A&lt;-&gt;B C&lt;-&gt;D</v>
      </c>
      <c r="AA38" t="str">
        <v>Profile|.0016|B|D|</v>
      </c>
      <c r="AB38" t="str">
        <v>Profile|.005|A|C|</v>
      </c>
      <c r="AC38" t="str">
        <v>Profile|.010|A|B|</v>
      </c>
      <c r="AD38" t="str">
        <v>Rotate Part</v>
      </c>
      <c r="AE38" t="str">
        <v>See Comments Sheet</v>
      </c>
      <c r="AF38" t="str">
        <v>See Image</v>
      </c>
      <c r="AG38" t="str">
        <v>Sharp Okay, No Burr</v>
      </c>
      <c r="AH38" t="str">
        <v>SØ.331</v>
      </c>
      <c r="AI38" t="str">
        <v>Start of Radius @ .21 Ø</v>
      </c>
      <c r="AJ38" t="str">
        <v>Surface Finish Per Note 1</v>
      </c>
      <c r="AK38" t="str">
        <v>T.S.C.</v>
      </c>
      <c r="AL38" t="str">
        <v>Taper Check</v>
      </c>
      <c r="AM38" t="str">
        <v>Theo.</v>
      </c>
      <c r="AN38" t="str">
        <v>Threadless Blank</v>
      </c>
      <c r="AO38" t="str">
        <v>Thru. Hole Present</v>
      </c>
      <c r="AP38" t="str">
        <v>To center of R.005</v>
      </c>
      <c r="AQ38" t="str">
        <v>Tot. Runout</v>
      </c>
      <c r="AR38" t="str">
        <v>True Pos.|.001|B|</v>
      </c>
      <c r="AS38" t="str">
        <v>True Pos.|Ø.03 (M)|A</v>
      </c>
      <c r="AT38" t="str">
        <v>True. Pos.|Ø.001(M)|A|</v>
      </c>
      <c r="AU38" t="str">
        <v>Turn Ø Free of Mill Marks</v>
      </c>
      <c r="AV38" t="str">
        <v>UNI.</v>
      </c>
      <c r="AW38" t="str">
        <v>Use Go Hex</v>
      </c>
    </row>
    <row r="39" spans="1:54">
      <c r="A39" s="31">
        <v>37</v>
      </c>
      <c r="B39" s="114" t="s">
        <v>171</v>
      </c>
      <c r="D39" s="31" t="s">
        <v>172</v>
      </c>
      <c r="E39" s="73" t="str">
        <f t="array" ref="E39:AV39">TRANSPOSE(_xlfn._xlws.SORT(_xlfn._xlws.FILTER(B39:B406,ISNUMBER(SEARCH('PartLib Table'!M45,B39:B406)),"not found")))</f>
        <v>.1250 HEX</v>
      </c>
      <c r="F39" t="str">
        <v>BLAST Per Note 3</v>
      </c>
      <c r="G39" t="str">
        <v>Blast Per Note 4</v>
      </c>
      <c r="H39" t="str">
        <v>Broachless Blank</v>
      </c>
      <c r="I39" t="str">
        <v>Calc.</v>
      </c>
      <c r="J39" t="str">
        <v>Centered within .001 or Less=Pass</v>
      </c>
      <c r="K39" t="str">
        <v>C-Sink</v>
      </c>
      <c r="L39" t="str">
        <v>Cust. Gauge</v>
      </c>
      <c r="M39" t="str">
        <v>EXT. Sphere Location</v>
      </c>
      <c r="N39" t="str">
        <v>Fav. Ang. Align</v>
      </c>
      <c r="O39" t="str">
        <v>Go GaugeFunc.</v>
      </c>
      <c r="P39" t="str">
        <v>Go Pin must pass through</v>
      </c>
      <c r="Q39" t="str">
        <v>Go Pin, No Light, at Radius</v>
      </c>
      <c r="R39" t="str">
        <v>Hex Minor to OD .0005 or less = Pass</v>
      </c>
      <c r="S39" t="str">
        <v>Insp. Fixt.</v>
      </c>
      <c r="T39" t="str">
        <v>INT. Sphere Location.</v>
      </c>
      <c r="U39" t="str">
        <v>NA</v>
      </c>
      <c r="V39" t="str">
        <v>No Copper Deposits Allowed</v>
      </c>
      <c r="W39" t="str">
        <v>No Section</v>
      </c>
      <c r="X39" t="str">
        <v>Perp.|0.05|A|</v>
      </c>
      <c r="Y39" t="str">
        <v>Point Tip</v>
      </c>
      <c r="Z39" t="str">
        <v>Profile|.001|A|B| A&lt;-&gt;B C&lt;-&gt;D</v>
      </c>
      <c r="AA39" t="str">
        <v>Profile|.0016|B|D|</v>
      </c>
      <c r="AB39" t="str">
        <v>Profile|.005|A|C|</v>
      </c>
      <c r="AC39" t="str">
        <v>Profile|.010|A|B|</v>
      </c>
      <c r="AD39" t="str">
        <v>Rotate Part</v>
      </c>
      <c r="AE39" t="str">
        <v>See Comments Sheet</v>
      </c>
      <c r="AF39" t="str">
        <v>See Image</v>
      </c>
      <c r="AG39" t="str">
        <v>Sharp Okay, No Burr</v>
      </c>
      <c r="AH39" t="str">
        <v>SØ.331</v>
      </c>
      <c r="AI39" t="str">
        <v>Surface Finish Per Note 1</v>
      </c>
      <c r="AJ39" t="str">
        <v>T.S.C.</v>
      </c>
      <c r="AK39" t="str">
        <v>Taper Check</v>
      </c>
      <c r="AL39" t="str">
        <v>Theo.</v>
      </c>
      <c r="AM39" t="str">
        <v>Threadless Blank</v>
      </c>
      <c r="AN39" t="str">
        <v>Thru. Hole Present</v>
      </c>
      <c r="AO39" t="str">
        <v>To center of R.005</v>
      </c>
      <c r="AP39" t="str">
        <v>Tot. Runout</v>
      </c>
      <c r="AQ39" t="str">
        <v>True Pos.|.001|B|</v>
      </c>
      <c r="AR39" t="str">
        <v>True Pos.|Ø.03 (M)|A</v>
      </c>
      <c r="AS39" t="str">
        <v>True. Pos.|Ø.001(M)|A|</v>
      </c>
      <c r="AT39" t="str">
        <v>Turn Ø Free of Mill Marks</v>
      </c>
      <c r="AU39" t="str">
        <v>UNI.</v>
      </c>
      <c r="AV39" t="str">
        <v>Use Go Hex</v>
      </c>
    </row>
    <row r="40" spans="1:54">
      <c r="A40" s="31">
        <v>38</v>
      </c>
      <c r="B40" s="114" t="s">
        <v>173</v>
      </c>
      <c r="D40" s="31" t="s">
        <v>174</v>
      </c>
      <c r="E40" s="73" t="str">
        <f t="array" ref="E40:AU40">TRANSPOSE(_xlfn._xlws.SORT(_xlfn._xlws.FILTER(B40:B407,ISNUMBER(SEARCH('PartLib Table'!M46,B40:B407)),"not found")))</f>
        <v>.1250 HEX</v>
      </c>
      <c r="F40" t="str">
        <v>BLAST Per Note 3</v>
      </c>
      <c r="G40" t="str">
        <v>Blast Per Note 4</v>
      </c>
      <c r="H40" t="str">
        <v>Broachless Blank</v>
      </c>
      <c r="I40" t="str">
        <v>Calc.</v>
      </c>
      <c r="J40" t="str">
        <v>Centered within .001 or Less=Pass</v>
      </c>
      <c r="K40" t="str">
        <v>C-Sink</v>
      </c>
      <c r="L40" t="str">
        <v>Cust. Gauge</v>
      </c>
      <c r="M40" t="str">
        <v>EXT. Sphere Location</v>
      </c>
      <c r="N40" t="str">
        <v>Fav. Ang. Align</v>
      </c>
      <c r="O40" t="str">
        <v>Go GaugeFunc.</v>
      </c>
      <c r="P40" t="str">
        <v>Go Pin must pass through</v>
      </c>
      <c r="Q40" t="str">
        <v>Go Pin, No Light, at Radius</v>
      </c>
      <c r="R40" t="str">
        <v>Hex Minor to OD .0005 or less = Pass</v>
      </c>
      <c r="S40" t="str">
        <v>Insp. Fixt.</v>
      </c>
      <c r="T40" t="str">
        <v>INT. Sphere Location.</v>
      </c>
      <c r="U40" t="str">
        <v>NA</v>
      </c>
      <c r="V40" t="str">
        <v>No Copper Deposits Allowed</v>
      </c>
      <c r="W40" t="str">
        <v>No Section</v>
      </c>
      <c r="X40" t="str">
        <v>Perp.|0.05|A|</v>
      </c>
      <c r="Y40" t="str">
        <v>Point Tip</v>
      </c>
      <c r="Z40" t="str">
        <v>Profile|.001|A|B| A&lt;-&gt;B C&lt;-&gt;D</v>
      </c>
      <c r="AA40" t="str">
        <v>Profile|.0016|B|D|</v>
      </c>
      <c r="AB40" t="str">
        <v>Profile|.005|A|C|</v>
      </c>
      <c r="AC40" t="str">
        <v>Profile|.010|A|B|</v>
      </c>
      <c r="AD40" t="str">
        <v>Rotate Part</v>
      </c>
      <c r="AE40" t="str">
        <v>See Comments Sheet</v>
      </c>
      <c r="AF40" t="str">
        <v>See Image</v>
      </c>
      <c r="AG40" t="str">
        <v>Sharp Okay, No Burr</v>
      </c>
      <c r="AH40" t="str">
        <v>SØ.331</v>
      </c>
      <c r="AI40" t="str">
        <v>Surface Finish Per Note 1</v>
      </c>
      <c r="AJ40" t="str">
        <v>T.S.C.</v>
      </c>
      <c r="AK40" t="str">
        <v>Taper Check</v>
      </c>
      <c r="AL40" t="str">
        <v>Theo.</v>
      </c>
      <c r="AM40" t="str">
        <v>Threadless Blank</v>
      </c>
      <c r="AN40" t="str">
        <v>Thru. Hole Present</v>
      </c>
      <c r="AO40" t="str">
        <v>To center of R.005</v>
      </c>
      <c r="AP40" t="str">
        <v>Tot. Runout</v>
      </c>
      <c r="AQ40" t="str">
        <v>True Pos.|.001|B|</v>
      </c>
      <c r="AR40" t="str">
        <v>True Pos.|Ø.03 (M)|A</v>
      </c>
      <c r="AS40" t="str">
        <v>True. Pos.|Ø.001(M)|A|</v>
      </c>
      <c r="AT40" t="str">
        <v>Turn Ø Free of Mill Marks</v>
      </c>
      <c r="AU40" t="str">
        <v>UNI.</v>
      </c>
    </row>
    <row r="41" spans="1:54">
      <c r="A41" s="31">
        <v>39</v>
      </c>
      <c r="B41" s="114" t="s">
        <v>177</v>
      </c>
      <c r="C41" s="38"/>
      <c r="D41" s="31" t="s">
        <v>176</v>
      </c>
      <c r="E41" s="73" t="str">
        <f t="array" ref="E41:AT41">TRANSPOSE(_xlfn._xlws.SORT(_xlfn._xlws.FILTER(B41:B408,ISNUMBER(SEARCH('PartLib Table'!M47,B41:B408)),"not found")))</f>
        <v>BLAST Per Note 3</v>
      </c>
      <c r="F41" t="str">
        <v>Blast Per Note 4</v>
      </c>
      <c r="G41" t="str">
        <v>Broachless Blank</v>
      </c>
      <c r="H41" t="str">
        <v>Calc.</v>
      </c>
      <c r="I41" t="str">
        <v>Centered within .001 or Less=Pass</v>
      </c>
      <c r="J41" t="str">
        <v>C-Sink</v>
      </c>
      <c r="K41" t="str">
        <v>Cust. Gauge</v>
      </c>
      <c r="L41" t="str">
        <v>EXT. Sphere Location</v>
      </c>
      <c r="M41" t="str">
        <v>Fav. Ang. Align</v>
      </c>
      <c r="N41" t="str">
        <v>Go GaugeFunc.</v>
      </c>
      <c r="O41" t="str">
        <v>Go Pin must pass through</v>
      </c>
      <c r="P41" t="str">
        <v>Go Pin, No Light, at Radius</v>
      </c>
      <c r="Q41" t="str">
        <v>Hex Minor to OD .0005 or less = Pass</v>
      </c>
      <c r="R41" t="str">
        <v>Insp. Fixt.</v>
      </c>
      <c r="S41" t="str">
        <v>INT. Sphere Location.</v>
      </c>
      <c r="T41" t="str">
        <v>NA</v>
      </c>
      <c r="U41" t="str">
        <v>No Copper Deposits Allowed</v>
      </c>
      <c r="V41" t="str">
        <v>No Section</v>
      </c>
      <c r="W41" t="str">
        <v>Perp.|0.05|A|</v>
      </c>
      <c r="X41" t="str">
        <v>Point Tip</v>
      </c>
      <c r="Y41" t="str">
        <v>Profile|.001|A|B| A&lt;-&gt;B C&lt;-&gt;D</v>
      </c>
      <c r="Z41" t="str">
        <v>Profile|.0016|B|D|</v>
      </c>
      <c r="AA41" t="str">
        <v>Profile|.005|A|C|</v>
      </c>
      <c r="AB41" t="str">
        <v>Profile|.010|A|B|</v>
      </c>
      <c r="AC41" t="str">
        <v>Rotate Part</v>
      </c>
      <c r="AD41" t="str">
        <v>See Comments Sheet</v>
      </c>
      <c r="AE41" t="str">
        <v>See Image</v>
      </c>
      <c r="AF41" t="str">
        <v>Sharp Okay, No Burr</v>
      </c>
      <c r="AG41" t="str">
        <v>SØ.331</v>
      </c>
      <c r="AH41" t="str">
        <v>Surface Finish Per Note 1</v>
      </c>
      <c r="AI41" t="str">
        <v>T.S.C.</v>
      </c>
      <c r="AJ41" t="str">
        <v>Taper Check</v>
      </c>
      <c r="AK41" t="str">
        <v>Theo.</v>
      </c>
      <c r="AL41" t="str">
        <v>Threadless Blank</v>
      </c>
      <c r="AM41" t="str">
        <v>Thru. Hole Present</v>
      </c>
      <c r="AN41" t="str">
        <v>To center of R.005</v>
      </c>
      <c r="AO41" t="str">
        <v>Tot. Runout</v>
      </c>
      <c r="AP41" t="str">
        <v>True Pos.|.001|B|</v>
      </c>
      <c r="AQ41" t="str">
        <v>True Pos.|Ø.03 (M)|A</v>
      </c>
      <c r="AR41" t="str">
        <v>True. Pos.|Ø.001(M)|A|</v>
      </c>
      <c r="AS41" t="str">
        <v>Turn Ø Free of Mill Marks</v>
      </c>
      <c r="AT41" t="str">
        <v>UNI.</v>
      </c>
    </row>
    <row r="42" spans="1:54">
      <c r="A42" s="31">
        <v>40</v>
      </c>
      <c r="B42" s="114" t="s">
        <v>179</v>
      </c>
      <c r="C42" s="38"/>
      <c r="D42" s="31" t="s">
        <v>178</v>
      </c>
      <c r="E42" s="73" t="str">
        <f t="array" ref="E42:AS42">TRANSPOSE(_xlfn._xlws.SORT(_xlfn._xlws.FILTER(B42:B409,ISNUMBER(SEARCH('PartLib Table'!M48,B42:B409)),"not found")))</f>
        <v>BLAST Per Note 3</v>
      </c>
      <c r="F42" t="str">
        <v>Blast Per Note 4</v>
      </c>
      <c r="G42" t="str">
        <v>Broachless Blank</v>
      </c>
      <c r="H42" t="str">
        <v>Calc.</v>
      </c>
      <c r="I42" t="str">
        <v>Centered within .001 or Less=Pass</v>
      </c>
      <c r="J42" t="str">
        <v>C-Sink</v>
      </c>
      <c r="K42" t="str">
        <v>Cust. Gauge</v>
      </c>
      <c r="L42" t="str">
        <v>EXT. Sphere Location</v>
      </c>
      <c r="M42" t="str">
        <v>Fav. Ang. Align</v>
      </c>
      <c r="N42" t="str">
        <v>Go GaugeFunc.</v>
      </c>
      <c r="O42" t="str">
        <v>Go Pin must pass through</v>
      </c>
      <c r="P42" t="str">
        <v>Go Pin, No Light, at Radius</v>
      </c>
      <c r="Q42" t="str">
        <v>Hex Minor to OD .0005 or less = Pass</v>
      </c>
      <c r="R42" t="str">
        <v>Insp. Fixt.</v>
      </c>
      <c r="S42" t="str">
        <v>INT. Sphere Location.</v>
      </c>
      <c r="T42" t="str">
        <v>NA</v>
      </c>
      <c r="U42" t="str">
        <v>No Copper Deposits Allowed</v>
      </c>
      <c r="V42" t="str">
        <v>No Section</v>
      </c>
      <c r="W42" t="str">
        <v>Perp.|0.05|A|</v>
      </c>
      <c r="X42" t="str">
        <v>Point Tip</v>
      </c>
      <c r="Y42" t="str">
        <v>Profile|.001|A|B| A&lt;-&gt;B C&lt;-&gt;D</v>
      </c>
      <c r="Z42" t="str">
        <v>Profile|.005|A|C|</v>
      </c>
      <c r="AA42" t="str">
        <v>Profile|.010|A|B|</v>
      </c>
      <c r="AB42" t="str">
        <v>Rotate Part</v>
      </c>
      <c r="AC42" t="str">
        <v>See Comments Sheet</v>
      </c>
      <c r="AD42" t="str">
        <v>See Image</v>
      </c>
      <c r="AE42" t="str">
        <v>Sharp Okay, No Burr</v>
      </c>
      <c r="AF42" t="str">
        <v>SØ.331</v>
      </c>
      <c r="AG42" t="str">
        <v>Surface Finish Per Note 1</v>
      </c>
      <c r="AH42" t="str">
        <v>T.S.C.</v>
      </c>
      <c r="AI42" t="str">
        <v>Taper Check</v>
      </c>
      <c r="AJ42" t="str">
        <v>Theo.</v>
      </c>
      <c r="AK42" t="str">
        <v>Threadless Blank</v>
      </c>
      <c r="AL42" t="str">
        <v>Thru. Hole Present</v>
      </c>
      <c r="AM42" t="str">
        <v>To center of R.005</v>
      </c>
      <c r="AN42" t="str">
        <v>Tot. Runout</v>
      </c>
      <c r="AO42" t="str">
        <v>True Pos.|.001|B|</v>
      </c>
      <c r="AP42" t="str">
        <v>True Pos.|Ø.03 (M)|A</v>
      </c>
      <c r="AQ42" t="str">
        <v>True. Pos.|Ø.001(M)|A|</v>
      </c>
      <c r="AR42" t="str">
        <v>Turn Ø Free of Mill Marks</v>
      </c>
      <c r="AS42" t="str">
        <v>UNI.</v>
      </c>
    </row>
    <row r="43" spans="1:54">
      <c r="A43" s="31">
        <v>41</v>
      </c>
      <c r="B43" s="114" t="s">
        <v>181</v>
      </c>
      <c r="C43" s="38"/>
      <c r="D43" s="31" t="s">
        <v>180</v>
      </c>
      <c r="E43" s="73" t="str">
        <f t="array" ref="E43:AR43">TRANSPOSE(_xlfn._xlws.SORT(_xlfn._xlws.FILTER(B43:B410,ISNUMBER(SEARCH('PartLib Table'!M49,B43:B410)),"not found")))</f>
        <v>BLAST Per Note 3</v>
      </c>
      <c r="F43" t="str">
        <v>Blast Per Note 4</v>
      </c>
      <c r="G43" t="str">
        <v>Broachless Blank</v>
      </c>
      <c r="H43" t="str">
        <v>Calc.</v>
      </c>
      <c r="I43" t="str">
        <v>Centered within .001 or Less=Pass</v>
      </c>
      <c r="J43" t="str">
        <v>C-Sink</v>
      </c>
      <c r="K43" t="str">
        <v>Cust. Gauge</v>
      </c>
      <c r="L43" t="str">
        <v>EXT. Sphere Location</v>
      </c>
      <c r="M43" t="str">
        <v>Fav. Ang. Align</v>
      </c>
      <c r="N43" t="str">
        <v>Go GaugeFunc.</v>
      </c>
      <c r="O43" t="str">
        <v>Go Pin must pass through</v>
      </c>
      <c r="P43" t="str">
        <v>Go Pin, No Light, at Radius</v>
      </c>
      <c r="Q43" t="str">
        <v>Hex Minor to OD .0005 or less = Pass</v>
      </c>
      <c r="R43" t="str">
        <v>Insp. Fixt.</v>
      </c>
      <c r="S43" t="str">
        <v>INT. Sphere Location.</v>
      </c>
      <c r="T43" t="str">
        <v>NA</v>
      </c>
      <c r="U43" t="str">
        <v>No Copper Deposits Allowed</v>
      </c>
      <c r="V43" t="str">
        <v>No Section</v>
      </c>
      <c r="W43" t="str">
        <v>Perp.|0.05|A|</v>
      </c>
      <c r="X43" t="str">
        <v>Point Tip</v>
      </c>
      <c r="Y43" t="str">
        <v>Profile|.001|A|B| A&lt;-&gt;B C&lt;-&gt;D</v>
      </c>
      <c r="Z43" t="str">
        <v>Profile|.005|A|C|</v>
      </c>
      <c r="AA43" t="str">
        <v>Profile|.010|A|B|</v>
      </c>
      <c r="AB43" t="str">
        <v>Rotate Part</v>
      </c>
      <c r="AC43" t="str">
        <v>See Comments Sheet</v>
      </c>
      <c r="AD43" t="str">
        <v>See Image</v>
      </c>
      <c r="AE43" t="str">
        <v>Sharp Okay, No Burr</v>
      </c>
      <c r="AF43" t="str">
        <v>SØ.331</v>
      </c>
      <c r="AG43" t="str">
        <v>Surface Finish Per Note 1</v>
      </c>
      <c r="AH43" t="str">
        <v>T.S.C.</v>
      </c>
      <c r="AI43" t="str">
        <v>Taper Check</v>
      </c>
      <c r="AJ43" t="str">
        <v>Theo.</v>
      </c>
      <c r="AK43" t="str">
        <v>Threadless Blank</v>
      </c>
      <c r="AL43" t="str">
        <v>Thru. Hole Present</v>
      </c>
      <c r="AM43" t="str">
        <v>To center of R.005</v>
      </c>
      <c r="AN43" t="str">
        <v>Tot. Runout</v>
      </c>
      <c r="AO43" t="str">
        <v>True Pos.|Ø.03 (M)|A</v>
      </c>
      <c r="AP43" t="str">
        <v>True. Pos.|Ø.001(M)|A|</v>
      </c>
      <c r="AQ43" t="str">
        <v>Turn Ø Free of Mill Marks</v>
      </c>
      <c r="AR43" t="str">
        <v>UNI.</v>
      </c>
    </row>
    <row r="44" spans="1:54">
      <c r="A44" s="31">
        <v>42</v>
      </c>
      <c r="B44" s="114" t="s">
        <v>184</v>
      </c>
      <c r="C44" s="38"/>
      <c r="D44" s="31" t="s">
        <v>183</v>
      </c>
      <c r="E44" s="73" t="str">
        <f t="array" ref="E44:AQ44">TRANSPOSE(_xlfn._xlws.SORT(_xlfn._xlws.FILTER(B44:B411,ISNUMBER(SEARCH('PartLib Table'!M50,B44:B411)),"not found")))</f>
        <v>BLAST Per Note 3</v>
      </c>
      <c r="F44" t="str">
        <v>Blast Per Note 4</v>
      </c>
      <c r="G44" t="str">
        <v>Broachless Blank</v>
      </c>
      <c r="H44" t="str">
        <v>Calc.</v>
      </c>
      <c r="I44" t="str">
        <v>Centered within .001 or Less=Pass</v>
      </c>
      <c r="J44" t="str">
        <v>C-Sink</v>
      </c>
      <c r="K44" t="str">
        <v>Cust. Gauge</v>
      </c>
      <c r="L44" t="str">
        <v>EXT. Sphere Location</v>
      </c>
      <c r="M44" t="str">
        <v>Fav. Ang. Align</v>
      </c>
      <c r="N44" t="str">
        <v>Go GaugeFunc.</v>
      </c>
      <c r="O44" t="str">
        <v>Go Pin must pass through</v>
      </c>
      <c r="P44" t="str">
        <v>Go Pin, No Light, at Radius</v>
      </c>
      <c r="Q44" t="str">
        <v>Insp. Fixt.</v>
      </c>
      <c r="R44" t="str">
        <v>INT. Sphere Location.</v>
      </c>
      <c r="S44" t="str">
        <v>NA</v>
      </c>
      <c r="T44" t="str">
        <v>No Copper Deposits Allowed</v>
      </c>
      <c r="U44" t="str">
        <v>No Section</v>
      </c>
      <c r="V44" t="str">
        <v>Perp.|0.05|A|</v>
      </c>
      <c r="W44" t="str">
        <v>Point Tip</v>
      </c>
      <c r="X44" t="str">
        <v>Profile|.001|A|B| A&lt;-&gt;B C&lt;-&gt;D</v>
      </c>
      <c r="Y44" t="str">
        <v>Profile|.005|A|C|</v>
      </c>
      <c r="Z44" t="str">
        <v>Profile|.010|A|B|</v>
      </c>
      <c r="AA44" t="str">
        <v>Rotate Part</v>
      </c>
      <c r="AB44" t="str">
        <v>See Comments Sheet</v>
      </c>
      <c r="AC44" t="str">
        <v>See Image</v>
      </c>
      <c r="AD44" t="str">
        <v>Sharp Okay, No Burr</v>
      </c>
      <c r="AE44" t="str">
        <v>SØ.331</v>
      </c>
      <c r="AF44" t="str">
        <v>Surface Finish Per Note 1</v>
      </c>
      <c r="AG44" t="str">
        <v>T.S.C.</v>
      </c>
      <c r="AH44" t="str">
        <v>Taper Check</v>
      </c>
      <c r="AI44" t="str">
        <v>Theo.</v>
      </c>
      <c r="AJ44" t="str">
        <v>Threadless Blank</v>
      </c>
      <c r="AK44" t="str">
        <v>Thru. Hole Present</v>
      </c>
      <c r="AL44" t="str">
        <v>To center of R.005</v>
      </c>
      <c r="AM44" t="str">
        <v>Tot. Runout</v>
      </c>
      <c r="AN44" t="str">
        <v>True Pos.|Ø.03 (M)|A</v>
      </c>
      <c r="AO44" t="str">
        <v>True. Pos.|Ø.001(M)|A|</v>
      </c>
      <c r="AP44" t="str">
        <v>Turn Ø Free of Mill Marks</v>
      </c>
      <c r="AQ44" t="str">
        <v>UNI.</v>
      </c>
    </row>
    <row r="45" spans="1:54">
      <c r="A45" s="31">
        <v>43</v>
      </c>
      <c r="B45" s="114" t="s">
        <v>187</v>
      </c>
      <c r="C45" s="38"/>
      <c r="D45" s="31" t="s">
        <v>186</v>
      </c>
      <c r="E45" s="73" t="str">
        <f t="array" ref="E45:AP45">TRANSPOSE(_xlfn._xlws.SORT(_xlfn._xlws.FILTER(B45:B412,ISNUMBER(SEARCH('PartLib Table'!M51,B45:B412)),"not found")))</f>
        <v>BLAST Per Note 3</v>
      </c>
      <c r="F45" t="str">
        <v>Blast Per Note 4</v>
      </c>
      <c r="G45" t="str">
        <v>Broachless Blank</v>
      </c>
      <c r="H45" t="str">
        <v>Calc.</v>
      </c>
      <c r="I45" t="str">
        <v>Centered within .001 or Less=Pass</v>
      </c>
      <c r="J45" t="str">
        <v>C-Sink</v>
      </c>
      <c r="K45" t="str">
        <v>Cust. Gauge</v>
      </c>
      <c r="L45" t="str">
        <v>EXT. Sphere Location</v>
      </c>
      <c r="M45" t="str">
        <v>Fav. Ang. Align</v>
      </c>
      <c r="N45" t="str">
        <v>Go GaugeFunc.</v>
      </c>
      <c r="O45" t="str">
        <v>Go Pin must pass through</v>
      </c>
      <c r="P45" t="str">
        <v>Go Pin, No Light, at Radius</v>
      </c>
      <c r="Q45" t="str">
        <v>Insp. Fixt.</v>
      </c>
      <c r="R45" t="str">
        <v>INT. Sphere Location.</v>
      </c>
      <c r="S45" t="str">
        <v>NA</v>
      </c>
      <c r="T45" t="str">
        <v>No Copper Deposits Allowed</v>
      </c>
      <c r="U45" t="str">
        <v>No Section</v>
      </c>
      <c r="V45" t="str">
        <v>Perp.|0.05|A|</v>
      </c>
      <c r="W45" t="str">
        <v>Point Tip</v>
      </c>
      <c r="X45" t="str">
        <v>Profile|.001|A|B| A&lt;-&gt;B C&lt;-&gt;D</v>
      </c>
      <c r="Y45" t="str">
        <v>Profile|.005|A|C|</v>
      </c>
      <c r="Z45" t="str">
        <v>Profile|.010|A|B|</v>
      </c>
      <c r="AA45" t="str">
        <v>Rotate Part</v>
      </c>
      <c r="AB45" t="str">
        <v>See Comments Sheet</v>
      </c>
      <c r="AC45" t="str">
        <v>See Image</v>
      </c>
      <c r="AD45" t="str">
        <v>Sharp Okay, No Burr</v>
      </c>
      <c r="AE45" t="str">
        <v>SØ.331</v>
      </c>
      <c r="AF45" t="str">
        <v>Surface Finish Per Note 1</v>
      </c>
      <c r="AG45" t="str">
        <v>T.S.C.</v>
      </c>
      <c r="AH45" t="str">
        <v>Taper Check</v>
      </c>
      <c r="AI45" t="str">
        <v>Theo.</v>
      </c>
      <c r="AJ45" t="str">
        <v>Threadless Blank</v>
      </c>
      <c r="AK45" t="str">
        <v>Thru. Hole Present</v>
      </c>
      <c r="AL45" t="str">
        <v>Tot. Runout</v>
      </c>
      <c r="AM45" t="str">
        <v>True Pos.|Ø.03 (M)|A</v>
      </c>
      <c r="AN45" t="str">
        <v>True. Pos.|Ø.001(M)|A|</v>
      </c>
      <c r="AO45" t="str">
        <v>Turn Ø Free of Mill Marks</v>
      </c>
      <c r="AP45" t="str">
        <v>UNI.</v>
      </c>
    </row>
    <row r="46" spans="1:54">
      <c r="A46" s="31">
        <v>44</v>
      </c>
      <c r="B46" s="114" t="s">
        <v>189</v>
      </c>
      <c r="C46" s="38"/>
      <c r="D46" s="31" t="s">
        <v>188</v>
      </c>
      <c r="E46" s="73" t="str">
        <f t="array" ref="E46:AO46">TRANSPOSE(_xlfn._xlws.SORT(_xlfn._xlws.FILTER(B46:B413,ISNUMBER(SEARCH('PartLib Table'!M52,B46:B413)),"not found")))</f>
        <v>BLAST Per Note 3</v>
      </c>
      <c r="F46" t="str">
        <v>Blast Per Note 4</v>
      </c>
      <c r="G46" t="str">
        <v>Broachless Blank</v>
      </c>
      <c r="H46" t="str">
        <v>Calc.</v>
      </c>
      <c r="I46" t="str">
        <v>Centered within .001 or Less=Pass</v>
      </c>
      <c r="J46" t="str">
        <v>C-Sink</v>
      </c>
      <c r="K46" t="str">
        <v>Cust. Gauge</v>
      </c>
      <c r="L46" t="str">
        <v>EXT. Sphere Location</v>
      </c>
      <c r="M46" t="str">
        <v>Fav. Ang. Align</v>
      </c>
      <c r="N46" t="str">
        <v>Go GaugeFunc.</v>
      </c>
      <c r="O46" t="str">
        <v>Go Pin must pass through</v>
      </c>
      <c r="P46" t="str">
        <v>Go Pin, No Light, at Radius</v>
      </c>
      <c r="Q46" t="str">
        <v>Insp. Fixt.</v>
      </c>
      <c r="R46" t="str">
        <v>INT. Sphere Location.</v>
      </c>
      <c r="S46" t="str">
        <v>NA</v>
      </c>
      <c r="T46" t="str">
        <v>No Copper Deposits Allowed</v>
      </c>
      <c r="U46" t="str">
        <v>No Section</v>
      </c>
      <c r="V46" t="str">
        <v>Perp.|0.05|A|</v>
      </c>
      <c r="W46" t="str">
        <v>Point Tip</v>
      </c>
      <c r="X46" t="str">
        <v>Profile|.001|A|B| A&lt;-&gt;B C&lt;-&gt;D</v>
      </c>
      <c r="Y46" t="str">
        <v>Profile|.005|A|C|</v>
      </c>
      <c r="Z46" t="str">
        <v>Profile|.010|A|B|</v>
      </c>
      <c r="AA46" t="str">
        <v>Rotate Part</v>
      </c>
      <c r="AB46" t="str">
        <v>See Comments Sheet</v>
      </c>
      <c r="AC46" t="str">
        <v>See Image</v>
      </c>
      <c r="AD46" t="str">
        <v>Sharp Okay, No Burr</v>
      </c>
      <c r="AE46" t="str">
        <v>SØ.331</v>
      </c>
      <c r="AF46" t="str">
        <v>Surface Finish Per Note 1</v>
      </c>
      <c r="AG46" t="str">
        <v>T.S.C.</v>
      </c>
      <c r="AH46" t="str">
        <v>Taper Check</v>
      </c>
      <c r="AI46" t="str">
        <v>Theo.</v>
      </c>
      <c r="AJ46" t="str">
        <v>Threadless Blank</v>
      </c>
      <c r="AK46" t="str">
        <v>Thru. Hole Present</v>
      </c>
      <c r="AL46" t="str">
        <v>Tot. Runout</v>
      </c>
      <c r="AM46" t="str">
        <v>True. Pos.|Ø.001(M)|A|</v>
      </c>
      <c r="AN46" t="str">
        <v>Turn Ø Free of Mill Marks</v>
      </c>
      <c r="AO46" t="str">
        <v>UNI.</v>
      </c>
    </row>
    <row r="47" spans="1:54">
      <c r="A47" s="31">
        <v>45</v>
      </c>
      <c r="B47" s="114" t="s">
        <v>191</v>
      </c>
      <c r="C47" s="38"/>
      <c r="D47" s="31" t="s">
        <v>190</v>
      </c>
      <c r="E47" s="73" t="str">
        <f t="array" ref="E47:AN47">TRANSPOSE(_xlfn._xlws.SORT(_xlfn._xlws.FILTER(B47:B414,ISNUMBER(SEARCH('PartLib Table'!M53,B47:B414)),"not found")))</f>
        <v>BLAST Per Note 3</v>
      </c>
      <c r="F47" t="str">
        <v>Blast Per Note 4</v>
      </c>
      <c r="G47" t="str">
        <v>Broachless Blank</v>
      </c>
      <c r="H47" t="str">
        <v>Calc.</v>
      </c>
      <c r="I47" t="str">
        <v>Centered within .001 or Less=Pass</v>
      </c>
      <c r="J47" t="str">
        <v>C-Sink</v>
      </c>
      <c r="K47" t="str">
        <v>Cust. Gauge</v>
      </c>
      <c r="L47" t="str">
        <v>EXT. Sphere Location</v>
      </c>
      <c r="M47" t="str">
        <v>Fav. Ang. Align</v>
      </c>
      <c r="N47" t="str">
        <v>Go GaugeFunc.</v>
      </c>
      <c r="O47" t="str">
        <v>Go Pin must pass through</v>
      </c>
      <c r="P47" t="str">
        <v>Go Pin, No Light, at Radius</v>
      </c>
      <c r="Q47" t="str">
        <v>Insp. Fixt.</v>
      </c>
      <c r="R47" t="str">
        <v>INT. Sphere Location.</v>
      </c>
      <c r="S47" t="str">
        <v>NA</v>
      </c>
      <c r="T47" t="str">
        <v>No Copper Deposits Allowed</v>
      </c>
      <c r="U47" t="str">
        <v>No Section</v>
      </c>
      <c r="V47" t="str">
        <v>Perp.|0.05|A|</v>
      </c>
      <c r="W47" t="str">
        <v>Point Tip</v>
      </c>
      <c r="X47" t="str">
        <v>Profile|.001|A|B| A&lt;-&gt;B C&lt;-&gt;D</v>
      </c>
      <c r="Y47" t="str">
        <v>Profile|.005|A|C|</v>
      </c>
      <c r="Z47" t="str">
        <v>Profile|.010|A|B|</v>
      </c>
      <c r="AA47" t="str">
        <v>Rotate Part</v>
      </c>
      <c r="AB47" t="str">
        <v>See Comments Sheet</v>
      </c>
      <c r="AC47" t="str">
        <v>See Image</v>
      </c>
      <c r="AD47" t="str">
        <v>Sharp Okay, No Burr</v>
      </c>
      <c r="AE47" t="str">
        <v>SØ.331</v>
      </c>
      <c r="AF47" t="str">
        <v>T.S.C.</v>
      </c>
      <c r="AG47" t="str">
        <v>Taper Check</v>
      </c>
      <c r="AH47" t="str">
        <v>Theo.</v>
      </c>
      <c r="AI47" t="str">
        <v>Threadless Blank</v>
      </c>
      <c r="AJ47" t="str">
        <v>Thru. Hole Present</v>
      </c>
      <c r="AK47" t="str">
        <v>Tot. Runout</v>
      </c>
      <c r="AL47" t="str">
        <v>True. Pos.|Ø.001(M)|A|</v>
      </c>
      <c r="AM47" t="str">
        <v>Turn Ø Free of Mill Marks</v>
      </c>
      <c r="AN47" t="str">
        <v>UNI.</v>
      </c>
    </row>
    <row r="48" spans="1:54">
      <c r="A48" s="31">
        <v>46</v>
      </c>
      <c r="B48" s="114" t="s">
        <v>193</v>
      </c>
      <c r="D48" s="31" t="s">
        <v>192</v>
      </c>
      <c r="E48" s="73" t="str">
        <f t="array" ref="E48:AM48">TRANSPOSE(_xlfn._xlws.SORT(_xlfn._xlws.FILTER(B48:B415,ISNUMBER(SEARCH('PartLib Table'!M54,B48:B415)),"not found")))</f>
        <v>BLAST Per Note 3</v>
      </c>
      <c r="F48" t="str">
        <v>Blast Per Note 4</v>
      </c>
      <c r="G48" t="str">
        <v>Broachless Blank</v>
      </c>
      <c r="H48" t="str">
        <v>Calc.</v>
      </c>
      <c r="I48" t="str">
        <v>Centered within .001 or Less=Pass</v>
      </c>
      <c r="J48" t="str">
        <v>C-Sink</v>
      </c>
      <c r="K48" t="str">
        <v>Cust. Gauge</v>
      </c>
      <c r="L48" t="str">
        <v>EXT. Sphere Location</v>
      </c>
      <c r="M48" t="str">
        <v>Fav. Ang. Align</v>
      </c>
      <c r="N48" t="str">
        <v>Go GaugeFunc.</v>
      </c>
      <c r="O48" t="str">
        <v>Go Pin must pass through</v>
      </c>
      <c r="P48" t="str">
        <v>Go Pin, No Light, at Radius</v>
      </c>
      <c r="Q48" t="str">
        <v>Insp. Fixt.</v>
      </c>
      <c r="R48" t="str">
        <v>INT. Sphere Location.</v>
      </c>
      <c r="S48" t="str">
        <v>NA</v>
      </c>
      <c r="T48" t="str">
        <v>No Copper Deposits Allowed</v>
      </c>
      <c r="U48" t="str">
        <v>No Section</v>
      </c>
      <c r="V48" t="str">
        <v>Point Tip</v>
      </c>
      <c r="W48" t="str">
        <v>Profile|.001|A|B| A&lt;-&gt;B C&lt;-&gt;D</v>
      </c>
      <c r="X48" t="str">
        <v>Profile|.005|A|C|</v>
      </c>
      <c r="Y48" t="str">
        <v>Profile|.010|A|B|</v>
      </c>
      <c r="Z48" t="str">
        <v>Rotate Part</v>
      </c>
      <c r="AA48" t="str">
        <v>See Comments Sheet</v>
      </c>
      <c r="AB48" t="str">
        <v>See Image</v>
      </c>
      <c r="AC48" t="str">
        <v>Sharp Okay, No Burr</v>
      </c>
      <c r="AD48" t="str">
        <v>SØ.331</v>
      </c>
      <c r="AE48" t="str">
        <v>T.S.C.</v>
      </c>
      <c r="AF48" t="str">
        <v>Taper Check</v>
      </c>
      <c r="AG48" t="str">
        <v>Theo.</v>
      </c>
      <c r="AH48" t="str">
        <v>Threadless Blank</v>
      </c>
      <c r="AI48" t="str">
        <v>Thru. Hole Present</v>
      </c>
      <c r="AJ48" t="str">
        <v>Tot. Runout</v>
      </c>
      <c r="AK48" t="str">
        <v>True. Pos.|Ø.001(M)|A|</v>
      </c>
      <c r="AL48" t="str">
        <v>Turn Ø Free of Mill Marks</v>
      </c>
      <c r="AM48" t="str">
        <v>UNI.</v>
      </c>
    </row>
    <row r="49" spans="1:38">
      <c r="A49" s="31">
        <v>47</v>
      </c>
      <c r="B49" s="114" t="s">
        <v>219</v>
      </c>
      <c r="D49" s="31" t="s">
        <v>208</v>
      </c>
      <c r="E49" s="73" t="str">
        <f t="array" ref="E49:AL49">TRANSPOSE(_xlfn._xlws.SORT(_xlfn._xlws.FILTER(B49:B416,ISNUMBER(SEARCH('PartLib Table'!M55,B49:B416)),"not found")))</f>
        <v>BLAST Per Note 3</v>
      </c>
      <c r="F49" t="str">
        <v>Blast Per Note 4</v>
      </c>
      <c r="G49" t="str">
        <v>Broachless Blank</v>
      </c>
      <c r="H49" t="str">
        <v>Calc.</v>
      </c>
      <c r="I49" t="str">
        <v>Centered within .001 or Less=Pass</v>
      </c>
      <c r="J49" t="str">
        <v>Cust. Gauge</v>
      </c>
      <c r="K49" t="str">
        <v>EXT. Sphere Location</v>
      </c>
      <c r="L49" t="str">
        <v>Fav. Ang. Align</v>
      </c>
      <c r="M49" t="str">
        <v>Go GaugeFunc.</v>
      </c>
      <c r="N49" t="str">
        <v>Go Pin must pass through</v>
      </c>
      <c r="O49" t="str">
        <v>Go Pin, No Light, at Radius</v>
      </c>
      <c r="P49" t="str">
        <v>Insp. Fixt.</v>
      </c>
      <c r="Q49" t="str">
        <v>INT. Sphere Location.</v>
      </c>
      <c r="R49" t="str">
        <v>NA</v>
      </c>
      <c r="S49" t="str">
        <v>No Copper Deposits Allowed</v>
      </c>
      <c r="T49" t="str">
        <v>No Section</v>
      </c>
      <c r="U49" t="str">
        <v>Point Tip</v>
      </c>
      <c r="V49" t="str">
        <v>Profile|.001|A|B| A&lt;-&gt;B C&lt;-&gt;D</v>
      </c>
      <c r="W49" t="str">
        <v>Profile|.005|A|C|</v>
      </c>
      <c r="X49" t="str">
        <v>Profile|.010|A|B|</v>
      </c>
      <c r="Y49" t="str">
        <v>Rotate Part</v>
      </c>
      <c r="Z49" t="str">
        <v>See Comments Sheet</v>
      </c>
      <c r="AA49" t="str">
        <v>See Image</v>
      </c>
      <c r="AB49" t="str">
        <v>Sharp Okay, No Burr</v>
      </c>
      <c r="AC49" t="str">
        <v>SØ.331</v>
      </c>
      <c r="AD49" t="str">
        <v>T.S.C.</v>
      </c>
      <c r="AE49" t="str">
        <v>Taper Check</v>
      </c>
      <c r="AF49" t="str">
        <v>Theo.</v>
      </c>
      <c r="AG49" t="str">
        <v>Threadless Blank</v>
      </c>
      <c r="AH49" t="str">
        <v>Thru. Hole Present</v>
      </c>
      <c r="AI49" t="str">
        <v>Tot. Runout</v>
      </c>
      <c r="AJ49" t="str">
        <v>True. Pos.|Ø.001(M)|A|</v>
      </c>
      <c r="AK49" t="str">
        <v>Turn Ø Free of Mill Marks</v>
      </c>
      <c r="AL49" t="str">
        <v>UNI.</v>
      </c>
    </row>
    <row r="50" spans="1:38">
      <c r="A50" s="31">
        <v>48</v>
      </c>
      <c r="B50" s="114" t="s">
        <v>211</v>
      </c>
      <c r="C50" s="38"/>
      <c r="D50" s="31" t="s">
        <v>212</v>
      </c>
      <c r="E50" s="73" t="str">
        <f t="array" ref="E50:AK50">TRANSPOSE(_xlfn._xlws.SORT(_xlfn._xlws.FILTER(B50:B417,ISNUMBER(SEARCH('PartLib Table'!M56,B50:B417)),"not found")))</f>
        <v>Blast Per Note 4</v>
      </c>
      <c r="F50" t="str">
        <v>Broachless Blank</v>
      </c>
      <c r="G50" t="str">
        <v>Calc.</v>
      </c>
      <c r="H50" t="str">
        <v>Centered within .001 or Less=Pass</v>
      </c>
      <c r="I50" t="str">
        <v>Cust. Gauge</v>
      </c>
      <c r="J50" t="str">
        <v>EXT. Sphere Location</v>
      </c>
      <c r="K50" t="str">
        <v>Fav. Ang. Align</v>
      </c>
      <c r="L50" t="str">
        <v>Go GaugeFunc.</v>
      </c>
      <c r="M50" t="str">
        <v>Go Pin must pass through</v>
      </c>
      <c r="N50" t="str">
        <v>Go Pin, No Light, at Radius</v>
      </c>
      <c r="O50" t="str">
        <v>Insp. Fixt.</v>
      </c>
      <c r="P50" t="str">
        <v>INT. Sphere Location.</v>
      </c>
      <c r="Q50" t="str">
        <v>NA</v>
      </c>
      <c r="R50" t="str">
        <v>No Copper Deposits Allowed</v>
      </c>
      <c r="S50" t="str">
        <v>No Section</v>
      </c>
      <c r="T50" t="str">
        <v>Point Tip</v>
      </c>
      <c r="U50" t="str">
        <v>Profile|.001|A|B| A&lt;-&gt;B C&lt;-&gt;D</v>
      </c>
      <c r="V50" t="str">
        <v>Profile|.005|A|C|</v>
      </c>
      <c r="W50" t="str">
        <v>Profile|.010|A|B|</v>
      </c>
      <c r="X50" t="str">
        <v>Rotate Part</v>
      </c>
      <c r="Y50" t="str">
        <v>See Comments Sheet</v>
      </c>
      <c r="Z50" t="str">
        <v>See Image</v>
      </c>
      <c r="AA50" t="str">
        <v>Sharp Okay, No Burr</v>
      </c>
      <c r="AB50" t="str">
        <v>SØ.331</v>
      </c>
      <c r="AC50" t="str">
        <v>T.S.C.</v>
      </c>
      <c r="AD50" t="str">
        <v>Taper Check</v>
      </c>
      <c r="AE50" t="str">
        <v>Theo.</v>
      </c>
      <c r="AF50" t="str">
        <v>Threadless Blank</v>
      </c>
      <c r="AG50" t="str">
        <v>Thru. Hole Present</v>
      </c>
      <c r="AH50" t="str">
        <v>Tot. Runout</v>
      </c>
      <c r="AI50" t="str">
        <v>True. Pos.|Ø.001(M)|A|</v>
      </c>
      <c r="AJ50" t="str">
        <v>Turn Ø Free of Mill Marks</v>
      </c>
      <c r="AK50" t="str">
        <v>UNI.</v>
      </c>
    </row>
    <row r="51" spans="1:38">
      <c r="A51" s="31">
        <v>49</v>
      </c>
      <c r="B51" s="114" t="s">
        <v>210</v>
      </c>
      <c r="C51" s="38"/>
      <c r="D51" s="31" t="s">
        <v>209</v>
      </c>
      <c r="E51" s="73" t="str">
        <f t="array" ref="E51:AJ51">TRANSPOSE(_xlfn._xlws.SORT(_xlfn._xlws.FILTER(B51:B418,ISNUMBER(SEARCH('PartLib Table'!M57,B51:B418)),"not found")))</f>
        <v>Blast Per Note 4</v>
      </c>
      <c r="F51" t="str">
        <v>Broachless Blank</v>
      </c>
      <c r="G51" t="str">
        <v>Calc.</v>
      </c>
      <c r="H51" t="str">
        <v>Centered within .001 or Less=Pass</v>
      </c>
      <c r="I51" t="str">
        <v>Cust. Gauge</v>
      </c>
      <c r="J51" t="str">
        <v>EXT. Sphere Location</v>
      </c>
      <c r="K51" t="str">
        <v>Fav. Ang. Align</v>
      </c>
      <c r="L51" t="str">
        <v>Go GaugeFunc.</v>
      </c>
      <c r="M51" t="str">
        <v>Go Pin must pass through</v>
      </c>
      <c r="N51" t="str">
        <v>Go Pin, No Light, at Radius</v>
      </c>
      <c r="O51" t="str">
        <v>Insp. Fixt.</v>
      </c>
      <c r="P51" t="str">
        <v>NA</v>
      </c>
      <c r="Q51" t="str">
        <v>No Copper Deposits Allowed</v>
      </c>
      <c r="R51" t="str">
        <v>No Section</v>
      </c>
      <c r="S51" t="str">
        <v>Point Tip</v>
      </c>
      <c r="T51" t="str">
        <v>Profile|.001|A|B| A&lt;-&gt;B C&lt;-&gt;D</v>
      </c>
      <c r="U51" t="str">
        <v>Profile|.005|A|C|</v>
      </c>
      <c r="V51" t="str">
        <v>Profile|.010|A|B|</v>
      </c>
      <c r="W51" t="str">
        <v>Rotate Part</v>
      </c>
      <c r="X51" t="str">
        <v>See Comments Sheet</v>
      </c>
      <c r="Y51" t="str">
        <v>See Image</v>
      </c>
      <c r="Z51" t="str">
        <v>Sharp Okay, No Burr</v>
      </c>
      <c r="AA51" t="str">
        <v>SØ.331</v>
      </c>
      <c r="AB51" t="str">
        <v>T.S.C.</v>
      </c>
      <c r="AC51" t="str">
        <v>Taper Check</v>
      </c>
      <c r="AD51" t="str">
        <v>Theo.</v>
      </c>
      <c r="AE51" t="str">
        <v>Threadless Blank</v>
      </c>
      <c r="AF51" t="str">
        <v>Thru. Hole Present</v>
      </c>
      <c r="AG51" t="str">
        <v>Tot. Runout</v>
      </c>
      <c r="AH51" t="str">
        <v>True. Pos.|Ø.001(M)|A|</v>
      </c>
      <c r="AI51" t="str">
        <v>Turn Ø Free of Mill Marks</v>
      </c>
      <c r="AJ51" t="str">
        <v>UNI.</v>
      </c>
    </row>
    <row r="52" spans="1:38">
      <c r="A52" s="31">
        <v>50</v>
      </c>
      <c r="B52" s="114" t="s">
        <v>213</v>
      </c>
      <c r="C52" s="38"/>
      <c r="D52" s="31" t="s">
        <v>214</v>
      </c>
      <c r="E52" s="73" t="str">
        <f t="array" ref="E52:AI52">TRANSPOSE(_xlfn._xlws.SORT(_xlfn._xlws.FILTER(B52:B419,ISNUMBER(SEARCH('PartLib Table'!M58,B52:B419)),"not found")))</f>
        <v>Blast Per Note 4</v>
      </c>
      <c r="F52" t="str">
        <v>Broachless Blank</v>
      </c>
      <c r="G52" t="str">
        <v>Calc.</v>
      </c>
      <c r="H52" t="str">
        <v>Centered within .001 or Less=Pass</v>
      </c>
      <c r="I52" t="str">
        <v>Cust. Gauge</v>
      </c>
      <c r="J52" t="str">
        <v>Fav. Ang. Align</v>
      </c>
      <c r="K52" t="str">
        <v>Go GaugeFunc.</v>
      </c>
      <c r="L52" t="str">
        <v>Go Pin must pass through</v>
      </c>
      <c r="M52" t="str">
        <v>Go Pin, No Light, at Radius</v>
      </c>
      <c r="N52" t="str">
        <v>Insp. Fixt.</v>
      </c>
      <c r="O52" t="str">
        <v>NA</v>
      </c>
      <c r="P52" t="str">
        <v>No Copper Deposits Allowed</v>
      </c>
      <c r="Q52" t="str">
        <v>No Section</v>
      </c>
      <c r="R52" t="str">
        <v>Point Tip</v>
      </c>
      <c r="S52" t="str">
        <v>Profile|.001|A|B| A&lt;-&gt;B C&lt;-&gt;D</v>
      </c>
      <c r="T52" t="str">
        <v>Profile|.005|A|C|</v>
      </c>
      <c r="U52" t="str">
        <v>Profile|.010|A|B|</v>
      </c>
      <c r="V52" t="str">
        <v>Rotate Part</v>
      </c>
      <c r="W52" t="str">
        <v>See Comments Sheet</v>
      </c>
      <c r="X52" t="str">
        <v>See Image</v>
      </c>
      <c r="Y52" t="str">
        <v>Sharp Okay, No Burr</v>
      </c>
      <c r="Z52" t="str">
        <v>SØ.331</v>
      </c>
      <c r="AA52" t="str">
        <v>T.S.C.</v>
      </c>
      <c r="AB52" t="str">
        <v>Taper Check</v>
      </c>
      <c r="AC52" t="str">
        <v>Theo.</v>
      </c>
      <c r="AD52" t="str">
        <v>Threadless Blank</v>
      </c>
      <c r="AE52" t="str">
        <v>Thru. Hole Present</v>
      </c>
      <c r="AF52" t="str">
        <v>Tot. Runout</v>
      </c>
      <c r="AG52" t="str">
        <v>True. Pos.|Ø.001(M)|A|</v>
      </c>
      <c r="AH52" t="str">
        <v>Turn Ø Free of Mill Marks</v>
      </c>
      <c r="AI52" t="str">
        <v>UNI.</v>
      </c>
    </row>
    <row r="53" spans="1:38">
      <c r="A53" s="31">
        <v>51</v>
      </c>
      <c r="B53" s="114" t="s">
        <v>224</v>
      </c>
      <c r="C53" s="38"/>
      <c r="D53" s="31" t="s">
        <v>215</v>
      </c>
      <c r="E53" s="73" t="str">
        <f t="array" ref="E53:AH53">TRANSPOSE(_xlfn._xlws.SORT(_xlfn._xlws.FILTER(B53:B420,ISNUMBER(SEARCH('PartLib Table'!M59,B53:B420)),"not found")))</f>
        <v>Blast Per Note 4</v>
      </c>
      <c r="F53" t="str">
        <v>Broachless Blank</v>
      </c>
      <c r="G53" t="str">
        <v>Calc.</v>
      </c>
      <c r="H53" t="str">
        <v>Centered within .001 or Less=Pass</v>
      </c>
      <c r="I53" t="str">
        <v>Cust. Gauge</v>
      </c>
      <c r="J53" t="str">
        <v>Fav. Ang. Align</v>
      </c>
      <c r="K53" t="str">
        <v>Go GaugeFunc.</v>
      </c>
      <c r="L53" t="str">
        <v>Go Pin must pass through</v>
      </c>
      <c r="M53" t="str">
        <v>Go Pin, No Light, at Radius</v>
      </c>
      <c r="N53" t="str">
        <v>Insp. Fixt.</v>
      </c>
      <c r="O53" t="str">
        <v>NA</v>
      </c>
      <c r="P53" t="str">
        <v>No Copper Deposits Allowed</v>
      </c>
      <c r="Q53" t="str">
        <v>No Section</v>
      </c>
      <c r="R53" t="str">
        <v>Point Tip</v>
      </c>
      <c r="S53" t="str">
        <v>Profile|.001|A|B| A&lt;-&gt;B C&lt;-&gt;D</v>
      </c>
      <c r="T53" t="str">
        <v>Profile|.005|A|C|</v>
      </c>
      <c r="U53" t="str">
        <v>Profile|.010|A|B|</v>
      </c>
      <c r="V53" t="str">
        <v>Rotate Part</v>
      </c>
      <c r="W53" t="str">
        <v>See Comments Sheet</v>
      </c>
      <c r="X53" t="str">
        <v>See Image</v>
      </c>
      <c r="Y53" t="str">
        <v>Sharp Okay, No Burr</v>
      </c>
      <c r="Z53" t="str">
        <v>T.S.C.</v>
      </c>
      <c r="AA53" t="str">
        <v>Taper Check</v>
      </c>
      <c r="AB53" t="str">
        <v>Theo.</v>
      </c>
      <c r="AC53" t="str">
        <v>Threadless Blank</v>
      </c>
      <c r="AD53" t="str">
        <v>Thru. Hole Present</v>
      </c>
      <c r="AE53" t="str">
        <v>Tot. Runout</v>
      </c>
      <c r="AF53" t="str">
        <v>True. Pos.|Ø.001(M)|A|</v>
      </c>
      <c r="AG53" t="str">
        <v>Turn Ø Free of Mill Marks</v>
      </c>
      <c r="AH53" t="str">
        <v>UNI.</v>
      </c>
    </row>
    <row r="54" spans="1:38">
      <c r="A54" s="31">
        <v>52</v>
      </c>
      <c r="B54" s="114" t="s">
        <v>218</v>
      </c>
      <c r="C54" s="38"/>
      <c r="D54" s="31" t="s">
        <v>217</v>
      </c>
      <c r="E54" s="73" t="str">
        <f t="array" ref="E54:AG54">TRANSPOSE(_xlfn._xlws.SORT(_xlfn._xlws.FILTER(B54:B421,ISNUMBER(SEARCH('PartLib Table'!M60,B54:B421)),"not found")))</f>
        <v>Broachless Blank</v>
      </c>
      <c r="F54" t="str">
        <v>Calc.</v>
      </c>
      <c r="G54" t="str">
        <v>Centered within .001 or Less=Pass</v>
      </c>
      <c r="H54" t="str">
        <v>Cust. Gauge</v>
      </c>
      <c r="I54" t="str">
        <v>Fav. Ang. Align</v>
      </c>
      <c r="J54" t="str">
        <v>Go GaugeFunc.</v>
      </c>
      <c r="K54" t="str">
        <v>Go Pin must pass through</v>
      </c>
      <c r="L54" t="str">
        <v>Go Pin, No Light, at Radius</v>
      </c>
      <c r="M54" t="str">
        <v>Insp. Fixt.</v>
      </c>
      <c r="N54" t="str">
        <v>NA</v>
      </c>
      <c r="O54" t="str">
        <v>No Copper Deposits Allowed</v>
      </c>
      <c r="P54" t="str">
        <v>No Section</v>
      </c>
      <c r="Q54" t="str">
        <v>Point Tip</v>
      </c>
      <c r="R54" t="str">
        <v>Profile|.001|A|B| A&lt;-&gt;B C&lt;-&gt;D</v>
      </c>
      <c r="S54" t="str">
        <v>Profile|.005|A|C|</v>
      </c>
      <c r="T54" t="str">
        <v>Profile|.010|A|B|</v>
      </c>
      <c r="U54" t="str">
        <v>Rotate Part</v>
      </c>
      <c r="V54" t="str">
        <v>See Comments Sheet</v>
      </c>
      <c r="W54" t="str">
        <v>See Image</v>
      </c>
      <c r="X54" t="str">
        <v>Sharp Okay, No Burr</v>
      </c>
      <c r="Y54" t="str">
        <v>T.S.C.</v>
      </c>
      <c r="Z54" t="str">
        <v>Taper Check</v>
      </c>
      <c r="AA54" t="str">
        <v>Theo.</v>
      </c>
      <c r="AB54" t="str">
        <v>Threadless Blank</v>
      </c>
      <c r="AC54" t="str">
        <v>Thru. Hole Present</v>
      </c>
      <c r="AD54" t="str">
        <v>Tot. Runout</v>
      </c>
      <c r="AE54" t="str">
        <v>True. Pos.|Ø.001(M)|A|</v>
      </c>
      <c r="AF54" t="str">
        <v>Turn Ø Free of Mill Marks</v>
      </c>
      <c r="AG54" t="str">
        <v>UNI.</v>
      </c>
    </row>
    <row r="55" spans="1:38">
      <c r="A55" s="31">
        <v>53</v>
      </c>
      <c r="B55" s="114" t="s">
        <v>226</v>
      </c>
      <c r="C55" s="38"/>
      <c r="D55" s="31" t="s">
        <v>225</v>
      </c>
      <c r="E55" s="73" t="str">
        <f t="array" ref="E55:AF55">TRANSPOSE(_xlfn._xlws.SORT(_xlfn._xlws.FILTER(B55:B422,ISNUMBER(SEARCH('PartLib Table'!M61,B55:B422)),"not found")))</f>
        <v>Broachless Blank</v>
      </c>
      <c r="F55" t="str">
        <v>Calc.</v>
      </c>
      <c r="G55" t="str">
        <v>Centered within .001 or Less=Pass</v>
      </c>
      <c r="H55" t="str">
        <v>Cust. Gauge</v>
      </c>
      <c r="I55" t="str">
        <v>Fav. Ang. Align</v>
      </c>
      <c r="J55" t="str">
        <v>Go GaugeFunc.</v>
      </c>
      <c r="K55" t="str">
        <v>Go Pin must pass through</v>
      </c>
      <c r="L55" t="str">
        <v>Go Pin, No Light, at Radius</v>
      </c>
      <c r="M55" t="str">
        <v>Insp. Fixt.</v>
      </c>
      <c r="N55" t="str">
        <v>NA</v>
      </c>
      <c r="O55" t="str">
        <v>No Copper Deposits Allowed</v>
      </c>
      <c r="P55" t="str">
        <v>No Section</v>
      </c>
      <c r="Q55" t="str">
        <v>Point Tip</v>
      </c>
      <c r="R55" t="str">
        <v>Profile|.001|A|B| A&lt;-&gt;B C&lt;-&gt;D</v>
      </c>
      <c r="S55" t="str">
        <v>Profile|.005|A|C|</v>
      </c>
      <c r="T55" t="str">
        <v>Profile|.010|A|B|</v>
      </c>
      <c r="U55" t="str">
        <v>Rotate Part</v>
      </c>
      <c r="V55" t="str">
        <v>See Comments Sheet</v>
      </c>
      <c r="W55" t="str">
        <v>See Image</v>
      </c>
      <c r="X55" t="str">
        <v>Sharp Okay, No Burr</v>
      </c>
      <c r="Y55" t="str">
        <v>T.S.C.</v>
      </c>
      <c r="Z55" t="str">
        <v>Taper Check</v>
      </c>
      <c r="AA55" t="str">
        <v>Threadless Blank</v>
      </c>
      <c r="AB55" t="str">
        <v>Thru. Hole Present</v>
      </c>
      <c r="AC55" t="str">
        <v>Tot. Runout</v>
      </c>
      <c r="AD55" t="str">
        <v>True. Pos.|Ø.001(M)|A|</v>
      </c>
      <c r="AE55" t="str">
        <v>Turn Ø Free of Mill Marks</v>
      </c>
      <c r="AF55" t="str">
        <v>UNI.</v>
      </c>
    </row>
    <row r="56" spans="1:38">
      <c r="A56" s="31">
        <v>54</v>
      </c>
      <c r="B56" s="114" t="s">
        <v>228</v>
      </c>
      <c r="C56" s="38"/>
      <c r="D56" s="31" t="s">
        <v>227</v>
      </c>
      <c r="E56" s="73" t="str">
        <f t="array" ref="E56:AE56">TRANSPOSE(_xlfn._xlws.SORT(_xlfn._xlws.FILTER(B56:B423,ISNUMBER(SEARCH('PartLib Table'!M62,B56:B423)),"not found")))</f>
        <v>Broachless Blank</v>
      </c>
      <c r="F56" t="str">
        <v>Calc.</v>
      </c>
      <c r="G56" t="str">
        <v>Centered within .001 or Less=Pass</v>
      </c>
      <c r="H56" t="str">
        <v>Cust. Gauge</v>
      </c>
      <c r="I56" t="str">
        <v>Fav. Ang. Align</v>
      </c>
      <c r="J56" t="str">
        <v>Go GaugeFunc.</v>
      </c>
      <c r="K56" t="str">
        <v>Go Pin must pass through</v>
      </c>
      <c r="L56" t="str">
        <v>Go Pin, No Light, at Radius</v>
      </c>
      <c r="M56" t="str">
        <v>Insp. Fixt.</v>
      </c>
      <c r="N56" t="str">
        <v>NA</v>
      </c>
      <c r="O56" t="str">
        <v>No Copper Deposits Allowed</v>
      </c>
      <c r="P56" t="str">
        <v>No Section</v>
      </c>
      <c r="Q56" t="str">
        <v>Profile|.001|A|B| A&lt;-&gt;B C&lt;-&gt;D</v>
      </c>
      <c r="R56" t="str">
        <v>Profile|.005|A|C|</v>
      </c>
      <c r="S56" t="str">
        <v>Profile|.010|A|B|</v>
      </c>
      <c r="T56" t="str">
        <v>Rotate Part</v>
      </c>
      <c r="U56" t="str">
        <v>See Comments Sheet</v>
      </c>
      <c r="V56" t="str">
        <v>See Image</v>
      </c>
      <c r="W56" t="str">
        <v>Sharp Okay, No Burr</v>
      </c>
      <c r="X56" t="str">
        <v>T.S.C.</v>
      </c>
      <c r="Y56" t="str">
        <v>Taper Check</v>
      </c>
      <c r="Z56" t="str">
        <v>Threadless Blank</v>
      </c>
      <c r="AA56" t="str">
        <v>Thru. Hole Present</v>
      </c>
      <c r="AB56" t="str">
        <v>Tot. Runout</v>
      </c>
      <c r="AC56" t="str">
        <v>True. Pos.|Ø.001(M)|A|</v>
      </c>
      <c r="AD56" t="str">
        <v>Turn Ø Free of Mill Marks</v>
      </c>
      <c r="AE56" t="str">
        <v>UNI.</v>
      </c>
    </row>
    <row r="57" spans="1:38">
      <c r="A57" s="31">
        <v>55</v>
      </c>
      <c r="B57" s="114" t="s">
        <v>230</v>
      </c>
      <c r="C57" s="38"/>
      <c r="D57" s="31" t="s">
        <v>229</v>
      </c>
      <c r="E57" s="73" t="str">
        <f t="array" ref="E57:AD57">TRANSPOSE(_xlfn._xlws.SORT(_xlfn._xlws.FILTER(B57:B424,ISNUMBER(SEARCH('PartLib Table'!M63,B57:B424)),"not found")))</f>
        <v>Broachless Blank</v>
      </c>
      <c r="F57" t="str">
        <v>Calc.</v>
      </c>
      <c r="G57" t="str">
        <v>Centered within .001 or Less=Pass</v>
      </c>
      <c r="H57" t="str">
        <v>Cust. Gauge</v>
      </c>
      <c r="I57" t="str">
        <v>Fav. Ang. Align</v>
      </c>
      <c r="J57" t="str">
        <v>Go GaugeFunc.</v>
      </c>
      <c r="K57" t="str">
        <v>Go Pin must pass through</v>
      </c>
      <c r="L57" t="str">
        <v>Go Pin, No Light, at Radius</v>
      </c>
      <c r="M57" t="str">
        <v>Insp. Fixt.</v>
      </c>
      <c r="N57" t="str">
        <v>NA</v>
      </c>
      <c r="O57" t="str">
        <v>No Copper Deposits Allowed</v>
      </c>
      <c r="P57" t="str">
        <v>No Section</v>
      </c>
      <c r="Q57" t="str">
        <v>Profile|.001|A|B| A&lt;-&gt;B C&lt;-&gt;D</v>
      </c>
      <c r="R57" t="str">
        <v>Profile|.005|A|C|</v>
      </c>
      <c r="S57" t="str">
        <v>Profile|.010|A|B|</v>
      </c>
      <c r="T57" t="str">
        <v>Rotate Part</v>
      </c>
      <c r="U57" t="str">
        <v>See Comments Sheet</v>
      </c>
      <c r="V57" t="str">
        <v>See Image</v>
      </c>
      <c r="W57" t="str">
        <v>Sharp Okay, No Burr</v>
      </c>
      <c r="X57" t="str">
        <v>T.S.C.</v>
      </c>
      <c r="Y57" t="str">
        <v>Taper Check</v>
      </c>
      <c r="Z57" t="str">
        <v>Threadless Blank</v>
      </c>
      <c r="AA57" t="str">
        <v>Thru. Hole Present</v>
      </c>
      <c r="AB57" t="str">
        <v>Tot. Runout</v>
      </c>
      <c r="AC57" t="str">
        <v>True. Pos.|Ø.001(M)|A|</v>
      </c>
      <c r="AD57" t="str">
        <v>Turn Ø Free of Mill Marks</v>
      </c>
    </row>
    <row r="58" spans="1:38">
      <c r="A58" s="31">
        <v>56</v>
      </c>
      <c r="B58" s="114" t="s">
        <v>232</v>
      </c>
      <c r="C58" s="38"/>
      <c r="D58" s="31" t="s">
        <v>231</v>
      </c>
      <c r="E58" s="73" t="str">
        <f t="array" ref="E58:AC58">TRANSPOSE(_xlfn._xlws.SORT(_xlfn._xlws.FILTER(B58:B425,ISNUMBER(SEARCH('PartLib Table'!M64,B58:B425)),"not found")))</f>
        <v>Broachless Blank</v>
      </c>
      <c r="F58" t="str">
        <v>Calc.</v>
      </c>
      <c r="G58" t="str">
        <v>Centered within .001 or Less=Pass</v>
      </c>
      <c r="H58" t="str">
        <v>Cust. Gauge</v>
      </c>
      <c r="I58" t="str">
        <v>Fav. Ang. Align</v>
      </c>
      <c r="J58" t="str">
        <v>Go GaugeFunc.</v>
      </c>
      <c r="K58" t="str">
        <v>Go Pin must pass through</v>
      </c>
      <c r="L58" t="str">
        <v>Go Pin, No Light, at Radius</v>
      </c>
      <c r="M58" t="str">
        <v>Insp. Fixt.</v>
      </c>
      <c r="N58" t="str">
        <v>NA</v>
      </c>
      <c r="O58" t="str">
        <v>No Copper Deposits Allowed</v>
      </c>
      <c r="P58" t="str">
        <v>No Section</v>
      </c>
      <c r="Q58" t="str">
        <v>Profile|.001|A|B| A&lt;-&gt;B C&lt;-&gt;D</v>
      </c>
      <c r="R58" t="str">
        <v>Profile|.005|A|C|</v>
      </c>
      <c r="S58" t="str">
        <v>Profile|.010|A|B|</v>
      </c>
      <c r="T58" t="str">
        <v>Rotate Part</v>
      </c>
      <c r="U58" t="str">
        <v>See Comments Sheet</v>
      </c>
      <c r="V58" t="str">
        <v>See Image</v>
      </c>
      <c r="W58" t="str">
        <v>Sharp Okay, No Burr</v>
      </c>
      <c r="X58" t="str">
        <v>T.S.C.</v>
      </c>
      <c r="Y58" t="str">
        <v>Threadless Blank</v>
      </c>
      <c r="Z58" t="str">
        <v>Thru. Hole Present</v>
      </c>
      <c r="AA58" t="str">
        <v>Tot. Runout</v>
      </c>
      <c r="AB58" t="str">
        <v>True. Pos.|Ø.001(M)|A|</v>
      </c>
      <c r="AC58" t="str">
        <v>Turn Ø Free of Mill Marks</v>
      </c>
    </row>
    <row r="59" spans="1:38">
      <c r="A59" s="31">
        <v>57</v>
      </c>
      <c r="B59" s="114" t="s">
        <v>33</v>
      </c>
      <c r="C59" s="38"/>
      <c r="D59" s="31" t="s">
        <v>233</v>
      </c>
      <c r="E59" s="73" t="str">
        <f t="array" ref="E59:AB59">TRANSPOSE(_xlfn._xlws.SORT(_xlfn._xlws.FILTER(B59:B426,ISNUMBER(SEARCH('PartLib Table'!M65,B59:B426)),"not found")))</f>
        <v>Broachless Blank</v>
      </c>
      <c r="F59" t="str">
        <v>Calc.</v>
      </c>
      <c r="G59" t="str">
        <v>Centered within .001 or Less=Pass</v>
      </c>
      <c r="H59" t="str">
        <v>Cust. Gauge</v>
      </c>
      <c r="I59" t="str">
        <v>Fav. Ang. Align</v>
      </c>
      <c r="J59" t="str">
        <v>Go GaugeFunc.</v>
      </c>
      <c r="K59" t="str">
        <v>Go Pin must pass through</v>
      </c>
      <c r="L59" t="str">
        <v>Go Pin, No Light, at Radius</v>
      </c>
      <c r="M59" t="str">
        <v>Insp. Fixt.</v>
      </c>
      <c r="N59" t="str">
        <v>NA</v>
      </c>
      <c r="O59" t="str">
        <v>No Copper Deposits Allowed</v>
      </c>
      <c r="P59" t="str">
        <v>Profile|.001|A|B| A&lt;-&gt;B C&lt;-&gt;D</v>
      </c>
      <c r="Q59" t="str">
        <v>Profile|.005|A|C|</v>
      </c>
      <c r="R59" t="str">
        <v>Profile|.010|A|B|</v>
      </c>
      <c r="S59" t="str">
        <v>Rotate Part</v>
      </c>
      <c r="T59" t="str">
        <v>See Comments Sheet</v>
      </c>
      <c r="U59" t="str">
        <v>See Image</v>
      </c>
      <c r="V59" t="str">
        <v>Sharp Okay, No Burr</v>
      </c>
      <c r="W59" t="str">
        <v>T.S.C.</v>
      </c>
      <c r="X59" t="str">
        <v>Threadless Blank</v>
      </c>
      <c r="Y59" t="str">
        <v>Thru. Hole Present</v>
      </c>
      <c r="Z59" t="str">
        <v>Tot. Runout</v>
      </c>
      <c r="AA59" t="str">
        <v>True. Pos.|Ø.001(M)|A|</v>
      </c>
      <c r="AB59" t="str">
        <v>Turn Ø Free of Mill Marks</v>
      </c>
    </row>
    <row r="60" spans="1:38">
      <c r="A60" s="31">
        <v>58</v>
      </c>
      <c r="B60" s="114" t="s">
        <v>235</v>
      </c>
      <c r="C60" s="38"/>
      <c r="D60" s="31" t="s">
        <v>234</v>
      </c>
      <c r="E60" s="73" t="str">
        <f t="array" ref="E60:AA60">TRANSPOSE(_xlfn._xlws.SORT(_xlfn._xlws.FILTER(B60:B427,ISNUMBER(SEARCH('PartLib Table'!M66,B60:B427)),"not found")))</f>
        <v>Broachless Blank</v>
      </c>
      <c r="F60" t="str">
        <v>Calc.</v>
      </c>
      <c r="G60" t="str">
        <v>Centered within .001 or Less=Pass</v>
      </c>
      <c r="H60" t="str">
        <v>Cust. Gauge</v>
      </c>
      <c r="I60" t="str">
        <v>Fav. Ang. Align</v>
      </c>
      <c r="J60" t="str">
        <v>Go GaugeFunc.</v>
      </c>
      <c r="K60" t="str">
        <v>Go Pin must pass through</v>
      </c>
      <c r="L60" t="str">
        <v>Go Pin, No Light, at Radius</v>
      </c>
      <c r="M60" t="str">
        <v>Insp. Fixt.</v>
      </c>
      <c r="N60" t="str">
        <v>No Copper Deposits Allowed</v>
      </c>
      <c r="O60" t="str">
        <v>Profile|.001|A|B| A&lt;-&gt;B C&lt;-&gt;D</v>
      </c>
      <c r="P60" t="str">
        <v>Profile|.005|A|C|</v>
      </c>
      <c r="Q60" t="str">
        <v>Profile|.010|A|B|</v>
      </c>
      <c r="R60" t="str">
        <v>Rotate Part</v>
      </c>
      <c r="S60" t="str">
        <v>See Comments Sheet</v>
      </c>
      <c r="T60" t="str">
        <v>See Image</v>
      </c>
      <c r="U60" t="str">
        <v>Sharp Okay, No Burr</v>
      </c>
      <c r="V60" t="str">
        <v>T.S.C.</v>
      </c>
      <c r="W60" t="str">
        <v>Threadless Blank</v>
      </c>
      <c r="X60" t="str">
        <v>Thru. Hole Present</v>
      </c>
      <c r="Y60" t="str">
        <v>Tot. Runout</v>
      </c>
      <c r="Z60" t="str">
        <v>True. Pos.|Ø.001(M)|A|</v>
      </c>
      <c r="AA60" t="str">
        <v>Turn Ø Free of Mill Marks</v>
      </c>
    </row>
    <row r="61" spans="1:38" ht="19.5" customHeight="1">
      <c r="A61" s="31">
        <v>59</v>
      </c>
      <c r="B61" s="114" t="s">
        <v>244</v>
      </c>
      <c r="C61" s="38"/>
      <c r="D61" s="31" t="s">
        <v>243</v>
      </c>
      <c r="E61" s="73" t="str">
        <f t="array" ref="E61:Z61">TRANSPOSE(_xlfn._xlws.SORT(_xlfn._xlws.FILTER(B61:B428,ISNUMBER(SEARCH('PartLib Table'!M67,B61:B428)),"not found")))</f>
        <v>Broachless Blank</v>
      </c>
      <c r="F61" t="str">
        <v>Calc.</v>
      </c>
      <c r="G61" t="str">
        <v>Centered within .001 or Less=Pass</v>
      </c>
      <c r="H61" t="str">
        <v>Cust. Gauge</v>
      </c>
      <c r="I61" t="str">
        <v>Fav. Ang. Align</v>
      </c>
      <c r="J61" t="str">
        <v>Go GaugeFunc.</v>
      </c>
      <c r="K61" t="str">
        <v>Go Pin must pass through</v>
      </c>
      <c r="L61" t="str">
        <v>Go Pin, No Light, at Radius</v>
      </c>
      <c r="M61" t="str">
        <v>Insp. Fixt.</v>
      </c>
      <c r="N61" t="str">
        <v>No Copper Deposits Allowed</v>
      </c>
      <c r="O61" t="str">
        <v>Profile|.001|A|B| A&lt;-&gt;B C&lt;-&gt;D</v>
      </c>
      <c r="P61" t="str">
        <v>Profile|.005|A|C|</v>
      </c>
      <c r="Q61" t="str">
        <v>Rotate Part</v>
      </c>
      <c r="R61" t="str">
        <v>See Comments Sheet</v>
      </c>
      <c r="S61" t="str">
        <v>See Image</v>
      </c>
      <c r="T61" t="str">
        <v>Sharp Okay, No Burr</v>
      </c>
      <c r="U61" t="str">
        <v>T.S.C.</v>
      </c>
      <c r="V61" t="str">
        <v>Threadless Blank</v>
      </c>
      <c r="W61" t="str">
        <v>Thru. Hole Present</v>
      </c>
      <c r="X61" t="str">
        <v>Tot. Runout</v>
      </c>
      <c r="Y61" t="str">
        <v>True. Pos.|Ø.001(M)|A|</v>
      </c>
      <c r="Z61" t="str">
        <v>Turn Ø Free of Mill Marks</v>
      </c>
    </row>
    <row r="62" spans="1:38">
      <c r="A62" s="31">
        <v>60</v>
      </c>
      <c r="B62" s="114" t="s">
        <v>246</v>
      </c>
      <c r="C62" s="38"/>
      <c r="D62" s="31" t="s">
        <v>245</v>
      </c>
      <c r="E62" s="73" t="str">
        <f t="array" ref="E62:Y62">TRANSPOSE(_xlfn._xlws.SORT(_xlfn._xlws.FILTER(B62:B429,ISNUMBER(SEARCH('PartLib Table'!M68,B62:B429)),"not found")))</f>
        <v>Broachless Blank</v>
      </c>
      <c r="F62" s="74" t="str">
        <v>Calc.</v>
      </c>
      <c r="G62" t="str">
        <v>Centered within .001 or Less=Pass</v>
      </c>
      <c r="H62" t="str">
        <v>Cust. Gauge</v>
      </c>
      <c r="I62" t="str">
        <v>Fav. Ang. Align</v>
      </c>
      <c r="J62" t="str">
        <v>Go GaugeFunc.</v>
      </c>
      <c r="K62" t="str">
        <v>Go Pin must pass through</v>
      </c>
      <c r="L62" t="str">
        <v>Go Pin, No Light, at Radius</v>
      </c>
      <c r="M62" t="str">
        <v>Insp. Fixt.</v>
      </c>
      <c r="N62" t="str">
        <v>No Copper Deposits Allowed</v>
      </c>
      <c r="O62" t="str">
        <v>Profile|.001|A|B| A&lt;-&gt;B C&lt;-&gt;D</v>
      </c>
      <c r="P62" t="str">
        <v>Profile|.005|A|C|</v>
      </c>
      <c r="Q62" t="str">
        <v>Rotate Part</v>
      </c>
      <c r="R62" t="str">
        <v>See Comments Sheet</v>
      </c>
      <c r="S62" t="str">
        <v>See Image</v>
      </c>
      <c r="T62" t="str">
        <v>Sharp Okay, No Burr</v>
      </c>
      <c r="U62" t="str">
        <v>T.S.C.</v>
      </c>
      <c r="V62" t="str">
        <v>Threadless Blank</v>
      </c>
      <c r="W62" t="str">
        <v>Thru. Hole Present</v>
      </c>
      <c r="X62" t="str">
        <v>Tot. Runout</v>
      </c>
      <c r="Y62" t="str">
        <v>Turn Ø Free of Mill Marks</v>
      </c>
    </row>
    <row r="63" spans="1:38">
      <c r="A63" s="31">
        <v>61</v>
      </c>
      <c r="B63" s="114" t="s">
        <v>247</v>
      </c>
      <c r="C63" s="38"/>
      <c r="D63" s="31" t="s">
        <v>249</v>
      </c>
      <c r="E63" s="73" t="str">
        <f t="array" ref="E63:X63">TRANSPOSE(_xlfn._xlws.SORT(_xlfn._xlws.FILTER(B63:B430,ISNUMBER(SEARCH('PartLib Table'!M69,B63:B430)),"not found")))</f>
        <v>Broachless Blank</v>
      </c>
      <c r="F63" t="str">
        <v>Calc.</v>
      </c>
      <c r="G63" t="str">
        <v>Centered within .001 or Less=Pass</v>
      </c>
      <c r="H63" t="str">
        <v>Cust. Gauge</v>
      </c>
      <c r="I63" t="str">
        <v>Fav. Ang. Align</v>
      </c>
      <c r="J63" t="str">
        <v>Go GaugeFunc.</v>
      </c>
      <c r="K63" t="str">
        <v>Go Pin must pass through</v>
      </c>
      <c r="L63" t="str">
        <v>Go Pin, No Light, at Radius</v>
      </c>
      <c r="M63" t="str">
        <v>Insp. Fixt.</v>
      </c>
      <c r="N63" t="str">
        <v>No Copper Deposits Allowed</v>
      </c>
      <c r="O63" t="str">
        <v>Profile|.001|A|B| A&lt;-&gt;B C&lt;-&gt;D</v>
      </c>
      <c r="P63" t="str">
        <v>Rotate Part</v>
      </c>
      <c r="Q63" t="str">
        <v>See Comments Sheet</v>
      </c>
      <c r="R63" t="str">
        <v>See Image</v>
      </c>
      <c r="S63" t="str">
        <v>Sharp Okay, No Burr</v>
      </c>
      <c r="T63" t="str">
        <v>T.S.C.</v>
      </c>
      <c r="U63" t="str">
        <v>Threadless Blank</v>
      </c>
      <c r="V63" t="str">
        <v>Thru. Hole Present</v>
      </c>
      <c r="W63" t="str">
        <v>Tot. Runout</v>
      </c>
      <c r="X63" t="str">
        <v>Turn Ø Free of Mill Marks</v>
      </c>
    </row>
    <row r="64" spans="1:38" ht="15.6" customHeight="1">
      <c r="A64" s="31">
        <v>62</v>
      </c>
      <c r="B64" s="114" t="s">
        <v>182</v>
      </c>
      <c r="C64" s="38"/>
      <c r="D64" s="31" t="s">
        <v>248</v>
      </c>
      <c r="E64" s="73" t="str">
        <f t="array" ref="E64:W64">TRANSPOSE(_xlfn._xlws.SORT(_xlfn._xlws.FILTER(B64:B431,ISNUMBER(SEARCH('PartLib Table'!M70,B64:B431)),"not found")))</f>
        <v>Broachless Blank</v>
      </c>
      <c r="F64" t="str">
        <v>Calc.</v>
      </c>
      <c r="G64" t="str">
        <v>Centered within .001 or Less=Pass</v>
      </c>
      <c r="H64" t="str">
        <v>Cust. Gauge</v>
      </c>
      <c r="I64" t="str">
        <v>Fav. Ang. Align</v>
      </c>
      <c r="J64" t="str">
        <v>Go GaugeFunc.</v>
      </c>
      <c r="K64" t="str">
        <v>Go Pin must pass through</v>
      </c>
      <c r="L64" t="str">
        <v>Go Pin, No Light, at Radius</v>
      </c>
      <c r="M64" t="str">
        <v>Insp. Fixt.</v>
      </c>
      <c r="N64" t="str">
        <v>No Copper Deposits Allowed</v>
      </c>
      <c r="O64" t="str">
        <v>Rotate Part</v>
      </c>
      <c r="P64" t="str">
        <v>See Comments Sheet</v>
      </c>
      <c r="Q64" t="str">
        <v>See Image</v>
      </c>
      <c r="R64" t="str">
        <v>Sharp Okay, No Burr</v>
      </c>
      <c r="S64" t="str">
        <v>T.S.C.</v>
      </c>
      <c r="T64" t="str">
        <v>Threadless Blank</v>
      </c>
      <c r="U64" t="str">
        <v>Thru. Hole Present</v>
      </c>
      <c r="V64" t="str">
        <v>Tot. Runout</v>
      </c>
      <c r="W64" t="str">
        <v>Turn Ø Free of Mill Marks</v>
      </c>
    </row>
    <row r="65" spans="1:22">
      <c r="A65" s="31">
        <v>63</v>
      </c>
      <c r="B65" s="114" t="s">
        <v>251</v>
      </c>
      <c r="D65" s="31" t="s">
        <v>252</v>
      </c>
      <c r="E65" s="73" t="str">
        <f t="array" ref="E65:V65">TRANSPOSE(_xlfn._xlws.SORT(_xlfn._xlws.FILTER(B65:B432,ISNUMBER(SEARCH('PartLib Table'!M71,B65:B432)),"not found")))</f>
        <v>Broachless Blank</v>
      </c>
      <c r="F65" t="str">
        <v>Calc.</v>
      </c>
      <c r="G65" t="str">
        <v>Centered within .001 or Less=Pass</v>
      </c>
      <c r="H65" t="str">
        <v>Cust. Gauge</v>
      </c>
      <c r="I65" t="str">
        <v>Fav. Ang. Align</v>
      </c>
      <c r="J65" t="str">
        <v>Go GaugeFunc.</v>
      </c>
      <c r="K65" t="str">
        <v>Go Pin must pass through</v>
      </c>
      <c r="L65" t="str">
        <v>Go Pin, No Light, at Radius</v>
      </c>
      <c r="M65" t="str">
        <v>Insp. Fixt.</v>
      </c>
      <c r="N65" t="str">
        <v>No Copper Deposits Allowed</v>
      </c>
      <c r="O65" t="str">
        <v>Rotate Part</v>
      </c>
      <c r="P65" t="str">
        <v>See Comments Sheet</v>
      </c>
      <c r="Q65" t="str">
        <v>Sharp Okay, No Burr</v>
      </c>
      <c r="R65" t="str">
        <v>T.S.C.</v>
      </c>
      <c r="S65" t="str">
        <v>Threadless Blank</v>
      </c>
      <c r="T65" t="str">
        <v>Thru. Hole Present</v>
      </c>
      <c r="U65" t="str">
        <v>Tot. Runout</v>
      </c>
      <c r="V65" t="str">
        <v>Turn Ø Free of Mill Marks</v>
      </c>
    </row>
    <row r="66" spans="1:22">
      <c r="A66" s="31">
        <v>64</v>
      </c>
      <c r="B66" s="114" t="s">
        <v>259</v>
      </c>
      <c r="C66" s="38"/>
      <c r="D66" s="31" t="s">
        <v>260</v>
      </c>
      <c r="E66" s="73" t="str">
        <f t="array" ref="E66:U66">TRANSPOSE(_xlfn._xlws.SORT(_xlfn._xlws.FILTER(B66:B433,ISNUMBER(SEARCH('PartLib Table'!M72,B66:B433)),"not found")))</f>
        <v>Broachless Blank</v>
      </c>
      <c r="F66" t="str">
        <v>Calc.</v>
      </c>
      <c r="G66" t="str">
        <v>Centered within .001 or Less=Pass</v>
      </c>
      <c r="H66" t="str">
        <v>Cust. Gauge</v>
      </c>
      <c r="I66" t="str">
        <v>Fav. Ang. Align</v>
      </c>
      <c r="J66" t="str">
        <v>Go GaugeFunc.</v>
      </c>
      <c r="K66" t="str">
        <v>Go Pin must pass through</v>
      </c>
      <c r="L66" t="str">
        <v>Go Pin, No Light, at Radius</v>
      </c>
      <c r="M66" t="str">
        <v>Insp. Fixt.</v>
      </c>
      <c r="N66" t="str">
        <v>No Copper Deposits Allowed</v>
      </c>
      <c r="O66" t="str">
        <v>Rotate Part</v>
      </c>
      <c r="P66" t="str">
        <v>See Comments Sheet</v>
      </c>
      <c r="Q66" t="str">
        <v>Sharp Okay, No Burr</v>
      </c>
      <c r="R66" t="str">
        <v>T.S.C.</v>
      </c>
      <c r="S66" t="str">
        <v>Thru. Hole Present</v>
      </c>
      <c r="T66" t="str">
        <v>Tot. Runout</v>
      </c>
      <c r="U66" t="str">
        <v>Turn Ø Free of Mill Marks</v>
      </c>
    </row>
    <row r="67" spans="1:22">
      <c r="A67" s="31">
        <v>65</v>
      </c>
      <c r="B67" s="114" t="s">
        <v>262</v>
      </c>
      <c r="C67" s="38"/>
      <c r="D67" s="31" t="s">
        <v>261</v>
      </c>
      <c r="E67" s="73" t="str">
        <f t="array" ref="E67:T67">TRANSPOSE(_xlfn._xlws.SORT(_xlfn._xlws.FILTER(B67:B434,ISNUMBER(SEARCH('PartLib Table'!M73,B67:B434)),"not found")))</f>
        <v>Broachless Blank</v>
      </c>
      <c r="F67" t="str">
        <v>Calc.</v>
      </c>
      <c r="G67" t="str">
        <v>Centered within .001 or Less=Pass</v>
      </c>
      <c r="H67" t="str">
        <v>Fav. Ang. Align</v>
      </c>
      <c r="I67" t="str">
        <v>Go GaugeFunc.</v>
      </c>
      <c r="J67" t="str">
        <v>Go Pin must pass through</v>
      </c>
      <c r="K67" t="str">
        <v>Go Pin, No Light, at Radius</v>
      </c>
      <c r="L67" t="str">
        <v>Insp. Fixt.</v>
      </c>
      <c r="M67" t="str">
        <v>No Copper Deposits Allowed</v>
      </c>
      <c r="N67" t="str">
        <v>Rotate Part</v>
      </c>
      <c r="O67" t="str">
        <v>See Comments Sheet</v>
      </c>
      <c r="P67" t="str">
        <v>Sharp Okay, No Burr</v>
      </c>
      <c r="Q67" t="str">
        <v>T.S.C.</v>
      </c>
      <c r="R67" t="str">
        <v>Thru. Hole Present</v>
      </c>
      <c r="S67" t="str">
        <v>Tot. Runout</v>
      </c>
      <c r="T67" t="str">
        <v>Turn Ø Free of Mill Marks</v>
      </c>
    </row>
    <row r="68" spans="1:22">
      <c r="A68" s="31">
        <v>66</v>
      </c>
      <c r="B68" s="114" t="s">
        <v>263</v>
      </c>
      <c r="C68" s="38"/>
      <c r="D68" s="31" t="s">
        <v>264</v>
      </c>
      <c r="E68" s="73" t="str">
        <f t="array" ref="E68:S68">TRANSPOSE(_xlfn._xlws.SORT(_xlfn._xlws.FILTER(B68:B435,ISNUMBER(SEARCH('PartLib Table'!M74,B68:B435)),"not found")))</f>
        <v>Broachless Blank</v>
      </c>
      <c r="F68" t="str">
        <v>Calc.</v>
      </c>
      <c r="G68" t="str">
        <v>Fav. Ang. Align</v>
      </c>
      <c r="H68" t="str">
        <v>Go GaugeFunc.</v>
      </c>
      <c r="I68" t="str">
        <v>Go Pin must pass through</v>
      </c>
      <c r="J68" t="str">
        <v>Go Pin, No Light, at Radius</v>
      </c>
      <c r="K68" t="str">
        <v>Insp. Fixt.</v>
      </c>
      <c r="L68" t="str">
        <v>No Copper Deposits Allowed</v>
      </c>
      <c r="M68" t="str">
        <v>Rotate Part</v>
      </c>
      <c r="N68" t="str">
        <v>See Comments Sheet</v>
      </c>
      <c r="O68" t="str">
        <v>Sharp Okay, No Burr</v>
      </c>
      <c r="P68" t="str">
        <v>T.S.C.</v>
      </c>
      <c r="Q68" t="str">
        <v>Thru. Hole Present</v>
      </c>
      <c r="R68" t="str">
        <v>Tot. Runout</v>
      </c>
      <c r="S68" t="str">
        <v>Turn Ø Free of Mill Marks</v>
      </c>
    </row>
    <row r="69" spans="1:22">
      <c r="A69" s="31">
        <v>67</v>
      </c>
      <c r="B69" s="114" t="s">
        <v>265</v>
      </c>
      <c r="C69" s="38"/>
      <c r="D69" s="31" t="s">
        <v>266</v>
      </c>
      <c r="E69" s="73" t="str">
        <f t="array" ref="E69:R69">TRANSPOSE(_xlfn._xlws.SORT(_xlfn._xlws.FILTER(B69:B436,ISNUMBER(SEARCH('PartLib Table'!M75,B69:B436)),"not found")))</f>
        <v>Broachless Blank</v>
      </c>
      <c r="F69" t="str">
        <v>Calc.</v>
      </c>
      <c r="G69" t="str">
        <v>Fav. Ang. Align</v>
      </c>
      <c r="H69" t="str">
        <v>Go GaugeFunc.</v>
      </c>
      <c r="I69" t="str">
        <v>Go Pin must pass through</v>
      </c>
      <c r="J69" t="str">
        <v>Go Pin, No Light, at Radius</v>
      </c>
      <c r="K69" t="str">
        <v>No Copper Deposits Allowed</v>
      </c>
      <c r="L69" t="str">
        <v>Rotate Part</v>
      </c>
      <c r="M69" t="str">
        <v>See Comments Sheet</v>
      </c>
      <c r="N69" t="str">
        <v>Sharp Okay, No Burr</v>
      </c>
      <c r="O69" t="str">
        <v>T.S.C.</v>
      </c>
      <c r="P69" t="str">
        <v>Thru. Hole Present</v>
      </c>
      <c r="Q69" t="str">
        <v>Tot. Runout</v>
      </c>
      <c r="R69" t="str">
        <v>Turn Ø Free of Mill Marks</v>
      </c>
    </row>
    <row r="70" spans="1:22">
      <c r="A70" s="31">
        <v>68</v>
      </c>
      <c r="B70" s="114" t="s">
        <v>269</v>
      </c>
      <c r="C70" s="38"/>
      <c r="D70" s="31" t="s">
        <v>268</v>
      </c>
      <c r="E70" s="73" t="str">
        <f t="array" ref="E70:Q70">TRANSPOSE(_xlfn._xlws.SORT(_xlfn._xlws.FILTER(B70:B437,ISNUMBER(SEARCH('PartLib Table'!M76,B70:B437)),"not found")))</f>
        <v>Broachless Blank</v>
      </c>
      <c r="F70" t="str">
        <v>Fav. Ang. Align</v>
      </c>
      <c r="G70" t="str">
        <v>Go GaugeFunc.</v>
      </c>
      <c r="H70" t="str">
        <v>Go Pin must pass through</v>
      </c>
      <c r="I70" t="str">
        <v>Go Pin, No Light, at Radius</v>
      </c>
      <c r="J70" t="str">
        <v>No Copper Deposits Allowed</v>
      </c>
      <c r="K70" t="str">
        <v>Rotate Part</v>
      </c>
      <c r="L70" t="str">
        <v>See Comments Sheet</v>
      </c>
      <c r="M70" t="str">
        <v>Sharp Okay, No Burr</v>
      </c>
      <c r="N70" t="str">
        <v>T.S.C.</v>
      </c>
      <c r="O70" t="str">
        <v>Thru. Hole Present</v>
      </c>
      <c r="P70" t="str">
        <v>Tot. Runout</v>
      </c>
      <c r="Q70" t="str">
        <v>Turn Ø Free of Mill Marks</v>
      </c>
    </row>
    <row r="71" spans="1:22">
      <c r="A71" s="31">
        <v>69</v>
      </c>
      <c r="B71" s="115" t="s">
        <v>270</v>
      </c>
      <c r="D71" s="37" t="s">
        <v>271</v>
      </c>
      <c r="E71" s="73" t="str">
        <f t="array" ref="E71:P71">TRANSPOSE(_xlfn._xlws.SORT(_xlfn._xlws.FILTER(B71:B438,ISNUMBER(SEARCH('PartLib Table'!M77,B71:B438)),"not found")))</f>
        <v>Broachless Blank</v>
      </c>
      <c r="F71" t="str">
        <v>Fav. Ang. Align</v>
      </c>
      <c r="G71" t="str">
        <v>Go GaugeFunc.</v>
      </c>
      <c r="H71" t="str">
        <v>Go Pin must pass through</v>
      </c>
      <c r="I71" t="str">
        <v>Go Pin, No Light, at Radius</v>
      </c>
      <c r="J71" t="str">
        <v>No Copper Deposits Allowed</v>
      </c>
      <c r="K71" t="str">
        <v>Rotate Part</v>
      </c>
      <c r="L71" t="str">
        <v>See Comments Sheet</v>
      </c>
      <c r="M71" t="str">
        <v>Sharp Okay, No Burr</v>
      </c>
      <c r="N71" t="str">
        <v>T.S.C.</v>
      </c>
      <c r="O71" t="str">
        <v>Thru. Hole Present</v>
      </c>
      <c r="P71" t="str">
        <v>Turn Ø Free of Mill Marks</v>
      </c>
    </row>
    <row r="72" spans="1:22">
      <c r="A72" s="31">
        <v>70</v>
      </c>
      <c r="B72" s="114" t="s">
        <v>272</v>
      </c>
      <c r="C72" s="38"/>
      <c r="D72" s="31" t="s">
        <v>273</v>
      </c>
      <c r="E72" s="73" t="str">
        <f t="array" ref="E72:O72">TRANSPOSE(_xlfn._xlws.SORT(_xlfn._xlws.FILTER(B72:B439,ISNUMBER(SEARCH('PartLib Table'!M78,B72:B439)),"not found")))</f>
        <v>Broachless Blank</v>
      </c>
      <c r="F72" t="str">
        <v>Fav. Ang. Align</v>
      </c>
      <c r="G72" t="str">
        <v>Go GaugeFunc.</v>
      </c>
      <c r="H72" t="str">
        <v>Go Pin must pass through</v>
      </c>
      <c r="I72" t="str">
        <v>Go Pin, No Light, at Radius</v>
      </c>
      <c r="J72" t="str">
        <v>No Copper Deposits Allowed</v>
      </c>
      <c r="K72" t="str">
        <v>Rotate Part</v>
      </c>
      <c r="L72" t="str">
        <v>See Comments Sheet</v>
      </c>
      <c r="M72" t="str">
        <v>T.S.C.</v>
      </c>
      <c r="N72" t="str">
        <v>Thru. Hole Present</v>
      </c>
      <c r="O72" t="str">
        <v>Turn Ø Free of Mill Marks</v>
      </c>
    </row>
    <row r="73" spans="1:22">
      <c r="A73" s="31">
        <v>71</v>
      </c>
      <c r="B73" s="116" t="s">
        <v>275</v>
      </c>
      <c r="D73" s="78" t="s">
        <v>274</v>
      </c>
      <c r="E73" s="73" t="str">
        <f t="array" ref="E73:N73">TRANSPOSE(_xlfn._xlws.SORT(_xlfn._xlws.FILTER(B73:B440,ISNUMBER(SEARCH('PartLib Table'!M79,B73:B440)),"not found")))</f>
        <v>Broachless Blank</v>
      </c>
      <c r="F73" t="str">
        <v>Fav. Ang. Align</v>
      </c>
      <c r="G73" t="str">
        <v>Go GaugeFunc.</v>
      </c>
      <c r="H73" t="str">
        <v>Go Pin must pass through</v>
      </c>
      <c r="I73" t="str">
        <v>Go Pin, No Light, at Radius</v>
      </c>
      <c r="J73" t="str">
        <v>No Copper Deposits Allowed</v>
      </c>
      <c r="K73" t="str">
        <v>Rotate Part</v>
      </c>
      <c r="L73" t="str">
        <v>See Comments Sheet</v>
      </c>
      <c r="M73" t="str">
        <v>Thru. Hole Present</v>
      </c>
      <c r="N73" t="str">
        <v>Turn Ø Free of Mill Marks</v>
      </c>
    </row>
    <row r="74" spans="1:22">
      <c r="A74" s="31">
        <v>72</v>
      </c>
      <c r="B74" s="114" t="s">
        <v>277</v>
      </c>
      <c r="D74" s="31" t="s">
        <v>276</v>
      </c>
      <c r="E74" s="73" t="str">
        <f t="array" ref="E74:M74">TRANSPOSE(_xlfn._xlws.SORT(_xlfn._xlws.FILTER(B74:B441,ISNUMBER(SEARCH('PartLib Table'!M80,B74:B441)),"not found")))</f>
        <v>Fav. Ang. Align</v>
      </c>
      <c r="F74" t="str">
        <v>Go GaugeFunc.</v>
      </c>
      <c r="G74" t="str">
        <v>Go Pin must pass through</v>
      </c>
      <c r="H74" t="str">
        <v>Go Pin, No Light, at Radius</v>
      </c>
      <c r="I74" t="str">
        <v>No Copper Deposits Allowed</v>
      </c>
      <c r="J74" t="str">
        <v>Rotate Part</v>
      </c>
      <c r="K74" t="str">
        <v>See Comments Sheet</v>
      </c>
      <c r="L74" t="str">
        <v>Thru. Hole Present</v>
      </c>
      <c r="M74" t="str">
        <v>Turn Ø Free of Mill Marks</v>
      </c>
    </row>
    <row r="75" spans="1:22">
      <c r="A75" s="31">
        <v>73</v>
      </c>
      <c r="B75" s="114" t="s">
        <v>279</v>
      </c>
      <c r="D75" s="31" t="s">
        <v>278</v>
      </c>
      <c r="E75" s="73" t="str">
        <f t="array" ref="E75:L75">TRANSPOSE(_xlfn._xlws.SORT(_xlfn._xlws.FILTER(B75:B442,ISNUMBER(SEARCH('PartLib Table'!M81,B75:B442)),"not found")))</f>
        <v>Fav. Ang. Align</v>
      </c>
      <c r="F75" t="str">
        <v>Go GaugeFunc.</v>
      </c>
      <c r="G75" t="str">
        <v>Go Pin must pass through</v>
      </c>
      <c r="H75" t="str">
        <v>Go Pin, No Light, at Radius</v>
      </c>
      <c r="I75" t="str">
        <v>No Copper Deposits Allowed</v>
      </c>
      <c r="J75" t="str">
        <v>Rotate Part</v>
      </c>
      <c r="K75" t="str">
        <v>See Comments Sheet</v>
      </c>
      <c r="L75" t="str">
        <v>Thru. Hole Present</v>
      </c>
    </row>
    <row r="76" spans="1:22">
      <c r="A76" s="31">
        <v>74</v>
      </c>
      <c r="B76" s="114" t="s">
        <v>325</v>
      </c>
      <c r="D76" s="31" t="s">
        <v>282</v>
      </c>
      <c r="E76" s="73" t="str">
        <f t="array" ref="E76:K76">TRANSPOSE(_xlfn._xlws.SORT(_xlfn._xlws.FILTER(B76:B443,ISNUMBER(SEARCH('PartLib Table'!M82,B76:B443)),"not found")))</f>
        <v>Fav. Ang. Align</v>
      </c>
      <c r="F76" t="str">
        <v>Go GaugeFunc.</v>
      </c>
      <c r="G76" t="str">
        <v>Go Pin must pass through</v>
      </c>
      <c r="H76" t="str">
        <v>Go Pin, No Light, at Radius</v>
      </c>
      <c r="I76" t="str">
        <v>No Copper Deposits Allowed</v>
      </c>
      <c r="J76" t="str">
        <v>Rotate Part</v>
      </c>
      <c r="K76" t="str">
        <v>Thru. Hole Present</v>
      </c>
    </row>
    <row r="77" spans="1:22">
      <c r="A77" s="31">
        <v>75</v>
      </c>
      <c r="B77" s="114" t="s">
        <v>284</v>
      </c>
      <c r="D77" s="31" t="s">
        <v>283</v>
      </c>
      <c r="E77" s="73" t="str">
        <f t="array" ref="E77:J77">TRANSPOSE(_xlfn._xlws.SORT(_xlfn._xlws.FILTER(B77:B444,ISNUMBER(SEARCH('PartLib Table'!M83,B77:B444)),"not found")))</f>
        <v>Fav. Ang. Align</v>
      </c>
      <c r="F77" t="str">
        <v>Go Pin must pass through</v>
      </c>
      <c r="G77" t="str">
        <v>Go Pin, No Light, at Radius</v>
      </c>
      <c r="H77" t="str">
        <v>No Copper Deposits Allowed</v>
      </c>
      <c r="I77" t="str">
        <v>Rotate Part</v>
      </c>
      <c r="J77" t="str">
        <v>Thru. Hole Present</v>
      </c>
    </row>
    <row r="78" spans="1:22">
      <c r="A78" s="31">
        <v>76</v>
      </c>
      <c r="B78" s="114" t="s">
        <v>326</v>
      </c>
      <c r="D78" s="31" t="s">
        <v>289</v>
      </c>
      <c r="E78" s="73" t="str">
        <f t="array" ref="E78:I78">TRANSPOSE(_xlfn._xlws.SORT(_xlfn._xlws.FILTER(B78:B445,ISNUMBER(SEARCH('PartLib Table'!M84,B78:B445)),"not found")))</f>
        <v>Go Pin must pass through</v>
      </c>
      <c r="F78" t="str">
        <v>Go Pin, No Light, at Radius</v>
      </c>
      <c r="G78" t="str">
        <v>No Copper Deposits Allowed</v>
      </c>
      <c r="H78" t="str">
        <v>Rotate Part</v>
      </c>
      <c r="I78" t="str">
        <v>Thru. Hole Present</v>
      </c>
    </row>
    <row r="79" spans="1:22">
      <c r="A79" s="103">
        <v>77</v>
      </c>
      <c r="B79" s="114" t="s">
        <v>292</v>
      </c>
      <c r="D79" s="31" t="s">
        <v>291</v>
      </c>
      <c r="E79" s="73" t="str">
        <f t="array" ref="E79:H79">TRANSPOSE(_xlfn._xlws.SORT(_xlfn._xlws.FILTER(B79:B446,ISNUMBER(SEARCH('PartLib Table'!M85,B79:B446)),"not found")))</f>
        <v>Go Pin must pass through</v>
      </c>
      <c r="F79" t="str">
        <v>Go Pin, No Light, at Radius</v>
      </c>
      <c r="G79" t="str">
        <v>No Copper Deposits Allowed</v>
      </c>
      <c r="H79" t="str">
        <v>Rotate Part</v>
      </c>
    </row>
    <row r="80" spans="1:22">
      <c r="A80" s="103">
        <v>78</v>
      </c>
      <c r="B80" s="114" t="s">
        <v>294</v>
      </c>
      <c r="D80" s="31" t="s">
        <v>293</v>
      </c>
      <c r="E80" s="73" t="str">
        <f t="array" ref="E80:G80">TRANSPOSE(_xlfn._xlws.SORT(_xlfn._xlws.FILTER(B80:B447,ISNUMBER(SEARCH('PartLib Table'!M86,B80:B447)),"not found")))</f>
        <v>Go Pin must pass through</v>
      </c>
      <c r="F80" t="str">
        <v>Go Pin, No Light, at Radius</v>
      </c>
      <c r="G80" t="str">
        <v>Rotate Part</v>
      </c>
    </row>
    <row r="81" spans="1:6">
      <c r="A81" s="103">
        <v>79</v>
      </c>
      <c r="B81" s="114" t="s">
        <v>297</v>
      </c>
      <c r="D81" s="31" t="s">
        <v>296</v>
      </c>
      <c r="E81" s="73" t="str">
        <f t="array" ref="E81:F81">TRANSPOSE(_xlfn._xlws.SORT(_xlfn._xlws.FILTER(B81:B448,ISNUMBER(SEARCH('PartLib Table'!M87,B81:B448)),"not found")))</f>
        <v>Go Pin must pass through</v>
      </c>
      <c r="F81" t="str">
        <v>Go Pin, No Light, at Radius</v>
      </c>
    </row>
    <row r="82" spans="1:6">
      <c r="A82" s="103">
        <v>80</v>
      </c>
      <c r="B82" s="115" t="s">
        <v>314</v>
      </c>
      <c r="D82" s="31" t="s">
        <v>313</v>
      </c>
      <c r="E82" s="73" t="str">
        <f t="array" ref="E82">TRANSPOSE(_xlfn._xlws.SORT(_xlfn._xlws.FILTER(B82:B449,ISNUMBER(SEARCH('PartLib Table'!M88,B82:B449)),"not found")))</f>
        <v>Go Pin must pass through</v>
      </c>
    </row>
    <row r="83" spans="1:6">
      <c r="B83" s="115"/>
      <c r="D83" s="31"/>
      <c r="E83" s="73" t="str">
        <f t="array" ref="E83">TRANSPOSE(_xlfn._xlws.SORT(_xlfn._xlws.FILTER(B83:B450,ISNUMBER(SEARCH('PartLib Table'!M89,B83:B450)),"not found")))</f>
        <v>not found</v>
      </c>
    </row>
    <row r="84" spans="1:6">
      <c r="B84" s="31"/>
      <c r="D84" s="31"/>
      <c r="E84" s="73" t="str">
        <f t="array" ref="E84">TRANSPOSE(_xlfn._xlws.SORT(_xlfn._xlws.FILTER(B84:B451,ISNUMBER(SEARCH('PartLib Table'!M90,B84:B451)),"not found")))</f>
        <v>not found</v>
      </c>
    </row>
    <row r="85" spans="1:6">
      <c r="B85" s="31"/>
      <c r="D85" s="31"/>
      <c r="E85" s="73" t="str">
        <f t="array" ref="E85">TRANSPOSE(_xlfn._xlws.SORT(_xlfn._xlws.FILTER(B85:B452,ISNUMBER(SEARCH('PartLib Table'!M91,B85:B452)),"not found")))</f>
        <v>not found</v>
      </c>
    </row>
    <row r="86" spans="1:6">
      <c r="B86" s="31"/>
      <c r="D86" s="31"/>
      <c r="E86" s="73" t="str">
        <f t="array" ref="E86">TRANSPOSE(_xlfn._xlws.SORT(_xlfn._xlws.FILTER(B86:B453,ISNUMBER(SEARCH('PartLib Table'!M92,B86:B453)),"not found")))</f>
        <v>not found</v>
      </c>
    </row>
    <row r="87" spans="1:6">
      <c r="B87" s="31"/>
      <c r="D87" s="31"/>
      <c r="E87" s="73" t="str">
        <f t="array" ref="E87">TRANSPOSE(_xlfn._xlws.SORT(_xlfn._xlws.FILTER(B87:B454,ISNUMBER(SEARCH('PartLib Table'!M93,B87:B454)),"not found")))</f>
        <v>not found</v>
      </c>
    </row>
    <row r="88" spans="1:6">
      <c r="B88" s="31"/>
      <c r="D88" s="31"/>
      <c r="E88" s="73" t="str">
        <f t="array" ref="E88">TRANSPOSE(_xlfn._xlws.SORT(_xlfn._xlws.FILTER(B88:B455,ISNUMBER(SEARCH('PartLib Table'!M94,B88:B455)),"not found")))</f>
        <v>not found</v>
      </c>
    </row>
    <row r="89" spans="1:6">
      <c r="B89" s="31"/>
      <c r="D89" s="31"/>
      <c r="E89" s="73" t="str">
        <f t="array" ref="E89">TRANSPOSE(_xlfn._xlws.SORT(_xlfn._xlws.FILTER(B89:B456,ISNUMBER(SEARCH('PartLib Table'!M95,B89:B456)),"not found")))</f>
        <v>not found</v>
      </c>
    </row>
    <row r="90" spans="1:6">
      <c r="B90" s="31"/>
      <c r="D90" s="31"/>
      <c r="E90" s="73" t="str">
        <f t="array" ref="E90">TRANSPOSE(_xlfn._xlws.SORT(_xlfn._xlws.FILTER(B90:B457,ISNUMBER(SEARCH('PartLib Table'!M96,B90:B457)),"not found")))</f>
        <v>not found</v>
      </c>
    </row>
    <row r="91" spans="1:6">
      <c r="B91" s="31"/>
      <c r="D91" s="31"/>
      <c r="E91" s="73" t="str">
        <f t="array" ref="E91">TRANSPOSE(_xlfn._xlws.SORT(_xlfn._xlws.FILTER(B91:B458,ISNUMBER(SEARCH('PartLib Table'!M97,B91:B458)),"not found")))</f>
        <v>not found</v>
      </c>
    </row>
    <row r="92" spans="1:6">
      <c r="B92" s="31"/>
      <c r="D92" s="31"/>
      <c r="E92" s="73" t="str">
        <f t="array" ref="E92">TRANSPOSE(_xlfn._xlws.SORT(_xlfn._xlws.FILTER(B92:B459,ISNUMBER(SEARCH('PartLib Table'!M98,B92:B459)),"not found")))</f>
        <v>not found</v>
      </c>
    </row>
    <row r="93" spans="1:6">
      <c r="B93" s="31"/>
      <c r="D93" s="31"/>
      <c r="E93" s="73" t="str">
        <f t="array" ref="E93">TRANSPOSE(_xlfn._xlws.SORT(_xlfn._xlws.FILTER(B93:B460,ISNUMBER(SEARCH('PartLib Table'!M99,B93:B460)),"not found")))</f>
        <v>not found</v>
      </c>
    </row>
    <row r="94" spans="1:6">
      <c r="B94" s="31"/>
      <c r="D94" s="31"/>
      <c r="E94" s="73" t="str">
        <f t="array" ref="E94">TRANSPOSE(_xlfn._xlws.SORT(_xlfn._xlws.FILTER(B94:B461,ISNUMBER(SEARCH('PartLib Table'!M100,B94:B461)),"not found")))</f>
        <v>not found</v>
      </c>
    </row>
    <row r="95" spans="1:6">
      <c r="B95" s="31"/>
      <c r="D95" s="31"/>
      <c r="E95" s="73" t="str">
        <f t="array" ref="E95">TRANSPOSE(_xlfn._xlws.SORT(_xlfn._xlws.FILTER(B95:B462,ISNUMBER(SEARCH('PartLib Table'!M101,B95:B462)),"not found")))</f>
        <v>not found</v>
      </c>
    </row>
    <row r="96" spans="1:6">
      <c r="B96" s="31"/>
      <c r="D96" s="31"/>
      <c r="E96" s="73" t="str">
        <f t="array" ref="E96">TRANSPOSE(_xlfn._xlws.SORT(_xlfn._xlws.FILTER(B96:B463,ISNUMBER(SEARCH('PartLib Table'!M102,B96:B463)),"not found")))</f>
        <v>not found</v>
      </c>
    </row>
    <row r="97" spans="2:5">
      <c r="B97" s="31"/>
      <c r="D97" s="31"/>
      <c r="E97" s="73" t="str">
        <f t="array" ref="E97">TRANSPOSE(_xlfn._xlws.SORT(_xlfn._xlws.FILTER(B97:B464,ISNUMBER(SEARCH('PartLib Table'!M103,B97:B464)),"not found")))</f>
        <v>not found</v>
      </c>
    </row>
    <row r="98" spans="2:5">
      <c r="B98" s="31"/>
      <c r="D98" s="31"/>
      <c r="E98" s="73" t="str">
        <f t="array" ref="E98">TRANSPOSE(_xlfn._xlws.SORT(_xlfn._xlws.FILTER(B98:B465,ISNUMBER(SEARCH('PartLib Table'!M104,B98:B465)),"not found")))</f>
        <v>not found</v>
      </c>
    </row>
    <row r="99" spans="2:5">
      <c r="B99" s="31"/>
      <c r="D99" s="31"/>
      <c r="E99" s="73" t="str">
        <f t="array" ref="E99">TRANSPOSE(_xlfn._xlws.SORT(_xlfn._xlws.FILTER(B99:B466,ISNUMBER(SEARCH('PartLib Table'!M105,B99:B466)),"not found")))</f>
        <v>not found</v>
      </c>
    </row>
    <row r="100" spans="2:5">
      <c r="B100" s="31"/>
      <c r="D100" s="31"/>
      <c r="E100" s="73" t="str">
        <f t="array" ref="E100">TRANSPOSE(_xlfn._xlws.SORT(_xlfn._xlws.FILTER(B100:B467,ISNUMBER(SEARCH('PartLib Table'!M106,B100:B467)),"not found")))</f>
        <v>not found</v>
      </c>
    </row>
    <row r="101" spans="2:5">
      <c r="B101" s="31"/>
      <c r="D101" s="31"/>
      <c r="E101" s="73" t="str">
        <f t="array" ref="E101">TRANSPOSE(_xlfn._xlws.SORT(_xlfn._xlws.FILTER(B101:B468,ISNUMBER(SEARCH('PartLib Table'!M107,B101:B468)),"not found")))</f>
        <v>not found</v>
      </c>
    </row>
    <row r="102" spans="2:5">
      <c r="B102" s="31"/>
      <c r="D102" s="31"/>
      <c r="E102" s="73" t="str">
        <f t="array" ref="E102">TRANSPOSE(_xlfn._xlws.SORT(_xlfn._xlws.FILTER(B102:B469,ISNUMBER(SEARCH('PartLib Table'!M108,B102:B469)),"not found")))</f>
        <v>not found</v>
      </c>
    </row>
    <row r="103" spans="2:5">
      <c r="B103" s="31"/>
      <c r="D103" s="31"/>
      <c r="E103" s="73" t="str">
        <f t="array" ref="E103">TRANSPOSE(_xlfn._xlws.SORT(_xlfn._xlws.FILTER(B103:B470,ISNUMBER(SEARCH('PartLib Table'!M109,B103:B470)),"not found")))</f>
        <v>not found</v>
      </c>
    </row>
    <row r="104" spans="2:5">
      <c r="B104" s="31"/>
      <c r="D104" s="31"/>
      <c r="E104" s="73" t="str">
        <f t="array" ref="E104">TRANSPOSE(_xlfn._xlws.SORT(_xlfn._xlws.FILTER(B104:B471,ISNUMBER(SEARCH('PartLib Table'!M110,B104:B471)),"not found")))</f>
        <v>not found</v>
      </c>
    </row>
    <row r="105" spans="2:5">
      <c r="B105" s="31"/>
      <c r="D105" s="31"/>
      <c r="E105" s="73" t="str">
        <f t="array" ref="E105">TRANSPOSE(_xlfn._xlws.SORT(_xlfn._xlws.FILTER(B105:B472,ISNUMBER(SEARCH('PartLib Table'!M111,B105:B472)),"not found")))</f>
        <v>not found</v>
      </c>
    </row>
    <row r="106" spans="2:5">
      <c r="B106" s="31"/>
      <c r="D106" s="31"/>
      <c r="E106" s="73" t="str">
        <f t="array" ref="E106">TRANSPOSE(_xlfn._xlws.SORT(_xlfn._xlws.FILTER(B106:B473,ISNUMBER(SEARCH('PartLib Table'!M112,B106:B473)),"not found")))</f>
        <v>not found</v>
      </c>
    </row>
    <row r="107" spans="2:5">
      <c r="B107" s="31"/>
      <c r="D107" s="31"/>
      <c r="E107" s="73" t="str">
        <f t="array" ref="E107">TRANSPOSE(_xlfn._xlws.SORT(_xlfn._xlws.FILTER(B107:B474,ISNUMBER(SEARCH('PartLib Table'!M113,B107:B474)),"not found")))</f>
        <v>not found</v>
      </c>
    </row>
    <row r="108" spans="2:5">
      <c r="B108" s="31"/>
      <c r="D108" s="31"/>
      <c r="E108" s="73" t="str">
        <f t="array" ref="E108">TRANSPOSE(_xlfn._xlws.SORT(_xlfn._xlws.FILTER(B108:B475,ISNUMBER(SEARCH('PartLib Table'!M114,B108:B475)),"not found")))</f>
        <v>not found</v>
      </c>
    </row>
    <row r="109" spans="2:5">
      <c r="B109" s="31"/>
      <c r="D109" s="31"/>
      <c r="E109" s="73" t="str">
        <f t="array" ref="E109">TRANSPOSE(_xlfn._xlws.SORT(_xlfn._xlws.FILTER(B109:B476,ISNUMBER(SEARCH('PartLib Table'!M115,B109:B476)),"not found")))</f>
        <v>not found</v>
      </c>
    </row>
    <row r="110" spans="2:5">
      <c r="B110" s="31"/>
      <c r="D110" s="31"/>
      <c r="E110" s="73" t="str">
        <f t="array" ref="E110">TRANSPOSE(_xlfn._xlws.SORT(_xlfn._xlws.FILTER(B110:B477,ISNUMBER(SEARCH('PartLib Table'!M116,B110:B477)),"not found")))</f>
        <v>not found</v>
      </c>
    </row>
    <row r="111" spans="2:5">
      <c r="B111" s="31"/>
      <c r="D111" s="31"/>
      <c r="E111" s="73" t="str">
        <f t="array" ref="E111">TRANSPOSE(_xlfn._xlws.SORT(_xlfn._xlws.FILTER(B111:B478,ISNUMBER(SEARCH('PartLib Table'!M117,B111:B478)),"not found")))</f>
        <v>not found</v>
      </c>
    </row>
    <row r="112" spans="2:5">
      <c r="B112" s="31"/>
      <c r="D112" s="31"/>
      <c r="E112" s="73" t="str">
        <f t="array" ref="E112">TRANSPOSE(_xlfn._xlws.SORT(_xlfn._xlws.FILTER(B112:B479,ISNUMBER(SEARCH('PartLib Table'!M118,B112:B479)),"not found")))</f>
        <v>not found</v>
      </c>
    </row>
    <row r="113" spans="2:5">
      <c r="B113" s="31"/>
      <c r="D113" s="31"/>
      <c r="E113" s="73" t="str">
        <f t="array" ref="E113">TRANSPOSE(_xlfn._xlws.SORT(_xlfn._xlws.FILTER(B113:B480,ISNUMBER(SEARCH('PartLib Table'!M119,B113:B480)),"not found")))</f>
        <v>not found</v>
      </c>
    </row>
    <row r="114" spans="2:5">
      <c r="B114" s="31"/>
      <c r="D114" s="31"/>
      <c r="E114" s="73" t="str">
        <f t="array" ref="E114">TRANSPOSE(_xlfn._xlws.SORT(_xlfn._xlws.FILTER(B114:B481,ISNUMBER(SEARCH('PartLib Table'!M120,B114:B481)),"not found")))</f>
        <v>not found</v>
      </c>
    </row>
    <row r="115" spans="2:5">
      <c r="B115" s="31"/>
      <c r="D115" s="31"/>
      <c r="E115" s="73" t="str">
        <f t="array" ref="E115">TRANSPOSE(_xlfn._xlws.SORT(_xlfn._xlws.FILTER(B115:B482,ISNUMBER(SEARCH('PartLib Table'!M121,B115:B482)),"not found")))</f>
        <v>not found</v>
      </c>
    </row>
    <row r="116" spans="2:5">
      <c r="B116" s="31"/>
      <c r="D116" s="31"/>
      <c r="E116" s="73" t="str">
        <f t="array" ref="E116">TRANSPOSE(_xlfn._xlws.SORT(_xlfn._xlws.FILTER(B116:B483,ISNUMBER(SEARCH('PartLib Table'!M122,B116:B483)),"not found")))</f>
        <v>not found</v>
      </c>
    </row>
    <row r="117" spans="2:5">
      <c r="B117" s="31"/>
      <c r="D117" s="31"/>
      <c r="E117" s="73" t="str">
        <f t="array" ref="E117">TRANSPOSE(_xlfn._xlws.SORT(_xlfn._xlws.FILTER(B117:B484,ISNUMBER(SEARCH('PartLib Table'!M123,B117:B484)),"not found")))</f>
        <v>not found</v>
      </c>
    </row>
    <row r="118" spans="2:5">
      <c r="B118" s="31"/>
      <c r="D118" s="31"/>
      <c r="E118" s="73" t="str">
        <f t="array" ref="E118">TRANSPOSE(_xlfn._xlws.SORT(_xlfn._xlws.FILTER(B118:B485,ISNUMBER(SEARCH('PartLib Table'!M124,B118:B485)),"not found")))</f>
        <v>not found</v>
      </c>
    </row>
    <row r="119" spans="2:5">
      <c r="B119" s="31"/>
      <c r="D119" s="31"/>
      <c r="E119" s="73" t="str">
        <f t="array" ref="E119">TRANSPOSE(_xlfn._xlws.SORT(_xlfn._xlws.FILTER(B119:B486,ISNUMBER(SEARCH('PartLib Table'!M125,B119:B486)),"not found")))</f>
        <v>not found</v>
      </c>
    </row>
    <row r="120" spans="2:5">
      <c r="B120" s="31"/>
      <c r="D120" s="31"/>
      <c r="E120" s="73" t="str">
        <f t="array" ref="E120">TRANSPOSE(_xlfn._xlws.SORT(_xlfn._xlws.FILTER(B120:B487,ISNUMBER(SEARCH('PartLib Table'!M126,B120:B487)),"not found")))</f>
        <v>not found</v>
      </c>
    </row>
    <row r="121" spans="2:5">
      <c r="B121" s="31"/>
      <c r="D121" s="31"/>
      <c r="E121" s="73" t="str">
        <f t="array" ref="E121">TRANSPOSE(_xlfn._xlws.SORT(_xlfn._xlws.FILTER(B121:B488,ISNUMBER(SEARCH('PartLib Table'!M127,B121:B488)),"not found")))</f>
        <v>not found</v>
      </c>
    </row>
    <row r="122" spans="2:5">
      <c r="B122" s="31"/>
      <c r="D122" s="31"/>
      <c r="E122" s="73" t="str">
        <f t="array" ref="E122">TRANSPOSE(_xlfn._xlws.SORT(_xlfn._xlws.FILTER(B122:B489,ISNUMBER(SEARCH('PartLib Table'!M128,B122:B489)),"not found")))</f>
        <v>not found</v>
      </c>
    </row>
    <row r="123" spans="2:5">
      <c r="B123" s="31"/>
      <c r="D123" s="31"/>
      <c r="E123" s="73" t="str">
        <f t="array" ref="E123">TRANSPOSE(_xlfn._xlws.SORT(_xlfn._xlws.FILTER(B123:B490,ISNUMBER(SEARCH('PartLib Table'!M129,B123:B490)),"not found")))</f>
        <v>not found</v>
      </c>
    </row>
    <row r="124" spans="2:5">
      <c r="B124" s="31"/>
      <c r="D124" s="31"/>
      <c r="E124" s="73" t="str">
        <f t="array" ref="E124">TRANSPOSE(_xlfn._xlws.SORT(_xlfn._xlws.FILTER(B124:B491,ISNUMBER(SEARCH('PartLib Table'!M130,B124:B491)),"not found")))</f>
        <v>not found</v>
      </c>
    </row>
    <row r="125" spans="2:5">
      <c r="B125" s="31"/>
      <c r="D125" s="31"/>
      <c r="E125" s="73" t="str">
        <f t="array" ref="E125">TRANSPOSE(_xlfn._xlws.SORT(_xlfn._xlws.FILTER(B125:B492,ISNUMBER(SEARCH('PartLib Table'!M131,B125:B492)),"not found")))</f>
        <v>not found</v>
      </c>
    </row>
    <row r="126" spans="2:5">
      <c r="B126" s="31"/>
      <c r="D126" s="31"/>
      <c r="E126" s="73" t="str">
        <f t="array" ref="E126">TRANSPOSE(_xlfn._xlws.SORT(_xlfn._xlws.FILTER(B126:B493,ISNUMBER(SEARCH('PartLib Table'!M132,B126:B493)),"not found")))</f>
        <v>not found</v>
      </c>
    </row>
    <row r="127" spans="2:5">
      <c r="B127" s="31"/>
      <c r="D127" s="31"/>
      <c r="E127" s="73" t="str">
        <f t="array" ref="E127">TRANSPOSE(_xlfn._xlws.SORT(_xlfn._xlws.FILTER(B127:B494,ISNUMBER(SEARCH('PartLib Table'!M133,B127:B494)),"not found")))</f>
        <v>not found</v>
      </c>
    </row>
    <row r="128" spans="2:5">
      <c r="B128" s="31"/>
      <c r="D128" s="31"/>
      <c r="E128" s="73" t="str">
        <f t="array" ref="E128">TRANSPOSE(_xlfn._xlws.SORT(_xlfn._xlws.FILTER(B128:B495,ISNUMBER(SEARCH('PartLib Table'!M134,B128:B495)),"not found")))</f>
        <v>not found</v>
      </c>
    </row>
    <row r="129" spans="2:5">
      <c r="B129" s="31"/>
      <c r="D129" s="31"/>
      <c r="E129" s="73" t="str">
        <f t="array" ref="E129">TRANSPOSE(_xlfn._xlws.SORT(_xlfn._xlws.FILTER(B129:B496,ISNUMBER(SEARCH('PartLib Table'!M135,B129:B496)),"not found")))</f>
        <v>not found</v>
      </c>
    </row>
    <row r="130" spans="2:5">
      <c r="B130" s="31"/>
      <c r="D130" s="31"/>
      <c r="E130" s="73" t="str">
        <f t="array" ref="E130">TRANSPOSE(_xlfn._xlws.SORT(_xlfn._xlws.FILTER(B130:B497,ISNUMBER(SEARCH('PartLib Table'!M136,B130:B497)),"not found")))</f>
        <v>not found</v>
      </c>
    </row>
    <row r="131" spans="2:5">
      <c r="B131" s="31"/>
      <c r="D131" s="31"/>
      <c r="E131" s="73" t="str">
        <f t="array" ref="E131">TRANSPOSE(_xlfn._xlws.SORT(_xlfn._xlws.FILTER(B131:B498,ISNUMBER(SEARCH('PartLib Table'!M137,B131:B498)),"not found")))</f>
        <v>not found</v>
      </c>
    </row>
    <row r="132" spans="2:5">
      <c r="B132" s="31"/>
      <c r="D132" s="31"/>
      <c r="E132" s="73" t="str">
        <f t="array" ref="E132">TRANSPOSE(_xlfn._xlws.SORT(_xlfn._xlws.FILTER(B132:B499,ISNUMBER(SEARCH('PartLib Table'!M138,B132:B499)),"not found")))</f>
        <v>not found</v>
      </c>
    </row>
    <row r="133" spans="2:5">
      <c r="B133" s="31"/>
      <c r="D133" s="31"/>
      <c r="E133" s="73" t="str">
        <f t="array" ref="E133">TRANSPOSE(_xlfn._xlws.SORT(_xlfn._xlws.FILTER(B133:B500,ISNUMBER(SEARCH('PartLib Table'!M139,B133:B500)),"not found")))</f>
        <v>not found</v>
      </c>
    </row>
    <row r="134" spans="2:5">
      <c r="B134" s="31"/>
      <c r="D134" s="31"/>
      <c r="E134" s="73" t="str">
        <f t="array" ref="E134">TRANSPOSE(_xlfn._xlws.SORT(_xlfn._xlws.FILTER(B134:B501,ISNUMBER(SEARCH('PartLib Table'!M140,B134:B501)),"not found")))</f>
        <v>not found</v>
      </c>
    </row>
    <row r="135" spans="2:5">
      <c r="B135" s="31"/>
      <c r="D135" s="31"/>
      <c r="E135" s="73" t="str">
        <f t="array" ref="E135">TRANSPOSE(_xlfn._xlws.SORT(_xlfn._xlws.FILTER(B135:B502,ISNUMBER(SEARCH('PartLib Table'!M141,B135:B502)),"not found")))</f>
        <v>not found</v>
      </c>
    </row>
    <row r="136" spans="2:5">
      <c r="B136" s="31"/>
      <c r="D136" s="31"/>
      <c r="E136" s="73" t="str">
        <f t="array" ref="E136">TRANSPOSE(_xlfn._xlws.SORT(_xlfn._xlws.FILTER(B136:B503,ISNUMBER(SEARCH('PartLib Table'!M142,B136:B503)),"not found")))</f>
        <v>not found</v>
      </c>
    </row>
    <row r="137" spans="2:5">
      <c r="B137" s="31"/>
      <c r="D137" s="31"/>
      <c r="E137" s="73" t="str">
        <f t="array" ref="E137">TRANSPOSE(_xlfn._xlws.SORT(_xlfn._xlws.FILTER(B137:B504,ISNUMBER(SEARCH('PartLib Table'!M143,B137:B504)),"not found")))</f>
        <v>not found</v>
      </c>
    </row>
    <row r="138" spans="2:5">
      <c r="B138" s="31"/>
      <c r="D138" s="31"/>
      <c r="E138" s="73" t="str">
        <f t="array" ref="E138">TRANSPOSE(_xlfn._xlws.SORT(_xlfn._xlws.FILTER(B138:B505,ISNUMBER(SEARCH('PartLib Table'!M144,B138:B505)),"not found")))</f>
        <v>not found</v>
      </c>
    </row>
    <row r="139" spans="2:5">
      <c r="B139" s="31"/>
      <c r="D139" s="31"/>
      <c r="E139" s="73" t="str">
        <f t="array" ref="E139">TRANSPOSE(_xlfn._xlws.SORT(_xlfn._xlws.FILTER(B139:B506,ISNUMBER(SEARCH('PartLib Table'!M145,B139:B506)),"not found")))</f>
        <v>not found</v>
      </c>
    </row>
    <row r="140" spans="2:5">
      <c r="B140" s="31"/>
      <c r="D140" s="31"/>
      <c r="E140" s="73" t="str">
        <f t="array" ref="E140">TRANSPOSE(_xlfn._xlws.SORT(_xlfn._xlws.FILTER(B140:B507,ISNUMBER(SEARCH('PartLib Table'!M146,B140:B507)),"not found")))</f>
        <v>not found</v>
      </c>
    </row>
    <row r="141" spans="2:5">
      <c r="B141" s="31"/>
      <c r="D141" s="31"/>
      <c r="E141" s="73" t="str">
        <f t="array" ref="E141">TRANSPOSE(_xlfn._xlws.SORT(_xlfn._xlws.FILTER(B141:B508,ISNUMBER(SEARCH('PartLib Table'!M147,B141:B508)),"not found")))</f>
        <v>not found</v>
      </c>
    </row>
    <row r="142" spans="2:5">
      <c r="B142" s="31"/>
      <c r="D142" s="31"/>
      <c r="E142" s="73" t="str">
        <f t="array" ref="E142">TRANSPOSE(_xlfn._xlws.SORT(_xlfn._xlws.FILTER(B142:B509,ISNUMBER(SEARCH('PartLib Table'!M148,B142:B509)),"not found")))</f>
        <v>not found</v>
      </c>
    </row>
    <row r="143" spans="2:5">
      <c r="B143" s="31"/>
      <c r="D143" s="31"/>
      <c r="E143" s="73" t="str">
        <f t="array" ref="E143">TRANSPOSE(_xlfn._xlws.SORT(_xlfn._xlws.FILTER(B143:B510,ISNUMBER(SEARCH('PartLib Table'!M149,B143:B510)),"not found")))</f>
        <v>not found</v>
      </c>
    </row>
    <row r="144" spans="2:5">
      <c r="B144" s="31"/>
      <c r="D144" s="31"/>
      <c r="E144" s="73" t="str">
        <f t="array" ref="E144">TRANSPOSE(_xlfn._xlws.SORT(_xlfn._xlws.FILTER(B144:B511,ISNUMBER(SEARCH('PartLib Table'!M150,B144:B511)),"not found")))</f>
        <v>not found</v>
      </c>
    </row>
    <row r="145" spans="2:5">
      <c r="B145" s="31"/>
      <c r="D145" s="31"/>
      <c r="E145" s="73" t="str">
        <f t="array" ref="E145">TRANSPOSE(_xlfn._xlws.SORT(_xlfn._xlws.FILTER(B145:B512,ISNUMBER(SEARCH('PartLib Table'!M151,B145:B512)),"not found")))</f>
        <v>not found</v>
      </c>
    </row>
    <row r="146" spans="2:5">
      <c r="B146" s="31"/>
      <c r="D146" s="31"/>
      <c r="E146" s="73" t="str">
        <f t="array" ref="E146">TRANSPOSE(_xlfn._xlws.SORT(_xlfn._xlws.FILTER(B146:B513,ISNUMBER(SEARCH('PartLib Table'!M152,B146:B513)),"not found")))</f>
        <v>not found</v>
      </c>
    </row>
    <row r="147" spans="2:5">
      <c r="B147" s="31"/>
      <c r="D147" s="31"/>
      <c r="E147" s="73" t="str">
        <f t="array" ref="E147">TRANSPOSE(_xlfn._xlws.SORT(_xlfn._xlws.FILTER(B147:B514,ISNUMBER(SEARCH('PartLib Table'!M153,B147:B514)),"not found")))</f>
        <v>not found</v>
      </c>
    </row>
    <row r="148" spans="2:5">
      <c r="B148" s="31"/>
      <c r="D148" s="31"/>
      <c r="E148" s="73" t="str">
        <f t="array" ref="E148">TRANSPOSE(_xlfn._xlws.SORT(_xlfn._xlws.FILTER(B148:B515,ISNUMBER(SEARCH('PartLib Table'!M154,B148:B515)),"not found")))</f>
        <v>not found</v>
      </c>
    </row>
    <row r="149" spans="2:5">
      <c r="B149" s="31"/>
      <c r="D149" s="31"/>
      <c r="E149" s="73" t="str">
        <f t="array" ref="E149">TRANSPOSE(_xlfn._xlws.SORT(_xlfn._xlws.FILTER(B149:B516,ISNUMBER(SEARCH('PartLib Table'!M155,B149:B516)),"not found")))</f>
        <v>not found</v>
      </c>
    </row>
    <row r="150" spans="2:5">
      <c r="B150" s="31"/>
      <c r="D150" s="31"/>
      <c r="E150" s="73" t="str">
        <f t="array" ref="E150">TRANSPOSE(_xlfn._xlws.SORT(_xlfn._xlws.FILTER(B150:B517,ISNUMBER(SEARCH('PartLib Table'!M156,B150:B517)),"not found")))</f>
        <v>not found</v>
      </c>
    </row>
    <row r="151" spans="2:5">
      <c r="B151" s="31"/>
      <c r="D151" s="31"/>
      <c r="E151" s="73" t="str">
        <f t="array" ref="E151">TRANSPOSE(_xlfn._xlws.SORT(_xlfn._xlws.FILTER(B151:B518,ISNUMBER(SEARCH('PartLib Table'!M157,B151:B518)),"not found")))</f>
        <v>not found</v>
      </c>
    </row>
    <row r="152" spans="2:5">
      <c r="B152" s="31"/>
      <c r="D152" s="31"/>
      <c r="E152" s="73" t="str">
        <f t="array" ref="E152">TRANSPOSE(_xlfn._xlws.SORT(_xlfn._xlws.FILTER(B152:B519,ISNUMBER(SEARCH('PartLib Table'!M158,B152:B519)),"not found")))</f>
        <v>not found</v>
      </c>
    </row>
    <row r="153" spans="2:5">
      <c r="B153" s="31"/>
      <c r="D153" s="31"/>
      <c r="E153" s="73" t="str">
        <f t="array" ref="E153">TRANSPOSE(_xlfn._xlws.SORT(_xlfn._xlws.FILTER(B153:B520,ISNUMBER(SEARCH('PartLib Table'!M159,B153:B520)),"not found")))</f>
        <v>not found</v>
      </c>
    </row>
    <row r="154" spans="2:5">
      <c r="B154" s="31"/>
      <c r="D154" s="31"/>
      <c r="E154" s="73" t="str">
        <f t="array" ref="E154">TRANSPOSE(_xlfn._xlws.SORT(_xlfn._xlws.FILTER(B154:B521,ISNUMBER(SEARCH('PartLib Table'!M160,B154:B521)),"not found")))</f>
        <v>not found</v>
      </c>
    </row>
    <row r="155" spans="2:5">
      <c r="B155" s="31"/>
      <c r="D155" s="31"/>
      <c r="E155" s="73" t="str">
        <f t="array" ref="E155">TRANSPOSE(_xlfn._xlws.SORT(_xlfn._xlws.FILTER(B155:B522,ISNUMBER(SEARCH('PartLib Table'!M161,B155:B522)),"not found")))</f>
        <v>not found</v>
      </c>
    </row>
    <row r="156" spans="2:5">
      <c r="B156" s="31"/>
      <c r="D156" s="31"/>
      <c r="E156" s="73" t="str">
        <f t="array" ref="E156">TRANSPOSE(_xlfn._xlws.SORT(_xlfn._xlws.FILTER(B156:B523,ISNUMBER(SEARCH('PartLib Table'!M162,B156:B523)),"not found")))</f>
        <v>not found</v>
      </c>
    </row>
    <row r="157" spans="2:5">
      <c r="B157" s="31"/>
      <c r="D157" s="31"/>
      <c r="E157" s="73" t="str">
        <f t="array" ref="E157">TRANSPOSE(_xlfn._xlws.SORT(_xlfn._xlws.FILTER(B157:B524,ISNUMBER(SEARCH('PartLib Table'!M163,B157:B524)),"not found")))</f>
        <v>not found</v>
      </c>
    </row>
    <row r="158" spans="2:5">
      <c r="B158" s="31"/>
      <c r="D158" s="31"/>
      <c r="E158" s="73" t="str">
        <f t="array" ref="E158">TRANSPOSE(_xlfn._xlws.SORT(_xlfn._xlws.FILTER(B158:B525,ISNUMBER(SEARCH('PartLib Table'!M164,B158:B525)),"not found")))</f>
        <v>not found</v>
      </c>
    </row>
    <row r="159" spans="2:5">
      <c r="B159" s="31"/>
      <c r="D159" s="31"/>
      <c r="E159" s="73" t="str">
        <f t="array" ref="E159">TRANSPOSE(_xlfn._xlws.SORT(_xlfn._xlws.FILTER(B159:B526,ISNUMBER(SEARCH('PartLib Table'!M165,B159:B526)),"not found")))</f>
        <v>not found</v>
      </c>
    </row>
    <row r="160" spans="2:5">
      <c r="B160" s="31"/>
      <c r="D160" s="31"/>
      <c r="E160" s="73" t="str">
        <f t="array" ref="E160">TRANSPOSE(_xlfn._xlws.SORT(_xlfn._xlws.FILTER(B160:B527,ISNUMBER(SEARCH('PartLib Table'!M166,B160:B527)),"not found")))</f>
        <v>not found</v>
      </c>
    </row>
    <row r="161" spans="2:5">
      <c r="B161" s="31"/>
      <c r="D161" s="31"/>
      <c r="E161" s="73" t="str">
        <f t="array" ref="E161">TRANSPOSE(_xlfn._xlws.SORT(_xlfn._xlws.FILTER(B161:B528,ISNUMBER(SEARCH('PartLib Table'!M167,B161:B528)),"not found")))</f>
        <v>not found</v>
      </c>
    </row>
    <row r="162" spans="2:5">
      <c r="B162" s="31"/>
      <c r="D162" s="31"/>
      <c r="E162" s="73" t="str">
        <f t="array" ref="E162">TRANSPOSE(_xlfn._xlws.SORT(_xlfn._xlws.FILTER(B162:B529,ISNUMBER(SEARCH('PartLib Table'!M168,B162:B529)),"not found")))</f>
        <v>not found</v>
      </c>
    </row>
    <row r="163" spans="2:5">
      <c r="B163" s="31"/>
      <c r="D163" s="31"/>
      <c r="E163" s="73" t="str">
        <f t="array" ref="E163">TRANSPOSE(_xlfn._xlws.SORT(_xlfn._xlws.FILTER(B163:B530,ISNUMBER(SEARCH('PartLib Table'!M169,B163:B530)),"not found")))</f>
        <v>not found</v>
      </c>
    </row>
    <row r="164" spans="2:5">
      <c r="B164" s="31"/>
      <c r="D164" s="31"/>
      <c r="E164" s="73" t="str">
        <f t="array" ref="E164">TRANSPOSE(_xlfn._xlws.SORT(_xlfn._xlws.FILTER(B164:B531,ISNUMBER(SEARCH('PartLib Table'!M170,B164:B531)),"not found")))</f>
        <v>not found</v>
      </c>
    </row>
    <row r="165" spans="2:5">
      <c r="B165" s="31"/>
      <c r="D165" s="31"/>
      <c r="E165" s="73" t="str">
        <f t="array" ref="E165">TRANSPOSE(_xlfn._xlws.SORT(_xlfn._xlws.FILTER(B165:B532,ISNUMBER(SEARCH('PartLib Table'!M171,B165:B532)),"not found")))</f>
        <v>not found</v>
      </c>
    </row>
    <row r="166" spans="2:5">
      <c r="B166" s="31"/>
      <c r="D166" s="31"/>
      <c r="E166" s="73" t="str">
        <f t="array" ref="E166">TRANSPOSE(_xlfn._xlws.SORT(_xlfn._xlws.FILTER(B166:B533,ISNUMBER(SEARCH('PartLib Table'!M172,B166:B533)),"not found")))</f>
        <v>not found</v>
      </c>
    </row>
    <row r="167" spans="2:5">
      <c r="B167" s="31"/>
      <c r="D167" s="31"/>
      <c r="E167" s="73" t="str">
        <f t="array" ref="E167">TRANSPOSE(_xlfn._xlws.SORT(_xlfn._xlws.FILTER(B167:B534,ISNUMBER(SEARCH('PartLib Table'!M173,B167:B534)),"not found")))</f>
        <v>not found</v>
      </c>
    </row>
    <row r="168" spans="2:5">
      <c r="B168" s="31"/>
      <c r="D168" s="31"/>
      <c r="E168" s="73" t="str">
        <f t="array" ref="E168">TRANSPOSE(_xlfn._xlws.SORT(_xlfn._xlws.FILTER(B168:B535,ISNUMBER(SEARCH('PartLib Table'!M174,B168:B535)),"not found")))</f>
        <v>not found</v>
      </c>
    </row>
    <row r="169" spans="2:5">
      <c r="B169" s="31"/>
      <c r="D169" s="31"/>
      <c r="E169" s="73" t="str">
        <f t="array" ref="E169">TRANSPOSE(_xlfn._xlws.SORT(_xlfn._xlws.FILTER(B169:B536,ISNUMBER(SEARCH('PartLib Table'!M175,B169:B536)),"not found")))</f>
        <v>not found</v>
      </c>
    </row>
    <row r="170" spans="2:5">
      <c r="B170" s="31"/>
      <c r="D170" s="31"/>
      <c r="E170" s="73" t="str">
        <f t="array" ref="E170">TRANSPOSE(_xlfn._xlws.SORT(_xlfn._xlws.FILTER(B170:B537,ISNUMBER(SEARCH('PartLib Table'!M176,B170:B537)),"not found")))</f>
        <v>not found</v>
      </c>
    </row>
    <row r="171" spans="2:5">
      <c r="B171" s="31"/>
      <c r="D171" s="31"/>
      <c r="E171" s="73" t="str">
        <f t="array" ref="E171">TRANSPOSE(_xlfn._xlws.SORT(_xlfn._xlws.FILTER(B171:B538,ISNUMBER(SEARCH('PartLib Table'!M177,B171:B538)),"not found")))</f>
        <v>not found</v>
      </c>
    </row>
    <row r="172" spans="2:5">
      <c r="B172" s="31"/>
      <c r="D172" s="31"/>
      <c r="E172" s="73" t="str">
        <f t="array" ref="E172">TRANSPOSE(_xlfn._xlws.SORT(_xlfn._xlws.FILTER(B172:B539,ISNUMBER(SEARCH('PartLib Table'!M178,B172:B539)),"not found")))</f>
        <v>not found</v>
      </c>
    </row>
    <row r="173" spans="2:5">
      <c r="B173" s="31"/>
      <c r="D173" s="31"/>
      <c r="E173" s="73" t="str">
        <f t="array" ref="E173">TRANSPOSE(_xlfn._xlws.SORT(_xlfn._xlws.FILTER(B173:B540,ISNUMBER(SEARCH('PartLib Table'!M179,B173:B540)),"not found")))</f>
        <v>not found</v>
      </c>
    </row>
    <row r="174" spans="2:5">
      <c r="B174" s="31"/>
      <c r="D174" s="31"/>
      <c r="E174" s="73" t="str">
        <f t="array" ref="E174">TRANSPOSE(_xlfn._xlws.SORT(_xlfn._xlws.FILTER(B174:B541,ISNUMBER(SEARCH('PartLib Table'!M180,B174:B541)),"not found")))</f>
        <v>not found</v>
      </c>
    </row>
    <row r="175" spans="2:5">
      <c r="B175" s="31"/>
      <c r="D175" s="31"/>
      <c r="E175" s="73" t="str">
        <f t="array" ref="E175">TRANSPOSE(_xlfn._xlws.SORT(_xlfn._xlws.FILTER(B175:B542,ISNUMBER(SEARCH('PartLib Table'!M181,B175:B542)),"not found")))</f>
        <v>not found</v>
      </c>
    </row>
    <row r="176" spans="2:5">
      <c r="B176" s="31"/>
      <c r="D176" s="31"/>
      <c r="E176" s="73" t="str">
        <f t="array" ref="E176">TRANSPOSE(_xlfn._xlws.SORT(_xlfn._xlws.FILTER(B176:B543,ISNUMBER(SEARCH('PartLib Table'!M182,B176:B543)),"not found")))</f>
        <v>not found</v>
      </c>
    </row>
    <row r="177" spans="2:5">
      <c r="B177" s="31"/>
      <c r="D177" s="31"/>
      <c r="E177" s="73" t="str">
        <f t="array" ref="E177">TRANSPOSE(_xlfn._xlws.SORT(_xlfn._xlws.FILTER(B177:B544,ISNUMBER(SEARCH('PartLib Table'!M183,B177:B544)),"not found")))</f>
        <v>not found</v>
      </c>
    </row>
    <row r="178" spans="2:5">
      <c r="B178" s="31"/>
      <c r="D178" s="31"/>
      <c r="E178" s="73" t="str">
        <f t="array" ref="E178">TRANSPOSE(_xlfn._xlws.SORT(_xlfn._xlws.FILTER(B178:B545,ISNUMBER(SEARCH('PartLib Table'!M184,B178:B545)),"not found")))</f>
        <v>not found</v>
      </c>
    </row>
    <row r="179" spans="2:5">
      <c r="B179" s="31"/>
      <c r="D179" s="31"/>
      <c r="E179" s="73" t="str">
        <f t="array" ref="E179">TRANSPOSE(_xlfn._xlws.SORT(_xlfn._xlws.FILTER(B179:B546,ISNUMBER(SEARCH('PartLib Table'!M185,B179:B546)),"not found")))</f>
        <v>not found</v>
      </c>
    </row>
    <row r="180" spans="2:5">
      <c r="B180" s="31"/>
      <c r="D180" s="31"/>
      <c r="E180" s="73" t="str">
        <f t="array" ref="E180">TRANSPOSE(_xlfn._xlws.SORT(_xlfn._xlws.FILTER(B180:B547,ISNUMBER(SEARCH('PartLib Table'!M186,B180:B547)),"not found")))</f>
        <v>not found</v>
      </c>
    </row>
    <row r="181" spans="2:5">
      <c r="B181" s="31"/>
      <c r="D181" s="31"/>
      <c r="E181" s="73" t="str">
        <f t="array" ref="E181">TRANSPOSE(_xlfn._xlws.SORT(_xlfn._xlws.FILTER(B181:B548,ISNUMBER(SEARCH('PartLib Table'!M187,B181:B548)),"not found")))</f>
        <v>not found</v>
      </c>
    </row>
    <row r="182" spans="2:5">
      <c r="B182" s="31"/>
      <c r="D182" s="31"/>
      <c r="E182" s="73" t="str">
        <f t="array" ref="E182">TRANSPOSE(_xlfn._xlws.SORT(_xlfn._xlws.FILTER(B182:B549,ISNUMBER(SEARCH('PartLib Table'!M188,B182:B549)),"not found")))</f>
        <v>not found</v>
      </c>
    </row>
    <row r="183" spans="2:5">
      <c r="B183" s="31"/>
      <c r="D183" s="31"/>
      <c r="E183" s="73" t="str">
        <f t="array" ref="E183">TRANSPOSE(_xlfn._xlws.SORT(_xlfn._xlws.FILTER(B183:B550,ISNUMBER(SEARCH('PartLib Table'!M189,B183:B550)),"not found")))</f>
        <v>not found</v>
      </c>
    </row>
    <row r="184" spans="2:5">
      <c r="B184" s="31"/>
      <c r="D184" s="31"/>
      <c r="E184" s="73" t="str">
        <f t="array" ref="E184">TRANSPOSE(_xlfn._xlws.SORT(_xlfn._xlws.FILTER(B184:B551,ISNUMBER(SEARCH('PartLib Table'!M190,B184:B551)),"not found")))</f>
        <v>not found</v>
      </c>
    </row>
    <row r="185" spans="2:5">
      <c r="B185" s="31"/>
      <c r="D185" s="31"/>
      <c r="E185" s="73" t="str">
        <f t="array" ref="E185">TRANSPOSE(_xlfn._xlws.SORT(_xlfn._xlws.FILTER(B185:B552,ISNUMBER(SEARCH('PartLib Table'!M191,B185:B552)),"not found")))</f>
        <v>not found</v>
      </c>
    </row>
    <row r="186" spans="2:5">
      <c r="B186" s="31"/>
      <c r="D186" s="31"/>
      <c r="E186" s="73" t="str">
        <f t="array" ref="E186">TRANSPOSE(_xlfn._xlws.SORT(_xlfn._xlws.FILTER(B186:B553,ISNUMBER(SEARCH('PartLib Table'!M192,B186:B553)),"not found")))</f>
        <v>not found</v>
      </c>
    </row>
    <row r="187" spans="2:5">
      <c r="B187" s="31"/>
      <c r="D187" s="31"/>
      <c r="E187" s="73" t="str">
        <f t="array" ref="E187">TRANSPOSE(_xlfn._xlws.SORT(_xlfn._xlws.FILTER(B187:B554,ISNUMBER(SEARCH('PartLib Table'!M193,B187:B554)),"not found")))</f>
        <v>not found</v>
      </c>
    </row>
    <row r="188" spans="2:5">
      <c r="B188" s="31"/>
      <c r="D188" s="31"/>
      <c r="E188" s="73" t="str">
        <f t="array" ref="E188">TRANSPOSE(_xlfn._xlws.SORT(_xlfn._xlws.FILTER(B188:B555,ISNUMBER(SEARCH('PartLib Table'!M194,B188:B555)),"not found")))</f>
        <v>not found</v>
      </c>
    </row>
    <row r="189" spans="2:5">
      <c r="B189" s="31"/>
      <c r="D189" s="31"/>
      <c r="E189" s="73" t="str">
        <f t="array" ref="E189">TRANSPOSE(_xlfn._xlws.SORT(_xlfn._xlws.FILTER(B189:B556,ISNUMBER(SEARCH('PartLib Table'!M195,B189:B556)),"not found")))</f>
        <v>not found</v>
      </c>
    </row>
    <row r="190" spans="2:5">
      <c r="B190" s="31"/>
      <c r="D190" s="31"/>
      <c r="E190" s="73" t="str">
        <f t="array" ref="E190">TRANSPOSE(_xlfn._xlws.SORT(_xlfn._xlws.FILTER(B190:B557,ISNUMBER(SEARCH('PartLib Table'!M196,B190:B557)),"not found")))</f>
        <v>not found</v>
      </c>
    </row>
    <row r="191" spans="2:5">
      <c r="B191" s="31"/>
      <c r="D191" s="31"/>
      <c r="E191" s="73" t="str">
        <f t="array" ref="E191">TRANSPOSE(_xlfn._xlws.SORT(_xlfn._xlws.FILTER(B191:B558,ISNUMBER(SEARCH('PartLib Table'!M197,B191:B558)),"not found")))</f>
        <v>not found</v>
      </c>
    </row>
    <row r="192" spans="2:5">
      <c r="B192" s="31"/>
      <c r="D192" s="31"/>
      <c r="E192" s="73" t="str">
        <f t="array" ref="E192">TRANSPOSE(_xlfn._xlws.SORT(_xlfn._xlws.FILTER(B192:B559,ISNUMBER(SEARCH('PartLib Table'!M198,B192:B559)),"not found")))</f>
        <v>not found</v>
      </c>
    </row>
    <row r="193" spans="2:5">
      <c r="B193" s="31"/>
      <c r="D193" s="31"/>
      <c r="E193" s="73" t="str">
        <f t="array" ref="E193">TRANSPOSE(_xlfn._xlws.SORT(_xlfn._xlws.FILTER(B193:B560,ISNUMBER(SEARCH('PartLib Table'!M199,B193:B560)),"not found")))</f>
        <v>not found</v>
      </c>
    </row>
    <row r="194" spans="2:5">
      <c r="B194" s="31"/>
      <c r="D194" s="31"/>
      <c r="E194" s="73" t="str">
        <f t="array" ref="E194">TRANSPOSE(_xlfn._xlws.SORT(_xlfn._xlws.FILTER(B194:B561,ISNUMBER(SEARCH('PartLib Table'!M200,B194:B561)),"not found")))</f>
        <v>not found</v>
      </c>
    </row>
    <row r="195" spans="2:5">
      <c r="B195" s="31"/>
      <c r="D195" s="31"/>
      <c r="E195" s="73" t="str">
        <f t="array" ref="E195">TRANSPOSE(_xlfn._xlws.SORT(_xlfn._xlws.FILTER(B195:B562,ISNUMBER(SEARCH('PartLib Table'!M201,B195:B562)),"not found")))</f>
        <v>not found</v>
      </c>
    </row>
    <row r="196" spans="2:5">
      <c r="B196" s="31"/>
      <c r="D196" s="31"/>
      <c r="E196" s="73" t="str">
        <f t="array" ref="E196">TRANSPOSE(_xlfn._xlws.SORT(_xlfn._xlws.FILTER(B196:B563,ISNUMBER(SEARCH('PartLib Table'!M202,B196:B563)),"not found")))</f>
        <v>not found</v>
      </c>
    </row>
    <row r="197" spans="2:5">
      <c r="B197" s="31"/>
      <c r="D197" s="31"/>
      <c r="E197" s="73" t="str">
        <f t="array" ref="E197">TRANSPOSE(_xlfn._xlws.SORT(_xlfn._xlws.FILTER(B197:B564,ISNUMBER(SEARCH('PartLib Table'!M203,B197:B564)),"not found")))</f>
        <v>not found</v>
      </c>
    </row>
    <row r="198" spans="2:5">
      <c r="B198" s="31"/>
      <c r="D198" s="31"/>
      <c r="E198" s="73" t="str">
        <f t="array" ref="E198">TRANSPOSE(_xlfn._xlws.SORT(_xlfn._xlws.FILTER(B198:B565,ISNUMBER(SEARCH('PartLib Table'!M204,B198:B565)),"not found")))</f>
        <v>not found</v>
      </c>
    </row>
    <row r="199" spans="2:5">
      <c r="B199" s="31"/>
      <c r="D199" s="31"/>
      <c r="E199" s="73" t="str">
        <f t="array" ref="E199">TRANSPOSE(_xlfn._xlws.SORT(_xlfn._xlws.FILTER(B199:B566,ISNUMBER(SEARCH('PartLib Table'!M205,B199:B566)),"not found")))</f>
        <v>not found</v>
      </c>
    </row>
    <row r="200" spans="2:5">
      <c r="B200" s="31"/>
      <c r="D200" s="31"/>
      <c r="E200" s="73" t="str">
        <f t="array" ref="E200">TRANSPOSE(_xlfn._xlws.SORT(_xlfn._xlws.FILTER(B200:B567,ISNUMBER(SEARCH('PartLib Table'!M206,B200:B567)),"not found")))</f>
        <v>not found</v>
      </c>
    </row>
    <row r="201" spans="2:5">
      <c r="B201" s="31"/>
      <c r="D201" s="31"/>
      <c r="E201" s="73" t="str">
        <f t="array" ref="E201">TRANSPOSE(_xlfn._xlws.SORT(_xlfn._xlws.FILTER(B201:B568,ISNUMBER(SEARCH('PartLib Table'!M207,B201:B568)),"not found")))</f>
        <v>not found</v>
      </c>
    </row>
    <row r="202" spans="2:5">
      <c r="B202" s="31"/>
      <c r="D202" s="31"/>
      <c r="E202" s="73" t="str">
        <f t="array" ref="E202">TRANSPOSE(_xlfn._xlws.SORT(_xlfn._xlws.FILTER(B202:B569,ISNUMBER(SEARCH('PartLib Table'!M208,B202:B569)),"not found")))</f>
        <v>not found</v>
      </c>
    </row>
    <row r="203" spans="2:5">
      <c r="B203" s="31"/>
      <c r="D203" s="31"/>
      <c r="E203" s="73" t="str">
        <f t="array" ref="E203">TRANSPOSE(_xlfn._xlws.SORT(_xlfn._xlws.FILTER(B203:B570,ISNUMBER(SEARCH('PartLib Table'!M209,B203:B570)),"not found")))</f>
        <v>not found</v>
      </c>
    </row>
    <row r="204" spans="2:5">
      <c r="B204" s="31"/>
      <c r="D204" s="31"/>
      <c r="E204" s="73" t="str">
        <f t="array" ref="E204">TRANSPOSE(_xlfn._xlws.SORT(_xlfn._xlws.FILTER(B204:B571,ISNUMBER(SEARCH('PartLib Table'!M210,B204:B571)),"not found")))</f>
        <v>not found</v>
      </c>
    </row>
    <row r="205" spans="2:5">
      <c r="B205" s="31"/>
      <c r="D205" s="31"/>
      <c r="E205" s="73" t="str">
        <f t="array" ref="E205">TRANSPOSE(_xlfn._xlws.SORT(_xlfn._xlws.FILTER(B205:B572,ISNUMBER(SEARCH('PartLib Table'!M211,B205:B572)),"not found")))</f>
        <v>not found</v>
      </c>
    </row>
    <row r="206" spans="2:5">
      <c r="B206" s="31"/>
      <c r="D206" s="31"/>
      <c r="E206" s="73" t="str">
        <f t="array" ref="E206">TRANSPOSE(_xlfn._xlws.SORT(_xlfn._xlws.FILTER(B206:B573,ISNUMBER(SEARCH('PartLib Table'!M212,B206:B573)),"not found")))</f>
        <v>not found</v>
      </c>
    </row>
    <row r="207" spans="2:5">
      <c r="B207" s="31"/>
      <c r="D207" s="31"/>
      <c r="E207" s="73" t="str">
        <f t="array" ref="E207">TRANSPOSE(_xlfn._xlws.SORT(_xlfn._xlws.FILTER(B207:B574,ISNUMBER(SEARCH('PartLib Table'!M213,B207:B574)),"not found")))</f>
        <v>not found</v>
      </c>
    </row>
    <row r="208" spans="2:5">
      <c r="B208" s="31"/>
      <c r="D208" s="31"/>
      <c r="E208" s="73" t="str">
        <f t="array" ref="E208">TRANSPOSE(_xlfn._xlws.SORT(_xlfn._xlws.FILTER(B208:B575,ISNUMBER(SEARCH('PartLib Table'!M214,B208:B575)),"not found")))</f>
        <v>not found</v>
      </c>
    </row>
    <row r="209" spans="2:5">
      <c r="B209" s="31"/>
      <c r="D209" s="31"/>
      <c r="E209" s="73" t="str">
        <f t="array" ref="E209">TRANSPOSE(_xlfn._xlws.SORT(_xlfn._xlws.FILTER(B209:B576,ISNUMBER(SEARCH('PartLib Table'!M215,B209:B576)),"not found")))</f>
        <v>not found</v>
      </c>
    </row>
    <row r="210" spans="2:5">
      <c r="B210" s="31"/>
      <c r="D210" s="31"/>
      <c r="E210" s="73" t="str">
        <f t="array" ref="E210">TRANSPOSE(_xlfn._xlws.SORT(_xlfn._xlws.FILTER(B210:B577,ISNUMBER(SEARCH('PartLib Table'!M216,B210:B577)),"not found")))</f>
        <v>not found</v>
      </c>
    </row>
    <row r="211" spans="2:5">
      <c r="B211" s="31"/>
      <c r="D211" s="31"/>
      <c r="E211" s="73" t="str">
        <f t="array" ref="E211">TRANSPOSE(_xlfn._xlws.SORT(_xlfn._xlws.FILTER(B211:B578,ISNUMBER(SEARCH('PartLib Table'!M217,B211:B578)),"not found")))</f>
        <v>not found</v>
      </c>
    </row>
    <row r="212" spans="2:5">
      <c r="B212" s="31"/>
      <c r="D212" s="31"/>
      <c r="E212" s="73" t="str">
        <f t="array" ref="E212">TRANSPOSE(_xlfn._xlws.SORT(_xlfn._xlws.FILTER(B212:B579,ISNUMBER(SEARCH('PartLib Table'!M218,B212:B579)),"not found")))</f>
        <v>not found</v>
      </c>
    </row>
    <row r="213" spans="2:5">
      <c r="B213" s="31"/>
      <c r="D213" s="31"/>
      <c r="E213" s="73" t="str">
        <f t="array" ref="E213">TRANSPOSE(_xlfn._xlws.SORT(_xlfn._xlws.FILTER(B213:B580,ISNUMBER(SEARCH('PartLib Table'!M219,B213:B580)),"not found")))</f>
        <v>not found</v>
      </c>
    </row>
    <row r="214" spans="2:5">
      <c r="B214" s="31"/>
      <c r="D214" s="31"/>
      <c r="E214" s="73" t="str">
        <f t="array" ref="E214">TRANSPOSE(_xlfn._xlws.SORT(_xlfn._xlws.FILTER(B214:B581,ISNUMBER(SEARCH('PartLib Table'!M220,B214:B581)),"not found")))</f>
        <v>not found</v>
      </c>
    </row>
    <row r="215" spans="2:5">
      <c r="B215" s="31"/>
      <c r="D215" s="31"/>
      <c r="E215" s="73" t="str">
        <f t="array" ref="E215">TRANSPOSE(_xlfn._xlws.SORT(_xlfn._xlws.FILTER(B215:B582,ISNUMBER(SEARCH('PartLib Table'!M221,B215:B582)),"not found")))</f>
        <v>not found</v>
      </c>
    </row>
    <row r="216" spans="2:5">
      <c r="B216" s="31"/>
      <c r="D216" s="31"/>
      <c r="E216" s="73" t="str">
        <f t="array" ref="E216">TRANSPOSE(_xlfn._xlws.SORT(_xlfn._xlws.FILTER(B216:B583,ISNUMBER(SEARCH('PartLib Table'!M222,B216:B583)),"not found")))</f>
        <v>not found</v>
      </c>
    </row>
    <row r="217" spans="2:5">
      <c r="B217" s="31"/>
      <c r="D217" s="31"/>
      <c r="E217" s="73" t="str">
        <f t="array" ref="E217">TRANSPOSE(_xlfn._xlws.SORT(_xlfn._xlws.FILTER(B217:B584,ISNUMBER(SEARCH('PartLib Table'!M223,B217:B584)),"not found")))</f>
        <v>not found</v>
      </c>
    </row>
    <row r="218" spans="2:5">
      <c r="B218" s="31"/>
      <c r="D218" s="31"/>
      <c r="E218" s="73" t="str">
        <f t="array" ref="E218">TRANSPOSE(_xlfn._xlws.SORT(_xlfn._xlws.FILTER(B218:B585,ISNUMBER(SEARCH('PartLib Table'!M224,B218:B585)),"not found")))</f>
        <v>not found</v>
      </c>
    </row>
    <row r="219" spans="2:5">
      <c r="B219" s="31"/>
      <c r="D219" s="31"/>
      <c r="E219" s="73" t="str">
        <f t="array" ref="E219">TRANSPOSE(_xlfn._xlws.SORT(_xlfn._xlws.FILTER(B219:B586,ISNUMBER(SEARCH('PartLib Table'!M225,B219:B586)),"not found")))</f>
        <v>not found</v>
      </c>
    </row>
    <row r="220" spans="2:5">
      <c r="B220" s="31"/>
      <c r="D220" s="31"/>
      <c r="E220" s="73" t="str">
        <f t="array" ref="E220">TRANSPOSE(_xlfn._xlws.SORT(_xlfn._xlws.FILTER(B220:B587,ISNUMBER(SEARCH('PartLib Table'!M226,B220:B587)),"not found")))</f>
        <v>not found</v>
      </c>
    </row>
    <row r="221" spans="2:5">
      <c r="B221" s="31"/>
      <c r="D221" s="31"/>
      <c r="E221" s="73" t="str">
        <f t="array" ref="E221">TRANSPOSE(_xlfn._xlws.SORT(_xlfn._xlws.FILTER(B221:B588,ISNUMBER(SEARCH('PartLib Table'!M227,B221:B588)),"not found")))</f>
        <v>not found</v>
      </c>
    </row>
    <row r="222" spans="2:5">
      <c r="B222" s="31"/>
      <c r="D222" s="31"/>
      <c r="E222" s="73" t="str">
        <f t="array" ref="E222">TRANSPOSE(_xlfn._xlws.SORT(_xlfn._xlws.FILTER(B222:B589,ISNUMBER(SEARCH('PartLib Table'!M228,B222:B589)),"not found")))</f>
        <v>not found</v>
      </c>
    </row>
    <row r="223" spans="2:5">
      <c r="B223" s="31"/>
      <c r="D223" s="31"/>
      <c r="E223" s="73" t="str">
        <f t="array" ref="E223">TRANSPOSE(_xlfn._xlws.SORT(_xlfn._xlws.FILTER(B223:B590,ISNUMBER(SEARCH('PartLib Table'!M229,B223:B590)),"not found")))</f>
        <v>not found</v>
      </c>
    </row>
    <row r="224" spans="2:5">
      <c r="B224" s="31"/>
      <c r="D224" s="31"/>
      <c r="E224" s="73" t="str">
        <f t="array" ref="E224">TRANSPOSE(_xlfn._xlws.SORT(_xlfn._xlws.FILTER(B224:B591,ISNUMBER(SEARCH('PartLib Table'!M230,B224:B591)),"not found")))</f>
        <v>not found</v>
      </c>
    </row>
    <row r="225" spans="2:5">
      <c r="B225" s="31"/>
      <c r="D225" s="31"/>
      <c r="E225" s="73" t="str">
        <f t="array" ref="E225">TRANSPOSE(_xlfn._xlws.SORT(_xlfn._xlws.FILTER(B225:B592,ISNUMBER(SEARCH('PartLib Table'!M231,B225:B592)),"not found")))</f>
        <v>not found</v>
      </c>
    </row>
    <row r="226" spans="2:5">
      <c r="B226" s="31"/>
      <c r="D226" s="31"/>
      <c r="E226" s="73" t="str">
        <f t="array" ref="E226">TRANSPOSE(_xlfn._xlws.SORT(_xlfn._xlws.FILTER(B226:B593,ISNUMBER(SEARCH('PartLib Table'!M232,B226:B593)),"not found")))</f>
        <v>not found</v>
      </c>
    </row>
    <row r="227" spans="2:5">
      <c r="B227" s="31"/>
      <c r="D227" s="31"/>
      <c r="E227" s="73" t="str">
        <f t="array" ref="E227">TRANSPOSE(_xlfn._xlws.SORT(_xlfn._xlws.FILTER(B227:B594,ISNUMBER(SEARCH('PartLib Table'!M233,B227:B594)),"not found")))</f>
        <v>not found</v>
      </c>
    </row>
    <row r="228" spans="2:5">
      <c r="B228" s="31"/>
      <c r="D228" s="31"/>
      <c r="E228" s="73" t="str">
        <f t="array" ref="E228">TRANSPOSE(_xlfn._xlws.SORT(_xlfn._xlws.FILTER(B228:B595,ISNUMBER(SEARCH('PartLib Table'!M234,B228:B595)),"not found")))</f>
        <v>not found</v>
      </c>
    </row>
    <row r="229" spans="2:5">
      <c r="B229" s="31"/>
      <c r="D229" s="31"/>
      <c r="E229" s="73" t="str">
        <f t="array" ref="E229">TRANSPOSE(_xlfn._xlws.SORT(_xlfn._xlws.FILTER(B229:B596,ISNUMBER(SEARCH('PartLib Table'!M235,B229:B596)),"not found")))</f>
        <v>not found</v>
      </c>
    </row>
    <row r="230" spans="2:5">
      <c r="B230" s="31"/>
      <c r="D230" s="31"/>
      <c r="E230" s="73" t="str">
        <f t="array" ref="E230">TRANSPOSE(_xlfn._xlws.SORT(_xlfn._xlws.FILTER(B230:B597,ISNUMBER(SEARCH('PartLib Table'!M236,B230:B597)),"not found")))</f>
        <v>not found</v>
      </c>
    </row>
    <row r="231" spans="2:5">
      <c r="B231" s="31"/>
      <c r="D231" s="31"/>
      <c r="E231" s="73" t="str">
        <f t="array" ref="E231">TRANSPOSE(_xlfn._xlws.SORT(_xlfn._xlws.FILTER(B231:B598,ISNUMBER(SEARCH('PartLib Table'!M237,B231:B598)),"not found")))</f>
        <v>not found</v>
      </c>
    </row>
    <row r="232" spans="2:5">
      <c r="B232" s="31"/>
      <c r="D232" s="31"/>
      <c r="E232" s="73" t="str">
        <f t="array" ref="E232">TRANSPOSE(_xlfn._xlws.SORT(_xlfn._xlws.FILTER(B232:B599,ISNUMBER(SEARCH('PartLib Table'!M238,B232:B599)),"not found")))</f>
        <v>not found</v>
      </c>
    </row>
    <row r="233" spans="2:5">
      <c r="B233" s="31"/>
      <c r="D233" s="31"/>
      <c r="E233" s="73" t="str">
        <f t="array" ref="E233">TRANSPOSE(_xlfn._xlws.SORT(_xlfn._xlws.FILTER(B233:B600,ISNUMBER(SEARCH('PartLib Table'!M239,B233:B600)),"not found")))</f>
        <v>not found</v>
      </c>
    </row>
    <row r="234" spans="2:5">
      <c r="B234" s="31"/>
      <c r="D234" s="31"/>
      <c r="E234" s="73" t="str">
        <f t="array" ref="E234">TRANSPOSE(_xlfn._xlws.SORT(_xlfn._xlws.FILTER(B234:B601,ISNUMBER(SEARCH('PartLib Table'!M240,B234:B601)),"not found")))</f>
        <v>not found</v>
      </c>
    </row>
    <row r="235" spans="2:5">
      <c r="B235" s="31"/>
      <c r="D235" s="31"/>
      <c r="E235" s="73" t="str">
        <f t="array" ref="E235">TRANSPOSE(_xlfn._xlws.SORT(_xlfn._xlws.FILTER(B235:B602,ISNUMBER(SEARCH('PartLib Table'!M241,B235:B602)),"not found")))</f>
        <v>not found</v>
      </c>
    </row>
    <row r="236" spans="2:5">
      <c r="B236" s="31"/>
      <c r="D236" s="31"/>
      <c r="E236" s="73" t="str">
        <f t="array" ref="E236">TRANSPOSE(_xlfn._xlws.SORT(_xlfn._xlws.FILTER(B236:B603,ISNUMBER(SEARCH('PartLib Table'!M242,B236:B603)),"not found")))</f>
        <v>not found</v>
      </c>
    </row>
    <row r="237" spans="2:5">
      <c r="B237" s="31"/>
      <c r="D237" s="31"/>
      <c r="E237" s="73" t="str">
        <f t="array" ref="E237">TRANSPOSE(_xlfn._xlws.SORT(_xlfn._xlws.FILTER(B237:B604,ISNUMBER(SEARCH('PartLib Table'!M243,B237:B604)),"not found")))</f>
        <v>not found</v>
      </c>
    </row>
    <row r="238" spans="2:5">
      <c r="B238" s="31"/>
      <c r="D238" s="31"/>
      <c r="E238" s="73" t="str">
        <f t="array" ref="E238">TRANSPOSE(_xlfn._xlws.SORT(_xlfn._xlws.FILTER(B238:B605,ISNUMBER(SEARCH('PartLib Table'!M244,B238:B605)),"not found")))</f>
        <v>not found</v>
      </c>
    </row>
    <row r="239" spans="2:5">
      <c r="B239" s="31"/>
      <c r="D239" s="31"/>
      <c r="E239" s="73" t="str">
        <f t="array" ref="E239">TRANSPOSE(_xlfn._xlws.SORT(_xlfn._xlws.FILTER(B239:B606,ISNUMBER(SEARCH('PartLib Table'!M245,B239:B606)),"not found")))</f>
        <v>not found</v>
      </c>
    </row>
    <row r="240" spans="2:5">
      <c r="B240" s="31"/>
      <c r="D240" s="31"/>
      <c r="E240" s="73" t="str">
        <f t="array" ref="E240">TRANSPOSE(_xlfn._xlws.SORT(_xlfn._xlws.FILTER(B240:B607,ISNUMBER(SEARCH('PartLib Table'!M246,B240:B607)),"not found")))</f>
        <v>not found</v>
      </c>
    </row>
    <row r="241" spans="2:5">
      <c r="B241" s="31"/>
      <c r="D241" s="31"/>
      <c r="E241" s="73" t="str">
        <f t="array" ref="E241">TRANSPOSE(_xlfn._xlws.SORT(_xlfn._xlws.FILTER(B241:B608,ISNUMBER(SEARCH('PartLib Table'!M247,B241:B608)),"not found")))</f>
        <v>not found</v>
      </c>
    </row>
    <row r="242" spans="2:5">
      <c r="B242" s="31"/>
      <c r="D242" s="31"/>
      <c r="E242" s="73" t="str">
        <f t="array" ref="E242">TRANSPOSE(_xlfn._xlws.SORT(_xlfn._xlws.FILTER(B242:B609,ISNUMBER(SEARCH('PartLib Table'!M248,B242:B609)),"not found")))</f>
        <v>not found</v>
      </c>
    </row>
    <row r="243" spans="2:5">
      <c r="B243" s="31"/>
      <c r="D243" s="31"/>
      <c r="E243" s="73" t="str">
        <f t="array" ref="E243">TRANSPOSE(_xlfn._xlws.SORT(_xlfn._xlws.FILTER(B243:B610,ISNUMBER(SEARCH('PartLib Table'!M249,B243:B610)),"not found")))</f>
        <v>not found</v>
      </c>
    </row>
    <row r="244" spans="2:5">
      <c r="B244" s="31"/>
      <c r="D244" s="31"/>
      <c r="E244" s="73" t="str">
        <f t="array" ref="E244">TRANSPOSE(_xlfn._xlws.SORT(_xlfn._xlws.FILTER(B244:B611,ISNUMBER(SEARCH('PartLib Table'!M250,B244:B611)),"not found")))</f>
        <v>not found</v>
      </c>
    </row>
    <row r="245" spans="2:5">
      <c r="B245" s="31"/>
      <c r="D245" s="31"/>
      <c r="E245" s="73" t="str">
        <f t="array" ref="E245">TRANSPOSE(_xlfn._xlws.SORT(_xlfn._xlws.FILTER(B245:B612,ISNUMBER(SEARCH('PartLib Table'!M251,B245:B612)),"not found")))</f>
        <v>not found</v>
      </c>
    </row>
    <row r="246" spans="2:5">
      <c r="B246" s="31"/>
      <c r="D246" s="31"/>
      <c r="E246" s="73" t="str">
        <f t="array" ref="E246">TRANSPOSE(_xlfn._xlws.SORT(_xlfn._xlws.FILTER(B246:B613,ISNUMBER(SEARCH('PartLib Table'!M252,B246:B613)),"not found")))</f>
        <v>not found</v>
      </c>
    </row>
    <row r="247" spans="2:5">
      <c r="B247" s="31"/>
      <c r="D247" s="31"/>
      <c r="E247" s="73" t="str">
        <f t="array" ref="E247">TRANSPOSE(_xlfn._xlws.SORT(_xlfn._xlws.FILTER(B247:B614,ISNUMBER(SEARCH('PartLib Table'!M253,B247:B614)),"not found")))</f>
        <v>not found</v>
      </c>
    </row>
    <row r="248" spans="2:5">
      <c r="B248" s="31"/>
      <c r="D248" s="31"/>
      <c r="E248" s="73" t="str">
        <f t="array" ref="E248">TRANSPOSE(_xlfn._xlws.SORT(_xlfn._xlws.FILTER(B248:B615,ISNUMBER(SEARCH('PartLib Table'!M254,B248:B615)),"not found")))</f>
        <v>not found</v>
      </c>
    </row>
    <row r="249" spans="2:5">
      <c r="B249" s="31"/>
      <c r="D249" s="31"/>
      <c r="E249" s="73" t="str">
        <f t="array" ref="E249">TRANSPOSE(_xlfn._xlws.SORT(_xlfn._xlws.FILTER(B249:B616,ISNUMBER(SEARCH('PartLib Table'!M255,B249:B616)),"not found")))</f>
        <v>not found</v>
      </c>
    </row>
    <row r="250" spans="2:5">
      <c r="B250" s="31"/>
      <c r="D250" s="31"/>
      <c r="E250" s="73" t="str">
        <f t="array" ref="E250">TRANSPOSE(_xlfn._xlws.SORT(_xlfn._xlws.FILTER(B250:B617,ISNUMBER(SEARCH('PartLib Table'!M256,B250:B617)),"not found")))</f>
        <v>not found</v>
      </c>
    </row>
    <row r="251" spans="2:5">
      <c r="B251" s="31"/>
      <c r="D251" s="31"/>
      <c r="E251" s="73" t="str">
        <f t="array" ref="E251">TRANSPOSE(_xlfn._xlws.SORT(_xlfn._xlws.FILTER(B251:B618,ISNUMBER(SEARCH('PartLib Table'!M257,B251:B618)),"not found")))</f>
        <v>not found</v>
      </c>
    </row>
    <row r="252" spans="2:5">
      <c r="B252" s="31"/>
      <c r="D252" s="31"/>
      <c r="E252" s="73" t="str">
        <f t="array" ref="E252">TRANSPOSE(_xlfn._xlws.SORT(_xlfn._xlws.FILTER(B252:B619,ISNUMBER(SEARCH('PartLib Table'!M258,B252:B619)),"not found")))</f>
        <v>not found</v>
      </c>
    </row>
    <row r="253" spans="2:5">
      <c r="B253" s="31"/>
      <c r="D253" s="31"/>
      <c r="E253" s="73" t="str">
        <f t="array" ref="E253">TRANSPOSE(_xlfn._xlws.SORT(_xlfn._xlws.FILTER(B253:B620,ISNUMBER(SEARCH('PartLib Table'!M259,B253:B620)),"not found")))</f>
        <v>not found</v>
      </c>
    </row>
    <row r="254" spans="2:5">
      <c r="B254" s="31"/>
      <c r="D254" s="31"/>
      <c r="E254" s="73" t="str">
        <f t="array" ref="E254">TRANSPOSE(_xlfn._xlws.SORT(_xlfn._xlws.FILTER(B254:B621,ISNUMBER(SEARCH('PartLib Table'!M260,B254:B621)),"not found")))</f>
        <v>not found</v>
      </c>
    </row>
    <row r="255" spans="2:5">
      <c r="B255" s="31"/>
      <c r="D255" s="31"/>
      <c r="E255" s="73" t="str">
        <f t="array" ref="E255">TRANSPOSE(_xlfn._xlws.SORT(_xlfn._xlws.FILTER(B255:B622,ISNUMBER(SEARCH('PartLib Table'!M261,B255:B622)),"not found")))</f>
        <v>not found</v>
      </c>
    </row>
    <row r="256" spans="2:5">
      <c r="B256" s="31"/>
      <c r="D256" s="31"/>
      <c r="E256" s="73" t="str">
        <f t="array" ref="E256">TRANSPOSE(_xlfn._xlws.SORT(_xlfn._xlws.FILTER(B256:B623,ISNUMBER(SEARCH('PartLib Table'!M262,B256:B623)),"not found")))</f>
        <v>not found</v>
      </c>
    </row>
    <row r="257" spans="2:5">
      <c r="B257" s="31"/>
      <c r="D257" s="31"/>
      <c r="E257" s="73" t="str">
        <f t="array" ref="E257">TRANSPOSE(_xlfn._xlws.SORT(_xlfn._xlws.FILTER(B257:B624,ISNUMBER(SEARCH('PartLib Table'!M263,B257:B624)),"not found")))</f>
        <v>not found</v>
      </c>
    </row>
    <row r="258" spans="2:5">
      <c r="B258" s="31"/>
      <c r="D258" s="31"/>
      <c r="E258" s="73" t="str">
        <f t="array" ref="E258">TRANSPOSE(_xlfn._xlws.SORT(_xlfn._xlws.FILTER(B258:B625,ISNUMBER(SEARCH('PartLib Table'!M264,B258:B625)),"not found")))</f>
        <v>not found</v>
      </c>
    </row>
    <row r="259" spans="2:5">
      <c r="B259" s="31"/>
      <c r="D259" s="31"/>
      <c r="E259" s="73" t="str">
        <f t="array" ref="E259">TRANSPOSE(_xlfn._xlws.SORT(_xlfn._xlws.FILTER(B259:B626,ISNUMBER(SEARCH('PartLib Table'!M265,B259:B626)),"not found")))</f>
        <v>not found</v>
      </c>
    </row>
    <row r="260" spans="2:5">
      <c r="B260" s="31"/>
      <c r="D260" s="31"/>
      <c r="E260" s="73" t="str">
        <f t="array" ref="E260">TRANSPOSE(_xlfn._xlws.SORT(_xlfn._xlws.FILTER(B260:B627,ISNUMBER(SEARCH('PartLib Table'!M266,B260:B627)),"not found")))</f>
        <v>not found</v>
      </c>
    </row>
    <row r="261" spans="2:5">
      <c r="B261" s="31"/>
      <c r="D261" s="31"/>
      <c r="E261" s="73" t="str">
        <f t="array" ref="E261">TRANSPOSE(_xlfn._xlws.SORT(_xlfn._xlws.FILTER(B261:B628,ISNUMBER(SEARCH('PartLib Table'!M267,B261:B628)),"not found")))</f>
        <v>not found</v>
      </c>
    </row>
    <row r="262" spans="2:5">
      <c r="B262" s="31"/>
      <c r="D262" s="31"/>
      <c r="E262" s="73" t="str">
        <f t="array" ref="E262">TRANSPOSE(_xlfn._xlws.SORT(_xlfn._xlws.FILTER(B262:B629,ISNUMBER(SEARCH('PartLib Table'!M268,B262:B629)),"not found")))</f>
        <v>not found</v>
      </c>
    </row>
    <row r="263" spans="2:5">
      <c r="B263" s="31"/>
      <c r="D263" s="31"/>
      <c r="E263" s="73" t="str">
        <f t="array" ref="E263">TRANSPOSE(_xlfn._xlws.SORT(_xlfn._xlws.FILTER(B263:B630,ISNUMBER(SEARCH('PartLib Table'!M269,B263:B630)),"not found")))</f>
        <v>not found</v>
      </c>
    </row>
    <row r="264" spans="2:5">
      <c r="B264" s="31"/>
      <c r="D264" s="31"/>
      <c r="E264" s="73" t="str">
        <f t="array" ref="E264">TRANSPOSE(_xlfn._xlws.SORT(_xlfn._xlws.FILTER(B264:B631,ISNUMBER(SEARCH('PartLib Table'!M270,B264:B631)),"not found")))</f>
        <v>not found</v>
      </c>
    </row>
    <row r="265" spans="2:5">
      <c r="B265" s="31"/>
      <c r="D265" s="31"/>
      <c r="E265" s="73" t="str">
        <f t="array" ref="E265">TRANSPOSE(_xlfn._xlws.SORT(_xlfn._xlws.FILTER(B265:B632,ISNUMBER(SEARCH('PartLib Table'!M271,B265:B632)),"not found")))</f>
        <v>not found</v>
      </c>
    </row>
    <row r="266" spans="2:5">
      <c r="B266" s="31"/>
      <c r="D266" s="31"/>
      <c r="E266" s="73" t="str">
        <f t="array" ref="E266">TRANSPOSE(_xlfn._xlws.SORT(_xlfn._xlws.FILTER(B266:B633,ISNUMBER(SEARCH('PartLib Table'!M272,B266:B633)),"not found")))</f>
        <v>not found</v>
      </c>
    </row>
    <row r="267" spans="2:5">
      <c r="B267" s="31"/>
      <c r="D267" s="31"/>
      <c r="E267" s="73" t="str">
        <f t="array" ref="E267">TRANSPOSE(_xlfn._xlws.SORT(_xlfn._xlws.FILTER(B267:B634,ISNUMBER(SEARCH('PartLib Table'!M273,B267:B634)),"not found")))</f>
        <v>not found</v>
      </c>
    </row>
    <row r="268" spans="2:5">
      <c r="B268" s="31"/>
      <c r="D268" s="31"/>
      <c r="E268" s="73" t="str">
        <f t="array" ref="E268">TRANSPOSE(_xlfn._xlws.SORT(_xlfn._xlws.FILTER(B268:B635,ISNUMBER(SEARCH('PartLib Table'!M274,B268:B635)),"not found")))</f>
        <v>not found</v>
      </c>
    </row>
    <row r="269" spans="2:5">
      <c r="B269" s="31"/>
      <c r="D269" s="31"/>
      <c r="E269" s="73" t="str">
        <f t="array" ref="E269">TRANSPOSE(_xlfn._xlws.SORT(_xlfn._xlws.FILTER(B269:B636,ISNUMBER(SEARCH('PartLib Table'!M275,B269:B636)),"not found")))</f>
        <v>not found</v>
      </c>
    </row>
    <row r="270" spans="2:5">
      <c r="B270" s="31"/>
      <c r="D270" s="31"/>
      <c r="E270" s="73" t="str">
        <f t="array" ref="E270">TRANSPOSE(_xlfn._xlws.SORT(_xlfn._xlws.FILTER(B270:B637,ISNUMBER(SEARCH('PartLib Table'!M276,B270:B637)),"not found")))</f>
        <v>not found</v>
      </c>
    </row>
    <row r="271" spans="2:5">
      <c r="B271" s="31"/>
      <c r="D271" s="31"/>
      <c r="E271" s="73" t="str">
        <f t="array" ref="E271">TRANSPOSE(_xlfn._xlws.SORT(_xlfn._xlws.FILTER(B271:B638,ISNUMBER(SEARCH('PartLib Table'!M277,B271:B638)),"not found")))</f>
        <v>not found</v>
      </c>
    </row>
    <row r="272" spans="2:5">
      <c r="B272" s="31"/>
      <c r="D272" s="31"/>
      <c r="E272" s="73" t="str">
        <f t="array" ref="E272">TRANSPOSE(_xlfn._xlws.SORT(_xlfn._xlws.FILTER(B272:B639,ISNUMBER(SEARCH('PartLib Table'!M278,B272:B639)),"not found")))</f>
        <v>not found</v>
      </c>
    </row>
    <row r="273" spans="2:5">
      <c r="B273" s="31"/>
      <c r="D273" s="31"/>
      <c r="E273" s="73" t="str">
        <f t="array" ref="E273">TRANSPOSE(_xlfn._xlws.SORT(_xlfn._xlws.FILTER(B273:B640,ISNUMBER(SEARCH('PartLib Table'!M279,B273:B640)),"not found")))</f>
        <v>not found</v>
      </c>
    </row>
    <row r="274" spans="2:5">
      <c r="B274" s="31"/>
      <c r="D274" s="31"/>
      <c r="E274" s="73" t="str">
        <f t="array" ref="E274">TRANSPOSE(_xlfn._xlws.SORT(_xlfn._xlws.FILTER(B274:B641,ISNUMBER(SEARCH('PartLib Table'!M280,B274:B641)),"not found")))</f>
        <v>not found</v>
      </c>
    </row>
    <row r="275" spans="2:5">
      <c r="B275" s="31"/>
      <c r="D275" s="31"/>
      <c r="E275" s="73" t="str">
        <f t="array" ref="E275">TRANSPOSE(_xlfn._xlws.SORT(_xlfn._xlws.FILTER(B275:B642,ISNUMBER(SEARCH('PartLib Table'!M281,B275:B642)),"not found")))</f>
        <v>not found</v>
      </c>
    </row>
    <row r="276" spans="2:5">
      <c r="B276" s="31"/>
      <c r="D276" s="31"/>
      <c r="E276" s="73" t="str">
        <f t="array" ref="E276">TRANSPOSE(_xlfn._xlws.SORT(_xlfn._xlws.FILTER(B276:B643,ISNUMBER(SEARCH('PartLib Table'!M282,B276:B643)),"not found")))</f>
        <v>not found</v>
      </c>
    </row>
    <row r="277" spans="2:5">
      <c r="B277" s="31"/>
      <c r="D277" s="31"/>
      <c r="E277" s="73" t="str">
        <f t="array" ref="E277">TRANSPOSE(_xlfn._xlws.SORT(_xlfn._xlws.FILTER(B277:B644,ISNUMBER(SEARCH('PartLib Table'!M283,B277:B644)),"not found")))</f>
        <v>not found</v>
      </c>
    </row>
    <row r="278" spans="2:5">
      <c r="B278" s="31"/>
      <c r="D278" s="31"/>
      <c r="E278" s="73" t="str">
        <f t="array" ref="E278">TRANSPOSE(_xlfn._xlws.SORT(_xlfn._xlws.FILTER(B278:B645,ISNUMBER(SEARCH('PartLib Table'!M284,B278:B645)),"not found")))</f>
        <v>not found</v>
      </c>
    </row>
    <row r="279" spans="2:5">
      <c r="B279" s="31"/>
      <c r="D279" s="31"/>
      <c r="E279" s="73" t="str">
        <f t="array" ref="E279">TRANSPOSE(_xlfn._xlws.SORT(_xlfn._xlws.FILTER(B279:B646,ISNUMBER(SEARCH('PartLib Table'!M285,B279:B646)),"not found")))</f>
        <v>not found</v>
      </c>
    </row>
    <row r="280" spans="2:5">
      <c r="B280" s="31"/>
      <c r="D280" s="31"/>
      <c r="E280" s="73" t="str">
        <f t="array" ref="E280">TRANSPOSE(_xlfn._xlws.SORT(_xlfn._xlws.FILTER(B280:B647,ISNUMBER(SEARCH('PartLib Table'!M286,B280:B647)),"not found")))</f>
        <v>not found</v>
      </c>
    </row>
    <row r="281" spans="2:5">
      <c r="B281" s="31"/>
      <c r="D281" s="31"/>
      <c r="E281" s="73" t="str">
        <f t="array" ref="E281">TRANSPOSE(_xlfn._xlws.SORT(_xlfn._xlws.FILTER(B281:B648,ISNUMBER(SEARCH('PartLib Table'!M287,B281:B648)),"not found")))</f>
        <v>not found</v>
      </c>
    </row>
    <row r="282" spans="2:5">
      <c r="B282" s="31"/>
      <c r="D282" s="31"/>
      <c r="E282" s="73" t="str">
        <f t="array" ref="E282">TRANSPOSE(_xlfn._xlws.SORT(_xlfn._xlws.FILTER(B282:B649,ISNUMBER(SEARCH('PartLib Table'!M288,B282:B649)),"not found")))</f>
        <v>not found</v>
      </c>
    </row>
    <row r="283" spans="2:5">
      <c r="B283" s="31"/>
      <c r="D283" s="31"/>
      <c r="E283" s="73" t="str">
        <f t="array" ref="E283">TRANSPOSE(_xlfn._xlws.SORT(_xlfn._xlws.FILTER(B283:B650,ISNUMBER(SEARCH('PartLib Table'!M289,B283:B650)),"not found")))</f>
        <v>not found</v>
      </c>
    </row>
    <row r="284" spans="2:5">
      <c r="B284" s="31"/>
      <c r="D284" s="31"/>
      <c r="E284" s="73" t="str">
        <f t="array" ref="E284">TRANSPOSE(_xlfn._xlws.SORT(_xlfn._xlws.FILTER(B284:B651,ISNUMBER(SEARCH('PartLib Table'!M290,B284:B651)),"not found")))</f>
        <v>not found</v>
      </c>
    </row>
    <row r="285" spans="2:5">
      <c r="B285" s="31"/>
      <c r="D285" s="31"/>
      <c r="E285" s="73" t="str">
        <f t="array" ref="E285">TRANSPOSE(_xlfn._xlws.SORT(_xlfn._xlws.FILTER(B285:B652,ISNUMBER(SEARCH('PartLib Table'!M291,B285:B652)),"not found")))</f>
        <v>not found</v>
      </c>
    </row>
    <row r="286" spans="2:5">
      <c r="B286" s="31"/>
      <c r="D286" s="31"/>
      <c r="E286" s="73" t="str">
        <f t="array" ref="E286">TRANSPOSE(_xlfn._xlws.SORT(_xlfn._xlws.FILTER(B286:B653,ISNUMBER(SEARCH('PartLib Table'!M292,B286:B653)),"not found")))</f>
        <v>not found</v>
      </c>
    </row>
    <row r="287" spans="2:5">
      <c r="B287" s="31"/>
      <c r="D287" s="31"/>
      <c r="E287" s="73" t="str">
        <f t="array" ref="E287">TRANSPOSE(_xlfn._xlws.SORT(_xlfn._xlws.FILTER(B287:B654,ISNUMBER(SEARCH('PartLib Table'!M293,B287:B654)),"not found")))</f>
        <v>not found</v>
      </c>
    </row>
    <row r="288" spans="2:5">
      <c r="B288" s="31"/>
      <c r="D288" s="31"/>
      <c r="E288" s="73" t="str">
        <f t="array" ref="E288">TRANSPOSE(_xlfn._xlws.SORT(_xlfn._xlws.FILTER(B288:B655,ISNUMBER(SEARCH('PartLib Table'!M294,B288:B655)),"not found")))</f>
        <v>not found</v>
      </c>
    </row>
    <row r="289" spans="2:5">
      <c r="B289" s="31"/>
      <c r="D289" s="31"/>
      <c r="E289" s="73" t="str">
        <f t="array" ref="E289">TRANSPOSE(_xlfn._xlws.SORT(_xlfn._xlws.FILTER(B289:B656,ISNUMBER(SEARCH('PartLib Table'!M295,B289:B656)),"not found")))</f>
        <v>not found</v>
      </c>
    </row>
    <row r="290" spans="2:5">
      <c r="B290" s="31"/>
      <c r="D290" s="31"/>
      <c r="E290" s="73" t="str">
        <f t="array" ref="E290">TRANSPOSE(_xlfn._xlws.SORT(_xlfn._xlws.FILTER(B290:B657,ISNUMBER(SEARCH('PartLib Table'!M296,B290:B657)),"not found")))</f>
        <v>not found</v>
      </c>
    </row>
    <row r="291" spans="2:5">
      <c r="B291" s="31"/>
      <c r="D291" s="31"/>
      <c r="E291" s="73" t="str">
        <f t="array" ref="E291">TRANSPOSE(_xlfn._xlws.SORT(_xlfn._xlws.FILTER(B291:B658,ISNUMBER(SEARCH('PartLib Table'!M297,B291:B658)),"not found")))</f>
        <v>not found</v>
      </c>
    </row>
    <row r="292" spans="2:5">
      <c r="B292" s="31"/>
      <c r="D292" s="31"/>
      <c r="E292" s="73" t="str">
        <f t="array" ref="E292">TRANSPOSE(_xlfn._xlws.SORT(_xlfn._xlws.FILTER(B292:B659,ISNUMBER(SEARCH('PartLib Table'!M298,B292:B659)),"not found")))</f>
        <v>not found</v>
      </c>
    </row>
    <row r="293" spans="2:5">
      <c r="B293" s="31"/>
      <c r="D293" s="31"/>
      <c r="E293" s="73" t="str">
        <f t="array" ref="E293">TRANSPOSE(_xlfn._xlws.SORT(_xlfn._xlws.FILTER(B293:B660,ISNUMBER(SEARCH('PartLib Table'!M299,B293:B660)),"not found")))</f>
        <v>not found</v>
      </c>
    </row>
    <row r="294" spans="2:5">
      <c r="B294" s="31"/>
      <c r="D294" s="31"/>
      <c r="E294" s="73" t="str">
        <f t="array" ref="E294">TRANSPOSE(_xlfn._xlws.SORT(_xlfn._xlws.FILTER(B294:B661,ISNUMBER(SEARCH('PartLib Table'!M300,B294:B661)),"not found")))</f>
        <v>not found</v>
      </c>
    </row>
    <row r="295" spans="2:5">
      <c r="B295" s="31"/>
      <c r="D295" s="31"/>
      <c r="E295" s="73" t="str">
        <f t="array" ref="E295">TRANSPOSE(_xlfn._xlws.SORT(_xlfn._xlws.FILTER(B295:B662,ISNUMBER(SEARCH('PartLib Table'!M301,B295:B662)),"not found")))</f>
        <v>not found</v>
      </c>
    </row>
    <row r="296" spans="2:5">
      <c r="B296" s="31"/>
      <c r="D296" s="31"/>
      <c r="E296" s="73" t="str">
        <f t="array" ref="E296">TRANSPOSE(_xlfn._xlws.SORT(_xlfn._xlws.FILTER(B296:B663,ISNUMBER(SEARCH('PartLib Table'!M302,B296:B663)),"not found")))</f>
        <v>not found</v>
      </c>
    </row>
    <row r="297" spans="2:5">
      <c r="B297" s="31"/>
      <c r="D297" s="31"/>
      <c r="E297" s="73" t="str">
        <f t="array" ref="E297">TRANSPOSE(_xlfn._xlws.SORT(_xlfn._xlws.FILTER(B297:B664,ISNUMBER(SEARCH('PartLib Table'!M303,B297:B664)),"not found")))</f>
        <v>not found</v>
      </c>
    </row>
    <row r="298" spans="2:5">
      <c r="B298" s="31"/>
      <c r="D298" s="31"/>
      <c r="E298" s="73" t="str">
        <f t="array" ref="E298">TRANSPOSE(_xlfn._xlws.SORT(_xlfn._xlws.FILTER(B298:B665,ISNUMBER(SEARCH('PartLib Table'!M304,B298:B665)),"not found")))</f>
        <v>not found</v>
      </c>
    </row>
    <row r="299" spans="2:5">
      <c r="B299" s="31"/>
      <c r="D299" s="31"/>
      <c r="E299" s="73" t="str">
        <f t="array" ref="E299">TRANSPOSE(_xlfn._xlws.SORT(_xlfn._xlws.FILTER(B299:B666,ISNUMBER(SEARCH('PartLib Table'!M305,B299:B666)),"not found")))</f>
        <v>not found</v>
      </c>
    </row>
    <row r="300" spans="2:5">
      <c r="B300" s="31"/>
      <c r="D300" s="31"/>
      <c r="E300" s="73" t="str">
        <f t="array" ref="E300">TRANSPOSE(_xlfn._xlws.SORT(_xlfn._xlws.FILTER(B300:B667,ISNUMBER(SEARCH('PartLib Table'!M306,B300:B667)),"not found")))</f>
        <v>not found</v>
      </c>
    </row>
    <row r="301" spans="2:5">
      <c r="B301" s="31"/>
      <c r="D301" s="31"/>
      <c r="E301" s="73" t="str">
        <f t="array" ref="E301">TRANSPOSE(_xlfn._xlws.SORT(_xlfn._xlws.FILTER(B301:B668,ISNUMBER(SEARCH('PartLib Table'!M307,B301:B668)),"not found")))</f>
        <v>not found</v>
      </c>
    </row>
    <row r="302" spans="2:5">
      <c r="B302" s="31"/>
      <c r="D302" s="31"/>
      <c r="E302" s="73" t="str">
        <f t="array" ref="E302">TRANSPOSE(_xlfn._xlws.SORT(_xlfn._xlws.FILTER(B302:B669,ISNUMBER(SEARCH('PartLib Table'!M308,B302:B669)),"not found")))</f>
        <v>not found</v>
      </c>
    </row>
    <row r="303" spans="2:5">
      <c r="B303" s="31"/>
      <c r="D303" s="31"/>
      <c r="E303" s="73" t="str">
        <f t="array" ref="E303">TRANSPOSE(_xlfn._xlws.SORT(_xlfn._xlws.FILTER(B303:B670,ISNUMBER(SEARCH('PartLib Table'!M309,B303:B670)),"not found")))</f>
        <v>not found</v>
      </c>
    </row>
    <row r="304" spans="2:5">
      <c r="B304" s="31"/>
      <c r="D304" s="31"/>
      <c r="E304" s="73" t="str">
        <f t="array" ref="E304">TRANSPOSE(_xlfn._xlws.SORT(_xlfn._xlws.FILTER(B304:B671,ISNUMBER(SEARCH('PartLib Table'!M310,B304:B671)),"not found")))</f>
        <v>not found</v>
      </c>
    </row>
    <row r="305" spans="2:5">
      <c r="B305" s="31"/>
      <c r="D305" s="31"/>
      <c r="E305" s="73" t="str">
        <f t="array" ref="E305">TRANSPOSE(_xlfn._xlws.SORT(_xlfn._xlws.FILTER(B305:B672,ISNUMBER(SEARCH('PartLib Table'!M311,B305:B672)),"not found")))</f>
        <v>not found</v>
      </c>
    </row>
    <row r="306" spans="2:5">
      <c r="B306" s="31"/>
      <c r="D306" s="31"/>
      <c r="E306" s="73" t="str">
        <f t="array" ref="E306">TRANSPOSE(_xlfn._xlws.SORT(_xlfn._xlws.FILTER(B306:B673,ISNUMBER(SEARCH('PartLib Table'!M312,B306:B673)),"not found")))</f>
        <v>not found</v>
      </c>
    </row>
    <row r="307" spans="2:5">
      <c r="B307" s="31"/>
      <c r="D307" s="31"/>
      <c r="E307" s="73" t="str">
        <f t="array" ref="E307">TRANSPOSE(_xlfn._xlws.SORT(_xlfn._xlws.FILTER(B307:B674,ISNUMBER(SEARCH('PartLib Table'!M313,B307:B674)),"not found")))</f>
        <v>not found</v>
      </c>
    </row>
    <row r="308" spans="2:5">
      <c r="B308" s="31"/>
      <c r="D308" s="31"/>
      <c r="E308" s="73" t="str">
        <f t="array" ref="E308">TRANSPOSE(_xlfn._xlws.SORT(_xlfn._xlws.FILTER(B308:B675,ISNUMBER(SEARCH('PartLib Table'!M314,B308:B675)),"not found")))</f>
        <v>not found</v>
      </c>
    </row>
    <row r="309" spans="2:5">
      <c r="B309" s="31"/>
      <c r="D309" s="31"/>
      <c r="E309" s="73" t="str">
        <f t="array" ref="E309">TRANSPOSE(_xlfn._xlws.SORT(_xlfn._xlws.FILTER(B309:B676,ISNUMBER(SEARCH('PartLib Table'!M315,B309:B676)),"not found")))</f>
        <v>not found</v>
      </c>
    </row>
    <row r="310" spans="2:5">
      <c r="B310" s="31"/>
      <c r="D310" s="31"/>
      <c r="E310" s="73" t="str">
        <f t="array" ref="E310">TRANSPOSE(_xlfn._xlws.SORT(_xlfn._xlws.FILTER(B310:B677,ISNUMBER(SEARCH('PartLib Table'!M316,B310:B677)),"not found")))</f>
        <v>not found</v>
      </c>
    </row>
    <row r="311" spans="2:5">
      <c r="B311" s="31"/>
      <c r="D311" s="31"/>
      <c r="E311" s="73" t="str">
        <f t="array" ref="E311">TRANSPOSE(_xlfn._xlws.SORT(_xlfn._xlws.FILTER(B311:B678,ISNUMBER(SEARCH('PartLib Table'!M317,B311:B678)),"not found")))</f>
        <v>not found</v>
      </c>
    </row>
    <row r="312" spans="2:5">
      <c r="B312" s="31"/>
      <c r="D312" s="31"/>
      <c r="E312" s="73" t="str">
        <f t="array" ref="E312">TRANSPOSE(_xlfn._xlws.SORT(_xlfn._xlws.FILTER(B312:B679,ISNUMBER(SEARCH('PartLib Table'!M318,B312:B679)),"not found")))</f>
        <v>not found</v>
      </c>
    </row>
    <row r="313" spans="2:5">
      <c r="B313" s="31"/>
      <c r="D313" s="31"/>
      <c r="E313" s="73" t="str">
        <f t="array" ref="E313">TRANSPOSE(_xlfn._xlws.SORT(_xlfn._xlws.FILTER(B313:B680,ISNUMBER(SEARCH('PartLib Table'!M319,B313:B680)),"not found")))</f>
        <v>not found</v>
      </c>
    </row>
    <row r="314" spans="2:5">
      <c r="B314" s="31"/>
      <c r="D314" s="31"/>
      <c r="E314" s="73" t="str">
        <f t="array" ref="E314">TRANSPOSE(_xlfn._xlws.SORT(_xlfn._xlws.FILTER(B314:B681,ISNUMBER(SEARCH('PartLib Table'!M320,B314:B681)),"not found")))</f>
        <v>not found</v>
      </c>
    </row>
    <row r="315" spans="2:5">
      <c r="B315" s="31"/>
      <c r="D315" s="31"/>
      <c r="E315" s="73" t="str">
        <f t="array" ref="E315">TRANSPOSE(_xlfn._xlws.SORT(_xlfn._xlws.FILTER(B315:B682,ISNUMBER(SEARCH('PartLib Table'!M321,B315:B682)),"not found")))</f>
        <v>not found</v>
      </c>
    </row>
    <row r="316" spans="2:5">
      <c r="B316" s="31"/>
      <c r="D316" s="31"/>
      <c r="E316" s="73" t="str">
        <f t="array" ref="E316">TRANSPOSE(_xlfn._xlws.SORT(_xlfn._xlws.FILTER(B316:B683,ISNUMBER(SEARCH('PartLib Table'!M322,B316:B683)),"not found")))</f>
        <v>not found</v>
      </c>
    </row>
    <row r="317" spans="2:5">
      <c r="B317" s="31"/>
      <c r="D317" s="31"/>
      <c r="E317" s="73" t="str">
        <f t="array" ref="E317">TRANSPOSE(_xlfn._xlws.SORT(_xlfn._xlws.FILTER(B317:B684,ISNUMBER(SEARCH('PartLib Table'!M323,B317:B684)),"not found")))</f>
        <v>not found</v>
      </c>
    </row>
    <row r="318" spans="2:5">
      <c r="B318" s="31"/>
      <c r="D318" s="31"/>
      <c r="E318" s="73" t="str">
        <f t="array" ref="E318">TRANSPOSE(_xlfn._xlws.SORT(_xlfn._xlws.FILTER(B318:B685,ISNUMBER(SEARCH('PartLib Table'!M324,B318:B685)),"not found")))</f>
        <v>not found</v>
      </c>
    </row>
    <row r="319" spans="2:5">
      <c r="B319" s="31"/>
      <c r="D319" s="31"/>
      <c r="E319" s="73" t="str">
        <f t="array" ref="E319">TRANSPOSE(_xlfn._xlws.SORT(_xlfn._xlws.FILTER(B319:B686,ISNUMBER(SEARCH('PartLib Table'!M325,B319:B686)),"not found")))</f>
        <v>not found</v>
      </c>
    </row>
    <row r="320" spans="2:5">
      <c r="B320" s="31"/>
      <c r="D320" s="31"/>
      <c r="E320" s="73" t="str">
        <f t="array" ref="E320">TRANSPOSE(_xlfn._xlws.SORT(_xlfn._xlws.FILTER(B320:B687,ISNUMBER(SEARCH('PartLib Table'!M326,B320:B687)),"not found")))</f>
        <v>not found</v>
      </c>
    </row>
    <row r="321" spans="2:5">
      <c r="B321" s="31"/>
      <c r="D321" s="31"/>
      <c r="E321" s="73" t="str">
        <f t="array" ref="E321">TRANSPOSE(_xlfn._xlws.SORT(_xlfn._xlws.FILTER(B321:B688,ISNUMBER(SEARCH('PartLib Table'!M327,B321:B688)),"not found")))</f>
        <v>not found</v>
      </c>
    </row>
    <row r="322" spans="2:5">
      <c r="B322" s="31"/>
      <c r="D322" s="31"/>
      <c r="E322" s="73" t="str">
        <f t="array" ref="E322">TRANSPOSE(_xlfn._xlws.SORT(_xlfn._xlws.FILTER(B322:B689,ISNUMBER(SEARCH('PartLib Table'!M328,B322:B689)),"not found")))</f>
        <v>not found</v>
      </c>
    </row>
    <row r="323" spans="2:5">
      <c r="B323" s="31"/>
      <c r="D323" s="31"/>
      <c r="E323" s="73" t="str">
        <f t="array" ref="E323">TRANSPOSE(_xlfn._xlws.SORT(_xlfn._xlws.FILTER(B323:B690,ISNUMBER(SEARCH('PartLib Table'!M329,B323:B690)),"not found")))</f>
        <v>not found</v>
      </c>
    </row>
    <row r="324" spans="2:5">
      <c r="B324" s="31"/>
      <c r="D324" s="31"/>
      <c r="E324" s="73" t="str">
        <f t="array" ref="E324">TRANSPOSE(_xlfn._xlws.SORT(_xlfn._xlws.FILTER(B324:B691,ISNUMBER(SEARCH('PartLib Table'!M330,B324:B691)),"not found")))</f>
        <v>not found</v>
      </c>
    </row>
    <row r="325" spans="2:5">
      <c r="B325" s="31"/>
      <c r="D325" s="31"/>
      <c r="E325" s="73" t="str">
        <f t="array" ref="E325">TRANSPOSE(_xlfn._xlws.SORT(_xlfn._xlws.FILTER(B325:B692,ISNUMBER(SEARCH('PartLib Table'!M331,B325:B692)),"not found")))</f>
        <v>not found</v>
      </c>
    </row>
    <row r="326" spans="2:5">
      <c r="B326" s="31"/>
      <c r="D326" s="31"/>
      <c r="E326" s="73" t="str">
        <f t="array" ref="E326">TRANSPOSE(_xlfn._xlws.SORT(_xlfn._xlws.FILTER(B326:B693,ISNUMBER(SEARCH('PartLib Table'!M332,B326:B693)),"not found")))</f>
        <v>not found</v>
      </c>
    </row>
    <row r="327" spans="2:5">
      <c r="B327" s="31"/>
      <c r="D327" s="31"/>
      <c r="E327" s="73" t="str">
        <f t="array" ref="E327">TRANSPOSE(_xlfn._xlws.SORT(_xlfn._xlws.FILTER(B327:B694,ISNUMBER(SEARCH('PartLib Table'!M333,B327:B694)),"not found")))</f>
        <v>not found</v>
      </c>
    </row>
    <row r="328" spans="2:5">
      <c r="B328" s="31"/>
      <c r="D328" s="31"/>
      <c r="E328" s="73" t="str">
        <f t="array" ref="E328">TRANSPOSE(_xlfn._xlws.SORT(_xlfn._xlws.FILTER(B328:B695,ISNUMBER(SEARCH('PartLib Table'!M334,B328:B695)),"not found")))</f>
        <v>not found</v>
      </c>
    </row>
    <row r="329" spans="2:5">
      <c r="B329" s="31"/>
      <c r="D329" s="31"/>
      <c r="E329" s="73" t="str">
        <f t="array" ref="E329">TRANSPOSE(_xlfn._xlws.SORT(_xlfn._xlws.FILTER(B329:B696,ISNUMBER(SEARCH('PartLib Table'!M335,B329:B696)),"not found")))</f>
        <v>not found</v>
      </c>
    </row>
    <row r="330" spans="2:5">
      <c r="B330" s="31"/>
      <c r="D330" s="31"/>
      <c r="E330" s="73" t="str">
        <f t="array" ref="E330">TRANSPOSE(_xlfn._xlws.SORT(_xlfn._xlws.FILTER(B330:B697,ISNUMBER(SEARCH('PartLib Table'!M336,B330:B697)),"not found")))</f>
        <v>not found</v>
      </c>
    </row>
    <row r="331" spans="2:5">
      <c r="B331" s="31"/>
      <c r="D331" s="31"/>
      <c r="E331" s="73" t="str">
        <f t="array" ref="E331">TRANSPOSE(_xlfn._xlws.SORT(_xlfn._xlws.FILTER(B331:B698,ISNUMBER(SEARCH('PartLib Table'!M337,B331:B698)),"not found")))</f>
        <v>not found</v>
      </c>
    </row>
    <row r="332" spans="2:5">
      <c r="B332" s="31"/>
      <c r="D332" s="31"/>
      <c r="E332" s="73" t="str">
        <f t="array" ref="E332">TRANSPOSE(_xlfn._xlws.SORT(_xlfn._xlws.FILTER(B332:B699,ISNUMBER(SEARCH('PartLib Table'!M338,B332:B699)),"not found")))</f>
        <v>not found</v>
      </c>
    </row>
    <row r="333" spans="2:5">
      <c r="B333" s="31"/>
      <c r="D333" s="31"/>
      <c r="E333" s="73" t="str">
        <f t="array" ref="E333">TRANSPOSE(_xlfn._xlws.SORT(_xlfn._xlws.FILTER(B333:B700,ISNUMBER(SEARCH('PartLib Table'!M339,B333:B700)),"not found")))</f>
        <v>not found</v>
      </c>
    </row>
    <row r="334" spans="2:5">
      <c r="B334" s="31"/>
      <c r="D334" s="31"/>
      <c r="E334" s="73" t="str">
        <f t="array" ref="E334">TRANSPOSE(_xlfn._xlws.SORT(_xlfn._xlws.FILTER(B334:B701,ISNUMBER(SEARCH('PartLib Table'!M340,B334:B701)),"not found")))</f>
        <v>not found</v>
      </c>
    </row>
    <row r="335" spans="2:5">
      <c r="B335" s="31"/>
      <c r="D335" s="31"/>
      <c r="E335" s="73" t="str">
        <f t="array" ref="E335">TRANSPOSE(_xlfn._xlws.SORT(_xlfn._xlws.FILTER(B335:B702,ISNUMBER(SEARCH('PartLib Table'!M341,B335:B702)),"not found")))</f>
        <v>not found</v>
      </c>
    </row>
    <row r="336" spans="2:5">
      <c r="B336" s="31"/>
      <c r="D336" s="31"/>
      <c r="E336" s="73" t="str">
        <f t="array" ref="E336">TRANSPOSE(_xlfn._xlws.SORT(_xlfn._xlws.FILTER(B336:B703,ISNUMBER(SEARCH('PartLib Table'!M342,B336:B703)),"not found")))</f>
        <v>not found</v>
      </c>
    </row>
    <row r="337" spans="2:5">
      <c r="B337" s="31"/>
      <c r="D337" s="31"/>
      <c r="E337" s="73" t="str">
        <f t="array" ref="E337">TRANSPOSE(_xlfn._xlws.SORT(_xlfn._xlws.FILTER(B337:B704,ISNUMBER(SEARCH('PartLib Table'!M343,B337:B704)),"not found")))</f>
        <v>not found</v>
      </c>
    </row>
    <row r="338" spans="2:5">
      <c r="B338" s="31"/>
      <c r="D338" s="31"/>
      <c r="E338" s="73" t="str">
        <f t="array" ref="E338">TRANSPOSE(_xlfn._xlws.SORT(_xlfn._xlws.FILTER(B338:B705,ISNUMBER(SEARCH('PartLib Table'!M344,B338:B705)),"not found")))</f>
        <v>not found</v>
      </c>
    </row>
    <row r="339" spans="2:5">
      <c r="B339" s="31"/>
      <c r="D339" s="31"/>
      <c r="E339" s="73" t="str">
        <f t="array" ref="E339">TRANSPOSE(_xlfn._xlws.SORT(_xlfn._xlws.FILTER(B339:B706,ISNUMBER(SEARCH('PartLib Table'!M345,B339:B706)),"not found")))</f>
        <v>not found</v>
      </c>
    </row>
    <row r="340" spans="2:5">
      <c r="B340" s="31"/>
      <c r="D340" s="31"/>
      <c r="E340" s="73" t="str">
        <f t="array" ref="E340">TRANSPOSE(_xlfn._xlws.SORT(_xlfn._xlws.FILTER(B340:B707,ISNUMBER(SEARCH('PartLib Table'!M346,B340:B707)),"not found")))</f>
        <v>not found</v>
      </c>
    </row>
    <row r="341" spans="2:5">
      <c r="B341" s="31"/>
      <c r="D341" s="31"/>
      <c r="E341" s="73" t="str">
        <f t="array" ref="E341">TRANSPOSE(_xlfn._xlws.SORT(_xlfn._xlws.FILTER(B341:B708,ISNUMBER(SEARCH('PartLib Table'!M347,B341:B708)),"not found")))</f>
        <v>not found</v>
      </c>
    </row>
    <row r="342" spans="2:5">
      <c r="B342" s="31"/>
      <c r="D342" s="31"/>
      <c r="E342" s="73" t="str">
        <f t="array" ref="E342">TRANSPOSE(_xlfn._xlws.SORT(_xlfn._xlws.FILTER(B342:B709,ISNUMBER(SEARCH('PartLib Table'!M348,B342:B709)),"not found")))</f>
        <v>not found</v>
      </c>
    </row>
    <row r="343" spans="2:5">
      <c r="B343" s="31"/>
      <c r="D343" s="31"/>
      <c r="E343" s="73" t="str">
        <f t="array" ref="E343">TRANSPOSE(_xlfn._xlws.SORT(_xlfn._xlws.FILTER(B343:B710,ISNUMBER(SEARCH('PartLib Table'!M349,B343:B710)),"not found")))</f>
        <v>not found</v>
      </c>
    </row>
    <row r="344" spans="2:5">
      <c r="B344" s="31"/>
      <c r="D344" s="31"/>
      <c r="E344" s="73" t="str">
        <f t="array" ref="E344">TRANSPOSE(_xlfn._xlws.SORT(_xlfn._xlws.FILTER(B344:B711,ISNUMBER(SEARCH('PartLib Table'!M350,B344:B711)),"not found")))</f>
        <v>not found</v>
      </c>
    </row>
    <row r="345" spans="2:5">
      <c r="B345" s="31"/>
      <c r="D345" s="31"/>
      <c r="E345" s="73" t="str">
        <f t="array" ref="E345">TRANSPOSE(_xlfn._xlws.SORT(_xlfn._xlws.FILTER(B345:B712,ISNUMBER(SEARCH('PartLib Table'!M351,B345:B712)),"not found")))</f>
        <v>not found</v>
      </c>
    </row>
    <row r="346" spans="2:5">
      <c r="B346" s="31"/>
      <c r="D346" s="31"/>
      <c r="E346" s="73" t="str">
        <f t="array" ref="E346">TRANSPOSE(_xlfn._xlws.SORT(_xlfn._xlws.FILTER(B346:B713,ISNUMBER(SEARCH('PartLib Table'!M352,B346:B713)),"not found")))</f>
        <v>not found</v>
      </c>
    </row>
    <row r="347" spans="2:5">
      <c r="B347" s="31"/>
      <c r="D347" s="31"/>
      <c r="E347" s="73" t="str">
        <f t="array" ref="E347">TRANSPOSE(_xlfn._xlws.SORT(_xlfn._xlws.FILTER(B347:B714,ISNUMBER(SEARCH('PartLib Table'!M353,B347:B714)),"not found")))</f>
        <v>not found</v>
      </c>
    </row>
    <row r="348" spans="2:5">
      <c r="B348" s="31"/>
      <c r="D348" s="31"/>
      <c r="E348" s="73" t="str">
        <f t="array" ref="E348">TRANSPOSE(_xlfn._xlws.SORT(_xlfn._xlws.FILTER(B348:B715,ISNUMBER(SEARCH('PartLib Table'!M354,B348:B715)),"not found")))</f>
        <v>not found</v>
      </c>
    </row>
    <row r="349" spans="2:5">
      <c r="B349" s="31"/>
      <c r="D349" s="31"/>
      <c r="E349" s="73" t="str">
        <f t="array" ref="E349">TRANSPOSE(_xlfn._xlws.SORT(_xlfn._xlws.FILTER(B349:B716,ISNUMBER(SEARCH('PartLib Table'!M355,B349:B716)),"not found")))</f>
        <v>not found</v>
      </c>
    </row>
    <row r="350" spans="2:5">
      <c r="B350" s="31"/>
      <c r="D350" s="31"/>
      <c r="E350" s="73" t="str">
        <f t="array" ref="E350">TRANSPOSE(_xlfn._xlws.SORT(_xlfn._xlws.FILTER(B350:B717,ISNUMBER(SEARCH('PartLib Table'!M356,B350:B717)),"not found")))</f>
        <v>not found</v>
      </c>
    </row>
    <row r="351" spans="2:5">
      <c r="B351" s="31"/>
      <c r="D351" s="31"/>
      <c r="E351" s="73" t="str">
        <f t="array" ref="E351">TRANSPOSE(_xlfn._xlws.SORT(_xlfn._xlws.FILTER(B351:B718,ISNUMBER(SEARCH('PartLib Table'!M357,B351:B718)),"not found")))</f>
        <v>not found</v>
      </c>
    </row>
    <row r="352" spans="2:5">
      <c r="B352" s="31"/>
      <c r="D352" s="31"/>
      <c r="E352" s="73" t="str">
        <f t="array" ref="E352">TRANSPOSE(_xlfn._xlws.SORT(_xlfn._xlws.FILTER(B352:B719,ISNUMBER(SEARCH('PartLib Table'!M358,B352:B719)),"not found")))</f>
        <v>not found</v>
      </c>
    </row>
    <row r="353" spans="2:5">
      <c r="B353" s="31"/>
      <c r="D353" s="31"/>
      <c r="E353" s="73" t="str">
        <f t="array" ref="E353">TRANSPOSE(_xlfn._xlws.SORT(_xlfn._xlws.FILTER(B353:B720,ISNUMBER(SEARCH('PartLib Table'!M359,B353:B720)),"not found")))</f>
        <v>not found</v>
      </c>
    </row>
    <row r="354" spans="2:5">
      <c r="B354" s="31"/>
      <c r="D354" s="31"/>
      <c r="E354" s="73" t="str">
        <f t="array" ref="E354">TRANSPOSE(_xlfn._xlws.SORT(_xlfn._xlws.FILTER(B354:B721,ISNUMBER(SEARCH('PartLib Table'!M360,B354:B721)),"not found")))</f>
        <v>not found</v>
      </c>
    </row>
    <row r="355" spans="2:5">
      <c r="B355" s="31"/>
      <c r="D355" s="31"/>
      <c r="E355" s="73" t="str">
        <f t="array" ref="E355">TRANSPOSE(_xlfn._xlws.SORT(_xlfn._xlws.FILTER(B355:B722,ISNUMBER(SEARCH('PartLib Table'!M361,B355:B722)),"not found")))</f>
        <v>not found</v>
      </c>
    </row>
    <row r="356" spans="2:5">
      <c r="B356" s="31"/>
      <c r="D356" s="31"/>
      <c r="E356" s="73" t="str">
        <f t="array" ref="E356">TRANSPOSE(_xlfn._xlws.SORT(_xlfn._xlws.FILTER(B356:B723,ISNUMBER(SEARCH('PartLib Table'!M362,B356:B723)),"not found")))</f>
        <v>not found</v>
      </c>
    </row>
    <row r="357" spans="2:5">
      <c r="B357" s="31"/>
      <c r="D357" s="31"/>
      <c r="E357" s="73" t="str">
        <f t="array" ref="E357">TRANSPOSE(_xlfn._xlws.SORT(_xlfn._xlws.FILTER(B357:B724,ISNUMBER(SEARCH('PartLib Table'!M363,B357:B724)),"not found")))</f>
        <v>not found</v>
      </c>
    </row>
    <row r="358" spans="2:5">
      <c r="B358" s="31"/>
      <c r="D358" s="31"/>
      <c r="E358" s="73" t="str">
        <f t="array" ref="E358">TRANSPOSE(_xlfn._xlws.SORT(_xlfn._xlws.FILTER(B358:B725,ISNUMBER(SEARCH('PartLib Table'!M364,B358:B725)),"not found")))</f>
        <v>not found</v>
      </c>
    </row>
    <row r="359" spans="2:5">
      <c r="B359" s="31"/>
      <c r="D359" s="31"/>
      <c r="E359" s="73" t="str">
        <f t="array" ref="E359">TRANSPOSE(_xlfn._xlws.SORT(_xlfn._xlws.FILTER(B359:B726,ISNUMBER(SEARCH('PartLib Table'!M365,B359:B726)),"not found")))</f>
        <v>not found</v>
      </c>
    </row>
    <row r="360" spans="2:5">
      <c r="B360" s="31"/>
      <c r="D360" s="31"/>
      <c r="E360" s="73" t="str">
        <f t="array" ref="E360">TRANSPOSE(_xlfn._xlws.SORT(_xlfn._xlws.FILTER(B360:B727,ISNUMBER(SEARCH('PartLib Table'!M366,B360:B727)),"not found")))</f>
        <v>not found</v>
      </c>
    </row>
    <row r="361" spans="2:5">
      <c r="B361" s="31"/>
      <c r="D361" s="31"/>
      <c r="E361" s="73" t="str">
        <f t="array" ref="E361">TRANSPOSE(_xlfn._xlws.SORT(_xlfn._xlws.FILTER(B361:B728,ISNUMBER(SEARCH('PartLib Table'!M367,B361:B728)),"not found")))</f>
        <v>not found</v>
      </c>
    </row>
    <row r="362" spans="2:5">
      <c r="B362" s="31"/>
      <c r="D362" s="31"/>
      <c r="E362" s="73" t="str">
        <f t="array" ref="E362">TRANSPOSE(_xlfn._xlws.SORT(_xlfn._xlws.FILTER(B362:B729,ISNUMBER(SEARCH('PartLib Table'!M368,B362:B729)),"not found")))</f>
        <v>not found</v>
      </c>
    </row>
    <row r="363" spans="2:5">
      <c r="B363" s="31"/>
      <c r="D363" s="31"/>
      <c r="E363" s="73" t="str">
        <f t="array" ref="E363">TRANSPOSE(_xlfn._xlws.SORT(_xlfn._xlws.FILTER(B363:B730,ISNUMBER(SEARCH('PartLib Table'!M369,B363:B730)),"not found")))</f>
        <v>not found</v>
      </c>
    </row>
    <row r="364" spans="2:5">
      <c r="B364" s="31"/>
      <c r="D364" s="31"/>
      <c r="E364" s="73" t="str">
        <f t="array" ref="E364">TRANSPOSE(_xlfn._xlws.SORT(_xlfn._xlws.FILTER(B364:B731,ISNUMBER(SEARCH('PartLib Table'!M370,B364:B731)),"not found")))</f>
        <v>not found</v>
      </c>
    </row>
    <row r="365" spans="2:5">
      <c r="B365" s="31"/>
      <c r="D365" s="31"/>
      <c r="E365" s="73" t="str">
        <f t="array" ref="E365">TRANSPOSE(_xlfn._xlws.SORT(_xlfn._xlws.FILTER(B365:B732,ISNUMBER(SEARCH('PartLib Table'!M371,B365:B732)),"not found")))</f>
        <v>not found</v>
      </c>
    </row>
    <row r="366" spans="2:5">
      <c r="B366" s="31"/>
      <c r="D366" s="31"/>
      <c r="E366" s="73" t="str">
        <f t="array" ref="E366">TRANSPOSE(_xlfn._xlws.SORT(_xlfn._xlws.FILTER(B366:B733,ISNUMBER(SEARCH('PartLib Table'!M372,B366:B733)),"not found")))</f>
        <v>not found</v>
      </c>
    </row>
    <row r="367" spans="2:5">
      <c r="B367" s="31"/>
      <c r="D367" s="31"/>
      <c r="E367" s="73" t="str">
        <f t="array" ref="E367">TRANSPOSE(_xlfn._xlws.SORT(_xlfn._xlws.FILTER(B367:B734,ISNUMBER(SEARCH('PartLib Table'!M373,B367:B734)),"not found")))</f>
        <v>not found</v>
      </c>
    </row>
    <row r="368" spans="2:5">
      <c r="B368" s="31"/>
      <c r="D368" s="31"/>
      <c r="E368" s="73" t="str">
        <f t="array" ref="E368">TRANSPOSE(_xlfn._xlws.SORT(_xlfn._xlws.FILTER(B368:B735,ISNUMBER(SEARCH('PartLib Table'!M374,B368:B735)),"not found")))</f>
        <v>not found</v>
      </c>
    </row>
    <row r="369" spans="2:5">
      <c r="B369" s="31"/>
      <c r="D369" s="31"/>
      <c r="E369" s="73" t="str">
        <f t="array" ref="E369">TRANSPOSE(_xlfn._xlws.SORT(_xlfn._xlws.FILTER(B369:B736,ISNUMBER(SEARCH('PartLib Table'!M375,B369:B736)),"not found")))</f>
        <v>not found</v>
      </c>
    </row>
    <row r="370" spans="2:5">
      <c r="B370" s="31"/>
      <c r="D370" s="31"/>
      <c r="E370" s="73" t="str">
        <f t="array" ref="E370">TRANSPOSE(_xlfn._xlws.SORT(_xlfn._xlws.FILTER(B370:B737,ISNUMBER(SEARCH('PartLib Table'!M376,B370:B737)),"not found")))</f>
        <v>not found</v>
      </c>
    </row>
    <row r="371" spans="2:5">
      <c r="B371" s="31"/>
      <c r="D371" s="31"/>
      <c r="E371" s="73" t="str">
        <f t="array" ref="E371">TRANSPOSE(_xlfn._xlws.SORT(_xlfn._xlws.FILTER(B371:B738,ISNUMBER(SEARCH('PartLib Table'!M377,B371:B738)),"not found")))</f>
        <v>not found</v>
      </c>
    </row>
    <row r="372" spans="2:5">
      <c r="B372" s="31"/>
      <c r="D372" s="31"/>
      <c r="E372" s="73" t="str">
        <f t="array" ref="E372">TRANSPOSE(_xlfn._xlws.SORT(_xlfn._xlws.FILTER(B372:B739,ISNUMBER(SEARCH('PartLib Table'!M378,B372:B739)),"not found")))</f>
        <v>not found</v>
      </c>
    </row>
    <row r="373" spans="2:5">
      <c r="B373" s="31"/>
      <c r="D373" s="31"/>
      <c r="E373" s="73" t="str">
        <f t="array" ref="E373">TRANSPOSE(_xlfn._xlws.SORT(_xlfn._xlws.FILTER(B373:B740,ISNUMBER(SEARCH('PartLib Table'!M379,B373:B740)),"not found")))</f>
        <v>not found</v>
      </c>
    </row>
    <row r="374" spans="2:5">
      <c r="B374" s="31"/>
      <c r="D374" s="31"/>
      <c r="E374" s="73" t="str">
        <f t="array" ref="E374">TRANSPOSE(_xlfn._xlws.SORT(_xlfn._xlws.FILTER(B374:B741,ISNUMBER(SEARCH('PartLib Table'!M380,B374:B741)),"not found")))</f>
        <v>not found</v>
      </c>
    </row>
    <row r="375" spans="2:5">
      <c r="B375" s="31"/>
      <c r="D375" s="31"/>
      <c r="E375" s="73" t="str">
        <f t="array" ref="E375">TRANSPOSE(_xlfn._xlws.SORT(_xlfn._xlws.FILTER(B375:B742,ISNUMBER(SEARCH('PartLib Table'!M381,B375:B742)),"not found")))</f>
        <v>not found</v>
      </c>
    </row>
    <row r="376" spans="2:5">
      <c r="B376" s="31"/>
      <c r="D376" s="31"/>
      <c r="E376" s="73" t="str">
        <f t="array" ref="E376">TRANSPOSE(_xlfn._xlws.SORT(_xlfn._xlws.FILTER(B376:B743,ISNUMBER(SEARCH('PartLib Table'!M382,B376:B743)),"not found")))</f>
        <v>not found</v>
      </c>
    </row>
    <row r="377" spans="2:5">
      <c r="B377" s="31"/>
      <c r="D377" s="31"/>
      <c r="E377" s="73" t="str">
        <f t="array" ref="E377">TRANSPOSE(_xlfn._xlws.SORT(_xlfn._xlws.FILTER(B377:B744,ISNUMBER(SEARCH('PartLib Table'!M383,B377:B744)),"not found")))</f>
        <v>not found</v>
      </c>
    </row>
    <row r="378" spans="2:5">
      <c r="B378" s="31"/>
      <c r="D378" s="31"/>
      <c r="E378" s="73" t="str">
        <f t="array" ref="E378">TRANSPOSE(_xlfn._xlws.SORT(_xlfn._xlws.FILTER(B378:B745,ISNUMBER(SEARCH('PartLib Table'!M384,B378:B745)),"not found")))</f>
        <v>not found</v>
      </c>
    </row>
    <row r="379" spans="2:5">
      <c r="B379" s="31"/>
      <c r="D379" s="31"/>
      <c r="E379" s="73" t="str">
        <f t="array" ref="E379">TRANSPOSE(_xlfn._xlws.SORT(_xlfn._xlws.FILTER(B379:B746,ISNUMBER(SEARCH('PartLib Table'!M385,B379:B746)),"not found")))</f>
        <v>not found</v>
      </c>
    </row>
    <row r="380" spans="2:5">
      <c r="B380" s="31"/>
      <c r="D380" s="31"/>
      <c r="E380" s="73" t="str">
        <f t="array" ref="E380">TRANSPOSE(_xlfn._xlws.SORT(_xlfn._xlws.FILTER(B380:B747,ISNUMBER(SEARCH('PartLib Table'!M386,B380:B747)),"not found")))</f>
        <v>not found</v>
      </c>
    </row>
    <row r="381" spans="2:5">
      <c r="B381" s="31"/>
      <c r="D381" s="31"/>
      <c r="E381" s="73" t="str">
        <f t="array" ref="E381">TRANSPOSE(_xlfn._xlws.SORT(_xlfn._xlws.FILTER(B381:B748,ISNUMBER(SEARCH('PartLib Table'!M387,B381:B748)),"not found")))</f>
        <v>not found</v>
      </c>
    </row>
    <row r="382" spans="2:5">
      <c r="B382" s="31"/>
      <c r="D382" s="31"/>
      <c r="E382" s="73" t="str">
        <f t="array" ref="E382">TRANSPOSE(_xlfn._xlws.SORT(_xlfn._xlws.FILTER(B382:B749,ISNUMBER(SEARCH('PartLib Table'!M388,B382:B749)),"not found")))</f>
        <v>not found</v>
      </c>
    </row>
    <row r="383" spans="2:5">
      <c r="B383" s="31"/>
      <c r="D383" s="31"/>
      <c r="E383" s="73" t="str">
        <f t="array" ref="E383">TRANSPOSE(_xlfn._xlws.SORT(_xlfn._xlws.FILTER(B383:B750,ISNUMBER(SEARCH('PartLib Table'!M389,B383:B750)),"not found")))</f>
        <v>not found</v>
      </c>
    </row>
    <row r="384" spans="2:5">
      <c r="B384" s="31"/>
      <c r="D384" s="31"/>
      <c r="E384" s="73" t="str">
        <f t="array" ref="E384">TRANSPOSE(_xlfn._xlws.SORT(_xlfn._xlws.FILTER(B384:B751,ISNUMBER(SEARCH('PartLib Table'!M390,B384:B751)),"not found")))</f>
        <v>not found</v>
      </c>
    </row>
    <row r="385" spans="2:5">
      <c r="B385" s="31"/>
      <c r="D385" s="31"/>
      <c r="E385" s="73" t="str">
        <f t="array" ref="E385">TRANSPOSE(_xlfn._xlws.SORT(_xlfn._xlws.FILTER(B385:B752,ISNUMBER(SEARCH('PartLib Table'!M391,B385:B752)),"not found")))</f>
        <v>not found</v>
      </c>
    </row>
    <row r="386" spans="2:5">
      <c r="B386" s="31"/>
      <c r="D386" s="31"/>
      <c r="E386" s="73" t="str">
        <f t="array" ref="E386">TRANSPOSE(_xlfn._xlws.SORT(_xlfn._xlws.FILTER(B386:B753,ISNUMBER(SEARCH('PartLib Table'!M392,B386:B753)),"not found")))</f>
        <v>not found</v>
      </c>
    </row>
    <row r="387" spans="2:5">
      <c r="B387" s="31"/>
      <c r="D387" s="31"/>
      <c r="E387" s="73" t="str">
        <f t="array" ref="E387">TRANSPOSE(_xlfn._xlws.SORT(_xlfn._xlws.FILTER(B387:B754,ISNUMBER(SEARCH('PartLib Table'!M393,B387:B754)),"not found")))</f>
        <v>not found</v>
      </c>
    </row>
    <row r="388" spans="2:5">
      <c r="B388" s="31"/>
      <c r="D388" s="31"/>
      <c r="E388" s="73" t="str">
        <f t="array" ref="E388">TRANSPOSE(_xlfn._xlws.SORT(_xlfn._xlws.FILTER(B388:B755,ISNUMBER(SEARCH('PartLib Table'!M394,B388:B755)),"not found")))</f>
        <v>not found</v>
      </c>
    </row>
    <row r="389" spans="2:5">
      <c r="B389" s="31"/>
      <c r="D389" s="31"/>
      <c r="E389" s="73" t="str">
        <f t="array" ref="E389">TRANSPOSE(_xlfn._xlws.SORT(_xlfn._xlws.FILTER(B389:B756,ISNUMBER(SEARCH('PartLib Table'!M395,B389:B756)),"not found")))</f>
        <v>not found</v>
      </c>
    </row>
    <row r="390" spans="2:5">
      <c r="B390" s="31"/>
      <c r="D390" s="31"/>
      <c r="E390" s="73" t="str">
        <f t="array" ref="E390">TRANSPOSE(_xlfn._xlws.SORT(_xlfn._xlws.FILTER(B390:B757,ISNUMBER(SEARCH('PartLib Table'!M396,B390:B757)),"not found")))</f>
        <v>not found</v>
      </c>
    </row>
    <row r="391" spans="2:5">
      <c r="B391" s="31"/>
      <c r="D391" s="31"/>
      <c r="E391" s="73" t="str">
        <f t="array" ref="E391">TRANSPOSE(_xlfn._xlws.SORT(_xlfn._xlws.FILTER(B391:B758,ISNUMBER(SEARCH('PartLib Table'!M397,B391:B758)),"not found")))</f>
        <v>not found</v>
      </c>
    </row>
    <row r="392" spans="2:5">
      <c r="B392" s="31"/>
      <c r="D392" s="31"/>
      <c r="E392" s="73" t="str">
        <f t="array" ref="E392">TRANSPOSE(_xlfn._xlws.SORT(_xlfn._xlws.FILTER(B392:B759,ISNUMBER(SEARCH('PartLib Table'!M398,B392:B759)),"not found")))</f>
        <v>not found</v>
      </c>
    </row>
    <row r="393" spans="2:5">
      <c r="B393" s="31"/>
      <c r="D393" s="31"/>
      <c r="E393" s="73" t="str">
        <f t="array" ref="E393">TRANSPOSE(_xlfn._xlws.SORT(_xlfn._xlws.FILTER(B393:B760,ISNUMBER(SEARCH('PartLib Table'!M399,B393:B760)),"not found")))</f>
        <v>not found</v>
      </c>
    </row>
    <row r="394" spans="2:5">
      <c r="B394" s="31"/>
      <c r="D394" s="31"/>
      <c r="E394" s="73" t="str">
        <f t="array" ref="E394">TRANSPOSE(_xlfn._xlws.SORT(_xlfn._xlws.FILTER(B394:B761,ISNUMBER(SEARCH('PartLib Table'!M400,B394:B761)),"not found")))</f>
        <v>not found</v>
      </c>
    </row>
    <row r="395" spans="2:5">
      <c r="B395" s="31"/>
      <c r="D395" s="31"/>
      <c r="E395" s="73" t="str">
        <f t="array" ref="E395">TRANSPOSE(_xlfn._xlws.SORT(_xlfn._xlws.FILTER(B395:B762,ISNUMBER(SEARCH('PartLib Table'!M401,B395:B762)),"not found")))</f>
        <v>not found</v>
      </c>
    </row>
    <row r="396" spans="2:5">
      <c r="B396" s="31"/>
      <c r="D396" s="31"/>
      <c r="E396" s="73" t="str">
        <f t="array" ref="E396">TRANSPOSE(_xlfn._xlws.SORT(_xlfn._xlws.FILTER(B396:B763,ISNUMBER(SEARCH('PartLib Table'!M402,B396:B763)),"not found")))</f>
        <v>not found</v>
      </c>
    </row>
    <row r="397" spans="2:5">
      <c r="B397" s="31"/>
      <c r="D397" s="31"/>
      <c r="E397" s="73" t="str">
        <f t="array" ref="E397">TRANSPOSE(_xlfn._xlws.SORT(_xlfn._xlws.FILTER(B397:B764,ISNUMBER(SEARCH('PartLib Table'!M403,B397:B764)),"not found")))</f>
        <v>not found</v>
      </c>
    </row>
    <row r="398" spans="2:5">
      <c r="B398" s="31"/>
      <c r="D398" s="31"/>
      <c r="E398" s="73" t="str">
        <f t="array" ref="E398">TRANSPOSE(_xlfn._xlws.SORT(_xlfn._xlws.FILTER(B398:B765,ISNUMBER(SEARCH('PartLib Table'!M404,B398:B765)),"not found")))</f>
        <v>not found</v>
      </c>
    </row>
    <row r="399" spans="2:5">
      <c r="B399" s="31"/>
      <c r="D399" s="31"/>
      <c r="E399" s="73" t="str">
        <f t="array" ref="E399">TRANSPOSE(_xlfn._xlws.SORT(_xlfn._xlws.FILTER(B399:B766,ISNUMBER(SEARCH('PartLib Table'!M405,B399:B766)),"not found")))</f>
        <v>not found</v>
      </c>
    </row>
    <row r="400" spans="2:5">
      <c r="B400" s="31"/>
      <c r="D400" s="31"/>
      <c r="E400" s="73" t="str">
        <f t="array" ref="E400">TRANSPOSE(_xlfn._xlws.SORT(_xlfn._xlws.FILTER(B400:B767,ISNUMBER(SEARCH('PartLib Table'!M406,B400:B767)),"not found")))</f>
        <v>not found</v>
      </c>
    </row>
    <row r="401" spans="2:5">
      <c r="B401" s="31"/>
      <c r="D401" s="31"/>
      <c r="E401" s="73" t="str">
        <f t="array" ref="E401">TRANSPOSE(_xlfn._xlws.SORT(_xlfn._xlws.FILTER(B401:B768,ISNUMBER(SEARCH('PartLib Table'!M407,B401:B768)),"not found")))</f>
        <v>not found</v>
      </c>
    </row>
    <row r="402" spans="2:5">
      <c r="B402" s="31"/>
      <c r="D402" s="31"/>
      <c r="E402" s="73" t="str">
        <f t="array" ref="E402">TRANSPOSE(_xlfn._xlws.SORT(_xlfn._xlws.FILTER(B402:B769,ISNUMBER(SEARCH('PartLib Table'!M408,B402:B769)),"not found")))</f>
        <v>not found</v>
      </c>
    </row>
    <row r="403" spans="2:5">
      <c r="B403" s="31"/>
      <c r="D403" s="31"/>
      <c r="E403" s="73" t="str">
        <f t="array" ref="E403">TRANSPOSE(_xlfn._xlws.SORT(_xlfn._xlws.FILTER(B403:B770,ISNUMBER(SEARCH('PartLib Table'!M409,B403:B770)),"not found")))</f>
        <v>not found</v>
      </c>
    </row>
    <row r="404" spans="2:5">
      <c r="B404" s="31"/>
      <c r="D404" s="31"/>
      <c r="E404" s="73" t="str">
        <f t="array" ref="E404">TRANSPOSE(_xlfn._xlws.SORT(_xlfn._xlws.FILTER(B404:B771,ISNUMBER(SEARCH('PartLib Table'!M410,B404:B771)),"not found")))</f>
        <v>not found</v>
      </c>
    </row>
    <row r="405" spans="2:5">
      <c r="B405" s="31"/>
      <c r="D405" s="31"/>
      <c r="E405" s="73" t="str">
        <f t="array" ref="E405">TRANSPOSE(_xlfn._xlws.SORT(_xlfn._xlws.FILTER(B405:B772,ISNUMBER(SEARCH('PartLib Table'!M411,B405:B772)),"not found")))</f>
        <v>not found</v>
      </c>
    </row>
    <row r="406" spans="2:5">
      <c r="B406" s="31"/>
      <c r="D406" s="31"/>
      <c r="E406" s="73" t="str">
        <f t="array" ref="E406">TRANSPOSE(_xlfn._xlws.SORT(_xlfn._xlws.FILTER(B406:B773,ISNUMBER(SEARCH('PartLib Table'!M412,B406:B773)),"not found")))</f>
        <v>not found</v>
      </c>
    </row>
    <row r="407" spans="2:5">
      <c r="B407" s="31"/>
      <c r="D407" s="31"/>
    </row>
    <row r="408" spans="2:5">
      <c r="B408" s="31"/>
      <c r="D408" s="31"/>
    </row>
    <row r="409" spans="2:5">
      <c r="B409" s="31"/>
      <c r="D409" s="31"/>
    </row>
    <row r="410" spans="2:5">
      <c r="B410" s="31"/>
      <c r="D410" s="31"/>
    </row>
    <row r="411" spans="2:5">
      <c r="B411" s="31"/>
      <c r="D411" s="31"/>
    </row>
    <row r="412" spans="2:5">
      <c r="B412" s="31"/>
      <c r="D412" s="31"/>
    </row>
    <row r="413" spans="2:5">
      <c r="B413" s="31"/>
      <c r="D413" s="31"/>
    </row>
    <row r="414" spans="2:5">
      <c r="B414" s="31"/>
      <c r="D414" s="31"/>
    </row>
    <row r="415" spans="2:5">
      <c r="B415" s="31"/>
      <c r="D415" s="31"/>
    </row>
    <row r="416" spans="2:5">
      <c r="B416" s="31"/>
      <c r="D416" s="31"/>
    </row>
    <row r="417" spans="2:4">
      <c r="B417" s="31"/>
      <c r="D417" s="31"/>
    </row>
    <row r="418" spans="2:4">
      <c r="B418" s="31"/>
      <c r="D418" s="31"/>
    </row>
    <row r="419" spans="2:4">
      <c r="B419" s="31"/>
      <c r="D419" s="31"/>
    </row>
    <row r="420" spans="2:4">
      <c r="B420" s="31"/>
      <c r="D420" s="31"/>
    </row>
    <row r="421" spans="2:4">
      <c r="B421" s="31"/>
      <c r="D421" s="31"/>
    </row>
    <row r="422" spans="2:4">
      <c r="B422" s="31"/>
      <c r="D422" s="31"/>
    </row>
    <row r="423" spans="2:4">
      <c r="B423" s="31"/>
      <c r="D423" s="31"/>
    </row>
    <row r="424" spans="2:4">
      <c r="B424" s="31"/>
      <c r="D424" s="31"/>
    </row>
    <row r="425" spans="2:4">
      <c r="B425" s="31"/>
      <c r="D425" s="31"/>
    </row>
    <row r="426" spans="2:4">
      <c r="B426" s="31"/>
      <c r="D426" s="31"/>
    </row>
    <row r="427" spans="2:4">
      <c r="B427" s="31"/>
      <c r="D427" s="31"/>
    </row>
    <row r="428" spans="2:4">
      <c r="B428" s="31"/>
      <c r="D428" s="31"/>
    </row>
    <row r="429" spans="2:4">
      <c r="B429" s="31"/>
      <c r="D429" s="31"/>
    </row>
    <row r="430" spans="2:4">
      <c r="B430" s="31"/>
      <c r="D430" s="31"/>
    </row>
    <row r="431" spans="2:4">
      <c r="B431" s="31"/>
      <c r="D431" s="31"/>
    </row>
    <row r="432" spans="2:4">
      <c r="B432" s="31"/>
      <c r="D432" s="31"/>
    </row>
    <row r="433" spans="2:4">
      <c r="B433" s="31"/>
      <c r="D433" s="31"/>
    </row>
    <row r="434" spans="2:4">
      <c r="B434" s="31"/>
      <c r="D434" s="31"/>
    </row>
    <row r="435" spans="2:4">
      <c r="B435" s="31"/>
      <c r="D435" s="31"/>
    </row>
    <row r="436" spans="2:4">
      <c r="B436" s="31"/>
      <c r="D436" s="31"/>
    </row>
    <row r="437" spans="2:4">
      <c r="B437" s="31"/>
      <c r="D437" s="31"/>
    </row>
    <row r="438" spans="2:4">
      <c r="B438" s="31"/>
      <c r="D438" s="31"/>
    </row>
    <row r="439" spans="2:4">
      <c r="B439" s="31"/>
      <c r="D439" s="31"/>
    </row>
    <row r="440" spans="2:4">
      <c r="B440" s="31"/>
      <c r="D440" s="31"/>
    </row>
    <row r="441" spans="2:4">
      <c r="B441" s="31"/>
      <c r="D441" s="31"/>
    </row>
    <row r="442" spans="2:4">
      <c r="B442" s="31"/>
      <c r="D442" s="31"/>
    </row>
    <row r="443" spans="2:4">
      <c r="B443" s="31"/>
      <c r="D443" s="31"/>
    </row>
    <row r="444" spans="2:4">
      <c r="B444" s="31"/>
      <c r="D444" s="31"/>
    </row>
    <row r="445" spans="2:4">
      <c r="B445" s="31"/>
      <c r="D445" s="31"/>
    </row>
    <row r="446" spans="2:4">
      <c r="B446" s="31"/>
      <c r="D446" s="31"/>
    </row>
    <row r="447" spans="2:4">
      <c r="B447" s="31"/>
      <c r="D447" s="31"/>
    </row>
    <row r="448" spans="2:4">
      <c r="B448" s="31"/>
      <c r="D448" s="31"/>
    </row>
    <row r="449" spans="2:4">
      <c r="B449" s="31"/>
      <c r="D449" s="31"/>
    </row>
    <row r="450" spans="2:4">
      <c r="B450" s="31"/>
      <c r="D450" s="31"/>
    </row>
    <row r="451" spans="2:4">
      <c r="B451" s="31"/>
      <c r="D451" s="31"/>
    </row>
    <row r="452" spans="2:4">
      <c r="B452" s="31"/>
      <c r="D452" s="31"/>
    </row>
    <row r="453" spans="2:4">
      <c r="B453" s="31"/>
      <c r="D453" s="31"/>
    </row>
    <row r="454" spans="2:4">
      <c r="B454" s="31"/>
      <c r="D454" s="31"/>
    </row>
    <row r="455" spans="2:4">
      <c r="B455" s="31"/>
      <c r="D455" s="31"/>
    </row>
    <row r="456" spans="2:4">
      <c r="B456" s="31"/>
      <c r="D456" s="31"/>
    </row>
    <row r="457" spans="2:4">
      <c r="B457" s="31"/>
      <c r="D457" s="31"/>
    </row>
    <row r="458" spans="2:4">
      <c r="B458" s="31"/>
      <c r="D458" s="31"/>
    </row>
    <row r="459" spans="2:4">
      <c r="B459" s="31"/>
      <c r="D459" s="31"/>
    </row>
    <row r="460" spans="2:4">
      <c r="B460" s="31"/>
      <c r="D460" s="31"/>
    </row>
    <row r="461" spans="2:4">
      <c r="B461" s="31"/>
      <c r="D461" s="31"/>
    </row>
    <row r="462" spans="2:4">
      <c r="B462" s="31"/>
      <c r="D462" s="31"/>
    </row>
    <row r="463" spans="2:4">
      <c r="B463" s="31"/>
      <c r="D463" s="31"/>
    </row>
    <row r="464" spans="2:4">
      <c r="B464" s="31"/>
      <c r="D464" s="31"/>
    </row>
    <row r="465" spans="2:4">
      <c r="B465" s="31"/>
      <c r="D465" s="31"/>
    </row>
    <row r="466" spans="2:4">
      <c r="B466" s="31"/>
      <c r="D466" s="31"/>
    </row>
    <row r="467" spans="2:4">
      <c r="B467" s="31"/>
      <c r="D467" s="31"/>
    </row>
    <row r="468" spans="2:4">
      <c r="B468" s="31"/>
      <c r="D468" s="31"/>
    </row>
    <row r="469" spans="2:4">
      <c r="B469" s="31"/>
      <c r="D469" s="31"/>
    </row>
    <row r="470" spans="2:4">
      <c r="B470" s="31"/>
      <c r="D470" s="31"/>
    </row>
    <row r="471" spans="2:4">
      <c r="B471" s="31"/>
      <c r="D471" s="31"/>
    </row>
    <row r="472" spans="2:4">
      <c r="B472" s="31"/>
      <c r="D472" s="31"/>
    </row>
    <row r="473" spans="2:4">
      <c r="B473" s="31"/>
      <c r="D473" s="31"/>
    </row>
    <row r="474" spans="2:4">
      <c r="B474" s="31"/>
      <c r="D474" s="31"/>
    </row>
    <row r="475" spans="2:4">
      <c r="B475" s="31"/>
      <c r="D475" s="31"/>
    </row>
    <row r="476" spans="2:4">
      <c r="B476" s="31"/>
      <c r="D476" s="31"/>
    </row>
    <row r="477" spans="2:4">
      <c r="B477" s="31"/>
      <c r="D477" s="31"/>
    </row>
    <row r="478" spans="2:4">
      <c r="B478" s="31"/>
      <c r="D478" s="31"/>
    </row>
    <row r="479" spans="2:4">
      <c r="B479" s="31"/>
      <c r="D479" s="31"/>
    </row>
    <row r="480" spans="2:4">
      <c r="B480" s="31"/>
      <c r="D480" s="31"/>
    </row>
    <row r="481" spans="2:4">
      <c r="B481" s="31"/>
      <c r="D481" s="31"/>
    </row>
    <row r="482" spans="2:4">
      <c r="B482" s="31"/>
      <c r="D482" s="31"/>
    </row>
    <row r="483" spans="2:4">
      <c r="B483" s="31"/>
      <c r="D483" s="31"/>
    </row>
    <row r="484" spans="2:4">
      <c r="B484" s="31"/>
      <c r="D484" s="31"/>
    </row>
    <row r="485" spans="2:4">
      <c r="B485" s="31"/>
      <c r="D485" s="31"/>
    </row>
    <row r="486" spans="2:4">
      <c r="B486" s="31"/>
      <c r="D486" s="31"/>
    </row>
    <row r="487" spans="2:4">
      <c r="B487" s="31"/>
      <c r="D487" s="31"/>
    </row>
    <row r="488" spans="2:4">
      <c r="B488" s="31"/>
      <c r="D488" s="31"/>
    </row>
    <row r="489" spans="2:4">
      <c r="B489" s="31"/>
      <c r="D489" s="31"/>
    </row>
    <row r="490" spans="2:4">
      <c r="B490" s="31"/>
      <c r="D490" s="31"/>
    </row>
    <row r="491" spans="2:4">
      <c r="B491" s="31"/>
      <c r="D491" s="31"/>
    </row>
    <row r="492" spans="2:4">
      <c r="B492" s="31"/>
      <c r="D492" s="31"/>
    </row>
    <row r="493" spans="2:4">
      <c r="B493" s="31"/>
      <c r="D493" s="31"/>
    </row>
    <row r="494" spans="2:4">
      <c r="B494" s="31"/>
      <c r="D494" s="31"/>
    </row>
    <row r="495" spans="2:4">
      <c r="B495" s="31"/>
      <c r="D495" s="31"/>
    </row>
    <row r="496" spans="2:4">
      <c r="B496" s="31"/>
      <c r="D496" s="31"/>
    </row>
    <row r="497" spans="2:4">
      <c r="B497" s="31"/>
      <c r="D497" s="31"/>
    </row>
    <row r="498" spans="2:4">
      <c r="B498" s="31"/>
      <c r="D498" s="31"/>
    </row>
    <row r="499" spans="2:4">
      <c r="B499" s="31"/>
      <c r="D499" s="31"/>
    </row>
    <row r="500" spans="2:4">
      <c r="B500" s="31"/>
      <c r="D500" s="31"/>
    </row>
    <row r="501" spans="2:4">
      <c r="B501" s="31"/>
      <c r="D501" s="31"/>
    </row>
    <row r="502" spans="2:4">
      <c r="B502" s="31"/>
      <c r="D502" s="31"/>
    </row>
    <row r="503" spans="2:4">
      <c r="B503" s="31"/>
      <c r="D503" s="31"/>
    </row>
    <row r="504" spans="2:4">
      <c r="B504" s="31"/>
      <c r="D504" s="31"/>
    </row>
    <row r="505" spans="2:4">
      <c r="B505" s="31"/>
      <c r="D505" s="31"/>
    </row>
    <row r="506" spans="2:4">
      <c r="B506" s="31"/>
      <c r="D506" s="31"/>
    </row>
    <row r="507" spans="2:4">
      <c r="B507" s="31"/>
      <c r="D507" s="31"/>
    </row>
    <row r="508" spans="2:4">
      <c r="B508" s="31"/>
      <c r="D508" s="31"/>
    </row>
    <row r="509" spans="2:4">
      <c r="B509" s="31"/>
      <c r="D509" s="31"/>
    </row>
    <row r="510" spans="2:4">
      <c r="B510" s="31"/>
      <c r="D510" s="31"/>
    </row>
    <row r="511" spans="2:4">
      <c r="B511" s="31"/>
      <c r="D511" s="31"/>
    </row>
    <row r="512" spans="2:4">
      <c r="B512" s="31"/>
      <c r="D512" s="31"/>
    </row>
    <row r="513" spans="2:4">
      <c r="B513" s="31"/>
      <c r="D513" s="31"/>
    </row>
    <row r="514" spans="2:4">
      <c r="B514" s="31"/>
      <c r="D514" s="31"/>
    </row>
    <row r="515" spans="2:4">
      <c r="B515" s="31"/>
      <c r="D515" s="31"/>
    </row>
    <row r="516" spans="2:4">
      <c r="B516" s="31"/>
      <c r="D516" s="31"/>
    </row>
    <row r="517" spans="2:4">
      <c r="B517" s="31"/>
      <c r="D517" s="31"/>
    </row>
    <row r="518" spans="2:4">
      <c r="B518" s="31"/>
      <c r="D518" s="31"/>
    </row>
    <row r="519" spans="2:4">
      <c r="B519" s="31"/>
      <c r="D519" s="31"/>
    </row>
    <row r="520" spans="2:4">
      <c r="B520" s="31"/>
      <c r="D520" s="31"/>
    </row>
    <row r="521" spans="2:4">
      <c r="B521" s="31"/>
      <c r="D521" s="31"/>
    </row>
    <row r="522" spans="2:4">
      <c r="B522" s="31"/>
      <c r="D522" s="31"/>
    </row>
    <row r="523" spans="2:4">
      <c r="B523" s="31"/>
      <c r="D523" s="31"/>
    </row>
    <row r="524" spans="2:4">
      <c r="B524" s="31"/>
      <c r="D524" s="31"/>
    </row>
    <row r="525" spans="2:4">
      <c r="B525" s="31"/>
      <c r="D525" s="31"/>
    </row>
    <row r="526" spans="2:4">
      <c r="B526" s="31"/>
      <c r="D526" s="31"/>
    </row>
    <row r="527" spans="2:4">
      <c r="B527" s="31"/>
      <c r="D527" s="31"/>
    </row>
    <row r="528" spans="2:4">
      <c r="B528" s="31"/>
      <c r="D528" s="31"/>
    </row>
    <row r="529" spans="2:4">
      <c r="B529" s="31"/>
      <c r="D529" s="31"/>
    </row>
    <row r="530" spans="2:4">
      <c r="B530" s="31"/>
      <c r="D530" s="31"/>
    </row>
    <row r="531" spans="2:4">
      <c r="B531" s="31"/>
      <c r="D531" s="31"/>
    </row>
    <row r="532" spans="2:4">
      <c r="B532" s="31"/>
      <c r="D532" s="31"/>
    </row>
    <row r="533" spans="2:4">
      <c r="B533" s="31"/>
      <c r="D533" s="31"/>
    </row>
    <row r="534" spans="2:4">
      <c r="B534" s="31"/>
      <c r="D534" s="31"/>
    </row>
    <row r="535" spans="2:4">
      <c r="B535" s="31"/>
      <c r="D535" s="31"/>
    </row>
    <row r="536" spans="2:4">
      <c r="B536" s="31"/>
      <c r="D536" s="31"/>
    </row>
    <row r="537" spans="2:4">
      <c r="B537" s="31"/>
      <c r="D537" s="31"/>
    </row>
    <row r="538" spans="2:4">
      <c r="B538" s="31"/>
      <c r="D538" s="31"/>
    </row>
    <row r="539" spans="2:4">
      <c r="B539" s="31"/>
      <c r="D539" s="31"/>
    </row>
    <row r="540" spans="2:4">
      <c r="B540" s="31"/>
      <c r="D540" s="31"/>
    </row>
    <row r="541" spans="2:4">
      <c r="B541" s="31"/>
      <c r="D541" s="31"/>
    </row>
    <row r="542" spans="2:4">
      <c r="B542" s="31"/>
      <c r="D542" s="31"/>
    </row>
    <row r="543" spans="2:4">
      <c r="B543" s="31"/>
      <c r="D543" s="31"/>
    </row>
    <row r="544" spans="2:4">
      <c r="B544" s="31"/>
      <c r="D544" s="31"/>
    </row>
    <row r="545" spans="2:4">
      <c r="B545" s="31"/>
      <c r="D545" s="31"/>
    </row>
    <row r="546" spans="2:4">
      <c r="B546" s="31"/>
      <c r="D546" s="31"/>
    </row>
    <row r="547" spans="2:4">
      <c r="B547" s="31"/>
      <c r="D547" s="31"/>
    </row>
    <row r="548" spans="2:4">
      <c r="B548" s="31"/>
      <c r="D548" s="31"/>
    </row>
    <row r="549" spans="2:4">
      <c r="B549" s="31"/>
      <c r="D549" s="31"/>
    </row>
    <row r="550" spans="2:4">
      <c r="B550" s="31"/>
      <c r="D550" s="31"/>
    </row>
    <row r="551" spans="2:4">
      <c r="B551" s="31"/>
      <c r="D551" s="31"/>
    </row>
    <row r="552" spans="2:4">
      <c r="B552" s="31"/>
      <c r="D552" s="31"/>
    </row>
    <row r="553" spans="2:4">
      <c r="B553" s="31"/>
      <c r="D553" s="31"/>
    </row>
    <row r="554" spans="2:4">
      <c r="B554" s="31"/>
      <c r="D554" s="31"/>
    </row>
    <row r="555" spans="2:4">
      <c r="B555" s="31"/>
      <c r="D555" s="31"/>
    </row>
    <row r="556" spans="2:4">
      <c r="B556" s="31"/>
      <c r="D556" s="31"/>
    </row>
    <row r="557" spans="2:4">
      <c r="B557" s="31"/>
      <c r="D557" s="31"/>
    </row>
    <row r="558" spans="2:4">
      <c r="B558" s="31"/>
      <c r="D558" s="31"/>
    </row>
    <row r="559" spans="2:4">
      <c r="B559" s="31"/>
      <c r="D559" s="31"/>
    </row>
    <row r="560" spans="2:4">
      <c r="B560" s="31"/>
      <c r="D560" s="31"/>
    </row>
    <row r="561" spans="2:4">
      <c r="B561" s="31"/>
      <c r="D561" s="31"/>
    </row>
    <row r="562" spans="2:4">
      <c r="D562" s="31"/>
    </row>
    <row r="563" spans="2:4">
      <c r="D563" s="31"/>
    </row>
    <row r="564" spans="2:4">
      <c r="D564" s="31"/>
    </row>
    <row r="565" spans="2:4">
      <c r="D565" s="31"/>
    </row>
    <row r="566" spans="2:4">
      <c r="D566" s="31"/>
    </row>
    <row r="567" spans="2:4">
      <c r="D567" s="31"/>
    </row>
    <row r="568" spans="2:4">
      <c r="D568" s="31"/>
    </row>
    <row r="569" spans="2:4">
      <c r="D569" s="31"/>
    </row>
    <row r="570" spans="2:4">
      <c r="D570" s="31"/>
    </row>
    <row r="571" spans="2:4">
      <c r="D571" s="31"/>
    </row>
    <row r="572" spans="2:4">
      <c r="D572" s="31"/>
    </row>
    <row r="573" spans="2:4">
      <c r="D573" s="31"/>
    </row>
    <row r="574" spans="2:4">
      <c r="D574" s="31"/>
    </row>
    <row r="575" spans="2:4">
      <c r="D575" s="31"/>
    </row>
    <row r="576" spans="2:4">
      <c r="D576" s="31"/>
    </row>
    <row r="577" spans="4:4">
      <c r="D577" s="31"/>
    </row>
    <row r="578" spans="4:4">
      <c r="D578" s="31"/>
    </row>
    <row r="579" spans="4:4">
      <c r="D579" s="31"/>
    </row>
    <row r="580" spans="4:4">
      <c r="D580" s="31"/>
    </row>
    <row r="581" spans="4:4">
      <c r="D581" s="31"/>
    </row>
    <row r="582" spans="4:4">
      <c r="D582" s="31"/>
    </row>
    <row r="583" spans="4:4">
      <c r="D583" s="2"/>
    </row>
    <row r="584" spans="4:4">
      <c r="D584" s="2"/>
    </row>
    <row r="585" spans="4:4">
      <c r="D585" s="2"/>
    </row>
    <row r="586" spans="4:4">
      <c r="D586" s="2"/>
    </row>
    <row r="587" spans="4:4">
      <c r="D587" s="2"/>
    </row>
    <row r="588" spans="4:4">
      <c r="D588" s="2"/>
    </row>
    <row r="589" spans="4:4">
      <c r="D589" s="2"/>
    </row>
    <row r="590" spans="4:4">
      <c r="D590" s="2"/>
    </row>
    <row r="591" spans="4:4">
      <c r="D591" s="2"/>
    </row>
    <row r="592" spans="4:4">
      <c r="D592" s="2"/>
    </row>
    <row r="593" spans="4:4">
      <c r="D593" s="2"/>
    </row>
    <row r="594" spans="4:4">
      <c r="D594" s="2"/>
    </row>
    <row r="595" spans="4:4">
      <c r="D595" s="2"/>
    </row>
    <row r="596" spans="4:4">
      <c r="D596" s="2"/>
    </row>
    <row r="597" spans="4:4">
      <c r="D597" s="2"/>
    </row>
    <row r="598" spans="4:4">
      <c r="D598" s="2"/>
    </row>
    <row r="599" spans="4:4">
      <c r="D599" s="2"/>
    </row>
    <row r="600" spans="4:4">
      <c r="D600" s="2"/>
    </row>
    <row r="601" spans="4:4">
      <c r="D601" s="2"/>
    </row>
    <row r="602" spans="4:4">
      <c r="D602" s="2"/>
    </row>
    <row r="603" spans="4:4">
      <c r="D603" s="2"/>
    </row>
    <row r="604" spans="4:4">
      <c r="D604" s="2"/>
    </row>
    <row r="605" spans="4:4">
      <c r="D605" s="2"/>
    </row>
    <row r="606" spans="4:4">
      <c r="D606" s="2"/>
    </row>
    <row r="607" spans="4:4">
      <c r="D607" s="2"/>
    </row>
    <row r="608" spans="4:4">
      <c r="D608" s="2"/>
    </row>
    <row r="609" spans="4:4">
      <c r="D609" s="2"/>
    </row>
    <row r="610" spans="4:4">
      <c r="D610" s="2"/>
    </row>
    <row r="611" spans="4:4">
      <c r="D611" s="2"/>
    </row>
    <row r="612" spans="4:4">
      <c r="D612" s="2"/>
    </row>
    <row r="613" spans="4:4">
      <c r="D613" s="2"/>
    </row>
    <row r="614" spans="4:4">
      <c r="D614" s="2"/>
    </row>
    <row r="615" spans="4:4">
      <c r="D615" s="2"/>
    </row>
    <row r="616" spans="4:4">
      <c r="D616" s="2"/>
    </row>
    <row r="617" spans="4:4">
      <c r="D617" s="2"/>
    </row>
    <row r="618" spans="4:4">
      <c r="D618" s="2"/>
    </row>
    <row r="619" spans="4:4">
      <c r="D619" s="2"/>
    </row>
    <row r="620" spans="4:4">
      <c r="D620" s="2"/>
    </row>
    <row r="621" spans="4:4">
      <c r="D621" s="2"/>
    </row>
    <row r="622" spans="4:4">
      <c r="D622" s="2"/>
    </row>
    <row r="623" spans="4:4">
      <c r="D623" s="2"/>
    </row>
    <row r="624" spans="4:4">
      <c r="D624" s="2"/>
    </row>
    <row r="625" spans="4:4">
      <c r="D625" s="2"/>
    </row>
    <row r="626" spans="4:4">
      <c r="D626" s="2"/>
    </row>
    <row r="627" spans="4:4">
      <c r="D627" s="2"/>
    </row>
    <row r="628" spans="4:4">
      <c r="D628" s="2"/>
    </row>
    <row r="629" spans="4:4">
      <c r="D629" s="2"/>
    </row>
    <row r="630" spans="4:4">
      <c r="D630" s="2"/>
    </row>
    <row r="631" spans="4:4">
      <c r="D631" s="2"/>
    </row>
    <row r="632" spans="4:4">
      <c r="D632" s="2"/>
    </row>
    <row r="633" spans="4:4">
      <c r="D633" s="2"/>
    </row>
    <row r="634" spans="4:4">
      <c r="D634" s="2"/>
    </row>
    <row r="635" spans="4:4">
      <c r="D635" s="2"/>
    </row>
    <row r="636" spans="4:4">
      <c r="D636" s="2"/>
    </row>
    <row r="637" spans="4:4">
      <c r="D637" s="2"/>
    </row>
    <row r="638" spans="4:4">
      <c r="D638" s="2"/>
    </row>
    <row r="639" spans="4:4">
      <c r="D639" s="2"/>
    </row>
    <row r="640" spans="4:4">
      <c r="D640" s="2"/>
    </row>
    <row r="641" spans="4:4">
      <c r="D641" s="2"/>
    </row>
    <row r="642" spans="4:4">
      <c r="D642" s="2"/>
    </row>
    <row r="643" spans="4:4">
      <c r="D643" s="2"/>
    </row>
    <row r="644" spans="4:4">
      <c r="D644" s="2"/>
    </row>
    <row r="645" spans="4:4">
      <c r="D645" s="2"/>
    </row>
    <row r="646" spans="4:4">
      <c r="D646" s="2"/>
    </row>
    <row r="647" spans="4:4">
      <c r="D647" s="2"/>
    </row>
    <row r="648" spans="4:4">
      <c r="D648" s="2"/>
    </row>
    <row r="649" spans="4:4">
      <c r="D649" s="2"/>
    </row>
    <row r="650" spans="4:4">
      <c r="D650" s="2"/>
    </row>
    <row r="651" spans="4:4">
      <c r="D651" s="2"/>
    </row>
    <row r="652" spans="4:4">
      <c r="D652" s="2"/>
    </row>
    <row r="653" spans="4:4">
      <c r="D653" s="2"/>
    </row>
    <row r="654" spans="4:4">
      <c r="D654" s="2"/>
    </row>
    <row r="655" spans="4:4">
      <c r="D655" s="2"/>
    </row>
    <row r="656" spans="4:4">
      <c r="D656" s="2"/>
    </row>
    <row r="657" spans="4:4">
      <c r="D657" s="2"/>
    </row>
    <row r="658" spans="4:4">
      <c r="D658" s="2"/>
    </row>
    <row r="659" spans="4:4">
      <c r="D659" s="2"/>
    </row>
    <row r="660" spans="4:4">
      <c r="D660" s="2"/>
    </row>
    <row r="661" spans="4:4">
      <c r="D661" s="2"/>
    </row>
    <row r="662" spans="4:4">
      <c r="D662" s="2"/>
    </row>
    <row r="663" spans="4:4">
      <c r="D663" s="2"/>
    </row>
    <row r="664" spans="4:4">
      <c r="D664" s="2"/>
    </row>
    <row r="665" spans="4:4">
      <c r="D665" s="2"/>
    </row>
    <row r="666" spans="4:4">
      <c r="D666" s="2"/>
    </row>
    <row r="667" spans="4:4">
      <c r="D667" s="2"/>
    </row>
    <row r="668" spans="4:4">
      <c r="D668" s="2"/>
    </row>
    <row r="669" spans="4:4">
      <c r="D669" s="2"/>
    </row>
    <row r="670" spans="4:4">
      <c r="D670" s="2"/>
    </row>
    <row r="671" spans="4:4">
      <c r="D671" s="2"/>
    </row>
    <row r="672" spans="4:4">
      <c r="D672" s="2"/>
    </row>
    <row r="673" spans="4:4">
      <c r="D673" s="2"/>
    </row>
    <row r="674" spans="4:4">
      <c r="D674" s="2"/>
    </row>
    <row r="675" spans="4:4">
      <c r="D675" s="2"/>
    </row>
    <row r="676" spans="4:4">
      <c r="D676" s="2"/>
    </row>
    <row r="677" spans="4:4">
      <c r="D677" s="2"/>
    </row>
    <row r="678" spans="4:4">
      <c r="D678" s="2"/>
    </row>
    <row r="679" spans="4:4">
      <c r="D679" s="2"/>
    </row>
    <row r="680" spans="4:4">
      <c r="D680" s="2"/>
    </row>
    <row r="681" spans="4:4">
      <c r="D681" s="2"/>
    </row>
    <row r="682" spans="4:4">
      <c r="D682" s="2"/>
    </row>
    <row r="683" spans="4:4">
      <c r="D683" s="2"/>
    </row>
    <row r="684" spans="4:4">
      <c r="D684" s="2"/>
    </row>
    <row r="685" spans="4:4">
      <c r="D685" s="2"/>
    </row>
    <row r="686" spans="4:4">
      <c r="D686" s="2"/>
    </row>
    <row r="687" spans="4:4">
      <c r="D687" s="2"/>
    </row>
    <row r="688" spans="4:4">
      <c r="D688" s="2"/>
    </row>
    <row r="689" spans="4:4">
      <c r="D689" s="2"/>
    </row>
    <row r="690" spans="4:4">
      <c r="D690" s="2"/>
    </row>
    <row r="691" spans="4:4">
      <c r="D691" s="2"/>
    </row>
    <row r="692" spans="4:4">
      <c r="D692" s="2"/>
    </row>
    <row r="693" spans="4:4">
      <c r="D693" s="2"/>
    </row>
    <row r="694" spans="4:4">
      <c r="D694" s="2"/>
    </row>
    <row r="695" spans="4:4">
      <c r="D695" s="2"/>
    </row>
    <row r="696" spans="4:4">
      <c r="D696" s="2"/>
    </row>
    <row r="697" spans="4:4">
      <c r="D697" s="2"/>
    </row>
    <row r="698" spans="4:4">
      <c r="D698" s="2"/>
    </row>
    <row r="699" spans="4:4">
      <c r="D699" s="2"/>
    </row>
    <row r="700" spans="4:4">
      <c r="D700" s="2"/>
    </row>
    <row r="701" spans="4:4">
      <c r="D701" s="2"/>
    </row>
    <row r="702" spans="4:4">
      <c r="D702" s="2"/>
    </row>
    <row r="703" spans="4:4">
      <c r="D703" s="2"/>
    </row>
    <row r="704" spans="4:4">
      <c r="D704" s="2"/>
    </row>
    <row r="705" spans="4:4">
      <c r="D705" s="2"/>
    </row>
    <row r="706" spans="4:4">
      <c r="D706" s="2"/>
    </row>
    <row r="707" spans="4:4">
      <c r="D707" s="2"/>
    </row>
    <row r="708" spans="4:4">
      <c r="D708" s="2"/>
    </row>
    <row r="709" spans="4:4">
      <c r="D709" s="2"/>
    </row>
    <row r="710" spans="4:4">
      <c r="D710" s="2"/>
    </row>
    <row r="711" spans="4:4">
      <c r="D711" s="2"/>
    </row>
    <row r="712" spans="4:4">
      <c r="D712" s="2"/>
    </row>
    <row r="713" spans="4:4">
      <c r="D713" s="2"/>
    </row>
    <row r="714" spans="4:4">
      <c r="D714" s="2"/>
    </row>
    <row r="715" spans="4:4">
      <c r="D715" s="2"/>
    </row>
    <row r="716" spans="4:4">
      <c r="D716" s="2"/>
    </row>
    <row r="717" spans="4:4">
      <c r="D717" s="2"/>
    </row>
    <row r="718" spans="4:4">
      <c r="D718" s="2"/>
    </row>
    <row r="719" spans="4:4">
      <c r="D719" s="2"/>
    </row>
    <row r="720" spans="4:4">
      <c r="D720" s="2"/>
    </row>
    <row r="721" spans="4:4">
      <c r="D721" s="2"/>
    </row>
    <row r="722" spans="4:4">
      <c r="D722" s="2"/>
    </row>
    <row r="723" spans="4:4">
      <c r="D723" s="2"/>
    </row>
    <row r="724" spans="4:4">
      <c r="D724" s="2"/>
    </row>
    <row r="725" spans="4:4">
      <c r="D725" s="2"/>
    </row>
    <row r="726" spans="4:4">
      <c r="D726" s="2"/>
    </row>
    <row r="727" spans="4:4">
      <c r="D727" s="2"/>
    </row>
    <row r="728" spans="4:4">
      <c r="D728" s="2"/>
    </row>
    <row r="729" spans="4:4">
      <c r="D729" s="2"/>
    </row>
    <row r="730" spans="4:4">
      <c r="D730" s="2"/>
    </row>
    <row r="731" spans="4:4">
      <c r="D731" s="2"/>
    </row>
    <row r="732" spans="4:4">
      <c r="D732" s="2"/>
    </row>
    <row r="733" spans="4:4">
      <c r="D733" s="2"/>
    </row>
    <row r="734" spans="4:4">
      <c r="D734" s="2"/>
    </row>
    <row r="735" spans="4:4">
      <c r="D735" s="2"/>
    </row>
    <row r="736" spans="4:4">
      <c r="D736" s="2"/>
    </row>
    <row r="737" spans="4:4">
      <c r="D737" s="2"/>
    </row>
    <row r="738" spans="4:4">
      <c r="D738" s="2"/>
    </row>
    <row r="739" spans="4:4">
      <c r="D739" s="2"/>
    </row>
    <row r="740" spans="4:4">
      <c r="D740" s="2"/>
    </row>
    <row r="741" spans="4:4">
      <c r="D741" s="2"/>
    </row>
    <row r="742" spans="4:4">
      <c r="D742" s="2"/>
    </row>
    <row r="743" spans="4:4">
      <c r="D743" s="2"/>
    </row>
    <row r="744" spans="4:4">
      <c r="D744" s="2"/>
    </row>
    <row r="745" spans="4:4">
      <c r="D745" s="2"/>
    </row>
    <row r="746" spans="4:4">
      <c r="D746" s="2"/>
    </row>
    <row r="747" spans="4:4">
      <c r="D747" s="2"/>
    </row>
    <row r="748" spans="4:4">
      <c r="D748" s="2"/>
    </row>
    <row r="749" spans="4:4">
      <c r="D749" s="2"/>
    </row>
    <row r="750" spans="4:4">
      <c r="D750" s="2"/>
    </row>
    <row r="751" spans="4:4">
      <c r="D751" s="2"/>
    </row>
    <row r="752" spans="4:4">
      <c r="D752" s="2"/>
    </row>
    <row r="753" spans="4:4">
      <c r="D753" s="2"/>
    </row>
    <row r="754" spans="4:4">
      <c r="D754" s="2"/>
    </row>
    <row r="755" spans="4:4">
      <c r="D755" s="2"/>
    </row>
    <row r="756" spans="4:4">
      <c r="D756" s="2"/>
    </row>
    <row r="757" spans="4:4">
      <c r="D757" s="2"/>
    </row>
    <row r="758" spans="4:4">
      <c r="D758" s="2"/>
    </row>
    <row r="759" spans="4:4">
      <c r="D759" s="2"/>
    </row>
    <row r="760" spans="4:4">
      <c r="D760" s="2"/>
    </row>
    <row r="761" spans="4:4">
      <c r="D761" s="2"/>
    </row>
    <row r="762" spans="4:4">
      <c r="D762" s="2"/>
    </row>
    <row r="763" spans="4:4">
      <c r="D763" s="2"/>
    </row>
    <row r="764" spans="4:4">
      <c r="D764" s="2"/>
    </row>
    <row r="765" spans="4:4">
      <c r="D765" s="2"/>
    </row>
    <row r="766" spans="4:4">
      <c r="D766" s="2"/>
    </row>
    <row r="767" spans="4:4">
      <c r="D767" s="2"/>
    </row>
    <row r="768" spans="4:4">
      <c r="D768" s="2"/>
    </row>
    <row r="769" spans="4:4">
      <c r="D769" s="2"/>
    </row>
    <row r="770" spans="4:4">
      <c r="D770" s="2"/>
    </row>
    <row r="771" spans="4:4">
      <c r="D771" s="2"/>
    </row>
    <row r="772" spans="4:4">
      <c r="D772" s="2"/>
    </row>
    <row r="773" spans="4:4">
      <c r="D773" s="2"/>
    </row>
    <row r="774" spans="4:4">
      <c r="D774" s="2"/>
    </row>
    <row r="775" spans="4:4">
      <c r="D775" s="2"/>
    </row>
    <row r="776" spans="4:4">
      <c r="D776" s="2"/>
    </row>
    <row r="777" spans="4:4">
      <c r="D777" s="2"/>
    </row>
    <row r="778" spans="4:4">
      <c r="D778" s="2"/>
    </row>
    <row r="779" spans="4:4">
      <c r="D779" s="2"/>
    </row>
    <row r="780" spans="4:4">
      <c r="D780" s="2"/>
    </row>
    <row r="781" spans="4:4">
      <c r="D781" s="2"/>
    </row>
    <row r="782" spans="4:4">
      <c r="D782" s="2"/>
    </row>
    <row r="783" spans="4:4">
      <c r="D783" s="2"/>
    </row>
    <row r="784" spans="4:4">
      <c r="D784" s="2"/>
    </row>
    <row r="785" spans="4:4">
      <c r="D785" s="2"/>
    </row>
    <row r="786" spans="4:4">
      <c r="D786" s="2"/>
    </row>
    <row r="787" spans="4:4">
      <c r="D787" s="2"/>
    </row>
    <row r="788" spans="4:4">
      <c r="D788" s="2"/>
    </row>
    <row r="789" spans="4:4">
      <c r="D789" s="2"/>
    </row>
    <row r="790" spans="4:4">
      <c r="D790" s="2"/>
    </row>
    <row r="791" spans="4:4">
      <c r="D791" s="2"/>
    </row>
    <row r="792" spans="4:4">
      <c r="D792" s="2"/>
    </row>
    <row r="793" spans="4:4">
      <c r="D793" s="2"/>
    </row>
    <row r="794" spans="4:4">
      <c r="D794" s="2"/>
    </row>
    <row r="795" spans="4:4">
      <c r="D795" s="2"/>
    </row>
    <row r="796" spans="4:4">
      <c r="D796" s="2"/>
    </row>
    <row r="797" spans="4:4">
      <c r="D797" s="2"/>
    </row>
    <row r="798" spans="4:4">
      <c r="D798" s="2"/>
    </row>
    <row r="799" spans="4:4">
      <c r="D799" s="2"/>
    </row>
    <row r="800" spans="4:4">
      <c r="D800" s="2"/>
    </row>
    <row r="801" spans="4:4">
      <c r="D801" s="2"/>
    </row>
    <row r="802" spans="4:4">
      <c r="D802" s="2"/>
    </row>
    <row r="803" spans="4:4">
      <c r="D803" s="2"/>
    </row>
    <row r="804" spans="4:4">
      <c r="D804" s="2"/>
    </row>
    <row r="805" spans="4:4">
      <c r="D805" s="2"/>
    </row>
    <row r="806" spans="4:4">
      <c r="D806" s="2"/>
    </row>
    <row r="807" spans="4:4">
      <c r="D807" s="2"/>
    </row>
    <row r="808" spans="4:4">
      <c r="D808" s="2"/>
    </row>
    <row r="809" spans="4:4">
      <c r="D809" s="2"/>
    </row>
    <row r="810" spans="4:4">
      <c r="D810" s="2"/>
    </row>
    <row r="811" spans="4:4">
      <c r="D811" s="2"/>
    </row>
    <row r="812" spans="4:4">
      <c r="D812" s="2"/>
    </row>
    <row r="813" spans="4:4">
      <c r="D813" s="2"/>
    </row>
    <row r="814" spans="4:4">
      <c r="D814" s="2"/>
    </row>
    <row r="815" spans="4:4">
      <c r="D815" s="2"/>
    </row>
    <row r="816" spans="4:4">
      <c r="D816" s="2"/>
    </row>
    <row r="817" spans="4:4">
      <c r="D817" s="2"/>
    </row>
    <row r="818" spans="4:4">
      <c r="D818" s="2"/>
    </row>
    <row r="819" spans="4:4">
      <c r="D819" s="2"/>
    </row>
    <row r="820" spans="4:4">
      <c r="D820" s="2"/>
    </row>
    <row r="821" spans="4:4">
      <c r="D821" s="2"/>
    </row>
    <row r="822" spans="4:4">
      <c r="D822" s="2"/>
    </row>
    <row r="823" spans="4:4">
      <c r="D823" s="2"/>
    </row>
    <row r="824" spans="4:4">
      <c r="D824" s="2"/>
    </row>
    <row r="825" spans="4:4">
      <c r="D825" s="2"/>
    </row>
    <row r="826" spans="4:4">
      <c r="D826" s="2"/>
    </row>
    <row r="827" spans="4:4">
      <c r="D827" s="2"/>
    </row>
    <row r="828" spans="4:4">
      <c r="D828" s="2"/>
    </row>
    <row r="829" spans="4:4">
      <c r="D829" s="2"/>
    </row>
    <row r="830" spans="4:4">
      <c r="D830" s="2"/>
    </row>
    <row r="831" spans="4:4">
      <c r="D831" s="2"/>
    </row>
    <row r="832" spans="4:4">
      <c r="D832" s="2"/>
    </row>
    <row r="833" spans="4:4">
      <c r="D833" s="2"/>
    </row>
    <row r="834" spans="4:4">
      <c r="D834" s="2"/>
    </row>
    <row r="835" spans="4:4">
      <c r="D835" s="2"/>
    </row>
    <row r="836" spans="4:4">
      <c r="D836" s="2"/>
    </row>
    <row r="837" spans="4:4">
      <c r="D837" s="2"/>
    </row>
    <row r="838" spans="4:4">
      <c r="D838" s="2"/>
    </row>
    <row r="839" spans="4:4">
      <c r="D839" s="2"/>
    </row>
    <row r="840" spans="4:4">
      <c r="D840" s="2"/>
    </row>
    <row r="841" spans="4:4">
      <c r="D841" s="2"/>
    </row>
    <row r="842" spans="4:4">
      <c r="D842" s="2"/>
    </row>
    <row r="843" spans="4:4">
      <c r="D843" s="2"/>
    </row>
    <row r="844" spans="4:4">
      <c r="D844" s="2"/>
    </row>
    <row r="845" spans="4:4">
      <c r="D845" s="2"/>
    </row>
    <row r="846" spans="4:4">
      <c r="D846" s="2"/>
    </row>
    <row r="847" spans="4:4">
      <c r="D847" s="2"/>
    </row>
    <row r="848" spans="4:4">
      <c r="D848" s="2"/>
    </row>
    <row r="849" spans="4:4">
      <c r="D849" s="2"/>
    </row>
    <row r="850" spans="4:4">
      <c r="D850" s="2"/>
    </row>
    <row r="851" spans="4:4">
      <c r="D851" s="2"/>
    </row>
    <row r="852" spans="4:4">
      <c r="D852" s="2"/>
    </row>
    <row r="853" spans="4:4">
      <c r="D853" s="2"/>
    </row>
    <row r="854" spans="4:4">
      <c r="D854" s="2"/>
    </row>
    <row r="855" spans="4:4">
      <c r="D855" s="2"/>
    </row>
    <row r="856" spans="4:4">
      <c r="D856" s="2"/>
    </row>
    <row r="857" spans="4:4">
      <c r="D857" s="2"/>
    </row>
    <row r="858" spans="4:4">
      <c r="D858" s="2"/>
    </row>
    <row r="859" spans="4:4">
      <c r="D859" s="2"/>
    </row>
    <row r="860" spans="4:4">
      <c r="D860" s="2"/>
    </row>
    <row r="861" spans="4:4">
      <c r="D861" s="2"/>
    </row>
    <row r="862" spans="4:4">
      <c r="D862" s="2"/>
    </row>
    <row r="863" spans="4:4">
      <c r="D863" s="2"/>
    </row>
    <row r="864" spans="4:4">
      <c r="D864" s="2"/>
    </row>
    <row r="865" spans="4:4">
      <c r="D865" s="2"/>
    </row>
    <row r="866" spans="4:4">
      <c r="D866" s="2"/>
    </row>
    <row r="867" spans="4:4">
      <c r="D867" s="2"/>
    </row>
    <row r="868" spans="4:4">
      <c r="D868" s="2"/>
    </row>
    <row r="869" spans="4:4">
      <c r="D869" s="2"/>
    </row>
    <row r="870" spans="4:4">
      <c r="D870" s="2"/>
    </row>
    <row r="871" spans="4:4">
      <c r="D871" s="2"/>
    </row>
    <row r="872" spans="4:4">
      <c r="D872" s="2"/>
    </row>
    <row r="873" spans="4:4">
      <c r="D873" s="2"/>
    </row>
    <row r="874" spans="4:4">
      <c r="D874" s="2"/>
    </row>
    <row r="875" spans="4:4">
      <c r="D875" s="2"/>
    </row>
    <row r="876" spans="4:4">
      <c r="D876" s="2"/>
    </row>
    <row r="877" spans="4:4">
      <c r="D877" s="2"/>
    </row>
    <row r="878" spans="4:4">
      <c r="D878" s="2"/>
    </row>
    <row r="879" spans="4:4">
      <c r="D879" s="2"/>
    </row>
    <row r="880" spans="4:4">
      <c r="D880" s="2"/>
    </row>
    <row r="881" spans="4:4">
      <c r="D881" s="2"/>
    </row>
    <row r="882" spans="4:4">
      <c r="D882" s="2"/>
    </row>
    <row r="883" spans="4:4">
      <c r="D883" s="2"/>
    </row>
    <row r="884" spans="4:4">
      <c r="D884" s="2"/>
    </row>
    <row r="885" spans="4:4">
      <c r="D885" s="2"/>
    </row>
    <row r="886" spans="4:4">
      <c r="D886" s="2"/>
    </row>
    <row r="887" spans="4:4">
      <c r="D887" s="2"/>
    </row>
    <row r="888" spans="4:4">
      <c r="D888" s="2"/>
    </row>
    <row r="889" spans="4:4">
      <c r="D889" s="2"/>
    </row>
    <row r="890" spans="4:4">
      <c r="D890" s="2"/>
    </row>
    <row r="891" spans="4:4">
      <c r="D891" s="2"/>
    </row>
    <row r="892" spans="4:4">
      <c r="D892" s="2"/>
    </row>
    <row r="893" spans="4:4">
      <c r="D893" s="2"/>
    </row>
    <row r="894" spans="4:4">
      <c r="D894" s="2"/>
    </row>
    <row r="895" spans="4:4">
      <c r="D895" s="2"/>
    </row>
    <row r="896" spans="4:4">
      <c r="D896" s="2"/>
    </row>
    <row r="897" spans="4:4">
      <c r="D897" s="2"/>
    </row>
    <row r="898" spans="4:4">
      <c r="D898" s="2"/>
    </row>
    <row r="899" spans="4:4">
      <c r="D899" s="2"/>
    </row>
    <row r="900" spans="4:4">
      <c r="D900" s="2"/>
    </row>
    <row r="901" spans="4:4">
      <c r="D901" s="2"/>
    </row>
    <row r="902" spans="4:4">
      <c r="D902" s="2"/>
    </row>
    <row r="903" spans="4:4">
      <c r="D903" s="2"/>
    </row>
    <row r="904" spans="4:4">
      <c r="D904" s="2"/>
    </row>
    <row r="905" spans="4:4">
      <c r="D905" s="2"/>
    </row>
    <row r="906" spans="4:4">
      <c r="D906" s="2"/>
    </row>
    <row r="907" spans="4:4">
      <c r="D907" s="2"/>
    </row>
    <row r="908" spans="4:4">
      <c r="D908" s="2"/>
    </row>
    <row r="909" spans="4:4">
      <c r="D909" s="2"/>
    </row>
    <row r="910" spans="4:4">
      <c r="D910" s="2"/>
    </row>
    <row r="911" spans="4:4">
      <c r="D911" s="2"/>
    </row>
    <row r="912" spans="4:4">
      <c r="D912" s="2"/>
    </row>
    <row r="913" spans="4:4">
      <c r="D913" s="2"/>
    </row>
    <row r="914" spans="4:4">
      <c r="D914" s="2"/>
    </row>
    <row r="915" spans="4:4">
      <c r="D915" s="2"/>
    </row>
    <row r="916" spans="4:4">
      <c r="D916" s="2"/>
    </row>
    <row r="917" spans="4:4">
      <c r="D917" s="2"/>
    </row>
    <row r="918" spans="4:4">
      <c r="D918" s="2"/>
    </row>
    <row r="919" spans="4:4">
      <c r="D919" s="2"/>
    </row>
    <row r="920" spans="4:4">
      <c r="D920" s="2"/>
    </row>
    <row r="921" spans="4:4">
      <c r="D921" s="2"/>
    </row>
    <row r="922" spans="4:4">
      <c r="D922" s="2"/>
    </row>
    <row r="923" spans="4:4">
      <c r="D923" s="2"/>
    </row>
    <row r="924" spans="4:4">
      <c r="D924" s="2"/>
    </row>
    <row r="925" spans="4:4">
      <c r="D925" s="2"/>
    </row>
    <row r="926" spans="4:4">
      <c r="D926" s="2"/>
    </row>
    <row r="927" spans="4:4">
      <c r="D927" s="2"/>
    </row>
    <row r="928" spans="4:4">
      <c r="D928" s="2"/>
    </row>
    <row r="929" spans="4:4">
      <c r="D929" s="2"/>
    </row>
    <row r="930" spans="4:4">
      <c r="D930" s="2"/>
    </row>
    <row r="931" spans="4:4">
      <c r="D931" s="2"/>
    </row>
    <row r="932" spans="4:4">
      <c r="D932" s="2"/>
    </row>
    <row r="933" spans="4:4">
      <c r="D933" s="2"/>
    </row>
    <row r="934" spans="4:4">
      <c r="D934" s="2"/>
    </row>
    <row r="935" spans="4:4">
      <c r="D935" s="2"/>
    </row>
    <row r="936" spans="4:4">
      <c r="D936" s="2"/>
    </row>
    <row r="937" spans="4:4">
      <c r="D937" s="2"/>
    </row>
    <row r="938" spans="4:4">
      <c r="D938" s="2"/>
    </row>
    <row r="939" spans="4:4">
      <c r="D939" s="2"/>
    </row>
    <row r="940" spans="4:4">
      <c r="D940" s="2"/>
    </row>
    <row r="941" spans="4:4">
      <c r="D941" s="2"/>
    </row>
    <row r="942" spans="4:4">
      <c r="D942" s="2"/>
    </row>
    <row r="943" spans="4:4">
      <c r="D943" s="2"/>
    </row>
    <row r="944" spans="4:4">
      <c r="D944" s="2"/>
    </row>
    <row r="945" spans="4:4">
      <c r="D945" s="2"/>
    </row>
    <row r="946" spans="4:4">
      <c r="D946" s="2"/>
    </row>
    <row r="947" spans="4:4">
      <c r="D947" s="2"/>
    </row>
    <row r="948" spans="4:4">
      <c r="D948" s="2"/>
    </row>
    <row r="949" spans="4:4">
      <c r="D949" s="2"/>
    </row>
    <row r="950" spans="4:4">
      <c r="D950" s="2"/>
    </row>
    <row r="951" spans="4:4">
      <c r="D951" s="2"/>
    </row>
    <row r="952" spans="4:4">
      <c r="D952" s="2"/>
    </row>
    <row r="953" spans="4:4">
      <c r="D953" s="2"/>
    </row>
    <row r="954" spans="4:4">
      <c r="D954" s="2"/>
    </row>
    <row r="955" spans="4:4">
      <c r="D955" s="2"/>
    </row>
    <row r="956" spans="4:4">
      <c r="D956" s="2"/>
    </row>
    <row r="957" spans="4:4">
      <c r="D957" s="2"/>
    </row>
    <row r="958" spans="4:4">
      <c r="D958" s="2"/>
    </row>
    <row r="959" spans="4:4">
      <c r="D959" s="2"/>
    </row>
    <row r="960" spans="4:4">
      <c r="D960" s="2"/>
    </row>
    <row r="961" spans="4:4">
      <c r="D961" s="2"/>
    </row>
    <row r="962" spans="4:4">
      <c r="D962" s="2"/>
    </row>
    <row r="963" spans="4:4">
      <c r="D963" s="2"/>
    </row>
    <row r="964" spans="4:4">
      <c r="D964" s="2"/>
    </row>
    <row r="965" spans="4:4">
      <c r="D965" s="2"/>
    </row>
    <row r="966" spans="4:4">
      <c r="D966" s="2"/>
    </row>
    <row r="967" spans="4:4">
      <c r="D967" s="2"/>
    </row>
    <row r="968" spans="4:4">
      <c r="D968" s="2"/>
    </row>
    <row r="969" spans="4:4">
      <c r="D969" s="2"/>
    </row>
    <row r="970" spans="4:4">
      <c r="D970" s="2"/>
    </row>
    <row r="971" spans="4:4">
      <c r="D971" s="2"/>
    </row>
    <row r="972" spans="4:4">
      <c r="D972" s="2"/>
    </row>
    <row r="973" spans="4:4">
      <c r="D973" s="2"/>
    </row>
    <row r="974" spans="4:4">
      <c r="D974" s="2"/>
    </row>
    <row r="975" spans="4:4">
      <c r="D975" s="2"/>
    </row>
    <row r="976" spans="4:4">
      <c r="D976" s="2"/>
    </row>
    <row r="977" spans="4:4">
      <c r="D977" s="2"/>
    </row>
    <row r="978" spans="4:4">
      <c r="D978" s="2"/>
    </row>
    <row r="979" spans="4:4">
      <c r="D979" s="2"/>
    </row>
    <row r="980" spans="4:4">
      <c r="D980" s="2"/>
    </row>
    <row r="981" spans="4:4">
      <c r="D981" s="2"/>
    </row>
    <row r="982" spans="4:4">
      <c r="D982" s="2"/>
    </row>
    <row r="983" spans="4:4">
      <c r="D983" s="2"/>
    </row>
    <row r="984" spans="4:4">
      <c r="D984" s="2"/>
    </row>
    <row r="985" spans="4:4">
      <c r="D985" s="2"/>
    </row>
    <row r="986" spans="4:4">
      <c r="D986" s="2"/>
    </row>
    <row r="987" spans="4:4">
      <c r="D987" s="2"/>
    </row>
    <row r="988" spans="4:4">
      <c r="D988" s="2"/>
    </row>
    <row r="989" spans="4:4">
      <c r="D989" s="2"/>
    </row>
    <row r="990" spans="4:4">
      <c r="D990" s="2"/>
    </row>
    <row r="991" spans="4:4">
      <c r="D991" s="2"/>
    </row>
    <row r="992" spans="4:4">
      <c r="D992" s="2"/>
    </row>
    <row r="993" spans="4:4">
      <c r="D993" s="2"/>
    </row>
    <row r="994" spans="4:4">
      <c r="D994" s="2"/>
    </row>
    <row r="995" spans="4:4">
      <c r="D995" s="2"/>
    </row>
    <row r="996" spans="4:4">
      <c r="D996" s="2"/>
    </row>
    <row r="997" spans="4:4">
      <c r="D997" s="2"/>
    </row>
    <row r="998" spans="4:4">
      <c r="D998" s="2"/>
    </row>
    <row r="999" spans="4:4">
      <c r="D999" s="2"/>
    </row>
    <row r="1000" spans="4:4">
      <c r="D1000" s="2"/>
    </row>
    <row r="1001" spans="4:4">
      <c r="D1001" s="2"/>
    </row>
    <row r="1002" spans="4:4">
      <c r="D1002" s="2"/>
    </row>
    <row r="1003" spans="4:4">
      <c r="D1003" s="2"/>
    </row>
    <row r="1004" spans="4:4">
      <c r="D1004" s="2"/>
    </row>
    <row r="1005" spans="4:4">
      <c r="D1005" s="2"/>
    </row>
    <row r="1006" spans="4:4">
      <c r="D1006" s="2"/>
    </row>
    <row r="1007" spans="4:4">
      <c r="D1007" s="2"/>
    </row>
    <row r="1008" spans="4:4">
      <c r="D1008" s="2"/>
    </row>
    <row r="1009" spans="4:4">
      <c r="D1009" s="2"/>
    </row>
    <row r="1010" spans="4:4">
      <c r="D1010" s="2"/>
    </row>
    <row r="1011" spans="4:4">
      <c r="D1011" s="2"/>
    </row>
    <row r="1012" spans="4:4">
      <c r="D1012" s="2"/>
    </row>
    <row r="1013" spans="4:4">
      <c r="D1013" s="2"/>
    </row>
    <row r="1014" spans="4:4">
      <c r="D1014" s="2"/>
    </row>
    <row r="1015" spans="4:4">
      <c r="D1015" s="2"/>
    </row>
    <row r="1016" spans="4:4">
      <c r="D1016" s="2"/>
    </row>
    <row r="1017" spans="4:4">
      <c r="D1017" s="2"/>
    </row>
    <row r="1018" spans="4:4">
      <c r="D1018" s="2"/>
    </row>
    <row r="1019" spans="4:4">
      <c r="D1019" s="2"/>
    </row>
    <row r="1020" spans="4:4">
      <c r="D1020" s="2"/>
    </row>
  </sheetData>
  <mergeCells count="1">
    <mergeCell ref="A1:D1"/>
  </mergeCells>
  <conditionalFormatting sqref="D68:D70 D3:D66 D72:D80 D82:D582">
    <cfRule type="duplicateValues" dxfId="16" priority="11"/>
  </conditionalFormatting>
  <conditionalFormatting sqref="B72:B75 B77:B80 B3:B70 B82:B561">
    <cfRule type="duplicateValues" dxfId="15" priority="33"/>
  </conditionalFormatting>
  <conditionalFormatting sqref="D71">
    <cfRule type="expression" dxfId="14" priority="8">
      <formula>LEN(D71)&gt;41</formula>
    </cfRule>
  </conditionalFormatting>
  <conditionalFormatting sqref="D71">
    <cfRule type="duplicateValues" dxfId="13" priority="7"/>
  </conditionalFormatting>
  <conditionalFormatting sqref="B71">
    <cfRule type="duplicateValues" dxfId="12" priority="9"/>
  </conditionalFormatting>
  <conditionalFormatting sqref="B76">
    <cfRule type="expression" dxfId="11" priority="6">
      <formula>LEN(B76)&gt;41</formula>
    </cfRule>
  </conditionalFormatting>
  <conditionalFormatting sqref="B76">
    <cfRule type="duplicateValues" dxfId="10" priority="5"/>
  </conditionalFormatting>
  <conditionalFormatting sqref="B78">
    <cfRule type="expression" dxfId="9" priority="4">
      <formula>LEN(B78)&gt;41</formula>
    </cfRule>
  </conditionalFormatting>
  <conditionalFormatting sqref="D80">
    <cfRule type="expression" dxfId="8" priority="3">
      <formula>LEN(D80)&gt;41</formula>
    </cfRule>
  </conditionalFormatting>
  <conditionalFormatting sqref="D81">
    <cfRule type="duplicateValues" dxfId="7" priority="2"/>
  </conditionalFormatting>
  <conditionalFormatting sqref="B81">
    <cfRule type="duplicateValues" dxfId="6" priority="1"/>
  </conditionalFormatting>
  <pageMargins left="0.7" right="0.7" top="0.75" bottom="0.75" header="0.3" footer="0.3"/>
  <pageSetup orientation="portrait" horizontalDpi="300" verticalDpi="300" r:id="rId1"/>
  <legacy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
  <sheetViews>
    <sheetView workbookViewId="0"/>
  </sheetViews>
  <sheetFormatPr defaultRowHeight="15"/>
  <sheetData/>
  <pageMargins left="0.7" right="0.7" top="0.75" bottom="0.75" header="0.3" footer="0.3"/>
  <pageSetup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
  <sheetViews>
    <sheetView workbookViewId="0"/>
  </sheetViews>
  <sheetFormatPr defaultRowHeight="15"/>
  <sheetData/>
  <pageMargins left="0.7" right="0.7" top="0.75" bottom="0.75" header="0.3" footer="0.3"/>
  <pageSetup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1E0C6-A252-48F0-84E7-CA7DD135210E}">
  <sheetPr codeName="Sheet10"/>
  <dimension ref="A1:A2"/>
  <sheetViews>
    <sheetView workbookViewId="0">
      <selection activeCell="B4" sqref="B4"/>
    </sheetView>
  </sheetViews>
  <sheetFormatPr defaultRowHeight="15"/>
  <cols>
    <col min="1" max="1" width="18.7109375" style="318" customWidth="1"/>
  </cols>
  <sheetData>
    <row r="1" spans="1:1">
      <c r="A1" s="317" t="s">
        <v>614</v>
      </c>
    </row>
    <row r="2" spans="1:1">
      <c r="A2" s="318" t="s">
        <v>33</v>
      </c>
    </row>
  </sheetData>
  <sheetProtection algorithmName="SHA-512" hashValue="QhFtQb0PlkNT0kKgzv9cc+tSgWTfh5kIar1EtwbdRO1vfAsBpPTJejQHl/9BLLRr4Rvdu4KwpEEPowkkkFEJAw==" saltValue="jBtC8zYGe98fFithl64oow==" spinCount="100000" sheet="1" objects="1" scenarios="1"/>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H498"/>
  <sheetViews>
    <sheetView topLeftCell="B1" workbookViewId="0">
      <selection activeCell="F5" sqref="F5"/>
    </sheetView>
  </sheetViews>
  <sheetFormatPr defaultColWidth="9.140625" defaultRowHeight="15"/>
  <cols>
    <col min="1" max="1" width="19" style="76" hidden="1" customWidth="1"/>
    <col min="2" max="2" width="13.42578125" style="76" bestFit="1" customWidth="1"/>
    <col min="3" max="3" width="36.42578125" style="76" bestFit="1" customWidth="1"/>
    <col min="4" max="4" width="12.28515625" style="76" bestFit="1" customWidth="1"/>
    <col min="5" max="5" width="20.140625" style="76" bestFit="1" customWidth="1"/>
    <col min="6" max="6" width="43.7109375" style="132" customWidth="1"/>
    <col min="7" max="7" width="14.140625" style="76" bestFit="1" customWidth="1"/>
    <col min="8" max="8" width="17.28515625" style="76" bestFit="1" customWidth="1"/>
    <col min="9" max="16384" width="9.140625" style="76"/>
  </cols>
  <sheetData>
    <row r="1" spans="1:8">
      <c r="A1" s="113" t="str">
        <f>'PartLib Table'!C3</f>
        <v>Characteristic Name</v>
      </c>
      <c r="B1" s="77" t="str">
        <f>'PartLib Table'!K3</f>
        <v>BALLOON NO.</v>
      </c>
      <c r="C1" s="77" t="str">
        <f>'PartLib Table'!L3</f>
        <v>Characteristic Description</v>
      </c>
      <c r="D1" s="77" t="str">
        <f>'PartLib Table'!M3</f>
        <v>COMMENTS</v>
      </c>
      <c r="E1" s="77" t="str">
        <f>'PartLib Table'!N3</f>
        <v>INSPECTION METHOD</v>
      </c>
      <c r="F1" s="75" t="str">
        <f>'PartLib Table'!O3</f>
        <v>IN-PROCESS, INSPECTION FREQUENCY</v>
      </c>
      <c r="G1" s="77" t="str">
        <f>'PartLib Table'!P3</f>
        <v>PINS / GAUGES</v>
      </c>
      <c r="H1" s="77" t="str">
        <f>'PartLib Table'!Q3</f>
        <v>TOOL AXIS OFFSET</v>
      </c>
    </row>
    <row r="2" spans="1:8">
      <c r="A2" s="76" t="str">
        <f>'PartLib Table'!C4</f>
        <v>(i)</v>
      </c>
      <c r="B2" s="77" t="str">
        <f>'PartLib Table'!K4</f>
        <v>i</v>
      </c>
      <c r="C2" s="77" t="str">
        <f>'PartLib Table'!L4</f>
        <v>No Nicks, Scratches, Tool Marks,etc.</v>
      </c>
      <c r="D2" s="77" t="str">
        <f>'PartLib Table'!M4</f>
        <v>NA</v>
      </c>
      <c r="E2" s="77" t="str">
        <f>'PartLib Table'!N4</f>
        <v>Visual · 2.25×</v>
      </c>
      <c r="F2" s="75">
        <f>'PartLib Table'!O4</f>
        <v>1</v>
      </c>
      <c r="G2" s="77" t="str">
        <f>'PartLib Table'!P4</f>
        <v>NA</v>
      </c>
      <c r="H2" s="77" t="str">
        <f>'PartLib Table'!Q4</f>
        <v>NA</v>
      </c>
    </row>
    <row r="3" spans="1:8">
      <c r="A3" s="76" t="str">
        <f>'PartLib Table'!C5</f>
        <v>(ii)</v>
      </c>
      <c r="B3" s="77" t="str">
        <f>'PartLib Table'!K5</f>
        <v>ii</v>
      </c>
      <c r="C3" s="77" t="str">
        <f>'PartLib Table'!L5</f>
        <v>Deburred</v>
      </c>
      <c r="D3" s="77" t="str">
        <f>'PartLib Table'!M5</f>
        <v>NA</v>
      </c>
      <c r="E3" s="77" t="str">
        <f>'PartLib Table'!N5</f>
        <v>Visual · 2.25×</v>
      </c>
      <c r="F3" s="75">
        <f>'PartLib Table'!O5</f>
        <v>1</v>
      </c>
      <c r="G3" s="77" t="str">
        <f>'PartLib Table'!P5</f>
        <v>NA</v>
      </c>
      <c r="H3" s="77" t="str">
        <f>'PartLib Table'!Q5</f>
        <v>NA</v>
      </c>
    </row>
    <row r="4" spans="1:8">
      <c r="A4" s="76" t="str">
        <f>'PartLib Table'!C6</f>
        <v>(iii)</v>
      </c>
      <c r="B4" s="77" t="str">
        <f>'PartLib Table'!K6</f>
        <v>iii</v>
      </c>
      <c r="C4" s="77" t="str">
        <f>'PartLib Table'!L6</f>
        <v>Chips/Debris Removed</v>
      </c>
      <c r="D4" s="77" t="str">
        <f>'PartLib Table'!M6</f>
        <v>NA</v>
      </c>
      <c r="E4" s="77" t="str">
        <f>'PartLib Table'!N6</f>
        <v>Visual · 2.25×</v>
      </c>
      <c r="F4" s="75">
        <f>'PartLib Table'!O6</f>
        <v>1</v>
      </c>
      <c r="G4" s="77" t="str">
        <f>'PartLib Table'!P6</f>
        <v>NA</v>
      </c>
      <c r="H4" s="77" t="str">
        <f>'PartLib Table'!Q6</f>
        <v>NA</v>
      </c>
    </row>
    <row r="5" spans="1:8">
      <c r="A5" s="76" t="str">
        <f>'PartLib Table'!C7</f>
        <v>(iv)</v>
      </c>
      <c r="B5" s="77" t="str">
        <f>'PartLib Table'!K7</f>
        <v>iv</v>
      </c>
      <c r="C5" s="77" t="str">
        <f>'PartLib Table'!L7</f>
        <v>Gauges issued &amp; verified per FO-82-030</v>
      </c>
      <c r="D5" s="77" t="str">
        <f>'PartLib Table'!M7</f>
        <v>NA</v>
      </c>
      <c r="E5" s="77" t="str">
        <f>'PartLib Table'!N7</f>
        <v>Visual</v>
      </c>
      <c r="F5" s="75" t="str">
        <f>'PartLib Table'!O7</f>
        <v xml:space="preserve">FAI or FIRST VISUAL </v>
      </c>
      <c r="G5" s="77" t="str">
        <f>'PartLib Table'!P7</f>
        <v>NA</v>
      </c>
      <c r="H5" s="77" t="str">
        <f>'PartLib Table'!Q7</f>
        <v>NA</v>
      </c>
    </row>
    <row r="6" spans="1:8">
      <c r="A6" s="76" t="str">
        <f>'PartLib Table'!C8</f>
        <v>(v)</v>
      </c>
      <c r="B6" s="77" t="str">
        <f>'PartLib Table'!K8</f>
        <v>v</v>
      </c>
      <c r="C6" s="77" t="str">
        <f>'PartLib Table'!L8</f>
        <v>Length Equal in all Tray Cavities/Racks</v>
      </c>
      <c r="D6" s="77" t="str">
        <f>'PartLib Table'!M8</f>
        <v>NA</v>
      </c>
      <c r="E6" s="77" t="str">
        <f>'PartLib Table'!N8</f>
        <v>Visual</v>
      </c>
      <c r="F6" s="75">
        <f>'PartLib Table'!O8</f>
        <v>1</v>
      </c>
      <c r="G6" s="77" t="str">
        <f>'PartLib Table'!P8</f>
        <v>NA</v>
      </c>
      <c r="H6" s="77" t="str">
        <f>'PartLib Table'!Q8</f>
        <v>NA</v>
      </c>
    </row>
    <row r="7" spans="1:8">
      <c r="A7" s="76">
        <f>'PartLib Table'!C9</f>
        <v>0</v>
      </c>
      <c r="B7" s="77" t="str">
        <f>'PartLib Table'!K9</f>
        <v/>
      </c>
      <c r="C7" s="77">
        <f>'PartLib Table'!L9</f>
        <v>0</v>
      </c>
      <c r="D7" s="77">
        <f>'PartLib Table'!M9</f>
        <v>0</v>
      </c>
      <c r="E7" s="77">
        <f>'PartLib Table'!N9</f>
        <v>0</v>
      </c>
      <c r="F7" s="75">
        <f>'PartLib Table'!O9</f>
        <v>0</v>
      </c>
      <c r="G7" s="77">
        <f>'PartLib Table'!P9</f>
        <v>0</v>
      </c>
      <c r="H7" s="77">
        <f>'PartLib Table'!Q9</f>
        <v>0</v>
      </c>
    </row>
    <row r="8" spans="1:8">
      <c r="A8" s="76">
        <f>'PartLib Table'!C10</f>
        <v>0</v>
      </c>
      <c r="B8" s="77" t="str">
        <f>'PartLib Table'!K10</f>
        <v/>
      </c>
      <c r="C8" s="77">
        <f>'PartLib Table'!L10</f>
        <v>0</v>
      </c>
      <c r="D8" s="77">
        <f>'PartLib Table'!M10</f>
        <v>0</v>
      </c>
      <c r="E8" s="77">
        <f>'PartLib Table'!N10</f>
        <v>0</v>
      </c>
      <c r="F8" s="75">
        <f>'PartLib Table'!O10</f>
        <v>0</v>
      </c>
      <c r="G8" s="77">
        <f>'PartLib Table'!P10</f>
        <v>0</v>
      </c>
      <c r="H8" s="77">
        <f>'PartLib Table'!Q10</f>
        <v>0</v>
      </c>
    </row>
    <row r="9" spans="1:8">
      <c r="A9" s="76">
        <f>'PartLib Table'!C11</f>
        <v>0</v>
      </c>
      <c r="B9" s="77" t="str">
        <f>'PartLib Table'!K11</f>
        <v/>
      </c>
      <c r="C9" s="77">
        <f>'PartLib Table'!L11</f>
        <v>0</v>
      </c>
      <c r="D9" s="77">
        <f>'PartLib Table'!M11</f>
        <v>0</v>
      </c>
      <c r="E9" s="77">
        <f>'PartLib Table'!N11</f>
        <v>0</v>
      </c>
      <c r="F9" s="75">
        <f>'PartLib Table'!O11</f>
        <v>0</v>
      </c>
      <c r="G9" s="77">
        <f>'PartLib Table'!P11</f>
        <v>0</v>
      </c>
      <c r="H9" s="77">
        <f>'PartLib Table'!Q11</f>
        <v>0</v>
      </c>
    </row>
    <row r="10" spans="1:8">
      <c r="A10" s="76">
        <f>'PartLib Table'!C12</f>
        <v>0</v>
      </c>
      <c r="B10" s="77" t="str">
        <f>'PartLib Table'!K12</f>
        <v/>
      </c>
      <c r="C10" s="77">
        <f>'PartLib Table'!L12</f>
        <v>0</v>
      </c>
      <c r="D10" s="77">
        <f>'PartLib Table'!M12</f>
        <v>0</v>
      </c>
      <c r="E10" s="77">
        <f>'PartLib Table'!N12</f>
        <v>0</v>
      </c>
      <c r="F10" s="75">
        <f>'PartLib Table'!O12</f>
        <v>0</v>
      </c>
      <c r="G10" s="77">
        <f>'PartLib Table'!P12</f>
        <v>0</v>
      </c>
      <c r="H10" s="77">
        <f>'PartLib Table'!Q12</f>
        <v>0</v>
      </c>
    </row>
    <row r="11" spans="1:8">
      <c r="A11" s="76">
        <f>'PartLib Table'!C13</f>
        <v>0</v>
      </c>
      <c r="B11" s="77" t="str">
        <f>'PartLib Table'!K13</f>
        <v/>
      </c>
      <c r="C11" s="77">
        <f>'PartLib Table'!L13</f>
        <v>0</v>
      </c>
      <c r="D11" s="77">
        <f>'PartLib Table'!M13</f>
        <v>0</v>
      </c>
      <c r="E11" s="77">
        <f>'PartLib Table'!N13</f>
        <v>0</v>
      </c>
      <c r="F11" s="75">
        <f>'PartLib Table'!O13</f>
        <v>0</v>
      </c>
      <c r="G11" s="77">
        <f>'PartLib Table'!P13</f>
        <v>0</v>
      </c>
      <c r="H11" s="77">
        <f>'PartLib Table'!Q13</f>
        <v>0</v>
      </c>
    </row>
    <row r="12" spans="1:8">
      <c r="A12" s="76">
        <f>'PartLib Table'!C14</f>
        <v>0</v>
      </c>
      <c r="B12" s="77" t="str">
        <f>'PartLib Table'!K14</f>
        <v/>
      </c>
      <c r="C12" s="77">
        <f>'PartLib Table'!L14</f>
        <v>0</v>
      </c>
      <c r="D12" s="77">
        <f>'PartLib Table'!M14</f>
        <v>0</v>
      </c>
      <c r="E12" s="77">
        <f>'PartLib Table'!N14</f>
        <v>0</v>
      </c>
      <c r="F12" s="75">
        <f>'PartLib Table'!O14</f>
        <v>0</v>
      </c>
      <c r="G12" s="77">
        <f>'PartLib Table'!P14</f>
        <v>0</v>
      </c>
      <c r="H12" s="77">
        <f>'PartLib Table'!Q14</f>
        <v>0</v>
      </c>
    </row>
    <row r="13" spans="1:8">
      <c r="A13" s="76">
        <f>'PartLib Table'!C15</f>
        <v>0</v>
      </c>
      <c r="B13" s="77" t="str">
        <f>'PartLib Table'!K15</f>
        <v/>
      </c>
      <c r="C13" s="77">
        <f>'PartLib Table'!L15</f>
        <v>0</v>
      </c>
      <c r="D13" s="77">
        <f>'PartLib Table'!M15</f>
        <v>0</v>
      </c>
      <c r="E13" s="77">
        <f>'PartLib Table'!N15</f>
        <v>0</v>
      </c>
      <c r="F13" s="75">
        <f>'PartLib Table'!O15</f>
        <v>0</v>
      </c>
      <c r="G13" s="77">
        <f>'PartLib Table'!P15</f>
        <v>0</v>
      </c>
      <c r="H13" s="77">
        <f>'PartLib Table'!Q15</f>
        <v>0</v>
      </c>
    </row>
    <row r="14" spans="1:8">
      <c r="A14" s="76">
        <f>'PartLib Table'!C16</f>
        <v>0</v>
      </c>
      <c r="B14" s="77" t="str">
        <f>'PartLib Table'!K16</f>
        <v/>
      </c>
      <c r="C14" s="77">
        <f>'PartLib Table'!L16</f>
        <v>0</v>
      </c>
      <c r="D14" s="77">
        <f>'PartLib Table'!M16</f>
        <v>0</v>
      </c>
      <c r="E14" s="77">
        <f>'PartLib Table'!N16</f>
        <v>0</v>
      </c>
      <c r="F14" s="75">
        <f>'PartLib Table'!O16</f>
        <v>0</v>
      </c>
      <c r="G14" s="77">
        <f>'PartLib Table'!P16</f>
        <v>0</v>
      </c>
      <c r="H14" s="77">
        <f>'PartLib Table'!Q16</f>
        <v>0</v>
      </c>
    </row>
    <row r="15" spans="1:8">
      <c r="A15" s="76">
        <f>'PartLib Table'!C17</f>
        <v>0</v>
      </c>
      <c r="B15" s="77" t="str">
        <f>'PartLib Table'!K17</f>
        <v/>
      </c>
      <c r="C15" s="77">
        <f>'PartLib Table'!L17</f>
        <v>0</v>
      </c>
      <c r="D15" s="77">
        <f>'PartLib Table'!M17</f>
        <v>0</v>
      </c>
      <c r="E15" s="77">
        <f>'PartLib Table'!N17</f>
        <v>0</v>
      </c>
      <c r="F15" s="75">
        <f>'PartLib Table'!O17</f>
        <v>0</v>
      </c>
      <c r="G15" s="77">
        <f>'PartLib Table'!P17</f>
        <v>0</v>
      </c>
      <c r="H15" s="77">
        <f>'PartLib Table'!Q17</f>
        <v>0</v>
      </c>
    </row>
    <row r="16" spans="1:8">
      <c r="A16" s="76">
        <f>'PartLib Table'!C18</f>
        <v>0</v>
      </c>
      <c r="B16" s="77" t="str">
        <f>'PartLib Table'!K18</f>
        <v/>
      </c>
      <c r="C16" s="77">
        <f>'PartLib Table'!L18</f>
        <v>0</v>
      </c>
      <c r="D16" s="77">
        <f>'PartLib Table'!M18</f>
        <v>0</v>
      </c>
      <c r="E16" s="77">
        <f>'PartLib Table'!N18</f>
        <v>0</v>
      </c>
      <c r="F16" s="75">
        <f>'PartLib Table'!O18</f>
        <v>0</v>
      </c>
      <c r="G16" s="77">
        <f>'PartLib Table'!P18</f>
        <v>0</v>
      </c>
      <c r="H16" s="77">
        <f>'PartLib Table'!Q18</f>
        <v>0</v>
      </c>
    </row>
    <row r="17" spans="1:8">
      <c r="A17" s="76">
        <f>'PartLib Table'!C19</f>
        <v>0</v>
      </c>
      <c r="B17" s="77" t="str">
        <f>'PartLib Table'!K19</f>
        <v/>
      </c>
      <c r="C17" s="77">
        <f>'PartLib Table'!L19</f>
        <v>0</v>
      </c>
      <c r="D17" s="77">
        <f>'PartLib Table'!M19</f>
        <v>0</v>
      </c>
      <c r="E17" s="77">
        <f>'PartLib Table'!N19</f>
        <v>0</v>
      </c>
      <c r="F17" s="75">
        <f>'PartLib Table'!O19</f>
        <v>0</v>
      </c>
      <c r="G17" s="77">
        <f>'PartLib Table'!P19</f>
        <v>0</v>
      </c>
      <c r="H17" s="77">
        <f>'PartLib Table'!Q19</f>
        <v>0</v>
      </c>
    </row>
    <row r="18" spans="1:8">
      <c r="A18" s="76">
        <f>'PartLib Table'!C20</f>
        <v>0</v>
      </c>
      <c r="B18" s="77" t="str">
        <f>'PartLib Table'!K20</f>
        <v/>
      </c>
      <c r="C18" s="77">
        <f>'PartLib Table'!L20</f>
        <v>0</v>
      </c>
      <c r="D18" s="77">
        <f>'PartLib Table'!M20</f>
        <v>0</v>
      </c>
      <c r="E18" s="77">
        <f>'PartLib Table'!N20</f>
        <v>0</v>
      </c>
      <c r="F18" s="75">
        <f>'PartLib Table'!O20</f>
        <v>0</v>
      </c>
      <c r="G18" s="77">
        <f>'PartLib Table'!P20</f>
        <v>0</v>
      </c>
      <c r="H18" s="77">
        <f>'PartLib Table'!Q20</f>
        <v>0</v>
      </c>
    </row>
    <row r="19" spans="1:8">
      <c r="A19" s="76">
        <f>'PartLib Table'!C21</f>
        <v>0</v>
      </c>
      <c r="B19" s="77" t="str">
        <f>'PartLib Table'!K21</f>
        <v/>
      </c>
      <c r="C19" s="77">
        <f>'PartLib Table'!L21</f>
        <v>0</v>
      </c>
      <c r="D19" s="77">
        <f>'PartLib Table'!M21</f>
        <v>0</v>
      </c>
      <c r="E19" s="77">
        <f>'PartLib Table'!N21</f>
        <v>0</v>
      </c>
      <c r="F19" s="75">
        <f>'PartLib Table'!O21</f>
        <v>0</v>
      </c>
      <c r="G19" s="77">
        <f>'PartLib Table'!P21</f>
        <v>0</v>
      </c>
      <c r="H19" s="77">
        <f>'PartLib Table'!Q21</f>
        <v>0</v>
      </c>
    </row>
    <row r="20" spans="1:8">
      <c r="A20" s="76">
        <f>'PartLib Table'!C22</f>
        <v>0</v>
      </c>
      <c r="B20" s="77" t="str">
        <f>'PartLib Table'!K22</f>
        <v/>
      </c>
      <c r="C20" s="77">
        <f>'PartLib Table'!L22</f>
        <v>0</v>
      </c>
      <c r="D20" s="77">
        <f>'PartLib Table'!M22</f>
        <v>0</v>
      </c>
      <c r="E20" s="77">
        <f>'PartLib Table'!N22</f>
        <v>0</v>
      </c>
      <c r="F20" s="75">
        <f>'PartLib Table'!O22</f>
        <v>0</v>
      </c>
      <c r="G20" s="77">
        <f>'PartLib Table'!P22</f>
        <v>0</v>
      </c>
      <c r="H20" s="77">
        <f>'PartLib Table'!Q22</f>
        <v>0</v>
      </c>
    </row>
    <row r="21" spans="1:8">
      <c r="A21" s="76">
        <f>'PartLib Table'!C23</f>
        <v>0</v>
      </c>
      <c r="B21" s="77" t="str">
        <f>'PartLib Table'!K23</f>
        <v/>
      </c>
      <c r="C21" s="77">
        <f>'PartLib Table'!L23</f>
        <v>0</v>
      </c>
      <c r="D21" s="77">
        <f>'PartLib Table'!M23</f>
        <v>0</v>
      </c>
      <c r="E21" s="77">
        <f>'PartLib Table'!N23</f>
        <v>0</v>
      </c>
      <c r="F21" s="75">
        <f>'PartLib Table'!O23</f>
        <v>0</v>
      </c>
      <c r="G21" s="77">
        <f>'PartLib Table'!P23</f>
        <v>0</v>
      </c>
      <c r="H21" s="77">
        <f>'PartLib Table'!Q23</f>
        <v>0</v>
      </c>
    </row>
    <row r="22" spans="1:8">
      <c r="A22" s="76">
        <f>'PartLib Table'!C24</f>
        <v>0</v>
      </c>
      <c r="B22" s="77" t="str">
        <f>'PartLib Table'!K24</f>
        <v/>
      </c>
      <c r="C22" s="77">
        <f>'PartLib Table'!L24</f>
        <v>0</v>
      </c>
      <c r="D22" s="77">
        <f>'PartLib Table'!M24</f>
        <v>0</v>
      </c>
      <c r="E22" s="77">
        <f>'PartLib Table'!N24</f>
        <v>0</v>
      </c>
      <c r="F22" s="75">
        <f>'PartLib Table'!O24</f>
        <v>0</v>
      </c>
      <c r="G22" s="77">
        <f>'PartLib Table'!P24</f>
        <v>0</v>
      </c>
      <c r="H22" s="77">
        <f>'PartLib Table'!Q24</f>
        <v>0</v>
      </c>
    </row>
    <row r="23" spans="1:8">
      <c r="A23" s="76">
        <f>'PartLib Table'!C25</f>
        <v>0</v>
      </c>
      <c r="B23" s="77" t="str">
        <f>'PartLib Table'!K25</f>
        <v/>
      </c>
      <c r="C23" s="77">
        <f>'PartLib Table'!L25</f>
        <v>0</v>
      </c>
      <c r="D23" s="77">
        <f>'PartLib Table'!M25</f>
        <v>0</v>
      </c>
      <c r="E23" s="77">
        <f>'PartLib Table'!N25</f>
        <v>0</v>
      </c>
      <c r="F23" s="75">
        <f>'PartLib Table'!O25</f>
        <v>0</v>
      </c>
      <c r="G23" s="77">
        <f>'PartLib Table'!P25</f>
        <v>0</v>
      </c>
      <c r="H23" s="77">
        <f>'PartLib Table'!Q25</f>
        <v>0</v>
      </c>
    </row>
    <row r="24" spans="1:8">
      <c r="A24" s="76">
        <f>'PartLib Table'!C26</f>
        <v>0</v>
      </c>
      <c r="B24" s="77" t="str">
        <f>'PartLib Table'!K26</f>
        <v/>
      </c>
      <c r="C24" s="77">
        <f>'PartLib Table'!L26</f>
        <v>0</v>
      </c>
      <c r="D24" s="77">
        <f>'PartLib Table'!M26</f>
        <v>0</v>
      </c>
      <c r="E24" s="77">
        <f>'PartLib Table'!N26</f>
        <v>0</v>
      </c>
      <c r="F24" s="75">
        <f>'PartLib Table'!O26</f>
        <v>0</v>
      </c>
      <c r="G24" s="77">
        <f>'PartLib Table'!P26</f>
        <v>0</v>
      </c>
      <c r="H24" s="77">
        <f>'PartLib Table'!Q26</f>
        <v>0</v>
      </c>
    </row>
    <row r="25" spans="1:8">
      <c r="A25" s="76">
        <f>'PartLib Table'!C27</f>
        <v>0</v>
      </c>
      <c r="B25" s="77" t="str">
        <f>'PartLib Table'!K27</f>
        <v/>
      </c>
      <c r="C25" s="77">
        <f>'PartLib Table'!L27</f>
        <v>0</v>
      </c>
      <c r="D25" s="77">
        <f>'PartLib Table'!M27</f>
        <v>0</v>
      </c>
      <c r="E25" s="77">
        <f>'PartLib Table'!N27</f>
        <v>0</v>
      </c>
      <c r="F25" s="75">
        <f>'PartLib Table'!O27</f>
        <v>0</v>
      </c>
      <c r="G25" s="77">
        <f>'PartLib Table'!P27</f>
        <v>0</v>
      </c>
      <c r="H25" s="77">
        <f>'PartLib Table'!Q27</f>
        <v>0</v>
      </c>
    </row>
    <row r="26" spans="1:8">
      <c r="A26" s="76">
        <f>'PartLib Table'!C28</f>
        <v>0</v>
      </c>
      <c r="B26" s="77" t="str">
        <f>'PartLib Table'!K28</f>
        <v/>
      </c>
      <c r="C26" s="77">
        <f>'PartLib Table'!L28</f>
        <v>0</v>
      </c>
      <c r="D26" s="77">
        <f>'PartLib Table'!M28</f>
        <v>0</v>
      </c>
      <c r="E26" s="77">
        <f>'PartLib Table'!N28</f>
        <v>0</v>
      </c>
      <c r="F26" s="75">
        <f>'PartLib Table'!O28</f>
        <v>0</v>
      </c>
      <c r="G26" s="77">
        <f>'PartLib Table'!P28</f>
        <v>0</v>
      </c>
      <c r="H26" s="77">
        <f>'PartLib Table'!Q28</f>
        <v>0</v>
      </c>
    </row>
    <row r="27" spans="1:8">
      <c r="A27" s="76">
        <f>'PartLib Table'!C29</f>
        <v>0</v>
      </c>
      <c r="B27" s="77" t="str">
        <f>'PartLib Table'!K29</f>
        <v/>
      </c>
      <c r="C27" s="77">
        <f>'PartLib Table'!L29</f>
        <v>0</v>
      </c>
      <c r="D27" s="77">
        <f>'PartLib Table'!M29</f>
        <v>0</v>
      </c>
      <c r="E27" s="77">
        <f>'PartLib Table'!N29</f>
        <v>0</v>
      </c>
      <c r="F27" s="75">
        <f>'PartLib Table'!O29</f>
        <v>0</v>
      </c>
      <c r="G27" s="77">
        <f>'PartLib Table'!P29</f>
        <v>0</v>
      </c>
      <c r="H27" s="77">
        <f>'PartLib Table'!Q29</f>
        <v>0</v>
      </c>
    </row>
    <row r="28" spans="1:8">
      <c r="A28" s="76">
        <f>'PartLib Table'!C30</f>
        <v>0</v>
      </c>
      <c r="B28" s="77" t="str">
        <f>'PartLib Table'!K30</f>
        <v/>
      </c>
      <c r="C28" s="77">
        <f>'PartLib Table'!L30</f>
        <v>0</v>
      </c>
      <c r="D28" s="77">
        <f>'PartLib Table'!M30</f>
        <v>0</v>
      </c>
      <c r="E28" s="77">
        <f>'PartLib Table'!N30</f>
        <v>0</v>
      </c>
      <c r="F28" s="75">
        <f>'PartLib Table'!O30</f>
        <v>0</v>
      </c>
      <c r="G28" s="77">
        <f>'PartLib Table'!P30</f>
        <v>0</v>
      </c>
      <c r="H28" s="77">
        <f>'PartLib Table'!Q30</f>
        <v>0</v>
      </c>
    </row>
    <row r="29" spans="1:8">
      <c r="A29" s="76">
        <f>'PartLib Table'!C31</f>
        <v>0</v>
      </c>
      <c r="B29" s="77" t="str">
        <f>'PartLib Table'!K31</f>
        <v/>
      </c>
      <c r="C29" s="77">
        <f>'PartLib Table'!L31</f>
        <v>0</v>
      </c>
      <c r="D29" s="77">
        <f>'PartLib Table'!M31</f>
        <v>0</v>
      </c>
      <c r="E29" s="77">
        <f>'PartLib Table'!N31</f>
        <v>0</v>
      </c>
      <c r="F29" s="75">
        <f>'PartLib Table'!O31</f>
        <v>0</v>
      </c>
      <c r="G29" s="77">
        <f>'PartLib Table'!P31</f>
        <v>0</v>
      </c>
      <c r="H29" s="77">
        <f>'PartLib Table'!Q31</f>
        <v>0</v>
      </c>
    </row>
    <row r="30" spans="1:8">
      <c r="A30" s="76">
        <f>'PartLib Table'!C32</f>
        <v>0</v>
      </c>
      <c r="B30" s="77" t="str">
        <f>'PartLib Table'!K32</f>
        <v/>
      </c>
      <c r="C30" s="77">
        <f>'PartLib Table'!L32</f>
        <v>0</v>
      </c>
      <c r="D30" s="77">
        <f>'PartLib Table'!M32</f>
        <v>0</v>
      </c>
      <c r="E30" s="77">
        <f>'PartLib Table'!N32</f>
        <v>0</v>
      </c>
      <c r="F30" s="75">
        <f>'PartLib Table'!O32</f>
        <v>0</v>
      </c>
      <c r="G30" s="77">
        <f>'PartLib Table'!P32</f>
        <v>0</v>
      </c>
      <c r="H30" s="77">
        <f>'PartLib Table'!Q32</f>
        <v>0</v>
      </c>
    </row>
    <row r="31" spans="1:8">
      <c r="A31" s="76">
        <f>'PartLib Table'!C33</f>
        <v>0</v>
      </c>
      <c r="B31" s="77" t="str">
        <f>'PartLib Table'!K33</f>
        <v/>
      </c>
      <c r="C31" s="77">
        <f>'PartLib Table'!L33</f>
        <v>0</v>
      </c>
      <c r="D31" s="77">
        <f>'PartLib Table'!M33</f>
        <v>0</v>
      </c>
      <c r="E31" s="77">
        <f>'PartLib Table'!N33</f>
        <v>0</v>
      </c>
      <c r="F31" s="75">
        <f>'PartLib Table'!O33</f>
        <v>0</v>
      </c>
      <c r="G31" s="77">
        <f>'PartLib Table'!P33</f>
        <v>0</v>
      </c>
      <c r="H31" s="77">
        <f>'PartLib Table'!Q33</f>
        <v>0</v>
      </c>
    </row>
    <row r="32" spans="1:8">
      <c r="A32" s="76">
        <f>'PartLib Table'!C34</f>
        <v>0</v>
      </c>
      <c r="B32" s="77" t="str">
        <f>'PartLib Table'!K34</f>
        <v/>
      </c>
      <c r="C32" s="77">
        <f>'PartLib Table'!L34</f>
        <v>0</v>
      </c>
      <c r="D32" s="77">
        <f>'PartLib Table'!M34</f>
        <v>0</v>
      </c>
      <c r="E32" s="77">
        <f>'PartLib Table'!N34</f>
        <v>0</v>
      </c>
      <c r="F32" s="75">
        <f>'PartLib Table'!O34</f>
        <v>0</v>
      </c>
      <c r="G32" s="77">
        <f>'PartLib Table'!P34</f>
        <v>0</v>
      </c>
      <c r="H32" s="77">
        <f>'PartLib Table'!Q34</f>
        <v>0</v>
      </c>
    </row>
    <row r="33" spans="1:8">
      <c r="A33" s="76">
        <f>'PartLib Table'!C35</f>
        <v>0</v>
      </c>
      <c r="B33" s="77" t="str">
        <f>'PartLib Table'!K35</f>
        <v/>
      </c>
      <c r="C33" s="77">
        <f>'PartLib Table'!L35</f>
        <v>0</v>
      </c>
      <c r="D33" s="77">
        <f>'PartLib Table'!M35</f>
        <v>0</v>
      </c>
      <c r="E33" s="77">
        <f>'PartLib Table'!N35</f>
        <v>0</v>
      </c>
      <c r="F33" s="75">
        <f>'PartLib Table'!O35</f>
        <v>0</v>
      </c>
      <c r="G33" s="77">
        <f>'PartLib Table'!P35</f>
        <v>0</v>
      </c>
      <c r="H33" s="77">
        <f>'PartLib Table'!Q35</f>
        <v>0</v>
      </c>
    </row>
    <row r="34" spans="1:8">
      <c r="A34" s="76">
        <f>'PartLib Table'!C36</f>
        <v>0</v>
      </c>
      <c r="B34" s="77" t="str">
        <f>'PartLib Table'!K36</f>
        <v/>
      </c>
      <c r="C34" s="77">
        <f>'PartLib Table'!L36</f>
        <v>0</v>
      </c>
      <c r="D34" s="77">
        <f>'PartLib Table'!M36</f>
        <v>0</v>
      </c>
      <c r="E34" s="77">
        <f>'PartLib Table'!N36</f>
        <v>0</v>
      </c>
      <c r="F34" s="75">
        <f>'PartLib Table'!O36</f>
        <v>0</v>
      </c>
      <c r="G34" s="77">
        <f>'PartLib Table'!P36</f>
        <v>0</v>
      </c>
      <c r="H34" s="77">
        <f>'PartLib Table'!Q36</f>
        <v>0</v>
      </c>
    </row>
    <row r="35" spans="1:8">
      <c r="A35" s="76">
        <f>'PartLib Table'!C37</f>
        <v>0</v>
      </c>
      <c r="B35" s="77" t="str">
        <f>'PartLib Table'!K37</f>
        <v/>
      </c>
      <c r="C35" s="77">
        <f>'PartLib Table'!L37</f>
        <v>0</v>
      </c>
      <c r="D35" s="77">
        <f>'PartLib Table'!M37</f>
        <v>0</v>
      </c>
      <c r="E35" s="77">
        <f>'PartLib Table'!N37</f>
        <v>0</v>
      </c>
      <c r="F35" s="75">
        <f>'PartLib Table'!O37</f>
        <v>0</v>
      </c>
      <c r="G35" s="77">
        <f>'PartLib Table'!P37</f>
        <v>0</v>
      </c>
      <c r="H35" s="77">
        <f>'PartLib Table'!Q37</f>
        <v>0</v>
      </c>
    </row>
    <row r="36" spans="1:8">
      <c r="A36" s="76">
        <f>'PartLib Table'!C38</f>
        <v>0</v>
      </c>
      <c r="B36" s="77" t="str">
        <f>'PartLib Table'!K38</f>
        <v/>
      </c>
      <c r="C36" s="77">
        <f>'PartLib Table'!L38</f>
        <v>0</v>
      </c>
      <c r="D36" s="77">
        <f>'PartLib Table'!M38</f>
        <v>0</v>
      </c>
      <c r="E36" s="77">
        <f>'PartLib Table'!N38</f>
        <v>0</v>
      </c>
      <c r="F36" s="75">
        <f>'PartLib Table'!O38</f>
        <v>0</v>
      </c>
      <c r="G36" s="77">
        <f>'PartLib Table'!P38</f>
        <v>0</v>
      </c>
      <c r="H36" s="77">
        <f>'PartLib Table'!Q38</f>
        <v>0</v>
      </c>
    </row>
    <row r="37" spans="1:8">
      <c r="A37" s="76">
        <f>'PartLib Table'!C39</f>
        <v>0</v>
      </c>
      <c r="B37" s="77" t="str">
        <f>'PartLib Table'!K39</f>
        <v/>
      </c>
      <c r="C37" s="77">
        <f>'PartLib Table'!L39</f>
        <v>0</v>
      </c>
      <c r="D37" s="77">
        <f>'PartLib Table'!M39</f>
        <v>0</v>
      </c>
      <c r="E37" s="77">
        <f>'PartLib Table'!N39</f>
        <v>0</v>
      </c>
      <c r="F37" s="75">
        <f>'PartLib Table'!O39</f>
        <v>0</v>
      </c>
      <c r="G37" s="77">
        <f>'PartLib Table'!P39</f>
        <v>0</v>
      </c>
      <c r="H37" s="77">
        <f>'PartLib Table'!Q39</f>
        <v>0</v>
      </c>
    </row>
    <row r="38" spans="1:8">
      <c r="A38" s="76">
        <f>'PartLib Table'!C40</f>
        <v>0</v>
      </c>
      <c r="B38" s="77" t="str">
        <f>'PartLib Table'!K40</f>
        <v/>
      </c>
      <c r="C38" s="77">
        <f>'PartLib Table'!L40</f>
        <v>0</v>
      </c>
      <c r="D38" s="77">
        <f>'PartLib Table'!M40</f>
        <v>0</v>
      </c>
      <c r="E38" s="77">
        <f>'PartLib Table'!N40</f>
        <v>0</v>
      </c>
      <c r="F38" s="75">
        <f>'PartLib Table'!O40</f>
        <v>0</v>
      </c>
      <c r="G38" s="77">
        <f>'PartLib Table'!P40</f>
        <v>0</v>
      </c>
      <c r="H38" s="77">
        <f>'PartLib Table'!Q40</f>
        <v>0</v>
      </c>
    </row>
    <row r="39" spans="1:8">
      <c r="A39" s="76">
        <f>'PartLib Table'!C41</f>
        <v>0</v>
      </c>
      <c r="B39" s="77" t="str">
        <f>'PartLib Table'!K41</f>
        <v/>
      </c>
      <c r="C39" s="77">
        <f>'PartLib Table'!L41</f>
        <v>0</v>
      </c>
      <c r="D39" s="77">
        <f>'PartLib Table'!M41</f>
        <v>0</v>
      </c>
      <c r="E39" s="77">
        <f>'PartLib Table'!N41</f>
        <v>0</v>
      </c>
      <c r="F39" s="75">
        <f>'PartLib Table'!O41</f>
        <v>0</v>
      </c>
      <c r="G39" s="77">
        <f>'PartLib Table'!P41</f>
        <v>0</v>
      </c>
      <c r="H39" s="77">
        <f>'PartLib Table'!Q41</f>
        <v>0</v>
      </c>
    </row>
    <row r="40" spans="1:8">
      <c r="A40" s="76">
        <f>'PartLib Table'!C42</f>
        <v>0</v>
      </c>
      <c r="B40" s="77" t="str">
        <f>'PartLib Table'!K42</f>
        <v/>
      </c>
      <c r="C40" s="77">
        <f>'PartLib Table'!L42</f>
        <v>0</v>
      </c>
      <c r="D40" s="77">
        <f>'PartLib Table'!M42</f>
        <v>0</v>
      </c>
      <c r="E40" s="77">
        <f>'PartLib Table'!N42</f>
        <v>0</v>
      </c>
      <c r="F40" s="75">
        <f>'PartLib Table'!O42</f>
        <v>0</v>
      </c>
      <c r="G40" s="77">
        <f>'PartLib Table'!P42</f>
        <v>0</v>
      </c>
      <c r="H40" s="77">
        <f>'PartLib Table'!Q42</f>
        <v>0</v>
      </c>
    </row>
    <row r="41" spans="1:8">
      <c r="A41" s="76">
        <f>'PartLib Table'!C43</f>
        <v>0</v>
      </c>
      <c r="B41" s="77" t="str">
        <f>'PartLib Table'!K43</f>
        <v/>
      </c>
      <c r="C41" s="77">
        <f>'PartLib Table'!L43</f>
        <v>0</v>
      </c>
      <c r="D41" s="77">
        <f>'PartLib Table'!M43</f>
        <v>0</v>
      </c>
      <c r="E41" s="77">
        <f>'PartLib Table'!N43</f>
        <v>0</v>
      </c>
      <c r="F41" s="75">
        <f>'PartLib Table'!O43</f>
        <v>0</v>
      </c>
      <c r="G41" s="77">
        <f>'PartLib Table'!P43</f>
        <v>0</v>
      </c>
      <c r="H41" s="77">
        <f>'PartLib Table'!Q43</f>
        <v>0</v>
      </c>
    </row>
    <row r="42" spans="1:8">
      <c r="A42" s="76">
        <f>'PartLib Table'!C44</f>
        <v>0</v>
      </c>
      <c r="B42" s="77" t="str">
        <f>'PartLib Table'!K44</f>
        <v/>
      </c>
      <c r="C42" s="77">
        <f>'PartLib Table'!L44</f>
        <v>0</v>
      </c>
      <c r="D42" s="77">
        <f>'PartLib Table'!M44</f>
        <v>0</v>
      </c>
      <c r="E42" s="77">
        <f>'PartLib Table'!N44</f>
        <v>0</v>
      </c>
      <c r="F42" s="75">
        <f>'PartLib Table'!O44</f>
        <v>0</v>
      </c>
      <c r="G42" s="77">
        <f>'PartLib Table'!P44</f>
        <v>0</v>
      </c>
      <c r="H42" s="77">
        <f>'PartLib Table'!Q44</f>
        <v>0</v>
      </c>
    </row>
    <row r="43" spans="1:8">
      <c r="A43" s="76">
        <f>'PartLib Table'!C45</f>
        <v>0</v>
      </c>
      <c r="B43" s="77" t="str">
        <f>'PartLib Table'!K45</f>
        <v/>
      </c>
      <c r="C43" s="77">
        <f>'PartLib Table'!L45</f>
        <v>0</v>
      </c>
      <c r="D43" s="77">
        <f>'PartLib Table'!M45</f>
        <v>0</v>
      </c>
      <c r="E43" s="77">
        <f>'PartLib Table'!N45</f>
        <v>0</v>
      </c>
      <c r="F43" s="75">
        <f>'PartLib Table'!O45</f>
        <v>0</v>
      </c>
      <c r="G43" s="77">
        <f>'PartLib Table'!P45</f>
        <v>0</v>
      </c>
      <c r="H43" s="77">
        <f>'PartLib Table'!Q45</f>
        <v>0</v>
      </c>
    </row>
    <row r="44" spans="1:8">
      <c r="A44" s="76">
        <f>'PartLib Table'!C46</f>
        <v>0</v>
      </c>
      <c r="B44" s="77" t="str">
        <f>'PartLib Table'!K46</f>
        <v/>
      </c>
      <c r="C44" s="77">
        <f>'PartLib Table'!L46</f>
        <v>0</v>
      </c>
      <c r="D44" s="77">
        <f>'PartLib Table'!M46</f>
        <v>0</v>
      </c>
      <c r="E44" s="77">
        <f>'PartLib Table'!N46</f>
        <v>0</v>
      </c>
      <c r="F44" s="75">
        <f>'PartLib Table'!O46</f>
        <v>0</v>
      </c>
      <c r="G44" s="77">
        <f>'PartLib Table'!P46</f>
        <v>0</v>
      </c>
      <c r="H44" s="77">
        <f>'PartLib Table'!Q46</f>
        <v>0</v>
      </c>
    </row>
    <row r="45" spans="1:8">
      <c r="A45" s="76">
        <f>'PartLib Table'!C47</f>
        <v>0</v>
      </c>
      <c r="B45" s="77" t="str">
        <f>'PartLib Table'!K47</f>
        <v/>
      </c>
      <c r="C45" s="77">
        <f>'PartLib Table'!L47</f>
        <v>0</v>
      </c>
      <c r="D45" s="77">
        <f>'PartLib Table'!M47</f>
        <v>0</v>
      </c>
      <c r="E45" s="77">
        <f>'PartLib Table'!N47</f>
        <v>0</v>
      </c>
      <c r="F45" s="75">
        <f>'PartLib Table'!O47</f>
        <v>0</v>
      </c>
      <c r="G45" s="77">
        <f>'PartLib Table'!P47</f>
        <v>0</v>
      </c>
      <c r="H45" s="77">
        <f>'PartLib Table'!Q47</f>
        <v>0</v>
      </c>
    </row>
    <row r="46" spans="1:8">
      <c r="A46" s="76">
        <f>'PartLib Table'!C48</f>
        <v>0</v>
      </c>
      <c r="B46" s="77" t="str">
        <f>'PartLib Table'!K48</f>
        <v/>
      </c>
      <c r="C46" s="77">
        <f>'PartLib Table'!L48</f>
        <v>0</v>
      </c>
      <c r="D46" s="77">
        <f>'PartLib Table'!M48</f>
        <v>0</v>
      </c>
      <c r="E46" s="77">
        <f>'PartLib Table'!N48</f>
        <v>0</v>
      </c>
      <c r="F46" s="75">
        <f>'PartLib Table'!O48</f>
        <v>0</v>
      </c>
      <c r="G46" s="77">
        <f>'PartLib Table'!P48</f>
        <v>0</v>
      </c>
      <c r="H46" s="77">
        <f>'PartLib Table'!Q48</f>
        <v>0</v>
      </c>
    </row>
    <row r="47" spans="1:8">
      <c r="A47" s="76">
        <f>'PartLib Table'!C49</f>
        <v>0</v>
      </c>
      <c r="B47" s="77" t="str">
        <f>'PartLib Table'!K49</f>
        <v/>
      </c>
      <c r="C47" s="77">
        <f>'PartLib Table'!L49</f>
        <v>0</v>
      </c>
      <c r="D47" s="77">
        <f>'PartLib Table'!M49</f>
        <v>0</v>
      </c>
      <c r="E47" s="77">
        <f>'PartLib Table'!N49</f>
        <v>0</v>
      </c>
      <c r="F47" s="75">
        <f>'PartLib Table'!O49</f>
        <v>0</v>
      </c>
      <c r="G47" s="77">
        <f>'PartLib Table'!P49</f>
        <v>0</v>
      </c>
      <c r="H47" s="77">
        <f>'PartLib Table'!Q49</f>
        <v>0</v>
      </c>
    </row>
    <row r="48" spans="1:8">
      <c r="A48" s="76">
        <f>'PartLib Table'!C50</f>
        <v>0</v>
      </c>
      <c r="B48" s="77" t="str">
        <f>'PartLib Table'!K50</f>
        <v/>
      </c>
      <c r="C48" s="77">
        <f>'PartLib Table'!L50</f>
        <v>0</v>
      </c>
      <c r="D48" s="77">
        <f>'PartLib Table'!M50</f>
        <v>0</v>
      </c>
      <c r="E48" s="77">
        <f>'PartLib Table'!N50</f>
        <v>0</v>
      </c>
      <c r="F48" s="75">
        <f>'PartLib Table'!O50</f>
        <v>0</v>
      </c>
      <c r="G48" s="77">
        <f>'PartLib Table'!P50</f>
        <v>0</v>
      </c>
      <c r="H48" s="77">
        <f>'PartLib Table'!Q50</f>
        <v>0</v>
      </c>
    </row>
    <row r="49" spans="1:8">
      <c r="A49" s="76">
        <f>'PartLib Table'!C51</f>
        <v>0</v>
      </c>
      <c r="B49" s="77" t="str">
        <f>'PartLib Table'!K51</f>
        <v/>
      </c>
      <c r="C49" s="77">
        <f>'PartLib Table'!L51</f>
        <v>0</v>
      </c>
      <c r="D49" s="77">
        <f>'PartLib Table'!M51</f>
        <v>0</v>
      </c>
      <c r="E49" s="77">
        <f>'PartLib Table'!N51</f>
        <v>0</v>
      </c>
      <c r="F49" s="75">
        <f>'PartLib Table'!O51</f>
        <v>0</v>
      </c>
      <c r="G49" s="77">
        <f>'PartLib Table'!P51</f>
        <v>0</v>
      </c>
      <c r="H49" s="77">
        <f>'PartLib Table'!Q51</f>
        <v>0</v>
      </c>
    </row>
    <row r="50" spans="1:8">
      <c r="A50" s="76">
        <f>'PartLib Table'!C52</f>
        <v>0</v>
      </c>
      <c r="B50" s="77" t="str">
        <f>'PartLib Table'!K52</f>
        <v/>
      </c>
      <c r="C50" s="77">
        <f>'PartLib Table'!L52</f>
        <v>0</v>
      </c>
      <c r="D50" s="77">
        <f>'PartLib Table'!M52</f>
        <v>0</v>
      </c>
      <c r="E50" s="77">
        <f>'PartLib Table'!N52</f>
        <v>0</v>
      </c>
      <c r="F50" s="75">
        <f>'PartLib Table'!O52</f>
        <v>0</v>
      </c>
      <c r="G50" s="77">
        <f>'PartLib Table'!P52</f>
        <v>0</v>
      </c>
      <c r="H50" s="77">
        <f>'PartLib Table'!Q52</f>
        <v>0</v>
      </c>
    </row>
    <row r="51" spans="1:8">
      <c r="A51" s="76">
        <f>'PartLib Table'!C53</f>
        <v>0</v>
      </c>
      <c r="B51" s="77" t="str">
        <f>'PartLib Table'!K53</f>
        <v/>
      </c>
      <c r="C51" s="77">
        <f>'PartLib Table'!L53</f>
        <v>0</v>
      </c>
      <c r="D51" s="77">
        <f>'PartLib Table'!M53</f>
        <v>0</v>
      </c>
      <c r="E51" s="77">
        <f>'PartLib Table'!N53</f>
        <v>0</v>
      </c>
      <c r="F51" s="75">
        <f>'PartLib Table'!O53</f>
        <v>0</v>
      </c>
      <c r="G51" s="77">
        <f>'PartLib Table'!P53</f>
        <v>0</v>
      </c>
      <c r="H51" s="77">
        <f>'PartLib Table'!Q53</f>
        <v>0</v>
      </c>
    </row>
    <row r="52" spans="1:8">
      <c r="A52" s="76">
        <f>'PartLib Table'!C54</f>
        <v>0</v>
      </c>
      <c r="B52" s="77" t="str">
        <f>'PartLib Table'!K54</f>
        <v/>
      </c>
      <c r="C52" s="77">
        <f>'PartLib Table'!L54</f>
        <v>0</v>
      </c>
      <c r="D52" s="77">
        <f>'PartLib Table'!M54</f>
        <v>0</v>
      </c>
      <c r="E52" s="77">
        <f>'PartLib Table'!N54</f>
        <v>0</v>
      </c>
      <c r="F52" s="75">
        <f>'PartLib Table'!O54</f>
        <v>0</v>
      </c>
      <c r="G52" s="77">
        <f>'PartLib Table'!P54</f>
        <v>0</v>
      </c>
      <c r="H52" s="77">
        <f>'PartLib Table'!Q54</f>
        <v>0</v>
      </c>
    </row>
    <row r="53" spans="1:8">
      <c r="A53" s="76">
        <f>'PartLib Table'!C55</f>
        <v>0</v>
      </c>
      <c r="B53" s="77" t="str">
        <f>'PartLib Table'!K55</f>
        <v/>
      </c>
      <c r="C53" s="77">
        <f>'PartLib Table'!L55</f>
        <v>0</v>
      </c>
      <c r="D53" s="77">
        <f>'PartLib Table'!M55</f>
        <v>0</v>
      </c>
      <c r="E53" s="77">
        <f>'PartLib Table'!N55</f>
        <v>0</v>
      </c>
      <c r="F53" s="75">
        <f>'PartLib Table'!O55</f>
        <v>0</v>
      </c>
      <c r="G53" s="77">
        <f>'PartLib Table'!P55</f>
        <v>0</v>
      </c>
      <c r="H53" s="77">
        <f>'PartLib Table'!Q55</f>
        <v>0</v>
      </c>
    </row>
    <row r="54" spans="1:8">
      <c r="A54" s="76">
        <f>'PartLib Table'!C56</f>
        <v>0</v>
      </c>
      <c r="B54" s="77" t="str">
        <f>'PartLib Table'!K56</f>
        <v/>
      </c>
      <c r="C54" s="77">
        <f>'PartLib Table'!L56</f>
        <v>0</v>
      </c>
      <c r="D54" s="77">
        <f>'PartLib Table'!M56</f>
        <v>0</v>
      </c>
      <c r="E54" s="77">
        <f>'PartLib Table'!N56</f>
        <v>0</v>
      </c>
      <c r="F54" s="75">
        <f>'PartLib Table'!O56</f>
        <v>0</v>
      </c>
      <c r="G54" s="77">
        <f>'PartLib Table'!P56</f>
        <v>0</v>
      </c>
      <c r="H54" s="77">
        <f>'PartLib Table'!Q56</f>
        <v>0</v>
      </c>
    </row>
    <row r="55" spans="1:8">
      <c r="A55" s="76">
        <f>'PartLib Table'!C57</f>
        <v>0</v>
      </c>
      <c r="B55" s="77" t="str">
        <f>'PartLib Table'!K57</f>
        <v/>
      </c>
      <c r="C55" s="77">
        <f>'PartLib Table'!L57</f>
        <v>0</v>
      </c>
      <c r="D55" s="77">
        <f>'PartLib Table'!M57</f>
        <v>0</v>
      </c>
      <c r="E55" s="77">
        <f>'PartLib Table'!N57</f>
        <v>0</v>
      </c>
      <c r="F55" s="75">
        <f>'PartLib Table'!O57</f>
        <v>0</v>
      </c>
      <c r="G55" s="77">
        <f>'PartLib Table'!P57</f>
        <v>0</v>
      </c>
      <c r="H55" s="77">
        <f>'PartLib Table'!Q57</f>
        <v>0</v>
      </c>
    </row>
    <row r="56" spans="1:8">
      <c r="A56" s="76">
        <f>'PartLib Table'!C58</f>
        <v>0</v>
      </c>
      <c r="B56" s="77" t="str">
        <f>'PartLib Table'!K58</f>
        <v/>
      </c>
      <c r="C56" s="77">
        <f>'PartLib Table'!L58</f>
        <v>0</v>
      </c>
      <c r="D56" s="77">
        <f>'PartLib Table'!M58</f>
        <v>0</v>
      </c>
      <c r="E56" s="77">
        <f>'PartLib Table'!N58</f>
        <v>0</v>
      </c>
      <c r="F56" s="75">
        <f>'PartLib Table'!O58</f>
        <v>0</v>
      </c>
      <c r="G56" s="77">
        <f>'PartLib Table'!P58</f>
        <v>0</v>
      </c>
      <c r="H56" s="77">
        <f>'PartLib Table'!Q58</f>
        <v>0</v>
      </c>
    </row>
    <row r="57" spans="1:8">
      <c r="A57" s="76">
        <f>'PartLib Table'!C59</f>
        <v>0</v>
      </c>
      <c r="B57" s="77" t="str">
        <f>'PartLib Table'!K59</f>
        <v/>
      </c>
      <c r="C57" s="77">
        <f>'PartLib Table'!L59</f>
        <v>0</v>
      </c>
      <c r="D57" s="77">
        <f>'PartLib Table'!M59</f>
        <v>0</v>
      </c>
      <c r="E57" s="77">
        <f>'PartLib Table'!N59</f>
        <v>0</v>
      </c>
      <c r="F57" s="75">
        <f>'PartLib Table'!O59</f>
        <v>0</v>
      </c>
      <c r="G57" s="77">
        <f>'PartLib Table'!P59</f>
        <v>0</v>
      </c>
      <c r="H57" s="77">
        <f>'PartLib Table'!Q59</f>
        <v>0</v>
      </c>
    </row>
    <row r="58" spans="1:8">
      <c r="A58" s="76">
        <f>'PartLib Table'!C60</f>
        <v>0</v>
      </c>
      <c r="B58" s="77" t="str">
        <f>'PartLib Table'!K60</f>
        <v/>
      </c>
      <c r="C58" s="77">
        <f>'PartLib Table'!L60</f>
        <v>0</v>
      </c>
      <c r="D58" s="77">
        <f>'PartLib Table'!M60</f>
        <v>0</v>
      </c>
      <c r="E58" s="77">
        <f>'PartLib Table'!N60</f>
        <v>0</v>
      </c>
      <c r="F58" s="75">
        <f>'PartLib Table'!O60</f>
        <v>0</v>
      </c>
      <c r="G58" s="77">
        <f>'PartLib Table'!P60</f>
        <v>0</v>
      </c>
      <c r="H58" s="77">
        <f>'PartLib Table'!Q60</f>
        <v>0</v>
      </c>
    </row>
    <row r="59" spans="1:8">
      <c r="A59" s="76">
        <f>'PartLib Table'!C61</f>
        <v>0</v>
      </c>
      <c r="B59" s="77" t="str">
        <f>'PartLib Table'!K61</f>
        <v/>
      </c>
      <c r="C59" s="77">
        <f>'PartLib Table'!L61</f>
        <v>0</v>
      </c>
      <c r="D59" s="77">
        <f>'PartLib Table'!M61</f>
        <v>0</v>
      </c>
      <c r="E59" s="77">
        <f>'PartLib Table'!N61</f>
        <v>0</v>
      </c>
      <c r="F59" s="75">
        <f>'PartLib Table'!O61</f>
        <v>0</v>
      </c>
      <c r="G59" s="77">
        <f>'PartLib Table'!P61</f>
        <v>0</v>
      </c>
      <c r="H59" s="77">
        <f>'PartLib Table'!Q61</f>
        <v>0</v>
      </c>
    </row>
    <row r="60" spans="1:8">
      <c r="A60" s="76">
        <f>'PartLib Table'!C62</f>
        <v>0</v>
      </c>
      <c r="B60" s="77" t="str">
        <f>'PartLib Table'!K62</f>
        <v/>
      </c>
      <c r="C60" s="77">
        <f>'PartLib Table'!L62</f>
        <v>0</v>
      </c>
      <c r="D60" s="77">
        <f>'PartLib Table'!M62</f>
        <v>0</v>
      </c>
      <c r="E60" s="77">
        <f>'PartLib Table'!N62</f>
        <v>0</v>
      </c>
      <c r="F60" s="75">
        <f>'PartLib Table'!O62</f>
        <v>0</v>
      </c>
      <c r="G60" s="77">
        <f>'PartLib Table'!P62</f>
        <v>0</v>
      </c>
      <c r="H60" s="77">
        <f>'PartLib Table'!Q62</f>
        <v>0</v>
      </c>
    </row>
    <row r="61" spans="1:8">
      <c r="A61" s="76">
        <f>'PartLib Table'!C63</f>
        <v>0</v>
      </c>
      <c r="B61" s="77" t="str">
        <f>'PartLib Table'!K63</f>
        <v/>
      </c>
      <c r="C61" s="77">
        <f>'PartLib Table'!L63</f>
        <v>0</v>
      </c>
      <c r="D61" s="77">
        <f>'PartLib Table'!M63</f>
        <v>0</v>
      </c>
      <c r="E61" s="77">
        <f>'PartLib Table'!N63</f>
        <v>0</v>
      </c>
      <c r="F61" s="75">
        <f>'PartLib Table'!O63</f>
        <v>0</v>
      </c>
      <c r="G61" s="77">
        <f>'PartLib Table'!P63</f>
        <v>0</v>
      </c>
      <c r="H61" s="77">
        <f>'PartLib Table'!Q63</f>
        <v>0</v>
      </c>
    </row>
    <row r="62" spans="1:8">
      <c r="A62" s="76">
        <f>'PartLib Table'!C64</f>
        <v>0</v>
      </c>
      <c r="B62" s="77" t="str">
        <f>'PartLib Table'!K64</f>
        <v/>
      </c>
      <c r="C62" s="77">
        <f>'PartLib Table'!L64</f>
        <v>0</v>
      </c>
      <c r="D62" s="77">
        <f>'PartLib Table'!M64</f>
        <v>0</v>
      </c>
      <c r="E62" s="77">
        <f>'PartLib Table'!N64</f>
        <v>0</v>
      </c>
      <c r="F62" s="75">
        <f>'PartLib Table'!O64</f>
        <v>0</v>
      </c>
      <c r="G62" s="77">
        <f>'PartLib Table'!P64</f>
        <v>0</v>
      </c>
      <c r="H62" s="77">
        <f>'PartLib Table'!Q64</f>
        <v>0</v>
      </c>
    </row>
    <row r="63" spans="1:8">
      <c r="A63" s="76">
        <f>'PartLib Table'!C65</f>
        <v>0</v>
      </c>
      <c r="B63" s="77" t="str">
        <f>'PartLib Table'!K65</f>
        <v/>
      </c>
      <c r="C63" s="77">
        <f>'PartLib Table'!L65</f>
        <v>0</v>
      </c>
      <c r="D63" s="77">
        <f>'PartLib Table'!M65</f>
        <v>0</v>
      </c>
      <c r="E63" s="77">
        <f>'PartLib Table'!N65</f>
        <v>0</v>
      </c>
      <c r="F63" s="75">
        <f>'PartLib Table'!O65</f>
        <v>0</v>
      </c>
      <c r="G63" s="77">
        <f>'PartLib Table'!P65</f>
        <v>0</v>
      </c>
      <c r="H63" s="77">
        <f>'PartLib Table'!Q65</f>
        <v>0</v>
      </c>
    </row>
    <row r="64" spans="1:8">
      <c r="A64" s="76">
        <f>'PartLib Table'!C66</f>
        <v>0</v>
      </c>
      <c r="B64" s="77" t="str">
        <f>'PartLib Table'!K66</f>
        <v/>
      </c>
      <c r="C64" s="77">
        <f>'PartLib Table'!L66</f>
        <v>0</v>
      </c>
      <c r="D64" s="77">
        <f>'PartLib Table'!M66</f>
        <v>0</v>
      </c>
      <c r="E64" s="77">
        <f>'PartLib Table'!N66</f>
        <v>0</v>
      </c>
      <c r="F64" s="75">
        <f>'PartLib Table'!O66</f>
        <v>0</v>
      </c>
      <c r="G64" s="77">
        <f>'PartLib Table'!P66</f>
        <v>0</v>
      </c>
      <c r="H64" s="77">
        <f>'PartLib Table'!Q66</f>
        <v>0</v>
      </c>
    </row>
    <row r="65" spans="1:8">
      <c r="A65" s="76">
        <f>'PartLib Table'!C67</f>
        <v>0</v>
      </c>
      <c r="B65" s="77" t="str">
        <f>'PartLib Table'!K67</f>
        <v/>
      </c>
      <c r="C65" s="77">
        <f>'PartLib Table'!L67</f>
        <v>0</v>
      </c>
      <c r="D65" s="77">
        <f>'PartLib Table'!M67</f>
        <v>0</v>
      </c>
      <c r="E65" s="77">
        <f>'PartLib Table'!N67</f>
        <v>0</v>
      </c>
      <c r="F65" s="75">
        <f>'PartLib Table'!O67</f>
        <v>0</v>
      </c>
      <c r="G65" s="77">
        <f>'PartLib Table'!P67</f>
        <v>0</v>
      </c>
      <c r="H65" s="77">
        <f>'PartLib Table'!Q67</f>
        <v>0</v>
      </c>
    </row>
    <row r="66" spans="1:8">
      <c r="A66" s="76">
        <f>'PartLib Table'!C68</f>
        <v>0</v>
      </c>
      <c r="B66" s="77" t="str">
        <f>'PartLib Table'!K68</f>
        <v/>
      </c>
      <c r="C66" s="77">
        <f>'PartLib Table'!L68</f>
        <v>0</v>
      </c>
      <c r="D66" s="77">
        <f>'PartLib Table'!M68</f>
        <v>0</v>
      </c>
      <c r="E66" s="77">
        <f>'PartLib Table'!N68</f>
        <v>0</v>
      </c>
      <c r="F66" s="75">
        <f>'PartLib Table'!O68</f>
        <v>0</v>
      </c>
      <c r="G66" s="77">
        <f>'PartLib Table'!P68</f>
        <v>0</v>
      </c>
      <c r="H66" s="77">
        <f>'PartLib Table'!Q68</f>
        <v>0</v>
      </c>
    </row>
    <row r="67" spans="1:8">
      <c r="A67" s="76">
        <f>'PartLib Table'!C69</f>
        <v>0</v>
      </c>
      <c r="B67" s="77" t="str">
        <f>'PartLib Table'!K69</f>
        <v/>
      </c>
      <c r="C67" s="77">
        <f>'PartLib Table'!L69</f>
        <v>0</v>
      </c>
      <c r="D67" s="77">
        <f>'PartLib Table'!M69</f>
        <v>0</v>
      </c>
      <c r="E67" s="77">
        <f>'PartLib Table'!N69</f>
        <v>0</v>
      </c>
      <c r="F67" s="75">
        <f>'PartLib Table'!O69</f>
        <v>0</v>
      </c>
      <c r="G67" s="77">
        <f>'PartLib Table'!P69</f>
        <v>0</v>
      </c>
      <c r="H67" s="77">
        <f>'PartLib Table'!Q69</f>
        <v>0</v>
      </c>
    </row>
    <row r="68" spans="1:8">
      <c r="A68" s="76">
        <f>'PartLib Table'!C70</f>
        <v>0</v>
      </c>
      <c r="B68" s="77" t="str">
        <f>'PartLib Table'!K70</f>
        <v/>
      </c>
      <c r="C68" s="77">
        <f>'PartLib Table'!L70</f>
        <v>0</v>
      </c>
      <c r="D68" s="77">
        <f>'PartLib Table'!M70</f>
        <v>0</v>
      </c>
      <c r="E68" s="77">
        <f>'PartLib Table'!N70</f>
        <v>0</v>
      </c>
      <c r="F68" s="75">
        <f>'PartLib Table'!O70</f>
        <v>0</v>
      </c>
      <c r="G68" s="77">
        <f>'PartLib Table'!P70</f>
        <v>0</v>
      </c>
      <c r="H68" s="77">
        <f>'PartLib Table'!Q70</f>
        <v>0</v>
      </c>
    </row>
    <row r="69" spans="1:8">
      <c r="A69" s="76">
        <f>'PartLib Table'!C71</f>
        <v>0</v>
      </c>
      <c r="B69" s="77" t="str">
        <f>'PartLib Table'!K71</f>
        <v/>
      </c>
      <c r="C69" s="77">
        <f>'PartLib Table'!L71</f>
        <v>0</v>
      </c>
      <c r="D69" s="77">
        <f>'PartLib Table'!M71</f>
        <v>0</v>
      </c>
      <c r="E69" s="77">
        <f>'PartLib Table'!N71</f>
        <v>0</v>
      </c>
      <c r="F69" s="75">
        <f>'PartLib Table'!O71</f>
        <v>0</v>
      </c>
      <c r="G69" s="77">
        <f>'PartLib Table'!P71</f>
        <v>0</v>
      </c>
      <c r="H69" s="77">
        <f>'PartLib Table'!Q71</f>
        <v>0</v>
      </c>
    </row>
    <row r="70" spans="1:8">
      <c r="A70" s="76">
        <f>'PartLib Table'!C72</f>
        <v>0</v>
      </c>
      <c r="B70" s="77" t="str">
        <f>'PartLib Table'!K72</f>
        <v/>
      </c>
      <c r="C70" s="77">
        <f>'PartLib Table'!L72</f>
        <v>0</v>
      </c>
      <c r="D70" s="77">
        <f>'PartLib Table'!M72</f>
        <v>0</v>
      </c>
      <c r="E70" s="77">
        <f>'PartLib Table'!N72</f>
        <v>0</v>
      </c>
      <c r="F70" s="75">
        <f>'PartLib Table'!O72</f>
        <v>0</v>
      </c>
      <c r="G70" s="77">
        <f>'PartLib Table'!P72</f>
        <v>0</v>
      </c>
      <c r="H70" s="77">
        <f>'PartLib Table'!Q72</f>
        <v>0</v>
      </c>
    </row>
    <row r="71" spans="1:8">
      <c r="A71" s="76">
        <f>'PartLib Table'!C73</f>
        <v>0</v>
      </c>
      <c r="B71" s="77" t="str">
        <f>'PartLib Table'!K73</f>
        <v/>
      </c>
      <c r="C71" s="77">
        <f>'PartLib Table'!L73</f>
        <v>0</v>
      </c>
      <c r="D71" s="77">
        <f>'PartLib Table'!M73</f>
        <v>0</v>
      </c>
      <c r="E71" s="77">
        <f>'PartLib Table'!N73</f>
        <v>0</v>
      </c>
      <c r="F71" s="75">
        <f>'PartLib Table'!O73</f>
        <v>0</v>
      </c>
      <c r="G71" s="77">
        <f>'PartLib Table'!P73</f>
        <v>0</v>
      </c>
      <c r="H71" s="77">
        <f>'PartLib Table'!Q73</f>
        <v>0</v>
      </c>
    </row>
    <row r="72" spans="1:8">
      <c r="A72" s="76">
        <f>'PartLib Table'!C74</f>
        <v>0</v>
      </c>
      <c r="B72" s="77" t="str">
        <f>'PartLib Table'!K74</f>
        <v/>
      </c>
      <c r="C72" s="77">
        <f>'PartLib Table'!L74</f>
        <v>0</v>
      </c>
      <c r="D72" s="77">
        <f>'PartLib Table'!M74</f>
        <v>0</v>
      </c>
      <c r="E72" s="77">
        <f>'PartLib Table'!N74</f>
        <v>0</v>
      </c>
      <c r="F72" s="75">
        <f>'PartLib Table'!O74</f>
        <v>0</v>
      </c>
      <c r="G72" s="77">
        <f>'PartLib Table'!P74</f>
        <v>0</v>
      </c>
      <c r="H72" s="77">
        <f>'PartLib Table'!Q74</f>
        <v>0</v>
      </c>
    </row>
    <row r="73" spans="1:8">
      <c r="A73" s="76">
        <f>'PartLib Table'!C75</f>
        <v>0</v>
      </c>
      <c r="B73" s="77" t="str">
        <f>'PartLib Table'!K75</f>
        <v/>
      </c>
      <c r="C73" s="77">
        <f>'PartLib Table'!L75</f>
        <v>0</v>
      </c>
      <c r="D73" s="77">
        <f>'PartLib Table'!M75</f>
        <v>0</v>
      </c>
      <c r="E73" s="77">
        <f>'PartLib Table'!N75</f>
        <v>0</v>
      </c>
      <c r="F73" s="75">
        <f>'PartLib Table'!O75</f>
        <v>0</v>
      </c>
      <c r="G73" s="77">
        <f>'PartLib Table'!P75</f>
        <v>0</v>
      </c>
      <c r="H73" s="77">
        <f>'PartLib Table'!Q75</f>
        <v>0</v>
      </c>
    </row>
    <row r="74" spans="1:8">
      <c r="A74" s="76">
        <f>'PartLib Table'!C76</f>
        <v>0</v>
      </c>
      <c r="B74" s="77" t="str">
        <f>'PartLib Table'!K76</f>
        <v/>
      </c>
      <c r="C74" s="77">
        <f>'PartLib Table'!L76</f>
        <v>0</v>
      </c>
      <c r="D74" s="77">
        <f>'PartLib Table'!M76</f>
        <v>0</v>
      </c>
      <c r="E74" s="77">
        <f>'PartLib Table'!N76</f>
        <v>0</v>
      </c>
      <c r="F74" s="75">
        <f>'PartLib Table'!O76</f>
        <v>0</v>
      </c>
      <c r="G74" s="77">
        <f>'PartLib Table'!P76</f>
        <v>0</v>
      </c>
      <c r="H74" s="77">
        <f>'PartLib Table'!Q76</f>
        <v>0</v>
      </c>
    </row>
    <row r="75" spans="1:8">
      <c r="A75" s="76">
        <f>'PartLib Table'!C77</f>
        <v>0</v>
      </c>
      <c r="B75" s="77" t="str">
        <f>'PartLib Table'!K77</f>
        <v/>
      </c>
      <c r="C75" s="77">
        <f>'PartLib Table'!L77</f>
        <v>0</v>
      </c>
      <c r="D75" s="77">
        <f>'PartLib Table'!M77</f>
        <v>0</v>
      </c>
      <c r="E75" s="77">
        <f>'PartLib Table'!N77</f>
        <v>0</v>
      </c>
      <c r="F75" s="75">
        <f>'PartLib Table'!O77</f>
        <v>0</v>
      </c>
      <c r="G75" s="77">
        <f>'PartLib Table'!P77</f>
        <v>0</v>
      </c>
      <c r="H75" s="77">
        <f>'PartLib Table'!Q77</f>
        <v>0</v>
      </c>
    </row>
    <row r="76" spans="1:8">
      <c r="A76" s="76">
        <f>'PartLib Table'!C78</f>
        <v>0</v>
      </c>
      <c r="B76" s="77" t="str">
        <f>'PartLib Table'!K78</f>
        <v/>
      </c>
      <c r="C76" s="77">
        <f>'PartLib Table'!L78</f>
        <v>0</v>
      </c>
      <c r="D76" s="77">
        <f>'PartLib Table'!M78</f>
        <v>0</v>
      </c>
      <c r="E76" s="77">
        <f>'PartLib Table'!N78</f>
        <v>0</v>
      </c>
      <c r="F76" s="75">
        <f>'PartLib Table'!O78</f>
        <v>0</v>
      </c>
      <c r="G76" s="77">
        <f>'PartLib Table'!P78</f>
        <v>0</v>
      </c>
      <c r="H76" s="77">
        <f>'PartLib Table'!Q78</f>
        <v>0</v>
      </c>
    </row>
    <row r="77" spans="1:8">
      <c r="A77" s="76">
        <f>'PartLib Table'!C79</f>
        <v>0</v>
      </c>
      <c r="B77" s="77" t="str">
        <f>'PartLib Table'!K79</f>
        <v/>
      </c>
      <c r="C77" s="77">
        <f>'PartLib Table'!L79</f>
        <v>0</v>
      </c>
      <c r="D77" s="77">
        <f>'PartLib Table'!M79</f>
        <v>0</v>
      </c>
      <c r="E77" s="77">
        <f>'PartLib Table'!N79</f>
        <v>0</v>
      </c>
      <c r="F77" s="75">
        <f>'PartLib Table'!O79</f>
        <v>0</v>
      </c>
      <c r="G77" s="77">
        <f>'PartLib Table'!P79</f>
        <v>0</v>
      </c>
      <c r="H77" s="77">
        <f>'PartLib Table'!Q79</f>
        <v>0</v>
      </c>
    </row>
    <row r="78" spans="1:8">
      <c r="A78" s="76">
        <f>'PartLib Table'!C80</f>
        <v>0</v>
      </c>
      <c r="B78" s="77" t="str">
        <f>'PartLib Table'!K80</f>
        <v/>
      </c>
      <c r="C78" s="77">
        <f>'PartLib Table'!L80</f>
        <v>0</v>
      </c>
      <c r="D78" s="77">
        <f>'PartLib Table'!M80</f>
        <v>0</v>
      </c>
      <c r="E78" s="77">
        <f>'PartLib Table'!N80</f>
        <v>0</v>
      </c>
      <c r="F78" s="75">
        <f>'PartLib Table'!O80</f>
        <v>0</v>
      </c>
      <c r="G78" s="77">
        <f>'PartLib Table'!P80</f>
        <v>0</v>
      </c>
      <c r="H78" s="77">
        <f>'PartLib Table'!Q80</f>
        <v>0</v>
      </c>
    </row>
    <row r="79" spans="1:8">
      <c r="A79" s="76">
        <f>'PartLib Table'!C81</f>
        <v>0</v>
      </c>
      <c r="B79" s="77" t="str">
        <f>'PartLib Table'!K81</f>
        <v/>
      </c>
      <c r="C79" s="77">
        <f>'PartLib Table'!L81</f>
        <v>0</v>
      </c>
      <c r="D79" s="77">
        <f>'PartLib Table'!M81</f>
        <v>0</v>
      </c>
      <c r="E79" s="77">
        <f>'PartLib Table'!N81</f>
        <v>0</v>
      </c>
      <c r="F79" s="75">
        <f>'PartLib Table'!O81</f>
        <v>0</v>
      </c>
      <c r="G79" s="77">
        <f>'PartLib Table'!P81</f>
        <v>0</v>
      </c>
      <c r="H79" s="77">
        <f>'PartLib Table'!Q81</f>
        <v>0</v>
      </c>
    </row>
    <row r="80" spans="1:8">
      <c r="A80" s="76">
        <f>'PartLib Table'!C82</f>
        <v>0</v>
      </c>
      <c r="B80" s="77" t="str">
        <f>'PartLib Table'!K82</f>
        <v/>
      </c>
      <c r="C80" s="77">
        <f>'PartLib Table'!L82</f>
        <v>0</v>
      </c>
      <c r="D80" s="77">
        <f>'PartLib Table'!M82</f>
        <v>0</v>
      </c>
      <c r="E80" s="77">
        <f>'PartLib Table'!N82</f>
        <v>0</v>
      </c>
      <c r="F80" s="75">
        <f>'PartLib Table'!O82</f>
        <v>0</v>
      </c>
      <c r="G80" s="77">
        <f>'PartLib Table'!P82</f>
        <v>0</v>
      </c>
      <c r="H80" s="77">
        <f>'PartLib Table'!Q82</f>
        <v>0</v>
      </c>
    </row>
    <row r="81" spans="1:8">
      <c r="A81" s="76">
        <f>'PartLib Table'!C83</f>
        <v>0</v>
      </c>
      <c r="B81" s="77" t="str">
        <f>'PartLib Table'!K83</f>
        <v/>
      </c>
      <c r="C81" s="77">
        <f>'PartLib Table'!L83</f>
        <v>0</v>
      </c>
      <c r="D81" s="77">
        <f>'PartLib Table'!M83</f>
        <v>0</v>
      </c>
      <c r="E81" s="77">
        <f>'PartLib Table'!N83</f>
        <v>0</v>
      </c>
      <c r="F81" s="75">
        <f>'PartLib Table'!O83</f>
        <v>0</v>
      </c>
      <c r="G81" s="77">
        <f>'PartLib Table'!P83</f>
        <v>0</v>
      </c>
      <c r="H81" s="77">
        <f>'PartLib Table'!Q83</f>
        <v>0</v>
      </c>
    </row>
    <row r="82" spans="1:8">
      <c r="A82" s="76">
        <f>'PartLib Table'!C84</f>
        <v>0</v>
      </c>
      <c r="B82" s="77" t="str">
        <f>'PartLib Table'!K84</f>
        <v/>
      </c>
      <c r="C82" s="77">
        <f>'PartLib Table'!L84</f>
        <v>0</v>
      </c>
      <c r="D82" s="77">
        <f>'PartLib Table'!M84</f>
        <v>0</v>
      </c>
      <c r="E82" s="77">
        <f>'PartLib Table'!N84</f>
        <v>0</v>
      </c>
      <c r="F82" s="75">
        <f>'PartLib Table'!O84</f>
        <v>0</v>
      </c>
      <c r="G82" s="77">
        <f>'PartLib Table'!P84</f>
        <v>0</v>
      </c>
      <c r="H82" s="77">
        <f>'PartLib Table'!Q84</f>
        <v>0</v>
      </c>
    </row>
    <row r="83" spans="1:8">
      <c r="A83" s="76">
        <f>'PartLib Table'!C85</f>
        <v>0</v>
      </c>
      <c r="B83" s="77" t="str">
        <f>'PartLib Table'!K85</f>
        <v/>
      </c>
      <c r="C83" s="77">
        <f>'PartLib Table'!L85</f>
        <v>0</v>
      </c>
      <c r="D83" s="77">
        <f>'PartLib Table'!M85</f>
        <v>0</v>
      </c>
      <c r="E83" s="77">
        <f>'PartLib Table'!N85</f>
        <v>0</v>
      </c>
      <c r="F83" s="75">
        <f>'PartLib Table'!O85</f>
        <v>0</v>
      </c>
      <c r="G83" s="77">
        <f>'PartLib Table'!P85</f>
        <v>0</v>
      </c>
      <c r="H83" s="77">
        <f>'PartLib Table'!Q85</f>
        <v>0</v>
      </c>
    </row>
    <row r="84" spans="1:8">
      <c r="A84" s="76">
        <f>'PartLib Table'!C86</f>
        <v>0</v>
      </c>
      <c r="B84" s="77" t="str">
        <f>'PartLib Table'!K86</f>
        <v/>
      </c>
      <c r="C84" s="77">
        <f>'PartLib Table'!L86</f>
        <v>0</v>
      </c>
      <c r="D84" s="77">
        <f>'PartLib Table'!M86</f>
        <v>0</v>
      </c>
      <c r="E84" s="77">
        <f>'PartLib Table'!N86</f>
        <v>0</v>
      </c>
      <c r="F84" s="75">
        <f>'PartLib Table'!O86</f>
        <v>0</v>
      </c>
      <c r="G84" s="77">
        <f>'PartLib Table'!P86</f>
        <v>0</v>
      </c>
      <c r="H84" s="77">
        <f>'PartLib Table'!Q86</f>
        <v>0</v>
      </c>
    </row>
    <row r="85" spans="1:8">
      <c r="A85" s="76">
        <f>'PartLib Table'!C87</f>
        <v>0</v>
      </c>
      <c r="B85" s="77" t="str">
        <f>'PartLib Table'!K87</f>
        <v/>
      </c>
      <c r="C85" s="77">
        <f>'PartLib Table'!L87</f>
        <v>0</v>
      </c>
      <c r="D85" s="77">
        <f>'PartLib Table'!M87</f>
        <v>0</v>
      </c>
      <c r="E85" s="77">
        <f>'PartLib Table'!N87</f>
        <v>0</v>
      </c>
      <c r="F85" s="75">
        <f>'PartLib Table'!O87</f>
        <v>0</v>
      </c>
      <c r="G85" s="77">
        <f>'PartLib Table'!P87</f>
        <v>0</v>
      </c>
      <c r="H85" s="77">
        <f>'PartLib Table'!Q87</f>
        <v>0</v>
      </c>
    </row>
    <row r="86" spans="1:8">
      <c r="A86" s="76">
        <f>'PartLib Table'!C88</f>
        <v>0</v>
      </c>
      <c r="B86" s="77" t="str">
        <f>'PartLib Table'!K88</f>
        <v/>
      </c>
      <c r="C86" s="77">
        <f>'PartLib Table'!L88</f>
        <v>0</v>
      </c>
      <c r="D86" s="77">
        <f>'PartLib Table'!M88</f>
        <v>0</v>
      </c>
      <c r="E86" s="77">
        <f>'PartLib Table'!N88</f>
        <v>0</v>
      </c>
      <c r="F86" s="75">
        <f>'PartLib Table'!O88</f>
        <v>0</v>
      </c>
      <c r="G86" s="77">
        <f>'PartLib Table'!P88</f>
        <v>0</v>
      </c>
      <c r="H86" s="77">
        <f>'PartLib Table'!Q88</f>
        <v>0</v>
      </c>
    </row>
    <row r="87" spans="1:8">
      <c r="A87" s="76">
        <f>'PartLib Table'!C89</f>
        <v>0</v>
      </c>
      <c r="B87" s="77" t="str">
        <f>'PartLib Table'!K89</f>
        <v/>
      </c>
      <c r="C87" s="77">
        <f>'PartLib Table'!L89</f>
        <v>0</v>
      </c>
      <c r="D87" s="77">
        <f>'PartLib Table'!M89</f>
        <v>0</v>
      </c>
      <c r="E87" s="77">
        <f>'PartLib Table'!N89</f>
        <v>0</v>
      </c>
      <c r="F87" s="75">
        <f>'PartLib Table'!O89</f>
        <v>0</v>
      </c>
      <c r="G87" s="77">
        <f>'PartLib Table'!P89</f>
        <v>0</v>
      </c>
      <c r="H87" s="77">
        <f>'PartLib Table'!Q89</f>
        <v>0</v>
      </c>
    </row>
    <row r="88" spans="1:8">
      <c r="A88" s="76">
        <f>'PartLib Table'!C90</f>
        <v>0</v>
      </c>
      <c r="B88" s="77" t="str">
        <f>'PartLib Table'!K90</f>
        <v/>
      </c>
      <c r="C88" s="77">
        <f>'PartLib Table'!L90</f>
        <v>0</v>
      </c>
      <c r="D88" s="77">
        <f>'PartLib Table'!M90</f>
        <v>0</v>
      </c>
      <c r="E88" s="77">
        <f>'PartLib Table'!N90</f>
        <v>0</v>
      </c>
      <c r="F88" s="75">
        <f>'PartLib Table'!O90</f>
        <v>0</v>
      </c>
      <c r="G88" s="77">
        <f>'PartLib Table'!P90</f>
        <v>0</v>
      </c>
      <c r="H88" s="77">
        <f>'PartLib Table'!Q90</f>
        <v>0</v>
      </c>
    </row>
    <row r="89" spans="1:8">
      <c r="A89" s="76">
        <f>'PartLib Table'!C91</f>
        <v>0</v>
      </c>
      <c r="B89" s="77" t="str">
        <f>'PartLib Table'!K91</f>
        <v/>
      </c>
      <c r="C89" s="77">
        <f>'PartLib Table'!L91</f>
        <v>0</v>
      </c>
      <c r="D89" s="77">
        <f>'PartLib Table'!M91</f>
        <v>0</v>
      </c>
      <c r="E89" s="77">
        <f>'PartLib Table'!N91</f>
        <v>0</v>
      </c>
      <c r="F89" s="75">
        <f>'PartLib Table'!O91</f>
        <v>0</v>
      </c>
      <c r="G89" s="77">
        <f>'PartLib Table'!P91</f>
        <v>0</v>
      </c>
      <c r="H89" s="77">
        <f>'PartLib Table'!Q91</f>
        <v>0</v>
      </c>
    </row>
    <row r="90" spans="1:8">
      <c r="A90" s="76">
        <f>'PartLib Table'!C92</f>
        <v>0</v>
      </c>
      <c r="B90" s="77" t="str">
        <f>'PartLib Table'!K92</f>
        <v/>
      </c>
      <c r="C90" s="77">
        <f>'PartLib Table'!L92</f>
        <v>0</v>
      </c>
      <c r="D90" s="77">
        <f>'PartLib Table'!M92</f>
        <v>0</v>
      </c>
      <c r="E90" s="77">
        <f>'PartLib Table'!N92</f>
        <v>0</v>
      </c>
      <c r="F90" s="75">
        <f>'PartLib Table'!O92</f>
        <v>0</v>
      </c>
      <c r="G90" s="77">
        <f>'PartLib Table'!P92</f>
        <v>0</v>
      </c>
      <c r="H90" s="77">
        <f>'PartLib Table'!Q92</f>
        <v>0</v>
      </c>
    </row>
    <row r="91" spans="1:8">
      <c r="A91" s="76">
        <f>'PartLib Table'!C93</f>
        <v>0</v>
      </c>
      <c r="B91" s="77" t="str">
        <f>'PartLib Table'!K93</f>
        <v/>
      </c>
      <c r="C91" s="77">
        <f>'PartLib Table'!L93</f>
        <v>0</v>
      </c>
      <c r="D91" s="77">
        <f>'PartLib Table'!M93</f>
        <v>0</v>
      </c>
      <c r="E91" s="77">
        <f>'PartLib Table'!N93</f>
        <v>0</v>
      </c>
      <c r="F91" s="75">
        <f>'PartLib Table'!O93</f>
        <v>0</v>
      </c>
      <c r="G91" s="77">
        <f>'PartLib Table'!P93</f>
        <v>0</v>
      </c>
      <c r="H91" s="77">
        <f>'PartLib Table'!Q93</f>
        <v>0</v>
      </c>
    </row>
    <row r="92" spans="1:8">
      <c r="A92" s="76">
        <f>'PartLib Table'!C94</f>
        <v>0</v>
      </c>
      <c r="B92" s="77" t="str">
        <f>'PartLib Table'!K94</f>
        <v/>
      </c>
      <c r="C92" s="77">
        <f>'PartLib Table'!L94</f>
        <v>0</v>
      </c>
      <c r="D92" s="77">
        <f>'PartLib Table'!M94</f>
        <v>0</v>
      </c>
      <c r="E92" s="77">
        <f>'PartLib Table'!N94</f>
        <v>0</v>
      </c>
      <c r="F92" s="75">
        <f>'PartLib Table'!O94</f>
        <v>0</v>
      </c>
      <c r="G92" s="77">
        <f>'PartLib Table'!P94</f>
        <v>0</v>
      </c>
      <c r="H92" s="77">
        <f>'PartLib Table'!Q94</f>
        <v>0</v>
      </c>
    </row>
    <row r="93" spans="1:8">
      <c r="A93" s="76">
        <f>'PartLib Table'!C95</f>
        <v>0</v>
      </c>
      <c r="B93" s="77" t="str">
        <f>'PartLib Table'!K95</f>
        <v/>
      </c>
      <c r="C93" s="77">
        <f>'PartLib Table'!L95</f>
        <v>0</v>
      </c>
      <c r="D93" s="77">
        <f>'PartLib Table'!M95</f>
        <v>0</v>
      </c>
      <c r="E93" s="77">
        <f>'PartLib Table'!N95</f>
        <v>0</v>
      </c>
      <c r="F93" s="75">
        <f>'PartLib Table'!O95</f>
        <v>0</v>
      </c>
      <c r="G93" s="77">
        <f>'PartLib Table'!P95</f>
        <v>0</v>
      </c>
      <c r="H93" s="77">
        <f>'PartLib Table'!Q95</f>
        <v>0</v>
      </c>
    </row>
    <row r="94" spans="1:8">
      <c r="A94" s="76">
        <f>'PartLib Table'!C96</f>
        <v>0</v>
      </c>
      <c r="B94" s="77" t="str">
        <f>'PartLib Table'!K96</f>
        <v/>
      </c>
      <c r="C94" s="77">
        <f>'PartLib Table'!L96</f>
        <v>0</v>
      </c>
      <c r="D94" s="77">
        <f>'PartLib Table'!M96</f>
        <v>0</v>
      </c>
      <c r="E94" s="77">
        <f>'PartLib Table'!N96</f>
        <v>0</v>
      </c>
      <c r="F94" s="75">
        <f>'PartLib Table'!O96</f>
        <v>0</v>
      </c>
      <c r="G94" s="77">
        <f>'PartLib Table'!P96</f>
        <v>0</v>
      </c>
      <c r="H94" s="77">
        <f>'PartLib Table'!Q96</f>
        <v>0</v>
      </c>
    </row>
    <row r="95" spans="1:8">
      <c r="A95" s="76">
        <f>'PartLib Table'!C97</f>
        <v>0</v>
      </c>
      <c r="B95" s="77" t="str">
        <f>'PartLib Table'!K97</f>
        <v/>
      </c>
      <c r="C95" s="77">
        <f>'PartLib Table'!L97</f>
        <v>0</v>
      </c>
      <c r="D95" s="77">
        <f>'PartLib Table'!M97</f>
        <v>0</v>
      </c>
      <c r="E95" s="77">
        <f>'PartLib Table'!N97</f>
        <v>0</v>
      </c>
      <c r="F95" s="75">
        <f>'PartLib Table'!O97</f>
        <v>0</v>
      </c>
      <c r="G95" s="77">
        <f>'PartLib Table'!P97</f>
        <v>0</v>
      </c>
      <c r="H95" s="77">
        <f>'PartLib Table'!Q97</f>
        <v>0</v>
      </c>
    </row>
    <row r="96" spans="1:8">
      <c r="A96" s="76">
        <f>'PartLib Table'!C98</f>
        <v>0</v>
      </c>
      <c r="B96" s="77" t="str">
        <f>'PartLib Table'!K98</f>
        <v/>
      </c>
      <c r="C96" s="77">
        <f>'PartLib Table'!L98</f>
        <v>0</v>
      </c>
      <c r="D96" s="77">
        <f>'PartLib Table'!M98</f>
        <v>0</v>
      </c>
      <c r="E96" s="77">
        <f>'PartLib Table'!N98</f>
        <v>0</v>
      </c>
      <c r="F96" s="75">
        <f>'PartLib Table'!O98</f>
        <v>0</v>
      </c>
      <c r="G96" s="77">
        <f>'PartLib Table'!P98</f>
        <v>0</v>
      </c>
      <c r="H96" s="77">
        <f>'PartLib Table'!Q98</f>
        <v>0</v>
      </c>
    </row>
    <row r="97" spans="1:8">
      <c r="A97" s="76">
        <f>'PartLib Table'!C99</f>
        <v>0</v>
      </c>
      <c r="B97" s="77" t="str">
        <f>'PartLib Table'!K99</f>
        <v/>
      </c>
      <c r="C97" s="77">
        <f>'PartLib Table'!L99</f>
        <v>0</v>
      </c>
      <c r="D97" s="77">
        <f>'PartLib Table'!M99</f>
        <v>0</v>
      </c>
      <c r="E97" s="77">
        <f>'PartLib Table'!N99</f>
        <v>0</v>
      </c>
      <c r="F97" s="75">
        <f>'PartLib Table'!O99</f>
        <v>0</v>
      </c>
      <c r="G97" s="77">
        <f>'PartLib Table'!P99</f>
        <v>0</v>
      </c>
      <c r="H97" s="77">
        <f>'PartLib Table'!Q99</f>
        <v>0</v>
      </c>
    </row>
    <row r="98" spans="1:8">
      <c r="A98" s="76">
        <f>'PartLib Table'!C100</f>
        <v>0</v>
      </c>
      <c r="B98" s="77" t="str">
        <f>'PartLib Table'!K100</f>
        <v/>
      </c>
      <c r="C98" s="77">
        <f>'PartLib Table'!L100</f>
        <v>0</v>
      </c>
      <c r="D98" s="77">
        <f>'PartLib Table'!M100</f>
        <v>0</v>
      </c>
      <c r="E98" s="77">
        <f>'PartLib Table'!N100</f>
        <v>0</v>
      </c>
      <c r="F98" s="75">
        <f>'PartLib Table'!O100</f>
        <v>0</v>
      </c>
      <c r="G98" s="77">
        <f>'PartLib Table'!P100</f>
        <v>0</v>
      </c>
      <c r="H98" s="77">
        <f>'PartLib Table'!Q100</f>
        <v>0</v>
      </c>
    </row>
    <row r="99" spans="1:8">
      <c r="A99" s="76">
        <f>'PartLib Table'!C101</f>
        <v>0</v>
      </c>
      <c r="B99" s="77" t="str">
        <f>'PartLib Table'!K101</f>
        <v/>
      </c>
      <c r="C99" s="77">
        <f>'PartLib Table'!L101</f>
        <v>0</v>
      </c>
      <c r="D99" s="77">
        <f>'PartLib Table'!M101</f>
        <v>0</v>
      </c>
      <c r="E99" s="77">
        <f>'PartLib Table'!N101</f>
        <v>0</v>
      </c>
      <c r="F99" s="75">
        <f>'PartLib Table'!O101</f>
        <v>0</v>
      </c>
      <c r="G99" s="77">
        <f>'PartLib Table'!P101</f>
        <v>0</v>
      </c>
      <c r="H99" s="77">
        <f>'PartLib Table'!Q101</f>
        <v>0</v>
      </c>
    </row>
    <row r="100" spans="1:8">
      <c r="A100" s="76">
        <f>'PartLib Table'!C102</f>
        <v>0</v>
      </c>
      <c r="B100" s="77" t="str">
        <f>'PartLib Table'!K102</f>
        <v/>
      </c>
      <c r="C100" s="77">
        <f>'PartLib Table'!L102</f>
        <v>0</v>
      </c>
      <c r="D100" s="77">
        <f>'PartLib Table'!M102</f>
        <v>0</v>
      </c>
      <c r="E100" s="77">
        <f>'PartLib Table'!N102</f>
        <v>0</v>
      </c>
      <c r="F100" s="75">
        <f>'PartLib Table'!O102</f>
        <v>0</v>
      </c>
      <c r="G100" s="77">
        <f>'PartLib Table'!P102</f>
        <v>0</v>
      </c>
      <c r="H100" s="77">
        <f>'PartLib Table'!Q102</f>
        <v>0</v>
      </c>
    </row>
    <row r="101" spans="1:8">
      <c r="A101" s="76">
        <f>'PartLib Table'!C103</f>
        <v>0</v>
      </c>
      <c r="B101" s="77" t="str">
        <f>'PartLib Table'!K103</f>
        <v/>
      </c>
      <c r="C101" s="77">
        <f>'PartLib Table'!L103</f>
        <v>0</v>
      </c>
      <c r="D101" s="77">
        <f>'PartLib Table'!M103</f>
        <v>0</v>
      </c>
      <c r="E101" s="77">
        <f>'PartLib Table'!N103</f>
        <v>0</v>
      </c>
      <c r="F101" s="75">
        <f>'PartLib Table'!O103</f>
        <v>0</v>
      </c>
      <c r="G101" s="77">
        <f>'PartLib Table'!P103</f>
        <v>0</v>
      </c>
      <c r="H101" s="77">
        <f>'PartLib Table'!Q103</f>
        <v>0</v>
      </c>
    </row>
    <row r="102" spans="1:8">
      <c r="A102" s="76">
        <f>'PartLib Table'!C104</f>
        <v>0</v>
      </c>
      <c r="B102" s="77" t="str">
        <f>'PartLib Table'!K104</f>
        <v/>
      </c>
      <c r="C102" s="77">
        <f>'PartLib Table'!L104</f>
        <v>0</v>
      </c>
      <c r="D102" s="77">
        <f>'PartLib Table'!M104</f>
        <v>0</v>
      </c>
      <c r="E102" s="77">
        <f>'PartLib Table'!N104</f>
        <v>0</v>
      </c>
      <c r="F102" s="75">
        <f>'PartLib Table'!O104</f>
        <v>0</v>
      </c>
      <c r="G102" s="77">
        <f>'PartLib Table'!P104</f>
        <v>0</v>
      </c>
      <c r="H102" s="77">
        <f>'PartLib Table'!Q104</f>
        <v>0</v>
      </c>
    </row>
    <row r="103" spans="1:8">
      <c r="A103" s="76">
        <f>'PartLib Table'!C105</f>
        <v>0</v>
      </c>
      <c r="B103" s="77" t="str">
        <f>'PartLib Table'!K105</f>
        <v/>
      </c>
      <c r="C103" s="77">
        <f>'PartLib Table'!L105</f>
        <v>0</v>
      </c>
      <c r="D103" s="77">
        <f>'PartLib Table'!M105</f>
        <v>0</v>
      </c>
      <c r="E103" s="77">
        <f>'PartLib Table'!N105</f>
        <v>0</v>
      </c>
      <c r="F103" s="75">
        <f>'PartLib Table'!O105</f>
        <v>0</v>
      </c>
      <c r="G103" s="77">
        <f>'PartLib Table'!P105</f>
        <v>0</v>
      </c>
      <c r="H103" s="77">
        <f>'PartLib Table'!Q105</f>
        <v>0</v>
      </c>
    </row>
    <row r="104" spans="1:8">
      <c r="A104" s="76">
        <f>'PartLib Table'!C106</f>
        <v>0</v>
      </c>
      <c r="B104" s="77" t="str">
        <f>'PartLib Table'!K106</f>
        <v/>
      </c>
      <c r="C104" s="77">
        <f>'PartLib Table'!L106</f>
        <v>0</v>
      </c>
      <c r="D104" s="77">
        <f>'PartLib Table'!M106</f>
        <v>0</v>
      </c>
      <c r="E104" s="77">
        <f>'PartLib Table'!N106</f>
        <v>0</v>
      </c>
      <c r="F104" s="75">
        <f>'PartLib Table'!O106</f>
        <v>0</v>
      </c>
      <c r="G104" s="77">
        <f>'PartLib Table'!P106</f>
        <v>0</v>
      </c>
      <c r="H104" s="77">
        <f>'PartLib Table'!Q106</f>
        <v>0</v>
      </c>
    </row>
    <row r="105" spans="1:8">
      <c r="A105" s="76">
        <f>'PartLib Table'!C107</f>
        <v>0</v>
      </c>
      <c r="B105" s="77" t="str">
        <f>'PartLib Table'!K107</f>
        <v/>
      </c>
      <c r="C105" s="77">
        <f>'PartLib Table'!L107</f>
        <v>0</v>
      </c>
      <c r="D105" s="77">
        <f>'PartLib Table'!M107</f>
        <v>0</v>
      </c>
      <c r="E105" s="77">
        <f>'PartLib Table'!N107</f>
        <v>0</v>
      </c>
      <c r="F105" s="75">
        <f>'PartLib Table'!O107</f>
        <v>0</v>
      </c>
      <c r="G105" s="77">
        <f>'PartLib Table'!P107</f>
        <v>0</v>
      </c>
      <c r="H105" s="77">
        <f>'PartLib Table'!Q107</f>
        <v>0</v>
      </c>
    </row>
    <row r="106" spans="1:8">
      <c r="A106" s="76">
        <f>'PartLib Table'!C108</f>
        <v>0</v>
      </c>
      <c r="B106" s="77" t="str">
        <f>'PartLib Table'!K108</f>
        <v/>
      </c>
      <c r="C106" s="77">
        <f>'PartLib Table'!L108</f>
        <v>0</v>
      </c>
      <c r="D106" s="77">
        <f>'PartLib Table'!M108</f>
        <v>0</v>
      </c>
      <c r="E106" s="77">
        <f>'PartLib Table'!N108</f>
        <v>0</v>
      </c>
      <c r="F106" s="75">
        <f>'PartLib Table'!O108</f>
        <v>0</v>
      </c>
      <c r="G106" s="77">
        <f>'PartLib Table'!P108</f>
        <v>0</v>
      </c>
      <c r="H106" s="77">
        <f>'PartLib Table'!Q108</f>
        <v>0</v>
      </c>
    </row>
    <row r="107" spans="1:8">
      <c r="A107" s="76">
        <f>'PartLib Table'!C109</f>
        <v>0</v>
      </c>
      <c r="B107" s="77" t="str">
        <f>'PartLib Table'!K109</f>
        <v/>
      </c>
      <c r="C107" s="77">
        <f>'PartLib Table'!L109</f>
        <v>0</v>
      </c>
      <c r="D107" s="77">
        <f>'PartLib Table'!M109</f>
        <v>0</v>
      </c>
      <c r="E107" s="77">
        <f>'PartLib Table'!N109</f>
        <v>0</v>
      </c>
      <c r="F107" s="75">
        <f>'PartLib Table'!O109</f>
        <v>0</v>
      </c>
      <c r="G107" s="77">
        <f>'PartLib Table'!P109</f>
        <v>0</v>
      </c>
      <c r="H107" s="77">
        <f>'PartLib Table'!Q109</f>
        <v>0</v>
      </c>
    </row>
    <row r="108" spans="1:8">
      <c r="A108" s="76">
        <f>'PartLib Table'!C110</f>
        <v>0</v>
      </c>
      <c r="B108" s="77" t="str">
        <f>'PartLib Table'!K110</f>
        <v/>
      </c>
      <c r="C108" s="77">
        <f>'PartLib Table'!L110</f>
        <v>0</v>
      </c>
      <c r="D108" s="77">
        <f>'PartLib Table'!M110</f>
        <v>0</v>
      </c>
      <c r="E108" s="77">
        <f>'PartLib Table'!N110</f>
        <v>0</v>
      </c>
      <c r="F108" s="75">
        <f>'PartLib Table'!O110</f>
        <v>0</v>
      </c>
      <c r="G108" s="77">
        <f>'PartLib Table'!P110</f>
        <v>0</v>
      </c>
      <c r="H108" s="77">
        <f>'PartLib Table'!Q110</f>
        <v>0</v>
      </c>
    </row>
    <row r="109" spans="1:8">
      <c r="A109" s="76">
        <f>'PartLib Table'!C111</f>
        <v>0</v>
      </c>
      <c r="B109" s="77" t="str">
        <f>'PartLib Table'!K111</f>
        <v/>
      </c>
      <c r="C109" s="77">
        <f>'PartLib Table'!L111</f>
        <v>0</v>
      </c>
      <c r="D109" s="77">
        <f>'PartLib Table'!M111</f>
        <v>0</v>
      </c>
      <c r="E109" s="77">
        <f>'PartLib Table'!N111</f>
        <v>0</v>
      </c>
      <c r="F109" s="75">
        <f>'PartLib Table'!O111</f>
        <v>0</v>
      </c>
      <c r="G109" s="77">
        <f>'PartLib Table'!P111</f>
        <v>0</v>
      </c>
      <c r="H109" s="77">
        <f>'PartLib Table'!Q111</f>
        <v>0</v>
      </c>
    </row>
    <row r="110" spans="1:8">
      <c r="A110" s="76">
        <f>'PartLib Table'!C112</f>
        <v>0</v>
      </c>
      <c r="B110" s="77" t="str">
        <f>'PartLib Table'!K112</f>
        <v/>
      </c>
      <c r="C110" s="77">
        <f>'PartLib Table'!L112</f>
        <v>0</v>
      </c>
      <c r="D110" s="77">
        <f>'PartLib Table'!M112</f>
        <v>0</v>
      </c>
      <c r="E110" s="77">
        <f>'PartLib Table'!N112</f>
        <v>0</v>
      </c>
      <c r="F110" s="75">
        <f>'PartLib Table'!O112</f>
        <v>0</v>
      </c>
      <c r="G110" s="77">
        <f>'PartLib Table'!P112</f>
        <v>0</v>
      </c>
      <c r="H110" s="77">
        <f>'PartLib Table'!Q112</f>
        <v>0</v>
      </c>
    </row>
    <row r="111" spans="1:8">
      <c r="A111" s="76">
        <f>'PartLib Table'!C113</f>
        <v>0</v>
      </c>
      <c r="B111" s="77" t="str">
        <f>'PartLib Table'!K113</f>
        <v/>
      </c>
      <c r="C111" s="77">
        <f>'PartLib Table'!L113</f>
        <v>0</v>
      </c>
      <c r="D111" s="77">
        <f>'PartLib Table'!M113</f>
        <v>0</v>
      </c>
      <c r="E111" s="77">
        <f>'PartLib Table'!N113</f>
        <v>0</v>
      </c>
      <c r="F111" s="75">
        <f>'PartLib Table'!O113</f>
        <v>0</v>
      </c>
      <c r="G111" s="77">
        <f>'PartLib Table'!P113</f>
        <v>0</v>
      </c>
      <c r="H111" s="77">
        <f>'PartLib Table'!Q113</f>
        <v>0</v>
      </c>
    </row>
    <row r="112" spans="1:8">
      <c r="A112" s="76">
        <f>'PartLib Table'!C114</f>
        <v>0</v>
      </c>
      <c r="B112" s="77" t="str">
        <f>'PartLib Table'!K114</f>
        <v/>
      </c>
      <c r="C112" s="77">
        <f>'PartLib Table'!L114</f>
        <v>0</v>
      </c>
      <c r="D112" s="77">
        <f>'PartLib Table'!M114</f>
        <v>0</v>
      </c>
      <c r="E112" s="77">
        <f>'PartLib Table'!N114</f>
        <v>0</v>
      </c>
      <c r="F112" s="75">
        <f>'PartLib Table'!O114</f>
        <v>0</v>
      </c>
      <c r="G112" s="77">
        <f>'PartLib Table'!P114</f>
        <v>0</v>
      </c>
      <c r="H112" s="77">
        <f>'PartLib Table'!Q114</f>
        <v>0</v>
      </c>
    </row>
    <row r="113" spans="1:8">
      <c r="A113" s="76">
        <f>'PartLib Table'!C115</f>
        <v>0</v>
      </c>
      <c r="B113" s="77" t="str">
        <f>'PartLib Table'!K115</f>
        <v/>
      </c>
      <c r="C113" s="77">
        <f>'PartLib Table'!L115</f>
        <v>0</v>
      </c>
      <c r="D113" s="77">
        <f>'PartLib Table'!M115</f>
        <v>0</v>
      </c>
      <c r="E113" s="77">
        <f>'PartLib Table'!N115</f>
        <v>0</v>
      </c>
      <c r="F113" s="75">
        <f>'PartLib Table'!O115</f>
        <v>0</v>
      </c>
      <c r="G113" s="77">
        <f>'PartLib Table'!P115</f>
        <v>0</v>
      </c>
      <c r="H113" s="77">
        <f>'PartLib Table'!Q115</f>
        <v>0</v>
      </c>
    </row>
    <row r="114" spans="1:8">
      <c r="A114" s="76">
        <f>'PartLib Table'!C116</f>
        <v>0</v>
      </c>
      <c r="B114" s="77" t="str">
        <f>'PartLib Table'!K116</f>
        <v/>
      </c>
      <c r="C114" s="77">
        <f>'PartLib Table'!L116</f>
        <v>0</v>
      </c>
      <c r="D114" s="77">
        <f>'PartLib Table'!M116</f>
        <v>0</v>
      </c>
      <c r="E114" s="77">
        <f>'PartLib Table'!N116</f>
        <v>0</v>
      </c>
      <c r="F114" s="75">
        <f>'PartLib Table'!O116</f>
        <v>0</v>
      </c>
      <c r="G114" s="77">
        <f>'PartLib Table'!P116</f>
        <v>0</v>
      </c>
      <c r="H114" s="77">
        <f>'PartLib Table'!Q116</f>
        <v>0</v>
      </c>
    </row>
    <row r="115" spans="1:8">
      <c r="A115" s="76">
        <f>'PartLib Table'!C117</f>
        <v>0</v>
      </c>
      <c r="B115" s="77" t="str">
        <f>'PartLib Table'!K117</f>
        <v/>
      </c>
      <c r="C115" s="77">
        <f>'PartLib Table'!L117</f>
        <v>0</v>
      </c>
      <c r="D115" s="77">
        <f>'PartLib Table'!M117</f>
        <v>0</v>
      </c>
      <c r="E115" s="77">
        <f>'PartLib Table'!N117</f>
        <v>0</v>
      </c>
      <c r="F115" s="75">
        <f>'PartLib Table'!O117</f>
        <v>0</v>
      </c>
      <c r="G115" s="77">
        <f>'PartLib Table'!P117</f>
        <v>0</v>
      </c>
      <c r="H115" s="77">
        <f>'PartLib Table'!Q117</f>
        <v>0</v>
      </c>
    </row>
    <row r="116" spans="1:8">
      <c r="A116" s="76">
        <f>'PartLib Table'!C118</f>
        <v>0</v>
      </c>
      <c r="B116" s="77" t="str">
        <f>'PartLib Table'!K118</f>
        <v/>
      </c>
      <c r="C116" s="77">
        <f>'PartLib Table'!L118</f>
        <v>0</v>
      </c>
      <c r="D116" s="77">
        <f>'PartLib Table'!M118</f>
        <v>0</v>
      </c>
      <c r="E116" s="77">
        <f>'PartLib Table'!N118</f>
        <v>0</v>
      </c>
      <c r="F116" s="75">
        <f>'PartLib Table'!O118</f>
        <v>0</v>
      </c>
      <c r="G116" s="77">
        <f>'PartLib Table'!P118</f>
        <v>0</v>
      </c>
      <c r="H116" s="77">
        <f>'PartLib Table'!Q118</f>
        <v>0</v>
      </c>
    </row>
    <row r="117" spans="1:8">
      <c r="A117" s="76">
        <f>'PartLib Table'!C119</f>
        <v>0</v>
      </c>
      <c r="B117" s="77" t="str">
        <f>'PartLib Table'!K119</f>
        <v/>
      </c>
      <c r="C117" s="77">
        <f>'PartLib Table'!L119</f>
        <v>0</v>
      </c>
      <c r="D117" s="77">
        <f>'PartLib Table'!M119</f>
        <v>0</v>
      </c>
      <c r="E117" s="77">
        <f>'PartLib Table'!N119</f>
        <v>0</v>
      </c>
      <c r="F117" s="75">
        <f>'PartLib Table'!O119</f>
        <v>0</v>
      </c>
      <c r="G117" s="77">
        <f>'PartLib Table'!P119</f>
        <v>0</v>
      </c>
      <c r="H117" s="77">
        <f>'PartLib Table'!Q119</f>
        <v>0</v>
      </c>
    </row>
    <row r="118" spans="1:8">
      <c r="A118" s="76">
        <f>'PartLib Table'!C120</f>
        <v>0</v>
      </c>
      <c r="B118" s="77" t="str">
        <f>'PartLib Table'!K120</f>
        <v/>
      </c>
      <c r="C118" s="77">
        <f>'PartLib Table'!L120</f>
        <v>0</v>
      </c>
      <c r="D118" s="77">
        <f>'PartLib Table'!M120</f>
        <v>0</v>
      </c>
      <c r="E118" s="77">
        <f>'PartLib Table'!N120</f>
        <v>0</v>
      </c>
      <c r="F118" s="75">
        <f>'PartLib Table'!O120</f>
        <v>0</v>
      </c>
      <c r="G118" s="77">
        <f>'PartLib Table'!P120</f>
        <v>0</v>
      </c>
      <c r="H118" s="77">
        <f>'PartLib Table'!Q120</f>
        <v>0</v>
      </c>
    </row>
    <row r="119" spans="1:8">
      <c r="A119" s="76">
        <f>'PartLib Table'!C121</f>
        <v>0</v>
      </c>
      <c r="B119" s="77" t="str">
        <f>'PartLib Table'!K121</f>
        <v/>
      </c>
      <c r="C119" s="77">
        <f>'PartLib Table'!L121</f>
        <v>0</v>
      </c>
      <c r="D119" s="77">
        <f>'PartLib Table'!M121</f>
        <v>0</v>
      </c>
      <c r="E119" s="77">
        <f>'PartLib Table'!N121</f>
        <v>0</v>
      </c>
      <c r="F119" s="75">
        <f>'PartLib Table'!O121</f>
        <v>0</v>
      </c>
      <c r="G119" s="77">
        <f>'PartLib Table'!P121</f>
        <v>0</v>
      </c>
      <c r="H119" s="77">
        <f>'PartLib Table'!Q121</f>
        <v>0</v>
      </c>
    </row>
    <row r="120" spans="1:8">
      <c r="A120" s="76">
        <f>'PartLib Table'!C122</f>
        <v>0</v>
      </c>
      <c r="B120" s="77" t="str">
        <f>'PartLib Table'!K122</f>
        <v/>
      </c>
      <c r="C120" s="77">
        <f>'PartLib Table'!L122</f>
        <v>0</v>
      </c>
      <c r="D120" s="77">
        <f>'PartLib Table'!M122</f>
        <v>0</v>
      </c>
      <c r="E120" s="77">
        <f>'PartLib Table'!N122</f>
        <v>0</v>
      </c>
      <c r="F120" s="75">
        <f>'PartLib Table'!O122</f>
        <v>0</v>
      </c>
      <c r="G120" s="77">
        <f>'PartLib Table'!P122</f>
        <v>0</v>
      </c>
      <c r="H120" s="77">
        <f>'PartLib Table'!Q122</f>
        <v>0</v>
      </c>
    </row>
    <row r="121" spans="1:8">
      <c r="A121" s="76">
        <f>'PartLib Table'!C123</f>
        <v>0</v>
      </c>
      <c r="B121" s="77" t="str">
        <f>'PartLib Table'!K123</f>
        <v/>
      </c>
      <c r="C121" s="77">
        <f>'PartLib Table'!L123</f>
        <v>0</v>
      </c>
      <c r="D121" s="77">
        <f>'PartLib Table'!M123</f>
        <v>0</v>
      </c>
      <c r="E121" s="77">
        <f>'PartLib Table'!N123</f>
        <v>0</v>
      </c>
      <c r="F121" s="75">
        <f>'PartLib Table'!O123</f>
        <v>0</v>
      </c>
      <c r="G121" s="77">
        <f>'PartLib Table'!P123</f>
        <v>0</v>
      </c>
      <c r="H121" s="77">
        <f>'PartLib Table'!Q123</f>
        <v>0</v>
      </c>
    </row>
    <row r="122" spans="1:8">
      <c r="A122" s="76">
        <f>'PartLib Table'!C124</f>
        <v>0</v>
      </c>
      <c r="B122" s="77" t="str">
        <f>'PartLib Table'!K124</f>
        <v/>
      </c>
      <c r="C122" s="77">
        <f>'PartLib Table'!L124</f>
        <v>0</v>
      </c>
      <c r="D122" s="77">
        <f>'PartLib Table'!M124</f>
        <v>0</v>
      </c>
      <c r="E122" s="77">
        <f>'PartLib Table'!N124</f>
        <v>0</v>
      </c>
      <c r="F122" s="75">
        <f>'PartLib Table'!O124</f>
        <v>0</v>
      </c>
      <c r="G122" s="77">
        <f>'PartLib Table'!P124</f>
        <v>0</v>
      </c>
      <c r="H122" s="77">
        <f>'PartLib Table'!Q124</f>
        <v>0</v>
      </c>
    </row>
    <row r="123" spans="1:8">
      <c r="A123" s="76">
        <f>'PartLib Table'!C125</f>
        <v>0</v>
      </c>
      <c r="B123" s="77" t="str">
        <f>'PartLib Table'!K125</f>
        <v/>
      </c>
      <c r="C123" s="77">
        <f>'PartLib Table'!L125</f>
        <v>0</v>
      </c>
      <c r="D123" s="77">
        <f>'PartLib Table'!M125</f>
        <v>0</v>
      </c>
      <c r="E123" s="77">
        <f>'PartLib Table'!N125</f>
        <v>0</v>
      </c>
      <c r="F123" s="75">
        <f>'PartLib Table'!O125</f>
        <v>0</v>
      </c>
      <c r="G123" s="77">
        <f>'PartLib Table'!P125</f>
        <v>0</v>
      </c>
      <c r="H123" s="77">
        <f>'PartLib Table'!Q125</f>
        <v>0</v>
      </c>
    </row>
    <row r="124" spans="1:8">
      <c r="A124" s="76">
        <f>'PartLib Table'!C126</f>
        <v>0</v>
      </c>
      <c r="B124" s="77" t="str">
        <f>'PartLib Table'!K126</f>
        <v/>
      </c>
      <c r="C124" s="77">
        <f>'PartLib Table'!L126</f>
        <v>0</v>
      </c>
      <c r="D124" s="77">
        <f>'PartLib Table'!M126</f>
        <v>0</v>
      </c>
      <c r="E124" s="77">
        <f>'PartLib Table'!N126</f>
        <v>0</v>
      </c>
      <c r="F124" s="75">
        <f>'PartLib Table'!O126</f>
        <v>0</v>
      </c>
      <c r="G124" s="77">
        <f>'PartLib Table'!P126</f>
        <v>0</v>
      </c>
      <c r="H124" s="77">
        <f>'PartLib Table'!Q126</f>
        <v>0</v>
      </c>
    </row>
    <row r="125" spans="1:8">
      <c r="A125" s="76">
        <f>'PartLib Table'!C127</f>
        <v>0</v>
      </c>
      <c r="B125" s="77" t="str">
        <f>'PartLib Table'!K127</f>
        <v/>
      </c>
      <c r="C125" s="77">
        <f>'PartLib Table'!L127</f>
        <v>0</v>
      </c>
      <c r="D125" s="77">
        <f>'PartLib Table'!M127</f>
        <v>0</v>
      </c>
      <c r="E125" s="77">
        <f>'PartLib Table'!N127</f>
        <v>0</v>
      </c>
      <c r="F125" s="75">
        <f>'PartLib Table'!O127</f>
        <v>0</v>
      </c>
      <c r="G125" s="77">
        <f>'PartLib Table'!P127</f>
        <v>0</v>
      </c>
      <c r="H125" s="77">
        <f>'PartLib Table'!Q127</f>
        <v>0</v>
      </c>
    </row>
    <row r="126" spans="1:8">
      <c r="A126" s="76">
        <f>'PartLib Table'!C128</f>
        <v>0</v>
      </c>
      <c r="B126" s="77" t="str">
        <f>'PartLib Table'!K128</f>
        <v/>
      </c>
      <c r="C126" s="77">
        <f>'PartLib Table'!L128</f>
        <v>0</v>
      </c>
      <c r="D126" s="77">
        <f>'PartLib Table'!M128</f>
        <v>0</v>
      </c>
      <c r="E126" s="77">
        <f>'PartLib Table'!N128</f>
        <v>0</v>
      </c>
      <c r="F126" s="75">
        <f>'PartLib Table'!O128</f>
        <v>0</v>
      </c>
      <c r="G126" s="77">
        <f>'PartLib Table'!P128</f>
        <v>0</v>
      </c>
      <c r="H126" s="77">
        <f>'PartLib Table'!Q128</f>
        <v>0</v>
      </c>
    </row>
    <row r="127" spans="1:8">
      <c r="A127" s="76">
        <f>'PartLib Table'!C129</f>
        <v>0</v>
      </c>
      <c r="B127" s="77" t="str">
        <f>'PartLib Table'!K129</f>
        <v/>
      </c>
      <c r="C127" s="77">
        <f>'PartLib Table'!L129</f>
        <v>0</v>
      </c>
      <c r="D127" s="77">
        <f>'PartLib Table'!M129</f>
        <v>0</v>
      </c>
      <c r="E127" s="77">
        <f>'PartLib Table'!N129</f>
        <v>0</v>
      </c>
      <c r="F127" s="75">
        <f>'PartLib Table'!O129</f>
        <v>0</v>
      </c>
      <c r="G127" s="77">
        <f>'PartLib Table'!P129</f>
        <v>0</v>
      </c>
      <c r="H127" s="77">
        <f>'PartLib Table'!Q129</f>
        <v>0</v>
      </c>
    </row>
    <row r="128" spans="1:8">
      <c r="A128" s="76">
        <f>'PartLib Table'!C130</f>
        <v>0</v>
      </c>
      <c r="B128" s="77" t="str">
        <f>'PartLib Table'!K130</f>
        <v/>
      </c>
      <c r="C128" s="77">
        <f>'PartLib Table'!L130</f>
        <v>0</v>
      </c>
      <c r="D128" s="77">
        <f>'PartLib Table'!M130</f>
        <v>0</v>
      </c>
      <c r="E128" s="77">
        <f>'PartLib Table'!N130</f>
        <v>0</v>
      </c>
      <c r="F128" s="75">
        <f>'PartLib Table'!O130</f>
        <v>0</v>
      </c>
      <c r="G128" s="77">
        <f>'PartLib Table'!P130</f>
        <v>0</v>
      </c>
      <c r="H128" s="77">
        <f>'PartLib Table'!Q130</f>
        <v>0</v>
      </c>
    </row>
    <row r="129" spans="1:8">
      <c r="A129" s="76">
        <f>'PartLib Table'!C131</f>
        <v>0</v>
      </c>
      <c r="B129" s="77" t="str">
        <f>'PartLib Table'!K131</f>
        <v/>
      </c>
      <c r="C129" s="77">
        <f>'PartLib Table'!L131</f>
        <v>0</v>
      </c>
      <c r="D129" s="77">
        <f>'PartLib Table'!M131</f>
        <v>0</v>
      </c>
      <c r="E129" s="77">
        <f>'PartLib Table'!N131</f>
        <v>0</v>
      </c>
      <c r="F129" s="75">
        <f>'PartLib Table'!O131</f>
        <v>0</v>
      </c>
      <c r="G129" s="77">
        <f>'PartLib Table'!P131</f>
        <v>0</v>
      </c>
      <c r="H129" s="77">
        <f>'PartLib Table'!Q131</f>
        <v>0</v>
      </c>
    </row>
    <row r="130" spans="1:8">
      <c r="A130" s="76">
        <f>'PartLib Table'!C132</f>
        <v>0</v>
      </c>
      <c r="B130" s="77" t="str">
        <f>'PartLib Table'!K132</f>
        <v/>
      </c>
      <c r="C130" s="77">
        <f>'PartLib Table'!L132</f>
        <v>0</v>
      </c>
      <c r="D130" s="77">
        <f>'PartLib Table'!M132</f>
        <v>0</v>
      </c>
      <c r="E130" s="77">
        <f>'PartLib Table'!N132</f>
        <v>0</v>
      </c>
      <c r="F130" s="75">
        <f>'PartLib Table'!O132</f>
        <v>0</v>
      </c>
      <c r="G130" s="77">
        <f>'PartLib Table'!P132</f>
        <v>0</v>
      </c>
      <c r="H130" s="77">
        <f>'PartLib Table'!Q132</f>
        <v>0</v>
      </c>
    </row>
    <row r="131" spans="1:8">
      <c r="A131" s="76">
        <f>'PartLib Table'!C133</f>
        <v>0</v>
      </c>
      <c r="B131" s="77" t="str">
        <f>'PartLib Table'!K133</f>
        <v/>
      </c>
      <c r="C131" s="77">
        <f>'PartLib Table'!L133</f>
        <v>0</v>
      </c>
      <c r="D131" s="77">
        <f>'PartLib Table'!M133</f>
        <v>0</v>
      </c>
      <c r="E131" s="77">
        <f>'PartLib Table'!N133</f>
        <v>0</v>
      </c>
      <c r="F131" s="75">
        <f>'PartLib Table'!O133</f>
        <v>0</v>
      </c>
      <c r="G131" s="77">
        <f>'PartLib Table'!P133</f>
        <v>0</v>
      </c>
      <c r="H131" s="77">
        <f>'PartLib Table'!Q133</f>
        <v>0</v>
      </c>
    </row>
    <row r="132" spans="1:8">
      <c r="A132" s="76">
        <f>'PartLib Table'!C134</f>
        <v>0</v>
      </c>
      <c r="B132" s="77" t="str">
        <f>'PartLib Table'!K134</f>
        <v/>
      </c>
      <c r="C132" s="77">
        <f>'PartLib Table'!L134</f>
        <v>0</v>
      </c>
      <c r="D132" s="77">
        <f>'PartLib Table'!M134</f>
        <v>0</v>
      </c>
      <c r="E132" s="77">
        <f>'PartLib Table'!N134</f>
        <v>0</v>
      </c>
      <c r="F132" s="75">
        <f>'PartLib Table'!O134</f>
        <v>0</v>
      </c>
      <c r="G132" s="77">
        <f>'PartLib Table'!P134</f>
        <v>0</v>
      </c>
      <c r="H132" s="77">
        <f>'PartLib Table'!Q134</f>
        <v>0</v>
      </c>
    </row>
    <row r="133" spans="1:8">
      <c r="A133" s="76">
        <f>'PartLib Table'!C135</f>
        <v>0</v>
      </c>
      <c r="B133" s="77" t="str">
        <f>'PartLib Table'!K135</f>
        <v/>
      </c>
      <c r="C133" s="77">
        <f>'PartLib Table'!L135</f>
        <v>0</v>
      </c>
      <c r="D133" s="77">
        <f>'PartLib Table'!M135</f>
        <v>0</v>
      </c>
      <c r="E133" s="77">
        <f>'PartLib Table'!N135</f>
        <v>0</v>
      </c>
      <c r="F133" s="75">
        <f>'PartLib Table'!O135</f>
        <v>0</v>
      </c>
      <c r="G133" s="77">
        <f>'PartLib Table'!P135</f>
        <v>0</v>
      </c>
      <c r="H133" s="77">
        <f>'PartLib Table'!Q135</f>
        <v>0</v>
      </c>
    </row>
    <row r="134" spans="1:8">
      <c r="A134" s="76">
        <f>'PartLib Table'!C136</f>
        <v>0</v>
      </c>
      <c r="B134" s="77" t="str">
        <f>'PartLib Table'!K136</f>
        <v/>
      </c>
      <c r="C134" s="77">
        <f>'PartLib Table'!L136</f>
        <v>0</v>
      </c>
      <c r="D134" s="77">
        <f>'PartLib Table'!M136</f>
        <v>0</v>
      </c>
      <c r="E134" s="77">
        <f>'PartLib Table'!N136</f>
        <v>0</v>
      </c>
      <c r="F134" s="75">
        <f>'PartLib Table'!O136</f>
        <v>0</v>
      </c>
      <c r="G134" s="77">
        <f>'PartLib Table'!P136</f>
        <v>0</v>
      </c>
      <c r="H134" s="77">
        <f>'PartLib Table'!Q136</f>
        <v>0</v>
      </c>
    </row>
    <row r="135" spans="1:8">
      <c r="A135" s="76">
        <f>'PartLib Table'!C137</f>
        <v>0</v>
      </c>
      <c r="B135" s="77" t="str">
        <f>'PartLib Table'!K137</f>
        <v/>
      </c>
      <c r="C135" s="77">
        <f>'PartLib Table'!L137</f>
        <v>0</v>
      </c>
      <c r="D135" s="77">
        <f>'PartLib Table'!M137</f>
        <v>0</v>
      </c>
      <c r="E135" s="77">
        <f>'PartLib Table'!N137</f>
        <v>0</v>
      </c>
      <c r="F135" s="75">
        <f>'PartLib Table'!O137</f>
        <v>0</v>
      </c>
      <c r="G135" s="77">
        <f>'PartLib Table'!P137</f>
        <v>0</v>
      </c>
      <c r="H135" s="77">
        <f>'PartLib Table'!Q137</f>
        <v>0</v>
      </c>
    </row>
    <row r="136" spans="1:8">
      <c r="A136" s="76">
        <f>'PartLib Table'!C138</f>
        <v>0</v>
      </c>
      <c r="B136" s="77" t="str">
        <f>'PartLib Table'!K138</f>
        <v/>
      </c>
      <c r="C136" s="77">
        <f>'PartLib Table'!L138</f>
        <v>0</v>
      </c>
      <c r="D136" s="77">
        <f>'PartLib Table'!M138</f>
        <v>0</v>
      </c>
      <c r="E136" s="77">
        <f>'PartLib Table'!N138</f>
        <v>0</v>
      </c>
      <c r="F136" s="75">
        <f>'PartLib Table'!O138</f>
        <v>0</v>
      </c>
      <c r="G136" s="77">
        <f>'PartLib Table'!P138</f>
        <v>0</v>
      </c>
      <c r="H136" s="77">
        <f>'PartLib Table'!Q138</f>
        <v>0</v>
      </c>
    </row>
    <row r="137" spans="1:8">
      <c r="A137" s="76">
        <f>'PartLib Table'!C139</f>
        <v>0</v>
      </c>
      <c r="B137" s="77" t="str">
        <f>'PartLib Table'!K139</f>
        <v/>
      </c>
      <c r="C137" s="77">
        <f>'PartLib Table'!L139</f>
        <v>0</v>
      </c>
      <c r="D137" s="77">
        <f>'PartLib Table'!M139</f>
        <v>0</v>
      </c>
      <c r="E137" s="77">
        <f>'PartLib Table'!N139</f>
        <v>0</v>
      </c>
      <c r="F137" s="75">
        <f>'PartLib Table'!O139</f>
        <v>0</v>
      </c>
      <c r="G137" s="77">
        <f>'PartLib Table'!P139</f>
        <v>0</v>
      </c>
      <c r="H137" s="77">
        <f>'PartLib Table'!Q139</f>
        <v>0</v>
      </c>
    </row>
    <row r="138" spans="1:8">
      <c r="A138" s="76">
        <f>'PartLib Table'!C140</f>
        <v>0</v>
      </c>
      <c r="B138" s="77" t="str">
        <f>'PartLib Table'!K140</f>
        <v/>
      </c>
      <c r="C138" s="77">
        <f>'PartLib Table'!L140</f>
        <v>0</v>
      </c>
      <c r="D138" s="77">
        <f>'PartLib Table'!M140</f>
        <v>0</v>
      </c>
      <c r="E138" s="77">
        <f>'PartLib Table'!N140</f>
        <v>0</v>
      </c>
      <c r="F138" s="75">
        <f>'PartLib Table'!O140</f>
        <v>0</v>
      </c>
      <c r="G138" s="77">
        <f>'PartLib Table'!P140</f>
        <v>0</v>
      </c>
      <c r="H138" s="77">
        <f>'PartLib Table'!Q140</f>
        <v>0</v>
      </c>
    </row>
    <row r="139" spans="1:8">
      <c r="A139" s="76">
        <f>'PartLib Table'!C141</f>
        <v>0</v>
      </c>
      <c r="B139" s="77" t="str">
        <f>'PartLib Table'!K141</f>
        <v/>
      </c>
      <c r="C139" s="77">
        <f>'PartLib Table'!L141</f>
        <v>0</v>
      </c>
      <c r="D139" s="77">
        <f>'PartLib Table'!M141</f>
        <v>0</v>
      </c>
      <c r="E139" s="77">
        <f>'PartLib Table'!N141</f>
        <v>0</v>
      </c>
      <c r="F139" s="75">
        <f>'PartLib Table'!O141</f>
        <v>0</v>
      </c>
      <c r="G139" s="77">
        <f>'PartLib Table'!P141</f>
        <v>0</v>
      </c>
      <c r="H139" s="77">
        <f>'PartLib Table'!Q141</f>
        <v>0</v>
      </c>
    </row>
    <row r="140" spans="1:8">
      <c r="A140" s="76">
        <f>'PartLib Table'!C142</f>
        <v>0</v>
      </c>
      <c r="B140" s="77" t="str">
        <f>'PartLib Table'!K142</f>
        <v/>
      </c>
      <c r="C140" s="77">
        <f>'PartLib Table'!L142</f>
        <v>0</v>
      </c>
      <c r="D140" s="77">
        <f>'PartLib Table'!M142</f>
        <v>0</v>
      </c>
      <c r="E140" s="77">
        <f>'PartLib Table'!N142</f>
        <v>0</v>
      </c>
      <c r="F140" s="75">
        <f>'PartLib Table'!O142</f>
        <v>0</v>
      </c>
      <c r="G140" s="77">
        <f>'PartLib Table'!P142</f>
        <v>0</v>
      </c>
      <c r="H140" s="77">
        <f>'PartLib Table'!Q142</f>
        <v>0</v>
      </c>
    </row>
    <row r="141" spans="1:8">
      <c r="A141" s="76">
        <f>'PartLib Table'!C143</f>
        <v>0</v>
      </c>
      <c r="B141" s="77" t="str">
        <f>'PartLib Table'!K143</f>
        <v/>
      </c>
      <c r="C141" s="77">
        <f>'PartLib Table'!L143</f>
        <v>0</v>
      </c>
      <c r="D141" s="77">
        <f>'PartLib Table'!M143</f>
        <v>0</v>
      </c>
      <c r="E141" s="77">
        <f>'PartLib Table'!N143</f>
        <v>0</v>
      </c>
      <c r="F141" s="75">
        <f>'PartLib Table'!O143</f>
        <v>0</v>
      </c>
      <c r="G141" s="77">
        <f>'PartLib Table'!P143</f>
        <v>0</v>
      </c>
      <c r="H141" s="77">
        <f>'PartLib Table'!Q143</f>
        <v>0</v>
      </c>
    </row>
    <row r="142" spans="1:8">
      <c r="A142" s="76">
        <f>'PartLib Table'!C144</f>
        <v>0</v>
      </c>
      <c r="B142" s="77" t="str">
        <f>'PartLib Table'!K144</f>
        <v/>
      </c>
      <c r="C142" s="77">
        <f>'PartLib Table'!L144</f>
        <v>0</v>
      </c>
      <c r="D142" s="77">
        <f>'PartLib Table'!M144</f>
        <v>0</v>
      </c>
      <c r="E142" s="77">
        <f>'PartLib Table'!N144</f>
        <v>0</v>
      </c>
      <c r="F142" s="75">
        <f>'PartLib Table'!O144</f>
        <v>0</v>
      </c>
      <c r="G142" s="77">
        <f>'PartLib Table'!P144</f>
        <v>0</v>
      </c>
      <c r="H142" s="77">
        <f>'PartLib Table'!Q144</f>
        <v>0</v>
      </c>
    </row>
    <row r="143" spans="1:8">
      <c r="A143" s="76">
        <f>'PartLib Table'!C145</f>
        <v>0</v>
      </c>
      <c r="B143" s="77" t="str">
        <f>'PartLib Table'!K145</f>
        <v/>
      </c>
      <c r="C143" s="77">
        <f>'PartLib Table'!L145</f>
        <v>0</v>
      </c>
      <c r="D143" s="77">
        <f>'PartLib Table'!M145</f>
        <v>0</v>
      </c>
      <c r="E143" s="77">
        <f>'PartLib Table'!N145</f>
        <v>0</v>
      </c>
      <c r="F143" s="75">
        <f>'PartLib Table'!O145</f>
        <v>0</v>
      </c>
      <c r="G143" s="77">
        <f>'PartLib Table'!P145</f>
        <v>0</v>
      </c>
      <c r="H143" s="77">
        <f>'PartLib Table'!Q145</f>
        <v>0</v>
      </c>
    </row>
    <row r="144" spans="1:8">
      <c r="A144" s="76">
        <f>'PartLib Table'!C146</f>
        <v>0</v>
      </c>
      <c r="B144" s="77" t="str">
        <f>'PartLib Table'!K146</f>
        <v/>
      </c>
      <c r="C144" s="77">
        <f>'PartLib Table'!L146</f>
        <v>0</v>
      </c>
      <c r="D144" s="77">
        <f>'PartLib Table'!M146</f>
        <v>0</v>
      </c>
      <c r="E144" s="77">
        <f>'PartLib Table'!N146</f>
        <v>0</v>
      </c>
      <c r="F144" s="75">
        <f>'PartLib Table'!O146</f>
        <v>0</v>
      </c>
      <c r="G144" s="77">
        <f>'PartLib Table'!P146</f>
        <v>0</v>
      </c>
      <c r="H144" s="77">
        <f>'PartLib Table'!Q146</f>
        <v>0</v>
      </c>
    </row>
    <row r="145" spans="1:8">
      <c r="A145" s="76">
        <f>'PartLib Table'!C147</f>
        <v>0</v>
      </c>
      <c r="B145" s="77" t="str">
        <f>'PartLib Table'!K147</f>
        <v/>
      </c>
      <c r="C145" s="77">
        <f>'PartLib Table'!L147</f>
        <v>0</v>
      </c>
      <c r="D145" s="77">
        <f>'PartLib Table'!M147</f>
        <v>0</v>
      </c>
      <c r="E145" s="77">
        <f>'PartLib Table'!N147</f>
        <v>0</v>
      </c>
      <c r="F145" s="75">
        <f>'PartLib Table'!O147</f>
        <v>0</v>
      </c>
      <c r="G145" s="77">
        <f>'PartLib Table'!P147</f>
        <v>0</v>
      </c>
      <c r="H145" s="77">
        <f>'PartLib Table'!Q147</f>
        <v>0</v>
      </c>
    </row>
    <row r="146" spans="1:8">
      <c r="A146" s="76">
        <f>'PartLib Table'!C148</f>
        <v>0</v>
      </c>
      <c r="B146" s="77" t="str">
        <f>'PartLib Table'!K148</f>
        <v/>
      </c>
      <c r="C146" s="77">
        <f>'PartLib Table'!L148</f>
        <v>0</v>
      </c>
      <c r="D146" s="77">
        <f>'PartLib Table'!M148</f>
        <v>0</v>
      </c>
      <c r="E146" s="77">
        <f>'PartLib Table'!N148</f>
        <v>0</v>
      </c>
      <c r="F146" s="75">
        <f>'PartLib Table'!O148</f>
        <v>0</v>
      </c>
      <c r="G146" s="77">
        <f>'PartLib Table'!P148</f>
        <v>0</v>
      </c>
      <c r="H146" s="77">
        <f>'PartLib Table'!Q148</f>
        <v>0</v>
      </c>
    </row>
    <row r="147" spans="1:8">
      <c r="A147" s="76">
        <f>'PartLib Table'!C149</f>
        <v>0</v>
      </c>
      <c r="B147" s="77" t="str">
        <f>'PartLib Table'!K149</f>
        <v/>
      </c>
      <c r="C147" s="77">
        <f>'PartLib Table'!L149</f>
        <v>0</v>
      </c>
      <c r="D147" s="77">
        <f>'PartLib Table'!M149</f>
        <v>0</v>
      </c>
      <c r="E147" s="77">
        <f>'PartLib Table'!N149</f>
        <v>0</v>
      </c>
      <c r="F147" s="75">
        <f>'PartLib Table'!O149</f>
        <v>0</v>
      </c>
      <c r="G147" s="77">
        <f>'PartLib Table'!P149</f>
        <v>0</v>
      </c>
      <c r="H147" s="77">
        <f>'PartLib Table'!Q149</f>
        <v>0</v>
      </c>
    </row>
    <row r="148" spans="1:8">
      <c r="A148" s="76">
        <f>'PartLib Table'!C150</f>
        <v>0</v>
      </c>
      <c r="B148" s="77" t="str">
        <f>'PartLib Table'!K150</f>
        <v/>
      </c>
      <c r="C148" s="77">
        <f>'PartLib Table'!L150</f>
        <v>0</v>
      </c>
      <c r="D148" s="77">
        <f>'PartLib Table'!M150</f>
        <v>0</v>
      </c>
      <c r="E148" s="77">
        <f>'PartLib Table'!N150</f>
        <v>0</v>
      </c>
      <c r="F148" s="75">
        <f>'PartLib Table'!O150</f>
        <v>0</v>
      </c>
      <c r="G148" s="77">
        <f>'PartLib Table'!P150</f>
        <v>0</v>
      </c>
      <c r="H148" s="77">
        <f>'PartLib Table'!Q150</f>
        <v>0</v>
      </c>
    </row>
    <row r="149" spans="1:8">
      <c r="A149" s="76">
        <f>'PartLib Table'!C151</f>
        <v>0</v>
      </c>
      <c r="B149" s="77" t="str">
        <f>'PartLib Table'!K151</f>
        <v/>
      </c>
      <c r="C149" s="77">
        <f>'PartLib Table'!L151</f>
        <v>0</v>
      </c>
      <c r="D149" s="77">
        <f>'PartLib Table'!M151</f>
        <v>0</v>
      </c>
      <c r="E149" s="77">
        <f>'PartLib Table'!N151</f>
        <v>0</v>
      </c>
      <c r="F149" s="75">
        <f>'PartLib Table'!O151</f>
        <v>0</v>
      </c>
      <c r="G149" s="77">
        <f>'PartLib Table'!P151</f>
        <v>0</v>
      </c>
      <c r="H149" s="77">
        <f>'PartLib Table'!Q151</f>
        <v>0</v>
      </c>
    </row>
    <row r="150" spans="1:8">
      <c r="A150" s="76">
        <f>'PartLib Table'!C152</f>
        <v>0</v>
      </c>
      <c r="B150" s="77" t="str">
        <f>'PartLib Table'!K152</f>
        <v/>
      </c>
      <c r="C150" s="77">
        <f>'PartLib Table'!L152</f>
        <v>0</v>
      </c>
      <c r="D150" s="77">
        <f>'PartLib Table'!M152</f>
        <v>0</v>
      </c>
      <c r="E150" s="77">
        <f>'PartLib Table'!N152</f>
        <v>0</v>
      </c>
      <c r="F150" s="75">
        <f>'PartLib Table'!O152</f>
        <v>0</v>
      </c>
      <c r="G150" s="77">
        <f>'PartLib Table'!P152</f>
        <v>0</v>
      </c>
      <c r="H150" s="77">
        <f>'PartLib Table'!Q152</f>
        <v>0</v>
      </c>
    </row>
    <row r="151" spans="1:8">
      <c r="A151" s="76">
        <f>'PartLib Table'!C153</f>
        <v>0</v>
      </c>
      <c r="B151" s="77" t="str">
        <f>'PartLib Table'!K153</f>
        <v/>
      </c>
      <c r="C151" s="77">
        <f>'PartLib Table'!L153</f>
        <v>0</v>
      </c>
      <c r="D151" s="77">
        <f>'PartLib Table'!M153</f>
        <v>0</v>
      </c>
      <c r="E151" s="77">
        <f>'PartLib Table'!N153</f>
        <v>0</v>
      </c>
      <c r="F151" s="75">
        <f>'PartLib Table'!O153</f>
        <v>0</v>
      </c>
      <c r="G151" s="77">
        <f>'PartLib Table'!P153</f>
        <v>0</v>
      </c>
      <c r="H151" s="77">
        <f>'PartLib Table'!Q153</f>
        <v>0</v>
      </c>
    </row>
    <row r="152" spans="1:8">
      <c r="A152" s="76">
        <f>'PartLib Table'!C154</f>
        <v>0</v>
      </c>
      <c r="B152" s="77" t="str">
        <f>'PartLib Table'!K154</f>
        <v/>
      </c>
      <c r="C152" s="77">
        <f>'PartLib Table'!L154</f>
        <v>0</v>
      </c>
      <c r="D152" s="77">
        <f>'PartLib Table'!M154</f>
        <v>0</v>
      </c>
      <c r="E152" s="77">
        <f>'PartLib Table'!N154</f>
        <v>0</v>
      </c>
      <c r="F152" s="75">
        <f>'PartLib Table'!O154</f>
        <v>0</v>
      </c>
      <c r="G152" s="77">
        <f>'PartLib Table'!P154</f>
        <v>0</v>
      </c>
      <c r="H152" s="77">
        <f>'PartLib Table'!Q154</f>
        <v>0</v>
      </c>
    </row>
    <row r="153" spans="1:8">
      <c r="A153" s="76">
        <f>'PartLib Table'!C155</f>
        <v>0</v>
      </c>
      <c r="B153" s="77" t="str">
        <f>'PartLib Table'!K155</f>
        <v/>
      </c>
      <c r="C153" s="77">
        <f>'PartLib Table'!L155</f>
        <v>0</v>
      </c>
      <c r="D153" s="77">
        <f>'PartLib Table'!M155</f>
        <v>0</v>
      </c>
      <c r="E153" s="77">
        <f>'PartLib Table'!N155</f>
        <v>0</v>
      </c>
      <c r="F153" s="75">
        <f>'PartLib Table'!O155</f>
        <v>0</v>
      </c>
      <c r="G153" s="77">
        <f>'PartLib Table'!P155</f>
        <v>0</v>
      </c>
      <c r="H153" s="77">
        <f>'PartLib Table'!Q155</f>
        <v>0</v>
      </c>
    </row>
    <row r="154" spans="1:8">
      <c r="A154" s="76">
        <f>'PartLib Table'!C156</f>
        <v>0</v>
      </c>
      <c r="B154" s="77" t="str">
        <f>'PartLib Table'!K156</f>
        <v/>
      </c>
      <c r="C154" s="77">
        <f>'PartLib Table'!L156</f>
        <v>0</v>
      </c>
      <c r="D154" s="77">
        <f>'PartLib Table'!M156</f>
        <v>0</v>
      </c>
      <c r="E154" s="77">
        <f>'PartLib Table'!N156</f>
        <v>0</v>
      </c>
      <c r="F154" s="75">
        <f>'PartLib Table'!O156</f>
        <v>0</v>
      </c>
      <c r="G154" s="77">
        <f>'PartLib Table'!P156</f>
        <v>0</v>
      </c>
      <c r="H154" s="77">
        <f>'PartLib Table'!Q156</f>
        <v>0</v>
      </c>
    </row>
    <row r="155" spans="1:8">
      <c r="A155" s="76">
        <f>'PartLib Table'!C157</f>
        <v>0</v>
      </c>
      <c r="B155" s="77" t="str">
        <f>'PartLib Table'!K157</f>
        <v/>
      </c>
      <c r="C155" s="77">
        <f>'PartLib Table'!L157</f>
        <v>0</v>
      </c>
      <c r="D155" s="77">
        <f>'PartLib Table'!M157</f>
        <v>0</v>
      </c>
      <c r="E155" s="77">
        <f>'PartLib Table'!N157</f>
        <v>0</v>
      </c>
      <c r="F155" s="75">
        <f>'PartLib Table'!O157</f>
        <v>0</v>
      </c>
      <c r="G155" s="77">
        <f>'PartLib Table'!P157</f>
        <v>0</v>
      </c>
      <c r="H155" s="77">
        <f>'PartLib Table'!Q157</f>
        <v>0</v>
      </c>
    </row>
    <row r="156" spans="1:8">
      <c r="A156" s="76">
        <f>'PartLib Table'!C158</f>
        <v>0</v>
      </c>
      <c r="B156" s="77" t="str">
        <f>'PartLib Table'!K158</f>
        <v/>
      </c>
      <c r="C156" s="77">
        <f>'PartLib Table'!L158</f>
        <v>0</v>
      </c>
      <c r="D156" s="77">
        <f>'PartLib Table'!M158</f>
        <v>0</v>
      </c>
      <c r="E156" s="77">
        <f>'PartLib Table'!N158</f>
        <v>0</v>
      </c>
      <c r="F156" s="75">
        <f>'PartLib Table'!O158</f>
        <v>0</v>
      </c>
      <c r="G156" s="77">
        <f>'PartLib Table'!P158</f>
        <v>0</v>
      </c>
      <c r="H156" s="77">
        <f>'PartLib Table'!Q158</f>
        <v>0</v>
      </c>
    </row>
    <row r="157" spans="1:8">
      <c r="A157" s="76">
        <f>'PartLib Table'!C159</f>
        <v>0</v>
      </c>
      <c r="B157" s="77" t="str">
        <f>'PartLib Table'!K159</f>
        <v/>
      </c>
      <c r="C157" s="77">
        <f>'PartLib Table'!L159</f>
        <v>0</v>
      </c>
      <c r="D157" s="77">
        <f>'PartLib Table'!M159</f>
        <v>0</v>
      </c>
      <c r="E157" s="77">
        <f>'PartLib Table'!N159</f>
        <v>0</v>
      </c>
      <c r="F157" s="75">
        <f>'PartLib Table'!O159</f>
        <v>0</v>
      </c>
      <c r="G157" s="77">
        <f>'PartLib Table'!P159</f>
        <v>0</v>
      </c>
      <c r="H157" s="77">
        <f>'PartLib Table'!Q159</f>
        <v>0</v>
      </c>
    </row>
    <row r="158" spans="1:8">
      <c r="A158" s="76">
        <f>'PartLib Table'!C160</f>
        <v>0</v>
      </c>
      <c r="B158" s="77" t="str">
        <f>'PartLib Table'!K160</f>
        <v/>
      </c>
      <c r="C158" s="77">
        <f>'PartLib Table'!L160</f>
        <v>0</v>
      </c>
      <c r="D158" s="77">
        <f>'PartLib Table'!M160</f>
        <v>0</v>
      </c>
      <c r="E158" s="77">
        <f>'PartLib Table'!N160</f>
        <v>0</v>
      </c>
      <c r="F158" s="75">
        <f>'PartLib Table'!O160</f>
        <v>0</v>
      </c>
      <c r="G158" s="77">
        <f>'PartLib Table'!P160</f>
        <v>0</v>
      </c>
      <c r="H158" s="77">
        <f>'PartLib Table'!Q160</f>
        <v>0</v>
      </c>
    </row>
    <row r="159" spans="1:8">
      <c r="A159" s="76">
        <f>'PartLib Table'!C161</f>
        <v>0</v>
      </c>
      <c r="B159" s="77" t="str">
        <f>'PartLib Table'!K161</f>
        <v/>
      </c>
      <c r="C159" s="77">
        <f>'PartLib Table'!L161</f>
        <v>0</v>
      </c>
      <c r="D159" s="77">
        <f>'PartLib Table'!M161</f>
        <v>0</v>
      </c>
      <c r="E159" s="77">
        <f>'PartLib Table'!N161</f>
        <v>0</v>
      </c>
      <c r="F159" s="75">
        <f>'PartLib Table'!O161</f>
        <v>0</v>
      </c>
      <c r="G159" s="77">
        <f>'PartLib Table'!P161</f>
        <v>0</v>
      </c>
      <c r="H159" s="77">
        <f>'PartLib Table'!Q161</f>
        <v>0</v>
      </c>
    </row>
    <row r="160" spans="1:8">
      <c r="A160" s="76">
        <f>'PartLib Table'!C162</f>
        <v>0</v>
      </c>
      <c r="B160" s="77" t="str">
        <f>'PartLib Table'!K162</f>
        <v/>
      </c>
      <c r="C160" s="77">
        <f>'PartLib Table'!L162</f>
        <v>0</v>
      </c>
      <c r="D160" s="77">
        <f>'PartLib Table'!M162</f>
        <v>0</v>
      </c>
      <c r="E160" s="77">
        <f>'PartLib Table'!N162</f>
        <v>0</v>
      </c>
      <c r="F160" s="75">
        <f>'PartLib Table'!O162</f>
        <v>0</v>
      </c>
      <c r="G160" s="77">
        <f>'PartLib Table'!P162</f>
        <v>0</v>
      </c>
      <c r="H160" s="77">
        <f>'PartLib Table'!Q162</f>
        <v>0</v>
      </c>
    </row>
    <row r="161" spans="1:8">
      <c r="A161" s="76">
        <f>'PartLib Table'!C163</f>
        <v>0</v>
      </c>
      <c r="B161" s="77" t="str">
        <f>'PartLib Table'!K163</f>
        <v/>
      </c>
      <c r="C161" s="77">
        <f>'PartLib Table'!L163</f>
        <v>0</v>
      </c>
      <c r="D161" s="77">
        <f>'PartLib Table'!M163</f>
        <v>0</v>
      </c>
      <c r="E161" s="77">
        <f>'PartLib Table'!N163</f>
        <v>0</v>
      </c>
      <c r="F161" s="75">
        <f>'PartLib Table'!O163</f>
        <v>0</v>
      </c>
      <c r="G161" s="77">
        <f>'PartLib Table'!P163</f>
        <v>0</v>
      </c>
      <c r="H161" s="77">
        <f>'PartLib Table'!Q163</f>
        <v>0</v>
      </c>
    </row>
    <row r="162" spans="1:8">
      <c r="A162" s="76">
        <f>'PartLib Table'!C164</f>
        <v>0</v>
      </c>
      <c r="B162" s="77" t="str">
        <f>'PartLib Table'!K164</f>
        <v/>
      </c>
      <c r="C162" s="77">
        <f>'PartLib Table'!L164</f>
        <v>0</v>
      </c>
      <c r="D162" s="77">
        <f>'PartLib Table'!M164</f>
        <v>0</v>
      </c>
      <c r="E162" s="77">
        <f>'PartLib Table'!N164</f>
        <v>0</v>
      </c>
      <c r="F162" s="75">
        <f>'PartLib Table'!O164</f>
        <v>0</v>
      </c>
      <c r="G162" s="77">
        <f>'PartLib Table'!P164</f>
        <v>0</v>
      </c>
      <c r="H162" s="77">
        <f>'PartLib Table'!Q164</f>
        <v>0</v>
      </c>
    </row>
    <row r="163" spans="1:8">
      <c r="A163" s="76">
        <f>'PartLib Table'!C165</f>
        <v>0</v>
      </c>
      <c r="B163" s="77" t="str">
        <f>'PartLib Table'!K165</f>
        <v/>
      </c>
      <c r="C163" s="77">
        <f>'PartLib Table'!L165</f>
        <v>0</v>
      </c>
      <c r="D163" s="77">
        <f>'PartLib Table'!M165</f>
        <v>0</v>
      </c>
      <c r="E163" s="77">
        <f>'PartLib Table'!N165</f>
        <v>0</v>
      </c>
      <c r="F163" s="75">
        <f>'PartLib Table'!O165</f>
        <v>0</v>
      </c>
      <c r="G163" s="77">
        <f>'PartLib Table'!P165</f>
        <v>0</v>
      </c>
      <c r="H163" s="77">
        <f>'PartLib Table'!Q165</f>
        <v>0</v>
      </c>
    </row>
    <row r="164" spans="1:8">
      <c r="A164" s="76">
        <f>'PartLib Table'!C166</f>
        <v>0</v>
      </c>
      <c r="B164" s="77" t="str">
        <f>'PartLib Table'!K166</f>
        <v/>
      </c>
      <c r="C164" s="77">
        <f>'PartLib Table'!L166</f>
        <v>0</v>
      </c>
      <c r="D164" s="77">
        <f>'PartLib Table'!M166</f>
        <v>0</v>
      </c>
      <c r="E164" s="77">
        <f>'PartLib Table'!N166</f>
        <v>0</v>
      </c>
      <c r="F164" s="75">
        <f>'PartLib Table'!O166</f>
        <v>0</v>
      </c>
      <c r="G164" s="77">
        <f>'PartLib Table'!P166</f>
        <v>0</v>
      </c>
      <c r="H164" s="77">
        <f>'PartLib Table'!Q166</f>
        <v>0</v>
      </c>
    </row>
    <row r="165" spans="1:8">
      <c r="A165" s="76">
        <f>'PartLib Table'!C167</f>
        <v>0</v>
      </c>
      <c r="B165" s="77" t="str">
        <f>'PartLib Table'!K167</f>
        <v/>
      </c>
      <c r="C165" s="77">
        <f>'PartLib Table'!L167</f>
        <v>0</v>
      </c>
      <c r="D165" s="77">
        <f>'PartLib Table'!M167</f>
        <v>0</v>
      </c>
      <c r="E165" s="77">
        <f>'PartLib Table'!N167</f>
        <v>0</v>
      </c>
      <c r="F165" s="75">
        <f>'PartLib Table'!O167</f>
        <v>0</v>
      </c>
      <c r="G165" s="77">
        <f>'PartLib Table'!P167</f>
        <v>0</v>
      </c>
      <c r="H165" s="77">
        <f>'PartLib Table'!Q167</f>
        <v>0</v>
      </c>
    </row>
    <row r="166" spans="1:8">
      <c r="A166" s="76">
        <f>'PartLib Table'!C168</f>
        <v>0</v>
      </c>
      <c r="B166" s="77" t="str">
        <f>'PartLib Table'!K168</f>
        <v/>
      </c>
      <c r="C166" s="77">
        <f>'PartLib Table'!L168</f>
        <v>0</v>
      </c>
      <c r="D166" s="77">
        <f>'PartLib Table'!M168</f>
        <v>0</v>
      </c>
      <c r="E166" s="77">
        <f>'PartLib Table'!N168</f>
        <v>0</v>
      </c>
      <c r="F166" s="75">
        <f>'PartLib Table'!O168</f>
        <v>0</v>
      </c>
      <c r="G166" s="77">
        <f>'PartLib Table'!P168</f>
        <v>0</v>
      </c>
      <c r="H166" s="77">
        <f>'PartLib Table'!Q168</f>
        <v>0</v>
      </c>
    </row>
    <row r="167" spans="1:8">
      <c r="A167" s="76">
        <f>'PartLib Table'!C169</f>
        <v>0</v>
      </c>
      <c r="B167" s="77" t="str">
        <f>'PartLib Table'!K169</f>
        <v/>
      </c>
      <c r="C167" s="77">
        <f>'PartLib Table'!L169</f>
        <v>0</v>
      </c>
      <c r="D167" s="77">
        <f>'PartLib Table'!M169</f>
        <v>0</v>
      </c>
      <c r="E167" s="77">
        <f>'PartLib Table'!N169</f>
        <v>0</v>
      </c>
      <c r="F167" s="75">
        <f>'PartLib Table'!O169</f>
        <v>0</v>
      </c>
      <c r="G167" s="77">
        <f>'PartLib Table'!P169</f>
        <v>0</v>
      </c>
      <c r="H167" s="77">
        <f>'PartLib Table'!Q169</f>
        <v>0</v>
      </c>
    </row>
    <row r="168" spans="1:8">
      <c r="A168" s="76">
        <f>'PartLib Table'!C170</f>
        <v>0</v>
      </c>
      <c r="B168" s="77" t="str">
        <f>'PartLib Table'!K170</f>
        <v/>
      </c>
      <c r="C168" s="77">
        <f>'PartLib Table'!L170</f>
        <v>0</v>
      </c>
      <c r="D168" s="77">
        <f>'PartLib Table'!M170</f>
        <v>0</v>
      </c>
      <c r="E168" s="77">
        <f>'PartLib Table'!N170</f>
        <v>0</v>
      </c>
      <c r="F168" s="75">
        <f>'PartLib Table'!O170</f>
        <v>0</v>
      </c>
      <c r="G168" s="77">
        <f>'PartLib Table'!P170</f>
        <v>0</v>
      </c>
      <c r="H168" s="77">
        <f>'PartLib Table'!Q170</f>
        <v>0</v>
      </c>
    </row>
    <row r="169" spans="1:8">
      <c r="A169" s="76">
        <f>'PartLib Table'!C171</f>
        <v>0</v>
      </c>
      <c r="B169" s="77" t="str">
        <f>'PartLib Table'!K171</f>
        <v/>
      </c>
      <c r="C169" s="77">
        <f>'PartLib Table'!L171</f>
        <v>0</v>
      </c>
      <c r="D169" s="77">
        <f>'PartLib Table'!M171</f>
        <v>0</v>
      </c>
      <c r="E169" s="77">
        <f>'PartLib Table'!N171</f>
        <v>0</v>
      </c>
      <c r="F169" s="75">
        <f>'PartLib Table'!O171</f>
        <v>0</v>
      </c>
      <c r="G169" s="77">
        <f>'PartLib Table'!P171</f>
        <v>0</v>
      </c>
      <c r="H169" s="77">
        <f>'PartLib Table'!Q171</f>
        <v>0</v>
      </c>
    </row>
    <row r="170" spans="1:8">
      <c r="A170" s="76">
        <f>'PartLib Table'!C172</f>
        <v>0</v>
      </c>
      <c r="B170" s="77" t="str">
        <f>'PartLib Table'!K172</f>
        <v/>
      </c>
      <c r="C170" s="77">
        <f>'PartLib Table'!L172</f>
        <v>0</v>
      </c>
      <c r="D170" s="77">
        <f>'PartLib Table'!M172</f>
        <v>0</v>
      </c>
      <c r="E170" s="77">
        <f>'PartLib Table'!N172</f>
        <v>0</v>
      </c>
      <c r="F170" s="75">
        <f>'PartLib Table'!O172</f>
        <v>0</v>
      </c>
      <c r="G170" s="77">
        <f>'PartLib Table'!P172</f>
        <v>0</v>
      </c>
      <c r="H170" s="77">
        <f>'PartLib Table'!Q172</f>
        <v>0</v>
      </c>
    </row>
    <row r="171" spans="1:8">
      <c r="A171" s="76">
        <f>'PartLib Table'!C173</f>
        <v>0</v>
      </c>
      <c r="B171" s="77" t="str">
        <f>'PartLib Table'!K173</f>
        <v/>
      </c>
      <c r="C171" s="77">
        <f>'PartLib Table'!L173</f>
        <v>0</v>
      </c>
      <c r="D171" s="77">
        <f>'PartLib Table'!M173</f>
        <v>0</v>
      </c>
      <c r="E171" s="77">
        <f>'PartLib Table'!N173</f>
        <v>0</v>
      </c>
      <c r="F171" s="75">
        <f>'PartLib Table'!O173</f>
        <v>0</v>
      </c>
      <c r="G171" s="77">
        <f>'PartLib Table'!P173</f>
        <v>0</v>
      </c>
      <c r="H171" s="77">
        <f>'PartLib Table'!Q173</f>
        <v>0</v>
      </c>
    </row>
    <row r="172" spans="1:8">
      <c r="A172" s="76">
        <f>'PartLib Table'!C174</f>
        <v>0</v>
      </c>
      <c r="B172" s="77" t="str">
        <f>'PartLib Table'!K174</f>
        <v/>
      </c>
      <c r="C172" s="77">
        <f>'PartLib Table'!L174</f>
        <v>0</v>
      </c>
      <c r="D172" s="77">
        <f>'PartLib Table'!M174</f>
        <v>0</v>
      </c>
      <c r="E172" s="77">
        <f>'PartLib Table'!N174</f>
        <v>0</v>
      </c>
      <c r="F172" s="75">
        <f>'PartLib Table'!O174</f>
        <v>0</v>
      </c>
      <c r="G172" s="77">
        <f>'PartLib Table'!P174</f>
        <v>0</v>
      </c>
      <c r="H172" s="77">
        <f>'PartLib Table'!Q174</f>
        <v>0</v>
      </c>
    </row>
    <row r="173" spans="1:8">
      <c r="A173" s="76">
        <f>'PartLib Table'!C175</f>
        <v>0</v>
      </c>
      <c r="B173" s="77" t="str">
        <f>'PartLib Table'!K175</f>
        <v/>
      </c>
      <c r="C173" s="77">
        <f>'PartLib Table'!L175</f>
        <v>0</v>
      </c>
      <c r="D173" s="77">
        <f>'PartLib Table'!M175</f>
        <v>0</v>
      </c>
      <c r="E173" s="77">
        <f>'PartLib Table'!N175</f>
        <v>0</v>
      </c>
      <c r="F173" s="75">
        <f>'PartLib Table'!O175</f>
        <v>0</v>
      </c>
      <c r="G173" s="77">
        <f>'PartLib Table'!P175</f>
        <v>0</v>
      </c>
      <c r="H173" s="77">
        <f>'PartLib Table'!Q175</f>
        <v>0</v>
      </c>
    </row>
    <row r="174" spans="1:8">
      <c r="A174" s="76">
        <f>'PartLib Table'!C176</f>
        <v>0</v>
      </c>
      <c r="B174" s="77" t="str">
        <f>'PartLib Table'!K176</f>
        <v/>
      </c>
      <c r="C174" s="77">
        <f>'PartLib Table'!L176</f>
        <v>0</v>
      </c>
      <c r="D174" s="77">
        <f>'PartLib Table'!M176</f>
        <v>0</v>
      </c>
      <c r="E174" s="77">
        <f>'PartLib Table'!N176</f>
        <v>0</v>
      </c>
      <c r="F174" s="75">
        <f>'PartLib Table'!O176</f>
        <v>0</v>
      </c>
      <c r="G174" s="77">
        <f>'PartLib Table'!P176</f>
        <v>0</v>
      </c>
      <c r="H174" s="77">
        <f>'PartLib Table'!Q176</f>
        <v>0</v>
      </c>
    </row>
    <row r="175" spans="1:8">
      <c r="A175" s="76">
        <f>'PartLib Table'!C177</f>
        <v>0</v>
      </c>
      <c r="B175" s="77" t="str">
        <f>'PartLib Table'!K177</f>
        <v/>
      </c>
      <c r="C175" s="77">
        <f>'PartLib Table'!L177</f>
        <v>0</v>
      </c>
      <c r="D175" s="77">
        <f>'PartLib Table'!M177</f>
        <v>0</v>
      </c>
      <c r="E175" s="77">
        <f>'PartLib Table'!N177</f>
        <v>0</v>
      </c>
      <c r="F175" s="75">
        <f>'PartLib Table'!O177</f>
        <v>0</v>
      </c>
      <c r="G175" s="77">
        <f>'PartLib Table'!P177</f>
        <v>0</v>
      </c>
      <c r="H175" s="77">
        <f>'PartLib Table'!Q177</f>
        <v>0</v>
      </c>
    </row>
    <row r="176" spans="1:8">
      <c r="A176" s="76">
        <f>'PartLib Table'!C178</f>
        <v>0</v>
      </c>
      <c r="B176" s="77" t="str">
        <f>'PartLib Table'!K178</f>
        <v/>
      </c>
      <c r="C176" s="77">
        <f>'PartLib Table'!L178</f>
        <v>0</v>
      </c>
      <c r="D176" s="77">
        <f>'PartLib Table'!M178</f>
        <v>0</v>
      </c>
      <c r="E176" s="77">
        <f>'PartLib Table'!N178</f>
        <v>0</v>
      </c>
      <c r="F176" s="75">
        <f>'PartLib Table'!O178</f>
        <v>0</v>
      </c>
      <c r="G176" s="77">
        <f>'PartLib Table'!P178</f>
        <v>0</v>
      </c>
      <c r="H176" s="77">
        <f>'PartLib Table'!Q178</f>
        <v>0</v>
      </c>
    </row>
    <row r="177" spans="1:8">
      <c r="A177" s="76">
        <f>'PartLib Table'!C179</f>
        <v>0</v>
      </c>
      <c r="B177" s="77" t="str">
        <f>'PartLib Table'!K179</f>
        <v/>
      </c>
      <c r="C177" s="77">
        <f>'PartLib Table'!L179</f>
        <v>0</v>
      </c>
      <c r="D177" s="77">
        <f>'PartLib Table'!M179</f>
        <v>0</v>
      </c>
      <c r="E177" s="77">
        <f>'PartLib Table'!N179</f>
        <v>0</v>
      </c>
      <c r="F177" s="75">
        <f>'PartLib Table'!O179</f>
        <v>0</v>
      </c>
      <c r="G177" s="77">
        <f>'PartLib Table'!P179</f>
        <v>0</v>
      </c>
      <c r="H177" s="77">
        <f>'PartLib Table'!Q179</f>
        <v>0</v>
      </c>
    </row>
    <row r="178" spans="1:8">
      <c r="A178" s="76">
        <f>'PartLib Table'!C180</f>
        <v>0</v>
      </c>
      <c r="B178" s="77" t="str">
        <f>'PartLib Table'!K180</f>
        <v/>
      </c>
      <c r="C178" s="77">
        <f>'PartLib Table'!L180</f>
        <v>0</v>
      </c>
      <c r="D178" s="77">
        <f>'PartLib Table'!M180</f>
        <v>0</v>
      </c>
      <c r="E178" s="77">
        <f>'PartLib Table'!N180</f>
        <v>0</v>
      </c>
      <c r="F178" s="75">
        <f>'PartLib Table'!O180</f>
        <v>0</v>
      </c>
      <c r="G178" s="77">
        <f>'PartLib Table'!P180</f>
        <v>0</v>
      </c>
      <c r="H178" s="77">
        <f>'PartLib Table'!Q180</f>
        <v>0</v>
      </c>
    </row>
    <row r="179" spans="1:8">
      <c r="A179" s="76">
        <f>'PartLib Table'!C181</f>
        <v>0</v>
      </c>
      <c r="B179" s="77" t="str">
        <f>'PartLib Table'!K181</f>
        <v/>
      </c>
      <c r="C179" s="77">
        <f>'PartLib Table'!L181</f>
        <v>0</v>
      </c>
      <c r="D179" s="77">
        <f>'PartLib Table'!M181</f>
        <v>0</v>
      </c>
      <c r="E179" s="77">
        <f>'PartLib Table'!N181</f>
        <v>0</v>
      </c>
      <c r="F179" s="75">
        <f>'PartLib Table'!O181</f>
        <v>0</v>
      </c>
      <c r="G179" s="77">
        <f>'PartLib Table'!P181</f>
        <v>0</v>
      </c>
      <c r="H179" s="77">
        <f>'PartLib Table'!Q181</f>
        <v>0</v>
      </c>
    </row>
    <row r="180" spans="1:8">
      <c r="A180" s="76">
        <f>'PartLib Table'!C182</f>
        <v>0</v>
      </c>
      <c r="B180" s="77" t="str">
        <f>'PartLib Table'!K182</f>
        <v/>
      </c>
      <c r="C180" s="77">
        <f>'PartLib Table'!L182</f>
        <v>0</v>
      </c>
      <c r="D180" s="77">
        <f>'PartLib Table'!M182</f>
        <v>0</v>
      </c>
      <c r="E180" s="77">
        <f>'PartLib Table'!N182</f>
        <v>0</v>
      </c>
      <c r="F180" s="75">
        <f>'PartLib Table'!O182</f>
        <v>0</v>
      </c>
      <c r="G180" s="77">
        <f>'PartLib Table'!P182</f>
        <v>0</v>
      </c>
      <c r="H180" s="77">
        <f>'PartLib Table'!Q182</f>
        <v>0</v>
      </c>
    </row>
    <row r="181" spans="1:8">
      <c r="A181" s="76">
        <f>'PartLib Table'!C183</f>
        <v>0</v>
      </c>
      <c r="B181" s="77" t="str">
        <f>'PartLib Table'!K183</f>
        <v/>
      </c>
      <c r="C181" s="77">
        <f>'PartLib Table'!L183</f>
        <v>0</v>
      </c>
      <c r="D181" s="77">
        <f>'PartLib Table'!M183</f>
        <v>0</v>
      </c>
      <c r="E181" s="77">
        <f>'PartLib Table'!N183</f>
        <v>0</v>
      </c>
      <c r="F181" s="75">
        <f>'PartLib Table'!O183</f>
        <v>0</v>
      </c>
      <c r="G181" s="77">
        <f>'PartLib Table'!P183</f>
        <v>0</v>
      </c>
      <c r="H181" s="77">
        <f>'PartLib Table'!Q183</f>
        <v>0</v>
      </c>
    </row>
    <row r="182" spans="1:8">
      <c r="A182" s="76">
        <f>'PartLib Table'!C184</f>
        <v>0</v>
      </c>
      <c r="B182" s="77" t="str">
        <f>'PartLib Table'!K184</f>
        <v/>
      </c>
      <c r="C182" s="77">
        <f>'PartLib Table'!L184</f>
        <v>0</v>
      </c>
      <c r="D182" s="77">
        <f>'PartLib Table'!M184</f>
        <v>0</v>
      </c>
      <c r="E182" s="77">
        <f>'PartLib Table'!N184</f>
        <v>0</v>
      </c>
      <c r="F182" s="75">
        <f>'PartLib Table'!O184</f>
        <v>0</v>
      </c>
      <c r="G182" s="77">
        <f>'PartLib Table'!P184</f>
        <v>0</v>
      </c>
      <c r="H182" s="77">
        <f>'PartLib Table'!Q184</f>
        <v>0</v>
      </c>
    </row>
    <row r="183" spans="1:8">
      <c r="A183" s="76">
        <f>'PartLib Table'!C185</f>
        <v>0</v>
      </c>
      <c r="B183" s="77" t="str">
        <f>'PartLib Table'!K185</f>
        <v/>
      </c>
      <c r="C183" s="77">
        <f>'PartLib Table'!L185</f>
        <v>0</v>
      </c>
      <c r="D183" s="77">
        <f>'PartLib Table'!M185</f>
        <v>0</v>
      </c>
      <c r="E183" s="77">
        <f>'PartLib Table'!N185</f>
        <v>0</v>
      </c>
      <c r="F183" s="75">
        <f>'PartLib Table'!O185</f>
        <v>0</v>
      </c>
      <c r="G183" s="77">
        <f>'PartLib Table'!P185</f>
        <v>0</v>
      </c>
      <c r="H183" s="77">
        <f>'PartLib Table'!Q185</f>
        <v>0</v>
      </c>
    </row>
    <row r="184" spans="1:8">
      <c r="A184" s="76">
        <f>'PartLib Table'!C186</f>
        <v>0</v>
      </c>
      <c r="B184" s="77" t="str">
        <f>'PartLib Table'!K186</f>
        <v/>
      </c>
      <c r="C184" s="77">
        <f>'PartLib Table'!L186</f>
        <v>0</v>
      </c>
      <c r="D184" s="77">
        <f>'PartLib Table'!M186</f>
        <v>0</v>
      </c>
      <c r="E184" s="77">
        <f>'PartLib Table'!N186</f>
        <v>0</v>
      </c>
      <c r="F184" s="75">
        <f>'PartLib Table'!O186</f>
        <v>0</v>
      </c>
      <c r="G184" s="77">
        <f>'PartLib Table'!P186</f>
        <v>0</v>
      </c>
      <c r="H184" s="77">
        <f>'PartLib Table'!Q186</f>
        <v>0</v>
      </c>
    </row>
    <row r="185" spans="1:8">
      <c r="A185" s="76">
        <f>'PartLib Table'!C187</f>
        <v>0</v>
      </c>
      <c r="B185" s="77" t="str">
        <f>'PartLib Table'!K187</f>
        <v/>
      </c>
      <c r="C185" s="77">
        <f>'PartLib Table'!L187</f>
        <v>0</v>
      </c>
      <c r="D185" s="77">
        <f>'PartLib Table'!M187</f>
        <v>0</v>
      </c>
      <c r="E185" s="77">
        <f>'PartLib Table'!N187</f>
        <v>0</v>
      </c>
      <c r="F185" s="75">
        <f>'PartLib Table'!O187</f>
        <v>0</v>
      </c>
      <c r="G185" s="77">
        <f>'PartLib Table'!P187</f>
        <v>0</v>
      </c>
      <c r="H185" s="77">
        <f>'PartLib Table'!Q187</f>
        <v>0</v>
      </c>
    </row>
    <row r="186" spans="1:8">
      <c r="A186" s="76">
        <f>'PartLib Table'!C188</f>
        <v>0</v>
      </c>
      <c r="B186" s="77" t="str">
        <f>'PartLib Table'!K188</f>
        <v/>
      </c>
      <c r="C186" s="77">
        <f>'PartLib Table'!L188</f>
        <v>0</v>
      </c>
      <c r="D186" s="77">
        <f>'PartLib Table'!M188</f>
        <v>0</v>
      </c>
      <c r="E186" s="77">
        <f>'PartLib Table'!N188</f>
        <v>0</v>
      </c>
      <c r="F186" s="75">
        <f>'PartLib Table'!O188</f>
        <v>0</v>
      </c>
      <c r="G186" s="77">
        <f>'PartLib Table'!P188</f>
        <v>0</v>
      </c>
      <c r="H186" s="77">
        <f>'PartLib Table'!Q188</f>
        <v>0</v>
      </c>
    </row>
    <row r="187" spans="1:8">
      <c r="A187" s="76">
        <f>'PartLib Table'!C189</f>
        <v>0</v>
      </c>
      <c r="B187" s="77" t="str">
        <f>'PartLib Table'!K189</f>
        <v/>
      </c>
      <c r="C187" s="77">
        <f>'PartLib Table'!L189</f>
        <v>0</v>
      </c>
      <c r="D187" s="77">
        <f>'PartLib Table'!M189</f>
        <v>0</v>
      </c>
      <c r="E187" s="77">
        <f>'PartLib Table'!N189</f>
        <v>0</v>
      </c>
      <c r="F187" s="75">
        <f>'PartLib Table'!O189</f>
        <v>0</v>
      </c>
      <c r="G187" s="77">
        <f>'PartLib Table'!P189</f>
        <v>0</v>
      </c>
      <c r="H187" s="77">
        <f>'PartLib Table'!Q189</f>
        <v>0</v>
      </c>
    </row>
    <row r="188" spans="1:8">
      <c r="A188" s="76">
        <f>'PartLib Table'!C190</f>
        <v>0</v>
      </c>
      <c r="B188" s="77" t="str">
        <f>'PartLib Table'!K190</f>
        <v/>
      </c>
      <c r="C188" s="77">
        <f>'PartLib Table'!L190</f>
        <v>0</v>
      </c>
      <c r="D188" s="77">
        <f>'PartLib Table'!M190</f>
        <v>0</v>
      </c>
      <c r="E188" s="77">
        <f>'PartLib Table'!N190</f>
        <v>0</v>
      </c>
      <c r="F188" s="75">
        <f>'PartLib Table'!O190</f>
        <v>0</v>
      </c>
      <c r="G188" s="77">
        <f>'PartLib Table'!P190</f>
        <v>0</v>
      </c>
      <c r="H188" s="77">
        <f>'PartLib Table'!Q190</f>
        <v>0</v>
      </c>
    </row>
    <row r="189" spans="1:8">
      <c r="A189" s="76">
        <f>'PartLib Table'!C191</f>
        <v>0</v>
      </c>
      <c r="B189" s="77" t="str">
        <f>'PartLib Table'!K191</f>
        <v/>
      </c>
      <c r="C189" s="77">
        <f>'PartLib Table'!L191</f>
        <v>0</v>
      </c>
      <c r="D189" s="77">
        <f>'PartLib Table'!M191</f>
        <v>0</v>
      </c>
      <c r="E189" s="77">
        <f>'PartLib Table'!N191</f>
        <v>0</v>
      </c>
      <c r="F189" s="75">
        <f>'PartLib Table'!O191</f>
        <v>0</v>
      </c>
      <c r="G189" s="77">
        <f>'PartLib Table'!P191</f>
        <v>0</v>
      </c>
      <c r="H189" s="77">
        <f>'PartLib Table'!Q191</f>
        <v>0</v>
      </c>
    </row>
    <row r="190" spans="1:8">
      <c r="A190" s="76">
        <f>'PartLib Table'!C192</f>
        <v>0</v>
      </c>
      <c r="B190" s="77" t="str">
        <f>'PartLib Table'!K192</f>
        <v/>
      </c>
      <c r="C190" s="77">
        <f>'PartLib Table'!L192</f>
        <v>0</v>
      </c>
      <c r="D190" s="77">
        <f>'PartLib Table'!M192</f>
        <v>0</v>
      </c>
      <c r="E190" s="77">
        <f>'PartLib Table'!N192</f>
        <v>0</v>
      </c>
      <c r="F190" s="75">
        <f>'PartLib Table'!O192</f>
        <v>0</v>
      </c>
      <c r="G190" s="77">
        <f>'PartLib Table'!P192</f>
        <v>0</v>
      </c>
      <c r="H190" s="77">
        <f>'PartLib Table'!Q192</f>
        <v>0</v>
      </c>
    </row>
    <row r="191" spans="1:8">
      <c r="A191" s="76">
        <f>'PartLib Table'!C193</f>
        <v>0</v>
      </c>
      <c r="B191" s="77" t="str">
        <f>'PartLib Table'!K193</f>
        <v/>
      </c>
      <c r="C191" s="77">
        <f>'PartLib Table'!L193</f>
        <v>0</v>
      </c>
      <c r="D191" s="77">
        <f>'PartLib Table'!M193</f>
        <v>0</v>
      </c>
      <c r="E191" s="77">
        <f>'PartLib Table'!N193</f>
        <v>0</v>
      </c>
      <c r="F191" s="75">
        <f>'PartLib Table'!O193</f>
        <v>0</v>
      </c>
      <c r="G191" s="77">
        <f>'PartLib Table'!P193</f>
        <v>0</v>
      </c>
      <c r="H191" s="77">
        <f>'PartLib Table'!Q193</f>
        <v>0</v>
      </c>
    </row>
    <row r="192" spans="1:8">
      <c r="A192" s="76">
        <f>'PartLib Table'!C194</f>
        <v>0</v>
      </c>
      <c r="B192" s="77" t="str">
        <f>'PartLib Table'!K194</f>
        <v/>
      </c>
      <c r="C192" s="77">
        <f>'PartLib Table'!L194</f>
        <v>0</v>
      </c>
      <c r="D192" s="77">
        <f>'PartLib Table'!M194</f>
        <v>0</v>
      </c>
      <c r="E192" s="77">
        <f>'PartLib Table'!N194</f>
        <v>0</v>
      </c>
      <c r="F192" s="75">
        <f>'PartLib Table'!O194</f>
        <v>0</v>
      </c>
      <c r="G192" s="77">
        <f>'PartLib Table'!P194</f>
        <v>0</v>
      </c>
      <c r="H192" s="77">
        <f>'PartLib Table'!Q194</f>
        <v>0</v>
      </c>
    </row>
    <row r="193" spans="1:8">
      <c r="A193" s="76">
        <f>'PartLib Table'!C195</f>
        <v>0</v>
      </c>
      <c r="B193" s="77" t="str">
        <f>'PartLib Table'!K195</f>
        <v/>
      </c>
      <c r="C193" s="77">
        <f>'PartLib Table'!L195</f>
        <v>0</v>
      </c>
      <c r="D193" s="77">
        <f>'PartLib Table'!M195</f>
        <v>0</v>
      </c>
      <c r="E193" s="77">
        <f>'PartLib Table'!N195</f>
        <v>0</v>
      </c>
      <c r="F193" s="75">
        <f>'PartLib Table'!O195</f>
        <v>0</v>
      </c>
      <c r="G193" s="77">
        <f>'PartLib Table'!P195</f>
        <v>0</v>
      </c>
      <c r="H193" s="77">
        <f>'PartLib Table'!Q195</f>
        <v>0</v>
      </c>
    </row>
    <row r="194" spans="1:8">
      <c r="A194" s="76">
        <f>'PartLib Table'!C196</f>
        <v>0</v>
      </c>
      <c r="B194" s="77" t="str">
        <f>'PartLib Table'!K196</f>
        <v/>
      </c>
      <c r="C194" s="77">
        <f>'PartLib Table'!L196</f>
        <v>0</v>
      </c>
      <c r="D194" s="77">
        <f>'PartLib Table'!M196</f>
        <v>0</v>
      </c>
      <c r="E194" s="77">
        <f>'PartLib Table'!N196</f>
        <v>0</v>
      </c>
      <c r="F194" s="75">
        <f>'PartLib Table'!O196</f>
        <v>0</v>
      </c>
      <c r="G194" s="77">
        <f>'PartLib Table'!P196</f>
        <v>0</v>
      </c>
      <c r="H194" s="77">
        <f>'PartLib Table'!Q196</f>
        <v>0</v>
      </c>
    </row>
    <row r="195" spans="1:8">
      <c r="A195" s="76">
        <f>'PartLib Table'!C197</f>
        <v>0</v>
      </c>
      <c r="B195" s="77" t="str">
        <f>'PartLib Table'!K197</f>
        <v/>
      </c>
      <c r="C195" s="77">
        <f>'PartLib Table'!L197</f>
        <v>0</v>
      </c>
      <c r="D195" s="77">
        <f>'PartLib Table'!M197</f>
        <v>0</v>
      </c>
      <c r="E195" s="77">
        <f>'PartLib Table'!N197</f>
        <v>0</v>
      </c>
      <c r="F195" s="75">
        <f>'PartLib Table'!O197</f>
        <v>0</v>
      </c>
      <c r="G195" s="77">
        <f>'PartLib Table'!P197</f>
        <v>0</v>
      </c>
      <c r="H195" s="77">
        <f>'PartLib Table'!Q197</f>
        <v>0</v>
      </c>
    </row>
    <row r="196" spans="1:8">
      <c r="A196" s="76">
        <f>'PartLib Table'!C198</f>
        <v>0</v>
      </c>
      <c r="B196" s="77" t="str">
        <f>'PartLib Table'!K198</f>
        <v/>
      </c>
      <c r="C196" s="77">
        <f>'PartLib Table'!L198</f>
        <v>0</v>
      </c>
      <c r="D196" s="77">
        <f>'PartLib Table'!M198</f>
        <v>0</v>
      </c>
      <c r="E196" s="77">
        <f>'PartLib Table'!N198</f>
        <v>0</v>
      </c>
      <c r="F196" s="75">
        <f>'PartLib Table'!O198</f>
        <v>0</v>
      </c>
      <c r="G196" s="77">
        <f>'PartLib Table'!P198</f>
        <v>0</v>
      </c>
      <c r="H196" s="77">
        <f>'PartLib Table'!Q198</f>
        <v>0</v>
      </c>
    </row>
    <row r="197" spans="1:8">
      <c r="A197" s="76">
        <f>'PartLib Table'!C199</f>
        <v>0</v>
      </c>
      <c r="B197" s="77" t="str">
        <f>'PartLib Table'!K199</f>
        <v/>
      </c>
      <c r="C197" s="77">
        <f>'PartLib Table'!L199</f>
        <v>0</v>
      </c>
      <c r="D197" s="77">
        <f>'PartLib Table'!M199</f>
        <v>0</v>
      </c>
      <c r="E197" s="77">
        <f>'PartLib Table'!N199</f>
        <v>0</v>
      </c>
      <c r="F197" s="75">
        <f>'PartLib Table'!O199</f>
        <v>0</v>
      </c>
      <c r="G197" s="77">
        <f>'PartLib Table'!P199</f>
        <v>0</v>
      </c>
      <c r="H197" s="77">
        <f>'PartLib Table'!Q199</f>
        <v>0</v>
      </c>
    </row>
    <row r="198" spans="1:8">
      <c r="A198" s="76">
        <f>'PartLib Table'!C200</f>
        <v>0</v>
      </c>
      <c r="B198" s="77" t="str">
        <f>'PartLib Table'!K200</f>
        <v/>
      </c>
      <c r="C198" s="77">
        <f>'PartLib Table'!L200</f>
        <v>0</v>
      </c>
      <c r="D198" s="77">
        <f>'PartLib Table'!M200</f>
        <v>0</v>
      </c>
      <c r="E198" s="77">
        <f>'PartLib Table'!N200</f>
        <v>0</v>
      </c>
      <c r="F198" s="75">
        <f>'PartLib Table'!O200</f>
        <v>0</v>
      </c>
      <c r="G198" s="77">
        <f>'PartLib Table'!P200</f>
        <v>0</v>
      </c>
      <c r="H198" s="77">
        <f>'PartLib Table'!Q200</f>
        <v>0</v>
      </c>
    </row>
    <row r="199" spans="1:8">
      <c r="A199" s="76">
        <f>'PartLib Table'!C201</f>
        <v>0</v>
      </c>
      <c r="B199" s="77" t="str">
        <f>'PartLib Table'!K201</f>
        <v/>
      </c>
      <c r="C199" s="77">
        <f>'PartLib Table'!L201</f>
        <v>0</v>
      </c>
      <c r="D199" s="77">
        <f>'PartLib Table'!M201</f>
        <v>0</v>
      </c>
      <c r="E199" s="77">
        <f>'PartLib Table'!N201</f>
        <v>0</v>
      </c>
      <c r="F199" s="75">
        <f>'PartLib Table'!O201</f>
        <v>0</v>
      </c>
      <c r="G199" s="77">
        <f>'PartLib Table'!P201</f>
        <v>0</v>
      </c>
      <c r="H199" s="77">
        <f>'PartLib Table'!Q201</f>
        <v>0</v>
      </c>
    </row>
    <row r="200" spans="1:8">
      <c r="A200" s="76">
        <f>'PartLib Table'!C202</f>
        <v>0</v>
      </c>
      <c r="B200" s="77" t="str">
        <f>'PartLib Table'!K202</f>
        <v/>
      </c>
      <c r="C200" s="77">
        <f>'PartLib Table'!L202</f>
        <v>0</v>
      </c>
      <c r="D200" s="77">
        <f>'PartLib Table'!M202</f>
        <v>0</v>
      </c>
      <c r="E200" s="77">
        <f>'PartLib Table'!N202</f>
        <v>0</v>
      </c>
      <c r="F200" s="75">
        <f>'PartLib Table'!O202</f>
        <v>0</v>
      </c>
      <c r="G200" s="77">
        <f>'PartLib Table'!P202</f>
        <v>0</v>
      </c>
      <c r="H200" s="77">
        <f>'PartLib Table'!Q202</f>
        <v>0</v>
      </c>
    </row>
    <row r="201" spans="1:8">
      <c r="A201" s="76">
        <f>'PartLib Table'!C203</f>
        <v>0</v>
      </c>
      <c r="B201" s="77" t="str">
        <f>'PartLib Table'!K203</f>
        <v/>
      </c>
      <c r="C201" s="77">
        <f>'PartLib Table'!L203</f>
        <v>0</v>
      </c>
      <c r="D201" s="77">
        <f>'PartLib Table'!M203</f>
        <v>0</v>
      </c>
      <c r="E201" s="77">
        <f>'PartLib Table'!N203</f>
        <v>0</v>
      </c>
      <c r="F201" s="75">
        <f>'PartLib Table'!O203</f>
        <v>0</v>
      </c>
      <c r="G201" s="77">
        <f>'PartLib Table'!P203</f>
        <v>0</v>
      </c>
      <c r="H201" s="77">
        <f>'PartLib Table'!Q203</f>
        <v>0</v>
      </c>
    </row>
    <row r="202" spans="1:8">
      <c r="A202" s="76">
        <f>'PartLib Table'!C204</f>
        <v>0</v>
      </c>
      <c r="B202" s="77" t="str">
        <f>'PartLib Table'!K204</f>
        <v/>
      </c>
      <c r="C202" s="77">
        <f>'PartLib Table'!L204</f>
        <v>0</v>
      </c>
      <c r="D202" s="77">
        <f>'PartLib Table'!M204</f>
        <v>0</v>
      </c>
      <c r="E202" s="77">
        <f>'PartLib Table'!N204</f>
        <v>0</v>
      </c>
      <c r="F202" s="75">
        <f>'PartLib Table'!O204</f>
        <v>0</v>
      </c>
      <c r="G202" s="77">
        <f>'PartLib Table'!P204</f>
        <v>0</v>
      </c>
      <c r="H202" s="77">
        <f>'PartLib Table'!Q204</f>
        <v>0</v>
      </c>
    </row>
    <row r="203" spans="1:8">
      <c r="A203" s="76">
        <f>'PartLib Table'!C205</f>
        <v>0</v>
      </c>
      <c r="B203" s="77" t="str">
        <f>'PartLib Table'!K205</f>
        <v/>
      </c>
      <c r="C203" s="77">
        <f>'PartLib Table'!L205</f>
        <v>0</v>
      </c>
      <c r="D203" s="77">
        <f>'PartLib Table'!M205</f>
        <v>0</v>
      </c>
      <c r="E203" s="77">
        <f>'PartLib Table'!N205</f>
        <v>0</v>
      </c>
      <c r="F203" s="75">
        <f>'PartLib Table'!O205</f>
        <v>0</v>
      </c>
      <c r="G203" s="77">
        <f>'PartLib Table'!P205</f>
        <v>0</v>
      </c>
      <c r="H203" s="77">
        <f>'PartLib Table'!Q205</f>
        <v>0</v>
      </c>
    </row>
    <row r="204" spans="1:8">
      <c r="A204" s="76">
        <f>'PartLib Table'!C206</f>
        <v>0</v>
      </c>
      <c r="B204" s="77" t="str">
        <f>'PartLib Table'!K206</f>
        <v/>
      </c>
      <c r="C204" s="77">
        <f>'PartLib Table'!L206</f>
        <v>0</v>
      </c>
      <c r="D204" s="77">
        <f>'PartLib Table'!M206</f>
        <v>0</v>
      </c>
      <c r="E204" s="77">
        <f>'PartLib Table'!N206</f>
        <v>0</v>
      </c>
      <c r="F204" s="75">
        <f>'PartLib Table'!O206</f>
        <v>0</v>
      </c>
      <c r="G204" s="77">
        <f>'PartLib Table'!P206</f>
        <v>0</v>
      </c>
      <c r="H204" s="77">
        <f>'PartLib Table'!Q206</f>
        <v>0</v>
      </c>
    </row>
    <row r="205" spans="1:8">
      <c r="A205" s="76">
        <f>'PartLib Table'!C207</f>
        <v>0</v>
      </c>
      <c r="B205" s="77" t="str">
        <f>'PartLib Table'!K207</f>
        <v/>
      </c>
      <c r="C205" s="77">
        <f>'PartLib Table'!L207</f>
        <v>0</v>
      </c>
      <c r="D205" s="77">
        <f>'PartLib Table'!M207</f>
        <v>0</v>
      </c>
      <c r="E205" s="77">
        <f>'PartLib Table'!N207</f>
        <v>0</v>
      </c>
      <c r="F205" s="75">
        <f>'PartLib Table'!O207</f>
        <v>0</v>
      </c>
      <c r="G205" s="77">
        <f>'PartLib Table'!P207</f>
        <v>0</v>
      </c>
      <c r="H205" s="77">
        <f>'PartLib Table'!Q207</f>
        <v>0</v>
      </c>
    </row>
    <row r="206" spans="1:8">
      <c r="A206" s="76">
        <f>'PartLib Table'!C208</f>
        <v>0</v>
      </c>
      <c r="B206" s="77" t="str">
        <f>'PartLib Table'!K208</f>
        <v/>
      </c>
      <c r="C206" s="77">
        <f>'PartLib Table'!L208</f>
        <v>0</v>
      </c>
      <c r="D206" s="77">
        <f>'PartLib Table'!M208</f>
        <v>0</v>
      </c>
      <c r="E206" s="77">
        <f>'PartLib Table'!N208</f>
        <v>0</v>
      </c>
      <c r="F206" s="75">
        <f>'PartLib Table'!O208</f>
        <v>0</v>
      </c>
      <c r="G206" s="77">
        <f>'PartLib Table'!P208</f>
        <v>0</v>
      </c>
      <c r="H206" s="77">
        <f>'PartLib Table'!Q208</f>
        <v>0</v>
      </c>
    </row>
    <row r="207" spans="1:8">
      <c r="A207" s="76">
        <f>'PartLib Table'!C209</f>
        <v>0</v>
      </c>
      <c r="B207" s="77" t="str">
        <f>'PartLib Table'!K209</f>
        <v/>
      </c>
      <c r="C207" s="77">
        <f>'PartLib Table'!L209</f>
        <v>0</v>
      </c>
      <c r="D207" s="77">
        <f>'PartLib Table'!M209</f>
        <v>0</v>
      </c>
      <c r="E207" s="77">
        <f>'PartLib Table'!N209</f>
        <v>0</v>
      </c>
      <c r="F207" s="75">
        <f>'PartLib Table'!O209</f>
        <v>0</v>
      </c>
      <c r="G207" s="77">
        <f>'PartLib Table'!P209</f>
        <v>0</v>
      </c>
      <c r="H207" s="77">
        <f>'PartLib Table'!Q209</f>
        <v>0</v>
      </c>
    </row>
    <row r="208" spans="1:8">
      <c r="A208" s="76">
        <f>'PartLib Table'!C210</f>
        <v>0</v>
      </c>
      <c r="B208" s="77" t="str">
        <f>'PartLib Table'!K210</f>
        <v/>
      </c>
      <c r="C208" s="77">
        <f>'PartLib Table'!L210</f>
        <v>0</v>
      </c>
      <c r="D208" s="77">
        <f>'PartLib Table'!M210</f>
        <v>0</v>
      </c>
      <c r="E208" s="77">
        <f>'PartLib Table'!N210</f>
        <v>0</v>
      </c>
      <c r="F208" s="75">
        <f>'PartLib Table'!O210</f>
        <v>0</v>
      </c>
      <c r="G208" s="77">
        <f>'PartLib Table'!P210</f>
        <v>0</v>
      </c>
      <c r="H208" s="77">
        <f>'PartLib Table'!Q210</f>
        <v>0</v>
      </c>
    </row>
    <row r="209" spans="1:8">
      <c r="A209" s="76">
        <f>'PartLib Table'!C211</f>
        <v>0</v>
      </c>
      <c r="B209" s="77" t="str">
        <f>'PartLib Table'!K211</f>
        <v/>
      </c>
      <c r="C209" s="77">
        <f>'PartLib Table'!L211</f>
        <v>0</v>
      </c>
      <c r="D209" s="77">
        <f>'PartLib Table'!M211</f>
        <v>0</v>
      </c>
      <c r="E209" s="77">
        <f>'PartLib Table'!N211</f>
        <v>0</v>
      </c>
      <c r="F209" s="75">
        <f>'PartLib Table'!O211</f>
        <v>0</v>
      </c>
      <c r="G209" s="77">
        <f>'PartLib Table'!P211</f>
        <v>0</v>
      </c>
      <c r="H209" s="77">
        <f>'PartLib Table'!Q211</f>
        <v>0</v>
      </c>
    </row>
    <row r="210" spans="1:8">
      <c r="A210" s="76">
        <f>'PartLib Table'!C212</f>
        <v>0</v>
      </c>
      <c r="B210" s="77" t="str">
        <f>'PartLib Table'!K212</f>
        <v/>
      </c>
      <c r="C210" s="77">
        <f>'PartLib Table'!L212</f>
        <v>0</v>
      </c>
      <c r="D210" s="77">
        <f>'PartLib Table'!M212</f>
        <v>0</v>
      </c>
      <c r="E210" s="77">
        <f>'PartLib Table'!N212</f>
        <v>0</v>
      </c>
      <c r="F210" s="75">
        <f>'PartLib Table'!O212</f>
        <v>0</v>
      </c>
      <c r="G210" s="77">
        <f>'PartLib Table'!P212</f>
        <v>0</v>
      </c>
      <c r="H210" s="77">
        <f>'PartLib Table'!Q212</f>
        <v>0</v>
      </c>
    </row>
    <row r="211" spans="1:8">
      <c r="A211" s="76">
        <f>'PartLib Table'!C213</f>
        <v>0</v>
      </c>
      <c r="B211" s="77" t="str">
        <f>'PartLib Table'!K213</f>
        <v/>
      </c>
      <c r="C211" s="77">
        <f>'PartLib Table'!L213</f>
        <v>0</v>
      </c>
      <c r="D211" s="77">
        <f>'PartLib Table'!M213</f>
        <v>0</v>
      </c>
      <c r="E211" s="77">
        <f>'PartLib Table'!N213</f>
        <v>0</v>
      </c>
      <c r="F211" s="75">
        <f>'PartLib Table'!O213</f>
        <v>0</v>
      </c>
      <c r="G211" s="77">
        <f>'PartLib Table'!P213</f>
        <v>0</v>
      </c>
      <c r="H211" s="77">
        <f>'PartLib Table'!Q213</f>
        <v>0</v>
      </c>
    </row>
    <row r="212" spans="1:8">
      <c r="A212" s="76">
        <f>'PartLib Table'!C214</f>
        <v>0</v>
      </c>
      <c r="B212" s="77" t="str">
        <f>'PartLib Table'!K214</f>
        <v/>
      </c>
      <c r="C212" s="77">
        <f>'PartLib Table'!L214</f>
        <v>0</v>
      </c>
      <c r="D212" s="77">
        <f>'PartLib Table'!M214</f>
        <v>0</v>
      </c>
      <c r="E212" s="77">
        <f>'PartLib Table'!N214</f>
        <v>0</v>
      </c>
      <c r="F212" s="75">
        <f>'PartLib Table'!O214</f>
        <v>0</v>
      </c>
      <c r="G212" s="77">
        <f>'PartLib Table'!P214</f>
        <v>0</v>
      </c>
      <c r="H212" s="77">
        <f>'PartLib Table'!Q214</f>
        <v>0</v>
      </c>
    </row>
    <row r="213" spans="1:8">
      <c r="A213" s="76">
        <f>'PartLib Table'!C215</f>
        <v>0</v>
      </c>
      <c r="B213" s="77" t="str">
        <f>'PartLib Table'!K215</f>
        <v/>
      </c>
      <c r="C213" s="77">
        <f>'PartLib Table'!L215</f>
        <v>0</v>
      </c>
      <c r="D213" s="77">
        <f>'PartLib Table'!M215</f>
        <v>0</v>
      </c>
      <c r="E213" s="77">
        <f>'PartLib Table'!N215</f>
        <v>0</v>
      </c>
      <c r="F213" s="75">
        <f>'PartLib Table'!O215</f>
        <v>0</v>
      </c>
      <c r="G213" s="77">
        <f>'PartLib Table'!P215</f>
        <v>0</v>
      </c>
      <c r="H213" s="77">
        <f>'PartLib Table'!Q215</f>
        <v>0</v>
      </c>
    </row>
    <row r="214" spans="1:8">
      <c r="A214" s="76">
        <f>'PartLib Table'!C216</f>
        <v>0</v>
      </c>
      <c r="B214" s="77" t="str">
        <f>'PartLib Table'!K216</f>
        <v/>
      </c>
      <c r="C214" s="77">
        <f>'PartLib Table'!L216</f>
        <v>0</v>
      </c>
      <c r="D214" s="77">
        <f>'PartLib Table'!M216</f>
        <v>0</v>
      </c>
      <c r="E214" s="77">
        <f>'PartLib Table'!N216</f>
        <v>0</v>
      </c>
      <c r="F214" s="75">
        <f>'PartLib Table'!O216</f>
        <v>0</v>
      </c>
      <c r="G214" s="77">
        <f>'PartLib Table'!P216</f>
        <v>0</v>
      </c>
      <c r="H214" s="77">
        <f>'PartLib Table'!Q216</f>
        <v>0</v>
      </c>
    </row>
    <row r="215" spans="1:8">
      <c r="A215" s="76">
        <f>'PartLib Table'!C217</f>
        <v>0</v>
      </c>
      <c r="B215" s="77" t="str">
        <f>'PartLib Table'!K217</f>
        <v/>
      </c>
      <c r="C215" s="77">
        <f>'PartLib Table'!L217</f>
        <v>0</v>
      </c>
      <c r="D215" s="77">
        <f>'PartLib Table'!M217</f>
        <v>0</v>
      </c>
      <c r="E215" s="77">
        <f>'PartLib Table'!N217</f>
        <v>0</v>
      </c>
      <c r="F215" s="75">
        <f>'PartLib Table'!O217</f>
        <v>0</v>
      </c>
      <c r="G215" s="77">
        <f>'PartLib Table'!P217</f>
        <v>0</v>
      </c>
      <c r="H215" s="77">
        <f>'PartLib Table'!Q217</f>
        <v>0</v>
      </c>
    </row>
    <row r="216" spans="1:8">
      <c r="A216" s="76">
        <f>'PartLib Table'!C218</f>
        <v>0</v>
      </c>
      <c r="B216" s="77" t="str">
        <f>'PartLib Table'!K218</f>
        <v/>
      </c>
      <c r="C216" s="77">
        <f>'PartLib Table'!L218</f>
        <v>0</v>
      </c>
      <c r="D216" s="77">
        <f>'PartLib Table'!M218</f>
        <v>0</v>
      </c>
      <c r="E216" s="77">
        <f>'PartLib Table'!N218</f>
        <v>0</v>
      </c>
      <c r="F216" s="75">
        <f>'PartLib Table'!O218</f>
        <v>0</v>
      </c>
      <c r="G216" s="77">
        <f>'PartLib Table'!P218</f>
        <v>0</v>
      </c>
      <c r="H216" s="77">
        <f>'PartLib Table'!Q218</f>
        <v>0</v>
      </c>
    </row>
    <row r="217" spans="1:8">
      <c r="A217" s="76">
        <f>'PartLib Table'!C219</f>
        <v>0</v>
      </c>
      <c r="B217" s="77" t="str">
        <f>'PartLib Table'!K219</f>
        <v/>
      </c>
      <c r="C217" s="77">
        <f>'PartLib Table'!L219</f>
        <v>0</v>
      </c>
      <c r="D217" s="77">
        <f>'PartLib Table'!M219</f>
        <v>0</v>
      </c>
      <c r="E217" s="77">
        <f>'PartLib Table'!N219</f>
        <v>0</v>
      </c>
      <c r="F217" s="75">
        <f>'PartLib Table'!O219</f>
        <v>0</v>
      </c>
      <c r="G217" s="77">
        <f>'PartLib Table'!P219</f>
        <v>0</v>
      </c>
      <c r="H217" s="77">
        <f>'PartLib Table'!Q219</f>
        <v>0</v>
      </c>
    </row>
    <row r="218" spans="1:8">
      <c r="A218" s="76">
        <f>'PartLib Table'!C220</f>
        <v>0</v>
      </c>
      <c r="B218" s="77" t="str">
        <f>'PartLib Table'!K220</f>
        <v/>
      </c>
      <c r="C218" s="77">
        <f>'PartLib Table'!L220</f>
        <v>0</v>
      </c>
      <c r="D218" s="77">
        <f>'PartLib Table'!M220</f>
        <v>0</v>
      </c>
      <c r="E218" s="77">
        <f>'PartLib Table'!N220</f>
        <v>0</v>
      </c>
      <c r="F218" s="75">
        <f>'PartLib Table'!O220</f>
        <v>0</v>
      </c>
      <c r="G218" s="77">
        <f>'PartLib Table'!P220</f>
        <v>0</v>
      </c>
      <c r="H218" s="77">
        <f>'PartLib Table'!Q220</f>
        <v>0</v>
      </c>
    </row>
    <row r="219" spans="1:8">
      <c r="A219" s="76">
        <f>'PartLib Table'!C221</f>
        <v>0</v>
      </c>
      <c r="B219" s="77" t="str">
        <f>'PartLib Table'!K221</f>
        <v/>
      </c>
      <c r="C219" s="77">
        <f>'PartLib Table'!L221</f>
        <v>0</v>
      </c>
      <c r="D219" s="77">
        <f>'PartLib Table'!M221</f>
        <v>0</v>
      </c>
      <c r="E219" s="77">
        <f>'PartLib Table'!N221</f>
        <v>0</v>
      </c>
      <c r="F219" s="75">
        <f>'PartLib Table'!O221</f>
        <v>0</v>
      </c>
      <c r="G219" s="77">
        <f>'PartLib Table'!P221</f>
        <v>0</v>
      </c>
      <c r="H219" s="77">
        <f>'PartLib Table'!Q221</f>
        <v>0</v>
      </c>
    </row>
    <row r="220" spans="1:8">
      <c r="A220" s="76">
        <f>'PartLib Table'!C222</f>
        <v>0</v>
      </c>
      <c r="B220" s="77" t="str">
        <f>'PartLib Table'!K222</f>
        <v/>
      </c>
      <c r="C220" s="77">
        <f>'PartLib Table'!L222</f>
        <v>0</v>
      </c>
      <c r="D220" s="77">
        <f>'PartLib Table'!M222</f>
        <v>0</v>
      </c>
      <c r="E220" s="77">
        <f>'PartLib Table'!N222</f>
        <v>0</v>
      </c>
      <c r="F220" s="75">
        <f>'PartLib Table'!O222</f>
        <v>0</v>
      </c>
      <c r="G220" s="77">
        <f>'PartLib Table'!P222</f>
        <v>0</v>
      </c>
      <c r="H220" s="77">
        <f>'PartLib Table'!Q222</f>
        <v>0</v>
      </c>
    </row>
    <row r="221" spans="1:8">
      <c r="A221" s="76">
        <f>'PartLib Table'!C223</f>
        <v>0</v>
      </c>
      <c r="B221" s="77" t="str">
        <f>'PartLib Table'!K223</f>
        <v/>
      </c>
      <c r="C221" s="77">
        <f>'PartLib Table'!L223</f>
        <v>0</v>
      </c>
      <c r="D221" s="77">
        <f>'PartLib Table'!M223</f>
        <v>0</v>
      </c>
      <c r="E221" s="77">
        <f>'PartLib Table'!N223</f>
        <v>0</v>
      </c>
      <c r="F221" s="75">
        <f>'PartLib Table'!O223</f>
        <v>0</v>
      </c>
      <c r="G221" s="77">
        <f>'PartLib Table'!P223</f>
        <v>0</v>
      </c>
      <c r="H221" s="77">
        <f>'PartLib Table'!Q223</f>
        <v>0</v>
      </c>
    </row>
    <row r="222" spans="1:8">
      <c r="A222" s="76">
        <f>'PartLib Table'!C224</f>
        <v>0</v>
      </c>
      <c r="B222" s="77" t="str">
        <f>'PartLib Table'!K224</f>
        <v/>
      </c>
      <c r="C222" s="77">
        <f>'PartLib Table'!L224</f>
        <v>0</v>
      </c>
      <c r="D222" s="77">
        <f>'PartLib Table'!M224</f>
        <v>0</v>
      </c>
      <c r="E222" s="77">
        <f>'PartLib Table'!N224</f>
        <v>0</v>
      </c>
      <c r="F222" s="75">
        <f>'PartLib Table'!O224</f>
        <v>0</v>
      </c>
      <c r="G222" s="77">
        <f>'PartLib Table'!P224</f>
        <v>0</v>
      </c>
      <c r="H222" s="77">
        <f>'PartLib Table'!Q224</f>
        <v>0</v>
      </c>
    </row>
    <row r="223" spans="1:8">
      <c r="A223" s="76">
        <f>'PartLib Table'!C225</f>
        <v>0</v>
      </c>
      <c r="B223" s="77" t="str">
        <f>'PartLib Table'!K225</f>
        <v/>
      </c>
      <c r="C223" s="77">
        <f>'PartLib Table'!L225</f>
        <v>0</v>
      </c>
      <c r="D223" s="77">
        <f>'PartLib Table'!M225</f>
        <v>0</v>
      </c>
      <c r="E223" s="77">
        <f>'PartLib Table'!N225</f>
        <v>0</v>
      </c>
      <c r="F223" s="75">
        <f>'PartLib Table'!O225</f>
        <v>0</v>
      </c>
      <c r="G223" s="77">
        <f>'PartLib Table'!P225</f>
        <v>0</v>
      </c>
      <c r="H223" s="77">
        <f>'PartLib Table'!Q225</f>
        <v>0</v>
      </c>
    </row>
    <row r="224" spans="1:8">
      <c r="A224" s="76">
        <f>'PartLib Table'!C226</f>
        <v>0</v>
      </c>
      <c r="B224" s="77" t="str">
        <f>'PartLib Table'!K226</f>
        <v/>
      </c>
      <c r="C224" s="77">
        <f>'PartLib Table'!L226</f>
        <v>0</v>
      </c>
      <c r="D224" s="77">
        <f>'PartLib Table'!M226</f>
        <v>0</v>
      </c>
      <c r="E224" s="77">
        <f>'PartLib Table'!N226</f>
        <v>0</v>
      </c>
      <c r="F224" s="75">
        <f>'PartLib Table'!O226</f>
        <v>0</v>
      </c>
      <c r="G224" s="77">
        <f>'PartLib Table'!P226</f>
        <v>0</v>
      </c>
      <c r="H224" s="77">
        <f>'PartLib Table'!Q226</f>
        <v>0</v>
      </c>
    </row>
    <row r="225" spans="1:8">
      <c r="A225" s="76">
        <f>'PartLib Table'!C227</f>
        <v>0</v>
      </c>
      <c r="B225" s="77" t="str">
        <f>'PartLib Table'!K227</f>
        <v/>
      </c>
      <c r="C225" s="77">
        <f>'PartLib Table'!L227</f>
        <v>0</v>
      </c>
      <c r="D225" s="77">
        <f>'PartLib Table'!M227</f>
        <v>0</v>
      </c>
      <c r="E225" s="77">
        <f>'PartLib Table'!N227</f>
        <v>0</v>
      </c>
      <c r="F225" s="75">
        <f>'PartLib Table'!O227</f>
        <v>0</v>
      </c>
      <c r="G225" s="77">
        <f>'PartLib Table'!P227</f>
        <v>0</v>
      </c>
      <c r="H225" s="77">
        <f>'PartLib Table'!Q227</f>
        <v>0</v>
      </c>
    </row>
    <row r="226" spans="1:8">
      <c r="A226" s="76">
        <f>'PartLib Table'!C228</f>
        <v>0</v>
      </c>
      <c r="B226" s="77" t="str">
        <f>'PartLib Table'!K228</f>
        <v/>
      </c>
      <c r="C226" s="77">
        <f>'PartLib Table'!L228</f>
        <v>0</v>
      </c>
      <c r="D226" s="77">
        <f>'PartLib Table'!M228</f>
        <v>0</v>
      </c>
      <c r="E226" s="77">
        <f>'PartLib Table'!N228</f>
        <v>0</v>
      </c>
      <c r="F226" s="75">
        <f>'PartLib Table'!O228</f>
        <v>0</v>
      </c>
      <c r="G226" s="77">
        <f>'PartLib Table'!P228</f>
        <v>0</v>
      </c>
      <c r="H226" s="77">
        <f>'PartLib Table'!Q228</f>
        <v>0</v>
      </c>
    </row>
    <row r="227" spans="1:8">
      <c r="A227" s="76">
        <f>'PartLib Table'!C229</f>
        <v>0</v>
      </c>
      <c r="B227" s="77" t="str">
        <f>'PartLib Table'!K229</f>
        <v/>
      </c>
      <c r="C227" s="77">
        <f>'PartLib Table'!L229</f>
        <v>0</v>
      </c>
      <c r="D227" s="77">
        <f>'PartLib Table'!M229</f>
        <v>0</v>
      </c>
      <c r="E227" s="77">
        <f>'PartLib Table'!N229</f>
        <v>0</v>
      </c>
      <c r="F227" s="75">
        <f>'PartLib Table'!O229</f>
        <v>0</v>
      </c>
      <c r="G227" s="77">
        <f>'PartLib Table'!P229</f>
        <v>0</v>
      </c>
      <c r="H227" s="77">
        <f>'PartLib Table'!Q229</f>
        <v>0</v>
      </c>
    </row>
    <row r="228" spans="1:8">
      <c r="A228" s="76">
        <f>'PartLib Table'!C230</f>
        <v>0</v>
      </c>
      <c r="B228" s="77" t="str">
        <f>'PartLib Table'!K230</f>
        <v/>
      </c>
      <c r="C228" s="77">
        <f>'PartLib Table'!L230</f>
        <v>0</v>
      </c>
      <c r="D228" s="77">
        <f>'PartLib Table'!M230</f>
        <v>0</v>
      </c>
      <c r="E228" s="77">
        <f>'PartLib Table'!N230</f>
        <v>0</v>
      </c>
      <c r="F228" s="75">
        <f>'PartLib Table'!O230</f>
        <v>0</v>
      </c>
      <c r="G228" s="77">
        <f>'PartLib Table'!P230</f>
        <v>0</v>
      </c>
      <c r="H228" s="77">
        <f>'PartLib Table'!Q230</f>
        <v>0</v>
      </c>
    </row>
    <row r="229" spans="1:8">
      <c r="A229" s="76">
        <f>'PartLib Table'!C231</f>
        <v>0</v>
      </c>
      <c r="B229" s="77" t="str">
        <f>'PartLib Table'!K231</f>
        <v/>
      </c>
      <c r="C229" s="77">
        <f>'PartLib Table'!L231</f>
        <v>0</v>
      </c>
      <c r="D229" s="77">
        <f>'PartLib Table'!M231</f>
        <v>0</v>
      </c>
      <c r="E229" s="77">
        <f>'PartLib Table'!N231</f>
        <v>0</v>
      </c>
      <c r="F229" s="75">
        <f>'PartLib Table'!O231</f>
        <v>0</v>
      </c>
      <c r="G229" s="77">
        <f>'PartLib Table'!P231</f>
        <v>0</v>
      </c>
      <c r="H229" s="77">
        <f>'PartLib Table'!Q231</f>
        <v>0</v>
      </c>
    </row>
    <row r="230" spans="1:8">
      <c r="A230" s="76">
        <f>'PartLib Table'!C232</f>
        <v>0</v>
      </c>
      <c r="B230" s="77" t="str">
        <f>'PartLib Table'!K232</f>
        <v/>
      </c>
      <c r="C230" s="77">
        <f>'PartLib Table'!L232</f>
        <v>0</v>
      </c>
      <c r="D230" s="77">
        <f>'PartLib Table'!M232</f>
        <v>0</v>
      </c>
      <c r="E230" s="77">
        <f>'PartLib Table'!N232</f>
        <v>0</v>
      </c>
      <c r="F230" s="75">
        <f>'PartLib Table'!O232</f>
        <v>0</v>
      </c>
      <c r="G230" s="77">
        <f>'PartLib Table'!P232</f>
        <v>0</v>
      </c>
      <c r="H230" s="77">
        <f>'PartLib Table'!Q232</f>
        <v>0</v>
      </c>
    </row>
    <row r="231" spans="1:8">
      <c r="A231" s="76">
        <f>'PartLib Table'!C233</f>
        <v>0</v>
      </c>
      <c r="B231" s="77" t="str">
        <f>'PartLib Table'!K233</f>
        <v/>
      </c>
      <c r="C231" s="77">
        <f>'PartLib Table'!L233</f>
        <v>0</v>
      </c>
      <c r="D231" s="77">
        <f>'PartLib Table'!M233</f>
        <v>0</v>
      </c>
      <c r="E231" s="77">
        <f>'PartLib Table'!N233</f>
        <v>0</v>
      </c>
      <c r="F231" s="75">
        <f>'PartLib Table'!O233</f>
        <v>0</v>
      </c>
      <c r="G231" s="77">
        <f>'PartLib Table'!P233</f>
        <v>0</v>
      </c>
      <c r="H231" s="77">
        <f>'PartLib Table'!Q233</f>
        <v>0</v>
      </c>
    </row>
    <row r="232" spans="1:8">
      <c r="A232" s="76">
        <f>'PartLib Table'!C234</f>
        <v>0</v>
      </c>
      <c r="B232" s="77" t="str">
        <f>'PartLib Table'!K234</f>
        <v/>
      </c>
      <c r="C232" s="77">
        <f>'PartLib Table'!L234</f>
        <v>0</v>
      </c>
      <c r="D232" s="77">
        <f>'PartLib Table'!M234</f>
        <v>0</v>
      </c>
      <c r="E232" s="77">
        <f>'PartLib Table'!N234</f>
        <v>0</v>
      </c>
      <c r="F232" s="75">
        <f>'PartLib Table'!O234</f>
        <v>0</v>
      </c>
      <c r="G232" s="77">
        <f>'PartLib Table'!P234</f>
        <v>0</v>
      </c>
      <c r="H232" s="77">
        <f>'PartLib Table'!Q234</f>
        <v>0</v>
      </c>
    </row>
    <row r="233" spans="1:8">
      <c r="A233" s="76">
        <f>'PartLib Table'!C235</f>
        <v>0</v>
      </c>
      <c r="B233" s="77" t="str">
        <f>'PartLib Table'!K235</f>
        <v/>
      </c>
      <c r="C233" s="77">
        <f>'PartLib Table'!L235</f>
        <v>0</v>
      </c>
      <c r="D233" s="77">
        <f>'PartLib Table'!M235</f>
        <v>0</v>
      </c>
      <c r="E233" s="77">
        <f>'PartLib Table'!N235</f>
        <v>0</v>
      </c>
      <c r="F233" s="75">
        <f>'PartLib Table'!O235</f>
        <v>0</v>
      </c>
      <c r="G233" s="77">
        <f>'PartLib Table'!P235</f>
        <v>0</v>
      </c>
      <c r="H233" s="77">
        <f>'PartLib Table'!Q235</f>
        <v>0</v>
      </c>
    </row>
    <row r="234" spans="1:8">
      <c r="A234" s="76">
        <f>'PartLib Table'!C236</f>
        <v>0</v>
      </c>
      <c r="B234" s="77" t="str">
        <f>'PartLib Table'!K236</f>
        <v/>
      </c>
      <c r="C234" s="77">
        <f>'PartLib Table'!L236</f>
        <v>0</v>
      </c>
      <c r="D234" s="77">
        <f>'PartLib Table'!M236</f>
        <v>0</v>
      </c>
      <c r="E234" s="77">
        <f>'PartLib Table'!N236</f>
        <v>0</v>
      </c>
      <c r="F234" s="75">
        <f>'PartLib Table'!O236</f>
        <v>0</v>
      </c>
      <c r="G234" s="77">
        <f>'PartLib Table'!P236</f>
        <v>0</v>
      </c>
      <c r="H234" s="77">
        <f>'PartLib Table'!Q236</f>
        <v>0</v>
      </c>
    </row>
    <row r="235" spans="1:8">
      <c r="A235" s="76">
        <f>'PartLib Table'!C237</f>
        <v>0</v>
      </c>
      <c r="B235" s="77" t="str">
        <f>'PartLib Table'!K237</f>
        <v/>
      </c>
      <c r="C235" s="77">
        <f>'PartLib Table'!L237</f>
        <v>0</v>
      </c>
      <c r="D235" s="77">
        <f>'PartLib Table'!M237</f>
        <v>0</v>
      </c>
      <c r="E235" s="77">
        <f>'PartLib Table'!N237</f>
        <v>0</v>
      </c>
      <c r="F235" s="75">
        <f>'PartLib Table'!O237</f>
        <v>0</v>
      </c>
      <c r="G235" s="77">
        <f>'PartLib Table'!P237</f>
        <v>0</v>
      </c>
      <c r="H235" s="77">
        <f>'PartLib Table'!Q237</f>
        <v>0</v>
      </c>
    </row>
    <row r="236" spans="1:8">
      <c r="A236" s="76">
        <f>'PartLib Table'!C238</f>
        <v>0</v>
      </c>
      <c r="B236" s="77" t="str">
        <f>'PartLib Table'!K238</f>
        <v/>
      </c>
      <c r="C236" s="77">
        <f>'PartLib Table'!L238</f>
        <v>0</v>
      </c>
      <c r="D236" s="77">
        <f>'PartLib Table'!M238</f>
        <v>0</v>
      </c>
      <c r="E236" s="77">
        <f>'PartLib Table'!N238</f>
        <v>0</v>
      </c>
      <c r="F236" s="75">
        <f>'PartLib Table'!O238</f>
        <v>0</v>
      </c>
      <c r="G236" s="77">
        <f>'PartLib Table'!P238</f>
        <v>0</v>
      </c>
      <c r="H236" s="77">
        <f>'PartLib Table'!Q238</f>
        <v>0</v>
      </c>
    </row>
    <row r="237" spans="1:8">
      <c r="A237" s="76">
        <f>'PartLib Table'!C239</f>
        <v>0</v>
      </c>
      <c r="B237" s="77" t="str">
        <f>'PartLib Table'!K239</f>
        <v/>
      </c>
      <c r="C237" s="77">
        <f>'PartLib Table'!L239</f>
        <v>0</v>
      </c>
      <c r="D237" s="77">
        <f>'PartLib Table'!M239</f>
        <v>0</v>
      </c>
      <c r="E237" s="77">
        <f>'PartLib Table'!N239</f>
        <v>0</v>
      </c>
      <c r="F237" s="75">
        <f>'PartLib Table'!O239</f>
        <v>0</v>
      </c>
      <c r="G237" s="77">
        <f>'PartLib Table'!P239</f>
        <v>0</v>
      </c>
      <c r="H237" s="77">
        <f>'PartLib Table'!Q239</f>
        <v>0</v>
      </c>
    </row>
    <row r="238" spans="1:8">
      <c r="A238" s="76">
        <f>'PartLib Table'!C240</f>
        <v>0</v>
      </c>
      <c r="B238" s="77" t="str">
        <f>'PartLib Table'!K240</f>
        <v/>
      </c>
      <c r="C238" s="77">
        <f>'PartLib Table'!L240</f>
        <v>0</v>
      </c>
      <c r="D238" s="77">
        <f>'PartLib Table'!M240</f>
        <v>0</v>
      </c>
      <c r="E238" s="77">
        <f>'PartLib Table'!N240</f>
        <v>0</v>
      </c>
      <c r="F238" s="75">
        <f>'PartLib Table'!O240</f>
        <v>0</v>
      </c>
      <c r="G238" s="77">
        <f>'PartLib Table'!P240</f>
        <v>0</v>
      </c>
      <c r="H238" s="77">
        <f>'PartLib Table'!Q240</f>
        <v>0</v>
      </c>
    </row>
    <row r="239" spans="1:8">
      <c r="A239" s="76">
        <f>'PartLib Table'!C241</f>
        <v>0</v>
      </c>
      <c r="B239" s="77" t="str">
        <f>'PartLib Table'!K241</f>
        <v/>
      </c>
      <c r="C239" s="77">
        <f>'PartLib Table'!L241</f>
        <v>0</v>
      </c>
      <c r="D239" s="77">
        <f>'PartLib Table'!M241</f>
        <v>0</v>
      </c>
      <c r="E239" s="77">
        <f>'PartLib Table'!N241</f>
        <v>0</v>
      </c>
      <c r="F239" s="75">
        <f>'PartLib Table'!O241</f>
        <v>0</v>
      </c>
      <c r="G239" s="77">
        <f>'PartLib Table'!P241</f>
        <v>0</v>
      </c>
      <c r="H239" s="77">
        <f>'PartLib Table'!Q241</f>
        <v>0</v>
      </c>
    </row>
    <row r="240" spans="1:8">
      <c r="A240" s="76">
        <f>'PartLib Table'!C242</f>
        <v>0</v>
      </c>
      <c r="B240" s="77" t="str">
        <f>'PartLib Table'!K242</f>
        <v/>
      </c>
      <c r="C240" s="77">
        <f>'PartLib Table'!L242</f>
        <v>0</v>
      </c>
      <c r="D240" s="77">
        <f>'PartLib Table'!M242</f>
        <v>0</v>
      </c>
      <c r="E240" s="77">
        <f>'PartLib Table'!N242</f>
        <v>0</v>
      </c>
      <c r="F240" s="75">
        <f>'PartLib Table'!O242</f>
        <v>0</v>
      </c>
      <c r="G240" s="77">
        <f>'PartLib Table'!P242</f>
        <v>0</v>
      </c>
      <c r="H240" s="77">
        <f>'PartLib Table'!Q242</f>
        <v>0</v>
      </c>
    </row>
    <row r="241" spans="1:8">
      <c r="A241" s="76">
        <f>'PartLib Table'!C243</f>
        <v>0</v>
      </c>
      <c r="B241" s="77" t="str">
        <f>'PartLib Table'!K243</f>
        <v/>
      </c>
      <c r="C241" s="77">
        <f>'PartLib Table'!L243</f>
        <v>0</v>
      </c>
      <c r="D241" s="77">
        <f>'PartLib Table'!M243</f>
        <v>0</v>
      </c>
      <c r="E241" s="77">
        <f>'PartLib Table'!N243</f>
        <v>0</v>
      </c>
      <c r="F241" s="75">
        <f>'PartLib Table'!O243</f>
        <v>0</v>
      </c>
      <c r="G241" s="77">
        <f>'PartLib Table'!P243</f>
        <v>0</v>
      </c>
      <c r="H241" s="77">
        <f>'PartLib Table'!Q243</f>
        <v>0</v>
      </c>
    </row>
    <row r="242" spans="1:8">
      <c r="A242" s="76">
        <f>'PartLib Table'!C244</f>
        <v>0</v>
      </c>
      <c r="B242" s="77" t="str">
        <f>'PartLib Table'!K244</f>
        <v/>
      </c>
      <c r="C242" s="77">
        <f>'PartLib Table'!L244</f>
        <v>0</v>
      </c>
      <c r="D242" s="77">
        <f>'PartLib Table'!M244</f>
        <v>0</v>
      </c>
      <c r="E242" s="77">
        <f>'PartLib Table'!N244</f>
        <v>0</v>
      </c>
      <c r="F242" s="75">
        <f>'PartLib Table'!O244</f>
        <v>0</v>
      </c>
      <c r="G242" s="77">
        <f>'PartLib Table'!P244</f>
        <v>0</v>
      </c>
      <c r="H242" s="77">
        <f>'PartLib Table'!Q244</f>
        <v>0</v>
      </c>
    </row>
    <row r="243" spans="1:8">
      <c r="A243" s="76">
        <f>'PartLib Table'!C245</f>
        <v>0</v>
      </c>
      <c r="B243" s="77" t="str">
        <f>'PartLib Table'!K245</f>
        <v/>
      </c>
      <c r="C243" s="77">
        <f>'PartLib Table'!L245</f>
        <v>0</v>
      </c>
      <c r="D243" s="77">
        <f>'PartLib Table'!M245</f>
        <v>0</v>
      </c>
      <c r="E243" s="77">
        <f>'PartLib Table'!N245</f>
        <v>0</v>
      </c>
      <c r="F243" s="75">
        <f>'PartLib Table'!O245</f>
        <v>0</v>
      </c>
      <c r="G243" s="77">
        <f>'PartLib Table'!P245</f>
        <v>0</v>
      </c>
      <c r="H243" s="77">
        <f>'PartLib Table'!Q245</f>
        <v>0</v>
      </c>
    </row>
    <row r="244" spans="1:8">
      <c r="A244" s="76">
        <f>'PartLib Table'!C246</f>
        <v>0</v>
      </c>
      <c r="B244" s="77" t="str">
        <f>'PartLib Table'!K246</f>
        <v/>
      </c>
      <c r="C244" s="77">
        <f>'PartLib Table'!L246</f>
        <v>0</v>
      </c>
      <c r="D244" s="77">
        <f>'PartLib Table'!M246</f>
        <v>0</v>
      </c>
      <c r="E244" s="77">
        <f>'PartLib Table'!N246</f>
        <v>0</v>
      </c>
      <c r="F244" s="75">
        <f>'PartLib Table'!O246</f>
        <v>0</v>
      </c>
      <c r="G244" s="77">
        <f>'PartLib Table'!P246</f>
        <v>0</v>
      </c>
      <c r="H244" s="77">
        <f>'PartLib Table'!Q246</f>
        <v>0</v>
      </c>
    </row>
    <row r="245" spans="1:8">
      <c r="A245" s="76">
        <f>'PartLib Table'!C247</f>
        <v>0</v>
      </c>
      <c r="B245" s="77" t="str">
        <f>'PartLib Table'!K247</f>
        <v/>
      </c>
      <c r="C245" s="77">
        <f>'PartLib Table'!L247</f>
        <v>0</v>
      </c>
      <c r="D245" s="77">
        <f>'PartLib Table'!M247</f>
        <v>0</v>
      </c>
      <c r="E245" s="77">
        <f>'PartLib Table'!N247</f>
        <v>0</v>
      </c>
      <c r="F245" s="75">
        <f>'PartLib Table'!O247</f>
        <v>0</v>
      </c>
      <c r="G245" s="77">
        <f>'PartLib Table'!P247</f>
        <v>0</v>
      </c>
      <c r="H245" s="77">
        <f>'PartLib Table'!Q247</f>
        <v>0</v>
      </c>
    </row>
    <row r="246" spans="1:8">
      <c r="A246" s="76">
        <f>'PartLib Table'!C248</f>
        <v>0</v>
      </c>
      <c r="B246" s="77" t="str">
        <f>'PartLib Table'!K248</f>
        <v/>
      </c>
      <c r="C246" s="77">
        <f>'PartLib Table'!L248</f>
        <v>0</v>
      </c>
      <c r="D246" s="77">
        <f>'PartLib Table'!M248</f>
        <v>0</v>
      </c>
      <c r="E246" s="77">
        <f>'PartLib Table'!N248</f>
        <v>0</v>
      </c>
      <c r="F246" s="75">
        <f>'PartLib Table'!O248</f>
        <v>0</v>
      </c>
      <c r="G246" s="77">
        <f>'PartLib Table'!P248</f>
        <v>0</v>
      </c>
      <c r="H246" s="77">
        <f>'PartLib Table'!Q248</f>
        <v>0</v>
      </c>
    </row>
    <row r="247" spans="1:8">
      <c r="A247" s="76">
        <f>'PartLib Table'!C249</f>
        <v>0</v>
      </c>
      <c r="B247" s="77" t="str">
        <f>'PartLib Table'!K249</f>
        <v/>
      </c>
      <c r="C247" s="77">
        <f>'PartLib Table'!L249</f>
        <v>0</v>
      </c>
      <c r="D247" s="77">
        <f>'PartLib Table'!M249</f>
        <v>0</v>
      </c>
      <c r="E247" s="77">
        <f>'PartLib Table'!N249</f>
        <v>0</v>
      </c>
      <c r="F247" s="75">
        <f>'PartLib Table'!O249</f>
        <v>0</v>
      </c>
      <c r="G247" s="77">
        <f>'PartLib Table'!P249</f>
        <v>0</v>
      </c>
      <c r="H247" s="77">
        <f>'PartLib Table'!Q249</f>
        <v>0</v>
      </c>
    </row>
    <row r="248" spans="1:8">
      <c r="A248" s="76">
        <f>'PartLib Table'!C250</f>
        <v>0</v>
      </c>
      <c r="B248" s="77" t="str">
        <f>'PartLib Table'!K250</f>
        <v/>
      </c>
      <c r="C248" s="77">
        <f>'PartLib Table'!L250</f>
        <v>0</v>
      </c>
      <c r="D248" s="77">
        <f>'PartLib Table'!M250</f>
        <v>0</v>
      </c>
      <c r="E248" s="77">
        <f>'PartLib Table'!N250</f>
        <v>0</v>
      </c>
      <c r="F248" s="75">
        <f>'PartLib Table'!O250</f>
        <v>0</v>
      </c>
      <c r="G248" s="77">
        <f>'PartLib Table'!P250</f>
        <v>0</v>
      </c>
      <c r="H248" s="77">
        <f>'PartLib Table'!Q250</f>
        <v>0</v>
      </c>
    </row>
    <row r="249" spans="1:8">
      <c r="A249" s="76">
        <f>'PartLib Table'!C251</f>
        <v>0</v>
      </c>
      <c r="B249" s="77" t="str">
        <f>'PartLib Table'!K251</f>
        <v/>
      </c>
      <c r="C249" s="77">
        <f>'PartLib Table'!L251</f>
        <v>0</v>
      </c>
      <c r="D249" s="77">
        <f>'PartLib Table'!M251</f>
        <v>0</v>
      </c>
      <c r="E249" s="77">
        <f>'PartLib Table'!N251</f>
        <v>0</v>
      </c>
      <c r="F249" s="75">
        <f>'PartLib Table'!O251</f>
        <v>0</v>
      </c>
      <c r="G249" s="77">
        <f>'PartLib Table'!P251</f>
        <v>0</v>
      </c>
      <c r="H249" s="77">
        <f>'PartLib Table'!Q251</f>
        <v>0</v>
      </c>
    </row>
    <row r="250" spans="1:8">
      <c r="A250" s="76">
        <f>'PartLib Table'!C252</f>
        <v>0</v>
      </c>
      <c r="B250" s="77" t="str">
        <f>'PartLib Table'!K252</f>
        <v/>
      </c>
      <c r="C250" s="77">
        <f>'PartLib Table'!L252</f>
        <v>0</v>
      </c>
      <c r="D250" s="77">
        <f>'PartLib Table'!M252</f>
        <v>0</v>
      </c>
      <c r="E250" s="77">
        <f>'PartLib Table'!N252</f>
        <v>0</v>
      </c>
      <c r="F250" s="75">
        <f>'PartLib Table'!O252</f>
        <v>0</v>
      </c>
      <c r="G250" s="77">
        <f>'PartLib Table'!P252</f>
        <v>0</v>
      </c>
      <c r="H250" s="77">
        <f>'PartLib Table'!Q252</f>
        <v>0</v>
      </c>
    </row>
    <row r="251" spans="1:8">
      <c r="A251" s="76">
        <f>'PartLib Table'!C253</f>
        <v>0</v>
      </c>
      <c r="B251" s="77" t="str">
        <f>'PartLib Table'!K253</f>
        <v/>
      </c>
      <c r="C251" s="77">
        <f>'PartLib Table'!L253</f>
        <v>0</v>
      </c>
      <c r="D251" s="77">
        <f>'PartLib Table'!M253</f>
        <v>0</v>
      </c>
      <c r="E251" s="77">
        <f>'PartLib Table'!N253</f>
        <v>0</v>
      </c>
      <c r="F251" s="75">
        <f>'PartLib Table'!O253</f>
        <v>0</v>
      </c>
      <c r="G251" s="77">
        <f>'PartLib Table'!P253</f>
        <v>0</v>
      </c>
      <c r="H251" s="77">
        <f>'PartLib Table'!Q253</f>
        <v>0</v>
      </c>
    </row>
    <row r="252" spans="1:8">
      <c r="A252" s="76">
        <f>'PartLib Table'!C254</f>
        <v>0</v>
      </c>
      <c r="B252" s="77" t="str">
        <f>'PartLib Table'!K254</f>
        <v/>
      </c>
      <c r="C252" s="77">
        <f>'PartLib Table'!L254</f>
        <v>0</v>
      </c>
      <c r="D252" s="77">
        <f>'PartLib Table'!M254</f>
        <v>0</v>
      </c>
      <c r="E252" s="77">
        <f>'PartLib Table'!N254</f>
        <v>0</v>
      </c>
      <c r="F252" s="75">
        <f>'PartLib Table'!O254</f>
        <v>0</v>
      </c>
      <c r="G252" s="77">
        <f>'PartLib Table'!P254</f>
        <v>0</v>
      </c>
      <c r="H252" s="77">
        <f>'PartLib Table'!Q254</f>
        <v>0</v>
      </c>
    </row>
    <row r="253" spans="1:8">
      <c r="A253" s="76">
        <f>'PartLib Table'!C255</f>
        <v>0</v>
      </c>
      <c r="B253" s="77" t="str">
        <f>'PartLib Table'!K255</f>
        <v/>
      </c>
      <c r="C253" s="77">
        <f>'PartLib Table'!L255</f>
        <v>0</v>
      </c>
      <c r="D253" s="77">
        <f>'PartLib Table'!M255</f>
        <v>0</v>
      </c>
      <c r="E253" s="77">
        <f>'PartLib Table'!N255</f>
        <v>0</v>
      </c>
      <c r="F253" s="75">
        <f>'PartLib Table'!O255</f>
        <v>0</v>
      </c>
      <c r="G253" s="77">
        <f>'PartLib Table'!P255</f>
        <v>0</v>
      </c>
      <c r="H253" s="77">
        <f>'PartLib Table'!Q255</f>
        <v>0</v>
      </c>
    </row>
    <row r="254" spans="1:8">
      <c r="A254" s="76">
        <f>'PartLib Table'!C256</f>
        <v>0</v>
      </c>
      <c r="B254" s="77" t="str">
        <f>'PartLib Table'!K256</f>
        <v/>
      </c>
      <c r="C254" s="77">
        <f>'PartLib Table'!L256</f>
        <v>0</v>
      </c>
      <c r="D254" s="77">
        <f>'PartLib Table'!M256</f>
        <v>0</v>
      </c>
      <c r="E254" s="77">
        <f>'PartLib Table'!N256</f>
        <v>0</v>
      </c>
      <c r="F254" s="75">
        <f>'PartLib Table'!O256</f>
        <v>0</v>
      </c>
      <c r="G254" s="77">
        <f>'PartLib Table'!P256</f>
        <v>0</v>
      </c>
      <c r="H254" s="77">
        <f>'PartLib Table'!Q256</f>
        <v>0</v>
      </c>
    </row>
    <row r="255" spans="1:8">
      <c r="A255" s="76">
        <f>'PartLib Table'!C257</f>
        <v>0</v>
      </c>
      <c r="B255" s="77" t="str">
        <f>'PartLib Table'!K257</f>
        <v/>
      </c>
      <c r="C255" s="77">
        <f>'PartLib Table'!L257</f>
        <v>0</v>
      </c>
      <c r="D255" s="77">
        <f>'PartLib Table'!M257</f>
        <v>0</v>
      </c>
      <c r="E255" s="77">
        <f>'PartLib Table'!N257</f>
        <v>0</v>
      </c>
      <c r="F255" s="75">
        <f>'PartLib Table'!O257</f>
        <v>0</v>
      </c>
      <c r="G255" s="77">
        <f>'PartLib Table'!P257</f>
        <v>0</v>
      </c>
      <c r="H255" s="77">
        <f>'PartLib Table'!Q257</f>
        <v>0</v>
      </c>
    </row>
    <row r="256" spans="1:8">
      <c r="A256" s="76">
        <f>'PartLib Table'!C258</f>
        <v>0</v>
      </c>
      <c r="B256" s="77" t="str">
        <f>'PartLib Table'!K258</f>
        <v/>
      </c>
      <c r="C256" s="77">
        <f>'PartLib Table'!L258</f>
        <v>0</v>
      </c>
      <c r="D256" s="77">
        <f>'PartLib Table'!M258</f>
        <v>0</v>
      </c>
      <c r="E256" s="77">
        <f>'PartLib Table'!N258</f>
        <v>0</v>
      </c>
      <c r="F256" s="75">
        <f>'PartLib Table'!O258</f>
        <v>0</v>
      </c>
      <c r="G256" s="77">
        <f>'PartLib Table'!P258</f>
        <v>0</v>
      </c>
      <c r="H256" s="77">
        <f>'PartLib Table'!Q258</f>
        <v>0</v>
      </c>
    </row>
    <row r="257" spans="1:8">
      <c r="A257" s="76">
        <f>'PartLib Table'!C259</f>
        <v>0</v>
      </c>
      <c r="B257" s="77" t="str">
        <f>'PartLib Table'!K259</f>
        <v/>
      </c>
      <c r="C257" s="77">
        <f>'PartLib Table'!L259</f>
        <v>0</v>
      </c>
      <c r="D257" s="77">
        <f>'PartLib Table'!M259</f>
        <v>0</v>
      </c>
      <c r="E257" s="77">
        <f>'PartLib Table'!N259</f>
        <v>0</v>
      </c>
      <c r="F257" s="75">
        <f>'PartLib Table'!O259</f>
        <v>0</v>
      </c>
      <c r="G257" s="77">
        <f>'PartLib Table'!P259</f>
        <v>0</v>
      </c>
      <c r="H257" s="77">
        <f>'PartLib Table'!Q259</f>
        <v>0</v>
      </c>
    </row>
    <row r="258" spans="1:8">
      <c r="A258" s="76">
        <f>'PartLib Table'!C260</f>
        <v>0</v>
      </c>
      <c r="B258" s="77" t="str">
        <f>'PartLib Table'!K260</f>
        <v/>
      </c>
      <c r="C258" s="77">
        <f>'PartLib Table'!L260</f>
        <v>0</v>
      </c>
      <c r="D258" s="77">
        <f>'PartLib Table'!M260</f>
        <v>0</v>
      </c>
      <c r="E258" s="77">
        <f>'PartLib Table'!N260</f>
        <v>0</v>
      </c>
      <c r="F258" s="75">
        <f>'PartLib Table'!O260</f>
        <v>0</v>
      </c>
      <c r="G258" s="77">
        <f>'PartLib Table'!P260</f>
        <v>0</v>
      </c>
      <c r="H258" s="77">
        <f>'PartLib Table'!Q260</f>
        <v>0</v>
      </c>
    </row>
    <row r="259" spans="1:8">
      <c r="A259" s="76">
        <f>'PartLib Table'!C261</f>
        <v>0</v>
      </c>
      <c r="B259" s="77" t="str">
        <f>'PartLib Table'!K261</f>
        <v/>
      </c>
      <c r="C259" s="77">
        <f>'PartLib Table'!L261</f>
        <v>0</v>
      </c>
      <c r="D259" s="77">
        <f>'PartLib Table'!M261</f>
        <v>0</v>
      </c>
      <c r="E259" s="77">
        <f>'PartLib Table'!N261</f>
        <v>0</v>
      </c>
      <c r="F259" s="75">
        <f>'PartLib Table'!O261</f>
        <v>0</v>
      </c>
      <c r="G259" s="77">
        <f>'PartLib Table'!P261</f>
        <v>0</v>
      </c>
      <c r="H259" s="77">
        <f>'PartLib Table'!Q261</f>
        <v>0</v>
      </c>
    </row>
    <row r="260" spans="1:8">
      <c r="A260" s="76">
        <f>'PartLib Table'!C262</f>
        <v>0</v>
      </c>
      <c r="B260" s="77" t="str">
        <f>'PartLib Table'!K262</f>
        <v/>
      </c>
      <c r="C260" s="77">
        <f>'PartLib Table'!L262</f>
        <v>0</v>
      </c>
      <c r="D260" s="77">
        <f>'PartLib Table'!M262</f>
        <v>0</v>
      </c>
      <c r="E260" s="77">
        <f>'PartLib Table'!N262</f>
        <v>0</v>
      </c>
      <c r="F260" s="75">
        <f>'PartLib Table'!O262</f>
        <v>0</v>
      </c>
      <c r="G260" s="77">
        <f>'PartLib Table'!P262</f>
        <v>0</v>
      </c>
      <c r="H260" s="77">
        <f>'PartLib Table'!Q262</f>
        <v>0</v>
      </c>
    </row>
    <row r="261" spans="1:8">
      <c r="A261" s="76">
        <f>'PartLib Table'!C263</f>
        <v>0</v>
      </c>
      <c r="B261" s="77" t="str">
        <f>'PartLib Table'!K263</f>
        <v/>
      </c>
      <c r="C261" s="77">
        <f>'PartLib Table'!L263</f>
        <v>0</v>
      </c>
      <c r="D261" s="77">
        <f>'PartLib Table'!M263</f>
        <v>0</v>
      </c>
      <c r="E261" s="77">
        <f>'PartLib Table'!N263</f>
        <v>0</v>
      </c>
      <c r="F261" s="75">
        <f>'PartLib Table'!O263</f>
        <v>0</v>
      </c>
      <c r="G261" s="77">
        <f>'PartLib Table'!P263</f>
        <v>0</v>
      </c>
      <c r="H261" s="77">
        <f>'PartLib Table'!Q263</f>
        <v>0</v>
      </c>
    </row>
    <row r="262" spans="1:8">
      <c r="A262" s="76">
        <f>'PartLib Table'!C264</f>
        <v>0</v>
      </c>
      <c r="B262" s="77" t="str">
        <f>'PartLib Table'!K264</f>
        <v/>
      </c>
      <c r="C262" s="77">
        <f>'PartLib Table'!L264</f>
        <v>0</v>
      </c>
      <c r="D262" s="77">
        <f>'PartLib Table'!M264</f>
        <v>0</v>
      </c>
      <c r="E262" s="77">
        <f>'PartLib Table'!N264</f>
        <v>0</v>
      </c>
      <c r="F262" s="75">
        <f>'PartLib Table'!O264</f>
        <v>0</v>
      </c>
      <c r="G262" s="77">
        <f>'PartLib Table'!P264</f>
        <v>0</v>
      </c>
      <c r="H262" s="77">
        <f>'PartLib Table'!Q264</f>
        <v>0</v>
      </c>
    </row>
    <row r="263" spans="1:8">
      <c r="A263" s="76">
        <f>'PartLib Table'!C265</f>
        <v>0</v>
      </c>
      <c r="B263" s="77" t="str">
        <f>'PartLib Table'!K265</f>
        <v/>
      </c>
      <c r="C263" s="77">
        <f>'PartLib Table'!L265</f>
        <v>0</v>
      </c>
      <c r="D263" s="77">
        <f>'PartLib Table'!M265</f>
        <v>0</v>
      </c>
      <c r="E263" s="77">
        <f>'PartLib Table'!N265</f>
        <v>0</v>
      </c>
      <c r="F263" s="75">
        <f>'PartLib Table'!O265</f>
        <v>0</v>
      </c>
      <c r="G263" s="77">
        <f>'PartLib Table'!P265</f>
        <v>0</v>
      </c>
      <c r="H263" s="77">
        <f>'PartLib Table'!Q265</f>
        <v>0</v>
      </c>
    </row>
    <row r="264" spans="1:8">
      <c r="A264" s="76">
        <f>'PartLib Table'!C266</f>
        <v>0</v>
      </c>
      <c r="B264" s="77" t="str">
        <f>'PartLib Table'!K266</f>
        <v/>
      </c>
      <c r="C264" s="77">
        <f>'PartLib Table'!L266</f>
        <v>0</v>
      </c>
      <c r="D264" s="77">
        <f>'PartLib Table'!M266</f>
        <v>0</v>
      </c>
      <c r="E264" s="77">
        <f>'PartLib Table'!N266</f>
        <v>0</v>
      </c>
      <c r="F264" s="75">
        <f>'PartLib Table'!O266</f>
        <v>0</v>
      </c>
      <c r="G264" s="77">
        <f>'PartLib Table'!P266</f>
        <v>0</v>
      </c>
      <c r="H264" s="77">
        <f>'PartLib Table'!Q266</f>
        <v>0</v>
      </c>
    </row>
    <row r="265" spans="1:8">
      <c r="A265" s="76">
        <f>'PartLib Table'!C267</f>
        <v>0</v>
      </c>
      <c r="B265" s="77" t="str">
        <f>'PartLib Table'!K267</f>
        <v/>
      </c>
      <c r="C265" s="77">
        <f>'PartLib Table'!L267</f>
        <v>0</v>
      </c>
      <c r="D265" s="77">
        <f>'PartLib Table'!M267</f>
        <v>0</v>
      </c>
      <c r="E265" s="77">
        <f>'PartLib Table'!N267</f>
        <v>0</v>
      </c>
      <c r="F265" s="75">
        <f>'PartLib Table'!O267</f>
        <v>0</v>
      </c>
      <c r="G265" s="77">
        <f>'PartLib Table'!P267</f>
        <v>0</v>
      </c>
      <c r="H265" s="77">
        <f>'PartLib Table'!Q267</f>
        <v>0</v>
      </c>
    </row>
    <row r="266" spans="1:8">
      <c r="A266" s="76">
        <f>'PartLib Table'!C268</f>
        <v>0</v>
      </c>
      <c r="B266" s="77" t="str">
        <f>'PartLib Table'!K268</f>
        <v/>
      </c>
      <c r="C266" s="77">
        <f>'PartLib Table'!L268</f>
        <v>0</v>
      </c>
      <c r="D266" s="77">
        <f>'PartLib Table'!M268</f>
        <v>0</v>
      </c>
      <c r="E266" s="77">
        <f>'PartLib Table'!N268</f>
        <v>0</v>
      </c>
      <c r="F266" s="75">
        <f>'PartLib Table'!O268</f>
        <v>0</v>
      </c>
      <c r="G266" s="77">
        <f>'PartLib Table'!P268</f>
        <v>0</v>
      </c>
      <c r="H266" s="77">
        <f>'PartLib Table'!Q268</f>
        <v>0</v>
      </c>
    </row>
    <row r="267" spans="1:8">
      <c r="A267" s="76">
        <f>'PartLib Table'!C269</f>
        <v>0</v>
      </c>
      <c r="B267" s="77" t="str">
        <f>'PartLib Table'!K269</f>
        <v/>
      </c>
      <c r="C267" s="77">
        <f>'PartLib Table'!L269</f>
        <v>0</v>
      </c>
      <c r="D267" s="77">
        <f>'PartLib Table'!M269</f>
        <v>0</v>
      </c>
      <c r="E267" s="77">
        <f>'PartLib Table'!N269</f>
        <v>0</v>
      </c>
      <c r="F267" s="75">
        <f>'PartLib Table'!O269</f>
        <v>0</v>
      </c>
      <c r="G267" s="77">
        <f>'PartLib Table'!P269</f>
        <v>0</v>
      </c>
      <c r="H267" s="77">
        <f>'PartLib Table'!Q269</f>
        <v>0</v>
      </c>
    </row>
    <row r="268" spans="1:8">
      <c r="A268" s="76">
        <f>'PartLib Table'!C270</f>
        <v>0</v>
      </c>
      <c r="B268" s="77" t="str">
        <f>'PartLib Table'!K270</f>
        <v/>
      </c>
      <c r="C268" s="77">
        <f>'PartLib Table'!L270</f>
        <v>0</v>
      </c>
      <c r="D268" s="77">
        <f>'PartLib Table'!M270</f>
        <v>0</v>
      </c>
      <c r="E268" s="77">
        <f>'PartLib Table'!N270</f>
        <v>0</v>
      </c>
      <c r="F268" s="75">
        <f>'PartLib Table'!O270</f>
        <v>0</v>
      </c>
      <c r="G268" s="77">
        <f>'PartLib Table'!P270</f>
        <v>0</v>
      </c>
      <c r="H268" s="77">
        <f>'PartLib Table'!Q270</f>
        <v>0</v>
      </c>
    </row>
    <row r="269" spans="1:8">
      <c r="A269" s="76">
        <f>'PartLib Table'!C271</f>
        <v>0</v>
      </c>
      <c r="B269" s="77" t="str">
        <f>'PartLib Table'!K271</f>
        <v/>
      </c>
      <c r="C269" s="77">
        <f>'PartLib Table'!L271</f>
        <v>0</v>
      </c>
      <c r="D269" s="77">
        <f>'PartLib Table'!M271</f>
        <v>0</v>
      </c>
      <c r="E269" s="77">
        <f>'PartLib Table'!N271</f>
        <v>0</v>
      </c>
      <c r="F269" s="75">
        <f>'PartLib Table'!O271</f>
        <v>0</v>
      </c>
      <c r="G269" s="77">
        <f>'PartLib Table'!P271</f>
        <v>0</v>
      </c>
      <c r="H269" s="77">
        <f>'PartLib Table'!Q271</f>
        <v>0</v>
      </c>
    </row>
    <row r="270" spans="1:8">
      <c r="A270" s="76">
        <f>'PartLib Table'!C272</f>
        <v>0</v>
      </c>
      <c r="B270" s="77" t="str">
        <f>'PartLib Table'!K272</f>
        <v/>
      </c>
      <c r="C270" s="77">
        <f>'PartLib Table'!L272</f>
        <v>0</v>
      </c>
      <c r="D270" s="77">
        <f>'PartLib Table'!M272</f>
        <v>0</v>
      </c>
      <c r="E270" s="77">
        <f>'PartLib Table'!N272</f>
        <v>0</v>
      </c>
      <c r="F270" s="75">
        <f>'PartLib Table'!O272</f>
        <v>0</v>
      </c>
      <c r="G270" s="77">
        <f>'PartLib Table'!P272</f>
        <v>0</v>
      </c>
      <c r="H270" s="77">
        <f>'PartLib Table'!Q272</f>
        <v>0</v>
      </c>
    </row>
    <row r="271" spans="1:8">
      <c r="A271" s="76">
        <f>'PartLib Table'!C273</f>
        <v>0</v>
      </c>
      <c r="B271" s="77" t="str">
        <f>'PartLib Table'!K273</f>
        <v/>
      </c>
      <c r="C271" s="77">
        <f>'PartLib Table'!L273</f>
        <v>0</v>
      </c>
      <c r="D271" s="77">
        <f>'PartLib Table'!M273</f>
        <v>0</v>
      </c>
      <c r="E271" s="77">
        <f>'PartLib Table'!N273</f>
        <v>0</v>
      </c>
      <c r="F271" s="75">
        <f>'PartLib Table'!O273</f>
        <v>0</v>
      </c>
      <c r="G271" s="77">
        <f>'PartLib Table'!P273</f>
        <v>0</v>
      </c>
      <c r="H271" s="77">
        <f>'PartLib Table'!Q273</f>
        <v>0</v>
      </c>
    </row>
    <row r="272" spans="1:8">
      <c r="A272" s="76">
        <f>'PartLib Table'!C274</f>
        <v>0</v>
      </c>
      <c r="B272" s="77" t="str">
        <f>'PartLib Table'!K274</f>
        <v/>
      </c>
      <c r="C272" s="77">
        <f>'PartLib Table'!L274</f>
        <v>0</v>
      </c>
      <c r="D272" s="77">
        <f>'PartLib Table'!M274</f>
        <v>0</v>
      </c>
      <c r="E272" s="77">
        <f>'PartLib Table'!N274</f>
        <v>0</v>
      </c>
      <c r="F272" s="75">
        <f>'PartLib Table'!O274</f>
        <v>0</v>
      </c>
      <c r="G272" s="77">
        <f>'PartLib Table'!P274</f>
        <v>0</v>
      </c>
      <c r="H272" s="77">
        <f>'PartLib Table'!Q274</f>
        <v>0</v>
      </c>
    </row>
    <row r="273" spans="1:8">
      <c r="A273" s="76">
        <f>'PartLib Table'!C275</f>
        <v>0</v>
      </c>
      <c r="B273" s="77" t="str">
        <f>'PartLib Table'!K275</f>
        <v/>
      </c>
      <c r="C273" s="77">
        <f>'PartLib Table'!L275</f>
        <v>0</v>
      </c>
      <c r="D273" s="77">
        <f>'PartLib Table'!M275</f>
        <v>0</v>
      </c>
      <c r="E273" s="77">
        <f>'PartLib Table'!N275</f>
        <v>0</v>
      </c>
      <c r="F273" s="75">
        <f>'PartLib Table'!O275</f>
        <v>0</v>
      </c>
      <c r="G273" s="77">
        <f>'PartLib Table'!P275</f>
        <v>0</v>
      </c>
      <c r="H273" s="77">
        <f>'PartLib Table'!Q275</f>
        <v>0</v>
      </c>
    </row>
    <row r="274" spans="1:8">
      <c r="A274" s="76">
        <f>'PartLib Table'!C276</f>
        <v>0</v>
      </c>
      <c r="B274" s="77" t="str">
        <f>'PartLib Table'!K276</f>
        <v/>
      </c>
      <c r="C274" s="77">
        <f>'PartLib Table'!L276</f>
        <v>0</v>
      </c>
      <c r="D274" s="77">
        <f>'PartLib Table'!M276</f>
        <v>0</v>
      </c>
      <c r="E274" s="77">
        <f>'PartLib Table'!N276</f>
        <v>0</v>
      </c>
      <c r="F274" s="75">
        <f>'PartLib Table'!O276</f>
        <v>0</v>
      </c>
      <c r="G274" s="77">
        <f>'PartLib Table'!P276</f>
        <v>0</v>
      </c>
      <c r="H274" s="77">
        <f>'PartLib Table'!Q276</f>
        <v>0</v>
      </c>
    </row>
    <row r="275" spans="1:8">
      <c r="A275" s="76">
        <f>'PartLib Table'!C277</f>
        <v>0</v>
      </c>
      <c r="B275" s="77" t="str">
        <f>'PartLib Table'!K277</f>
        <v/>
      </c>
      <c r="C275" s="77">
        <f>'PartLib Table'!L277</f>
        <v>0</v>
      </c>
      <c r="D275" s="77">
        <f>'PartLib Table'!M277</f>
        <v>0</v>
      </c>
      <c r="E275" s="77">
        <f>'PartLib Table'!N277</f>
        <v>0</v>
      </c>
      <c r="F275" s="75">
        <f>'PartLib Table'!O277</f>
        <v>0</v>
      </c>
      <c r="G275" s="77">
        <f>'PartLib Table'!P277</f>
        <v>0</v>
      </c>
      <c r="H275" s="77">
        <f>'PartLib Table'!Q277</f>
        <v>0</v>
      </c>
    </row>
    <row r="276" spans="1:8">
      <c r="A276" s="76">
        <f>'PartLib Table'!C278</f>
        <v>0</v>
      </c>
      <c r="B276" s="77" t="str">
        <f>'PartLib Table'!K278</f>
        <v/>
      </c>
      <c r="C276" s="77">
        <f>'PartLib Table'!L278</f>
        <v>0</v>
      </c>
      <c r="D276" s="77">
        <f>'PartLib Table'!M278</f>
        <v>0</v>
      </c>
      <c r="E276" s="77">
        <f>'PartLib Table'!N278</f>
        <v>0</v>
      </c>
      <c r="F276" s="75">
        <f>'PartLib Table'!O278</f>
        <v>0</v>
      </c>
      <c r="G276" s="77">
        <f>'PartLib Table'!P278</f>
        <v>0</v>
      </c>
      <c r="H276" s="77">
        <f>'PartLib Table'!Q278</f>
        <v>0</v>
      </c>
    </row>
    <row r="277" spans="1:8">
      <c r="A277" s="76">
        <f>'PartLib Table'!C279</f>
        <v>0</v>
      </c>
      <c r="B277" s="77" t="str">
        <f>'PartLib Table'!K279</f>
        <v/>
      </c>
      <c r="C277" s="77">
        <f>'PartLib Table'!L279</f>
        <v>0</v>
      </c>
      <c r="D277" s="77">
        <f>'PartLib Table'!M279</f>
        <v>0</v>
      </c>
      <c r="E277" s="77">
        <f>'PartLib Table'!N279</f>
        <v>0</v>
      </c>
      <c r="F277" s="75">
        <f>'PartLib Table'!O279</f>
        <v>0</v>
      </c>
      <c r="G277" s="77">
        <f>'PartLib Table'!P279</f>
        <v>0</v>
      </c>
      <c r="H277" s="77">
        <f>'PartLib Table'!Q279</f>
        <v>0</v>
      </c>
    </row>
    <row r="278" spans="1:8">
      <c r="A278" s="76">
        <f>'PartLib Table'!C280</f>
        <v>0</v>
      </c>
      <c r="B278" s="77" t="str">
        <f>'PartLib Table'!K280</f>
        <v/>
      </c>
      <c r="C278" s="77">
        <f>'PartLib Table'!L280</f>
        <v>0</v>
      </c>
      <c r="D278" s="77">
        <f>'PartLib Table'!M280</f>
        <v>0</v>
      </c>
      <c r="E278" s="77">
        <f>'PartLib Table'!N280</f>
        <v>0</v>
      </c>
      <c r="F278" s="75">
        <f>'PartLib Table'!O280</f>
        <v>0</v>
      </c>
      <c r="G278" s="77">
        <f>'PartLib Table'!P280</f>
        <v>0</v>
      </c>
      <c r="H278" s="77">
        <f>'PartLib Table'!Q280</f>
        <v>0</v>
      </c>
    </row>
    <row r="279" spans="1:8">
      <c r="A279" s="76">
        <f>'PartLib Table'!C281</f>
        <v>0</v>
      </c>
      <c r="B279" s="77" t="str">
        <f>'PartLib Table'!K281</f>
        <v/>
      </c>
      <c r="C279" s="77">
        <f>'PartLib Table'!L281</f>
        <v>0</v>
      </c>
      <c r="D279" s="77">
        <f>'PartLib Table'!M281</f>
        <v>0</v>
      </c>
      <c r="E279" s="77">
        <f>'PartLib Table'!N281</f>
        <v>0</v>
      </c>
      <c r="F279" s="75">
        <f>'PartLib Table'!O281</f>
        <v>0</v>
      </c>
      <c r="G279" s="77">
        <f>'PartLib Table'!P281</f>
        <v>0</v>
      </c>
      <c r="H279" s="77">
        <f>'PartLib Table'!Q281</f>
        <v>0</v>
      </c>
    </row>
    <row r="280" spans="1:8">
      <c r="A280" s="76">
        <f>'PartLib Table'!C282</f>
        <v>0</v>
      </c>
      <c r="B280" s="77" t="str">
        <f>'PartLib Table'!K282</f>
        <v/>
      </c>
      <c r="C280" s="77">
        <f>'PartLib Table'!L282</f>
        <v>0</v>
      </c>
      <c r="D280" s="77">
        <f>'PartLib Table'!M282</f>
        <v>0</v>
      </c>
      <c r="E280" s="77">
        <f>'PartLib Table'!N282</f>
        <v>0</v>
      </c>
      <c r="F280" s="75">
        <f>'PartLib Table'!O282</f>
        <v>0</v>
      </c>
      <c r="G280" s="77">
        <f>'PartLib Table'!P282</f>
        <v>0</v>
      </c>
      <c r="H280" s="77">
        <f>'PartLib Table'!Q282</f>
        <v>0</v>
      </c>
    </row>
    <row r="281" spans="1:8">
      <c r="A281" s="76">
        <f>'PartLib Table'!C283</f>
        <v>0</v>
      </c>
      <c r="B281" s="77" t="str">
        <f>'PartLib Table'!K283</f>
        <v/>
      </c>
      <c r="C281" s="77">
        <f>'PartLib Table'!L283</f>
        <v>0</v>
      </c>
      <c r="D281" s="77">
        <f>'PartLib Table'!M283</f>
        <v>0</v>
      </c>
      <c r="E281" s="77">
        <f>'PartLib Table'!N283</f>
        <v>0</v>
      </c>
      <c r="F281" s="75">
        <f>'PartLib Table'!O283</f>
        <v>0</v>
      </c>
      <c r="G281" s="77">
        <f>'PartLib Table'!P283</f>
        <v>0</v>
      </c>
      <c r="H281" s="77">
        <f>'PartLib Table'!Q283</f>
        <v>0</v>
      </c>
    </row>
    <row r="282" spans="1:8">
      <c r="A282" s="76">
        <f>'PartLib Table'!C284</f>
        <v>0</v>
      </c>
      <c r="B282" s="77" t="str">
        <f>'PartLib Table'!K284</f>
        <v/>
      </c>
      <c r="C282" s="77">
        <f>'PartLib Table'!L284</f>
        <v>0</v>
      </c>
      <c r="D282" s="77">
        <f>'PartLib Table'!M284</f>
        <v>0</v>
      </c>
      <c r="E282" s="77">
        <f>'PartLib Table'!N284</f>
        <v>0</v>
      </c>
      <c r="F282" s="75">
        <f>'PartLib Table'!O284</f>
        <v>0</v>
      </c>
      <c r="G282" s="77">
        <f>'PartLib Table'!P284</f>
        <v>0</v>
      </c>
      <c r="H282" s="77">
        <f>'PartLib Table'!Q284</f>
        <v>0</v>
      </c>
    </row>
    <row r="283" spans="1:8">
      <c r="A283" s="76">
        <f>'PartLib Table'!C285</f>
        <v>0</v>
      </c>
      <c r="B283" s="77" t="str">
        <f>'PartLib Table'!K285</f>
        <v/>
      </c>
      <c r="C283" s="77">
        <f>'PartLib Table'!L285</f>
        <v>0</v>
      </c>
      <c r="D283" s="77">
        <f>'PartLib Table'!M285</f>
        <v>0</v>
      </c>
      <c r="E283" s="77">
        <f>'PartLib Table'!N285</f>
        <v>0</v>
      </c>
      <c r="F283" s="75">
        <f>'PartLib Table'!O285</f>
        <v>0</v>
      </c>
      <c r="G283" s="77">
        <f>'PartLib Table'!P285</f>
        <v>0</v>
      </c>
      <c r="H283" s="77">
        <f>'PartLib Table'!Q285</f>
        <v>0</v>
      </c>
    </row>
    <row r="284" spans="1:8">
      <c r="A284" s="76">
        <f>'PartLib Table'!C286</f>
        <v>0</v>
      </c>
      <c r="B284" s="77" t="str">
        <f>'PartLib Table'!K286</f>
        <v/>
      </c>
      <c r="C284" s="77">
        <f>'PartLib Table'!L286</f>
        <v>0</v>
      </c>
      <c r="D284" s="77">
        <f>'PartLib Table'!M286</f>
        <v>0</v>
      </c>
      <c r="E284" s="77">
        <f>'PartLib Table'!N286</f>
        <v>0</v>
      </c>
      <c r="F284" s="75">
        <f>'PartLib Table'!O286</f>
        <v>0</v>
      </c>
      <c r="G284" s="77">
        <f>'PartLib Table'!P286</f>
        <v>0</v>
      </c>
      <c r="H284" s="77">
        <f>'PartLib Table'!Q286</f>
        <v>0</v>
      </c>
    </row>
    <row r="285" spans="1:8">
      <c r="A285" s="76">
        <f>'PartLib Table'!C287</f>
        <v>0</v>
      </c>
      <c r="B285" s="77" t="str">
        <f>'PartLib Table'!K287</f>
        <v/>
      </c>
      <c r="C285" s="77">
        <f>'PartLib Table'!L287</f>
        <v>0</v>
      </c>
      <c r="D285" s="77">
        <f>'PartLib Table'!M287</f>
        <v>0</v>
      </c>
      <c r="E285" s="77">
        <f>'PartLib Table'!N287</f>
        <v>0</v>
      </c>
      <c r="F285" s="75">
        <f>'PartLib Table'!O287</f>
        <v>0</v>
      </c>
      <c r="G285" s="77">
        <f>'PartLib Table'!P287</f>
        <v>0</v>
      </c>
      <c r="H285" s="77">
        <f>'PartLib Table'!Q287</f>
        <v>0</v>
      </c>
    </row>
    <row r="286" spans="1:8">
      <c r="A286" s="76">
        <f>'PartLib Table'!C288</f>
        <v>0</v>
      </c>
      <c r="B286" s="77" t="str">
        <f>'PartLib Table'!K288</f>
        <v/>
      </c>
      <c r="C286" s="77">
        <f>'PartLib Table'!L288</f>
        <v>0</v>
      </c>
      <c r="D286" s="77">
        <f>'PartLib Table'!M288</f>
        <v>0</v>
      </c>
      <c r="E286" s="77">
        <f>'PartLib Table'!N288</f>
        <v>0</v>
      </c>
      <c r="F286" s="75">
        <f>'PartLib Table'!O288</f>
        <v>0</v>
      </c>
      <c r="G286" s="77">
        <f>'PartLib Table'!P288</f>
        <v>0</v>
      </c>
      <c r="H286" s="77">
        <f>'PartLib Table'!Q288</f>
        <v>0</v>
      </c>
    </row>
    <row r="287" spans="1:8">
      <c r="A287" s="76">
        <f>'PartLib Table'!C289</f>
        <v>0</v>
      </c>
      <c r="B287" s="77" t="str">
        <f>'PartLib Table'!K289</f>
        <v/>
      </c>
      <c r="C287" s="77">
        <f>'PartLib Table'!L289</f>
        <v>0</v>
      </c>
      <c r="D287" s="77">
        <f>'PartLib Table'!M289</f>
        <v>0</v>
      </c>
      <c r="E287" s="77">
        <f>'PartLib Table'!N289</f>
        <v>0</v>
      </c>
      <c r="F287" s="75">
        <f>'PartLib Table'!O289</f>
        <v>0</v>
      </c>
      <c r="G287" s="77">
        <f>'PartLib Table'!P289</f>
        <v>0</v>
      </c>
      <c r="H287" s="77">
        <f>'PartLib Table'!Q289</f>
        <v>0</v>
      </c>
    </row>
    <row r="288" spans="1:8">
      <c r="A288" s="76">
        <f>'PartLib Table'!C290</f>
        <v>0</v>
      </c>
      <c r="B288" s="77" t="str">
        <f>'PartLib Table'!K290</f>
        <v/>
      </c>
      <c r="C288" s="77">
        <f>'PartLib Table'!L290</f>
        <v>0</v>
      </c>
      <c r="D288" s="77">
        <f>'PartLib Table'!M290</f>
        <v>0</v>
      </c>
      <c r="E288" s="77">
        <f>'PartLib Table'!N290</f>
        <v>0</v>
      </c>
      <c r="F288" s="75">
        <f>'PartLib Table'!O290</f>
        <v>0</v>
      </c>
      <c r="G288" s="77">
        <f>'PartLib Table'!P290</f>
        <v>0</v>
      </c>
      <c r="H288" s="77">
        <f>'PartLib Table'!Q290</f>
        <v>0</v>
      </c>
    </row>
    <row r="289" spans="1:8">
      <c r="A289" s="76">
        <f>'PartLib Table'!C291</f>
        <v>0</v>
      </c>
      <c r="B289" s="77" t="str">
        <f>'PartLib Table'!K291</f>
        <v/>
      </c>
      <c r="C289" s="77">
        <f>'PartLib Table'!L291</f>
        <v>0</v>
      </c>
      <c r="D289" s="77">
        <f>'PartLib Table'!M291</f>
        <v>0</v>
      </c>
      <c r="E289" s="77">
        <f>'PartLib Table'!N291</f>
        <v>0</v>
      </c>
      <c r="F289" s="75">
        <f>'PartLib Table'!O291</f>
        <v>0</v>
      </c>
      <c r="G289" s="77">
        <f>'PartLib Table'!P291</f>
        <v>0</v>
      </c>
      <c r="H289" s="77">
        <f>'PartLib Table'!Q291</f>
        <v>0</v>
      </c>
    </row>
    <row r="290" spans="1:8">
      <c r="A290" s="76">
        <f>'PartLib Table'!C292</f>
        <v>0</v>
      </c>
      <c r="B290" s="77" t="str">
        <f>'PartLib Table'!K292</f>
        <v/>
      </c>
      <c r="C290" s="77">
        <f>'PartLib Table'!L292</f>
        <v>0</v>
      </c>
      <c r="D290" s="77">
        <f>'PartLib Table'!M292</f>
        <v>0</v>
      </c>
      <c r="E290" s="77">
        <f>'PartLib Table'!N292</f>
        <v>0</v>
      </c>
      <c r="F290" s="75">
        <f>'PartLib Table'!O292</f>
        <v>0</v>
      </c>
      <c r="G290" s="77">
        <f>'PartLib Table'!P292</f>
        <v>0</v>
      </c>
      <c r="H290" s="77">
        <f>'PartLib Table'!Q292</f>
        <v>0</v>
      </c>
    </row>
    <row r="291" spans="1:8">
      <c r="A291" s="76">
        <f>'PartLib Table'!C293</f>
        <v>0</v>
      </c>
      <c r="B291" s="77" t="str">
        <f>'PartLib Table'!K293</f>
        <v/>
      </c>
      <c r="C291" s="77">
        <f>'PartLib Table'!L293</f>
        <v>0</v>
      </c>
      <c r="D291" s="77">
        <f>'PartLib Table'!M293</f>
        <v>0</v>
      </c>
      <c r="E291" s="77">
        <f>'PartLib Table'!N293</f>
        <v>0</v>
      </c>
      <c r="F291" s="75">
        <f>'PartLib Table'!O293</f>
        <v>0</v>
      </c>
      <c r="G291" s="77">
        <f>'PartLib Table'!P293</f>
        <v>0</v>
      </c>
      <c r="H291" s="77">
        <f>'PartLib Table'!Q293</f>
        <v>0</v>
      </c>
    </row>
    <row r="292" spans="1:8">
      <c r="A292" s="76">
        <f>'PartLib Table'!C294</f>
        <v>0</v>
      </c>
      <c r="B292" s="77" t="str">
        <f>'PartLib Table'!K294</f>
        <v/>
      </c>
      <c r="C292" s="77">
        <f>'PartLib Table'!L294</f>
        <v>0</v>
      </c>
      <c r="D292" s="77">
        <f>'PartLib Table'!M294</f>
        <v>0</v>
      </c>
      <c r="E292" s="77">
        <f>'PartLib Table'!N294</f>
        <v>0</v>
      </c>
      <c r="F292" s="75">
        <f>'PartLib Table'!O294</f>
        <v>0</v>
      </c>
      <c r="G292" s="77">
        <f>'PartLib Table'!P294</f>
        <v>0</v>
      </c>
      <c r="H292" s="77">
        <f>'PartLib Table'!Q294</f>
        <v>0</v>
      </c>
    </row>
    <row r="293" spans="1:8">
      <c r="A293" s="76">
        <f>'PartLib Table'!C295</f>
        <v>0</v>
      </c>
      <c r="B293" s="77" t="str">
        <f>'PartLib Table'!K295</f>
        <v/>
      </c>
      <c r="C293" s="77">
        <f>'PartLib Table'!L295</f>
        <v>0</v>
      </c>
      <c r="D293" s="77">
        <f>'PartLib Table'!M295</f>
        <v>0</v>
      </c>
      <c r="E293" s="77">
        <f>'PartLib Table'!N295</f>
        <v>0</v>
      </c>
      <c r="F293" s="75">
        <f>'PartLib Table'!O295</f>
        <v>0</v>
      </c>
      <c r="G293" s="77">
        <f>'PartLib Table'!P295</f>
        <v>0</v>
      </c>
      <c r="H293" s="77">
        <f>'PartLib Table'!Q295</f>
        <v>0</v>
      </c>
    </row>
    <row r="294" spans="1:8">
      <c r="A294" s="76">
        <f>'PartLib Table'!C296</f>
        <v>0</v>
      </c>
      <c r="B294" s="77" t="str">
        <f>'PartLib Table'!K296</f>
        <v/>
      </c>
      <c r="C294" s="77">
        <f>'PartLib Table'!L296</f>
        <v>0</v>
      </c>
      <c r="D294" s="77">
        <f>'PartLib Table'!M296</f>
        <v>0</v>
      </c>
      <c r="E294" s="77">
        <f>'PartLib Table'!N296</f>
        <v>0</v>
      </c>
      <c r="F294" s="75">
        <f>'PartLib Table'!O296</f>
        <v>0</v>
      </c>
      <c r="G294" s="77">
        <f>'PartLib Table'!P296</f>
        <v>0</v>
      </c>
      <c r="H294" s="77">
        <f>'PartLib Table'!Q296</f>
        <v>0</v>
      </c>
    </row>
    <row r="295" spans="1:8">
      <c r="A295" s="76">
        <f>'PartLib Table'!C297</f>
        <v>0</v>
      </c>
      <c r="B295" s="77" t="str">
        <f>'PartLib Table'!K297</f>
        <v/>
      </c>
      <c r="C295" s="77">
        <f>'PartLib Table'!L297</f>
        <v>0</v>
      </c>
      <c r="D295" s="77">
        <f>'PartLib Table'!M297</f>
        <v>0</v>
      </c>
      <c r="E295" s="77">
        <f>'PartLib Table'!N297</f>
        <v>0</v>
      </c>
      <c r="F295" s="75">
        <f>'PartLib Table'!O297</f>
        <v>0</v>
      </c>
      <c r="G295" s="77">
        <f>'PartLib Table'!P297</f>
        <v>0</v>
      </c>
      <c r="H295" s="77">
        <f>'PartLib Table'!Q297</f>
        <v>0</v>
      </c>
    </row>
    <row r="296" spans="1:8">
      <c r="A296" s="76">
        <f>'PartLib Table'!C298</f>
        <v>0</v>
      </c>
      <c r="B296" s="77" t="str">
        <f>'PartLib Table'!K298</f>
        <v/>
      </c>
      <c r="C296" s="77">
        <f>'PartLib Table'!L298</f>
        <v>0</v>
      </c>
      <c r="D296" s="77">
        <f>'PartLib Table'!M298</f>
        <v>0</v>
      </c>
      <c r="E296" s="77">
        <f>'PartLib Table'!N298</f>
        <v>0</v>
      </c>
      <c r="F296" s="75">
        <f>'PartLib Table'!O298</f>
        <v>0</v>
      </c>
      <c r="G296" s="77">
        <f>'PartLib Table'!P298</f>
        <v>0</v>
      </c>
      <c r="H296" s="77">
        <f>'PartLib Table'!Q298</f>
        <v>0</v>
      </c>
    </row>
    <row r="297" spans="1:8">
      <c r="A297" s="76">
        <f>'PartLib Table'!C299</f>
        <v>0</v>
      </c>
      <c r="B297" s="77" t="str">
        <f>'PartLib Table'!K299</f>
        <v/>
      </c>
      <c r="C297" s="77">
        <f>'PartLib Table'!L299</f>
        <v>0</v>
      </c>
      <c r="D297" s="77">
        <f>'PartLib Table'!M299</f>
        <v>0</v>
      </c>
      <c r="E297" s="77">
        <f>'PartLib Table'!N299</f>
        <v>0</v>
      </c>
      <c r="F297" s="75">
        <f>'PartLib Table'!O299</f>
        <v>0</v>
      </c>
      <c r="G297" s="77">
        <f>'PartLib Table'!P299</f>
        <v>0</v>
      </c>
      <c r="H297" s="77">
        <f>'PartLib Table'!Q299</f>
        <v>0</v>
      </c>
    </row>
    <row r="298" spans="1:8">
      <c r="A298" s="76">
        <f>'PartLib Table'!C300</f>
        <v>0</v>
      </c>
      <c r="B298" s="77" t="str">
        <f>'PartLib Table'!K300</f>
        <v/>
      </c>
      <c r="C298" s="77">
        <f>'PartLib Table'!L300</f>
        <v>0</v>
      </c>
      <c r="D298" s="77">
        <f>'PartLib Table'!M300</f>
        <v>0</v>
      </c>
      <c r="E298" s="77">
        <f>'PartLib Table'!N300</f>
        <v>0</v>
      </c>
      <c r="F298" s="75">
        <f>'PartLib Table'!O300</f>
        <v>0</v>
      </c>
      <c r="G298" s="77">
        <f>'PartLib Table'!P300</f>
        <v>0</v>
      </c>
      <c r="H298" s="77">
        <f>'PartLib Table'!Q300</f>
        <v>0</v>
      </c>
    </row>
    <row r="299" spans="1:8">
      <c r="A299" s="76">
        <f>'PartLib Table'!C301</f>
        <v>0</v>
      </c>
      <c r="B299" s="77" t="str">
        <f>'PartLib Table'!K301</f>
        <v/>
      </c>
      <c r="C299" s="77">
        <f>'PartLib Table'!L301</f>
        <v>0</v>
      </c>
      <c r="D299" s="77">
        <f>'PartLib Table'!M301</f>
        <v>0</v>
      </c>
      <c r="E299" s="77">
        <f>'PartLib Table'!N301</f>
        <v>0</v>
      </c>
      <c r="F299" s="75">
        <f>'PartLib Table'!O301</f>
        <v>0</v>
      </c>
      <c r="G299" s="77">
        <f>'PartLib Table'!P301</f>
        <v>0</v>
      </c>
      <c r="H299" s="77">
        <f>'PartLib Table'!Q301</f>
        <v>0</v>
      </c>
    </row>
    <row r="300" spans="1:8">
      <c r="A300" s="76">
        <f>'PartLib Table'!C302</f>
        <v>0</v>
      </c>
      <c r="B300" s="77" t="str">
        <f>'PartLib Table'!K302</f>
        <v/>
      </c>
      <c r="C300" s="77">
        <f>'PartLib Table'!L302</f>
        <v>0</v>
      </c>
      <c r="D300" s="77">
        <f>'PartLib Table'!M302</f>
        <v>0</v>
      </c>
      <c r="E300" s="77">
        <f>'PartLib Table'!N302</f>
        <v>0</v>
      </c>
      <c r="F300" s="75">
        <f>'PartLib Table'!O302</f>
        <v>0</v>
      </c>
      <c r="G300" s="77">
        <f>'PartLib Table'!P302</f>
        <v>0</v>
      </c>
      <c r="H300" s="77">
        <f>'PartLib Table'!Q302</f>
        <v>0</v>
      </c>
    </row>
    <row r="301" spans="1:8">
      <c r="A301" s="76">
        <f>'PartLib Table'!C303</f>
        <v>0</v>
      </c>
      <c r="B301" s="77" t="str">
        <f>'PartLib Table'!K303</f>
        <v/>
      </c>
      <c r="C301" s="77">
        <f>'PartLib Table'!L303</f>
        <v>0</v>
      </c>
      <c r="D301" s="77">
        <f>'PartLib Table'!M303</f>
        <v>0</v>
      </c>
      <c r="E301" s="77">
        <f>'PartLib Table'!N303</f>
        <v>0</v>
      </c>
      <c r="F301" s="75">
        <f>'PartLib Table'!O303</f>
        <v>0</v>
      </c>
      <c r="G301" s="77">
        <f>'PartLib Table'!P303</f>
        <v>0</v>
      </c>
      <c r="H301" s="77">
        <f>'PartLib Table'!Q303</f>
        <v>0</v>
      </c>
    </row>
    <row r="302" spans="1:8">
      <c r="A302" s="76">
        <f>'PartLib Table'!C304</f>
        <v>0</v>
      </c>
      <c r="B302" s="77" t="str">
        <f>'PartLib Table'!K304</f>
        <v/>
      </c>
      <c r="C302" s="77">
        <f>'PartLib Table'!L304</f>
        <v>0</v>
      </c>
      <c r="D302" s="77">
        <f>'PartLib Table'!M304</f>
        <v>0</v>
      </c>
      <c r="E302" s="77">
        <f>'PartLib Table'!N304</f>
        <v>0</v>
      </c>
      <c r="F302" s="75">
        <f>'PartLib Table'!O304</f>
        <v>0</v>
      </c>
      <c r="G302" s="77">
        <f>'PartLib Table'!P304</f>
        <v>0</v>
      </c>
      <c r="H302" s="77">
        <f>'PartLib Table'!Q304</f>
        <v>0</v>
      </c>
    </row>
    <row r="303" spans="1:8">
      <c r="A303" s="76">
        <f>'PartLib Table'!C305</f>
        <v>0</v>
      </c>
      <c r="B303" s="77" t="str">
        <f>'PartLib Table'!K305</f>
        <v/>
      </c>
      <c r="C303" s="77">
        <f>'PartLib Table'!L305</f>
        <v>0</v>
      </c>
      <c r="D303" s="77">
        <f>'PartLib Table'!M305</f>
        <v>0</v>
      </c>
      <c r="E303" s="77">
        <f>'PartLib Table'!N305</f>
        <v>0</v>
      </c>
      <c r="F303" s="75">
        <f>'PartLib Table'!O305</f>
        <v>0</v>
      </c>
      <c r="G303" s="77">
        <f>'PartLib Table'!P305</f>
        <v>0</v>
      </c>
      <c r="H303" s="77">
        <f>'PartLib Table'!Q305</f>
        <v>0</v>
      </c>
    </row>
    <row r="304" spans="1:8">
      <c r="A304" s="76">
        <f>'PartLib Table'!C306</f>
        <v>0</v>
      </c>
      <c r="B304" s="77" t="str">
        <f>'PartLib Table'!K306</f>
        <v/>
      </c>
      <c r="C304" s="77">
        <f>'PartLib Table'!L306</f>
        <v>0</v>
      </c>
      <c r="D304" s="77">
        <f>'PartLib Table'!M306</f>
        <v>0</v>
      </c>
      <c r="E304" s="77">
        <f>'PartLib Table'!N306</f>
        <v>0</v>
      </c>
      <c r="F304" s="75">
        <f>'PartLib Table'!O306</f>
        <v>0</v>
      </c>
      <c r="G304" s="77">
        <f>'PartLib Table'!P306</f>
        <v>0</v>
      </c>
      <c r="H304" s="77">
        <f>'PartLib Table'!Q306</f>
        <v>0</v>
      </c>
    </row>
    <row r="305" spans="1:8">
      <c r="A305" s="76">
        <f>'PartLib Table'!C307</f>
        <v>0</v>
      </c>
      <c r="B305" s="77" t="str">
        <f>'PartLib Table'!K307</f>
        <v/>
      </c>
      <c r="C305" s="77">
        <f>'PartLib Table'!L307</f>
        <v>0</v>
      </c>
      <c r="D305" s="77">
        <f>'PartLib Table'!M307</f>
        <v>0</v>
      </c>
      <c r="E305" s="77">
        <f>'PartLib Table'!N307</f>
        <v>0</v>
      </c>
      <c r="F305" s="75">
        <f>'PartLib Table'!O307</f>
        <v>0</v>
      </c>
      <c r="G305" s="77">
        <f>'PartLib Table'!P307</f>
        <v>0</v>
      </c>
      <c r="H305" s="77">
        <f>'PartLib Table'!Q307</f>
        <v>0</v>
      </c>
    </row>
    <row r="306" spans="1:8">
      <c r="A306" s="76">
        <f>'PartLib Table'!C308</f>
        <v>0</v>
      </c>
      <c r="B306" s="77" t="str">
        <f>'PartLib Table'!K308</f>
        <v/>
      </c>
      <c r="C306" s="77">
        <f>'PartLib Table'!L308</f>
        <v>0</v>
      </c>
      <c r="D306" s="77">
        <f>'PartLib Table'!M308</f>
        <v>0</v>
      </c>
      <c r="E306" s="77">
        <f>'PartLib Table'!N308</f>
        <v>0</v>
      </c>
      <c r="F306" s="75">
        <f>'PartLib Table'!O308</f>
        <v>0</v>
      </c>
      <c r="G306" s="77">
        <f>'PartLib Table'!P308</f>
        <v>0</v>
      </c>
      <c r="H306" s="77">
        <f>'PartLib Table'!Q308</f>
        <v>0</v>
      </c>
    </row>
    <row r="307" spans="1:8">
      <c r="A307" s="76">
        <f>'PartLib Table'!C309</f>
        <v>0</v>
      </c>
      <c r="B307" s="77" t="str">
        <f>'PartLib Table'!K309</f>
        <v/>
      </c>
      <c r="C307" s="77">
        <f>'PartLib Table'!L309</f>
        <v>0</v>
      </c>
      <c r="D307" s="77">
        <f>'PartLib Table'!M309</f>
        <v>0</v>
      </c>
      <c r="E307" s="77">
        <f>'PartLib Table'!N309</f>
        <v>0</v>
      </c>
      <c r="F307" s="75">
        <f>'PartLib Table'!O309</f>
        <v>0</v>
      </c>
      <c r="G307" s="77">
        <f>'PartLib Table'!P309</f>
        <v>0</v>
      </c>
      <c r="H307" s="77">
        <f>'PartLib Table'!Q309</f>
        <v>0</v>
      </c>
    </row>
    <row r="308" spans="1:8">
      <c r="A308" s="76">
        <f>'PartLib Table'!C310</f>
        <v>0</v>
      </c>
      <c r="B308" s="77" t="str">
        <f>'PartLib Table'!K310</f>
        <v/>
      </c>
      <c r="C308" s="77">
        <f>'PartLib Table'!L310</f>
        <v>0</v>
      </c>
      <c r="D308" s="77">
        <f>'PartLib Table'!M310</f>
        <v>0</v>
      </c>
      <c r="E308" s="77">
        <f>'PartLib Table'!N310</f>
        <v>0</v>
      </c>
      <c r="F308" s="75">
        <f>'PartLib Table'!O310</f>
        <v>0</v>
      </c>
      <c r="G308" s="77">
        <f>'PartLib Table'!P310</f>
        <v>0</v>
      </c>
      <c r="H308" s="77">
        <f>'PartLib Table'!Q310</f>
        <v>0</v>
      </c>
    </row>
    <row r="309" spans="1:8">
      <c r="A309" s="76">
        <f>'PartLib Table'!C311</f>
        <v>0</v>
      </c>
      <c r="B309" s="77" t="str">
        <f>'PartLib Table'!K311</f>
        <v/>
      </c>
      <c r="C309" s="77">
        <f>'PartLib Table'!L311</f>
        <v>0</v>
      </c>
      <c r="D309" s="77">
        <f>'PartLib Table'!M311</f>
        <v>0</v>
      </c>
      <c r="E309" s="77">
        <f>'PartLib Table'!N311</f>
        <v>0</v>
      </c>
      <c r="F309" s="75">
        <f>'PartLib Table'!O311</f>
        <v>0</v>
      </c>
      <c r="G309" s="77">
        <f>'PartLib Table'!P311</f>
        <v>0</v>
      </c>
      <c r="H309" s="77">
        <f>'PartLib Table'!Q311</f>
        <v>0</v>
      </c>
    </row>
    <row r="310" spans="1:8">
      <c r="A310" s="76">
        <f>'PartLib Table'!C312</f>
        <v>0</v>
      </c>
      <c r="B310" s="77" t="str">
        <f>'PartLib Table'!K312</f>
        <v/>
      </c>
      <c r="C310" s="77">
        <f>'PartLib Table'!L312</f>
        <v>0</v>
      </c>
      <c r="D310" s="77">
        <f>'PartLib Table'!M312</f>
        <v>0</v>
      </c>
      <c r="E310" s="77">
        <f>'PartLib Table'!N312</f>
        <v>0</v>
      </c>
      <c r="F310" s="75">
        <f>'PartLib Table'!O312</f>
        <v>0</v>
      </c>
      <c r="G310" s="77">
        <f>'PartLib Table'!P312</f>
        <v>0</v>
      </c>
      <c r="H310" s="77">
        <f>'PartLib Table'!Q312</f>
        <v>0</v>
      </c>
    </row>
    <row r="311" spans="1:8">
      <c r="A311" s="76">
        <f>'PartLib Table'!C313</f>
        <v>0</v>
      </c>
      <c r="B311" s="77" t="str">
        <f>'PartLib Table'!K313</f>
        <v/>
      </c>
      <c r="C311" s="77">
        <f>'PartLib Table'!L313</f>
        <v>0</v>
      </c>
      <c r="D311" s="77">
        <f>'PartLib Table'!M313</f>
        <v>0</v>
      </c>
      <c r="E311" s="77">
        <f>'PartLib Table'!N313</f>
        <v>0</v>
      </c>
      <c r="F311" s="75">
        <f>'PartLib Table'!O313</f>
        <v>0</v>
      </c>
      <c r="G311" s="77">
        <f>'PartLib Table'!P313</f>
        <v>0</v>
      </c>
      <c r="H311" s="77">
        <f>'PartLib Table'!Q313</f>
        <v>0</v>
      </c>
    </row>
    <row r="312" spans="1:8">
      <c r="A312" s="76">
        <f>'PartLib Table'!C314</f>
        <v>0</v>
      </c>
      <c r="B312" s="77" t="str">
        <f>'PartLib Table'!K314</f>
        <v/>
      </c>
      <c r="C312" s="77">
        <f>'PartLib Table'!L314</f>
        <v>0</v>
      </c>
      <c r="D312" s="77">
        <f>'PartLib Table'!M314</f>
        <v>0</v>
      </c>
      <c r="E312" s="77">
        <f>'PartLib Table'!N314</f>
        <v>0</v>
      </c>
      <c r="F312" s="75">
        <f>'PartLib Table'!O314</f>
        <v>0</v>
      </c>
      <c r="G312" s="77">
        <f>'PartLib Table'!P314</f>
        <v>0</v>
      </c>
      <c r="H312" s="77">
        <f>'PartLib Table'!Q314</f>
        <v>0</v>
      </c>
    </row>
    <row r="313" spans="1:8">
      <c r="A313" s="76">
        <f>'PartLib Table'!C315</f>
        <v>0</v>
      </c>
      <c r="B313" s="77" t="str">
        <f>'PartLib Table'!K315</f>
        <v/>
      </c>
      <c r="C313" s="77">
        <f>'PartLib Table'!L315</f>
        <v>0</v>
      </c>
      <c r="D313" s="77">
        <f>'PartLib Table'!M315</f>
        <v>0</v>
      </c>
      <c r="E313" s="77">
        <f>'PartLib Table'!N315</f>
        <v>0</v>
      </c>
      <c r="F313" s="75">
        <f>'PartLib Table'!O315</f>
        <v>0</v>
      </c>
      <c r="G313" s="77">
        <f>'PartLib Table'!P315</f>
        <v>0</v>
      </c>
      <c r="H313" s="77">
        <f>'PartLib Table'!Q315</f>
        <v>0</v>
      </c>
    </row>
    <row r="314" spans="1:8">
      <c r="A314" s="76">
        <f>'PartLib Table'!C316</f>
        <v>0</v>
      </c>
      <c r="B314" s="77" t="str">
        <f>'PartLib Table'!K316</f>
        <v/>
      </c>
      <c r="C314" s="77">
        <f>'PartLib Table'!L316</f>
        <v>0</v>
      </c>
      <c r="D314" s="77">
        <f>'PartLib Table'!M316</f>
        <v>0</v>
      </c>
      <c r="E314" s="77">
        <f>'PartLib Table'!N316</f>
        <v>0</v>
      </c>
      <c r="F314" s="75">
        <f>'PartLib Table'!O316</f>
        <v>0</v>
      </c>
      <c r="G314" s="77">
        <f>'PartLib Table'!P316</f>
        <v>0</v>
      </c>
      <c r="H314" s="77">
        <f>'PartLib Table'!Q316</f>
        <v>0</v>
      </c>
    </row>
    <row r="315" spans="1:8">
      <c r="A315" s="76">
        <f>'PartLib Table'!C317</f>
        <v>0</v>
      </c>
      <c r="B315" s="77" t="str">
        <f>'PartLib Table'!K317</f>
        <v/>
      </c>
      <c r="C315" s="77">
        <f>'PartLib Table'!L317</f>
        <v>0</v>
      </c>
      <c r="D315" s="77">
        <f>'PartLib Table'!M317</f>
        <v>0</v>
      </c>
      <c r="E315" s="77">
        <f>'PartLib Table'!N317</f>
        <v>0</v>
      </c>
      <c r="F315" s="75">
        <f>'PartLib Table'!O317</f>
        <v>0</v>
      </c>
      <c r="G315" s="77">
        <f>'PartLib Table'!P317</f>
        <v>0</v>
      </c>
      <c r="H315" s="77">
        <f>'PartLib Table'!Q317</f>
        <v>0</v>
      </c>
    </row>
    <row r="316" spans="1:8">
      <c r="A316" s="76">
        <f>'PartLib Table'!C318</f>
        <v>0</v>
      </c>
      <c r="B316" s="77" t="str">
        <f>'PartLib Table'!K318</f>
        <v/>
      </c>
      <c r="C316" s="77">
        <f>'PartLib Table'!L318</f>
        <v>0</v>
      </c>
      <c r="D316" s="77">
        <f>'PartLib Table'!M318</f>
        <v>0</v>
      </c>
      <c r="E316" s="77">
        <f>'PartLib Table'!N318</f>
        <v>0</v>
      </c>
      <c r="F316" s="75">
        <f>'PartLib Table'!O318</f>
        <v>0</v>
      </c>
      <c r="G316" s="77">
        <f>'PartLib Table'!P318</f>
        <v>0</v>
      </c>
      <c r="H316" s="77">
        <f>'PartLib Table'!Q318</f>
        <v>0</v>
      </c>
    </row>
    <row r="317" spans="1:8">
      <c r="A317" s="76">
        <f>'PartLib Table'!C319</f>
        <v>0</v>
      </c>
      <c r="B317" s="77" t="str">
        <f>'PartLib Table'!K319</f>
        <v/>
      </c>
      <c r="C317" s="77">
        <f>'PartLib Table'!L319</f>
        <v>0</v>
      </c>
      <c r="D317" s="77">
        <f>'PartLib Table'!M319</f>
        <v>0</v>
      </c>
      <c r="E317" s="77">
        <f>'PartLib Table'!N319</f>
        <v>0</v>
      </c>
      <c r="F317" s="75">
        <f>'PartLib Table'!O319</f>
        <v>0</v>
      </c>
      <c r="G317" s="77">
        <f>'PartLib Table'!P319</f>
        <v>0</v>
      </c>
      <c r="H317" s="77">
        <f>'PartLib Table'!Q319</f>
        <v>0</v>
      </c>
    </row>
    <row r="318" spans="1:8">
      <c r="A318" s="76">
        <f>'PartLib Table'!C320</f>
        <v>0</v>
      </c>
      <c r="B318" s="77" t="str">
        <f>'PartLib Table'!K320</f>
        <v/>
      </c>
      <c r="C318" s="77">
        <f>'PartLib Table'!L320</f>
        <v>0</v>
      </c>
      <c r="D318" s="77">
        <f>'PartLib Table'!M320</f>
        <v>0</v>
      </c>
      <c r="E318" s="77">
        <f>'PartLib Table'!N320</f>
        <v>0</v>
      </c>
      <c r="F318" s="75">
        <f>'PartLib Table'!O320</f>
        <v>0</v>
      </c>
      <c r="G318" s="77">
        <f>'PartLib Table'!P320</f>
        <v>0</v>
      </c>
      <c r="H318" s="77">
        <f>'PartLib Table'!Q320</f>
        <v>0</v>
      </c>
    </row>
    <row r="319" spans="1:8">
      <c r="A319" s="76">
        <f>'PartLib Table'!C321</f>
        <v>0</v>
      </c>
      <c r="B319" s="77" t="str">
        <f>'PartLib Table'!K321</f>
        <v/>
      </c>
      <c r="C319" s="77">
        <f>'PartLib Table'!L321</f>
        <v>0</v>
      </c>
      <c r="D319" s="77">
        <f>'PartLib Table'!M321</f>
        <v>0</v>
      </c>
      <c r="E319" s="77">
        <f>'PartLib Table'!N321</f>
        <v>0</v>
      </c>
      <c r="F319" s="75">
        <f>'PartLib Table'!O321</f>
        <v>0</v>
      </c>
      <c r="G319" s="77">
        <f>'PartLib Table'!P321</f>
        <v>0</v>
      </c>
      <c r="H319" s="77">
        <f>'PartLib Table'!Q321</f>
        <v>0</v>
      </c>
    </row>
    <row r="320" spans="1:8">
      <c r="A320" s="76">
        <f>'PartLib Table'!C322</f>
        <v>0</v>
      </c>
      <c r="B320" s="77" t="str">
        <f>'PartLib Table'!K322</f>
        <v/>
      </c>
      <c r="C320" s="77">
        <f>'PartLib Table'!L322</f>
        <v>0</v>
      </c>
      <c r="D320" s="77">
        <f>'PartLib Table'!M322</f>
        <v>0</v>
      </c>
      <c r="E320" s="77">
        <f>'PartLib Table'!N322</f>
        <v>0</v>
      </c>
      <c r="F320" s="75">
        <f>'PartLib Table'!O322</f>
        <v>0</v>
      </c>
      <c r="G320" s="77">
        <f>'PartLib Table'!P322</f>
        <v>0</v>
      </c>
      <c r="H320" s="77">
        <f>'PartLib Table'!Q322</f>
        <v>0</v>
      </c>
    </row>
    <row r="321" spans="1:8">
      <c r="A321" s="76">
        <f>'PartLib Table'!C323</f>
        <v>0</v>
      </c>
      <c r="B321" s="77" t="str">
        <f>'PartLib Table'!K323</f>
        <v/>
      </c>
      <c r="C321" s="77">
        <f>'PartLib Table'!L323</f>
        <v>0</v>
      </c>
      <c r="D321" s="77">
        <f>'PartLib Table'!M323</f>
        <v>0</v>
      </c>
      <c r="E321" s="77">
        <f>'PartLib Table'!N323</f>
        <v>0</v>
      </c>
      <c r="F321" s="75">
        <f>'PartLib Table'!O323</f>
        <v>0</v>
      </c>
      <c r="G321" s="77">
        <f>'PartLib Table'!P323</f>
        <v>0</v>
      </c>
      <c r="H321" s="77">
        <f>'PartLib Table'!Q323</f>
        <v>0</v>
      </c>
    </row>
    <row r="322" spans="1:8">
      <c r="A322" s="76">
        <f>'PartLib Table'!C324</f>
        <v>0</v>
      </c>
      <c r="B322" s="77" t="str">
        <f>'PartLib Table'!K324</f>
        <v/>
      </c>
      <c r="C322" s="77">
        <f>'PartLib Table'!L324</f>
        <v>0</v>
      </c>
      <c r="D322" s="77">
        <f>'PartLib Table'!M324</f>
        <v>0</v>
      </c>
      <c r="E322" s="77">
        <f>'PartLib Table'!N324</f>
        <v>0</v>
      </c>
      <c r="F322" s="75">
        <f>'PartLib Table'!O324</f>
        <v>0</v>
      </c>
      <c r="G322" s="77">
        <f>'PartLib Table'!P324</f>
        <v>0</v>
      </c>
      <c r="H322" s="77">
        <f>'PartLib Table'!Q324</f>
        <v>0</v>
      </c>
    </row>
    <row r="323" spans="1:8">
      <c r="A323" s="76">
        <f>'PartLib Table'!C325</f>
        <v>0</v>
      </c>
      <c r="B323" s="77" t="str">
        <f>'PartLib Table'!K325</f>
        <v/>
      </c>
      <c r="C323" s="77">
        <f>'PartLib Table'!L325</f>
        <v>0</v>
      </c>
      <c r="D323" s="77">
        <f>'PartLib Table'!M325</f>
        <v>0</v>
      </c>
      <c r="E323" s="77">
        <f>'PartLib Table'!N325</f>
        <v>0</v>
      </c>
      <c r="F323" s="75">
        <f>'PartLib Table'!O325</f>
        <v>0</v>
      </c>
      <c r="G323" s="77">
        <f>'PartLib Table'!P325</f>
        <v>0</v>
      </c>
      <c r="H323" s="77">
        <f>'PartLib Table'!Q325</f>
        <v>0</v>
      </c>
    </row>
    <row r="324" spans="1:8">
      <c r="A324" s="76">
        <f>'PartLib Table'!C326</f>
        <v>0</v>
      </c>
      <c r="B324" s="77" t="str">
        <f>'PartLib Table'!K326</f>
        <v/>
      </c>
      <c r="C324" s="77">
        <f>'PartLib Table'!L326</f>
        <v>0</v>
      </c>
      <c r="D324" s="77">
        <f>'PartLib Table'!M326</f>
        <v>0</v>
      </c>
      <c r="E324" s="77">
        <f>'PartLib Table'!N326</f>
        <v>0</v>
      </c>
      <c r="F324" s="75">
        <f>'PartLib Table'!O326</f>
        <v>0</v>
      </c>
      <c r="G324" s="77">
        <f>'PartLib Table'!P326</f>
        <v>0</v>
      </c>
      <c r="H324" s="77">
        <f>'PartLib Table'!Q326</f>
        <v>0</v>
      </c>
    </row>
    <row r="325" spans="1:8">
      <c r="A325" s="76">
        <f>'PartLib Table'!C327</f>
        <v>0</v>
      </c>
      <c r="B325" s="77" t="str">
        <f>'PartLib Table'!K327</f>
        <v/>
      </c>
      <c r="C325" s="77">
        <f>'PartLib Table'!L327</f>
        <v>0</v>
      </c>
      <c r="D325" s="77">
        <f>'PartLib Table'!M327</f>
        <v>0</v>
      </c>
      <c r="E325" s="77">
        <f>'PartLib Table'!N327</f>
        <v>0</v>
      </c>
      <c r="F325" s="75">
        <f>'PartLib Table'!O327</f>
        <v>0</v>
      </c>
      <c r="G325" s="77">
        <f>'PartLib Table'!P327</f>
        <v>0</v>
      </c>
      <c r="H325" s="77">
        <f>'PartLib Table'!Q327</f>
        <v>0</v>
      </c>
    </row>
    <row r="326" spans="1:8">
      <c r="A326" s="76">
        <f>'PartLib Table'!C328</f>
        <v>0</v>
      </c>
      <c r="B326" s="77" t="str">
        <f>'PartLib Table'!K328</f>
        <v/>
      </c>
      <c r="C326" s="77">
        <f>'PartLib Table'!L328</f>
        <v>0</v>
      </c>
      <c r="D326" s="77">
        <f>'PartLib Table'!M328</f>
        <v>0</v>
      </c>
      <c r="E326" s="77">
        <f>'PartLib Table'!N328</f>
        <v>0</v>
      </c>
      <c r="F326" s="75">
        <f>'PartLib Table'!O328</f>
        <v>0</v>
      </c>
      <c r="G326" s="77">
        <f>'PartLib Table'!P328</f>
        <v>0</v>
      </c>
      <c r="H326" s="77">
        <f>'PartLib Table'!Q328</f>
        <v>0</v>
      </c>
    </row>
    <row r="327" spans="1:8">
      <c r="A327" s="76">
        <f>'PartLib Table'!C329</f>
        <v>0</v>
      </c>
      <c r="B327" s="77" t="str">
        <f>'PartLib Table'!K329</f>
        <v/>
      </c>
      <c r="C327" s="77">
        <f>'PartLib Table'!L329</f>
        <v>0</v>
      </c>
      <c r="D327" s="77">
        <f>'PartLib Table'!M329</f>
        <v>0</v>
      </c>
      <c r="E327" s="77">
        <f>'PartLib Table'!N329</f>
        <v>0</v>
      </c>
      <c r="F327" s="75">
        <f>'PartLib Table'!O329</f>
        <v>0</v>
      </c>
      <c r="G327" s="77">
        <f>'PartLib Table'!P329</f>
        <v>0</v>
      </c>
      <c r="H327" s="77">
        <f>'PartLib Table'!Q329</f>
        <v>0</v>
      </c>
    </row>
    <row r="328" spans="1:8">
      <c r="A328" s="76">
        <f>'PartLib Table'!C330</f>
        <v>0</v>
      </c>
      <c r="B328" s="77" t="str">
        <f>'PartLib Table'!K330</f>
        <v/>
      </c>
      <c r="C328" s="77">
        <f>'PartLib Table'!L330</f>
        <v>0</v>
      </c>
      <c r="D328" s="77">
        <f>'PartLib Table'!M330</f>
        <v>0</v>
      </c>
      <c r="E328" s="77">
        <f>'PartLib Table'!N330</f>
        <v>0</v>
      </c>
      <c r="F328" s="75">
        <f>'PartLib Table'!O330</f>
        <v>0</v>
      </c>
      <c r="G328" s="77">
        <f>'PartLib Table'!P330</f>
        <v>0</v>
      </c>
      <c r="H328" s="77">
        <f>'PartLib Table'!Q330</f>
        <v>0</v>
      </c>
    </row>
    <row r="329" spans="1:8">
      <c r="A329" s="76">
        <f>'PartLib Table'!C331</f>
        <v>0</v>
      </c>
      <c r="B329" s="77" t="str">
        <f>'PartLib Table'!K331</f>
        <v/>
      </c>
      <c r="C329" s="77">
        <f>'PartLib Table'!L331</f>
        <v>0</v>
      </c>
      <c r="D329" s="77">
        <f>'PartLib Table'!M331</f>
        <v>0</v>
      </c>
      <c r="E329" s="77">
        <f>'PartLib Table'!N331</f>
        <v>0</v>
      </c>
      <c r="F329" s="75">
        <f>'PartLib Table'!O331</f>
        <v>0</v>
      </c>
      <c r="G329" s="77">
        <f>'PartLib Table'!P331</f>
        <v>0</v>
      </c>
      <c r="H329" s="77">
        <f>'PartLib Table'!Q331</f>
        <v>0</v>
      </c>
    </row>
    <row r="330" spans="1:8">
      <c r="A330" s="76">
        <f>'PartLib Table'!C332</f>
        <v>0</v>
      </c>
      <c r="B330" s="77" t="str">
        <f>'PartLib Table'!K332</f>
        <v/>
      </c>
      <c r="C330" s="77">
        <f>'PartLib Table'!L332</f>
        <v>0</v>
      </c>
      <c r="D330" s="77">
        <f>'PartLib Table'!M332</f>
        <v>0</v>
      </c>
      <c r="E330" s="77">
        <f>'PartLib Table'!N332</f>
        <v>0</v>
      </c>
      <c r="F330" s="75">
        <f>'PartLib Table'!O332</f>
        <v>0</v>
      </c>
      <c r="G330" s="77">
        <f>'PartLib Table'!P332</f>
        <v>0</v>
      </c>
      <c r="H330" s="77">
        <f>'PartLib Table'!Q332</f>
        <v>0</v>
      </c>
    </row>
    <row r="331" spans="1:8">
      <c r="A331" s="76">
        <f>'PartLib Table'!C333</f>
        <v>0</v>
      </c>
      <c r="B331" s="77" t="str">
        <f>'PartLib Table'!K333</f>
        <v/>
      </c>
      <c r="C331" s="77">
        <f>'PartLib Table'!L333</f>
        <v>0</v>
      </c>
      <c r="D331" s="77">
        <f>'PartLib Table'!M333</f>
        <v>0</v>
      </c>
      <c r="E331" s="77">
        <f>'PartLib Table'!N333</f>
        <v>0</v>
      </c>
      <c r="F331" s="75">
        <f>'PartLib Table'!O333</f>
        <v>0</v>
      </c>
      <c r="G331" s="77">
        <f>'PartLib Table'!P333</f>
        <v>0</v>
      </c>
      <c r="H331" s="77">
        <f>'PartLib Table'!Q333</f>
        <v>0</v>
      </c>
    </row>
    <row r="332" spans="1:8">
      <c r="A332" s="76">
        <f>'PartLib Table'!C334</f>
        <v>0</v>
      </c>
      <c r="B332" s="77" t="str">
        <f>'PartLib Table'!K334</f>
        <v/>
      </c>
      <c r="C332" s="77">
        <f>'PartLib Table'!L334</f>
        <v>0</v>
      </c>
      <c r="D332" s="77">
        <f>'PartLib Table'!M334</f>
        <v>0</v>
      </c>
      <c r="E332" s="77">
        <f>'PartLib Table'!N334</f>
        <v>0</v>
      </c>
      <c r="F332" s="75">
        <f>'PartLib Table'!O334</f>
        <v>0</v>
      </c>
      <c r="G332" s="77">
        <f>'PartLib Table'!P334</f>
        <v>0</v>
      </c>
      <c r="H332" s="77">
        <f>'PartLib Table'!Q334</f>
        <v>0</v>
      </c>
    </row>
    <row r="333" spans="1:8">
      <c r="A333" s="76">
        <f>'PartLib Table'!C335</f>
        <v>0</v>
      </c>
      <c r="B333" s="77" t="str">
        <f>'PartLib Table'!K335</f>
        <v/>
      </c>
      <c r="C333" s="77">
        <f>'PartLib Table'!L335</f>
        <v>0</v>
      </c>
      <c r="D333" s="77">
        <f>'PartLib Table'!M335</f>
        <v>0</v>
      </c>
      <c r="E333" s="77">
        <f>'PartLib Table'!N335</f>
        <v>0</v>
      </c>
      <c r="F333" s="75">
        <f>'PartLib Table'!O335</f>
        <v>0</v>
      </c>
      <c r="G333" s="77">
        <f>'PartLib Table'!P335</f>
        <v>0</v>
      </c>
      <c r="H333" s="77">
        <f>'PartLib Table'!Q335</f>
        <v>0</v>
      </c>
    </row>
    <row r="334" spans="1:8">
      <c r="A334" s="76">
        <f>'PartLib Table'!C336</f>
        <v>0</v>
      </c>
      <c r="B334" s="77" t="str">
        <f>'PartLib Table'!K336</f>
        <v/>
      </c>
      <c r="C334" s="77">
        <f>'PartLib Table'!L336</f>
        <v>0</v>
      </c>
      <c r="D334" s="77">
        <f>'PartLib Table'!M336</f>
        <v>0</v>
      </c>
      <c r="E334" s="77">
        <f>'PartLib Table'!N336</f>
        <v>0</v>
      </c>
      <c r="F334" s="75">
        <f>'PartLib Table'!O336</f>
        <v>0</v>
      </c>
      <c r="G334" s="77">
        <f>'PartLib Table'!P336</f>
        <v>0</v>
      </c>
      <c r="H334" s="77">
        <f>'PartLib Table'!Q336</f>
        <v>0</v>
      </c>
    </row>
    <row r="335" spans="1:8">
      <c r="A335" s="76">
        <f>'PartLib Table'!C337</f>
        <v>0</v>
      </c>
      <c r="B335" s="77" t="str">
        <f>'PartLib Table'!K337</f>
        <v/>
      </c>
      <c r="C335" s="77">
        <f>'PartLib Table'!L337</f>
        <v>0</v>
      </c>
      <c r="D335" s="77">
        <f>'PartLib Table'!M337</f>
        <v>0</v>
      </c>
      <c r="E335" s="77">
        <f>'PartLib Table'!N337</f>
        <v>0</v>
      </c>
      <c r="F335" s="75">
        <f>'PartLib Table'!O337</f>
        <v>0</v>
      </c>
      <c r="G335" s="77">
        <f>'PartLib Table'!P337</f>
        <v>0</v>
      </c>
      <c r="H335" s="77">
        <f>'PartLib Table'!Q337</f>
        <v>0</v>
      </c>
    </row>
    <row r="336" spans="1:8">
      <c r="A336" s="76">
        <f>'PartLib Table'!C338</f>
        <v>0</v>
      </c>
      <c r="B336" s="77" t="str">
        <f>'PartLib Table'!K338</f>
        <v/>
      </c>
      <c r="C336" s="77">
        <f>'PartLib Table'!L338</f>
        <v>0</v>
      </c>
      <c r="D336" s="77">
        <f>'PartLib Table'!M338</f>
        <v>0</v>
      </c>
      <c r="E336" s="77">
        <f>'PartLib Table'!N338</f>
        <v>0</v>
      </c>
      <c r="F336" s="75">
        <f>'PartLib Table'!O338</f>
        <v>0</v>
      </c>
      <c r="G336" s="77">
        <f>'PartLib Table'!P338</f>
        <v>0</v>
      </c>
      <c r="H336" s="77">
        <f>'PartLib Table'!Q338</f>
        <v>0</v>
      </c>
    </row>
    <row r="337" spans="1:8">
      <c r="A337" s="76">
        <f>'PartLib Table'!C339</f>
        <v>0</v>
      </c>
      <c r="B337" s="77" t="str">
        <f>'PartLib Table'!K339</f>
        <v/>
      </c>
      <c r="C337" s="77">
        <f>'PartLib Table'!L339</f>
        <v>0</v>
      </c>
      <c r="D337" s="77">
        <f>'PartLib Table'!M339</f>
        <v>0</v>
      </c>
      <c r="E337" s="77">
        <f>'PartLib Table'!N339</f>
        <v>0</v>
      </c>
      <c r="F337" s="75">
        <f>'PartLib Table'!O339</f>
        <v>0</v>
      </c>
      <c r="G337" s="77">
        <f>'PartLib Table'!P339</f>
        <v>0</v>
      </c>
      <c r="H337" s="77">
        <f>'PartLib Table'!Q339</f>
        <v>0</v>
      </c>
    </row>
    <row r="338" spans="1:8">
      <c r="A338" s="76">
        <f>'PartLib Table'!C340</f>
        <v>0</v>
      </c>
      <c r="B338" s="77" t="str">
        <f>'PartLib Table'!K340</f>
        <v/>
      </c>
      <c r="C338" s="77">
        <f>'PartLib Table'!L340</f>
        <v>0</v>
      </c>
      <c r="D338" s="77">
        <f>'PartLib Table'!M340</f>
        <v>0</v>
      </c>
      <c r="E338" s="77">
        <f>'PartLib Table'!N340</f>
        <v>0</v>
      </c>
      <c r="F338" s="75">
        <f>'PartLib Table'!O340</f>
        <v>0</v>
      </c>
      <c r="G338" s="77">
        <f>'PartLib Table'!P340</f>
        <v>0</v>
      </c>
      <c r="H338" s="77">
        <f>'PartLib Table'!Q340</f>
        <v>0</v>
      </c>
    </row>
    <row r="339" spans="1:8">
      <c r="A339" s="76">
        <f>'PartLib Table'!C341</f>
        <v>0</v>
      </c>
      <c r="B339" s="77" t="str">
        <f>'PartLib Table'!K341</f>
        <v/>
      </c>
      <c r="C339" s="77">
        <f>'PartLib Table'!L341</f>
        <v>0</v>
      </c>
      <c r="D339" s="77">
        <f>'PartLib Table'!M341</f>
        <v>0</v>
      </c>
      <c r="E339" s="77">
        <f>'PartLib Table'!N341</f>
        <v>0</v>
      </c>
      <c r="F339" s="75">
        <f>'PartLib Table'!O341</f>
        <v>0</v>
      </c>
      <c r="G339" s="77">
        <f>'PartLib Table'!P341</f>
        <v>0</v>
      </c>
      <c r="H339" s="77">
        <f>'PartLib Table'!Q341</f>
        <v>0</v>
      </c>
    </row>
    <row r="340" spans="1:8">
      <c r="A340" s="76">
        <f>'PartLib Table'!C342</f>
        <v>0</v>
      </c>
      <c r="B340" s="77" t="str">
        <f>'PartLib Table'!K342</f>
        <v/>
      </c>
      <c r="C340" s="77">
        <f>'PartLib Table'!L342</f>
        <v>0</v>
      </c>
      <c r="D340" s="77">
        <f>'PartLib Table'!M342</f>
        <v>0</v>
      </c>
      <c r="E340" s="77">
        <f>'PartLib Table'!N342</f>
        <v>0</v>
      </c>
      <c r="F340" s="75">
        <f>'PartLib Table'!O342</f>
        <v>0</v>
      </c>
      <c r="G340" s="77">
        <f>'PartLib Table'!P342</f>
        <v>0</v>
      </c>
      <c r="H340" s="77">
        <f>'PartLib Table'!Q342</f>
        <v>0</v>
      </c>
    </row>
    <row r="341" spans="1:8">
      <c r="A341" s="76">
        <f>'PartLib Table'!C343</f>
        <v>0</v>
      </c>
      <c r="B341" s="77" t="str">
        <f>'PartLib Table'!K343</f>
        <v/>
      </c>
      <c r="C341" s="77">
        <f>'PartLib Table'!L343</f>
        <v>0</v>
      </c>
      <c r="D341" s="77">
        <f>'PartLib Table'!M343</f>
        <v>0</v>
      </c>
      <c r="E341" s="77">
        <f>'PartLib Table'!N343</f>
        <v>0</v>
      </c>
      <c r="F341" s="75">
        <f>'PartLib Table'!O343</f>
        <v>0</v>
      </c>
      <c r="G341" s="77">
        <f>'PartLib Table'!P343</f>
        <v>0</v>
      </c>
      <c r="H341" s="77">
        <f>'PartLib Table'!Q343</f>
        <v>0</v>
      </c>
    </row>
    <row r="342" spans="1:8">
      <c r="A342" s="76">
        <f>'PartLib Table'!C344</f>
        <v>0</v>
      </c>
      <c r="B342" s="77" t="str">
        <f>'PartLib Table'!K344</f>
        <v/>
      </c>
      <c r="C342" s="77">
        <f>'PartLib Table'!L344</f>
        <v>0</v>
      </c>
      <c r="D342" s="77">
        <f>'PartLib Table'!M344</f>
        <v>0</v>
      </c>
      <c r="E342" s="77">
        <f>'PartLib Table'!N344</f>
        <v>0</v>
      </c>
      <c r="F342" s="75">
        <f>'PartLib Table'!O344</f>
        <v>0</v>
      </c>
      <c r="G342" s="77">
        <f>'PartLib Table'!P344</f>
        <v>0</v>
      </c>
      <c r="H342" s="77">
        <f>'PartLib Table'!Q344</f>
        <v>0</v>
      </c>
    </row>
    <row r="343" spans="1:8">
      <c r="A343" s="76">
        <f>'PartLib Table'!C345</f>
        <v>0</v>
      </c>
      <c r="B343" s="77" t="str">
        <f>'PartLib Table'!K345</f>
        <v/>
      </c>
      <c r="C343" s="77">
        <f>'PartLib Table'!L345</f>
        <v>0</v>
      </c>
      <c r="D343" s="77">
        <f>'PartLib Table'!M345</f>
        <v>0</v>
      </c>
      <c r="E343" s="77">
        <f>'PartLib Table'!N345</f>
        <v>0</v>
      </c>
      <c r="F343" s="75">
        <f>'PartLib Table'!O345</f>
        <v>0</v>
      </c>
      <c r="G343" s="77">
        <f>'PartLib Table'!P345</f>
        <v>0</v>
      </c>
      <c r="H343" s="77">
        <f>'PartLib Table'!Q345</f>
        <v>0</v>
      </c>
    </row>
    <row r="344" spans="1:8">
      <c r="A344" s="76">
        <f>'PartLib Table'!C346</f>
        <v>0</v>
      </c>
      <c r="B344" s="77" t="str">
        <f>'PartLib Table'!K346</f>
        <v/>
      </c>
      <c r="C344" s="77">
        <f>'PartLib Table'!L346</f>
        <v>0</v>
      </c>
      <c r="D344" s="77">
        <f>'PartLib Table'!M346</f>
        <v>0</v>
      </c>
      <c r="E344" s="77">
        <f>'PartLib Table'!N346</f>
        <v>0</v>
      </c>
      <c r="F344" s="75">
        <f>'PartLib Table'!O346</f>
        <v>0</v>
      </c>
      <c r="G344" s="77">
        <f>'PartLib Table'!P346</f>
        <v>0</v>
      </c>
      <c r="H344" s="77">
        <f>'PartLib Table'!Q346</f>
        <v>0</v>
      </c>
    </row>
    <row r="345" spans="1:8">
      <c r="A345" s="76">
        <f>'PartLib Table'!C347</f>
        <v>0</v>
      </c>
      <c r="B345" s="77" t="str">
        <f>'PartLib Table'!K347</f>
        <v/>
      </c>
      <c r="C345" s="77">
        <f>'PartLib Table'!L347</f>
        <v>0</v>
      </c>
      <c r="D345" s="77">
        <f>'PartLib Table'!M347</f>
        <v>0</v>
      </c>
      <c r="E345" s="77">
        <f>'PartLib Table'!N347</f>
        <v>0</v>
      </c>
      <c r="F345" s="75">
        <f>'PartLib Table'!O347</f>
        <v>0</v>
      </c>
      <c r="G345" s="77">
        <f>'PartLib Table'!P347</f>
        <v>0</v>
      </c>
      <c r="H345" s="77">
        <f>'PartLib Table'!Q347</f>
        <v>0</v>
      </c>
    </row>
    <row r="346" spans="1:8">
      <c r="A346" s="76">
        <f>'PartLib Table'!C348</f>
        <v>0</v>
      </c>
      <c r="B346" s="77" t="str">
        <f>'PartLib Table'!K348</f>
        <v/>
      </c>
      <c r="C346" s="77">
        <f>'PartLib Table'!L348</f>
        <v>0</v>
      </c>
      <c r="D346" s="77">
        <f>'PartLib Table'!M348</f>
        <v>0</v>
      </c>
      <c r="E346" s="77">
        <f>'PartLib Table'!N348</f>
        <v>0</v>
      </c>
      <c r="F346" s="75">
        <f>'PartLib Table'!O348</f>
        <v>0</v>
      </c>
      <c r="G346" s="77">
        <f>'PartLib Table'!P348</f>
        <v>0</v>
      </c>
      <c r="H346" s="77">
        <f>'PartLib Table'!Q348</f>
        <v>0</v>
      </c>
    </row>
    <row r="347" spans="1:8">
      <c r="A347" s="76">
        <f>'PartLib Table'!C349</f>
        <v>0</v>
      </c>
      <c r="B347" s="77" t="str">
        <f>'PartLib Table'!K349</f>
        <v/>
      </c>
      <c r="C347" s="77">
        <f>'PartLib Table'!L349</f>
        <v>0</v>
      </c>
      <c r="D347" s="77">
        <f>'PartLib Table'!M349</f>
        <v>0</v>
      </c>
      <c r="E347" s="77">
        <f>'PartLib Table'!N349</f>
        <v>0</v>
      </c>
      <c r="F347" s="75">
        <f>'PartLib Table'!O349</f>
        <v>0</v>
      </c>
      <c r="G347" s="77">
        <f>'PartLib Table'!P349</f>
        <v>0</v>
      </c>
      <c r="H347" s="77">
        <f>'PartLib Table'!Q349</f>
        <v>0</v>
      </c>
    </row>
    <row r="348" spans="1:8">
      <c r="A348" s="76">
        <f>'PartLib Table'!C350</f>
        <v>0</v>
      </c>
      <c r="B348" s="77" t="str">
        <f>'PartLib Table'!K350</f>
        <v/>
      </c>
      <c r="C348" s="77">
        <f>'PartLib Table'!L350</f>
        <v>0</v>
      </c>
      <c r="D348" s="77">
        <f>'PartLib Table'!M350</f>
        <v>0</v>
      </c>
      <c r="E348" s="77">
        <f>'PartLib Table'!N350</f>
        <v>0</v>
      </c>
      <c r="F348" s="75">
        <f>'PartLib Table'!O350</f>
        <v>0</v>
      </c>
      <c r="G348" s="77">
        <f>'PartLib Table'!P350</f>
        <v>0</v>
      </c>
      <c r="H348" s="77">
        <f>'PartLib Table'!Q350</f>
        <v>0</v>
      </c>
    </row>
    <row r="349" spans="1:8">
      <c r="A349" s="76">
        <f>'PartLib Table'!C351</f>
        <v>0</v>
      </c>
      <c r="B349" s="77" t="str">
        <f>'PartLib Table'!K351</f>
        <v/>
      </c>
      <c r="C349" s="77">
        <f>'PartLib Table'!L351</f>
        <v>0</v>
      </c>
      <c r="D349" s="77">
        <f>'PartLib Table'!M351</f>
        <v>0</v>
      </c>
      <c r="E349" s="77">
        <f>'PartLib Table'!N351</f>
        <v>0</v>
      </c>
      <c r="F349" s="75">
        <f>'PartLib Table'!O351</f>
        <v>0</v>
      </c>
      <c r="G349" s="77">
        <f>'PartLib Table'!P351</f>
        <v>0</v>
      </c>
      <c r="H349" s="77">
        <f>'PartLib Table'!Q351</f>
        <v>0</v>
      </c>
    </row>
    <row r="350" spans="1:8">
      <c r="A350" s="76">
        <f>'PartLib Table'!C352</f>
        <v>0</v>
      </c>
      <c r="B350" s="77" t="str">
        <f>'PartLib Table'!K352</f>
        <v/>
      </c>
      <c r="C350" s="77">
        <f>'PartLib Table'!L352</f>
        <v>0</v>
      </c>
      <c r="D350" s="77">
        <f>'PartLib Table'!M352</f>
        <v>0</v>
      </c>
      <c r="E350" s="77">
        <f>'PartLib Table'!N352</f>
        <v>0</v>
      </c>
      <c r="F350" s="75">
        <f>'PartLib Table'!O352</f>
        <v>0</v>
      </c>
      <c r="G350" s="77">
        <f>'PartLib Table'!P352</f>
        <v>0</v>
      </c>
      <c r="H350" s="77">
        <f>'PartLib Table'!Q352</f>
        <v>0</v>
      </c>
    </row>
    <row r="351" spans="1:8">
      <c r="A351" s="76">
        <f>'PartLib Table'!C353</f>
        <v>0</v>
      </c>
      <c r="B351" s="77" t="str">
        <f>'PartLib Table'!K353</f>
        <v/>
      </c>
      <c r="C351" s="77">
        <f>'PartLib Table'!L353</f>
        <v>0</v>
      </c>
      <c r="D351" s="77">
        <f>'PartLib Table'!M353</f>
        <v>0</v>
      </c>
      <c r="E351" s="77">
        <f>'PartLib Table'!N353</f>
        <v>0</v>
      </c>
      <c r="F351" s="75">
        <f>'PartLib Table'!O353</f>
        <v>0</v>
      </c>
      <c r="G351" s="77">
        <f>'PartLib Table'!P353</f>
        <v>0</v>
      </c>
      <c r="H351" s="77">
        <f>'PartLib Table'!Q353</f>
        <v>0</v>
      </c>
    </row>
    <row r="352" spans="1:8">
      <c r="A352" s="76">
        <f>'PartLib Table'!C354</f>
        <v>0</v>
      </c>
      <c r="B352" s="77" t="str">
        <f>'PartLib Table'!K354</f>
        <v/>
      </c>
      <c r="C352" s="77">
        <f>'PartLib Table'!L354</f>
        <v>0</v>
      </c>
      <c r="D352" s="77">
        <f>'PartLib Table'!M354</f>
        <v>0</v>
      </c>
      <c r="E352" s="77">
        <f>'PartLib Table'!N354</f>
        <v>0</v>
      </c>
      <c r="F352" s="75">
        <f>'PartLib Table'!O354</f>
        <v>0</v>
      </c>
      <c r="G352" s="77">
        <f>'PartLib Table'!P354</f>
        <v>0</v>
      </c>
      <c r="H352" s="77">
        <f>'PartLib Table'!Q354</f>
        <v>0</v>
      </c>
    </row>
    <row r="353" spans="1:8">
      <c r="A353" s="76">
        <f>'PartLib Table'!C355</f>
        <v>0</v>
      </c>
      <c r="B353" s="77" t="str">
        <f>'PartLib Table'!K355</f>
        <v/>
      </c>
      <c r="C353" s="77">
        <f>'PartLib Table'!L355</f>
        <v>0</v>
      </c>
      <c r="D353" s="77">
        <f>'PartLib Table'!M355</f>
        <v>0</v>
      </c>
      <c r="E353" s="77">
        <f>'PartLib Table'!N355</f>
        <v>0</v>
      </c>
      <c r="F353" s="75">
        <f>'PartLib Table'!O355</f>
        <v>0</v>
      </c>
      <c r="G353" s="77">
        <f>'PartLib Table'!P355</f>
        <v>0</v>
      </c>
      <c r="H353" s="77">
        <f>'PartLib Table'!Q355</f>
        <v>0</v>
      </c>
    </row>
    <row r="354" spans="1:8">
      <c r="A354" s="76">
        <f>'PartLib Table'!C356</f>
        <v>0</v>
      </c>
      <c r="B354" s="76" t="str">
        <f>'PartLib Table'!K356</f>
        <v/>
      </c>
      <c r="C354" s="76">
        <f>'PartLib Table'!L356</f>
        <v>0</v>
      </c>
      <c r="D354" s="76">
        <f>'PartLib Table'!M356</f>
        <v>0</v>
      </c>
      <c r="E354" s="76">
        <f>'PartLib Table'!N356</f>
        <v>0</v>
      </c>
      <c r="F354" s="132">
        <f>'PartLib Table'!O356</f>
        <v>0</v>
      </c>
      <c r="G354" s="76">
        <f>'PartLib Table'!P356</f>
        <v>0</v>
      </c>
      <c r="H354" s="76">
        <f>'PartLib Table'!Q356</f>
        <v>0</v>
      </c>
    </row>
    <row r="355" spans="1:8">
      <c r="A355" s="76">
        <f>'PartLib Table'!C357</f>
        <v>0</v>
      </c>
      <c r="B355" s="76" t="str">
        <f>'PartLib Table'!K357</f>
        <v/>
      </c>
      <c r="C355" s="76">
        <f>'PartLib Table'!L357</f>
        <v>0</v>
      </c>
      <c r="D355" s="76">
        <f>'PartLib Table'!M357</f>
        <v>0</v>
      </c>
      <c r="E355" s="76">
        <f>'PartLib Table'!N357</f>
        <v>0</v>
      </c>
      <c r="F355" s="132">
        <f>'PartLib Table'!O357</f>
        <v>0</v>
      </c>
      <c r="G355" s="76">
        <f>'PartLib Table'!P357</f>
        <v>0</v>
      </c>
      <c r="H355" s="76">
        <f>'PartLib Table'!Q357</f>
        <v>0</v>
      </c>
    </row>
    <row r="356" spans="1:8">
      <c r="A356" s="76">
        <f>'PartLib Table'!C358</f>
        <v>0</v>
      </c>
      <c r="B356" s="76" t="str">
        <f>'PartLib Table'!K358</f>
        <v/>
      </c>
      <c r="C356" s="76">
        <f>'PartLib Table'!L358</f>
        <v>0</v>
      </c>
      <c r="D356" s="76">
        <f>'PartLib Table'!M358</f>
        <v>0</v>
      </c>
      <c r="E356" s="76">
        <f>'PartLib Table'!N358</f>
        <v>0</v>
      </c>
      <c r="F356" s="132">
        <f>'PartLib Table'!O358</f>
        <v>0</v>
      </c>
      <c r="G356" s="76">
        <f>'PartLib Table'!P358</f>
        <v>0</v>
      </c>
      <c r="H356" s="76">
        <f>'PartLib Table'!Q358</f>
        <v>0</v>
      </c>
    </row>
    <row r="357" spans="1:8">
      <c r="A357" s="76">
        <f>'PartLib Table'!C359</f>
        <v>0</v>
      </c>
      <c r="B357" s="76" t="str">
        <f>'PartLib Table'!K359</f>
        <v/>
      </c>
      <c r="C357" s="76">
        <f>'PartLib Table'!L359</f>
        <v>0</v>
      </c>
      <c r="D357" s="76">
        <f>'PartLib Table'!M359</f>
        <v>0</v>
      </c>
      <c r="E357" s="76">
        <f>'PartLib Table'!N359</f>
        <v>0</v>
      </c>
      <c r="F357" s="132">
        <f>'PartLib Table'!O359</f>
        <v>0</v>
      </c>
      <c r="G357" s="76">
        <f>'PartLib Table'!P359</f>
        <v>0</v>
      </c>
      <c r="H357" s="76">
        <f>'PartLib Table'!Q359</f>
        <v>0</v>
      </c>
    </row>
    <row r="358" spans="1:8">
      <c r="A358" s="76">
        <f>'PartLib Table'!C360</f>
        <v>0</v>
      </c>
      <c r="B358" s="76" t="str">
        <f>'PartLib Table'!K360</f>
        <v/>
      </c>
      <c r="C358" s="76">
        <f>'PartLib Table'!L360</f>
        <v>0</v>
      </c>
      <c r="D358" s="76">
        <f>'PartLib Table'!M360</f>
        <v>0</v>
      </c>
      <c r="E358" s="76">
        <f>'PartLib Table'!N360</f>
        <v>0</v>
      </c>
      <c r="F358" s="132">
        <f>'PartLib Table'!O360</f>
        <v>0</v>
      </c>
      <c r="G358" s="76">
        <f>'PartLib Table'!P360</f>
        <v>0</v>
      </c>
      <c r="H358" s="76">
        <f>'PartLib Table'!Q360</f>
        <v>0</v>
      </c>
    </row>
    <row r="359" spans="1:8">
      <c r="A359" s="76">
        <f>'PartLib Table'!C361</f>
        <v>0</v>
      </c>
      <c r="B359" s="76" t="str">
        <f>'PartLib Table'!K361</f>
        <v/>
      </c>
      <c r="C359" s="76">
        <f>'PartLib Table'!L361</f>
        <v>0</v>
      </c>
      <c r="D359" s="76">
        <f>'PartLib Table'!M361</f>
        <v>0</v>
      </c>
      <c r="E359" s="76">
        <f>'PartLib Table'!N361</f>
        <v>0</v>
      </c>
      <c r="F359" s="132">
        <f>'PartLib Table'!O361</f>
        <v>0</v>
      </c>
      <c r="G359" s="76">
        <f>'PartLib Table'!P361</f>
        <v>0</v>
      </c>
      <c r="H359" s="76">
        <f>'PartLib Table'!Q361</f>
        <v>0</v>
      </c>
    </row>
    <row r="360" spans="1:8">
      <c r="A360" s="76">
        <f>'PartLib Table'!C362</f>
        <v>0</v>
      </c>
      <c r="B360" s="76" t="str">
        <f>'PartLib Table'!K362</f>
        <v/>
      </c>
      <c r="C360" s="76">
        <f>'PartLib Table'!L362</f>
        <v>0</v>
      </c>
      <c r="D360" s="76">
        <f>'PartLib Table'!M362</f>
        <v>0</v>
      </c>
      <c r="E360" s="76">
        <f>'PartLib Table'!N362</f>
        <v>0</v>
      </c>
      <c r="F360" s="132">
        <f>'PartLib Table'!O362</f>
        <v>0</v>
      </c>
      <c r="G360" s="76">
        <f>'PartLib Table'!P362</f>
        <v>0</v>
      </c>
      <c r="H360" s="76">
        <f>'PartLib Table'!Q362</f>
        <v>0</v>
      </c>
    </row>
    <row r="361" spans="1:8">
      <c r="A361" s="76">
        <f>'PartLib Table'!C363</f>
        <v>0</v>
      </c>
      <c r="B361" s="76" t="str">
        <f>'PartLib Table'!K363</f>
        <v/>
      </c>
      <c r="C361" s="76">
        <f>'PartLib Table'!L363</f>
        <v>0</v>
      </c>
      <c r="D361" s="76">
        <f>'PartLib Table'!M363</f>
        <v>0</v>
      </c>
      <c r="E361" s="76">
        <f>'PartLib Table'!N363</f>
        <v>0</v>
      </c>
      <c r="F361" s="132">
        <f>'PartLib Table'!O363</f>
        <v>0</v>
      </c>
      <c r="G361" s="76">
        <f>'PartLib Table'!P363</f>
        <v>0</v>
      </c>
      <c r="H361" s="76">
        <f>'PartLib Table'!Q363</f>
        <v>0</v>
      </c>
    </row>
    <row r="362" spans="1:8">
      <c r="A362" s="76">
        <f>'PartLib Table'!C364</f>
        <v>0</v>
      </c>
      <c r="B362" s="76" t="str">
        <f>'PartLib Table'!K364</f>
        <v/>
      </c>
      <c r="C362" s="76">
        <f>'PartLib Table'!L364</f>
        <v>0</v>
      </c>
      <c r="D362" s="76">
        <f>'PartLib Table'!M364</f>
        <v>0</v>
      </c>
      <c r="E362" s="76">
        <f>'PartLib Table'!N364</f>
        <v>0</v>
      </c>
      <c r="F362" s="132">
        <f>'PartLib Table'!O364</f>
        <v>0</v>
      </c>
      <c r="G362" s="76">
        <f>'PartLib Table'!P364</f>
        <v>0</v>
      </c>
      <c r="H362" s="76">
        <f>'PartLib Table'!Q364</f>
        <v>0</v>
      </c>
    </row>
    <row r="363" spans="1:8">
      <c r="A363" s="76">
        <f>'PartLib Table'!C365</f>
        <v>0</v>
      </c>
      <c r="B363" s="76" t="str">
        <f>'PartLib Table'!K365</f>
        <v/>
      </c>
      <c r="C363" s="76">
        <f>'PartLib Table'!L365</f>
        <v>0</v>
      </c>
      <c r="D363" s="76">
        <f>'PartLib Table'!M365</f>
        <v>0</v>
      </c>
      <c r="E363" s="76">
        <f>'PartLib Table'!N365</f>
        <v>0</v>
      </c>
      <c r="F363" s="132">
        <f>'PartLib Table'!O365</f>
        <v>0</v>
      </c>
      <c r="G363" s="76">
        <f>'PartLib Table'!P365</f>
        <v>0</v>
      </c>
      <c r="H363" s="76">
        <f>'PartLib Table'!Q365</f>
        <v>0</v>
      </c>
    </row>
    <row r="364" spans="1:8">
      <c r="A364" s="76">
        <f>'PartLib Table'!C366</f>
        <v>0</v>
      </c>
      <c r="B364" s="76" t="str">
        <f>'PartLib Table'!K366</f>
        <v/>
      </c>
      <c r="C364" s="76">
        <f>'PartLib Table'!L366</f>
        <v>0</v>
      </c>
      <c r="D364" s="76">
        <f>'PartLib Table'!M366</f>
        <v>0</v>
      </c>
      <c r="E364" s="76">
        <f>'PartLib Table'!N366</f>
        <v>0</v>
      </c>
      <c r="F364" s="132">
        <f>'PartLib Table'!O366</f>
        <v>0</v>
      </c>
      <c r="G364" s="76">
        <f>'PartLib Table'!P366</f>
        <v>0</v>
      </c>
      <c r="H364" s="76">
        <f>'PartLib Table'!Q366</f>
        <v>0</v>
      </c>
    </row>
    <row r="365" spans="1:8">
      <c r="A365" s="76">
        <f>'PartLib Table'!C367</f>
        <v>0</v>
      </c>
      <c r="B365" s="76" t="str">
        <f>'PartLib Table'!K367</f>
        <v/>
      </c>
      <c r="C365" s="76">
        <f>'PartLib Table'!L367</f>
        <v>0</v>
      </c>
      <c r="D365" s="76">
        <f>'PartLib Table'!M367</f>
        <v>0</v>
      </c>
      <c r="E365" s="76">
        <f>'PartLib Table'!N367</f>
        <v>0</v>
      </c>
      <c r="F365" s="132">
        <f>'PartLib Table'!O367</f>
        <v>0</v>
      </c>
      <c r="G365" s="76">
        <f>'PartLib Table'!P367</f>
        <v>0</v>
      </c>
      <c r="H365" s="76">
        <f>'PartLib Table'!Q367</f>
        <v>0</v>
      </c>
    </row>
    <row r="366" spans="1:8">
      <c r="A366" s="76">
        <f>'PartLib Table'!C368</f>
        <v>0</v>
      </c>
      <c r="B366" s="76" t="str">
        <f>'PartLib Table'!K368</f>
        <v/>
      </c>
      <c r="C366" s="76">
        <f>'PartLib Table'!L368</f>
        <v>0</v>
      </c>
      <c r="D366" s="76">
        <f>'PartLib Table'!M368</f>
        <v>0</v>
      </c>
      <c r="E366" s="76">
        <f>'PartLib Table'!N368</f>
        <v>0</v>
      </c>
      <c r="F366" s="132">
        <f>'PartLib Table'!O368</f>
        <v>0</v>
      </c>
      <c r="G366" s="76">
        <f>'PartLib Table'!P368</f>
        <v>0</v>
      </c>
      <c r="H366" s="76">
        <f>'PartLib Table'!Q368</f>
        <v>0</v>
      </c>
    </row>
    <row r="367" spans="1:8">
      <c r="A367" s="76">
        <f>'PartLib Table'!C369</f>
        <v>0</v>
      </c>
      <c r="B367" s="76" t="str">
        <f>'PartLib Table'!K369</f>
        <v/>
      </c>
      <c r="C367" s="76">
        <f>'PartLib Table'!L369</f>
        <v>0</v>
      </c>
      <c r="D367" s="76">
        <f>'PartLib Table'!M369</f>
        <v>0</v>
      </c>
      <c r="E367" s="76">
        <f>'PartLib Table'!N369</f>
        <v>0</v>
      </c>
      <c r="F367" s="132">
        <f>'PartLib Table'!O369</f>
        <v>0</v>
      </c>
      <c r="G367" s="76">
        <f>'PartLib Table'!P369</f>
        <v>0</v>
      </c>
      <c r="H367" s="76">
        <f>'PartLib Table'!Q369</f>
        <v>0</v>
      </c>
    </row>
    <row r="368" spans="1:8">
      <c r="A368" s="76">
        <f>'PartLib Table'!C370</f>
        <v>0</v>
      </c>
      <c r="B368" s="76" t="str">
        <f>'PartLib Table'!K370</f>
        <v/>
      </c>
      <c r="C368" s="76">
        <f>'PartLib Table'!L370</f>
        <v>0</v>
      </c>
      <c r="D368" s="76">
        <f>'PartLib Table'!M370</f>
        <v>0</v>
      </c>
      <c r="E368" s="76">
        <f>'PartLib Table'!N370</f>
        <v>0</v>
      </c>
      <c r="F368" s="132">
        <f>'PartLib Table'!O370</f>
        <v>0</v>
      </c>
      <c r="G368" s="76">
        <f>'PartLib Table'!P370</f>
        <v>0</v>
      </c>
      <c r="H368" s="76">
        <f>'PartLib Table'!Q370</f>
        <v>0</v>
      </c>
    </row>
    <row r="369" spans="1:8">
      <c r="A369" s="76">
        <f>'PartLib Table'!C371</f>
        <v>0</v>
      </c>
      <c r="B369" s="76" t="str">
        <f>'PartLib Table'!K371</f>
        <v/>
      </c>
      <c r="C369" s="76">
        <f>'PartLib Table'!L371</f>
        <v>0</v>
      </c>
      <c r="D369" s="76">
        <f>'PartLib Table'!M371</f>
        <v>0</v>
      </c>
      <c r="E369" s="76">
        <f>'PartLib Table'!N371</f>
        <v>0</v>
      </c>
      <c r="F369" s="132">
        <f>'PartLib Table'!O371</f>
        <v>0</v>
      </c>
      <c r="G369" s="76">
        <f>'PartLib Table'!P371</f>
        <v>0</v>
      </c>
      <c r="H369" s="76">
        <f>'PartLib Table'!Q371</f>
        <v>0</v>
      </c>
    </row>
    <row r="370" spans="1:8">
      <c r="A370" s="76">
        <f>'PartLib Table'!C372</f>
        <v>0</v>
      </c>
      <c r="B370" s="76" t="str">
        <f>'PartLib Table'!K372</f>
        <v/>
      </c>
      <c r="C370" s="76">
        <f>'PartLib Table'!L372</f>
        <v>0</v>
      </c>
      <c r="D370" s="76">
        <f>'PartLib Table'!M372</f>
        <v>0</v>
      </c>
      <c r="E370" s="76">
        <f>'PartLib Table'!N372</f>
        <v>0</v>
      </c>
      <c r="F370" s="132">
        <f>'PartLib Table'!O372</f>
        <v>0</v>
      </c>
      <c r="G370" s="76">
        <f>'PartLib Table'!P372</f>
        <v>0</v>
      </c>
      <c r="H370" s="76">
        <f>'PartLib Table'!Q372</f>
        <v>0</v>
      </c>
    </row>
    <row r="371" spans="1:8">
      <c r="A371" s="76">
        <f>'PartLib Table'!C373</f>
        <v>0</v>
      </c>
      <c r="B371" s="76" t="str">
        <f>'PartLib Table'!K373</f>
        <v/>
      </c>
      <c r="C371" s="76">
        <f>'PartLib Table'!L373</f>
        <v>0</v>
      </c>
      <c r="D371" s="76">
        <f>'PartLib Table'!M373</f>
        <v>0</v>
      </c>
      <c r="E371" s="76">
        <f>'PartLib Table'!N373</f>
        <v>0</v>
      </c>
      <c r="F371" s="132">
        <f>'PartLib Table'!O373</f>
        <v>0</v>
      </c>
      <c r="G371" s="76">
        <f>'PartLib Table'!P373</f>
        <v>0</v>
      </c>
      <c r="H371" s="76">
        <f>'PartLib Table'!Q373</f>
        <v>0</v>
      </c>
    </row>
    <row r="372" spans="1:8">
      <c r="A372" s="76">
        <f>'PartLib Table'!C374</f>
        <v>0</v>
      </c>
      <c r="B372" s="76" t="str">
        <f>'PartLib Table'!K374</f>
        <v/>
      </c>
      <c r="C372" s="76">
        <f>'PartLib Table'!L374</f>
        <v>0</v>
      </c>
      <c r="D372" s="76">
        <f>'PartLib Table'!M374</f>
        <v>0</v>
      </c>
      <c r="E372" s="76">
        <f>'PartLib Table'!N374</f>
        <v>0</v>
      </c>
      <c r="F372" s="132">
        <f>'PartLib Table'!O374</f>
        <v>0</v>
      </c>
      <c r="G372" s="76">
        <f>'PartLib Table'!P374</f>
        <v>0</v>
      </c>
      <c r="H372" s="76">
        <f>'PartLib Table'!Q374</f>
        <v>0</v>
      </c>
    </row>
    <row r="373" spans="1:8">
      <c r="A373" s="76">
        <f>'PartLib Table'!C375</f>
        <v>0</v>
      </c>
      <c r="B373" s="76" t="str">
        <f>'PartLib Table'!K375</f>
        <v/>
      </c>
      <c r="C373" s="76">
        <f>'PartLib Table'!L375</f>
        <v>0</v>
      </c>
      <c r="D373" s="76">
        <f>'PartLib Table'!M375</f>
        <v>0</v>
      </c>
      <c r="E373" s="76">
        <f>'PartLib Table'!N375</f>
        <v>0</v>
      </c>
      <c r="F373" s="132">
        <f>'PartLib Table'!O375</f>
        <v>0</v>
      </c>
      <c r="G373" s="76">
        <f>'PartLib Table'!P375</f>
        <v>0</v>
      </c>
      <c r="H373" s="76">
        <f>'PartLib Table'!Q375</f>
        <v>0</v>
      </c>
    </row>
    <row r="374" spans="1:8">
      <c r="A374" s="76">
        <f>'PartLib Table'!C376</f>
        <v>0</v>
      </c>
      <c r="B374" s="76" t="str">
        <f>'PartLib Table'!K376</f>
        <v/>
      </c>
      <c r="C374" s="76">
        <f>'PartLib Table'!L376</f>
        <v>0</v>
      </c>
      <c r="D374" s="76">
        <f>'PartLib Table'!M376</f>
        <v>0</v>
      </c>
      <c r="E374" s="76">
        <f>'PartLib Table'!N376</f>
        <v>0</v>
      </c>
      <c r="F374" s="132">
        <f>'PartLib Table'!O376</f>
        <v>0</v>
      </c>
      <c r="G374" s="76">
        <f>'PartLib Table'!P376</f>
        <v>0</v>
      </c>
      <c r="H374" s="76">
        <f>'PartLib Table'!Q376</f>
        <v>0</v>
      </c>
    </row>
    <row r="375" spans="1:8">
      <c r="A375" s="76">
        <f>'PartLib Table'!C377</f>
        <v>0</v>
      </c>
      <c r="B375" s="76" t="str">
        <f>'PartLib Table'!K377</f>
        <v/>
      </c>
      <c r="C375" s="76">
        <f>'PartLib Table'!L377</f>
        <v>0</v>
      </c>
      <c r="D375" s="76">
        <f>'PartLib Table'!M377</f>
        <v>0</v>
      </c>
      <c r="E375" s="76">
        <f>'PartLib Table'!N377</f>
        <v>0</v>
      </c>
      <c r="F375" s="132">
        <f>'PartLib Table'!O377</f>
        <v>0</v>
      </c>
      <c r="G375" s="76">
        <f>'PartLib Table'!P377</f>
        <v>0</v>
      </c>
      <c r="H375" s="76">
        <f>'PartLib Table'!Q377</f>
        <v>0</v>
      </c>
    </row>
    <row r="376" spans="1:8">
      <c r="A376" s="76">
        <f>'PartLib Table'!C378</f>
        <v>0</v>
      </c>
      <c r="B376" s="76" t="str">
        <f>'PartLib Table'!K378</f>
        <v/>
      </c>
      <c r="C376" s="76">
        <f>'PartLib Table'!L378</f>
        <v>0</v>
      </c>
      <c r="D376" s="76">
        <f>'PartLib Table'!M378</f>
        <v>0</v>
      </c>
      <c r="E376" s="76">
        <f>'PartLib Table'!N378</f>
        <v>0</v>
      </c>
      <c r="F376" s="132">
        <f>'PartLib Table'!O378</f>
        <v>0</v>
      </c>
      <c r="G376" s="76">
        <f>'PartLib Table'!P378</f>
        <v>0</v>
      </c>
      <c r="H376" s="76">
        <f>'PartLib Table'!Q378</f>
        <v>0</v>
      </c>
    </row>
    <row r="377" spans="1:8">
      <c r="A377" s="76">
        <f>'PartLib Table'!C379</f>
        <v>0</v>
      </c>
      <c r="B377" s="76" t="str">
        <f>'PartLib Table'!K379</f>
        <v/>
      </c>
      <c r="C377" s="76">
        <f>'PartLib Table'!L379</f>
        <v>0</v>
      </c>
      <c r="D377" s="76">
        <f>'PartLib Table'!M379</f>
        <v>0</v>
      </c>
      <c r="E377" s="76">
        <f>'PartLib Table'!N379</f>
        <v>0</v>
      </c>
      <c r="F377" s="132">
        <f>'PartLib Table'!O379</f>
        <v>0</v>
      </c>
      <c r="G377" s="76">
        <f>'PartLib Table'!P379</f>
        <v>0</v>
      </c>
      <c r="H377" s="76">
        <f>'PartLib Table'!Q379</f>
        <v>0</v>
      </c>
    </row>
    <row r="378" spans="1:8">
      <c r="A378" s="76">
        <f>'PartLib Table'!C380</f>
        <v>0</v>
      </c>
      <c r="B378" s="76" t="str">
        <f>'PartLib Table'!K380</f>
        <v/>
      </c>
      <c r="C378" s="76">
        <f>'PartLib Table'!L380</f>
        <v>0</v>
      </c>
      <c r="D378" s="76">
        <f>'PartLib Table'!M380</f>
        <v>0</v>
      </c>
      <c r="E378" s="76">
        <f>'PartLib Table'!N380</f>
        <v>0</v>
      </c>
      <c r="F378" s="132">
        <f>'PartLib Table'!O380</f>
        <v>0</v>
      </c>
      <c r="G378" s="76">
        <f>'PartLib Table'!P380</f>
        <v>0</v>
      </c>
      <c r="H378" s="76">
        <f>'PartLib Table'!Q380</f>
        <v>0</v>
      </c>
    </row>
    <row r="379" spans="1:8">
      <c r="A379" s="76">
        <f>'PartLib Table'!C381</f>
        <v>0</v>
      </c>
      <c r="B379" s="76" t="str">
        <f>'PartLib Table'!K381</f>
        <v/>
      </c>
      <c r="C379" s="76">
        <f>'PartLib Table'!L381</f>
        <v>0</v>
      </c>
      <c r="D379" s="76">
        <f>'PartLib Table'!M381</f>
        <v>0</v>
      </c>
      <c r="E379" s="76">
        <f>'PartLib Table'!N381</f>
        <v>0</v>
      </c>
      <c r="F379" s="132">
        <f>'PartLib Table'!O381</f>
        <v>0</v>
      </c>
      <c r="G379" s="76">
        <f>'PartLib Table'!P381</f>
        <v>0</v>
      </c>
      <c r="H379" s="76">
        <f>'PartLib Table'!Q381</f>
        <v>0</v>
      </c>
    </row>
    <row r="380" spans="1:8">
      <c r="A380" s="76">
        <f>'PartLib Table'!C382</f>
        <v>0</v>
      </c>
      <c r="B380" s="76" t="str">
        <f>'PartLib Table'!K382</f>
        <v/>
      </c>
      <c r="C380" s="76">
        <f>'PartLib Table'!L382</f>
        <v>0</v>
      </c>
      <c r="D380" s="76">
        <f>'PartLib Table'!M382</f>
        <v>0</v>
      </c>
      <c r="E380" s="76">
        <f>'PartLib Table'!N382</f>
        <v>0</v>
      </c>
      <c r="F380" s="132">
        <f>'PartLib Table'!O382</f>
        <v>0</v>
      </c>
      <c r="G380" s="76">
        <f>'PartLib Table'!P382</f>
        <v>0</v>
      </c>
      <c r="H380" s="76">
        <f>'PartLib Table'!Q382</f>
        <v>0</v>
      </c>
    </row>
    <row r="381" spans="1:8">
      <c r="A381" s="76">
        <f>'PartLib Table'!C383</f>
        <v>0</v>
      </c>
      <c r="B381" s="76" t="str">
        <f>'PartLib Table'!K383</f>
        <v/>
      </c>
      <c r="C381" s="76">
        <f>'PartLib Table'!L383</f>
        <v>0</v>
      </c>
      <c r="D381" s="76">
        <f>'PartLib Table'!M383</f>
        <v>0</v>
      </c>
      <c r="E381" s="76">
        <f>'PartLib Table'!N383</f>
        <v>0</v>
      </c>
      <c r="F381" s="132">
        <f>'PartLib Table'!O383</f>
        <v>0</v>
      </c>
      <c r="G381" s="76">
        <f>'PartLib Table'!P383</f>
        <v>0</v>
      </c>
      <c r="H381" s="76">
        <f>'PartLib Table'!Q383</f>
        <v>0</v>
      </c>
    </row>
    <row r="382" spans="1:8">
      <c r="A382" s="76">
        <f>'PartLib Table'!C384</f>
        <v>0</v>
      </c>
      <c r="B382" s="76" t="str">
        <f>'PartLib Table'!K384</f>
        <v/>
      </c>
      <c r="C382" s="76">
        <f>'PartLib Table'!L384</f>
        <v>0</v>
      </c>
      <c r="D382" s="76">
        <f>'PartLib Table'!M384</f>
        <v>0</v>
      </c>
      <c r="E382" s="76">
        <f>'PartLib Table'!N384</f>
        <v>0</v>
      </c>
      <c r="F382" s="132">
        <f>'PartLib Table'!O384</f>
        <v>0</v>
      </c>
      <c r="G382" s="76">
        <f>'PartLib Table'!P384</f>
        <v>0</v>
      </c>
      <c r="H382" s="76">
        <f>'PartLib Table'!Q384</f>
        <v>0</v>
      </c>
    </row>
    <row r="383" spans="1:8">
      <c r="A383" s="76">
        <f>'PartLib Table'!C385</f>
        <v>0</v>
      </c>
      <c r="B383" s="76" t="str">
        <f>'PartLib Table'!K385</f>
        <v/>
      </c>
      <c r="C383" s="76">
        <f>'PartLib Table'!L385</f>
        <v>0</v>
      </c>
      <c r="D383" s="76">
        <f>'PartLib Table'!M385</f>
        <v>0</v>
      </c>
      <c r="E383" s="76">
        <f>'PartLib Table'!N385</f>
        <v>0</v>
      </c>
      <c r="F383" s="132">
        <f>'PartLib Table'!O385</f>
        <v>0</v>
      </c>
      <c r="G383" s="76">
        <f>'PartLib Table'!P385</f>
        <v>0</v>
      </c>
      <c r="H383" s="76">
        <f>'PartLib Table'!Q385</f>
        <v>0</v>
      </c>
    </row>
    <row r="384" spans="1:8">
      <c r="A384" s="76">
        <f>'PartLib Table'!C386</f>
        <v>0</v>
      </c>
      <c r="B384" s="76" t="str">
        <f>'PartLib Table'!K386</f>
        <v/>
      </c>
      <c r="C384" s="76">
        <f>'PartLib Table'!L386</f>
        <v>0</v>
      </c>
      <c r="D384" s="76">
        <f>'PartLib Table'!M386</f>
        <v>0</v>
      </c>
      <c r="E384" s="76">
        <f>'PartLib Table'!N386</f>
        <v>0</v>
      </c>
      <c r="F384" s="132">
        <f>'PartLib Table'!O386</f>
        <v>0</v>
      </c>
      <c r="G384" s="76">
        <f>'PartLib Table'!P386</f>
        <v>0</v>
      </c>
      <c r="H384" s="76">
        <f>'PartLib Table'!Q386</f>
        <v>0</v>
      </c>
    </row>
    <row r="385" spans="1:8">
      <c r="A385" s="76">
        <f>'PartLib Table'!C387</f>
        <v>0</v>
      </c>
      <c r="B385" s="76" t="str">
        <f>'PartLib Table'!K387</f>
        <v/>
      </c>
      <c r="C385" s="76">
        <f>'PartLib Table'!L387</f>
        <v>0</v>
      </c>
      <c r="D385" s="76">
        <f>'PartLib Table'!M387</f>
        <v>0</v>
      </c>
      <c r="E385" s="76">
        <f>'PartLib Table'!N387</f>
        <v>0</v>
      </c>
      <c r="F385" s="132">
        <f>'PartLib Table'!O387</f>
        <v>0</v>
      </c>
      <c r="G385" s="76">
        <f>'PartLib Table'!P387</f>
        <v>0</v>
      </c>
      <c r="H385" s="76">
        <f>'PartLib Table'!Q387</f>
        <v>0</v>
      </c>
    </row>
    <row r="386" spans="1:8">
      <c r="A386" s="76">
        <f>'PartLib Table'!C388</f>
        <v>0</v>
      </c>
      <c r="B386" s="76" t="str">
        <f>'PartLib Table'!K388</f>
        <v/>
      </c>
      <c r="C386" s="76">
        <f>'PartLib Table'!L388</f>
        <v>0</v>
      </c>
      <c r="D386" s="76">
        <f>'PartLib Table'!M388</f>
        <v>0</v>
      </c>
      <c r="E386" s="76">
        <f>'PartLib Table'!N388</f>
        <v>0</v>
      </c>
      <c r="F386" s="132">
        <f>'PartLib Table'!O388</f>
        <v>0</v>
      </c>
      <c r="G386" s="76">
        <f>'PartLib Table'!P388</f>
        <v>0</v>
      </c>
      <c r="H386" s="76">
        <f>'PartLib Table'!Q388</f>
        <v>0</v>
      </c>
    </row>
    <row r="387" spans="1:8">
      <c r="A387" s="76">
        <f>'PartLib Table'!C389</f>
        <v>0</v>
      </c>
      <c r="B387" s="76" t="str">
        <f>'PartLib Table'!K389</f>
        <v/>
      </c>
      <c r="C387" s="76">
        <f>'PartLib Table'!L389</f>
        <v>0</v>
      </c>
      <c r="D387" s="76">
        <f>'PartLib Table'!M389</f>
        <v>0</v>
      </c>
      <c r="E387" s="76">
        <f>'PartLib Table'!N389</f>
        <v>0</v>
      </c>
      <c r="F387" s="132">
        <f>'PartLib Table'!O389</f>
        <v>0</v>
      </c>
      <c r="G387" s="76">
        <f>'PartLib Table'!P389</f>
        <v>0</v>
      </c>
      <c r="H387" s="76">
        <f>'PartLib Table'!Q389</f>
        <v>0</v>
      </c>
    </row>
    <row r="388" spans="1:8">
      <c r="A388" s="76">
        <f>'PartLib Table'!C390</f>
        <v>0</v>
      </c>
      <c r="B388" s="76" t="str">
        <f>'PartLib Table'!K390</f>
        <v/>
      </c>
      <c r="C388" s="76">
        <f>'PartLib Table'!L390</f>
        <v>0</v>
      </c>
      <c r="D388" s="76">
        <f>'PartLib Table'!M390</f>
        <v>0</v>
      </c>
      <c r="E388" s="76">
        <f>'PartLib Table'!N390</f>
        <v>0</v>
      </c>
      <c r="F388" s="132">
        <f>'PartLib Table'!O390</f>
        <v>0</v>
      </c>
      <c r="G388" s="76">
        <f>'PartLib Table'!P390</f>
        <v>0</v>
      </c>
      <c r="H388" s="76">
        <f>'PartLib Table'!Q390</f>
        <v>0</v>
      </c>
    </row>
    <row r="389" spans="1:8">
      <c r="A389" s="76">
        <f>'PartLib Table'!C391</f>
        <v>0</v>
      </c>
      <c r="B389" s="76" t="str">
        <f>'PartLib Table'!K391</f>
        <v/>
      </c>
      <c r="C389" s="76">
        <f>'PartLib Table'!L391</f>
        <v>0</v>
      </c>
      <c r="D389" s="76">
        <f>'PartLib Table'!M391</f>
        <v>0</v>
      </c>
      <c r="E389" s="76">
        <f>'PartLib Table'!N391</f>
        <v>0</v>
      </c>
      <c r="F389" s="132">
        <f>'PartLib Table'!O391</f>
        <v>0</v>
      </c>
      <c r="G389" s="76">
        <f>'PartLib Table'!P391</f>
        <v>0</v>
      </c>
      <c r="H389" s="76">
        <f>'PartLib Table'!Q391</f>
        <v>0</v>
      </c>
    </row>
    <row r="390" spans="1:8">
      <c r="A390" s="76">
        <f>'PartLib Table'!C392</f>
        <v>0</v>
      </c>
      <c r="B390" s="76" t="str">
        <f>'PartLib Table'!K392</f>
        <v/>
      </c>
      <c r="C390" s="76">
        <f>'PartLib Table'!L392</f>
        <v>0</v>
      </c>
      <c r="D390" s="76">
        <f>'PartLib Table'!M392</f>
        <v>0</v>
      </c>
      <c r="E390" s="76">
        <f>'PartLib Table'!N392</f>
        <v>0</v>
      </c>
      <c r="F390" s="132">
        <f>'PartLib Table'!O392</f>
        <v>0</v>
      </c>
      <c r="G390" s="76">
        <f>'PartLib Table'!P392</f>
        <v>0</v>
      </c>
      <c r="H390" s="76">
        <f>'PartLib Table'!Q392</f>
        <v>0</v>
      </c>
    </row>
    <row r="391" spans="1:8">
      <c r="A391" s="76">
        <f>'PartLib Table'!C393</f>
        <v>0</v>
      </c>
      <c r="B391" s="76" t="str">
        <f>'PartLib Table'!K393</f>
        <v/>
      </c>
      <c r="C391" s="76">
        <f>'PartLib Table'!L393</f>
        <v>0</v>
      </c>
      <c r="D391" s="76">
        <f>'PartLib Table'!M393</f>
        <v>0</v>
      </c>
      <c r="E391" s="76">
        <f>'PartLib Table'!N393</f>
        <v>0</v>
      </c>
      <c r="F391" s="132">
        <f>'PartLib Table'!O393</f>
        <v>0</v>
      </c>
      <c r="G391" s="76">
        <f>'PartLib Table'!P393</f>
        <v>0</v>
      </c>
      <c r="H391" s="76">
        <f>'PartLib Table'!Q393</f>
        <v>0</v>
      </c>
    </row>
    <row r="392" spans="1:8">
      <c r="A392" s="76">
        <f>'PartLib Table'!C394</f>
        <v>0</v>
      </c>
      <c r="B392" s="76" t="str">
        <f>'PartLib Table'!K394</f>
        <v/>
      </c>
      <c r="C392" s="76">
        <f>'PartLib Table'!L394</f>
        <v>0</v>
      </c>
      <c r="D392" s="76">
        <f>'PartLib Table'!M394</f>
        <v>0</v>
      </c>
      <c r="E392" s="76">
        <f>'PartLib Table'!N394</f>
        <v>0</v>
      </c>
      <c r="F392" s="132">
        <f>'PartLib Table'!O394</f>
        <v>0</v>
      </c>
      <c r="G392" s="76">
        <f>'PartLib Table'!P394</f>
        <v>0</v>
      </c>
      <c r="H392" s="76">
        <f>'PartLib Table'!Q394</f>
        <v>0</v>
      </c>
    </row>
    <row r="393" spans="1:8">
      <c r="A393" s="76">
        <f>'PartLib Table'!C395</f>
        <v>0</v>
      </c>
      <c r="B393" s="76" t="str">
        <f>'PartLib Table'!K395</f>
        <v/>
      </c>
      <c r="C393" s="76">
        <f>'PartLib Table'!L395</f>
        <v>0</v>
      </c>
      <c r="D393" s="76">
        <f>'PartLib Table'!M395</f>
        <v>0</v>
      </c>
      <c r="E393" s="76">
        <f>'PartLib Table'!N395</f>
        <v>0</v>
      </c>
      <c r="F393" s="132">
        <f>'PartLib Table'!O395</f>
        <v>0</v>
      </c>
      <c r="G393" s="76">
        <f>'PartLib Table'!P395</f>
        <v>0</v>
      </c>
      <c r="H393" s="76">
        <f>'PartLib Table'!Q395</f>
        <v>0</v>
      </c>
    </row>
    <row r="394" spans="1:8">
      <c r="A394" s="76">
        <f>'PartLib Table'!C396</f>
        <v>0</v>
      </c>
      <c r="B394" s="76" t="str">
        <f>'PartLib Table'!K396</f>
        <v/>
      </c>
      <c r="C394" s="76">
        <f>'PartLib Table'!L396</f>
        <v>0</v>
      </c>
      <c r="D394" s="76">
        <f>'PartLib Table'!M396</f>
        <v>0</v>
      </c>
      <c r="E394" s="76">
        <f>'PartLib Table'!N396</f>
        <v>0</v>
      </c>
      <c r="F394" s="132">
        <f>'PartLib Table'!O396</f>
        <v>0</v>
      </c>
      <c r="G394" s="76">
        <f>'PartLib Table'!P396</f>
        <v>0</v>
      </c>
      <c r="H394" s="76">
        <f>'PartLib Table'!Q396</f>
        <v>0</v>
      </c>
    </row>
    <row r="395" spans="1:8">
      <c r="A395" s="76">
        <f>'PartLib Table'!C397</f>
        <v>0</v>
      </c>
      <c r="B395" s="76" t="str">
        <f>'PartLib Table'!K397</f>
        <v/>
      </c>
      <c r="C395" s="76">
        <f>'PartLib Table'!L397</f>
        <v>0</v>
      </c>
      <c r="D395" s="76">
        <f>'PartLib Table'!M397</f>
        <v>0</v>
      </c>
      <c r="E395" s="76">
        <f>'PartLib Table'!N397</f>
        <v>0</v>
      </c>
      <c r="F395" s="132">
        <f>'PartLib Table'!O397</f>
        <v>0</v>
      </c>
      <c r="G395" s="76">
        <f>'PartLib Table'!P397</f>
        <v>0</v>
      </c>
      <c r="H395" s="76">
        <f>'PartLib Table'!Q397</f>
        <v>0</v>
      </c>
    </row>
    <row r="396" spans="1:8">
      <c r="A396" s="76">
        <f>'PartLib Table'!C398</f>
        <v>0</v>
      </c>
      <c r="B396" s="76" t="str">
        <f>'PartLib Table'!K398</f>
        <v/>
      </c>
      <c r="C396" s="76">
        <f>'PartLib Table'!L398</f>
        <v>0</v>
      </c>
      <c r="D396" s="76">
        <f>'PartLib Table'!M398</f>
        <v>0</v>
      </c>
      <c r="E396" s="76">
        <f>'PartLib Table'!N398</f>
        <v>0</v>
      </c>
      <c r="F396" s="132">
        <f>'PartLib Table'!O398</f>
        <v>0</v>
      </c>
      <c r="G396" s="76">
        <f>'PartLib Table'!P398</f>
        <v>0</v>
      </c>
      <c r="H396" s="76">
        <f>'PartLib Table'!Q398</f>
        <v>0</v>
      </c>
    </row>
    <row r="397" spans="1:8">
      <c r="A397" s="76">
        <f>'PartLib Table'!C399</f>
        <v>0</v>
      </c>
      <c r="B397" s="76" t="str">
        <f>'PartLib Table'!K399</f>
        <v/>
      </c>
      <c r="C397" s="76">
        <f>'PartLib Table'!L399</f>
        <v>0</v>
      </c>
      <c r="D397" s="76">
        <f>'PartLib Table'!M399</f>
        <v>0</v>
      </c>
      <c r="E397" s="76">
        <f>'PartLib Table'!N399</f>
        <v>0</v>
      </c>
      <c r="F397" s="132">
        <f>'PartLib Table'!O399</f>
        <v>0</v>
      </c>
      <c r="G397" s="76">
        <f>'PartLib Table'!P399</f>
        <v>0</v>
      </c>
      <c r="H397" s="76">
        <f>'PartLib Table'!Q399</f>
        <v>0</v>
      </c>
    </row>
    <row r="398" spans="1:8">
      <c r="A398" s="76">
        <f>'PartLib Table'!C400</f>
        <v>0</v>
      </c>
      <c r="B398" s="76" t="str">
        <f>'PartLib Table'!K400</f>
        <v/>
      </c>
      <c r="C398" s="76">
        <f>'PartLib Table'!L400</f>
        <v>0</v>
      </c>
      <c r="D398" s="76">
        <f>'PartLib Table'!M400</f>
        <v>0</v>
      </c>
      <c r="E398" s="76">
        <f>'PartLib Table'!N400</f>
        <v>0</v>
      </c>
      <c r="F398" s="132">
        <f>'PartLib Table'!O400</f>
        <v>0</v>
      </c>
      <c r="G398" s="76">
        <f>'PartLib Table'!P400</f>
        <v>0</v>
      </c>
      <c r="H398" s="76">
        <f>'PartLib Table'!Q400</f>
        <v>0</v>
      </c>
    </row>
    <row r="399" spans="1:8">
      <c r="A399" s="76">
        <f>'PartLib Table'!C401</f>
        <v>0</v>
      </c>
      <c r="B399" s="76" t="str">
        <f>'PartLib Table'!K401</f>
        <v/>
      </c>
      <c r="C399" s="76">
        <f>'PartLib Table'!L401</f>
        <v>0</v>
      </c>
      <c r="D399" s="76">
        <f>'PartLib Table'!M401</f>
        <v>0</v>
      </c>
      <c r="E399" s="76">
        <f>'PartLib Table'!N401</f>
        <v>0</v>
      </c>
      <c r="F399" s="132">
        <f>'PartLib Table'!O401</f>
        <v>0</v>
      </c>
      <c r="G399" s="76">
        <f>'PartLib Table'!P401</f>
        <v>0</v>
      </c>
      <c r="H399" s="76">
        <f>'PartLib Table'!Q401</f>
        <v>0</v>
      </c>
    </row>
    <row r="400" spans="1:8">
      <c r="A400" s="76">
        <f>'PartLib Table'!C402</f>
        <v>0</v>
      </c>
      <c r="B400" s="76" t="str">
        <f>'PartLib Table'!K402</f>
        <v/>
      </c>
      <c r="C400" s="76">
        <f>'PartLib Table'!L402</f>
        <v>0</v>
      </c>
      <c r="D400" s="76">
        <f>'PartLib Table'!M402</f>
        <v>0</v>
      </c>
      <c r="E400" s="76">
        <f>'PartLib Table'!N402</f>
        <v>0</v>
      </c>
      <c r="F400" s="132">
        <f>'PartLib Table'!O402</f>
        <v>0</v>
      </c>
      <c r="G400" s="76">
        <f>'PartLib Table'!P402</f>
        <v>0</v>
      </c>
      <c r="H400" s="76">
        <f>'PartLib Table'!Q402</f>
        <v>0</v>
      </c>
    </row>
    <row r="401" spans="1:8">
      <c r="A401" s="76">
        <f>'PartLib Table'!C403</f>
        <v>0</v>
      </c>
      <c r="B401" s="76" t="str">
        <f>'PartLib Table'!K403</f>
        <v/>
      </c>
      <c r="C401" s="76">
        <f>'PartLib Table'!L403</f>
        <v>0</v>
      </c>
      <c r="D401" s="76">
        <f>'PartLib Table'!M403</f>
        <v>0</v>
      </c>
      <c r="E401" s="76">
        <f>'PartLib Table'!N403</f>
        <v>0</v>
      </c>
      <c r="F401" s="132">
        <f>'PartLib Table'!O403</f>
        <v>0</v>
      </c>
      <c r="G401" s="76">
        <f>'PartLib Table'!P403</f>
        <v>0</v>
      </c>
      <c r="H401" s="76">
        <f>'PartLib Table'!Q403</f>
        <v>0</v>
      </c>
    </row>
    <row r="402" spans="1:8">
      <c r="A402" s="76">
        <f>'PartLib Table'!C404</f>
        <v>0</v>
      </c>
      <c r="B402" s="76" t="str">
        <f>'PartLib Table'!K404</f>
        <v/>
      </c>
      <c r="C402" s="76">
        <f>'PartLib Table'!L404</f>
        <v>0</v>
      </c>
      <c r="D402" s="76">
        <f>'PartLib Table'!M404</f>
        <v>0</v>
      </c>
      <c r="E402" s="76">
        <f>'PartLib Table'!N404</f>
        <v>0</v>
      </c>
      <c r="F402" s="132">
        <f>'PartLib Table'!O404</f>
        <v>0</v>
      </c>
      <c r="G402" s="76">
        <f>'PartLib Table'!P404</f>
        <v>0</v>
      </c>
      <c r="H402" s="76">
        <f>'PartLib Table'!Q404</f>
        <v>0</v>
      </c>
    </row>
    <row r="403" spans="1:8">
      <c r="A403" s="76">
        <f>'PartLib Table'!C405</f>
        <v>0</v>
      </c>
      <c r="B403" s="76" t="str">
        <f>'PartLib Table'!K405</f>
        <v/>
      </c>
      <c r="C403" s="76">
        <f>'PartLib Table'!L405</f>
        <v>0</v>
      </c>
      <c r="D403" s="76">
        <f>'PartLib Table'!M405</f>
        <v>0</v>
      </c>
      <c r="E403" s="76">
        <f>'PartLib Table'!N405</f>
        <v>0</v>
      </c>
      <c r="F403" s="132">
        <f>'PartLib Table'!O405</f>
        <v>0</v>
      </c>
      <c r="G403" s="76">
        <f>'PartLib Table'!P405</f>
        <v>0</v>
      </c>
      <c r="H403" s="76">
        <f>'PartLib Table'!Q405</f>
        <v>0</v>
      </c>
    </row>
    <row r="404" spans="1:8">
      <c r="A404" s="76">
        <f>'PartLib Table'!C406</f>
        <v>0</v>
      </c>
      <c r="B404" s="76" t="str">
        <f>'PartLib Table'!K406</f>
        <v/>
      </c>
      <c r="C404" s="76">
        <f>'PartLib Table'!L406</f>
        <v>0</v>
      </c>
      <c r="D404" s="76">
        <f>'PartLib Table'!M406</f>
        <v>0</v>
      </c>
      <c r="E404" s="76">
        <f>'PartLib Table'!N406</f>
        <v>0</v>
      </c>
      <c r="F404" s="132">
        <f>'PartLib Table'!O406</f>
        <v>0</v>
      </c>
      <c r="G404" s="76">
        <f>'PartLib Table'!P406</f>
        <v>0</v>
      </c>
      <c r="H404" s="76">
        <f>'PartLib Table'!Q406</f>
        <v>0</v>
      </c>
    </row>
    <row r="405" spans="1:8">
      <c r="A405" s="76">
        <f>'PartLib Table'!C407</f>
        <v>0</v>
      </c>
      <c r="B405" s="76" t="str">
        <f>'PartLib Table'!K407</f>
        <v/>
      </c>
      <c r="C405" s="76">
        <f>'PartLib Table'!L407</f>
        <v>0</v>
      </c>
      <c r="D405" s="76">
        <f>'PartLib Table'!M407</f>
        <v>0</v>
      </c>
      <c r="E405" s="76">
        <f>'PartLib Table'!N407</f>
        <v>0</v>
      </c>
      <c r="F405" s="132">
        <f>'PartLib Table'!O407</f>
        <v>0</v>
      </c>
      <c r="G405" s="76">
        <f>'PartLib Table'!P407</f>
        <v>0</v>
      </c>
      <c r="H405" s="76">
        <f>'PartLib Table'!Q407</f>
        <v>0</v>
      </c>
    </row>
    <row r="406" spans="1:8">
      <c r="A406" s="76">
        <f>'PartLib Table'!C408</f>
        <v>0</v>
      </c>
      <c r="B406" s="76" t="str">
        <f>'PartLib Table'!K408</f>
        <v/>
      </c>
      <c r="C406" s="76">
        <f>'PartLib Table'!L408</f>
        <v>0</v>
      </c>
      <c r="D406" s="76">
        <f>'PartLib Table'!M408</f>
        <v>0</v>
      </c>
      <c r="E406" s="76">
        <f>'PartLib Table'!N408</f>
        <v>0</v>
      </c>
      <c r="F406" s="132">
        <f>'PartLib Table'!O408</f>
        <v>0</v>
      </c>
      <c r="G406" s="76">
        <f>'PartLib Table'!P408</f>
        <v>0</v>
      </c>
      <c r="H406" s="76">
        <f>'PartLib Table'!Q408</f>
        <v>0</v>
      </c>
    </row>
    <row r="407" spans="1:8">
      <c r="A407" s="76">
        <f>'PartLib Table'!C409</f>
        <v>0</v>
      </c>
      <c r="B407" s="76" t="str">
        <f>'PartLib Table'!K409</f>
        <v/>
      </c>
      <c r="C407" s="76">
        <f>'PartLib Table'!L409</f>
        <v>0</v>
      </c>
      <c r="D407" s="76">
        <f>'PartLib Table'!M409</f>
        <v>0</v>
      </c>
      <c r="E407" s="76">
        <f>'PartLib Table'!N409</f>
        <v>0</v>
      </c>
      <c r="F407" s="132">
        <f>'PartLib Table'!O409</f>
        <v>0</v>
      </c>
      <c r="G407" s="76">
        <f>'PartLib Table'!P409</f>
        <v>0</v>
      </c>
      <c r="H407" s="76">
        <f>'PartLib Table'!Q409</f>
        <v>0</v>
      </c>
    </row>
    <row r="408" spans="1:8">
      <c r="A408" s="76">
        <f>'PartLib Table'!C410</f>
        <v>0</v>
      </c>
      <c r="B408" s="76" t="str">
        <f>'PartLib Table'!K410</f>
        <v/>
      </c>
      <c r="C408" s="76">
        <f>'PartLib Table'!L410</f>
        <v>0</v>
      </c>
      <c r="D408" s="76">
        <f>'PartLib Table'!M410</f>
        <v>0</v>
      </c>
      <c r="E408" s="76">
        <f>'PartLib Table'!N410</f>
        <v>0</v>
      </c>
      <c r="F408" s="132">
        <f>'PartLib Table'!O410</f>
        <v>0</v>
      </c>
      <c r="G408" s="76">
        <f>'PartLib Table'!P410</f>
        <v>0</v>
      </c>
      <c r="H408" s="76">
        <f>'PartLib Table'!Q410</f>
        <v>0</v>
      </c>
    </row>
    <row r="409" spans="1:8">
      <c r="A409" s="76">
        <f>'PartLib Table'!C411</f>
        <v>0</v>
      </c>
      <c r="B409" s="76" t="str">
        <f>'PartLib Table'!K411</f>
        <v/>
      </c>
      <c r="C409" s="76">
        <f>'PartLib Table'!L411</f>
        <v>0</v>
      </c>
      <c r="D409" s="76">
        <f>'PartLib Table'!M411</f>
        <v>0</v>
      </c>
      <c r="E409" s="76">
        <f>'PartLib Table'!N411</f>
        <v>0</v>
      </c>
      <c r="F409" s="132">
        <f>'PartLib Table'!O411</f>
        <v>0</v>
      </c>
      <c r="G409" s="76">
        <f>'PartLib Table'!P411</f>
        <v>0</v>
      </c>
      <c r="H409" s="76">
        <f>'PartLib Table'!Q411</f>
        <v>0</v>
      </c>
    </row>
    <row r="410" spans="1:8">
      <c r="A410" s="76">
        <f>'PartLib Table'!C412</f>
        <v>0</v>
      </c>
      <c r="B410" s="76" t="str">
        <f>'PartLib Table'!K412</f>
        <v/>
      </c>
      <c r="C410" s="76">
        <f>'PartLib Table'!L412</f>
        <v>0</v>
      </c>
      <c r="D410" s="76">
        <f>'PartLib Table'!M412</f>
        <v>0</v>
      </c>
      <c r="E410" s="76">
        <f>'PartLib Table'!N412</f>
        <v>0</v>
      </c>
      <c r="F410" s="132">
        <f>'PartLib Table'!O412</f>
        <v>0</v>
      </c>
      <c r="G410" s="76">
        <f>'PartLib Table'!P412</f>
        <v>0</v>
      </c>
      <c r="H410" s="76">
        <f>'PartLib Table'!Q412</f>
        <v>0</v>
      </c>
    </row>
    <row r="411" spans="1:8">
      <c r="A411" s="76">
        <f>'PartLib Table'!C413</f>
        <v>0</v>
      </c>
      <c r="B411" s="76" t="str">
        <f>'PartLib Table'!K413</f>
        <v/>
      </c>
      <c r="C411" s="76">
        <f>'PartLib Table'!L413</f>
        <v>0</v>
      </c>
      <c r="D411" s="76">
        <f>'PartLib Table'!M413</f>
        <v>0</v>
      </c>
      <c r="E411" s="76">
        <f>'PartLib Table'!N413</f>
        <v>0</v>
      </c>
      <c r="F411" s="132">
        <f>'PartLib Table'!O413</f>
        <v>0</v>
      </c>
      <c r="G411" s="76">
        <f>'PartLib Table'!P413</f>
        <v>0</v>
      </c>
      <c r="H411" s="76">
        <f>'PartLib Table'!Q413</f>
        <v>0</v>
      </c>
    </row>
    <row r="412" spans="1:8">
      <c r="A412" s="76">
        <f>'PartLib Table'!C414</f>
        <v>0</v>
      </c>
      <c r="B412" s="76" t="str">
        <f>'PartLib Table'!K414</f>
        <v/>
      </c>
      <c r="C412" s="76">
        <f>'PartLib Table'!L414</f>
        <v>0</v>
      </c>
      <c r="D412" s="76">
        <f>'PartLib Table'!M414</f>
        <v>0</v>
      </c>
      <c r="E412" s="76">
        <f>'PartLib Table'!N414</f>
        <v>0</v>
      </c>
      <c r="F412" s="132">
        <f>'PartLib Table'!O414</f>
        <v>0</v>
      </c>
      <c r="G412" s="76">
        <f>'PartLib Table'!P414</f>
        <v>0</v>
      </c>
      <c r="H412" s="76">
        <f>'PartLib Table'!Q414</f>
        <v>0</v>
      </c>
    </row>
    <row r="413" spans="1:8">
      <c r="A413" s="76">
        <f>'PartLib Table'!C415</f>
        <v>0</v>
      </c>
      <c r="B413" s="76" t="str">
        <f>'PartLib Table'!K415</f>
        <v/>
      </c>
      <c r="C413" s="76">
        <f>'PartLib Table'!L415</f>
        <v>0</v>
      </c>
      <c r="D413" s="76">
        <f>'PartLib Table'!M415</f>
        <v>0</v>
      </c>
      <c r="E413" s="76">
        <f>'PartLib Table'!N415</f>
        <v>0</v>
      </c>
      <c r="F413" s="132">
        <f>'PartLib Table'!O415</f>
        <v>0</v>
      </c>
      <c r="G413" s="76">
        <f>'PartLib Table'!P415</f>
        <v>0</v>
      </c>
      <c r="H413" s="76">
        <f>'PartLib Table'!Q415</f>
        <v>0</v>
      </c>
    </row>
    <row r="414" spans="1:8">
      <c r="A414" s="76">
        <f>'PartLib Table'!C416</f>
        <v>0</v>
      </c>
      <c r="B414" s="76" t="str">
        <f>'PartLib Table'!K416</f>
        <v/>
      </c>
      <c r="C414" s="76">
        <f>'PartLib Table'!L416</f>
        <v>0</v>
      </c>
      <c r="D414" s="76">
        <f>'PartLib Table'!M416</f>
        <v>0</v>
      </c>
      <c r="E414" s="76">
        <f>'PartLib Table'!N416</f>
        <v>0</v>
      </c>
      <c r="F414" s="132">
        <f>'PartLib Table'!O416</f>
        <v>0</v>
      </c>
      <c r="G414" s="76">
        <f>'PartLib Table'!P416</f>
        <v>0</v>
      </c>
      <c r="H414" s="76">
        <f>'PartLib Table'!Q416</f>
        <v>0</v>
      </c>
    </row>
    <row r="415" spans="1:8">
      <c r="A415" s="76">
        <f>'PartLib Table'!C417</f>
        <v>0</v>
      </c>
      <c r="B415" s="76" t="str">
        <f>'PartLib Table'!K417</f>
        <v/>
      </c>
      <c r="C415" s="76">
        <f>'PartLib Table'!L417</f>
        <v>0</v>
      </c>
      <c r="D415" s="76">
        <f>'PartLib Table'!M417</f>
        <v>0</v>
      </c>
      <c r="E415" s="76">
        <f>'PartLib Table'!N417</f>
        <v>0</v>
      </c>
      <c r="F415" s="132">
        <f>'PartLib Table'!O417</f>
        <v>0</v>
      </c>
      <c r="G415" s="76">
        <f>'PartLib Table'!P417</f>
        <v>0</v>
      </c>
      <c r="H415" s="76">
        <f>'PartLib Table'!Q417</f>
        <v>0</v>
      </c>
    </row>
    <row r="416" spans="1:8">
      <c r="A416" s="76">
        <f>'PartLib Table'!C418</f>
        <v>0</v>
      </c>
      <c r="B416" s="76" t="str">
        <f>'PartLib Table'!K418</f>
        <v/>
      </c>
      <c r="C416" s="76">
        <f>'PartLib Table'!L418</f>
        <v>0</v>
      </c>
      <c r="D416" s="76">
        <f>'PartLib Table'!M418</f>
        <v>0</v>
      </c>
      <c r="E416" s="76">
        <f>'PartLib Table'!N418</f>
        <v>0</v>
      </c>
      <c r="F416" s="132">
        <f>'PartLib Table'!O418</f>
        <v>0</v>
      </c>
      <c r="G416" s="76">
        <f>'PartLib Table'!P418</f>
        <v>0</v>
      </c>
      <c r="H416" s="76">
        <f>'PartLib Table'!Q418</f>
        <v>0</v>
      </c>
    </row>
    <row r="417" spans="1:8">
      <c r="A417" s="76">
        <f>'PartLib Table'!C419</f>
        <v>0</v>
      </c>
      <c r="B417" s="76" t="str">
        <f>'PartLib Table'!K419</f>
        <v/>
      </c>
      <c r="C417" s="76">
        <f>'PartLib Table'!L419</f>
        <v>0</v>
      </c>
      <c r="D417" s="76">
        <f>'PartLib Table'!M419</f>
        <v>0</v>
      </c>
      <c r="E417" s="76">
        <f>'PartLib Table'!N419</f>
        <v>0</v>
      </c>
      <c r="F417" s="132">
        <f>'PartLib Table'!O419</f>
        <v>0</v>
      </c>
      <c r="G417" s="76">
        <f>'PartLib Table'!P419</f>
        <v>0</v>
      </c>
      <c r="H417" s="76">
        <f>'PartLib Table'!Q419</f>
        <v>0</v>
      </c>
    </row>
    <row r="418" spans="1:8">
      <c r="A418" s="76">
        <f>'PartLib Table'!C420</f>
        <v>0</v>
      </c>
      <c r="B418" s="76" t="str">
        <f>'PartLib Table'!K420</f>
        <v/>
      </c>
      <c r="C418" s="76">
        <f>'PartLib Table'!L420</f>
        <v>0</v>
      </c>
      <c r="D418" s="76">
        <f>'PartLib Table'!M420</f>
        <v>0</v>
      </c>
      <c r="E418" s="76">
        <f>'PartLib Table'!N420</f>
        <v>0</v>
      </c>
      <c r="F418" s="132">
        <f>'PartLib Table'!O420</f>
        <v>0</v>
      </c>
      <c r="G418" s="76">
        <f>'PartLib Table'!P420</f>
        <v>0</v>
      </c>
      <c r="H418" s="76">
        <f>'PartLib Table'!Q420</f>
        <v>0</v>
      </c>
    </row>
    <row r="419" spans="1:8">
      <c r="A419" s="76">
        <f>'PartLib Table'!C421</f>
        <v>0</v>
      </c>
      <c r="B419" s="76" t="str">
        <f>'PartLib Table'!K421</f>
        <v/>
      </c>
      <c r="C419" s="76">
        <f>'PartLib Table'!L421</f>
        <v>0</v>
      </c>
      <c r="D419" s="76">
        <f>'PartLib Table'!M421</f>
        <v>0</v>
      </c>
      <c r="E419" s="76">
        <f>'PartLib Table'!N421</f>
        <v>0</v>
      </c>
      <c r="F419" s="132">
        <f>'PartLib Table'!O421</f>
        <v>0</v>
      </c>
      <c r="G419" s="76">
        <f>'PartLib Table'!P421</f>
        <v>0</v>
      </c>
      <c r="H419" s="76">
        <f>'PartLib Table'!Q421</f>
        <v>0</v>
      </c>
    </row>
    <row r="420" spans="1:8">
      <c r="A420" s="76">
        <f>'PartLib Table'!C422</f>
        <v>0</v>
      </c>
      <c r="B420" s="76" t="str">
        <f>'PartLib Table'!K422</f>
        <v/>
      </c>
      <c r="C420" s="76">
        <f>'PartLib Table'!L422</f>
        <v>0</v>
      </c>
      <c r="D420" s="76">
        <f>'PartLib Table'!M422</f>
        <v>0</v>
      </c>
      <c r="E420" s="76">
        <f>'PartLib Table'!N422</f>
        <v>0</v>
      </c>
      <c r="F420" s="132">
        <f>'PartLib Table'!O422</f>
        <v>0</v>
      </c>
      <c r="G420" s="76">
        <f>'PartLib Table'!P422</f>
        <v>0</v>
      </c>
      <c r="H420" s="76">
        <f>'PartLib Table'!Q422</f>
        <v>0</v>
      </c>
    </row>
    <row r="421" spans="1:8">
      <c r="A421" s="76">
        <f>'PartLib Table'!C423</f>
        <v>0</v>
      </c>
      <c r="B421" s="76" t="str">
        <f>'PartLib Table'!K423</f>
        <v/>
      </c>
      <c r="C421" s="76">
        <f>'PartLib Table'!L423</f>
        <v>0</v>
      </c>
      <c r="D421" s="76">
        <f>'PartLib Table'!M423</f>
        <v>0</v>
      </c>
      <c r="E421" s="76">
        <f>'PartLib Table'!N423</f>
        <v>0</v>
      </c>
      <c r="F421" s="132">
        <f>'PartLib Table'!O423</f>
        <v>0</v>
      </c>
      <c r="G421" s="76">
        <f>'PartLib Table'!P423</f>
        <v>0</v>
      </c>
      <c r="H421" s="76">
        <f>'PartLib Table'!Q423</f>
        <v>0</v>
      </c>
    </row>
    <row r="422" spans="1:8">
      <c r="A422" s="76">
        <f>'PartLib Table'!C424</f>
        <v>0</v>
      </c>
      <c r="B422" s="76" t="str">
        <f>'PartLib Table'!K424</f>
        <v/>
      </c>
      <c r="C422" s="76">
        <f>'PartLib Table'!L424</f>
        <v>0</v>
      </c>
      <c r="D422" s="76">
        <f>'PartLib Table'!M424</f>
        <v>0</v>
      </c>
      <c r="E422" s="76">
        <f>'PartLib Table'!N424</f>
        <v>0</v>
      </c>
      <c r="F422" s="132">
        <f>'PartLib Table'!O424</f>
        <v>0</v>
      </c>
      <c r="G422" s="76">
        <f>'PartLib Table'!P424</f>
        <v>0</v>
      </c>
      <c r="H422" s="76">
        <f>'PartLib Table'!Q424</f>
        <v>0</v>
      </c>
    </row>
    <row r="423" spans="1:8">
      <c r="A423" s="76">
        <f>'PartLib Table'!C425</f>
        <v>0</v>
      </c>
      <c r="B423" s="76" t="str">
        <f>'PartLib Table'!K425</f>
        <v/>
      </c>
      <c r="C423" s="76">
        <f>'PartLib Table'!L425</f>
        <v>0</v>
      </c>
      <c r="D423" s="76">
        <f>'PartLib Table'!M425</f>
        <v>0</v>
      </c>
      <c r="E423" s="76">
        <f>'PartLib Table'!N425</f>
        <v>0</v>
      </c>
      <c r="F423" s="132">
        <f>'PartLib Table'!O425</f>
        <v>0</v>
      </c>
      <c r="G423" s="76">
        <f>'PartLib Table'!P425</f>
        <v>0</v>
      </c>
      <c r="H423" s="76">
        <f>'PartLib Table'!Q425</f>
        <v>0</v>
      </c>
    </row>
    <row r="424" spans="1:8">
      <c r="A424" s="76">
        <f>'PartLib Table'!C426</f>
        <v>0</v>
      </c>
      <c r="B424" s="76" t="str">
        <f>'PartLib Table'!K426</f>
        <v/>
      </c>
      <c r="C424" s="76">
        <f>'PartLib Table'!L426</f>
        <v>0</v>
      </c>
      <c r="D424" s="76">
        <f>'PartLib Table'!M426</f>
        <v>0</v>
      </c>
      <c r="E424" s="76">
        <f>'PartLib Table'!N426</f>
        <v>0</v>
      </c>
      <c r="F424" s="132">
        <f>'PartLib Table'!O426</f>
        <v>0</v>
      </c>
      <c r="G424" s="76">
        <f>'PartLib Table'!P426</f>
        <v>0</v>
      </c>
      <c r="H424" s="76">
        <f>'PartLib Table'!Q426</f>
        <v>0</v>
      </c>
    </row>
    <row r="425" spans="1:8">
      <c r="A425" s="76">
        <f>'PartLib Table'!C427</f>
        <v>0</v>
      </c>
      <c r="B425" s="76" t="str">
        <f>'PartLib Table'!K427</f>
        <v/>
      </c>
      <c r="C425" s="76">
        <f>'PartLib Table'!L427</f>
        <v>0</v>
      </c>
      <c r="D425" s="76">
        <f>'PartLib Table'!M427</f>
        <v>0</v>
      </c>
      <c r="E425" s="76">
        <f>'PartLib Table'!N427</f>
        <v>0</v>
      </c>
      <c r="F425" s="132">
        <f>'PartLib Table'!O427</f>
        <v>0</v>
      </c>
      <c r="G425" s="76">
        <f>'PartLib Table'!P427</f>
        <v>0</v>
      </c>
      <c r="H425" s="76">
        <f>'PartLib Table'!Q427</f>
        <v>0</v>
      </c>
    </row>
    <row r="426" spans="1:8">
      <c r="A426" s="76">
        <f>'PartLib Table'!C428</f>
        <v>0</v>
      </c>
      <c r="B426" s="76" t="str">
        <f>'PartLib Table'!K428</f>
        <v/>
      </c>
      <c r="C426" s="76">
        <f>'PartLib Table'!L428</f>
        <v>0</v>
      </c>
      <c r="D426" s="76">
        <f>'PartLib Table'!M428</f>
        <v>0</v>
      </c>
      <c r="E426" s="76">
        <f>'PartLib Table'!N428</f>
        <v>0</v>
      </c>
      <c r="F426" s="132">
        <f>'PartLib Table'!O428</f>
        <v>0</v>
      </c>
      <c r="G426" s="76">
        <f>'PartLib Table'!P428</f>
        <v>0</v>
      </c>
      <c r="H426" s="76">
        <f>'PartLib Table'!Q428</f>
        <v>0</v>
      </c>
    </row>
    <row r="427" spans="1:8">
      <c r="A427" s="76">
        <f>'PartLib Table'!C429</f>
        <v>0</v>
      </c>
      <c r="B427" s="76" t="str">
        <f>'PartLib Table'!K429</f>
        <v/>
      </c>
      <c r="C427" s="76">
        <f>'PartLib Table'!L429</f>
        <v>0</v>
      </c>
      <c r="D427" s="76">
        <f>'PartLib Table'!M429</f>
        <v>0</v>
      </c>
      <c r="E427" s="76">
        <f>'PartLib Table'!N429</f>
        <v>0</v>
      </c>
      <c r="F427" s="132">
        <f>'PartLib Table'!O429</f>
        <v>0</v>
      </c>
      <c r="G427" s="76">
        <f>'PartLib Table'!P429</f>
        <v>0</v>
      </c>
      <c r="H427" s="76">
        <f>'PartLib Table'!Q429</f>
        <v>0</v>
      </c>
    </row>
    <row r="428" spans="1:8">
      <c r="A428" s="76">
        <f>'PartLib Table'!C430</f>
        <v>0</v>
      </c>
      <c r="B428" s="76" t="str">
        <f>'PartLib Table'!K430</f>
        <v/>
      </c>
      <c r="C428" s="76">
        <f>'PartLib Table'!L430</f>
        <v>0</v>
      </c>
      <c r="D428" s="76">
        <f>'PartLib Table'!M430</f>
        <v>0</v>
      </c>
      <c r="E428" s="76">
        <f>'PartLib Table'!N430</f>
        <v>0</v>
      </c>
      <c r="F428" s="132">
        <f>'PartLib Table'!O430</f>
        <v>0</v>
      </c>
      <c r="G428" s="76">
        <f>'PartLib Table'!P430</f>
        <v>0</v>
      </c>
      <c r="H428" s="76">
        <f>'PartLib Table'!Q430</f>
        <v>0</v>
      </c>
    </row>
    <row r="429" spans="1:8">
      <c r="A429" s="76">
        <f>'PartLib Table'!C431</f>
        <v>0</v>
      </c>
      <c r="B429" s="76" t="str">
        <f>'PartLib Table'!K431</f>
        <v/>
      </c>
      <c r="C429" s="76">
        <f>'PartLib Table'!L431</f>
        <v>0</v>
      </c>
      <c r="D429" s="76">
        <f>'PartLib Table'!M431</f>
        <v>0</v>
      </c>
      <c r="E429" s="76">
        <f>'PartLib Table'!N431</f>
        <v>0</v>
      </c>
      <c r="F429" s="132">
        <f>'PartLib Table'!O431</f>
        <v>0</v>
      </c>
      <c r="G429" s="76">
        <f>'PartLib Table'!P431</f>
        <v>0</v>
      </c>
      <c r="H429" s="76">
        <f>'PartLib Table'!Q431</f>
        <v>0</v>
      </c>
    </row>
    <row r="430" spans="1:8">
      <c r="A430" s="76">
        <f>'PartLib Table'!C432</f>
        <v>0</v>
      </c>
      <c r="B430" s="76" t="str">
        <f>'PartLib Table'!K432</f>
        <v/>
      </c>
      <c r="C430" s="76">
        <f>'PartLib Table'!L432</f>
        <v>0</v>
      </c>
      <c r="D430" s="76">
        <f>'PartLib Table'!M432</f>
        <v>0</v>
      </c>
      <c r="E430" s="76">
        <f>'PartLib Table'!N432</f>
        <v>0</v>
      </c>
      <c r="F430" s="132">
        <f>'PartLib Table'!O432</f>
        <v>0</v>
      </c>
      <c r="G430" s="76">
        <f>'PartLib Table'!P432</f>
        <v>0</v>
      </c>
      <c r="H430" s="76">
        <f>'PartLib Table'!Q432</f>
        <v>0</v>
      </c>
    </row>
    <row r="431" spans="1:8">
      <c r="A431" s="76">
        <f>'PartLib Table'!C433</f>
        <v>0</v>
      </c>
      <c r="B431" s="76" t="str">
        <f>'PartLib Table'!K433</f>
        <v/>
      </c>
      <c r="C431" s="76">
        <f>'PartLib Table'!L433</f>
        <v>0</v>
      </c>
      <c r="D431" s="76">
        <f>'PartLib Table'!M433</f>
        <v>0</v>
      </c>
      <c r="E431" s="76">
        <f>'PartLib Table'!N433</f>
        <v>0</v>
      </c>
      <c r="F431" s="132">
        <f>'PartLib Table'!O433</f>
        <v>0</v>
      </c>
      <c r="G431" s="76">
        <f>'PartLib Table'!P433</f>
        <v>0</v>
      </c>
      <c r="H431" s="76">
        <f>'PartLib Table'!Q433</f>
        <v>0</v>
      </c>
    </row>
    <row r="432" spans="1:8">
      <c r="A432" s="76">
        <f>'PartLib Table'!C434</f>
        <v>0</v>
      </c>
      <c r="B432" s="76" t="str">
        <f>'PartLib Table'!K434</f>
        <v/>
      </c>
      <c r="C432" s="76">
        <f>'PartLib Table'!L434</f>
        <v>0</v>
      </c>
      <c r="D432" s="76">
        <f>'PartLib Table'!M434</f>
        <v>0</v>
      </c>
      <c r="E432" s="76">
        <f>'PartLib Table'!N434</f>
        <v>0</v>
      </c>
      <c r="F432" s="132">
        <f>'PartLib Table'!O434</f>
        <v>0</v>
      </c>
      <c r="G432" s="76">
        <f>'PartLib Table'!P434</f>
        <v>0</v>
      </c>
      <c r="H432" s="76">
        <f>'PartLib Table'!Q434</f>
        <v>0</v>
      </c>
    </row>
    <row r="433" spans="1:8">
      <c r="A433" s="76">
        <f>'PartLib Table'!C435</f>
        <v>0</v>
      </c>
      <c r="B433" s="76" t="str">
        <f>'PartLib Table'!K435</f>
        <v/>
      </c>
      <c r="C433" s="76">
        <f>'PartLib Table'!L435</f>
        <v>0</v>
      </c>
      <c r="D433" s="76">
        <f>'PartLib Table'!M435</f>
        <v>0</v>
      </c>
      <c r="E433" s="76">
        <f>'PartLib Table'!N435</f>
        <v>0</v>
      </c>
      <c r="F433" s="132">
        <f>'PartLib Table'!O435</f>
        <v>0</v>
      </c>
      <c r="G433" s="76">
        <f>'PartLib Table'!P435</f>
        <v>0</v>
      </c>
      <c r="H433" s="76">
        <f>'PartLib Table'!Q435</f>
        <v>0</v>
      </c>
    </row>
    <row r="434" spans="1:8">
      <c r="A434" s="76">
        <f>'PartLib Table'!C436</f>
        <v>0</v>
      </c>
      <c r="B434" s="76" t="str">
        <f>'PartLib Table'!K436</f>
        <v/>
      </c>
      <c r="C434" s="76">
        <f>'PartLib Table'!L436</f>
        <v>0</v>
      </c>
      <c r="D434" s="76">
        <f>'PartLib Table'!M436</f>
        <v>0</v>
      </c>
      <c r="E434" s="76">
        <f>'PartLib Table'!N436</f>
        <v>0</v>
      </c>
      <c r="F434" s="132">
        <f>'PartLib Table'!O436</f>
        <v>0</v>
      </c>
      <c r="G434" s="76">
        <f>'PartLib Table'!P436</f>
        <v>0</v>
      </c>
      <c r="H434" s="76">
        <f>'PartLib Table'!Q436</f>
        <v>0</v>
      </c>
    </row>
    <row r="435" spans="1:8">
      <c r="A435" s="76">
        <f>'PartLib Table'!C437</f>
        <v>0</v>
      </c>
      <c r="B435" s="76" t="str">
        <f>'PartLib Table'!K437</f>
        <v/>
      </c>
      <c r="C435" s="76">
        <f>'PartLib Table'!L437</f>
        <v>0</v>
      </c>
      <c r="D435" s="76">
        <f>'PartLib Table'!M437</f>
        <v>0</v>
      </c>
      <c r="E435" s="76">
        <f>'PartLib Table'!N437</f>
        <v>0</v>
      </c>
      <c r="F435" s="132">
        <f>'PartLib Table'!O437</f>
        <v>0</v>
      </c>
      <c r="G435" s="76">
        <f>'PartLib Table'!P437</f>
        <v>0</v>
      </c>
      <c r="H435" s="76">
        <f>'PartLib Table'!Q437</f>
        <v>0</v>
      </c>
    </row>
    <row r="436" spans="1:8">
      <c r="A436" s="76">
        <f>'PartLib Table'!C438</f>
        <v>0</v>
      </c>
      <c r="B436" s="76" t="str">
        <f>'PartLib Table'!K438</f>
        <v/>
      </c>
      <c r="C436" s="76">
        <f>'PartLib Table'!L438</f>
        <v>0</v>
      </c>
      <c r="D436" s="76">
        <f>'PartLib Table'!M438</f>
        <v>0</v>
      </c>
      <c r="E436" s="76">
        <f>'PartLib Table'!N438</f>
        <v>0</v>
      </c>
      <c r="F436" s="132">
        <f>'PartLib Table'!O438</f>
        <v>0</v>
      </c>
      <c r="G436" s="76">
        <f>'PartLib Table'!P438</f>
        <v>0</v>
      </c>
      <c r="H436" s="76">
        <f>'PartLib Table'!Q438</f>
        <v>0</v>
      </c>
    </row>
    <row r="437" spans="1:8">
      <c r="A437" s="76">
        <f>'PartLib Table'!C439</f>
        <v>0</v>
      </c>
      <c r="B437" s="76" t="str">
        <f>'PartLib Table'!K439</f>
        <v/>
      </c>
      <c r="C437" s="76">
        <f>'PartLib Table'!L439</f>
        <v>0</v>
      </c>
      <c r="D437" s="76">
        <f>'PartLib Table'!M439</f>
        <v>0</v>
      </c>
      <c r="E437" s="76">
        <f>'PartLib Table'!N439</f>
        <v>0</v>
      </c>
      <c r="F437" s="132">
        <f>'PartLib Table'!O439</f>
        <v>0</v>
      </c>
      <c r="G437" s="76">
        <f>'PartLib Table'!P439</f>
        <v>0</v>
      </c>
      <c r="H437" s="76">
        <f>'PartLib Table'!Q439</f>
        <v>0</v>
      </c>
    </row>
    <row r="438" spans="1:8">
      <c r="A438" s="76">
        <f>'PartLib Table'!C440</f>
        <v>0</v>
      </c>
      <c r="B438" s="76" t="str">
        <f>'PartLib Table'!K440</f>
        <v/>
      </c>
      <c r="C438" s="76">
        <f>'PartLib Table'!L440</f>
        <v>0</v>
      </c>
      <c r="D438" s="76">
        <f>'PartLib Table'!M440</f>
        <v>0</v>
      </c>
      <c r="E438" s="76">
        <f>'PartLib Table'!N440</f>
        <v>0</v>
      </c>
      <c r="F438" s="132">
        <f>'PartLib Table'!O440</f>
        <v>0</v>
      </c>
      <c r="G438" s="76">
        <f>'PartLib Table'!P440</f>
        <v>0</v>
      </c>
      <c r="H438" s="76">
        <f>'PartLib Table'!Q440</f>
        <v>0</v>
      </c>
    </row>
    <row r="439" spans="1:8">
      <c r="A439" s="76">
        <f>'PartLib Table'!C441</f>
        <v>0</v>
      </c>
      <c r="B439" s="76" t="str">
        <f>'PartLib Table'!K441</f>
        <v/>
      </c>
      <c r="C439" s="76">
        <f>'PartLib Table'!L441</f>
        <v>0</v>
      </c>
      <c r="D439" s="76">
        <f>'PartLib Table'!M441</f>
        <v>0</v>
      </c>
      <c r="E439" s="76">
        <f>'PartLib Table'!N441</f>
        <v>0</v>
      </c>
      <c r="F439" s="132">
        <f>'PartLib Table'!O441</f>
        <v>0</v>
      </c>
      <c r="G439" s="76">
        <f>'PartLib Table'!P441</f>
        <v>0</v>
      </c>
      <c r="H439" s="76">
        <f>'PartLib Table'!Q441</f>
        <v>0</v>
      </c>
    </row>
    <row r="440" spans="1:8">
      <c r="A440" s="76">
        <f>'PartLib Table'!C442</f>
        <v>0</v>
      </c>
      <c r="B440" s="76" t="str">
        <f>'PartLib Table'!K442</f>
        <v/>
      </c>
      <c r="C440" s="76">
        <f>'PartLib Table'!L442</f>
        <v>0</v>
      </c>
      <c r="D440" s="76">
        <f>'PartLib Table'!M442</f>
        <v>0</v>
      </c>
      <c r="E440" s="76">
        <f>'PartLib Table'!N442</f>
        <v>0</v>
      </c>
      <c r="F440" s="132">
        <f>'PartLib Table'!O442</f>
        <v>0</v>
      </c>
      <c r="G440" s="76">
        <f>'PartLib Table'!P442</f>
        <v>0</v>
      </c>
      <c r="H440" s="76">
        <f>'PartLib Table'!Q442</f>
        <v>0</v>
      </c>
    </row>
    <row r="441" spans="1:8">
      <c r="A441" s="76">
        <f>'PartLib Table'!C443</f>
        <v>0</v>
      </c>
      <c r="B441" s="76" t="str">
        <f>'PartLib Table'!K443</f>
        <v/>
      </c>
      <c r="C441" s="76">
        <f>'PartLib Table'!L443</f>
        <v>0</v>
      </c>
      <c r="D441" s="76">
        <f>'PartLib Table'!M443</f>
        <v>0</v>
      </c>
      <c r="E441" s="76">
        <f>'PartLib Table'!N443</f>
        <v>0</v>
      </c>
      <c r="F441" s="132">
        <f>'PartLib Table'!O443</f>
        <v>0</v>
      </c>
      <c r="G441" s="76">
        <f>'PartLib Table'!P443</f>
        <v>0</v>
      </c>
      <c r="H441" s="76">
        <f>'PartLib Table'!Q443</f>
        <v>0</v>
      </c>
    </row>
    <row r="442" spans="1:8">
      <c r="A442" s="76">
        <f>'PartLib Table'!C444</f>
        <v>0</v>
      </c>
      <c r="B442" s="76" t="str">
        <f>'PartLib Table'!K444</f>
        <v/>
      </c>
      <c r="C442" s="76">
        <f>'PartLib Table'!L444</f>
        <v>0</v>
      </c>
      <c r="D442" s="76">
        <f>'PartLib Table'!M444</f>
        <v>0</v>
      </c>
      <c r="E442" s="76">
        <f>'PartLib Table'!N444</f>
        <v>0</v>
      </c>
      <c r="F442" s="132">
        <f>'PartLib Table'!O444</f>
        <v>0</v>
      </c>
      <c r="G442" s="76">
        <f>'PartLib Table'!P444</f>
        <v>0</v>
      </c>
      <c r="H442" s="76">
        <f>'PartLib Table'!Q444</f>
        <v>0</v>
      </c>
    </row>
    <row r="443" spans="1:8">
      <c r="A443" s="76">
        <f>'PartLib Table'!C445</f>
        <v>0</v>
      </c>
      <c r="B443" s="76" t="str">
        <f>'PartLib Table'!K445</f>
        <v/>
      </c>
      <c r="C443" s="76">
        <f>'PartLib Table'!L445</f>
        <v>0</v>
      </c>
      <c r="D443" s="76">
        <f>'PartLib Table'!M445</f>
        <v>0</v>
      </c>
      <c r="E443" s="76">
        <f>'PartLib Table'!N445</f>
        <v>0</v>
      </c>
      <c r="F443" s="132">
        <f>'PartLib Table'!O445</f>
        <v>0</v>
      </c>
      <c r="G443" s="76">
        <f>'PartLib Table'!P445</f>
        <v>0</v>
      </c>
      <c r="H443" s="76">
        <f>'PartLib Table'!Q445</f>
        <v>0</v>
      </c>
    </row>
    <row r="444" spans="1:8">
      <c r="A444" s="76">
        <f>'PartLib Table'!C446</f>
        <v>0</v>
      </c>
      <c r="B444" s="76" t="str">
        <f>'PartLib Table'!K446</f>
        <v/>
      </c>
      <c r="C444" s="76">
        <f>'PartLib Table'!L446</f>
        <v>0</v>
      </c>
      <c r="D444" s="76">
        <f>'PartLib Table'!M446</f>
        <v>0</v>
      </c>
      <c r="E444" s="76">
        <f>'PartLib Table'!N446</f>
        <v>0</v>
      </c>
      <c r="F444" s="132">
        <f>'PartLib Table'!O446</f>
        <v>0</v>
      </c>
      <c r="G444" s="76">
        <f>'PartLib Table'!P446</f>
        <v>0</v>
      </c>
      <c r="H444" s="76">
        <f>'PartLib Table'!Q446</f>
        <v>0</v>
      </c>
    </row>
    <row r="445" spans="1:8">
      <c r="A445" s="76">
        <f>'PartLib Table'!C447</f>
        <v>0</v>
      </c>
      <c r="B445" s="76" t="str">
        <f>'PartLib Table'!K447</f>
        <v/>
      </c>
      <c r="C445" s="76">
        <f>'PartLib Table'!L447</f>
        <v>0</v>
      </c>
      <c r="D445" s="76">
        <f>'PartLib Table'!M447</f>
        <v>0</v>
      </c>
      <c r="E445" s="76">
        <f>'PartLib Table'!N447</f>
        <v>0</v>
      </c>
      <c r="F445" s="132">
        <f>'PartLib Table'!O447</f>
        <v>0</v>
      </c>
      <c r="G445" s="76">
        <f>'PartLib Table'!P447</f>
        <v>0</v>
      </c>
      <c r="H445" s="76">
        <f>'PartLib Table'!Q447</f>
        <v>0</v>
      </c>
    </row>
    <row r="446" spans="1:8">
      <c r="A446" s="76">
        <f>'PartLib Table'!C448</f>
        <v>0</v>
      </c>
      <c r="B446" s="76" t="str">
        <f>'PartLib Table'!K448</f>
        <v/>
      </c>
      <c r="C446" s="76">
        <f>'PartLib Table'!L448</f>
        <v>0</v>
      </c>
      <c r="D446" s="76">
        <f>'PartLib Table'!M448</f>
        <v>0</v>
      </c>
      <c r="E446" s="76">
        <f>'PartLib Table'!N448</f>
        <v>0</v>
      </c>
      <c r="F446" s="132">
        <f>'PartLib Table'!O448</f>
        <v>0</v>
      </c>
      <c r="G446" s="76">
        <f>'PartLib Table'!P448</f>
        <v>0</v>
      </c>
      <c r="H446" s="76">
        <f>'PartLib Table'!Q448</f>
        <v>0</v>
      </c>
    </row>
    <row r="447" spans="1:8">
      <c r="A447" s="76">
        <f>'PartLib Table'!C449</f>
        <v>0</v>
      </c>
      <c r="B447" s="76" t="str">
        <f>'PartLib Table'!K449</f>
        <v/>
      </c>
      <c r="C447" s="76">
        <f>'PartLib Table'!L449</f>
        <v>0</v>
      </c>
      <c r="D447" s="76">
        <f>'PartLib Table'!M449</f>
        <v>0</v>
      </c>
      <c r="E447" s="76">
        <f>'PartLib Table'!N449</f>
        <v>0</v>
      </c>
      <c r="F447" s="132">
        <f>'PartLib Table'!O449</f>
        <v>0</v>
      </c>
      <c r="G447" s="76">
        <f>'PartLib Table'!P449</f>
        <v>0</v>
      </c>
      <c r="H447" s="76">
        <f>'PartLib Table'!Q449</f>
        <v>0</v>
      </c>
    </row>
    <row r="448" spans="1:8">
      <c r="A448" s="76">
        <f>'PartLib Table'!C450</f>
        <v>0</v>
      </c>
      <c r="B448" s="76" t="str">
        <f>'PartLib Table'!K450</f>
        <v/>
      </c>
      <c r="C448" s="76">
        <f>'PartLib Table'!L450</f>
        <v>0</v>
      </c>
      <c r="D448" s="76">
        <f>'PartLib Table'!M450</f>
        <v>0</v>
      </c>
      <c r="E448" s="76">
        <f>'PartLib Table'!N450</f>
        <v>0</v>
      </c>
      <c r="F448" s="132">
        <f>'PartLib Table'!O450</f>
        <v>0</v>
      </c>
      <c r="G448" s="76">
        <f>'PartLib Table'!P450</f>
        <v>0</v>
      </c>
      <c r="H448" s="76">
        <f>'PartLib Table'!Q450</f>
        <v>0</v>
      </c>
    </row>
    <row r="449" spans="1:8">
      <c r="A449" s="76">
        <f>'PartLib Table'!C451</f>
        <v>0</v>
      </c>
      <c r="B449" s="76" t="str">
        <f>'PartLib Table'!K451</f>
        <v/>
      </c>
      <c r="C449" s="76">
        <f>'PartLib Table'!L451</f>
        <v>0</v>
      </c>
      <c r="D449" s="76">
        <f>'PartLib Table'!M451</f>
        <v>0</v>
      </c>
      <c r="E449" s="76">
        <f>'PartLib Table'!N451</f>
        <v>0</v>
      </c>
      <c r="F449" s="132">
        <f>'PartLib Table'!O451</f>
        <v>0</v>
      </c>
      <c r="G449" s="76">
        <f>'PartLib Table'!P451</f>
        <v>0</v>
      </c>
      <c r="H449" s="76">
        <f>'PartLib Table'!Q451</f>
        <v>0</v>
      </c>
    </row>
    <row r="450" spans="1:8">
      <c r="A450" s="76">
        <f>'PartLib Table'!C452</f>
        <v>0</v>
      </c>
      <c r="B450" s="76" t="str">
        <f>'PartLib Table'!K452</f>
        <v/>
      </c>
      <c r="C450" s="76">
        <f>'PartLib Table'!L452</f>
        <v>0</v>
      </c>
      <c r="D450" s="76">
        <f>'PartLib Table'!M452</f>
        <v>0</v>
      </c>
      <c r="E450" s="76">
        <f>'PartLib Table'!N452</f>
        <v>0</v>
      </c>
      <c r="F450" s="132">
        <f>'PartLib Table'!O452</f>
        <v>0</v>
      </c>
      <c r="G450" s="76">
        <f>'PartLib Table'!P452</f>
        <v>0</v>
      </c>
      <c r="H450" s="76">
        <f>'PartLib Table'!Q452</f>
        <v>0</v>
      </c>
    </row>
    <row r="451" spans="1:8">
      <c r="A451" s="76">
        <f>'PartLib Table'!C453</f>
        <v>0</v>
      </c>
      <c r="B451" s="76" t="str">
        <f>'PartLib Table'!K453</f>
        <v/>
      </c>
      <c r="C451" s="76">
        <f>'PartLib Table'!L453</f>
        <v>0</v>
      </c>
      <c r="D451" s="76">
        <f>'PartLib Table'!M453</f>
        <v>0</v>
      </c>
      <c r="E451" s="76">
        <f>'PartLib Table'!N453</f>
        <v>0</v>
      </c>
      <c r="F451" s="132">
        <f>'PartLib Table'!O453</f>
        <v>0</v>
      </c>
      <c r="G451" s="76">
        <f>'PartLib Table'!P453</f>
        <v>0</v>
      </c>
      <c r="H451" s="76">
        <f>'PartLib Table'!Q453</f>
        <v>0</v>
      </c>
    </row>
    <row r="452" spans="1:8">
      <c r="A452" s="76">
        <f>'PartLib Table'!C454</f>
        <v>0</v>
      </c>
      <c r="B452" s="76" t="str">
        <f>'PartLib Table'!K454</f>
        <v/>
      </c>
      <c r="C452" s="76">
        <f>'PartLib Table'!L454</f>
        <v>0</v>
      </c>
      <c r="D452" s="76">
        <f>'PartLib Table'!M454</f>
        <v>0</v>
      </c>
      <c r="E452" s="76">
        <f>'PartLib Table'!N454</f>
        <v>0</v>
      </c>
      <c r="F452" s="132">
        <f>'PartLib Table'!O454</f>
        <v>0</v>
      </c>
      <c r="G452" s="76">
        <f>'PartLib Table'!P454</f>
        <v>0</v>
      </c>
      <c r="H452" s="76">
        <f>'PartLib Table'!Q454</f>
        <v>0</v>
      </c>
    </row>
    <row r="453" spans="1:8">
      <c r="A453" s="76">
        <f>'PartLib Table'!C455</f>
        <v>0</v>
      </c>
      <c r="B453" s="76" t="str">
        <f>'PartLib Table'!K455</f>
        <v/>
      </c>
      <c r="C453" s="76">
        <f>'PartLib Table'!L455</f>
        <v>0</v>
      </c>
      <c r="D453" s="76">
        <f>'PartLib Table'!M455</f>
        <v>0</v>
      </c>
      <c r="E453" s="76">
        <f>'PartLib Table'!N455</f>
        <v>0</v>
      </c>
      <c r="F453" s="132">
        <f>'PartLib Table'!O455</f>
        <v>0</v>
      </c>
      <c r="G453" s="76">
        <f>'PartLib Table'!P455</f>
        <v>0</v>
      </c>
      <c r="H453" s="76">
        <f>'PartLib Table'!Q455</f>
        <v>0</v>
      </c>
    </row>
    <row r="454" spans="1:8">
      <c r="A454" s="76">
        <f>'PartLib Table'!C456</f>
        <v>0</v>
      </c>
      <c r="B454" s="76" t="str">
        <f>'PartLib Table'!K456</f>
        <v/>
      </c>
      <c r="C454" s="76">
        <f>'PartLib Table'!L456</f>
        <v>0</v>
      </c>
      <c r="D454" s="76">
        <f>'PartLib Table'!M456</f>
        <v>0</v>
      </c>
      <c r="E454" s="76">
        <f>'PartLib Table'!N456</f>
        <v>0</v>
      </c>
      <c r="F454" s="132">
        <f>'PartLib Table'!O456</f>
        <v>0</v>
      </c>
      <c r="G454" s="76">
        <f>'PartLib Table'!P456</f>
        <v>0</v>
      </c>
      <c r="H454" s="76">
        <f>'PartLib Table'!Q456</f>
        <v>0</v>
      </c>
    </row>
    <row r="455" spans="1:8">
      <c r="A455" s="76">
        <f>'PartLib Table'!C457</f>
        <v>0</v>
      </c>
      <c r="B455" s="76" t="str">
        <f>'PartLib Table'!K457</f>
        <v/>
      </c>
      <c r="C455" s="76">
        <f>'PartLib Table'!L457</f>
        <v>0</v>
      </c>
      <c r="D455" s="76">
        <f>'PartLib Table'!M457</f>
        <v>0</v>
      </c>
      <c r="E455" s="76">
        <f>'PartLib Table'!N457</f>
        <v>0</v>
      </c>
      <c r="F455" s="132">
        <f>'PartLib Table'!O457</f>
        <v>0</v>
      </c>
      <c r="G455" s="76">
        <f>'PartLib Table'!P457</f>
        <v>0</v>
      </c>
      <c r="H455" s="76">
        <f>'PartLib Table'!Q457</f>
        <v>0</v>
      </c>
    </row>
    <row r="456" spans="1:8">
      <c r="A456" s="76">
        <f>'PartLib Table'!C458</f>
        <v>0</v>
      </c>
      <c r="B456" s="76" t="str">
        <f>'PartLib Table'!K458</f>
        <v/>
      </c>
      <c r="C456" s="76">
        <f>'PartLib Table'!L458</f>
        <v>0</v>
      </c>
      <c r="D456" s="76">
        <f>'PartLib Table'!M458</f>
        <v>0</v>
      </c>
      <c r="E456" s="76">
        <f>'PartLib Table'!N458</f>
        <v>0</v>
      </c>
      <c r="F456" s="132">
        <f>'PartLib Table'!O458</f>
        <v>0</v>
      </c>
      <c r="G456" s="76">
        <f>'PartLib Table'!P458</f>
        <v>0</v>
      </c>
      <c r="H456" s="76">
        <f>'PartLib Table'!Q458</f>
        <v>0</v>
      </c>
    </row>
    <row r="457" spans="1:8">
      <c r="A457" s="76">
        <f>'PartLib Table'!C459</f>
        <v>0</v>
      </c>
      <c r="B457" s="76" t="str">
        <f>'PartLib Table'!K459</f>
        <v/>
      </c>
      <c r="C457" s="76">
        <f>'PartLib Table'!L459</f>
        <v>0</v>
      </c>
      <c r="D457" s="76">
        <f>'PartLib Table'!M459</f>
        <v>0</v>
      </c>
      <c r="E457" s="76">
        <f>'PartLib Table'!N459</f>
        <v>0</v>
      </c>
      <c r="F457" s="132">
        <f>'PartLib Table'!O459</f>
        <v>0</v>
      </c>
      <c r="G457" s="76">
        <f>'PartLib Table'!P459</f>
        <v>0</v>
      </c>
      <c r="H457" s="76">
        <f>'PartLib Table'!Q459</f>
        <v>0</v>
      </c>
    </row>
    <row r="458" spans="1:8">
      <c r="A458" s="76">
        <f>'PartLib Table'!C460</f>
        <v>0</v>
      </c>
      <c r="B458" s="76" t="str">
        <f>'PartLib Table'!K460</f>
        <v/>
      </c>
      <c r="C458" s="76">
        <f>'PartLib Table'!L460</f>
        <v>0</v>
      </c>
      <c r="D458" s="76">
        <f>'PartLib Table'!M460</f>
        <v>0</v>
      </c>
      <c r="E458" s="76">
        <f>'PartLib Table'!N460</f>
        <v>0</v>
      </c>
      <c r="F458" s="132">
        <f>'PartLib Table'!O460</f>
        <v>0</v>
      </c>
      <c r="G458" s="76">
        <f>'PartLib Table'!P460</f>
        <v>0</v>
      </c>
      <c r="H458" s="76">
        <f>'PartLib Table'!Q460</f>
        <v>0</v>
      </c>
    </row>
    <row r="459" spans="1:8">
      <c r="A459" s="76">
        <f>'PartLib Table'!C461</f>
        <v>0</v>
      </c>
      <c r="B459" s="76" t="str">
        <f>'PartLib Table'!K461</f>
        <v/>
      </c>
      <c r="C459" s="76">
        <f>'PartLib Table'!L461</f>
        <v>0</v>
      </c>
      <c r="D459" s="76">
        <f>'PartLib Table'!M461</f>
        <v>0</v>
      </c>
      <c r="E459" s="76">
        <f>'PartLib Table'!N461</f>
        <v>0</v>
      </c>
      <c r="F459" s="132">
        <f>'PartLib Table'!O461</f>
        <v>0</v>
      </c>
      <c r="G459" s="76">
        <f>'PartLib Table'!P461</f>
        <v>0</v>
      </c>
      <c r="H459" s="76">
        <f>'PartLib Table'!Q461</f>
        <v>0</v>
      </c>
    </row>
    <row r="460" spans="1:8">
      <c r="A460" s="76">
        <f>'PartLib Table'!C462</f>
        <v>0</v>
      </c>
      <c r="B460" s="76" t="str">
        <f>'PartLib Table'!K462</f>
        <v/>
      </c>
      <c r="C460" s="76">
        <f>'PartLib Table'!L462</f>
        <v>0</v>
      </c>
      <c r="D460" s="76">
        <f>'PartLib Table'!M462</f>
        <v>0</v>
      </c>
      <c r="E460" s="76">
        <f>'PartLib Table'!N462</f>
        <v>0</v>
      </c>
      <c r="F460" s="132">
        <f>'PartLib Table'!O462</f>
        <v>0</v>
      </c>
      <c r="G460" s="76">
        <f>'PartLib Table'!P462</f>
        <v>0</v>
      </c>
      <c r="H460" s="76">
        <f>'PartLib Table'!Q462</f>
        <v>0</v>
      </c>
    </row>
    <row r="461" spans="1:8">
      <c r="A461" s="76">
        <f>'PartLib Table'!C463</f>
        <v>0</v>
      </c>
      <c r="B461" s="76" t="str">
        <f>'PartLib Table'!K463</f>
        <v/>
      </c>
      <c r="C461" s="76">
        <f>'PartLib Table'!L463</f>
        <v>0</v>
      </c>
      <c r="D461" s="76">
        <f>'PartLib Table'!M463</f>
        <v>0</v>
      </c>
      <c r="E461" s="76">
        <f>'PartLib Table'!N463</f>
        <v>0</v>
      </c>
      <c r="F461" s="132">
        <f>'PartLib Table'!O463</f>
        <v>0</v>
      </c>
      <c r="G461" s="76">
        <f>'PartLib Table'!P463</f>
        <v>0</v>
      </c>
      <c r="H461" s="76">
        <f>'PartLib Table'!Q463</f>
        <v>0</v>
      </c>
    </row>
    <row r="462" spans="1:8">
      <c r="A462" s="76">
        <f>'PartLib Table'!C464</f>
        <v>0</v>
      </c>
      <c r="B462" s="76" t="str">
        <f>'PartLib Table'!K464</f>
        <v/>
      </c>
      <c r="C462" s="76">
        <f>'PartLib Table'!L464</f>
        <v>0</v>
      </c>
      <c r="D462" s="76">
        <f>'PartLib Table'!M464</f>
        <v>0</v>
      </c>
      <c r="E462" s="76">
        <f>'PartLib Table'!N464</f>
        <v>0</v>
      </c>
      <c r="F462" s="132">
        <f>'PartLib Table'!O464</f>
        <v>0</v>
      </c>
      <c r="G462" s="76">
        <f>'PartLib Table'!P464</f>
        <v>0</v>
      </c>
      <c r="H462" s="76">
        <f>'PartLib Table'!Q464</f>
        <v>0</v>
      </c>
    </row>
    <row r="463" spans="1:8">
      <c r="A463" s="76">
        <f>'PartLib Table'!C465</f>
        <v>0</v>
      </c>
      <c r="B463" s="76" t="str">
        <f>'PartLib Table'!K465</f>
        <v/>
      </c>
      <c r="C463" s="76">
        <f>'PartLib Table'!L465</f>
        <v>0</v>
      </c>
      <c r="D463" s="76">
        <f>'PartLib Table'!M465</f>
        <v>0</v>
      </c>
      <c r="E463" s="76">
        <f>'PartLib Table'!N465</f>
        <v>0</v>
      </c>
      <c r="F463" s="132">
        <f>'PartLib Table'!O465</f>
        <v>0</v>
      </c>
      <c r="G463" s="76">
        <f>'PartLib Table'!P465</f>
        <v>0</v>
      </c>
      <c r="H463" s="76">
        <f>'PartLib Table'!Q465</f>
        <v>0</v>
      </c>
    </row>
    <row r="464" spans="1:8">
      <c r="A464" s="76">
        <f>'PartLib Table'!C466</f>
        <v>0</v>
      </c>
      <c r="B464" s="76" t="str">
        <f>'PartLib Table'!K466</f>
        <v/>
      </c>
      <c r="C464" s="76">
        <f>'PartLib Table'!L466</f>
        <v>0</v>
      </c>
      <c r="D464" s="76">
        <f>'PartLib Table'!M466</f>
        <v>0</v>
      </c>
      <c r="E464" s="76">
        <f>'PartLib Table'!N466</f>
        <v>0</v>
      </c>
      <c r="F464" s="132">
        <f>'PartLib Table'!O466</f>
        <v>0</v>
      </c>
      <c r="G464" s="76">
        <f>'PartLib Table'!P466</f>
        <v>0</v>
      </c>
      <c r="H464" s="76">
        <f>'PartLib Table'!Q466</f>
        <v>0</v>
      </c>
    </row>
    <row r="465" spans="1:8">
      <c r="A465" s="76">
        <f>'PartLib Table'!C467</f>
        <v>0</v>
      </c>
      <c r="B465" s="76" t="str">
        <f>'PartLib Table'!K467</f>
        <v/>
      </c>
      <c r="C465" s="76">
        <f>'PartLib Table'!L467</f>
        <v>0</v>
      </c>
      <c r="D465" s="76">
        <f>'PartLib Table'!M467</f>
        <v>0</v>
      </c>
      <c r="E465" s="76">
        <f>'PartLib Table'!N467</f>
        <v>0</v>
      </c>
      <c r="F465" s="132">
        <f>'PartLib Table'!O467</f>
        <v>0</v>
      </c>
      <c r="G465" s="76">
        <f>'PartLib Table'!P467</f>
        <v>0</v>
      </c>
      <c r="H465" s="76">
        <f>'PartLib Table'!Q467</f>
        <v>0</v>
      </c>
    </row>
    <row r="466" spans="1:8">
      <c r="A466" s="76">
        <f>'PartLib Table'!C468</f>
        <v>0</v>
      </c>
      <c r="B466" s="76" t="str">
        <f>'PartLib Table'!K468</f>
        <v/>
      </c>
      <c r="C466" s="76">
        <f>'PartLib Table'!L468</f>
        <v>0</v>
      </c>
      <c r="D466" s="76">
        <f>'PartLib Table'!M468</f>
        <v>0</v>
      </c>
      <c r="E466" s="76">
        <f>'PartLib Table'!N468</f>
        <v>0</v>
      </c>
      <c r="F466" s="132">
        <f>'PartLib Table'!O468</f>
        <v>0</v>
      </c>
      <c r="G466" s="76">
        <f>'PartLib Table'!P468</f>
        <v>0</v>
      </c>
      <c r="H466" s="76">
        <f>'PartLib Table'!Q468</f>
        <v>0</v>
      </c>
    </row>
    <row r="467" spans="1:8">
      <c r="A467" s="76">
        <f>'PartLib Table'!C469</f>
        <v>0</v>
      </c>
      <c r="B467" s="76" t="str">
        <f>'PartLib Table'!K469</f>
        <v/>
      </c>
      <c r="C467" s="76">
        <f>'PartLib Table'!L469</f>
        <v>0</v>
      </c>
      <c r="D467" s="76">
        <f>'PartLib Table'!M469</f>
        <v>0</v>
      </c>
      <c r="E467" s="76">
        <f>'PartLib Table'!N469</f>
        <v>0</v>
      </c>
      <c r="F467" s="132">
        <f>'PartLib Table'!O469</f>
        <v>0</v>
      </c>
      <c r="G467" s="76">
        <f>'PartLib Table'!P469</f>
        <v>0</v>
      </c>
      <c r="H467" s="76">
        <f>'PartLib Table'!Q469</f>
        <v>0</v>
      </c>
    </row>
    <row r="468" spans="1:8">
      <c r="A468" s="76">
        <f>'PartLib Table'!C470</f>
        <v>0</v>
      </c>
      <c r="B468" s="76" t="str">
        <f>'PartLib Table'!K470</f>
        <v/>
      </c>
      <c r="C468" s="76">
        <f>'PartLib Table'!L470</f>
        <v>0</v>
      </c>
      <c r="D468" s="76">
        <f>'PartLib Table'!M470</f>
        <v>0</v>
      </c>
      <c r="E468" s="76">
        <f>'PartLib Table'!N470</f>
        <v>0</v>
      </c>
      <c r="F468" s="132">
        <f>'PartLib Table'!O470</f>
        <v>0</v>
      </c>
      <c r="G468" s="76">
        <f>'PartLib Table'!P470</f>
        <v>0</v>
      </c>
      <c r="H468" s="76">
        <f>'PartLib Table'!Q470</f>
        <v>0</v>
      </c>
    </row>
    <row r="469" spans="1:8">
      <c r="A469" s="76">
        <f>'PartLib Table'!C471</f>
        <v>0</v>
      </c>
      <c r="B469" s="76" t="str">
        <f>'PartLib Table'!K471</f>
        <v/>
      </c>
      <c r="C469" s="76">
        <f>'PartLib Table'!L471</f>
        <v>0</v>
      </c>
      <c r="D469" s="76">
        <f>'PartLib Table'!M471</f>
        <v>0</v>
      </c>
      <c r="E469" s="76">
        <f>'PartLib Table'!N471</f>
        <v>0</v>
      </c>
      <c r="F469" s="132">
        <f>'PartLib Table'!O471</f>
        <v>0</v>
      </c>
      <c r="G469" s="76">
        <f>'PartLib Table'!P471</f>
        <v>0</v>
      </c>
      <c r="H469" s="76">
        <f>'PartLib Table'!Q471</f>
        <v>0</v>
      </c>
    </row>
    <row r="470" spans="1:8">
      <c r="A470" s="76">
        <f>'PartLib Table'!C472</f>
        <v>0</v>
      </c>
      <c r="B470" s="76" t="str">
        <f>'PartLib Table'!K472</f>
        <v/>
      </c>
      <c r="C470" s="76">
        <f>'PartLib Table'!L472</f>
        <v>0</v>
      </c>
      <c r="D470" s="76">
        <f>'PartLib Table'!M472</f>
        <v>0</v>
      </c>
      <c r="E470" s="76">
        <f>'PartLib Table'!N472</f>
        <v>0</v>
      </c>
      <c r="F470" s="132">
        <f>'PartLib Table'!O472</f>
        <v>0</v>
      </c>
      <c r="G470" s="76">
        <f>'PartLib Table'!P472</f>
        <v>0</v>
      </c>
      <c r="H470" s="76">
        <f>'PartLib Table'!Q472</f>
        <v>0</v>
      </c>
    </row>
    <row r="471" spans="1:8">
      <c r="A471" s="76">
        <f>'PartLib Table'!C473</f>
        <v>0</v>
      </c>
      <c r="B471" s="76" t="str">
        <f>'PartLib Table'!K473</f>
        <v/>
      </c>
      <c r="C471" s="76">
        <f>'PartLib Table'!L473</f>
        <v>0</v>
      </c>
      <c r="D471" s="76">
        <f>'PartLib Table'!M473</f>
        <v>0</v>
      </c>
      <c r="E471" s="76">
        <f>'PartLib Table'!N473</f>
        <v>0</v>
      </c>
      <c r="F471" s="132">
        <f>'PartLib Table'!O473</f>
        <v>0</v>
      </c>
      <c r="G471" s="76">
        <f>'PartLib Table'!P473</f>
        <v>0</v>
      </c>
      <c r="H471" s="76">
        <f>'PartLib Table'!Q473</f>
        <v>0</v>
      </c>
    </row>
    <row r="472" spans="1:8">
      <c r="A472" s="76">
        <f>'PartLib Table'!C474</f>
        <v>0</v>
      </c>
      <c r="B472" s="76" t="str">
        <f>'PartLib Table'!K474</f>
        <v/>
      </c>
      <c r="C472" s="76">
        <f>'PartLib Table'!L474</f>
        <v>0</v>
      </c>
      <c r="D472" s="76">
        <f>'PartLib Table'!M474</f>
        <v>0</v>
      </c>
      <c r="E472" s="76">
        <f>'PartLib Table'!N474</f>
        <v>0</v>
      </c>
      <c r="F472" s="132">
        <f>'PartLib Table'!O474</f>
        <v>0</v>
      </c>
      <c r="G472" s="76">
        <f>'PartLib Table'!P474</f>
        <v>0</v>
      </c>
      <c r="H472" s="76">
        <f>'PartLib Table'!Q474</f>
        <v>0</v>
      </c>
    </row>
    <row r="473" spans="1:8">
      <c r="A473" s="76">
        <f>'PartLib Table'!C475</f>
        <v>0</v>
      </c>
      <c r="B473" s="76" t="str">
        <f>'PartLib Table'!K475</f>
        <v/>
      </c>
      <c r="C473" s="76">
        <f>'PartLib Table'!L475</f>
        <v>0</v>
      </c>
      <c r="D473" s="76">
        <f>'PartLib Table'!M475</f>
        <v>0</v>
      </c>
      <c r="E473" s="76">
        <f>'PartLib Table'!N475</f>
        <v>0</v>
      </c>
      <c r="F473" s="132">
        <f>'PartLib Table'!O475</f>
        <v>0</v>
      </c>
      <c r="G473" s="76">
        <f>'PartLib Table'!P475</f>
        <v>0</v>
      </c>
      <c r="H473" s="76">
        <f>'PartLib Table'!Q475</f>
        <v>0</v>
      </c>
    </row>
    <row r="474" spans="1:8">
      <c r="A474" s="76">
        <f>'PartLib Table'!C476</f>
        <v>0</v>
      </c>
      <c r="B474" s="76" t="str">
        <f>'PartLib Table'!K476</f>
        <v/>
      </c>
      <c r="C474" s="76">
        <f>'PartLib Table'!L476</f>
        <v>0</v>
      </c>
      <c r="D474" s="76">
        <f>'PartLib Table'!M476</f>
        <v>0</v>
      </c>
      <c r="E474" s="76">
        <f>'PartLib Table'!N476</f>
        <v>0</v>
      </c>
      <c r="F474" s="132">
        <f>'PartLib Table'!O476</f>
        <v>0</v>
      </c>
      <c r="G474" s="76">
        <f>'PartLib Table'!P476</f>
        <v>0</v>
      </c>
      <c r="H474" s="76">
        <f>'PartLib Table'!Q476</f>
        <v>0</v>
      </c>
    </row>
    <row r="475" spans="1:8">
      <c r="A475" s="76">
        <f>'PartLib Table'!C477</f>
        <v>0</v>
      </c>
      <c r="B475" s="76" t="str">
        <f>'PartLib Table'!K477</f>
        <v/>
      </c>
      <c r="C475" s="76">
        <f>'PartLib Table'!L477</f>
        <v>0</v>
      </c>
      <c r="D475" s="76">
        <f>'PartLib Table'!M477</f>
        <v>0</v>
      </c>
      <c r="E475" s="76">
        <f>'PartLib Table'!N477</f>
        <v>0</v>
      </c>
      <c r="F475" s="132">
        <f>'PartLib Table'!O477</f>
        <v>0</v>
      </c>
      <c r="G475" s="76">
        <f>'PartLib Table'!P477</f>
        <v>0</v>
      </c>
      <c r="H475" s="76">
        <f>'PartLib Table'!Q477</f>
        <v>0</v>
      </c>
    </row>
    <row r="476" spans="1:8">
      <c r="A476" s="76">
        <f>'PartLib Table'!C478</f>
        <v>0</v>
      </c>
      <c r="B476" s="76" t="str">
        <f>'PartLib Table'!K478</f>
        <v/>
      </c>
      <c r="C476" s="76">
        <f>'PartLib Table'!L478</f>
        <v>0</v>
      </c>
      <c r="D476" s="76">
        <f>'PartLib Table'!M478</f>
        <v>0</v>
      </c>
      <c r="E476" s="76">
        <f>'PartLib Table'!N478</f>
        <v>0</v>
      </c>
      <c r="F476" s="132">
        <f>'PartLib Table'!O478</f>
        <v>0</v>
      </c>
      <c r="G476" s="76">
        <f>'PartLib Table'!P478</f>
        <v>0</v>
      </c>
      <c r="H476" s="76">
        <f>'PartLib Table'!Q478</f>
        <v>0</v>
      </c>
    </row>
    <row r="477" spans="1:8">
      <c r="A477" s="76">
        <f>'PartLib Table'!C479</f>
        <v>0</v>
      </c>
      <c r="B477" s="76" t="str">
        <f>'PartLib Table'!K479</f>
        <v/>
      </c>
      <c r="C477" s="76">
        <f>'PartLib Table'!L479</f>
        <v>0</v>
      </c>
      <c r="D477" s="76">
        <f>'PartLib Table'!M479</f>
        <v>0</v>
      </c>
      <c r="E477" s="76">
        <f>'PartLib Table'!N479</f>
        <v>0</v>
      </c>
      <c r="F477" s="132">
        <f>'PartLib Table'!O479</f>
        <v>0</v>
      </c>
      <c r="G477" s="76">
        <f>'PartLib Table'!P479</f>
        <v>0</v>
      </c>
      <c r="H477" s="76">
        <f>'PartLib Table'!Q479</f>
        <v>0</v>
      </c>
    </row>
    <row r="478" spans="1:8">
      <c r="A478" s="76">
        <f>'PartLib Table'!C480</f>
        <v>0</v>
      </c>
      <c r="B478" s="76" t="str">
        <f>'PartLib Table'!K480</f>
        <v/>
      </c>
      <c r="C478" s="76">
        <f>'PartLib Table'!L480</f>
        <v>0</v>
      </c>
      <c r="D478" s="76">
        <f>'PartLib Table'!M480</f>
        <v>0</v>
      </c>
      <c r="E478" s="76">
        <f>'PartLib Table'!N480</f>
        <v>0</v>
      </c>
      <c r="F478" s="132">
        <f>'PartLib Table'!O480</f>
        <v>0</v>
      </c>
      <c r="G478" s="76">
        <f>'PartLib Table'!P480</f>
        <v>0</v>
      </c>
      <c r="H478" s="76">
        <f>'PartLib Table'!Q480</f>
        <v>0</v>
      </c>
    </row>
    <row r="479" spans="1:8">
      <c r="A479" s="76">
        <f>'PartLib Table'!C481</f>
        <v>0</v>
      </c>
      <c r="B479" s="76" t="str">
        <f>'PartLib Table'!K481</f>
        <v/>
      </c>
      <c r="C479" s="76">
        <f>'PartLib Table'!L481</f>
        <v>0</v>
      </c>
      <c r="D479" s="76">
        <f>'PartLib Table'!M481</f>
        <v>0</v>
      </c>
      <c r="E479" s="76">
        <f>'PartLib Table'!N481</f>
        <v>0</v>
      </c>
      <c r="F479" s="132">
        <f>'PartLib Table'!O481</f>
        <v>0</v>
      </c>
      <c r="G479" s="76">
        <f>'PartLib Table'!P481</f>
        <v>0</v>
      </c>
      <c r="H479" s="76">
        <f>'PartLib Table'!Q481</f>
        <v>0</v>
      </c>
    </row>
    <row r="480" spans="1:8">
      <c r="A480" s="76">
        <f>'PartLib Table'!C482</f>
        <v>0</v>
      </c>
      <c r="B480" s="76" t="str">
        <f>'PartLib Table'!K482</f>
        <v/>
      </c>
      <c r="C480" s="76">
        <f>'PartLib Table'!L482</f>
        <v>0</v>
      </c>
      <c r="D480" s="76">
        <f>'PartLib Table'!M482</f>
        <v>0</v>
      </c>
      <c r="E480" s="76">
        <f>'PartLib Table'!N482</f>
        <v>0</v>
      </c>
      <c r="F480" s="132">
        <f>'PartLib Table'!O482</f>
        <v>0</v>
      </c>
      <c r="G480" s="76">
        <f>'PartLib Table'!P482</f>
        <v>0</v>
      </c>
      <c r="H480" s="76">
        <f>'PartLib Table'!Q482</f>
        <v>0</v>
      </c>
    </row>
    <row r="481" spans="1:8">
      <c r="A481" s="76">
        <f>'PartLib Table'!C483</f>
        <v>0</v>
      </c>
      <c r="B481" s="76" t="str">
        <f>'PartLib Table'!K483</f>
        <v/>
      </c>
      <c r="C481" s="76">
        <f>'PartLib Table'!L483</f>
        <v>0</v>
      </c>
      <c r="D481" s="76">
        <f>'PartLib Table'!M483</f>
        <v>0</v>
      </c>
      <c r="E481" s="76">
        <f>'PartLib Table'!N483</f>
        <v>0</v>
      </c>
      <c r="F481" s="132">
        <f>'PartLib Table'!O483</f>
        <v>0</v>
      </c>
      <c r="G481" s="76">
        <f>'PartLib Table'!P483</f>
        <v>0</v>
      </c>
      <c r="H481" s="76">
        <f>'PartLib Table'!Q483</f>
        <v>0</v>
      </c>
    </row>
    <row r="482" spans="1:8">
      <c r="A482" s="76">
        <f>'PartLib Table'!C484</f>
        <v>0</v>
      </c>
      <c r="B482" s="76" t="str">
        <f>'PartLib Table'!K484</f>
        <v/>
      </c>
      <c r="C482" s="76">
        <f>'PartLib Table'!L484</f>
        <v>0</v>
      </c>
      <c r="D482" s="76">
        <f>'PartLib Table'!M484</f>
        <v>0</v>
      </c>
      <c r="E482" s="76">
        <f>'PartLib Table'!N484</f>
        <v>0</v>
      </c>
      <c r="F482" s="132">
        <f>'PartLib Table'!O484</f>
        <v>0</v>
      </c>
      <c r="G482" s="76">
        <f>'PartLib Table'!P484</f>
        <v>0</v>
      </c>
      <c r="H482" s="76">
        <f>'PartLib Table'!Q484</f>
        <v>0</v>
      </c>
    </row>
    <row r="483" spans="1:8">
      <c r="A483" s="76">
        <f>'PartLib Table'!C485</f>
        <v>0</v>
      </c>
      <c r="B483" s="76" t="str">
        <f>'PartLib Table'!K485</f>
        <v/>
      </c>
      <c r="C483" s="76">
        <f>'PartLib Table'!L485</f>
        <v>0</v>
      </c>
      <c r="D483" s="76">
        <f>'PartLib Table'!M485</f>
        <v>0</v>
      </c>
      <c r="E483" s="76">
        <f>'PartLib Table'!N485</f>
        <v>0</v>
      </c>
      <c r="F483" s="132">
        <f>'PartLib Table'!O485</f>
        <v>0</v>
      </c>
      <c r="G483" s="76">
        <f>'PartLib Table'!P485</f>
        <v>0</v>
      </c>
      <c r="H483" s="76">
        <f>'PartLib Table'!Q485</f>
        <v>0</v>
      </c>
    </row>
    <row r="484" spans="1:8">
      <c r="A484" s="76">
        <f>'PartLib Table'!C486</f>
        <v>0</v>
      </c>
      <c r="B484" s="76" t="str">
        <f>'PartLib Table'!K486</f>
        <v/>
      </c>
      <c r="C484" s="76">
        <f>'PartLib Table'!L486</f>
        <v>0</v>
      </c>
      <c r="D484" s="76">
        <f>'PartLib Table'!M486</f>
        <v>0</v>
      </c>
      <c r="E484" s="76">
        <f>'PartLib Table'!N486</f>
        <v>0</v>
      </c>
      <c r="F484" s="132">
        <f>'PartLib Table'!O486</f>
        <v>0</v>
      </c>
      <c r="G484" s="76">
        <f>'PartLib Table'!P486</f>
        <v>0</v>
      </c>
      <c r="H484" s="76">
        <f>'PartLib Table'!Q486</f>
        <v>0</v>
      </c>
    </row>
    <row r="485" spans="1:8">
      <c r="A485" s="76">
        <f>'PartLib Table'!C487</f>
        <v>0</v>
      </c>
      <c r="B485" s="76" t="str">
        <f>'PartLib Table'!K487</f>
        <v/>
      </c>
      <c r="C485" s="76">
        <f>'PartLib Table'!L487</f>
        <v>0</v>
      </c>
      <c r="D485" s="76">
        <f>'PartLib Table'!M487</f>
        <v>0</v>
      </c>
      <c r="E485" s="76">
        <f>'PartLib Table'!N487</f>
        <v>0</v>
      </c>
      <c r="F485" s="132">
        <f>'PartLib Table'!O487</f>
        <v>0</v>
      </c>
      <c r="G485" s="76">
        <f>'PartLib Table'!P487</f>
        <v>0</v>
      </c>
      <c r="H485" s="76">
        <f>'PartLib Table'!Q487</f>
        <v>0</v>
      </c>
    </row>
    <row r="486" spans="1:8">
      <c r="A486" s="76">
        <f>'PartLib Table'!C488</f>
        <v>0</v>
      </c>
      <c r="B486" s="76" t="str">
        <f>'PartLib Table'!K488</f>
        <v/>
      </c>
      <c r="C486" s="76">
        <f>'PartLib Table'!L488</f>
        <v>0</v>
      </c>
      <c r="D486" s="76">
        <f>'PartLib Table'!M488</f>
        <v>0</v>
      </c>
      <c r="E486" s="76">
        <f>'PartLib Table'!N488</f>
        <v>0</v>
      </c>
      <c r="F486" s="132">
        <f>'PartLib Table'!O488</f>
        <v>0</v>
      </c>
      <c r="G486" s="76">
        <f>'PartLib Table'!P488</f>
        <v>0</v>
      </c>
      <c r="H486" s="76">
        <f>'PartLib Table'!Q488</f>
        <v>0</v>
      </c>
    </row>
    <row r="487" spans="1:8">
      <c r="A487" s="76">
        <f>'PartLib Table'!C489</f>
        <v>0</v>
      </c>
      <c r="B487" s="76" t="str">
        <f>'PartLib Table'!K489</f>
        <v/>
      </c>
      <c r="C487" s="76">
        <f>'PartLib Table'!L489</f>
        <v>0</v>
      </c>
      <c r="D487" s="76">
        <f>'PartLib Table'!M489</f>
        <v>0</v>
      </c>
      <c r="E487" s="76">
        <f>'PartLib Table'!N489</f>
        <v>0</v>
      </c>
      <c r="F487" s="132">
        <f>'PartLib Table'!O489</f>
        <v>0</v>
      </c>
      <c r="G487" s="76">
        <f>'PartLib Table'!P489</f>
        <v>0</v>
      </c>
      <c r="H487" s="76">
        <f>'PartLib Table'!Q489</f>
        <v>0</v>
      </c>
    </row>
    <row r="488" spans="1:8">
      <c r="A488" s="76">
        <f>'PartLib Table'!C490</f>
        <v>0</v>
      </c>
      <c r="B488" s="76" t="str">
        <f>'PartLib Table'!K490</f>
        <v/>
      </c>
      <c r="C488" s="76">
        <f>'PartLib Table'!L490</f>
        <v>0</v>
      </c>
      <c r="D488" s="76">
        <f>'PartLib Table'!M490</f>
        <v>0</v>
      </c>
      <c r="E488" s="76">
        <f>'PartLib Table'!N490</f>
        <v>0</v>
      </c>
      <c r="F488" s="132">
        <f>'PartLib Table'!O490</f>
        <v>0</v>
      </c>
      <c r="G488" s="76">
        <f>'PartLib Table'!P490</f>
        <v>0</v>
      </c>
      <c r="H488" s="76">
        <f>'PartLib Table'!Q490</f>
        <v>0</v>
      </c>
    </row>
    <row r="489" spans="1:8">
      <c r="A489" s="76">
        <f>'PartLib Table'!C491</f>
        <v>0</v>
      </c>
      <c r="B489" s="76" t="str">
        <f>'PartLib Table'!K491</f>
        <v/>
      </c>
      <c r="C489" s="76">
        <f>'PartLib Table'!L491</f>
        <v>0</v>
      </c>
      <c r="D489" s="76">
        <f>'PartLib Table'!M491</f>
        <v>0</v>
      </c>
      <c r="E489" s="76">
        <f>'PartLib Table'!N491</f>
        <v>0</v>
      </c>
      <c r="F489" s="132">
        <f>'PartLib Table'!O491</f>
        <v>0</v>
      </c>
      <c r="G489" s="76">
        <f>'PartLib Table'!P491</f>
        <v>0</v>
      </c>
      <c r="H489" s="76">
        <f>'PartLib Table'!Q491</f>
        <v>0</v>
      </c>
    </row>
    <row r="490" spans="1:8">
      <c r="A490" s="76">
        <f>'PartLib Table'!C492</f>
        <v>0</v>
      </c>
      <c r="B490" s="76" t="str">
        <f>'PartLib Table'!K492</f>
        <v/>
      </c>
      <c r="C490" s="76">
        <f>'PartLib Table'!L492</f>
        <v>0</v>
      </c>
      <c r="D490" s="76">
        <f>'PartLib Table'!M492</f>
        <v>0</v>
      </c>
      <c r="E490" s="76">
        <f>'PartLib Table'!N492</f>
        <v>0</v>
      </c>
      <c r="F490" s="132">
        <f>'PartLib Table'!O492</f>
        <v>0</v>
      </c>
      <c r="G490" s="76">
        <f>'PartLib Table'!P492</f>
        <v>0</v>
      </c>
      <c r="H490" s="76">
        <f>'PartLib Table'!Q492</f>
        <v>0</v>
      </c>
    </row>
    <row r="491" spans="1:8">
      <c r="A491" s="76">
        <f>'PartLib Table'!C493</f>
        <v>0</v>
      </c>
      <c r="B491" s="76" t="str">
        <f>'PartLib Table'!K493</f>
        <v/>
      </c>
      <c r="C491" s="76">
        <f>'PartLib Table'!L493</f>
        <v>0</v>
      </c>
      <c r="D491" s="76">
        <f>'PartLib Table'!M493</f>
        <v>0</v>
      </c>
      <c r="E491" s="76">
        <f>'PartLib Table'!N493</f>
        <v>0</v>
      </c>
      <c r="F491" s="132">
        <f>'PartLib Table'!O493</f>
        <v>0</v>
      </c>
      <c r="G491" s="76">
        <f>'PartLib Table'!P493</f>
        <v>0</v>
      </c>
      <c r="H491" s="76">
        <f>'PartLib Table'!Q493</f>
        <v>0</v>
      </c>
    </row>
    <row r="492" spans="1:8">
      <c r="A492" s="76">
        <f>'PartLib Table'!C494</f>
        <v>0</v>
      </c>
      <c r="B492" s="76" t="str">
        <f>'PartLib Table'!K494</f>
        <v/>
      </c>
      <c r="C492" s="76">
        <f>'PartLib Table'!L494</f>
        <v>0</v>
      </c>
      <c r="D492" s="76">
        <f>'PartLib Table'!M494</f>
        <v>0</v>
      </c>
      <c r="E492" s="76">
        <f>'PartLib Table'!N494</f>
        <v>0</v>
      </c>
      <c r="F492" s="132">
        <f>'PartLib Table'!O494</f>
        <v>0</v>
      </c>
      <c r="G492" s="76">
        <f>'PartLib Table'!P494</f>
        <v>0</v>
      </c>
      <c r="H492" s="76">
        <f>'PartLib Table'!Q494</f>
        <v>0</v>
      </c>
    </row>
    <row r="493" spans="1:8">
      <c r="A493" s="76">
        <f>'PartLib Table'!C495</f>
        <v>0</v>
      </c>
      <c r="B493" s="76" t="str">
        <f>'PartLib Table'!K495</f>
        <v/>
      </c>
      <c r="C493" s="76">
        <f>'PartLib Table'!L495</f>
        <v>0</v>
      </c>
      <c r="D493" s="76">
        <f>'PartLib Table'!M495</f>
        <v>0</v>
      </c>
      <c r="E493" s="76">
        <f>'PartLib Table'!N495</f>
        <v>0</v>
      </c>
      <c r="F493" s="132">
        <f>'PartLib Table'!O495</f>
        <v>0</v>
      </c>
      <c r="G493" s="76">
        <f>'PartLib Table'!P495</f>
        <v>0</v>
      </c>
      <c r="H493" s="76">
        <f>'PartLib Table'!Q495</f>
        <v>0</v>
      </c>
    </row>
    <row r="494" spans="1:8">
      <c r="A494" s="76">
        <f>'PartLib Table'!C496</f>
        <v>0</v>
      </c>
      <c r="B494" s="76" t="str">
        <f>'PartLib Table'!K496</f>
        <v/>
      </c>
      <c r="C494" s="76">
        <f>'PartLib Table'!L496</f>
        <v>0</v>
      </c>
      <c r="D494" s="76">
        <f>'PartLib Table'!M496</f>
        <v>0</v>
      </c>
      <c r="E494" s="76">
        <f>'PartLib Table'!N496</f>
        <v>0</v>
      </c>
      <c r="F494" s="132">
        <f>'PartLib Table'!O496</f>
        <v>0</v>
      </c>
      <c r="G494" s="76">
        <f>'PartLib Table'!P496</f>
        <v>0</v>
      </c>
      <c r="H494" s="76">
        <f>'PartLib Table'!Q496</f>
        <v>0</v>
      </c>
    </row>
    <row r="495" spans="1:8">
      <c r="A495" s="76">
        <f>'PartLib Table'!C497</f>
        <v>0</v>
      </c>
      <c r="B495" s="76" t="str">
        <f>'PartLib Table'!K497</f>
        <v/>
      </c>
      <c r="C495" s="76">
        <f>'PartLib Table'!L497</f>
        <v>0</v>
      </c>
      <c r="D495" s="76">
        <f>'PartLib Table'!M497</f>
        <v>0</v>
      </c>
      <c r="E495" s="76">
        <f>'PartLib Table'!N497</f>
        <v>0</v>
      </c>
      <c r="F495" s="132">
        <f>'PartLib Table'!O497</f>
        <v>0</v>
      </c>
      <c r="G495" s="76">
        <f>'PartLib Table'!P497</f>
        <v>0</v>
      </c>
      <c r="H495" s="76">
        <f>'PartLib Table'!Q497</f>
        <v>0</v>
      </c>
    </row>
    <row r="496" spans="1:8">
      <c r="A496" s="76">
        <f>'PartLib Table'!C498</f>
        <v>0</v>
      </c>
      <c r="B496" s="76" t="str">
        <f>'PartLib Table'!K498</f>
        <v/>
      </c>
      <c r="C496" s="76">
        <f>'PartLib Table'!L498</f>
        <v>0</v>
      </c>
      <c r="D496" s="76">
        <f>'PartLib Table'!M498</f>
        <v>0</v>
      </c>
      <c r="E496" s="76">
        <f>'PartLib Table'!N498</f>
        <v>0</v>
      </c>
      <c r="F496" s="132">
        <f>'PartLib Table'!O498</f>
        <v>0</v>
      </c>
      <c r="G496" s="76">
        <f>'PartLib Table'!P498</f>
        <v>0</v>
      </c>
      <c r="H496" s="76">
        <f>'PartLib Table'!Q498</f>
        <v>0</v>
      </c>
    </row>
    <row r="497" spans="1:8">
      <c r="A497" s="76">
        <f>'PartLib Table'!C499</f>
        <v>0</v>
      </c>
      <c r="B497" s="76" t="str">
        <f>'PartLib Table'!K499</f>
        <v/>
      </c>
      <c r="C497" s="76">
        <f>'PartLib Table'!L499</f>
        <v>0</v>
      </c>
      <c r="D497" s="76">
        <f>'PartLib Table'!M499</f>
        <v>0</v>
      </c>
      <c r="E497" s="76">
        <f>'PartLib Table'!N499</f>
        <v>0</v>
      </c>
      <c r="F497" s="132">
        <f>'PartLib Table'!O499</f>
        <v>0</v>
      </c>
      <c r="G497" s="76">
        <f>'PartLib Table'!P499</f>
        <v>0</v>
      </c>
      <c r="H497" s="76">
        <f>'PartLib Table'!Q499</f>
        <v>0</v>
      </c>
    </row>
    <row r="498" spans="1:8">
      <c r="A498" s="76">
        <f>'PartLib Table'!C500</f>
        <v>0</v>
      </c>
      <c r="B498" s="76" t="str">
        <f>'PartLib Table'!K500</f>
        <v/>
      </c>
      <c r="C498" s="76">
        <f>'PartLib Table'!L500</f>
        <v>0</v>
      </c>
      <c r="D498" s="76">
        <f>'PartLib Table'!M500</f>
        <v>0</v>
      </c>
      <c r="E498" s="76">
        <f>'PartLib Table'!N500</f>
        <v>0</v>
      </c>
      <c r="F498" s="132">
        <f>'PartLib Table'!O500</f>
        <v>0</v>
      </c>
      <c r="G498" s="76">
        <f>'PartLib Table'!P500</f>
        <v>0</v>
      </c>
      <c r="H498" s="76">
        <f>'PartLib Table'!Q500</f>
        <v>0</v>
      </c>
    </row>
  </sheetData>
  <pageMargins left="0.7" right="0.7" top="0.75" bottom="0.75" header="0.3" footer="0.3"/>
  <pageSetup orientation="portrait"/>
  <legacy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F34"/>
  <sheetViews>
    <sheetView workbookViewId="0">
      <selection activeCell="F36" sqref="F36"/>
    </sheetView>
  </sheetViews>
  <sheetFormatPr defaultRowHeight="15"/>
  <cols>
    <col min="1" max="1" width="28.5703125" style="3" customWidth="1"/>
    <col min="2" max="2" width="7.5703125" bestFit="1" customWidth="1"/>
    <col min="3" max="3" width="22" bestFit="1" customWidth="1"/>
    <col min="4" max="4" width="8.28515625" bestFit="1" customWidth="1"/>
    <col min="5" max="5" width="7.5703125" bestFit="1" customWidth="1"/>
    <col min="6" max="6" width="22" bestFit="1" customWidth="1"/>
  </cols>
  <sheetData>
    <row r="1" spans="1:6" s="73" customFormat="1" ht="24" customHeight="1">
      <c r="A1" s="342" t="s">
        <v>341</v>
      </c>
      <c r="B1" s="343"/>
      <c r="C1" s="343"/>
      <c r="D1" s="343"/>
      <c r="E1" s="343"/>
      <c r="F1" s="343"/>
    </row>
    <row r="2" spans="1:6" s="73" customFormat="1">
      <c r="A2" s="354" t="s">
        <v>352</v>
      </c>
      <c r="B2" s="354"/>
      <c r="C2" s="354"/>
      <c r="D2" s="354" t="s">
        <v>353</v>
      </c>
      <c r="E2" s="354"/>
      <c r="F2" s="354"/>
    </row>
    <row r="3" spans="1:6" s="73" customFormat="1">
      <c r="A3" s="355" t="s">
        <v>339</v>
      </c>
      <c r="B3" s="355"/>
      <c r="C3" s="355"/>
      <c r="D3" s="355" t="s">
        <v>339</v>
      </c>
      <c r="E3" s="355"/>
      <c r="F3" s="355"/>
    </row>
    <row r="4" spans="1:6" ht="45">
      <c r="A4" s="118" t="s">
        <v>327</v>
      </c>
      <c r="B4" s="119" t="s">
        <v>329</v>
      </c>
      <c r="C4" s="119" t="s">
        <v>335</v>
      </c>
      <c r="D4" s="118" t="s">
        <v>327</v>
      </c>
      <c r="E4" s="119" t="s">
        <v>329</v>
      </c>
      <c r="F4" s="119" t="s">
        <v>354</v>
      </c>
    </row>
    <row r="5" spans="1:6">
      <c r="A5" s="120" t="s">
        <v>328</v>
      </c>
      <c r="B5" s="31" t="s">
        <v>330</v>
      </c>
      <c r="C5" s="31" t="s">
        <v>94</v>
      </c>
      <c r="D5" s="120" t="s">
        <v>355</v>
      </c>
      <c r="E5" s="31" t="s">
        <v>356</v>
      </c>
      <c r="F5" s="129"/>
    </row>
    <row r="6" spans="1:6">
      <c r="A6" s="120" t="s">
        <v>328</v>
      </c>
      <c r="B6" s="31" t="s">
        <v>331</v>
      </c>
      <c r="C6" s="31" t="s">
        <v>95</v>
      </c>
      <c r="D6" s="120" t="s">
        <v>357</v>
      </c>
      <c r="E6" s="31" t="s">
        <v>358</v>
      </c>
      <c r="F6" s="129"/>
    </row>
    <row r="7" spans="1:6" s="73" customFormat="1">
      <c r="A7" s="120" t="s">
        <v>328</v>
      </c>
      <c r="B7" s="31" t="s">
        <v>344</v>
      </c>
      <c r="C7" s="31" t="s">
        <v>95</v>
      </c>
      <c r="D7" s="120" t="s">
        <v>359</v>
      </c>
      <c r="E7" s="31" t="s">
        <v>360</v>
      </c>
      <c r="F7" s="129"/>
    </row>
    <row r="8" spans="1:6">
      <c r="A8" s="120" t="s">
        <v>328</v>
      </c>
      <c r="B8" s="31" t="s">
        <v>332</v>
      </c>
      <c r="C8" s="31" t="s">
        <v>96</v>
      </c>
      <c r="D8" s="131" t="s">
        <v>367</v>
      </c>
      <c r="E8" s="2" t="s">
        <v>321</v>
      </c>
      <c r="F8" s="129"/>
    </row>
    <row r="9" spans="1:6">
      <c r="A9" s="120" t="s">
        <v>328</v>
      </c>
      <c r="B9" s="31" t="s">
        <v>333</v>
      </c>
      <c r="C9" s="31"/>
      <c r="D9" s="131" t="s">
        <v>368</v>
      </c>
      <c r="E9" s="2" t="s">
        <v>322</v>
      </c>
      <c r="F9" s="129"/>
    </row>
    <row r="10" spans="1:6">
      <c r="A10" s="120" t="s">
        <v>328</v>
      </c>
      <c r="B10" s="31" t="s">
        <v>334</v>
      </c>
      <c r="C10" s="31"/>
      <c r="D10" s="130"/>
      <c r="E10" s="129"/>
      <c r="F10" s="129"/>
    </row>
    <row r="11" spans="1:6">
      <c r="A11" s="120" t="s">
        <v>328</v>
      </c>
      <c r="B11" s="31" t="s">
        <v>322</v>
      </c>
      <c r="C11" s="31" t="s">
        <v>94</v>
      </c>
      <c r="D11" s="130"/>
      <c r="E11" s="129"/>
      <c r="F11" s="129"/>
    </row>
    <row r="12" spans="1:6">
      <c r="A12" s="120" t="s">
        <v>328</v>
      </c>
      <c r="B12" s="31" t="s">
        <v>321</v>
      </c>
      <c r="C12" s="31" t="s">
        <v>94</v>
      </c>
      <c r="D12" s="130"/>
      <c r="E12" s="129"/>
      <c r="F12" s="129"/>
    </row>
    <row r="13" spans="1:6">
      <c r="A13" s="344" t="s">
        <v>336</v>
      </c>
      <c r="B13" s="345"/>
      <c r="C13" s="346"/>
      <c r="D13" s="344" t="s">
        <v>336</v>
      </c>
      <c r="E13" s="345"/>
      <c r="F13" s="346"/>
    </row>
    <row r="14" spans="1:6">
      <c r="A14" s="347" t="s">
        <v>337</v>
      </c>
      <c r="B14" s="348"/>
      <c r="C14" s="349"/>
      <c r="D14" s="347" t="s">
        <v>362</v>
      </c>
      <c r="E14" s="348"/>
      <c r="F14" s="349"/>
    </row>
    <row r="15" spans="1:6">
      <c r="A15" s="347" t="s">
        <v>338</v>
      </c>
      <c r="B15" s="348"/>
      <c r="C15" s="349"/>
      <c r="D15" s="347" t="s">
        <v>363</v>
      </c>
      <c r="E15" s="348"/>
      <c r="F15" s="349"/>
    </row>
    <row r="16" spans="1:6">
      <c r="A16" s="355" t="s">
        <v>370</v>
      </c>
      <c r="B16" s="355"/>
      <c r="C16" s="355"/>
      <c r="D16" s="344" t="s">
        <v>369</v>
      </c>
      <c r="E16" s="345"/>
      <c r="F16" s="346"/>
    </row>
    <row r="17" spans="1:6">
      <c r="A17" s="347" t="s">
        <v>342</v>
      </c>
      <c r="B17" s="348"/>
      <c r="C17" s="349"/>
      <c r="D17" s="347" t="s">
        <v>361</v>
      </c>
      <c r="E17" s="348"/>
      <c r="F17" s="349"/>
    </row>
    <row r="18" spans="1:6">
      <c r="A18" s="347" t="s">
        <v>343</v>
      </c>
      <c r="B18" s="348"/>
      <c r="C18" s="349"/>
      <c r="D18" s="347" t="s">
        <v>366</v>
      </c>
      <c r="E18" s="348"/>
      <c r="F18" s="349"/>
    </row>
    <row r="19" spans="1:6">
      <c r="A19" s="355" t="s">
        <v>371</v>
      </c>
      <c r="B19" s="355"/>
      <c r="C19" s="355"/>
      <c r="D19" s="351"/>
      <c r="E19" s="352"/>
      <c r="F19" s="353"/>
    </row>
    <row r="20" spans="1:6">
      <c r="A20" s="347" t="s">
        <v>345</v>
      </c>
      <c r="B20" s="348"/>
      <c r="C20" s="349"/>
      <c r="D20" s="339"/>
      <c r="E20" s="340"/>
      <c r="F20" s="341"/>
    </row>
    <row r="21" spans="1:6" ht="16.5" customHeight="1">
      <c r="A21" s="347" t="s">
        <v>346</v>
      </c>
      <c r="B21" s="348"/>
      <c r="C21" s="349"/>
      <c r="D21" s="339"/>
      <c r="E21" s="340"/>
      <c r="F21" s="341"/>
    </row>
    <row r="22" spans="1:6" s="73" customFormat="1">
      <c r="A22" s="344" t="s">
        <v>336</v>
      </c>
      <c r="B22" s="345"/>
      <c r="C22" s="346"/>
      <c r="D22" s="344" t="s">
        <v>336</v>
      </c>
      <c r="E22" s="345"/>
      <c r="F22" s="346"/>
    </row>
    <row r="23" spans="1:6" s="73" customFormat="1" ht="15" customHeight="1">
      <c r="A23" s="347" t="s">
        <v>337</v>
      </c>
      <c r="B23" s="348"/>
      <c r="C23" s="349"/>
      <c r="D23" s="347" t="s">
        <v>364</v>
      </c>
      <c r="E23" s="348"/>
      <c r="F23" s="349"/>
    </row>
    <row r="24" spans="1:6" ht="15" customHeight="1">
      <c r="A24" s="347" t="s">
        <v>338</v>
      </c>
      <c r="B24" s="348"/>
      <c r="C24" s="349"/>
      <c r="D24" s="347" t="s">
        <v>365</v>
      </c>
      <c r="E24" s="348"/>
      <c r="F24" s="349"/>
    </row>
    <row r="25" spans="1:6" ht="15" customHeight="1">
      <c r="A25" s="355" t="s">
        <v>340</v>
      </c>
      <c r="B25" s="355"/>
      <c r="C25" s="355"/>
      <c r="D25" s="350" t="s">
        <v>340</v>
      </c>
      <c r="E25" s="350"/>
      <c r="F25" s="350"/>
    </row>
    <row r="26" spans="1:6">
      <c r="A26" s="347" t="s">
        <v>342</v>
      </c>
      <c r="B26" s="348"/>
      <c r="C26" s="349"/>
      <c r="D26" s="339" t="s">
        <v>342</v>
      </c>
      <c r="E26" s="340"/>
      <c r="F26" s="341"/>
    </row>
    <row r="27" spans="1:6">
      <c r="A27" s="347" t="s">
        <v>343</v>
      </c>
      <c r="B27" s="348"/>
      <c r="C27" s="349"/>
      <c r="D27" s="339" t="s">
        <v>343</v>
      </c>
      <c r="E27" s="340"/>
      <c r="F27" s="341"/>
    </row>
    <row r="28" spans="1:6">
      <c r="A28" s="356"/>
      <c r="B28" s="357"/>
      <c r="C28" s="358"/>
    </row>
    <row r="29" spans="1:6" ht="15" customHeight="1">
      <c r="A29" s="359" t="s">
        <v>351</v>
      </c>
      <c r="B29" s="360"/>
      <c r="C29" s="361"/>
    </row>
    <row r="30" spans="1:6" ht="15" customHeight="1">
      <c r="A30" s="126" t="s">
        <v>347</v>
      </c>
      <c r="B30" s="127"/>
      <c r="C30" s="128"/>
    </row>
    <row r="31" spans="1:6">
      <c r="A31" s="344" t="s">
        <v>350</v>
      </c>
      <c r="B31" s="345"/>
      <c r="C31" s="346"/>
    </row>
    <row r="32" spans="1:6">
      <c r="A32" s="344" t="s">
        <v>336</v>
      </c>
      <c r="B32" s="345"/>
      <c r="C32" s="346"/>
    </row>
    <row r="33" spans="1:3" ht="15" customHeight="1">
      <c r="A33" s="123" t="s">
        <v>348</v>
      </c>
      <c r="B33" s="124"/>
      <c r="C33" s="125"/>
    </row>
    <row r="34" spans="1:3">
      <c r="A34" s="123" t="s">
        <v>349</v>
      </c>
      <c r="B34" s="124"/>
      <c r="C34" s="125"/>
    </row>
  </sheetData>
  <mergeCells count="39">
    <mergeCell ref="A2:C2"/>
    <mergeCell ref="A29:C29"/>
    <mergeCell ref="A14:C14"/>
    <mergeCell ref="A15:C15"/>
    <mergeCell ref="A16:C16"/>
    <mergeCell ref="A17:C17"/>
    <mergeCell ref="A18:C18"/>
    <mergeCell ref="D3:F3"/>
    <mergeCell ref="D13:F13"/>
    <mergeCell ref="D14:F14"/>
    <mergeCell ref="D15:F15"/>
    <mergeCell ref="A28:C28"/>
    <mergeCell ref="A22:C22"/>
    <mergeCell ref="A23:C23"/>
    <mergeCell ref="A24:C24"/>
    <mergeCell ref="A25:C25"/>
    <mergeCell ref="A26:C26"/>
    <mergeCell ref="A27:C27"/>
    <mergeCell ref="A19:C19"/>
    <mergeCell ref="A20:C20"/>
    <mergeCell ref="A21:C21"/>
    <mergeCell ref="A3:C3"/>
    <mergeCell ref="A13:C13"/>
    <mergeCell ref="D26:F26"/>
    <mergeCell ref="D27:F27"/>
    <mergeCell ref="A1:F1"/>
    <mergeCell ref="A31:C31"/>
    <mergeCell ref="A32:C32"/>
    <mergeCell ref="D21:F21"/>
    <mergeCell ref="D22:F22"/>
    <mergeCell ref="D23:F23"/>
    <mergeCell ref="D24:F24"/>
    <mergeCell ref="D25:F25"/>
    <mergeCell ref="D16:F16"/>
    <mergeCell ref="D17:F17"/>
    <mergeCell ref="D18:F18"/>
    <mergeCell ref="D19:F19"/>
    <mergeCell ref="D20:F20"/>
    <mergeCell ref="D2:F2"/>
  </mergeCells>
  <pageMargins left="0.7" right="0.7" top="0.75" bottom="0.75" header="0.3" footer="0.3"/>
  <pageSetup orientation="portrait" horizontalDpi="200" verticalDpi="2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DD4615-0E11-4970-B30C-EE1790DE1B72}">
  <sheetPr codeName="Sheet23"/>
  <dimension ref="A1:D69"/>
  <sheetViews>
    <sheetView workbookViewId="0">
      <selection activeCell="D16" sqref="D16"/>
    </sheetView>
  </sheetViews>
  <sheetFormatPr defaultRowHeight="19.5"/>
  <cols>
    <col min="1" max="1" width="16.28515625" style="202" customWidth="1"/>
    <col min="2" max="2" width="10" style="200" customWidth="1"/>
    <col min="3" max="3" width="9.140625" style="201"/>
    <col min="4" max="4" width="12.7109375" style="200" customWidth="1"/>
    <col min="5" max="16384" width="9.140625" style="200"/>
  </cols>
  <sheetData>
    <row r="1" spans="1:4" ht="30">
      <c r="A1" s="212" t="s">
        <v>566</v>
      </c>
      <c r="B1" s="211" t="s">
        <v>565</v>
      </c>
      <c r="C1" s="210" t="s">
        <v>564</v>
      </c>
      <c r="D1" s="209" t="s">
        <v>563</v>
      </c>
    </row>
    <row r="2" spans="1:4">
      <c r="A2" s="208" t="s">
        <v>562</v>
      </c>
      <c r="B2" s="206">
        <v>-7320</v>
      </c>
      <c r="C2" s="207" t="s">
        <v>561</v>
      </c>
      <c r="D2" s="206" t="s">
        <v>560</v>
      </c>
    </row>
    <row r="3" spans="1:4">
      <c r="A3" s="208" t="s">
        <v>559</v>
      </c>
      <c r="B3" s="206">
        <v>-7314</v>
      </c>
      <c r="C3" s="207" t="s">
        <v>558</v>
      </c>
      <c r="D3" s="206" t="s">
        <v>132</v>
      </c>
    </row>
    <row r="4" spans="1:4">
      <c r="A4" s="208" t="s">
        <v>557</v>
      </c>
      <c r="B4" s="206">
        <v>-7326</v>
      </c>
      <c r="C4" s="207" t="s">
        <v>556</v>
      </c>
      <c r="D4" s="206" t="s">
        <v>555</v>
      </c>
    </row>
    <row r="5" spans="1:4">
      <c r="A5" s="208" t="s">
        <v>554</v>
      </c>
      <c r="B5" s="206">
        <v>-7318</v>
      </c>
      <c r="C5" s="207" t="s">
        <v>553</v>
      </c>
      <c r="D5" s="206" t="s">
        <v>552</v>
      </c>
    </row>
    <row r="6" spans="1:4">
      <c r="A6" s="208" t="s">
        <v>551</v>
      </c>
      <c r="B6" s="206">
        <v>-7319</v>
      </c>
      <c r="C6" s="207" t="s">
        <v>550</v>
      </c>
      <c r="D6" s="206" t="s">
        <v>549</v>
      </c>
    </row>
    <row r="7" spans="1:4">
      <c r="A7" s="208" t="s">
        <v>548</v>
      </c>
      <c r="B7" s="206">
        <v>-7324</v>
      </c>
      <c r="C7" s="207" t="s">
        <v>547</v>
      </c>
      <c r="D7" s="206" t="s">
        <v>546</v>
      </c>
    </row>
    <row r="8" spans="1:4">
      <c r="A8" s="208" t="s">
        <v>545</v>
      </c>
      <c r="B8" s="206">
        <v>-7307</v>
      </c>
      <c r="C8" s="207" t="s">
        <v>544</v>
      </c>
      <c r="D8" s="206" t="s">
        <v>543</v>
      </c>
    </row>
    <row r="9" spans="1:4">
      <c r="A9" s="208" t="s">
        <v>542</v>
      </c>
      <c r="B9" s="206">
        <v>-7306</v>
      </c>
      <c r="C9" s="207" t="s">
        <v>541</v>
      </c>
      <c r="D9" s="206" t="s">
        <v>268</v>
      </c>
    </row>
    <row r="10" spans="1:4">
      <c r="A10" s="208" t="s">
        <v>540</v>
      </c>
      <c r="B10" s="206">
        <v>-7321</v>
      </c>
      <c r="C10" s="207" t="s">
        <v>539</v>
      </c>
      <c r="D10" s="206" t="s">
        <v>538</v>
      </c>
    </row>
    <row r="11" spans="1:4">
      <c r="A11" s="208" t="s">
        <v>537</v>
      </c>
      <c r="B11" s="206">
        <v>-7313</v>
      </c>
      <c r="C11" s="207" t="s">
        <v>536</v>
      </c>
      <c r="D11" s="206" t="s">
        <v>535</v>
      </c>
    </row>
    <row r="12" spans="1:4">
      <c r="A12" s="208" t="s">
        <v>534</v>
      </c>
      <c r="B12" s="206">
        <v>-7311</v>
      </c>
      <c r="C12" s="207" t="s">
        <v>533</v>
      </c>
      <c r="D12" s="206" t="s">
        <v>532</v>
      </c>
    </row>
    <row r="13" spans="1:4">
      <c r="A13" s="208" t="s">
        <v>531</v>
      </c>
      <c r="B13" s="206">
        <v>-7317</v>
      </c>
      <c r="C13" s="207" t="s">
        <v>530</v>
      </c>
      <c r="D13" s="206" t="s">
        <v>529</v>
      </c>
    </row>
    <row r="14" spans="1:4">
      <c r="A14" s="208" t="s">
        <v>528</v>
      </c>
      <c r="B14" s="206">
        <v>-7327</v>
      </c>
      <c r="C14" s="207" t="s">
        <v>527</v>
      </c>
      <c r="D14" s="206" t="s">
        <v>526</v>
      </c>
    </row>
    <row r="15" spans="1:4">
      <c r="A15" s="208" t="s">
        <v>525</v>
      </c>
      <c r="B15" s="206">
        <v>-7323</v>
      </c>
      <c r="C15" s="207" t="s">
        <v>524</v>
      </c>
      <c r="D15" s="206" t="s">
        <v>523</v>
      </c>
    </row>
    <row r="16" spans="1:4">
      <c r="A16" s="208" t="s">
        <v>522</v>
      </c>
      <c r="B16" s="206">
        <v>-8146</v>
      </c>
      <c r="C16" s="207" t="s">
        <v>521</v>
      </c>
      <c r="D16" s="206" t="s">
        <v>521</v>
      </c>
    </row>
    <row r="17" spans="1:4">
      <c r="A17" s="208" t="s">
        <v>520</v>
      </c>
      <c r="B17" s="206">
        <v>-8160</v>
      </c>
      <c r="C17" s="207" t="s">
        <v>404</v>
      </c>
      <c r="D17" s="206" t="s">
        <v>404</v>
      </c>
    </row>
    <row r="18" spans="1:4">
      <c r="A18" s="208" t="s">
        <v>519</v>
      </c>
      <c r="B18" s="206">
        <v>-8150</v>
      </c>
      <c r="C18" s="207" t="s">
        <v>518</v>
      </c>
      <c r="D18" s="206" t="s">
        <v>518</v>
      </c>
    </row>
    <row r="19" spans="1:4">
      <c r="A19" s="208" t="s">
        <v>517</v>
      </c>
      <c r="B19" s="206">
        <v>-8152</v>
      </c>
      <c r="C19" s="207" t="s">
        <v>516</v>
      </c>
      <c r="D19" s="206" t="s">
        <v>516</v>
      </c>
    </row>
    <row r="20" spans="1:4">
      <c r="A20" s="208" t="s">
        <v>515</v>
      </c>
      <c r="B20" s="206">
        <v>-8151</v>
      </c>
      <c r="C20" s="207" t="s">
        <v>514</v>
      </c>
      <c r="D20" s="206" t="s">
        <v>514</v>
      </c>
    </row>
    <row r="21" spans="1:4">
      <c r="A21" s="208" t="s">
        <v>513</v>
      </c>
      <c r="B21" s="206">
        <v>-8149</v>
      </c>
      <c r="C21" s="207" t="s">
        <v>512</v>
      </c>
      <c r="D21" s="206" t="s">
        <v>512</v>
      </c>
    </row>
    <row r="22" spans="1:4">
      <c r="A22" s="208" t="s">
        <v>511</v>
      </c>
      <c r="B22" s="206">
        <v>-8144</v>
      </c>
      <c r="C22" s="207">
        <v>0</v>
      </c>
      <c r="D22" s="206">
        <v>0</v>
      </c>
    </row>
    <row r="23" spans="1:4">
      <c r="A23" s="208" t="s">
        <v>510</v>
      </c>
      <c r="B23" s="206">
        <v>-8143</v>
      </c>
      <c r="C23" s="207">
        <v>1</v>
      </c>
      <c r="D23" s="206">
        <v>1</v>
      </c>
    </row>
    <row r="24" spans="1:4">
      <c r="A24" s="208" t="s">
        <v>509</v>
      </c>
      <c r="B24" s="206">
        <v>-8142</v>
      </c>
      <c r="C24" s="207">
        <v>2</v>
      </c>
      <c r="D24" s="206">
        <v>2</v>
      </c>
    </row>
    <row r="25" spans="1:4">
      <c r="A25" s="208" t="s">
        <v>508</v>
      </c>
      <c r="B25" s="206">
        <v>-8141</v>
      </c>
      <c r="C25" s="207">
        <v>3</v>
      </c>
      <c r="D25" s="206">
        <v>3</v>
      </c>
    </row>
    <row r="26" spans="1:4">
      <c r="A26" s="208" t="s">
        <v>507</v>
      </c>
      <c r="B26" s="206">
        <v>-8140</v>
      </c>
      <c r="C26" s="207">
        <v>4</v>
      </c>
      <c r="D26" s="206">
        <v>4</v>
      </c>
    </row>
    <row r="27" spans="1:4">
      <c r="A27" s="208" t="s">
        <v>506</v>
      </c>
      <c r="B27" s="206">
        <v>-8139</v>
      </c>
      <c r="C27" s="207">
        <v>5</v>
      </c>
      <c r="D27" s="206">
        <v>5</v>
      </c>
    </row>
    <row r="28" spans="1:4">
      <c r="A28" s="208" t="s">
        <v>505</v>
      </c>
      <c r="B28" s="206">
        <v>-8138</v>
      </c>
      <c r="C28" s="207">
        <v>6</v>
      </c>
      <c r="D28" s="206">
        <v>6</v>
      </c>
    </row>
    <row r="29" spans="1:4">
      <c r="A29" s="208" t="s">
        <v>504</v>
      </c>
      <c r="B29" s="206">
        <v>-8137</v>
      </c>
      <c r="C29" s="207">
        <v>7</v>
      </c>
      <c r="D29" s="206">
        <v>7</v>
      </c>
    </row>
    <row r="30" spans="1:4">
      <c r="A30" s="208" t="s">
        <v>503</v>
      </c>
      <c r="B30" s="206">
        <v>-8136</v>
      </c>
      <c r="C30" s="207">
        <v>8</v>
      </c>
      <c r="D30" s="206">
        <v>8</v>
      </c>
    </row>
    <row r="31" spans="1:4">
      <c r="A31" s="208" t="s">
        <v>502</v>
      </c>
      <c r="B31" s="206">
        <v>-8135</v>
      </c>
      <c r="C31" s="207">
        <v>9</v>
      </c>
      <c r="D31" s="206">
        <v>9</v>
      </c>
    </row>
    <row r="32" spans="1:4">
      <c r="A32" s="208" t="s">
        <v>501</v>
      </c>
      <c r="B32" s="206">
        <v>-8068</v>
      </c>
      <c r="C32" s="207" t="s">
        <v>500</v>
      </c>
      <c r="D32" s="206" t="s">
        <v>500</v>
      </c>
    </row>
    <row r="33" spans="1:4">
      <c r="A33" s="208" t="s">
        <v>499</v>
      </c>
      <c r="B33" s="206">
        <v>-8127</v>
      </c>
      <c r="C33" s="207" t="s">
        <v>318</v>
      </c>
      <c r="D33" s="206" t="s">
        <v>318</v>
      </c>
    </row>
    <row r="34" spans="1:4">
      <c r="A34" s="208" t="s">
        <v>498</v>
      </c>
      <c r="B34" s="206">
        <v>-8126</v>
      </c>
      <c r="C34" s="207" t="s">
        <v>319</v>
      </c>
      <c r="D34" s="206" t="s">
        <v>319</v>
      </c>
    </row>
    <row r="35" spans="1:4">
      <c r="A35" s="208" t="s">
        <v>497</v>
      </c>
      <c r="B35" s="206">
        <v>-8125</v>
      </c>
      <c r="C35" s="207" t="s">
        <v>320</v>
      </c>
      <c r="D35" s="206" t="s">
        <v>320</v>
      </c>
    </row>
    <row r="36" spans="1:4">
      <c r="A36" s="208" t="s">
        <v>496</v>
      </c>
      <c r="B36" s="206">
        <v>-8124</v>
      </c>
      <c r="C36" s="207" t="s">
        <v>495</v>
      </c>
      <c r="D36" s="206" t="s">
        <v>495</v>
      </c>
    </row>
    <row r="37" spans="1:4">
      <c r="A37" s="208" t="s">
        <v>494</v>
      </c>
      <c r="B37" s="206">
        <v>-8123</v>
      </c>
      <c r="C37" s="207" t="s">
        <v>493</v>
      </c>
      <c r="D37" s="206" t="s">
        <v>493</v>
      </c>
    </row>
    <row r="38" spans="1:4">
      <c r="A38" s="208" t="s">
        <v>492</v>
      </c>
      <c r="B38" s="206">
        <v>-8122</v>
      </c>
      <c r="C38" s="207" t="s">
        <v>491</v>
      </c>
      <c r="D38" s="206" t="s">
        <v>491</v>
      </c>
    </row>
    <row r="39" spans="1:4">
      <c r="A39" s="208" t="s">
        <v>490</v>
      </c>
      <c r="B39" s="206">
        <v>-8121</v>
      </c>
      <c r="C39" s="207" t="s">
        <v>489</v>
      </c>
      <c r="D39" s="206" t="s">
        <v>489</v>
      </c>
    </row>
    <row r="40" spans="1:4">
      <c r="A40" s="208" t="s">
        <v>488</v>
      </c>
      <c r="B40" s="206">
        <v>-8120</v>
      </c>
      <c r="C40" s="207" t="s">
        <v>358</v>
      </c>
      <c r="D40" s="206" t="s">
        <v>358</v>
      </c>
    </row>
    <row r="41" spans="1:4">
      <c r="A41" s="208" t="s">
        <v>487</v>
      </c>
      <c r="B41" s="206">
        <v>-8119</v>
      </c>
      <c r="C41" s="207" t="s">
        <v>486</v>
      </c>
      <c r="D41" s="206" t="s">
        <v>486</v>
      </c>
    </row>
    <row r="42" spans="1:4">
      <c r="A42" s="208" t="s">
        <v>485</v>
      </c>
      <c r="B42" s="206">
        <v>-8118</v>
      </c>
      <c r="C42" s="207" t="s">
        <v>484</v>
      </c>
      <c r="D42" s="206" t="s">
        <v>484</v>
      </c>
    </row>
    <row r="43" spans="1:4">
      <c r="A43" s="208" t="s">
        <v>483</v>
      </c>
      <c r="B43" s="206">
        <v>-8117</v>
      </c>
      <c r="C43" s="207" t="s">
        <v>482</v>
      </c>
      <c r="D43" s="206" t="s">
        <v>482</v>
      </c>
    </row>
    <row r="44" spans="1:4">
      <c r="A44" s="208" t="s">
        <v>481</v>
      </c>
      <c r="B44" s="206">
        <v>-8116</v>
      </c>
      <c r="C44" s="207" t="s">
        <v>480</v>
      </c>
      <c r="D44" s="206" t="s">
        <v>480</v>
      </c>
    </row>
    <row r="45" spans="1:4">
      <c r="A45" s="208" t="s">
        <v>479</v>
      </c>
      <c r="B45" s="206">
        <v>-8115</v>
      </c>
      <c r="C45" s="207" t="s">
        <v>478</v>
      </c>
      <c r="D45" s="206" t="s">
        <v>478</v>
      </c>
    </row>
    <row r="46" spans="1:4">
      <c r="A46" s="208" t="s">
        <v>477</v>
      </c>
      <c r="B46" s="206">
        <v>-8114</v>
      </c>
      <c r="C46" s="207" t="s">
        <v>476</v>
      </c>
      <c r="D46" s="206" t="s">
        <v>476</v>
      </c>
    </row>
    <row r="47" spans="1:4">
      <c r="A47" s="208" t="s">
        <v>475</v>
      </c>
      <c r="B47" s="206">
        <v>-8113</v>
      </c>
      <c r="C47" s="207" t="s">
        <v>474</v>
      </c>
      <c r="D47" s="206" t="s">
        <v>474</v>
      </c>
    </row>
    <row r="48" spans="1:4">
      <c r="A48" s="208" t="s">
        <v>473</v>
      </c>
      <c r="B48" s="206">
        <v>-8112</v>
      </c>
      <c r="C48" s="207" t="s">
        <v>472</v>
      </c>
      <c r="D48" s="206" t="s">
        <v>472</v>
      </c>
    </row>
    <row r="49" spans="1:4">
      <c r="A49" s="208" t="s">
        <v>471</v>
      </c>
      <c r="B49" s="206">
        <v>-8111</v>
      </c>
      <c r="C49" s="207" t="s">
        <v>470</v>
      </c>
      <c r="D49" s="206" t="s">
        <v>470</v>
      </c>
    </row>
    <row r="50" spans="1:4">
      <c r="A50" s="208" t="s">
        <v>469</v>
      </c>
      <c r="B50" s="206">
        <v>-8110</v>
      </c>
      <c r="C50" s="207" t="s">
        <v>323</v>
      </c>
      <c r="D50" s="206" t="s">
        <v>323</v>
      </c>
    </row>
    <row r="51" spans="1:4">
      <c r="A51" s="208" t="s">
        <v>468</v>
      </c>
      <c r="B51" s="206">
        <v>-8109</v>
      </c>
      <c r="C51" s="207" t="s">
        <v>467</v>
      </c>
      <c r="D51" s="206" t="s">
        <v>467</v>
      </c>
    </row>
    <row r="52" spans="1:4">
      <c r="A52" s="208" t="s">
        <v>466</v>
      </c>
      <c r="B52" s="206">
        <v>-8108</v>
      </c>
      <c r="C52" s="207" t="s">
        <v>465</v>
      </c>
      <c r="D52" s="206" t="s">
        <v>465</v>
      </c>
    </row>
    <row r="53" spans="1:4">
      <c r="A53" s="208" t="s">
        <v>464</v>
      </c>
      <c r="B53" s="206">
        <v>-8107</v>
      </c>
      <c r="C53" s="207" t="s">
        <v>429</v>
      </c>
      <c r="D53" s="206" t="s">
        <v>429</v>
      </c>
    </row>
    <row r="54" spans="1:4">
      <c r="A54" s="208" t="s">
        <v>463</v>
      </c>
      <c r="B54" s="206">
        <v>-8106</v>
      </c>
      <c r="C54" s="207" t="s">
        <v>462</v>
      </c>
      <c r="D54" s="206" t="s">
        <v>462</v>
      </c>
    </row>
    <row r="55" spans="1:4">
      <c r="A55" s="208" t="s">
        <v>461</v>
      </c>
      <c r="B55" s="206">
        <v>-8105</v>
      </c>
      <c r="C55" s="207" t="s">
        <v>460</v>
      </c>
      <c r="D55" s="206" t="s">
        <v>460</v>
      </c>
    </row>
    <row r="56" spans="1:4">
      <c r="A56" s="208" t="s">
        <v>459</v>
      </c>
      <c r="B56" s="206">
        <v>-8104</v>
      </c>
      <c r="C56" s="207" t="s">
        <v>82</v>
      </c>
      <c r="D56" s="206" t="s">
        <v>82</v>
      </c>
    </row>
    <row r="57" spans="1:4">
      <c r="A57" s="208" t="s">
        <v>458</v>
      </c>
      <c r="B57" s="206">
        <v>-8103</v>
      </c>
      <c r="C57" s="207" t="s">
        <v>316</v>
      </c>
      <c r="D57" s="206" t="s">
        <v>316</v>
      </c>
    </row>
    <row r="58" spans="1:4">
      <c r="A58" s="208" t="s">
        <v>457</v>
      </c>
      <c r="B58" s="206">
        <v>-8102</v>
      </c>
      <c r="C58" s="207" t="s">
        <v>317</v>
      </c>
      <c r="D58" s="206" t="s">
        <v>317</v>
      </c>
    </row>
    <row r="59" spans="1:4">
      <c r="A59" s="208" t="s">
        <v>456</v>
      </c>
      <c r="B59" s="206">
        <v>-7305</v>
      </c>
      <c r="C59" s="207" t="s">
        <v>455</v>
      </c>
      <c r="D59" s="206" t="s">
        <v>454</v>
      </c>
    </row>
    <row r="60" spans="1:4">
      <c r="A60" s="208" t="s">
        <v>453</v>
      </c>
      <c r="B60" s="206">
        <v>-7315</v>
      </c>
      <c r="C60" s="207" t="s">
        <v>452</v>
      </c>
      <c r="D60" s="206" t="s">
        <v>451</v>
      </c>
    </row>
    <row r="61" spans="1:4">
      <c r="A61" s="208" t="s">
        <v>450</v>
      </c>
      <c r="B61" s="206">
        <v>-7302</v>
      </c>
      <c r="C61" s="207" t="s">
        <v>449</v>
      </c>
      <c r="D61" s="206" t="s">
        <v>448</v>
      </c>
    </row>
    <row r="62" spans="1:4">
      <c r="A62" s="208" t="s">
        <v>447</v>
      </c>
      <c r="B62" s="206">
        <v>-7316</v>
      </c>
      <c r="C62" s="207" t="s">
        <v>446</v>
      </c>
      <c r="D62" s="206" t="s">
        <v>445</v>
      </c>
    </row>
    <row r="63" spans="1:4">
      <c r="A63" s="208" t="s">
        <v>444</v>
      </c>
      <c r="B63" s="206">
        <v>-7201</v>
      </c>
      <c r="C63" s="207" t="s">
        <v>443</v>
      </c>
      <c r="D63" s="206" t="s">
        <v>442</v>
      </c>
    </row>
    <row r="64" spans="1:4">
      <c r="A64" s="208" t="s">
        <v>441</v>
      </c>
      <c r="B64" s="206">
        <v>-7308</v>
      </c>
      <c r="C64" s="207" t="s">
        <v>440</v>
      </c>
      <c r="D64" s="206" t="s">
        <v>439</v>
      </c>
    </row>
    <row r="65" spans="1:4">
      <c r="A65" s="208" t="s">
        <v>438</v>
      </c>
      <c r="B65" s="206">
        <v>-7322</v>
      </c>
      <c r="C65" s="207" t="s">
        <v>437</v>
      </c>
      <c r="D65" s="206" t="s">
        <v>436</v>
      </c>
    </row>
    <row r="66" spans="1:4">
      <c r="A66" s="208" t="s">
        <v>435</v>
      </c>
      <c r="B66" s="206">
        <v>-7309</v>
      </c>
      <c r="C66" s="207" t="s">
        <v>425</v>
      </c>
      <c r="D66" s="206" t="s">
        <v>434</v>
      </c>
    </row>
    <row r="67" spans="1:4">
      <c r="A67" s="208" t="s">
        <v>433</v>
      </c>
      <c r="B67" s="206">
        <v>-7312</v>
      </c>
      <c r="C67" s="207" t="s">
        <v>432</v>
      </c>
      <c r="D67" s="206" t="s">
        <v>431</v>
      </c>
    </row>
    <row r="68" spans="1:4">
      <c r="A68" s="208" t="s">
        <v>430</v>
      </c>
      <c r="B68" s="206">
        <v>-7155</v>
      </c>
      <c r="C68" s="207" t="s">
        <v>429</v>
      </c>
      <c r="D68" s="206" t="s">
        <v>428</v>
      </c>
    </row>
    <row r="69" spans="1:4">
      <c r="A69" s="205" t="s">
        <v>427</v>
      </c>
      <c r="B69" s="203">
        <v>-7386</v>
      </c>
      <c r="C69" s="204" t="s">
        <v>426</v>
      </c>
      <c r="D69" s="203" t="s">
        <v>425</v>
      </c>
    </row>
  </sheetData>
  <pageMargins left="0.7" right="0.7" top="0.75" bottom="0.75" header="0.3" footer="0.3"/>
  <pageSetup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dimension ref="A1:H27"/>
  <sheetViews>
    <sheetView workbookViewId="0">
      <selection activeCell="D32" sqref="D32"/>
    </sheetView>
  </sheetViews>
  <sheetFormatPr defaultRowHeight="15"/>
  <cols>
    <col min="1" max="1" width="19" bestFit="1" customWidth="1"/>
    <col min="2" max="2" width="17.5703125" bestFit="1" customWidth="1"/>
    <col min="3" max="3" width="7.7109375" bestFit="1" customWidth="1"/>
    <col min="4" max="4" width="32.7109375" bestFit="1" customWidth="1"/>
    <col min="5" max="5" width="29.7109375" bestFit="1" customWidth="1"/>
    <col min="6" max="6" width="20.7109375" bestFit="1" customWidth="1"/>
    <col min="7" max="7" width="21.85546875" bestFit="1" customWidth="1"/>
    <col min="8" max="8" width="15.140625" bestFit="1" customWidth="1"/>
  </cols>
  <sheetData>
    <row r="1" spans="1:8">
      <c r="A1" s="13" t="s">
        <v>0</v>
      </c>
      <c r="B1" s="13" t="s">
        <v>1</v>
      </c>
      <c r="C1" s="13" t="s">
        <v>2</v>
      </c>
      <c r="D1" s="13" t="s">
        <v>3</v>
      </c>
      <c r="E1" s="13" t="s">
        <v>4</v>
      </c>
      <c r="F1" s="13" t="s">
        <v>5</v>
      </c>
      <c r="G1" s="13" t="s">
        <v>6</v>
      </c>
      <c r="H1" s="13" t="s">
        <v>7</v>
      </c>
    </row>
    <row r="2" spans="1:8">
      <c r="A2" s="5" t="s">
        <v>8</v>
      </c>
      <c r="B2" s="2" t="s">
        <v>33</v>
      </c>
      <c r="C2" s="5" t="s">
        <v>34</v>
      </c>
      <c r="D2" s="17" t="s">
        <v>39</v>
      </c>
      <c r="E2" s="2" t="s">
        <v>33</v>
      </c>
      <c r="F2" s="6" t="s">
        <v>59</v>
      </c>
      <c r="G2" s="7">
        <v>1</v>
      </c>
      <c r="H2" s="1" t="s">
        <v>33</v>
      </c>
    </row>
    <row r="3" spans="1:8">
      <c r="A3" s="5" t="s">
        <v>9</v>
      </c>
      <c r="B3" s="2" t="s">
        <v>33</v>
      </c>
      <c r="C3" s="5" t="s">
        <v>35</v>
      </c>
      <c r="D3" s="17" t="s">
        <v>40</v>
      </c>
      <c r="E3" s="2" t="s">
        <v>33</v>
      </c>
      <c r="F3" s="6" t="s">
        <v>59</v>
      </c>
      <c r="G3" s="7" t="s">
        <v>65</v>
      </c>
      <c r="H3" s="1" t="s">
        <v>33</v>
      </c>
    </row>
    <row r="4" spans="1:8">
      <c r="A4" s="5" t="s">
        <v>10</v>
      </c>
      <c r="B4" s="2" t="s">
        <v>33</v>
      </c>
      <c r="C4" s="5" t="s">
        <v>36</v>
      </c>
      <c r="D4" s="17" t="s">
        <v>41</v>
      </c>
      <c r="E4" s="2" t="s">
        <v>33</v>
      </c>
      <c r="F4" s="6" t="s">
        <v>59</v>
      </c>
      <c r="G4" s="7" t="s">
        <v>65</v>
      </c>
      <c r="H4" s="1" t="s">
        <v>33</v>
      </c>
    </row>
    <row r="5" spans="1:8" ht="30">
      <c r="A5" s="5" t="s">
        <v>11</v>
      </c>
      <c r="B5" s="2" t="s">
        <v>33</v>
      </c>
      <c r="C5" s="1" t="s">
        <v>37</v>
      </c>
      <c r="D5" s="18" t="s">
        <v>42</v>
      </c>
      <c r="E5" s="2" t="s">
        <v>33</v>
      </c>
      <c r="F5" s="6" t="s">
        <v>59</v>
      </c>
      <c r="G5" s="4" t="s">
        <v>65</v>
      </c>
      <c r="H5" s="9" t="s">
        <v>33</v>
      </c>
    </row>
    <row r="6" spans="1:8" ht="30">
      <c r="A6" s="5" t="s">
        <v>12</v>
      </c>
      <c r="B6" s="2" t="s">
        <v>33</v>
      </c>
      <c r="C6" s="1" t="s">
        <v>38</v>
      </c>
      <c r="D6" s="18" t="s">
        <v>43</v>
      </c>
      <c r="E6" s="2" t="s">
        <v>33</v>
      </c>
      <c r="F6" s="6" t="s">
        <v>33</v>
      </c>
      <c r="G6" s="4" t="s">
        <v>66</v>
      </c>
      <c r="H6" s="9" t="s">
        <v>33</v>
      </c>
    </row>
    <row r="7" spans="1:8">
      <c r="A7" s="5" t="s">
        <v>15</v>
      </c>
      <c r="B7" s="2" t="s">
        <v>77</v>
      </c>
      <c r="C7" s="1">
        <v>5</v>
      </c>
      <c r="D7" s="10">
        <v>1.4999999999999999E-2</v>
      </c>
      <c r="E7" s="8" t="s">
        <v>77</v>
      </c>
      <c r="F7" s="2" t="s">
        <v>74</v>
      </c>
      <c r="G7" s="11" t="s">
        <v>77</v>
      </c>
      <c r="H7" s="12" t="s">
        <v>77</v>
      </c>
    </row>
    <row r="8" spans="1:8">
      <c r="A8" s="5" t="s">
        <v>24</v>
      </c>
      <c r="B8" s="2" t="s">
        <v>77</v>
      </c>
      <c r="C8" s="1">
        <v>14</v>
      </c>
      <c r="D8" s="24" t="s">
        <v>52</v>
      </c>
      <c r="E8" s="8" t="s">
        <v>77</v>
      </c>
      <c r="F8" s="2" t="s">
        <v>75</v>
      </c>
      <c r="G8" s="11" t="s">
        <v>77</v>
      </c>
      <c r="H8" s="12" t="s">
        <v>77</v>
      </c>
    </row>
    <row r="9" spans="1:8">
      <c r="A9" s="5" t="s">
        <v>29</v>
      </c>
      <c r="B9" s="2" t="s">
        <v>77</v>
      </c>
      <c r="C9" s="1">
        <v>19</v>
      </c>
      <c r="D9" s="24" t="s">
        <v>55</v>
      </c>
      <c r="E9" s="8" t="s">
        <v>77</v>
      </c>
      <c r="F9" s="2" t="s">
        <v>63</v>
      </c>
      <c r="G9" s="11" t="s">
        <v>77</v>
      </c>
      <c r="H9" s="12" t="s">
        <v>77</v>
      </c>
    </row>
    <row r="10" spans="1:8">
      <c r="A10" s="5" t="s">
        <v>32</v>
      </c>
      <c r="B10" s="2" t="s">
        <v>77</v>
      </c>
      <c r="C10" s="1">
        <v>22</v>
      </c>
      <c r="D10" s="24" t="s">
        <v>56</v>
      </c>
      <c r="E10" s="8" t="s">
        <v>77</v>
      </c>
      <c r="F10" s="2" t="s">
        <v>76</v>
      </c>
      <c r="G10" s="11" t="s">
        <v>77</v>
      </c>
      <c r="H10" s="12" t="s">
        <v>77</v>
      </c>
    </row>
    <row r="11" spans="1:8">
      <c r="A11" s="5" t="s">
        <v>16</v>
      </c>
      <c r="B11" s="2" t="s">
        <v>77</v>
      </c>
      <c r="C11" s="1">
        <v>6</v>
      </c>
      <c r="D11" s="10" t="s">
        <v>46</v>
      </c>
      <c r="E11" s="8" t="s">
        <v>77</v>
      </c>
      <c r="F11" s="2" t="s">
        <v>62</v>
      </c>
      <c r="G11" s="11" t="s">
        <v>77</v>
      </c>
      <c r="H11" s="12" t="s">
        <v>77</v>
      </c>
    </row>
    <row r="12" spans="1:8">
      <c r="A12" s="5" t="s">
        <v>17</v>
      </c>
      <c r="B12" s="2" t="s">
        <v>77</v>
      </c>
      <c r="C12" s="1">
        <v>7</v>
      </c>
      <c r="D12" s="10" t="s">
        <v>47</v>
      </c>
      <c r="E12" s="8" t="s">
        <v>77</v>
      </c>
      <c r="F12" s="2" t="s">
        <v>62</v>
      </c>
      <c r="G12" s="11" t="s">
        <v>77</v>
      </c>
      <c r="H12" s="12" t="s">
        <v>77</v>
      </c>
    </row>
    <row r="13" spans="1:8">
      <c r="A13" s="5" t="s">
        <v>20</v>
      </c>
      <c r="B13" s="2" t="s">
        <v>77</v>
      </c>
      <c r="C13" s="1">
        <v>10</v>
      </c>
      <c r="D13" s="22" t="s">
        <v>49</v>
      </c>
      <c r="E13" s="8" t="s">
        <v>77</v>
      </c>
      <c r="F13" s="2" t="s">
        <v>75</v>
      </c>
      <c r="G13" s="11" t="s">
        <v>77</v>
      </c>
      <c r="H13" s="12" t="s">
        <v>77</v>
      </c>
    </row>
    <row r="14" spans="1:8">
      <c r="A14" s="5" t="s">
        <v>25</v>
      </c>
      <c r="B14" s="2" t="s">
        <v>77</v>
      </c>
      <c r="C14" s="1">
        <v>15</v>
      </c>
      <c r="D14" s="24" t="s">
        <v>53</v>
      </c>
      <c r="E14" s="8" t="s">
        <v>77</v>
      </c>
      <c r="F14" s="2" t="s">
        <v>75</v>
      </c>
      <c r="G14" s="11" t="s">
        <v>77</v>
      </c>
      <c r="H14" s="12" t="s">
        <v>77</v>
      </c>
    </row>
    <row r="15" spans="1:8">
      <c r="A15" s="5" t="s">
        <v>27</v>
      </c>
      <c r="B15" s="2" t="s">
        <v>77</v>
      </c>
      <c r="C15" s="1">
        <v>17</v>
      </c>
      <c r="D15" s="24" t="s">
        <v>55</v>
      </c>
      <c r="E15" s="8" t="s">
        <v>77</v>
      </c>
      <c r="F15" s="2" t="s">
        <v>63</v>
      </c>
      <c r="G15" s="11" t="s">
        <v>77</v>
      </c>
      <c r="H15" s="12" t="s">
        <v>77</v>
      </c>
    </row>
    <row r="16" spans="1:8">
      <c r="A16" s="5" t="s">
        <v>31</v>
      </c>
      <c r="B16" s="2" t="s">
        <v>77</v>
      </c>
      <c r="C16" s="1">
        <v>21</v>
      </c>
      <c r="D16" s="25">
        <v>0.04</v>
      </c>
      <c r="E16" s="8" t="s">
        <v>77</v>
      </c>
      <c r="F16" s="2" t="s">
        <v>63</v>
      </c>
      <c r="G16" s="11" t="s">
        <v>77</v>
      </c>
      <c r="H16" s="12" t="s">
        <v>77</v>
      </c>
    </row>
    <row r="17" spans="1:8">
      <c r="A17" s="5" t="s">
        <v>18</v>
      </c>
      <c r="B17" s="2" t="s">
        <v>77</v>
      </c>
      <c r="C17" s="1">
        <v>8</v>
      </c>
      <c r="D17" s="20" t="s">
        <v>48</v>
      </c>
      <c r="E17" s="8" t="s">
        <v>77</v>
      </c>
      <c r="F17" s="2" t="s">
        <v>63</v>
      </c>
      <c r="G17" s="11" t="s">
        <v>77</v>
      </c>
      <c r="H17" s="12" t="s">
        <v>77</v>
      </c>
    </row>
    <row r="18" spans="1:8">
      <c r="A18" s="5" t="s">
        <v>21</v>
      </c>
      <c r="B18" s="2" t="s">
        <v>77</v>
      </c>
      <c r="C18" s="1">
        <v>11</v>
      </c>
      <c r="D18" s="23">
        <v>1.2E-2</v>
      </c>
      <c r="E18" s="8" t="s">
        <v>77</v>
      </c>
      <c r="F18" s="2" t="s">
        <v>75</v>
      </c>
      <c r="G18" s="11" t="s">
        <v>77</v>
      </c>
      <c r="H18" s="12" t="s">
        <v>77</v>
      </c>
    </row>
    <row r="19" spans="1:8">
      <c r="A19" s="5" t="s">
        <v>22</v>
      </c>
      <c r="B19" s="2" t="s">
        <v>77</v>
      </c>
      <c r="C19" s="1">
        <v>12</v>
      </c>
      <c r="D19" s="24" t="s">
        <v>50</v>
      </c>
      <c r="E19" s="8" t="s">
        <v>77</v>
      </c>
      <c r="F19" s="2" t="s">
        <v>74</v>
      </c>
      <c r="G19" s="11" t="s">
        <v>77</v>
      </c>
      <c r="H19" s="12" t="s">
        <v>77</v>
      </c>
    </row>
    <row r="20" spans="1:8">
      <c r="A20" s="5" t="s">
        <v>23</v>
      </c>
      <c r="B20" s="2" t="s">
        <v>77</v>
      </c>
      <c r="C20" s="1">
        <v>13</v>
      </c>
      <c r="D20" s="24" t="s">
        <v>51</v>
      </c>
      <c r="E20" s="8" t="s">
        <v>77</v>
      </c>
      <c r="F20" s="2" t="s">
        <v>60</v>
      </c>
      <c r="G20" s="11" t="s">
        <v>77</v>
      </c>
      <c r="H20" s="12" t="s">
        <v>77</v>
      </c>
    </row>
    <row r="21" spans="1:8">
      <c r="A21" s="5" t="s">
        <v>26</v>
      </c>
      <c r="B21" s="2" t="s">
        <v>77</v>
      </c>
      <c r="C21" s="1">
        <v>16</v>
      </c>
      <c r="D21" s="24" t="s">
        <v>54</v>
      </c>
      <c r="E21" s="8" t="s">
        <v>77</v>
      </c>
      <c r="F21" s="2" t="s">
        <v>74</v>
      </c>
      <c r="G21" s="11" t="s">
        <v>77</v>
      </c>
      <c r="H21" s="12" t="s">
        <v>77</v>
      </c>
    </row>
    <row r="22" spans="1:8">
      <c r="A22" s="5" t="s">
        <v>28</v>
      </c>
      <c r="B22" s="2" t="s">
        <v>77</v>
      </c>
      <c r="C22" s="1">
        <v>18</v>
      </c>
      <c r="D22" s="24" t="s">
        <v>55</v>
      </c>
      <c r="E22" s="8" t="s">
        <v>77</v>
      </c>
      <c r="F22" s="2" t="s">
        <v>63</v>
      </c>
      <c r="G22" s="11" t="s">
        <v>77</v>
      </c>
      <c r="H22" s="12" t="s">
        <v>77</v>
      </c>
    </row>
    <row r="23" spans="1:8">
      <c r="A23" s="5" t="s">
        <v>30</v>
      </c>
      <c r="B23" s="2" t="s">
        <v>77</v>
      </c>
      <c r="C23" s="1">
        <v>20</v>
      </c>
      <c r="D23" s="25">
        <v>0.23599999999999999</v>
      </c>
      <c r="E23" s="8" t="s">
        <v>77</v>
      </c>
      <c r="F23" s="2" t="s">
        <v>63</v>
      </c>
      <c r="G23" s="11" t="s">
        <v>77</v>
      </c>
      <c r="H23" s="12" t="s">
        <v>77</v>
      </c>
    </row>
    <row r="24" spans="1:8">
      <c r="A24" s="5" t="s">
        <v>19</v>
      </c>
      <c r="B24" s="2" t="s">
        <v>77</v>
      </c>
      <c r="C24" s="1">
        <v>9</v>
      </c>
      <c r="D24" s="21">
        <v>9.4E-2</v>
      </c>
      <c r="E24" s="8" t="s">
        <v>77</v>
      </c>
      <c r="F24" s="2" t="s">
        <v>64</v>
      </c>
      <c r="G24" s="11" t="s">
        <v>77</v>
      </c>
      <c r="H24" s="12" t="s">
        <v>77</v>
      </c>
    </row>
    <row r="25" spans="1:8">
      <c r="A25" s="14" t="s">
        <v>13</v>
      </c>
      <c r="B25" s="15" t="s">
        <v>33</v>
      </c>
      <c r="C25" s="16">
        <v>1</v>
      </c>
      <c r="D25" s="19" t="s">
        <v>44</v>
      </c>
      <c r="E25" s="15" t="s">
        <v>57</v>
      </c>
      <c r="F25" s="15" t="s">
        <v>60</v>
      </c>
      <c r="G25" s="26" t="s">
        <v>67</v>
      </c>
      <c r="H25" s="28" t="s">
        <v>69</v>
      </c>
    </row>
    <row r="26" spans="1:8">
      <c r="A26" s="5" t="s">
        <v>72</v>
      </c>
      <c r="B26" s="2" t="s">
        <v>33</v>
      </c>
      <c r="C26" s="1">
        <v>3</v>
      </c>
      <c r="D26" s="10" t="s">
        <v>73</v>
      </c>
      <c r="E26" s="2" t="s">
        <v>58</v>
      </c>
      <c r="F26" s="2" t="s">
        <v>74</v>
      </c>
      <c r="G26" s="4" t="s">
        <v>68</v>
      </c>
      <c r="H26" s="9" t="s">
        <v>71</v>
      </c>
    </row>
    <row r="27" spans="1:8">
      <c r="A27" s="5" t="s">
        <v>14</v>
      </c>
      <c r="B27" s="2" t="s">
        <v>33</v>
      </c>
      <c r="C27" s="1">
        <v>2</v>
      </c>
      <c r="D27" s="10" t="s">
        <v>45</v>
      </c>
      <c r="E27" s="2" t="s">
        <v>33</v>
      </c>
      <c r="F27" s="2" t="s">
        <v>61</v>
      </c>
      <c r="G27" s="27" t="s">
        <v>77</v>
      </c>
      <c r="H27" s="12" t="s">
        <v>70</v>
      </c>
    </row>
  </sheetData>
  <customSheetViews>
    <customSheetView guid="{F0DBE041-7F72-4DC6-B849-ADDFA5F25C5A}" state="hidden">
      <selection activeCell="D32" sqref="D32"/>
      <pageMargins left="0.7" right="0.7" top="0.75" bottom="0.75" header="0.3" footer="0.3"/>
      <pageSetup orientation="portrait"/>
    </customSheetView>
  </customSheetViews>
  <pageMargins left="0.7" right="0.7" top="0.75" bottom="0.75" header="0.3" footer="0.3"/>
  <pageSetup orientation="portrait"/>
</worksheet>
</file>

<file path=customUI/customUI14.xml><?xml version="1.0" encoding="utf-8"?>
<customUI xmlns="http://schemas.microsoft.com/office/2009/07/customui" onLoad="RibbonCommands.Ribbon_OnLoad">
  <ribbon startFromScratch="false">
    <tabs>
      <tab id="mlTab" label="MeasurLink">
        <group id="grppart" label="PartLib">
          <button id="ExportQIF" label="Export to QIF" imageMso="RevertXSLTMenu" size="large" enabled="true" onAction="RibbonCommands.ExportQIF"/>
          <button id="RoutineMapImport" label="Import Routine Map" imageMso="AdpDiagramAddRelatedTables" size="large" enabled="false"/>
        </group>
        <group id="grpData" label="Data">
          <button id="DataValidations" label="Set Data Validations" imageMso="NoteLinkReLink" size="large" onAction="RibbonCommands.LoadDataValidations"/>
          <button id="InsertValidation" label="Insert New Validation Value" imageMso="TableConvertToRange" size="large" onAction="RibbonCommands.InsertValidationValue"/>
        </group>
        <group id="grpFeatures" label="Features">
          <button id="PivotFeature" label="Feature Pivot View" imageMso="ChartSwitchRowColumn" size="large" enabled="true" onAction="RibbonCommands.PivotFeature"/>
          <box id="featuresBox" boxStyle="vertical">
            <button id="BuildFormula" label="Build Variable Feature Formula" imageMso="ShapeSheetEditFormula" size="normal" enabled="true" onAction="RibbonCommands.BuildVariableFeatureForm"/>
            <button id="WorkflowVariables10" label="Hide Features Conditionally" imageMso="WorkflowVariables" size="normal" enabled="true" onAction="RibbonCommands.HideFeaturesCondForm"/>
            <button id="SetMfgTolerance" label="Set Manufacturing Tolerance" imageMso="GroupTransitions" size="normal" enabled="true" onAction="RibbonCommands.SetMfgTolerance"/>
          </box>
        </group>
        <group id="grpRoutines" label="Routines">
          <button id="InsertOperation" label="Insert Machining Operation" imageMso="GroupAddOptions" size="large" enabled="true" onAction="RibbonCommands.InsertOperation"/>
          <button id="DeleteRoutines" label="Delete Routines" imageMso="DeleteColumns" size="large" enabled="true" onAction="RibbonCommands.DeleteRoutines"/>
        </group>
        <group id="devTab" label="Developer Tools">
          <toggleButton id="events" label="Disable Events" imageMso="StopRtlHover" size="large" onAction="RibbonCommands.DisableEvents_Toggle"/>
        </group>
      </tab>
    </tabs>
  </ribbon>
</customUI>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16</vt:i4>
      </vt:variant>
      <vt:variant>
        <vt:lpstr>Named Ranges</vt:lpstr>
      </vt:variant>
      <vt:variant>
        <vt:i4>1</vt:i4>
      </vt:variant>
    </vt:vector>
  </HeadingPairs>
  <TitlesOfParts>
    <vt:vector size="17" baseType="lpstr">
      <vt:lpstr>START HERE</vt:lpstr>
      <vt:lpstr>Variables</vt:lpstr>
      <vt:lpstr>IEX-DATA</vt:lpstr>
      <vt:lpstr>PartLib Table</vt:lpstr>
      <vt:lpstr>AQL</vt:lpstr>
      <vt:lpstr>PivotFeature</vt:lpstr>
      <vt:lpstr>Calc.</vt:lpstr>
      <vt:lpstr>Coat. Calc</vt:lpstr>
      <vt:lpstr>"This" not "That" Text Guide </vt:lpstr>
      <vt:lpstr>Part LIB Design Upload</vt:lpstr>
      <vt:lpstr>Part LIB Custom Field Upload</vt:lpstr>
      <vt:lpstr>MachineOps</vt:lpstr>
      <vt:lpstr>Custom Table to Upload</vt:lpstr>
      <vt:lpstr>Tool Axis Offset Syntax</vt:lpstr>
      <vt:lpstr>GDT-Lexicon</vt:lpstr>
      <vt:lpstr>Upload Table</vt:lpstr>
      <vt:lpstr>MachOps</vt:lpstr>
    </vt:vector>
  </TitlesOfParts>
  <Manager/>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Dieckman, Mark</dc:creator>
  <cp:keywords/>
  <dc:description/>
  <cp:lastModifiedBy>Dieckman, Mark</cp:lastModifiedBy>
  <cp:lastPrinted>2021-01-06T15:52:52Z</cp:lastPrinted>
  <dcterms:created xsi:type="dcterms:W3CDTF">2019-10-31T13:55:17Z</dcterms:created>
  <dcterms:modified xsi:type="dcterms:W3CDTF">2021-09-07T19:56:04Z</dcterms:modified>
  <cp:category/>
  <cp:contentStatus/>
</cp:coreProperties>
</file>