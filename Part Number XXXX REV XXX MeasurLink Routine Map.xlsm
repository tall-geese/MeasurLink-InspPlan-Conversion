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61ff6f0264984a7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mdieckman\Desktop\"/>
    </mc:Choice>
  </mc:AlternateContent>
  <xr:revisionPtr revIDLastSave="0" documentId="8_{45F1623A-E762-4E0E-AC43-56B729A51EB3}"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Calc." sheetId="4" r:id="rId5"/>
    <sheet name="Coat. Calc" sheetId="15" r:id="rId6"/>
    <sheet name="&quot;This&quot; not &quot;That&quot; Text Guide " sheetId="7" r:id="rId7"/>
    <sheet name="Part LIB Design Upload" sheetId="5" state="hidden" r:id="rId8"/>
    <sheet name="Part LIB Custom Field Upload" sheetId="6" state="hidden" r:id="rId9"/>
    <sheet name="Custom Table to Upload" sheetId="12" r:id="rId10"/>
    <sheet name="Tool Axis Offset Syntax" sheetId="8" r:id="rId11"/>
    <sheet name="GDT-Lexicon" sheetId="24" r:id="rId12"/>
    <sheet name="Upload Table" sheetId="3" state="hidden" r:id="rId13"/>
  </sheets>
  <functionGroups builtInGroupCount="19"/>
  <externalReferences>
    <externalReference r:id="rId14"/>
    <externalReference r:id="rId15"/>
    <externalReference r:id="rId16"/>
    <externalReference r:id="rId17"/>
    <externalReference r:id="rId18"/>
    <externalReference r:id="rId19"/>
    <externalReference r:id="rId20"/>
  </externalReferences>
  <definedNames>
    <definedName name="_xlnm._FilterDatabase" localSheetId="3" hidden="1">'PartLib Table'!$A$3:$BI$500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Table'!$A$3:$AQ$40</definedName>
  </definedNames>
  <calcPr calcId="191029"/>
  <customWorkbookViews>
    <customWorkbookView name="Thomas, John - Personal View" guid="{F0DBE041-7F72-4DC6-B849-ADDFA5F25C5A}" mergeInterval="0" personalView="1" maximized="1" xWindow="-4"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0" i="1" l="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1" i="1"/>
  <c r="I61" i="1"/>
  <c r="J61"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I9" i="1"/>
  <c r="J9" i="1"/>
  <c r="H9" i="1"/>
  <c r="G10" i="21" l="1"/>
  <c r="E16" i="21" s="1"/>
  <c r="E10" i="21"/>
  <c r="C6" i="21"/>
  <c r="F1" i="12" l="1"/>
  <c r="F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E3" i="7" l="1" a="1"/>
  <c r="E3" i="7" s="1"/>
  <c r="E69" i="7" a="1"/>
  <c r="E69" i="7" s="1"/>
  <c r="E4" i="7" a="1"/>
  <c r="E4" i="7" s="1"/>
  <c r="E5" i="7" a="1"/>
  <c r="E5" i="7" s="1"/>
  <c r="E6" i="7" a="1"/>
  <c r="E6" i="7" s="1"/>
  <c r="E7" i="7" a="1"/>
  <c r="E7" i="7" s="1"/>
  <c r="E8" i="7" a="1"/>
  <c r="E8" i="7" s="1"/>
  <c r="E9" i="7" a="1"/>
  <c r="E9" i="7" s="1"/>
  <c r="E10" i="7" a="1"/>
  <c r="E10" i="7" s="1"/>
  <c r="E11" i="7" a="1"/>
  <c r="E11" i="7" s="1"/>
  <c r="E12" i="7" a="1"/>
  <c r="E12" i="7" s="1"/>
  <c r="E13" i="7" a="1"/>
  <c r="E13" i="7" s="1"/>
  <c r="E14" i="7" a="1"/>
  <c r="E14" i="7" s="1"/>
  <c r="E15" i="7" a="1"/>
  <c r="E15" i="7" s="1"/>
  <c r="E16" i="7" a="1"/>
  <c r="E16" i="7" s="1"/>
  <c r="E17" i="7" a="1"/>
  <c r="E17" i="7" s="1"/>
  <c r="E18" i="7" a="1"/>
  <c r="E18" i="7" s="1"/>
  <c r="E19" i="7" a="1"/>
  <c r="E19" i="7" s="1"/>
  <c r="E20" i="7" a="1"/>
  <c r="E20" i="7" s="1"/>
  <c r="E21" i="7" a="1"/>
  <c r="E21" i="7" s="1"/>
  <c r="E22" i="7" a="1"/>
  <c r="E22" i="7" s="1"/>
  <c r="E23" i="7" a="1"/>
  <c r="E23" i="7" s="1"/>
  <c r="E24" i="7" a="1"/>
  <c r="E24" i="7" s="1"/>
  <c r="E25" i="7" a="1"/>
  <c r="E25" i="7" s="1"/>
  <c r="E26" i="7" a="1"/>
  <c r="E26" i="7" s="1"/>
  <c r="E27" i="7" a="1"/>
  <c r="E27" i="7" s="1"/>
  <c r="E28" i="7" a="1"/>
  <c r="E28" i="7" s="1"/>
  <c r="E29" i="7" a="1"/>
  <c r="E29" i="7" s="1"/>
  <c r="E30" i="7" a="1"/>
  <c r="E30" i="7" s="1"/>
  <c r="E31" i="7" a="1"/>
  <c r="E31" i="7" s="1"/>
  <c r="E32" i="7" a="1"/>
  <c r="E32" i="7" s="1"/>
  <c r="E33" i="7" a="1"/>
  <c r="E33" i="7" s="1"/>
  <c r="E34" i="7" a="1"/>
  <c r="E34" i="7" s="1"/>
  <c r="E35" i="7" a="1"/>
  <c r="E35" i="7" s="1"/>
  <c r="E36" i="7" a="1"/>
  <c r="E36" i="7" s="1"/>
  <c r="E37" i="7" a="1"/>
  <c r="E37" i="7" s="1"/>
  <c r="E38" i="7" a="1"/>
  <c r="E38" i="7" s="1"/>
  <c r="E39" i="7" a="1"/>
  <c r="E39" i="7" s="1"/>
  <c r="E40" i="7" a="1"/>
  <c r="E40" i="7" s="1"/>
  <c r="E41" i="7" a="1"/>
  <c r="E41" i="7" s="1"/>
  <c r="E42" i="7" a="1"/>
  <c r="E42" i="7" s="1"/>
  <c r="E43" i="7" a="1"/>
  <c r="E43" i="7" s="1"/>
  <c r="E44" i="7" a="1"/>
  <c r="E44" i="7" s="1"/>
  <c r="E45" i="7" a="1"/>
  <c r="E45" i="7" s="1"/>
  <c r="E46" i="7" a="1"/>
  <c r="E46" i="7" s="1"/>
  <c r="E47" i="7" a="1"/>
  <c r="E47" i="7" s="1"/>
  <c r="E48" i="7" a="1"/>
  <c r="E48" i="7" s="1"/>
  <c r="E49" i="7" a="1"/>
  <c r="E49" i="7" s="1"/>
  <c r="E50" i="7" a="1"/>
  <c r="E50" i="7" s="1"/>
  <c r="E51" i="7" a="1"/>
  <c r="E51" i="7" s="1"/>
  <c r="E52" i="7" a="1"/>
  <c r="E52" i="7" s="1"/>
  <c r="E53" i="7" a="1"/>
  <c r="E53" i="7" s="1"/>
  <c r="E54" i="7" a="1"/>
  <c r="E54" i="7" s="1"/>
  <c r="E55" i="7" a="1"/>
  <c r="E55" i="7" s="1"/>
  <c r="E56" i="7" a="1"/>
  <c r="E56" i="7" s="1"/>
  <c r="E57" i="7" a="1"/>
  <c r="E57" i="7" s="1"/>
  <c r="E58" i="7" a="1"/>
  <c r="E58" i="7" s="1"/>
  <c r="E59" i="7" a="1"/>
  <c r="E59" i="7" s="1"/>
  <c r="E60" i="7" a="1"/>
  <c r="E60" i="7" s="1"/>
  <c r="E61" i="7" a="1"/>
  <c r="E61" i="7" s="1"/>
  <c r="E62" i="7" a="1"/>
  <c r="E62" i="7" s="1"/>
  <c r="E63" i="7" a="1"/>
  <c r="E63" i="7" s="1"/>
  <c r="E64" i="7" a="1"/>
  <c r="E64" i="7" s="1"/>
  <c r="E65" i="7" a="1"/>
  <c r="E65" i="7" s="1"/>
  <c r="E66" i="7" a="1"/>
  <c r="E66" i="7" s="1"/>
  <c r="E67" i="7" a="1"/>
  <c r="E67" i="7" s="1"/>
  <c r="E68" i="7" a="1"/>
  <c r="E68" i="7" s="1"/>
  <c r="E70" i="7" a="1"/>
  <c r="E70" i="7" s="1"/>
  <c r="E71" i="7" a="1"/>
  <c r="E71" i="7" s="1"/>
  <c r="E72" i="7" a="1"/>
  <c r="E72" i="7" s="1"/>
  <c r="E73" i="7" a="1"/>
  <c r="E73" i="7" s="1"/>
  <c r="E74" i="7" a="1"/>
  <c r="E74" i="7" s="1"/>
  <c r="E75" i="7" a="1"/>
  <c r="E75" i="7" s="1"/>
  <c r="E76" i="7" a="1"/>
  <c r="E76" i="7" s="1"/>
  <c r="E77" i="7" a="1"/>
  <c r="E77" i="7" s="1"/>
  <c r="E78" i="7" a="1"/>
  <c r="E78" i="7" s="1"/>
  <c r="E79" i="7" a="1"/>
  <c r="E79" i="7" s="1"/>
  <c r="E80" i="7" a="1"/>
  <c r="E80" i="7" s="1"/>
  <c r="E81" i="7" a="1"/>
  <c r="E81" i="7" s="1"/>
  <c r="E82" i="7" a="1"/>
  <c r="E82" i="7" s="1"/>
  <c r="E83" i="7" a="1"/>
  <c r="E83" i="7" s="1"/>
  <c r="E84" i="7" a="1"/>
  <c r="E84" i="7" s="1"/>
  <c r="E85" i="7" a="1"/>
  <c r="E85" i="7" s="1"/>
  <c r="E86" i="7" a="1"/>
  <c r="E86" i="7" s="1"/>
  <c r="E87" i="7" a="1"/>
  <c r="E87" i="7" s="1"/>
  <c r="E88" i="7" a="1"/>
  <c r="E88" i="7" s="1"/>
  <c r="E89" i="7" a="1"/>
  <c r="E89" i="7" s="1"/>
  <c r="E90" i="7" a="1"/>
  <c r="E90" i="7" s="1"/>
  <c r="E91" i="7" a="1"/>
  <c r="E91" i="7" s="1"/>
  <c r="E92" i="7" a="1"/>
  <c r="E92" i="7" s="1"/>
  <c r="E93" i="7" a="1"/>
  <c r="E93" i="7" s="1"/>
  <c r="E94" i="7" a="1"/>
  <c r="E94" i="7" s="1"/>
  <c r="E95" i="7" a="1"/>
  <c r="E95" i="7" s="1"/>
  <c r="E96" i="7" a="1"/>
  <c r="E96" i="7" s="1"/>
  <c r="E97" i="7" a="1"/>
  <c r="E97" i="7" s="1"/>
  <c r="E98" i="7" a="1"/>
  <c r="E98" i="7" s="1"/>
  <c r="E99" i="7" a="1"/>
  <c r="E99" i="7" s="1"/>
  <c r="E100" i="7" a="1"/>
  <c r="E100" i="7" s="1"/>
  <c r="E101" i="7" a="1"/>
  <c r="E101" i="7" s="1"/>
  <c r="E102" i="7" a="1"/>
  <c r="E102" i="7" s="1"/>
  <c r="E103" i="7" a="1"/>
  <c r="E103" i="7" s="1"/>
  <c r="E104" i="7" a="1"/>
  <c r="E104" i="7" s="1"/>
  <c r="E105" i="7" a="1"/>
  <c r="E105" i="7" s="1"/>
  <c r="E106" i="7" a="1"/>
  <c r="E106" i="7" s="1"/>
  <c r="E107" i="7" a="1"/>
  <c r="E107" i="7" s="1"/>
  <c r="E108" i="7" a="1"/>
  <c r="E108" i="7" s="1"/>
  <c r="E109" i="7" a="1"/>
  <c r="E109" i="7" s="1"/>
  <c r="E110" i="7" a="1"/>
  <c r="E110" i="7" s="1"/>
  <c r="E111" i="7" a="1"/>
  <c r="E111" i="7" s="1"/>
  <c r="E112" i="7" a="1"/>
  <c r="E112" i="7" s="1"/>
  <c r="E113" i="7" a="1"/>
  <c r="E113" i="7" s="1"/>
  <c r="E114" i="7" a="1"/>
  <c r="E114" i="7" s="1"/>
  <c r="E115" i="7" a="1"/>
  <c r="E115" i="7" s="1"/>
  <c r="E116" i="7" a="1"/>
  <c r="E116" i="7" s="1"/>
  <c r="E117" i="7" a="1"/>
  <c r="E117" i="7" s="1"/>
  <c r="E118" i="7" a="1"/>
  <c r="E118" i="7" s="1"/>
  <c r="E119" i="7" a="1"/>
  <c r="E119" i="7" s="1"/>
  <c r="E120" i="7" a="1"/>
  <c r="E120" i="7" s="1"/>
  <c r="E121" i="7" a="1"/>
  <c r="E121" i="7" s="1"/>
  <c r="E122" i="7" a="1"/>
  <c r="E122" i="7" s="1"/>
  <c r="E123" i="7" a="1"/>
  <c r="E123" i="7" s="1"/>
  <c r="E124" i="7" a="1"/>
  <c r="E124" i="7" s="1"/>
  <c r="E125" i="7" a="1"/>
  <c r="E125" i="7" s="1"/>
  <c r="E126" i="7" a="1"/>
  <c r="E126" i="7" s="1"/>
  <c r="E127" i="7" a="1"/>
  <c r="E127" i="7" s="1"/>
  <c r="E128" i="7" a="1"/>
  <c r="E128" i="7" s="1"/>
  <c r="E129" i="7" a="1"/>
  <c r="E129" i="7" s="1"/>
  <c r="E130" i="7" a="1"/>
  <c r="E130" i="7" s="1"/>
  <c r="E131" i="7" a="1"/>
  <c r="E131" i="7" s="1"/>
  <c r="E132" i="7" a="1"/>
  <c r="E132" i="7" s="1"/>
  <c r="E133" i="7" a="1"/>
  <c r="E133" i="7" s="1"/>
  <c r="E134" i="7" a="1"/>
  <c r="E134" i="7" s="1"/>
  <c r="E135" i="7" a="1"/>
  <c r="E135" i="7" s="1"/>
  <c r="E136" i="7" a="1"/>
  <c r="E136" i="7" s="1"/>
  <c r="E137" i="7" a="1"/>
  <c r="E137" i="7" s="1"/>
  <c r="E138" i="7" a="1"/>
  <c r="E138" i="7" s="1"/>
  <c r="E139" i="7" a="1"/>
  <c r="E139" i="7" s="1"/>
  <c r="E140" i="7" a="1"/>
  <c r="E140" i="7" s="1"/>
  <c r="E141" i="7" a="1"/>
  <c r="E141" i="7" s="1"/>
  <c r="E142" i="7" a="1"/>
  <c r="E142" i="7" s="1"/>
  <c r="E143" i="7" a="1"/>
  <c r="E143" i="7" s="1"/>
  <c r="E144" i="7" a="1"/>
  <c r="E144" i="7" s="1"/>
  <c r="E145" i="7" a="1"/>
  <c r="E145" i="7" s="1"/>
  <c r="E146" i="7" a="1"/>
  <c r="E146" i="7" s="1"/>
  <c r="E147" i="7" a="1"/>
  <c r="E147" i="7" s="1"/>
  <c r="E148" i="7" a="1"/>
  <c r="E148" i="7" s="1"/>
  <c r="E149" i="7" a="1"/>
  <c r="E149" i="7" s="1"/>
  <c r="E150" i="7" a="1"/>
  <c r="E150" i="7" s="1"/>
  <c r="E151" i="7" a="1"/>
  <c r="E151" i="7" s="1"/>
  <c r="E152" i="7" a="1"/>
  <c r="E152" i="7" s="1"/>
  <c r="E153" i="7" a="1"/>
  <c r="E153" i="7" s="1"/>
  <c r="E154" i="7" a="1"/>
  <c r="E154" i="7" s="1"/>
  <c r="E155" i="7" a="1"/>
  <c r="E155" i="7" s="1"/>
  <c r="E156" i="7" a="1"/>
  <c r="E156" i="7" s="1"/>
  <c r="E157" i="7" a="1"/>
  <c r="E157" i="7" s="1"/>
  <c r="E158" i="7" a="1"/>
  <c r="E158" i="7" s="1"/>
  <c r="E159" i="7" a="1"/>
  <c r="E159" i="7" s="1"/>
  <c r="E160" i="7" a="1"/>
  <c r="E160" i="7" s="1"/>
  <c r="E161" i="7" a="1"/>
  <c r="E161" i="7" s="1"/>
  <c r="E162" i="7" a="1"/>
  <c r="E162" i="7" s="1"/>
  <c r="E163" i="7" a="1"/>
  <c r="E163" i="7" s="1"/>
  <c r="E164" i="7" a="1"/>
  <c r="E164" i="7" s="1"/>
  <c r="E165" i="7" a="1"/>
  <c r="E165" i="7" s="1"/>
  <c r="E166" i="7" a="1"/>
  <c r="E166" i="7" s="1"/>
  <c r="E167" i="7" a="1"/>
  <c r="E167" i="7" s="1"/>
  <c r="E168" i="7" a="1"/>
  <c r="E168" i="7" s="1"/>
  <c r="E169" i="7" a="1"/>
  <c r="E169" i="7" s="1"/>
  <c r="E170" i="7" a="1"/>
  <c r="E170" i="7" s="1"/>
  <c r="E171" i="7" a="1"/>
  <c r="E171" i="7" s="1"/>
  <c r="E172" i="7" a="1"/>
  <c r="E172" i="7" s="1"/>
  <c r="E173" i="7" a="1"/>
  <c r="E173" i="7" s="1"/>
  <c r="E174" i="7" a="1"/>
  <c r="E174" i="7" s="1"/>
  <c r="E175" i="7" a="1"/>
  <c r="E175" i="7" s="1"/>
  <c r="E176" i="7" a="1"/>
  <c r="E176" i="7" s="1"/>
  <c r="E177" i="7" a="1"/>
  <c r="E177" i="7" s="1"/>
  <c r="E178" i="7" a="1"/>
  <c r="E178" i="7" s="1"/>
  <c r="E179" i="7" a="1"/>
  <c r="E179" i="7" s="1"/>
  <c r="E180" i="7" a="1"/>
  <c r="E180" i="7" s="1"/>
  <c r="E181" i="7" a="1"/>
  <c r="E181" i="7" s="1"/>
  <c r="E182" i="7" a="1"/>
  <c r="E182" i="7" s="1"/>
  <c r="E183" i="7" a="1"/>
  <c r="E183" i="7" s="1"/>
  <c r="E184" i="7" a="1"/>
  <c r="E184" i="7" s="1"/>
  <c r="E185" i="7" a="1"/>
  <c r="E185" i="7" s="1"/>
  <c r="E186" i="7" a="1"/>
  <c r="E186" i="7" s="1"/>
  <c r="E187" i="7" a="1"/>
  <c r="E187" i="7" s="1"/>
  <c r="E188" i="7" a="1"/>
  <c r="E188" i="7" s="1"/>
  <c r="E189" i="7" a="1"/>
  <c r="E189" i="7" s="1"/>
  <c r="E190" i="7" a="1"/>
  <c r="E190" i="7" s="1"/>
  <c r="E191" i="7" a="1"/>
  <c r="E191" i="7" s="1"/>
  <c r="E192" i="7" a="1"/>
  <c r="E192" i="7" s="1"/>
  <c r="E193" i="7" a="1"/>
  <c r="E193" i="7" s="1"/>
  <c r="E194" i="7" a="1"/>
  <c r="E194" i="7" s="1"/>
  <c r="E195" i="7" a="1"/>
  <c r="E195" i="7" s="1"/>
  <c r="E196" i="7" a="1"/>
  <c r="E196" i="7" s="1"/>
  <c r="E197" i="7" a="1"/>
  <c r="E197" i="7" s="1"/>
  <c r="E198" i="7" a="1"/>
  <c r="E198" i="7" s="1"/>
  <c r="E199" i="7" a="1"/>
  <c r="E199" i="7" s="1"/>
  <c r="E200" i="7" a="1"/>
  <c r="E200" i="7" s="1"/>
  <c r="E201" i="7" a="1"/>
  <c r="E201" i="7" s="1"/>
  <c r="E202" i="7" a="1"/>
  <c r="E202" i="7" s="1"/>
  <c r="E203" i="7" a="1"/>
  <c r="E203" i="7" s="1"/>
  <c r="E204" i="7" a="1"/>
  <c r="E204" i="7" s="1"/>
  <c r="E205" i="7" a="1"/>
  <c r="E205" i="7" s="1"/>
  <c r="E206" i="7" a="1"/>
  <c r="E206" i="7" s="1"/>
  <c r="E207" i="7" a="1"/>
  <c r="E207" i="7" s="1"/>
  <c r="E208" i="7" a="1"/>
  <c r="E208" i="7" s="1"/>
  <c r="E209" i="7" a="1"/>
  <c r="E209" i="7" s="1"/>
  <c r="E210" i="7" a="1"/>
  <c r="E210" i="7" s="1"/>
  <c r="E211" i="7" a="1"/>
  <c r="E211" i="7" s="1"/>
  <c r="E212" i="7" a="1"/>
  <c r="E212" i="7" s="1"/>
  <c r="E213" i="7" a="1"/>
  <c r="E213" i="7" s="1"/>
  <c r="E214" i="7" a="1"/>
  <c r="E214" i="7" s="1"/>
  <c r="E215" i="7" a="1"/>
  <c r="E215" i="7" s="1"/>
  <c r="E216" i="7" a="1"/>
  <c r="E216" i="7" s="1"/>
  <c r="E217" i="7" a="1"/>
  <c r="E217" i="7" s="1"/>
  <c r="E218" i="7" a="1"/>
  <c r="E218" i="7" s="1"/>
  <c r="E219" i="7" a="1"/>
  <c r="E219" i="7" s="1"/>
  <c r="E220" i="7" a="1"/>
  <c r="E220" i="7" s="1"/>
  <c r="E221" i="7" a="1"/>
  <c r="E221" i="7" s="1"/>
  <c r="E222" i="7" a="1"/>
  <c r="E222" i="7" s="1"/>
  <c r="E223" i="7" a="1"/>
  <c r="E223" i="7" s="1"/>
  <c r="E224" i="7" a="1"/>
  <c r="E224" i="7" s="1"/>
  <c r="E225" i="7" a="1"/>
  <c r="E225" i="7" s="1"/>
  <c r="E226" i="7" a="1"/>
  <c r="E226" i="7" s="1"/>
  <c r="E227" i="7" a="1"/>
  <c r="E227" i="7" s="1"/>
  <c r="E228" i="7" a="1"/>
  <c r="E228" i="7" s="1"/>
  <c r="E229" i="7" a="1"/>
  <c r="E229" i="7" s="1"/>
  <c r="E230" i="7" a="1"/>
  <c r="E230" i="7" s="1"/>
  <c r="E231" i="7" a="1"/>
  <c r="E231" i="7" s="1"/>
  <c r="E232" i="7" a="1"/>
  <c r="E232" i="7" s="1"/>
  <c r="E233" i="7" a="1"/>
  <c r="E233" i="7" s="1"/>
  <c r="E234" i="7" a="1"/>
  <c r="E234" i="7" s="1"/>
  <c r="E235" i="7" a="1"/>
  <c r="E235" i="7" s="1"/>
  <c r="E236" i="7" a="1"/>
  <c r="E236" i="7" s="1"/>
  <c r="E237" i="7" a="1"/>
  <c r="E237" i="7" s="1"/>
  <c r="E238" i="7" a="1"/>
  <c r="E238" i="7" s="1"/>
  <c r="E239" i="7" a="1"/>
  <c r="E239" i="7" s="1"/>
  <c r="E240" i="7" a="1"/>
  <c r="E240" i="7" s="1"/>
  <c r="E241" i="7" a="1"/>
  <c r="E241" i="7" s="1"/>
  <c r="E242" i="7" a="1"/>
  <c r="E242" i="7" s="1"/>
  <c r="E243" i="7" a="1"/>
  <c r="E243" i="7" s="1"/>
  <c r="E244" i="7" a="1"/>
  <c r="E244" i="7" s="1"/>
  <c r="E245" i="7" a="1"/>
  <c r="E245" i="7" s="1"/>
  <c r="E246" i="7" a="1"/>
  <c r="E246" i="7" s="1"/>
  <c r="E247" i="7" a="1"/>
  <c r="E247" i="7" s="1"/>
  <c r="E248" i="7" a="1"/>
  <c r="E248" i="7" s="1"/>
  <c r="E249" i="7" a="1"/>
  <c r="E249" i="7" s="1"/>
  <c r="E250" i="7" a="1"/>
  <c r="E250" i="7" s="1"/>
  <c r="E251" i="7" a="1"/>
  <c r="E251" i="7" s="1"/>
  <c r="E252" i="7" a="1"/>
  <c r="E252" i="7" s="1"/>
  <c r="E253" i="7" a="1"/>
  <c r="E253" i="7" s="1"/>
  <c r="E254" i="7" a="1"/>
  <c r="E254" i="7" s="1"/>
  <c r="E255" i="7" a="1"/>
  <c r="E255" i="7" s="1"/>
  <c r="E256" i="7" a="1"/>
  <c r="E256" i="7" s="1"/>
  <c r="E257" i="7" a="1"/>
  <c r="E257" i="7" s="1"/>
  <c r="E258" i="7" a="1"/>
  <c r="E258" i="7" s="1"/>
  <c r="E259" i="7" a="1"/>
  <c r="E259" i="7" s="1"/>
  <c r="E260" i="7" a="1"/>
  <c r="E260" i="7" s="1"/>
  <c r="E261" i="7" a="1"/>
  <c r="E261" i="7" s="1"/>
  <c r="E262" i="7" a="1"/>
  <c r="E262" i="7" s="1"/>
  <c r="E263" i="7" a="1"/>
  <c r="E263" i="7" s="1"/>
  <c r="E264" i="7" a="1"/>
  <c r="E264" i="7" s="1"/>
  <c r="E265" i="7" a="1"/>
  <c r="E265" i="7" s="1"/>
  <c r="E266" i="7" a="1"/>
  <c r="E266" i="7" s="1"/>
  <c r="E267" i="7" a="1"/>
  <c r="E267" i="7" s="1"/>
  <c r="E268" i="7" a="1"/>
  <c r="E268" i="7" s="1"/>
  <c r="E269" i="7" a="1"/>
  <c r="E269" i="7" s="1"/>
  <c r="E270" i="7" a="1"/>
  <c r="E270" i="7" s="1"/>
  <c r="E271" i="7" a="1"/>
  <c r="E271" i="7" s="1"/>
  <c r="E272" i="7" a="1"/>
  <c r="E272" i="7" s="1"/>
  <c r="E273" i="7" a="1"/>
  <c r="E273" i="7" s="1"/>
  <c r="E274" i="7" a="1"/>
  <c r="E274" i="7" s="1"/>
  <c r="E275" i="7" a="1"/>
  <c r="E275" i="7" s="1"/>
  <c r="E276" i="7" a="1"/>
  <c r="E276" i="7" s="1"/>
  <c r="E277" i="7" a="1"/>
  <c r="E277" i="7" s="1"/>
  <c r="E278" i="7" a="1"/>
  <c r="E278" i="7" s="1"/>
  <c r="E279" i="7" a="1"/>
  <c r="E279" i="7" s="1"/>
  <c r="E280" i="7" a="1"/>
  <c r="E280" i="7" s="1"/>
  <c r="E281" i="7" a="1"/>
  <c r="E281" i="7" s="1"/>
  <c r="E282" i="7" a="1"/>
  <c r="E282" i="7" s="1"/>
  <c r="E283" i="7" a="1"/>
  <c r="E283" i="7" s="1"/>
  <c r="E284" i="7" a="1"/>
  <c r="E284" i="7" s="1"/>
  <c r="E285" i="7" a="1"/>
  <c r="E285" i="7" s="1"/>
  <c r="E286" i="7" a="1"/>
  <c r="E286" i="7" s="1"/>
  <c r="E287" i="7" a="1"/>
  <c r="E287" i="7" s="1"/>
  <c r="E288" i="7" a="1"/>
  <c r="E288" i="7" s="1"/>
  <c r="E289" i="7" a="1"/>
  <c r="E289" i="7" s="1"/>
  <c r="E290" i="7" a="1"/>
  <c r="E290" i="7" s="1"/>
  <c r="E291" i="7" a="1"/>
  <c r="E291" i="7" s="1"/>
  <c r="E292" i="7" a="1"/>
  <c r="E292" i="7" s="1"/>
  <c r="E293" i="7" a="1"/>
  <c r="E293" i="7" s="1"/>
  <c r="E294" i="7" a="1"/>
  <c r="E294" i="7" s="1"/>
  <c r="E295" i="7" a="1"/>
  <c r="E295" i="7" s="1"/>
  <c r="E296" i="7" a="1"/>
  <c r="E296" i="7" s="1"/>
  <c r="E297" i="7" a="1"/>
  <c r="E297" i="7" s="1"/>
  <c r="E298" i="7" a="1"/>
  <c r="E298" i="7" s="1"/>
  <c r="E299" i="7" a="1"/>
  <c r="E299" i="7" s="1"/>
  <c r="E300" i="7" a="1"/>
  <c r="E300" i="7" s="1"/>
  <c r="E301" i="7" a="1"/>
  <c r="E301" i="7" s="1"/>
  <c r="E302" i="7" a="1"/>
  <c r="E302" i="7" s="1"/>
  <c r="E303" i="7" a="1"/>
  <c r="E303" i="7" s="1"/>
  <c r="E304" i="7" a="1"/>
  <c r="E304" i="7" s="1"/>
  <c r="E305" i="7" a="1"/>
  <c r="E305" i="7" s="1"/>
  <c r="E306" i="7" a="1"/>
  <c r="E306" i="7" s="1"/>
  <c r="E307" i="7" a="1"/>
  <c r="E307" i="7" s="1"/>
  <c r="E308" i="7" a="1"/>
  <c r="E308" i="7" s="1"/>
  <c r="E309" i="7" a="1"/>
  <c r="E309" i="7" s="1"/>
  <c r="E310" i="7" a="1"/>
  <c r="E310" i="7" s="1"/>
  <c r="E311" i="7" a="1"/>
  <c r="E311" i="7" s="1"/>
  <c r="E312" i="7" a="1"/>
  <c r="E312" i="7" s="1"/>
  <c r="E313" i="7" a="1"/>
  <c r="E313" i="7" s="1"/>
  <c r="E314" i="7" a="1"/>
  <c r="E314" i="7" s="1"/>
  <c r="E315" i="7" a="1"/>
  <c r="E315" i="7" s="1"/>
  <c r="E316" i="7" a="1"/>
  <c r="E316" i="7" s="1"/>
  <c r="E317" i="7" a="1"/>
  <c r="E317" i="7" s="1"/>
  <c r="E318" i="7" a="1"/>
  <c r="E318" i="7" s="1"/>
  <c r="E319" i="7" a="1"/>
  <c r="E319" i="7" s="1"/>
  <c r="E320" i="7" a="1"/>
  <c r="E320" i="7" s="1"/>
  <c r="E321" i="7" a="1"/>
  <c r="E321" i="7" s="1"/>
  <c r="E322" i="7" a="1"/>
  <c r="E322" i="7" s="1"/>
  <c r="E323" i="7" a="1"/>
  <c r="E323" i="7" s="1"/>
  <c r="E324" i="7" a="1"/>
  <c r="E324" i="7" s="1"/>
  <c r="E325" i="7" a="1"/>
  <c r="E325" i="7" s="1"/>
  <c r="E326" i="7" a="1"/>
  <c r="E326" i="7" s="1"/>
  <c r="E327" i="7" a="1"/>
  <c r="E327" i="7" s="1"/>
  <c r="E328" i="7" a="1"/>
  <c r="E328" i="7" s="1"/>
  <c r="E329" i="7" a="1"/>
  <c r="E329" i="7" s="1"/>
  <c r="E330" i="7" a="1"/>
  <c r="E330" i="7" s="1"/>
  <c r="E331" i="7" a="1"/>
  <c r="E331" i="7" s="1"/>
  <c r="E332" i="7" a="1"/>
  <c r="E332" i="7" s="1"/>
  <c r="E333" i="7" a="1"/>
  <c r="E333" i="7" s="1"/>
  <c r="E334" i="7" a="1"/>
  <c r="E334" i="7" s="1"/>
  <c r="E335" i="7" a="1"/>
  <c r="E335" i="7" s="1"/>
  <c r="E336" i="7" a="1"/>
  <c r="E336" i="7" s="1"/>
  <c r="E337" i="7" a="1"/>
  <c r="E337" i="7" s="1"/>
  <c r="E338" i="7" a="1"/>
  <c r="E338" i="7" s="1"/>
  <c r="E339" i="7" a="1"/>
  <c r="E339" i="7" s="1"/>
  <c r="E340" i="7" a="1"/>
  <c r="E340" i="7" s="1"/>
  <c r="E341" i="7" a="1"/>
  <c r="E341" i="7" s="1"/>
  <c r="E342" i="7" a="1"/>
  <c r="E342" i="7" s="1"/>
  <c r="E343" i="7" a="1"/>
  <c r="E343" i="7" s="1"/>
  <c r="E344" i="7" a="1"/>
  <c r="E344" i="7" s="1"/>
  <c r="E345" i="7" a="1"/>
  <c r="E345" i="7" s="1"/>
  <c r="E346" i="7" a="1"/>
  <c r="E346" i="7" s="1"/>
  <c r="E347" i="7" a="1"/>
  <c r="E347" i="7" s="1"/>
  <c r="E348" i="7" a="1"/>
  <c r="E348" i="7" s="1"/>
  <c r="E349" i="7" a="1"/>
  <c r="E349" i="7" s="1"/>
  <c r="E350" i="7" a="1"/>
  <c r="E350" i="7" s="1"/>
  <c r="E351" i="7" a="1"/>
  <c r="E351" i="7" s="1"/>
  <c r="E352" i="7" a="1"/>
  <c r="E352" i="7" s="1"/>
  <c r="E353" i="7" a="1"/>
  <c r="E353" i="7" s="1"/>
  <c r="E354" i="7" a="1"/>
  <c r="E354" i="7" s="1"/>
  <c r="E355" i="7" a="1"/>
  <c r="E355" i="7" s="1"/>
  <c r="E356" i="7" a="1"/>
  <c r="E356" i="7" s="1"/>
  <c r="E357" i="7" a="1"/>
  <c r="E357" i="7" s="1"/>
  <c r="E358" i="7" a="1"/>
  <c r="E358" i="7" s="1"/>
  <c r="E359" i="7" a="1"/>
  <c r="E359" i="7" s="1"/>
  <c r="E360" i="7" a="1"/>
  <c r="E360" i="7" s="1"/>
  <c r="E361" i="7" a="1"/>
  <c r="E361" i="7" s="1"/>
  <c r="E362" i="7" a="1"/>
  <c r="E362" i="7" s="1"/>
  <c r="E363" i="7" a="1"/>
  <c r="E363" i="7" s="1"/>
  <c r="E364" i="7" a="1"/>
  <c r="E364" i="7" s="1"/>
  <c r="E365" i="7" a="1"/>
  <c r="E365" i="7" s="1"/>
  <c r="E366" i="7" a="1"/>
  <c r="E366" i="7" s="1"/>
  <c r="E367" i="7" a="1"/>
  <c r="E367" i="7" s="1"/>
  <c r="E368" i="7" a="1"/>
  <c r="E368" i="7" s="1"/>
  <c r="E369" i="7" a="1"/>
  <c r="E369" i="7" s="1"/>
  <c r="E370" i="7" a="1"/>
  <c r="E370" i="7" s="1"/>
  <c r="E371" i="7" a="1"/>
  <c r="E371" i="7" s="1"/>
  <c r="E372" i="7" a="1"/>
  <c r="E372" i="7" s="1"/>
  <c r="E373" i="7" a="1"/>
  <c r="E373" i="7" s="1"/>
  <c r="E374" i="7" a="1"/>
  <c r="E374" i="7" s="1"/>
  <c r="E375" i="7" a="1"/>
  <c r="E375" i="7" s="1"/>
  <c r="E376" i="7" a="1"/>
  <c r="E376" i="7" s="1"/>
  <c r="E377" i="7" a="1"/>
  <c r="E377" i="7" s="1"/>
  <c r="E378" i="7" a="1"/>
  <c r="E378" i="7" s="1"/>
  <c r="E379" i="7" a="1"/>
  <c r="E379" i="7" s="1"/>
  <c r="E380" i="7" a="1"/>
  <c r="E380" i="7" s="1"/>
  <c r="E381" i="7" a="1"/>
  <c r="E381" i="7" s="1"/>
  <c r="E382" i="7" a="1"/>
  <c r="E382" i="7" s="1"/>
  <c r="E383" i="7" a="1"/>
  <c r="E383" i="7" s="1"/>
  <c r="E384" i="7" a="1"/>
  <c r="E384" i="7" s="1"/>
  <c r="E385" i="7" a="1"/>
  <c r="E385" i="7" s="1"/>
  <c r="E386" i="7" a="1"/>
  <c r="E386" i="7" s="1"/>
  <c r="E387" i="7" a="1"/>
  <c r="E387" i="7" s="1"/>
  <c r="E388" i="7" a="1"/>
  <c r="E388" i="7" s="1"/>
  <c r="E389" i="7" a="1"/>
  <c r="E389" i="7" s="1"/>
  <c r="E390" i="7" a="1"/>
  <c r="E390" i="7" s="1"/>
  <c r="E391" i="7" a="1"/>
  <c r="E391" i="7" s="1"/>
  <c r="E392" i="7" a="1"/>
  <c r="E392" i="7" s="1"/>
  <c r="E393" i="7" a="1"/>
  <c r="E393" i="7" s="1"/>
  <c r="E394" i="7" a="1"/>
  <c r="E394" i="7" s="1"/>
  <c r="E395" i="7" a="1"/>
  <c r="E395" i="7" s="1"/>
  <c r="E396" i="7" a="1"/>
  <c r="E396" i="7" s="1"/>
  <c r="E397" i="7" a="1"/>
  <c r="E397" i="7" s="1"/>
  <c r="E398" i="7" a="1"/>
  <c r="E398" i="7" s="1"/>
  <c r="E399" i="7" a="1"/>
  <c r="E399" i="7" s="1"/>
  <c r="E400" i="7" a="1"/>
  <c r="E400" i="7" s="1"/>
  <c r="E401" i="7" a="1"/>
  <c r="E401" i="7" s="1"/>
  <c r="E402" i="7" a="1"/>
  <c r="E402" i="7" s="1"/>
  <c r="E403" i="7" a="1"/>
  <c r="E403" i="7" s="1"/>
  <c r="E404" i="7" a="1"/>
  <c r="E404" i="7" s="1"/>
  <c r="E405" i="7" a="1"/>
  <c r="E405" i="7" s="1"/>
  <c r="E406" i="7" a="1"/>
  <c r="E406" i="7" s="1"/>
  <c r="R5" i="1" l="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4" i="1"/>
  <c r="E6" i="15" l="1"/>
  <c r="K6" i="15" s="1"/>
  <c r="C6" i="15"/>
  <c r="I6" i="15" s="1"/>
  <c r="J6" i="15" s="1"/>
  <c r="E5" i="15"/>
  <c r="K5" i="15" s="1"/>
  <c r="C5" i="15"/>
  <c r="I5" i="15" s="1"/>
  <c r="E4" i="15"/>
  <c r="K4" i="15" s="1"/>
  <c r="C4" i="15"/>
  <c r="I4" i="15" s="1"/>
  <c r="E3" i="15"/>
  <c r="K3" i="15" s="1"/>
  <c r="C3" i="15"/>
  <c r="I3" i="15" s="1"/>
  <c r="J5" i="15" l="1"/>
  <c r="L4" i="15"/>
  <c r="J3" i="15"/>
  <c r="L5" i="15"/>
  <c r="L6" i="15"/>
  <c r="L3" i="15"/>
  <c r="J4" i="15"/>
  <c r="A2" i="12"/>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80" i="12"/>
  <c r="A281" i="12"/>
  <c r="A282" i="12"/>
  <c r="A283" i="12"/>
  <c r="A284" i="12"/>
  <c r="A285" i="12"/>
  <c r="A286" i="12"/>
  <c r="A287" i="12"/>
  <c r="A288" i="12"/>
  <c r="A289" i="12"/>
  <c r="A290" i="12"/>
  <c r="A291" i="12"/>
  <c r="A292" i="12"/>
  <c r="A293" i="12"/>
  <c r="A294" i="12"/>
  <c r="A295" i="12"/>
  <c r="A296" i="12"/>
  <c r="A297" i="12"/>
  <c r="A298" i="12"/>
  <c r="A299" i="12"/>
  <c r="A300" i="12"/>
  <c r="A301" i="12"/>
  <c r="A302" i="12"/>
  <c r="A303" i="12"/>
  <c r="A304" i="12"/>
  <c r="A305" i="12"/>
  <c r="A306" i="12"/>
  <c r="A307" i="12"/>
  <c r="A308" i="12"/>
  <c r="A309" i="12"/>
  <c r="A310" i="12"/>
  <c r="A311" i="12"/>
  <c r="A312" i="12"/>
  <c r="A313" i="12"/>
  <c r="A314" i="12"/>
  <c r="A315" i="12"/>
  <c r="A316" i="12"/>
  <c r="A317" i="12"/>
  <c r="A318" i="12"/>
  <c r="A319" i="12"/>
  <c r="A320" i="12"/>
  <c r="A321" i="12"/>
  <c r="A322" i="12"/>
  <c r="A323" i="12"/>
  <c r="A324" i="12"/>
  <c r="A325" i="12"/>
  <c r="A326" i="12"/>
  <c r="A327" i="12"/>
  <c r="A328" i="12"/>
  <c r="A329" i="12"/>
  <c r="A330"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1" i="12"/>
  <c r="A362" i="12"/>
  <c r="A363" i="12"/>
  <c r="A364" i="12"/>
  <c r="A365" i="12"/>
  <c r="A366" i="12"/>
  <c r="A367" i="12"/>
  <c r="A368" i="12"/>
  <c r="A369" i="12"/>
  <c r="A370" i="12"/>
  <c r="A371" i="12"/>
  <c r="A372" i="12"/>
  <c r="A373" i="12"/>
  <c r="A374" i="12"/>
  <c r="A375" i="12"/>
  <c r="A376" i="12"/>
  <c r="A377" i="12"/>
  <c r="A378" i="12"/>
  <c r="A379" i="12"/>
  <c r="A380" i="12"/>
  <c r="A381" i="12"/>
  <c r="A382" i="12"/>
  <c r="A383" i="12"/>
  <c r="A384" i="12"/>
  <c r="A385" i="12"/>
  <c r="A386" i="12"/>
  <c r="A387" i="12"/>
  <c r="A388" i="12"/>
  <c r="A389" i="12"/>
  <c r="A390"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6" i="12"/>
  <c r="A427" i="12"/>
  <c r="A428" i="12"/>
  <c r="A429" i="12"/>
  <c r="A430" i="12"/>
  <c r="A431" i="12"/>
  <c r="A432" i="12"/>
  <c r="A433" i="12"/>
  <c r="A434" i="12"/>
  <c r="A435" i="12"/>
  <c r="A436" i="12"/>
  <c r="A437" i="12"/>
  <c r="A438" i="12"/>
  <c r="A439" i="12"/>
  <c r="A440" i="12"/>
  <c r="A441" i="12"/>
  <c r="A442" i="12"/>
  <c r="A443" i="12"/>
  <c r="A444" i="12"/>
  <c r="A445" i="12"/>
  <c r="A446" i="12"/>
  <c r="A447" i="12"/>
  <c r="A448" i="12"/>
  <c r="A449" i="12"/>
  <c r="A450" i="12"/>
  <c r="A451" i="12"/>
  <c r="A452" i="12"/>
  <c r="A453" i="12"/>
  <c r="A454" i="12"/>
  <c r="A455" i="12"/>
  <c r="A456" i="12"/>
  <c r="A457" i="12"/>
  <c r="A458" i="12"/>
  <c r="A459" i="12"/>
  <c r="A460" i="12"/>
  <c r="A461" i="12"/>
  <c r="A462" i="12"/>
  <c r="A463" i="12"/>
  <c r="A464" i="12"/>
  <c r="A465" i="12"/>
  <c r="A466" i="12"/>
  <c r="A467" i="12"/>
  <c r="A468" i="12"/>
  <c r="A469" i="12"/>
  <c r="A470" i="12"/>
  <c r="A471" i="12"/>
  <c r="A472" i="12"/>
  <c r="A473" i="12"/>
  <c r="A474" i="12"/>
  <c r="A475" i="12"/>
  <c r="A476" i="12"/>
  <c r="A477" i="12"/>
  <c r="A478" i="12"/>
  <c r="A479" i="12"/>
  <c r="A480" i="12"/>
  <c r="A481" i="12"/>
  <c r="A482" i="12"/>
  <c r="A483" i="12"/>
  <c r="A484" i="12"/>
  <c r="A485" i="12"/>
  <c r="A486" i="12"/>
  <c r="A487" i="12"/>
  <c r="A488" i="12"/>
  <c r="A489" i="12"/>
  <c r="A490" i="12"/>
  <c r="A491" i="12"/>
  <c r="A492" i="12"/>
  <c r="A493" i="12"/>
  <c r="A494" i="12"/>
  <c r="A495" i="12"/>
  <c r="A496" i="12"/>
  <c r="A497" i="12"/>
  <c r="A498" i="12"/>
  <c r="C2" i="12"/>
  <c r="D2" i="12"/>
  <c r="E2" i="12"/>
  <c r="G2" i="12"/>
  <c r="H2" i="12"/>
  <c r="C3" i="12"/>
  <c r="D3" i="12"/>
  <c r="E3" i="12"/>
  <c r="G3" i="12"/>
  <c r="H3" i="12"/>
  <c r="C4" i="12"/>
  <c r="D4" i="12"/>
  <c r="E4" i="12"/>
  <c r="G4" i="12"/>
  <c r="H4" i="12"/>
  <c r="C5" i="12"/>
  <c r="D5" i="12"/>
  <c r="E5" i="12"/>
  <c r="G5" i="12"/>
  <c r="H5" i="12"/>
  <c r="C6" i="12"/>
  <c r="D6" i="12"/>
  <c r="E6" i="12"/>
  <c r="G6" i="12"/>
  <c r="H6" i="12"/>
  <c r="C7" i="12"/>
  <c r="D7" i="12"/>
  <c r="E7" i="12"/>
  <c r="G7" i="12"/>
  <c r="H7" i="12"/>
  <c r="C8" i="12"/>
  <c r="D8" i="12"/>
  <c r="E8" i="12"/>
  <c r="G8" i="12"/>
  <c r="H8" i="12"/>
  <c r="C9" i="12"/>
  <c r="D9" i="12"/>
  <c r="E9" i="12"/>
  <c r="G9" i="12"/>
  <c r="H9" i="12"/>
  <c r="C10" i="12"/>
  <c r="D10" i="12"/>
  <c r="E10" i="12"/>
  <c r="G10" i="12"/>
  <c r="H10" i="12"/>
  <c r="C11" i="12"/>
  <c r="D11" i="12"/>
  <c r="E11" i="12"/>
  <c r="G11" i="12"/>
  <c r="H11" i="12"/>
  <c r="C12" i="12"/>
  <c r="D12" i="12"/>
  <c r="E12" i="12"/>
  <c r="G12" i="12"/>
  <c r="H12" i="12"/>
  <c r="C13" i="12"/>
  <c r="D13" i="12"/>
  <c r="E13" i="12"/>
  <c r="G13" i="12"/>
  <c r="H13" i="12"/>
  <c r="C14" i="12"/>
  <c r="D14" i="12"/>
  <c r="E14" i="12"/>
  <c r="G14" i="12"/>
  <c r="H14" i="12"/>
  <c r="C15" i="12"/>
  <c r="D15" i="12"/>
  <c r="E15" i="12"/>
  <c r="G15" i="12"/>
  <c r="H15" i="12"/>
  <c r="C16" i="12"/>
  <c r="D16" i="12"/>
  <c r="E16" i="12"/>
  <c r="G16" i="12"/>
  <c r="H16" i="12"/>
  <c r="C17" i="12"/>
  <c r="D17" i="12"/>
  <c r="E17" i="12"/>
  <c r="G17" i="12"/>
  <c r="H17" i="12"/>
  <c r="C18" i="12"/>
  <c r="D18" i="12"/>
  <c r="E18" i="12"/>
  <c r="G18" i="12"/>
  <c r="H18" i="12"/>
  <c r="C19" i="12"/>
  <c r="D19" i="12"/>
  <c r="E19" i="12"/>
  <c r="G19" i="12"/>
  <c r="H19" i="12"/>
  <c r="C20" i="12"/>
  <c r="D20" i="12"/>
  <c r="E20" i="12"/>
  <c r="G20" i="12"/>
  <c r="H20" i="12"/>
  <c r="C21" i="12"/>
  <c r="D21" i="12"/>
  <c r="E21" i="12"/>
  <c r="G21" i="12"/>
  <c r="H21" i="12"/>
  <c r="C22" i="12"/>
  <c r="D22" i="12"/>
  <c r="E22" i="12"/>
  <c r="G22" i="12"/>
  <c r="H22" i="12"/>
  <c r="C23" i="12"/>
  <c r="D23" i="12"/>
  <c r="E23" i="12"/>
  <c r="G23" i="12"/>
  <c r="H23" i="12"/>
  <c r="C24" i="12"/>
  <c r="D24" i="12"/>
  <c r="E24" i="12"/>
  <c r="G24" i="12"/>
  <c r="H24" i="12"/>
  <c r="C25" i="12"/>
  <c r="D25" i="12"/>
  <c r="E25" i="12"/>
  <c r="G25" i="12"/>
  <c r="H25" i="12"/>
  <c r="C26" i="12"/>
  <c r="D26" i="12"/>
  <c r="E26" i="12"/>
  <c r="G26" i="12"/>
  <c r="H26" i="12"/>
  <c r="C27" i="12"/>
  <c r="D27" i="12"/>
  <c r="E27" i="12"/>
  <c r="G27" i="12"/>
  <c r="H27" i="12"/>
  <c r="C28" i="12"/>
  <c r="D28" i="12"/>
  <c r="E28" i="12"/>
  <c r="G28" i="12"/>
  <c r="H28" i="12"/>
  <c r="C29" i="12"/>
  <c r="D29" i="12"/>
  <c r="E29" i="12"/>
  <c r="G29" i="12"/>
  <c r="H29" i="12"/>
  <c r="C30" i="12"/>
  <c r="D30" i="12"/>
  <c r="E30" i="12"/>
  <c r="G30" i="12"/>
  <c r="H30" i="12"/>
  <c r="C31" i="12"/>
  <c r="D31" i="12"/>
  <c r="E31" i="12"/>
  <c r="G31" i="12"/>
  <c r="H31" i="12"/>
  <c r="C32" i="12"/>
  <c r="D32" i="12"/>
  <c r="E32" i="12"/>
  <c r="G32" i="12"/>
  <c r="H32" i="12"/>
  <c r="C33" i="12"/>
  <c r="D33" i="12"/>
  <c r="E33" i="12"/>
  <c r="G33" i="12"/>
  <c r="H33" i="12"/>
  <c r="C34" i="12"/>
  <c r="D34" i="12"/>
  <c r="E34" i="12"/>
  <c r="G34" i="12"/>
  <c r="H34" i="12"/>
  <c r="C35" i="12"/>
  <c r="D35" i="12"/>
  <c r="E35" i="12"/>
  <c r="G35" i="12"/>
  <c r="H35" i="12"/>
  <c r="C36" i="12"/>
  <c r="D36" i="12"/>
  <c r="E36" i="12"/>
  <c r="G36" i="12"/>
  <c r="H36" i="12"/>
  <c r="C37" i="12"/>
  <c r="D37" i="12"/>
  <c r="E37" i="12"/>
  <c r="G37" i="12"/>
  <c r="H37" i="12"/>
  <c r="C38" i="12"/>
  <c r="D38" i="12"/>
  <c r="E38" i="12"/>
  <c r="G38" i="12"/>
  <c r="H38" i="12"/>
  <c r="C39" i="12"/>
  <c r="D39" i="12"/>
  <c r="E39" i="12"/>
  <c r="G39" i="12"/>
  <c r="H39" i="12"/>
  <c r="C40" i="12"/>
  <c r="D40" i="12"/>
  <c r="E40" i="12"/>
  <c r="G40" i="12"/>
  <c r="H40" i="12"/>
  <c r="C41" i="12"/>
  <c r="D41" i="12"/>
  <c r="E41" i="12"/>
  <c r="G41" i="12"/>
  <c r="H41" i="12"/>
  <c r="C42" i="12"/>
  <c r="D42" i="12"/>
  <c r="E42" i="12"/>
  <c r="G42" i="12"/>
  <c r="H42" i="12"/>
  <c r="C43" i="12"/>
  <c r="D43" i="12"/>
  <c r="E43" i="12"/>
  <c r="G43" i="12"/>
  <c r="H43" i="12"/>
  <c r="C44" i="12"/>
  <c r="D44" i="12"/>
  <c r="E44" i="12"/>
  <c r="G44" i="12"/>
  <c r="H44" i="12"/>
  <c r="C45" i="12"/>
  <c r="D45" i="12"/>
  <c r="E45" i="12"/>
  <c r="G45" i="12"/>
  <c r="H45" i="12"/>
  <c r="C46" i="12"/>
  <c r="D46" i="12"/>
  <c r="E46" i="12"/>
  <c r="G46" i="12"/>
  <c r="H46" i="12"/>
  <c r="C47" i="12"/>
  <c r="D47" i="12"/>
  <c r="E47" i="12"/>
  <c r="G47" i="12"/>
  <c r="H47" i="12"/>
  <c r="C48" i="12"/>
  <c r="D48" i="12"/>
  <c r="E48" i="12"/>
  <c r="G48" i="12"/>
  <c r="H48" i="12"/>
  <c r="C49" i="12"/>
  <c r="D49" i="12"/>
  <c r="E49" i="12"/>
  <c r="G49" i="12"/>
  <c r="H49" i="12"/>
  <c r="C50" i="12"/>
  <c r="D50" i="12"/>
  <c r="E50" i="12"/>
  <c r="G50" i="12"/>
  <c r="H50" i="12"/>
  <c r="C51" i="12"/>
  <c r="D51" i="12"/>
  <c r="E51" i="12"/>
  <c r="G51" i="12"/>
  <c r="H51" i="12"/>
  <c r="C52" i="12"/>
  <c r="D52" i="12"/>
  <c r="E52" i="12"/>
  <c r="G52" i="12"/>
  <c r="H52" i="12"/>
  <c r="C53" i="12"/>
  <c r="D53" i="12"/>
  <c r="E53" i="12"/>
  <c r="G53" i="12"/>
  <c r="H53" i="12"/>
  <c r="C54" i="12"/>
  <c r="D54" i="12"/>
  <c r="E54" i="12"/>
  <c r="G54" i="12"/>
  <c r="H54" i="12"/>
  <c r="C55" i="12"/>
  <c r="D55" i="12"/>
  <c r="E55" i="12"/>
  <c r="G55" i="12"/>
  <c r="H55" i="12"/>
  <c r="C56" i="12"/>
  <c r="D56" i="12"/>
  <c r="E56" i="12"/>
  <c r="G56" i="12"/>
  <c r="H56" i="12"/>
  <c r="C57" i="12"/>
  <c r="D57" i="12"/>
  <c r="E57" i="12"/>
  <c r="G57" i="12"/>
  <c r="H57" i="12"/>
  <c r="C58" i="12"/>
  <c r="D58" i="12"/>
  <c r="E58" i="12"/>
  <c r="G58" i="12"/>
  <c r="H58" i="12"/>
  <c r="C59" i="12"/>
  <c r="D59" i="12"/>
  <c r="E59" i="12"/>
  <c r="G59" i="12"/>
  <c r="H59" i="12"/>
  <c r="C60" i="12"/>
  <c r="D60" i="12"/>
  <c r="E60" i="12"/>
  <c r="G60" i="12"/>
  <c r="H60" i="12"/>
  <c r="C61" i="12"/>
  <c r="D61" i="12"/>
  <c r="E61" i="12"/>
  <c r="G61" i="12"/>
  <c r="H61" i="12"/>
  <c r="C62" i="12"/>
  <c r="D62" i="12"/>
  <c r="E62" i="12"/>
  <c r="G62" i="12"/>
  <c r="H62" i="12"/>
  <c r="C63" i="12"/>
  <c r="D63" i="12"/>
  <c r="E63" i="12"/>
  <c r="G63" i="12"/>
  <c r="H63" i="12"/>
  <c r="C64" i="12"/>
  <c r="D64" i="12"/>
  <c r="E64" i="12"/>
  <c r="G64" i="12"/>
  <c r="H64" i="12"/>
  <c r="C65" i="12"/>
  <c r="D65" i="12"/>
  <c r="E65" i="12"/>
  <c r="G65" i="12"/>
  <c r="H65" i="12"/>
  <c r="C66" i="12"/>
  <c r="D66" i="12"/>
  <c r="E66" i="12"/>
  <c r="G66" i="12"/>
  <c r="H66" i="12"/>
  <c r="C67" i="12"/>
  <c r="D67" i="12"/>
  <c r="E67" i="12"/>
  <c r="G67" i="12"/>
  <c r="H67" i="12"/>
  <c r="C68" i="12"/>
  <c r="D68" i="12"/>
  <c r="E68" i="12"/>
  <c r="G68" i="12"/>
  <c r="H68" i="12"/>
  <c r="C69" i="12"/>
  <c r="D69" i="12"/>
  <c r="E69" i="12"/>
  <c r="G69" i="12"/>
  <c r="H69" i="12"/>
  <c r="C70" i="12"/>
  <c r="D70" i="12"/>
  <c r="E70" i="12"/>
  <c r="G70" i="12"/>
  <c r="H70" i="12"/>
  <c r="C71" i="12"/>
  <c r="D71" i="12"/>
  <c r="E71" i="12"/>
  <c r="G71" i="12"/>
  <c r="H71" i="12"/>
  <c r="C72" i="12"/>
  <c r="D72" i="12"/>
  <c r="E72" i="12"/>
  <c r="G72" i="12"/>
  <c r="H72" i="12"/>
  <c r="C73" i="12"/>
  <c r="D73" i="12"/>
  <c r="E73" i="12"/>
  <c r="G73" i="12"/>
  <c r="H73" i="12"/>
  <c r="C74" i="12"/>
  <c r="D74" i="12"/>
  <c r="E74" i="12"/>
  <c r="G74" i="12"/>
  <c r="H74" i="12"/>
  <c r="C75" i="12"/>
  <c r="D75" i="12"/>
  <c r="E75" i="12"/>
  <c r="G75" i="12"/>
  <c r="H75" i="12"/>
  <c r="C76" i="12"/>
  <c r="D76" i="12"/>
  <c r="E76" i="12"/>
  <c r="G76" i="12"/>
  <c r="H76" i="12"/>
  <c r="C77" i="12"/>
  <c r="D77" i="12"/>
  <c r="E77" i="12"/>
  <c r="G77" i="12"/>
  <c r="H77" i="12"/>
  <c r="C78" i="12"/>
  <c r="D78" i="12"/>
  <c r="E78" i="12"/>
  <c r="G78" i="12"/>
  <c r="H78" i="12"/>
  <c r="C79" i="12"/>
  <c r="D79" i="12"/>
  <c r="E79" i="12"/>
  <c r="G79" i="12"/>
  <c r="H79" i="12"/>
  <c r="C80" i="12"/>
  <c r="D80" i="12"/>
  <c r="E80" i="12"/>
  <c r="G80" i="12"/>
  <c r="H80" i="12"/>
  <c r="C81" i="12"/>
  <c r="D81" i="12"/>
  <c r="E81" i="12"/>
  <c r="G81" i="12"/>
  <c r="H81" i="12"/>
  <c r="C82" i="12"/>
  <c r="D82" i="12"/>
  <c r="E82" i="12"/>
  <c r="G82" i="12"/>
  <c r="H82" i="12"/>
  <c r="C83" i="12"/>
  <c r="D83" i="12"/>
  <c r="E83" i="12"/>
  <c r="G83" i="12"/>
  <c r="H83" i="12"/>
  <c r="C84" i="12"/>
  <c r="D84" i="12"/>
  <c r="E84" i="12"/>
  <c r="G84" i="12"/>
  <c r="H84" i="12"/>
  <c r="C85" i="12"/>
  <c r="D85" i="12"/>
  <c r="E85" i="12"/>
  <c r="G85" i="12"/>
  <c r="H85" i="12"/>
  <c r="C86" i="12"/>
  <c r="D86" i="12"/>
  <c r="E86" i="12"/>
  <c r="G86" i="12"/>
  <c r="H86" i="12"/>
  <c r="C87" i="12"/>
  <c r="D87" i="12"/>
  <c r="E87" i="12"/>
  <c r="G87" i="12"/>
  <c r="H87" i="12"/>
  <c r="C88" i="12"/>
  <c r="D88" i="12"/>
  <c r="E88" i="12"/>
  <c r="G88" i="12"/>
  <c r="H88" i="12"/>
  <c r="C89" i="12"/>
  <c r="D89" i="12"/>
  <c r="E89" i="12"/>
  <c r="G89" i="12"/>
  <c r="H89" i="12"/>
  <c r="C90" i="12"/>
  <c r="D90" i="12"/>
  <c r="E90" i="12"/>
  <c r="G90" i="12"/>
  <c r="H90" i="12"/>
  <c r="C91" i="12"/>
  <c r="D91" i="12"/>
  <c r="E91" i="12"/>
  <c r="G91" i="12"/>
  <c r="H91" i="12"/>
  <c r="C92" i="12"/>
  <c r="D92" i="12"/>
  <c r="E92" i="12"/>
  <c r="G92" i="12"/>
  <c r="H92" i="12"/>
  <c r="C93" i="12"/>
  <c r="D93" i="12"/>
  <c r="E93" i="12"/>
  <c r="G93" i="12"/>
  <c r="H93" i="12"/>
  <c r="C94" i="12"/>
  <c r="D94" i="12"/>
  <c r="E94" i="12"/>
  <c r="G94" i="12"/>
  <c r="H94" i="12"/>
  <c r="C95" i="12"/>
  <c r="D95" i="12"/>
  <c r="E95" i="12"/>
  <c r="G95" i="12"/>
  <c r="H95" i="12"/>
  <c r="C96" i="12"/>
  <c r="D96" i="12"/>
  <c r="E96" i="12"/>
  <c r="G96" i="12"/>
  <c r="H96" i="12"/>
  <c r="C97" i="12"/>
  <c r="D97" i="12"/>
  <c r="E97" i="12"/>
  <c r="G97" i="12"/>
  <c r="H97" i="12"/>
  <c r="C98" i="12"/>
  <c r="D98" i="12"/>
  <c r="E98" i="12"/>
  <c r="G98" i="12"/>
  <c r="H98" i="12"/>
  <c r="C99" i="12"/>
  <c r="D99" i="12"/>
  <c r="E99" i="12"/>
  <c r="G99" i="12"/>
  <c r="H99" i="12"/>
  <c r="C100" i="12"/>
  <c r="D100" i="12"/>
  <c r="E100" i="12"/>
  <c r="G100" i="12"/>
  <c r="H100" i="12"/>
  <c r="C101" i="12"/>
  <c r="D101" i="12"/>
  <c r="E101" i="12"/>
  <c r="G101" i="12"/>
  <c r="H101" i="12"/>
  <c r="C102" i="12"/>
  <c r="D102" i="12"/>
  <c r="E102" i="12"/>
  <c r="G102" i="12"/>
  <c r="H102" i="12"/>
  <c r="C103" i="12"/>
  <c r="D103" i="12"/>
  <c r="E103" i="12"/>
  <c r="G103" i="12"/>
  <c r="H103" i="12"/>
  <c r="C104" i="12"/>
  <c r="D104" i="12"/>
  <c r="E104" i="12"/>
  <c r="G104" i="12"/>
  <c r="H104" i="12"/>
  <c r="C105" i="12"/>
  <c r="D105" i="12"/>
  <c r="E105" i="12"/>
  <c r="G105" i="12"/>
  <c r="H105" i="12"/>
  <c r="C106" i="12"/>
  <c r="D106" i="12"/>
  <c r="E106" i="12"/>
  <c r="G106" i="12"/>
  <c r="H106" i="12"/>
  <c r="C107" i="12"/>
  <c r="D107" i="12"/>
  <c r="E107" i="12"/>
  <c r="G107" i="12"/>
  <c r="H107" i="12"/>
  <c r="C108" i="12"/>
  <c r="D108" i="12"/>
  <c r="E108" i="12"/>
  <c r="G108" i="12"/>
  <c r="H108" i="12"/>
  <c r="C109" i="12"/>
  <c r="D109" i="12"/>
  <c r="E109" i="12"/>
  <c r="G109" i="12"/>
  <c r="H109" i="12"/>
  <c r="C110" i="12"/>
  <c r="D110" i="12"/>
  <c r="E110" i="12"/>
  <c r="G110" i="12"/>
  <c r="H110" i="12"/>
  <c r="C111" i="12"/>
  <c r="D111" i="12"/>
  <c r="E111" i="12"/>
  <c r="G111" i="12"/>
  <c r="H111" i="12"/>
  <c r="C112" i="12"/>
  <c r="D112" i="12"/>
  <c r="E112" i="12"/>
  <c r="G112" i="12"/>
  <c r="H112" i="12"/>
  <c r="C113" i="12"/>
  <c r="D113" i="12"/>
  <c r="E113" i="12"/>
  <c r="G113" i="12"/>
  <c r="H113" i="12"/>
  <c r="C114" i="12"/>
  <c r="D114" i="12"/>
  <c r="E114" i="12"/>
  <c r="G114" i="12"/>
  <c r="H114" i="12"/>
  <c r="C115" i="12"/>
  <c r="D115" i="12"/>
  <c r="E115" i="12"/>
  <c r="G115" i="12"/>
  <c r="H115" i="12"/>
  <c r="C116" i="12"/>
  <c r="D116" i="12"/>
  <c r="E116" i="12"/>
  <c r="G116" i="12"/>
  <c r="H116" i="12"/>
  <c r="C117" i="12"/>
  <c r="D117" i="12"/>
  <c r="E117" i="12"/>
  <c r="G117" i="12"/>
  <c r="H117" i="12"/>
  <c r="C118" i="12"/>
  <c r="D118" i="12"/>
  <c r="E118" i="12"/>
  <c r="G118" i="12"/>
  <c r="H118" i="12"/>
  <c r="C119" i="12"/>
  <c r="D119" i="12"/>
  <c r="E119" i="12"/>
  <c r="G119" i="12"/>
  <c r="H119" i="12"/>
  <c r="C120" i="12"/>
  <c r="D120" i="12"/>
  <c r="E120" i="12"/>
  <c r="G120" i="12"/>
  <c r="H120" i="12"/>
  <c r="C121" i="12"/>
  <c r="D121" i="12"/>
  <c r="E121" i="12"/>
  <c r="G121" i="12"/>
  <c r="H121" i="12"/>
  <c r="C122" i="12"/>
  <c r="D122" i="12"/>
  <c r="E122" i="12"/>
  <c r="G122" i="12"/>
  <c r="H122" i="12"/>
  <c r="C123" i="12"/>
  <c r="D123" i="12"/>
  <c r="E123" i="12"/>
  <c r="G123" i="12"/>
  <c r="H123" i="12"/>
  <c r="C124" i="12"/>
  <c r="D124" i="12"/>
  <c r="E124" i="12"/>
  <c r="G124" i="12"/>
  <c r="H124" i="12"/>
  <c r="C125" i="12"/>
  <c r="D125" i="12"/>
  <c r="E125" i="12"/>
  <c r="G125" i="12"/>
  <c r="H125" i="12"/>
  <c r="C126" i="12"/>
  <c r="D126" i="12"/>
  <c r="E126" i="12"/>
  <c r="G126" i="12"/>
  <c r="H126" i="12"/>
  <c r="C127" i="12"/>
  <c r="D127" i="12"/>
  <c r="E127" i="12"/>
  <c r="G127" i="12"/>
  <c r="H127" i="12"/>
  <c r="C128" i="12"/>
  <c r="D128" i="12"/>
  <c r="E128" i="12"/>
  <c r="G128" i="12"/>
  <c r="H128" i="12"/>
  <c r="C129" i="12"/>
  <c r="D129" i="12"/>
  <c r="E129" i="12"/>
  <c r="G129" i="12"/>
  <c r="H129" i="12"/>
  <c r="C130" i="12"/>
  <c r="D130" i="12"/>
  <c r="E130" i="12"/>
  <c r="G130" i="12"/>
  <c r="H130" i="12"/>
  <c r="C131" i="12"/>
  <c r="D131" i="12"/>
  <c r="E131" i="12"/>
  <c r="G131" i="12"/>
  <c r="H131" i="12"/>
  <c r="C132" i="12"/>
  <c r="D132" i="12"/>
  <c r="E132" i="12"/>
  <c r="G132" i="12"/>
  <c r="H132" i="12"/>
  <c r="C133" i="12"/>
  <c r="D133" i="12"/>
  <c r="E133" i="12"/>
  <c r="G133" i="12"/>
  <c r="H133" i="12"/>
  <c r="C134" i="12"/>
  <c r="D134" i="12"/>
  <c r="E134" i="12"/>
  <c r="G134" i="12"/>
  <c r="H134" i="12"/>
  <c r="C135" i="12"/>
  <c r="D135" i="12"/>
  <c r="E135" i="12"/>
  <c r="G135" i="12"/>
  <c r="H135" i="12"/>
  <c r="C136" i="12"/>
  <c r="D136" i="12"/>
  <c r="E136" i="12"/>
  <c r="G136" i="12"/>
  <c r="H136" i="12"/>
  <c r="C137" i="12"/>
  <c r="D137" i="12"/>
  <c r="E137" i="12"/>
  <c r="G137" i="12"/>
  <c r="H137" i="12"/>
  <c r="C138" i="12"/>
  <c r="D138" i="12"/>
  <c r="E138" i="12"/>
  <c r="G138" i="12"/>
  <c r="H138" i="12"/>
  <c r="C139" i="12"/>
  <c r="D139" i="12"/>
  <c r="E139" i="12"/>
  <c r="G139" i="12"/>
  <c r="H139" i="12"/>
  <c r="C140" i="12"/>
  <c r="D140" i="12"/>
  <c r="E140" i="12"/>
  <c r="G140" i="12"/>
  <c r="H140" i="12"/>
  <c r="C141" i="12"/>
  <c r="D141" i="12"/>
  <c r="E141" i="12"/>
  <c r="G141" i="12"/>
  <c r="H141" i="12"/>
  <c r="C142" i="12"/>
  <c r="D142" i="12"/>
  <c r="E142" i="12"/>
  <c r="G142" i="12"/>
  <c r="H142" i="12"/>
  <c r="C143" i="12"/>
  <c r="D143" i="12"/>
  <c r="E143" i="12"/>
  <c r="G143" i="12"/>
  <c r="H143" i="12"/>
  <c r="C144" i="12"/>
  <c r="D144" i="12"/>
  <c r="E144" i="12"/>
  <c r="G144" i="12"/>
  <c r="H144" i="12"/>
  <c r="C145" i="12"/>
  <c r="D145" i="12"/>
  <c r="E145" i="12"/>
  <c r="G145" i="12"/>
  <c r="H145" i="12"/>
  <c r="C146" i="12"/>
  <c r="D146" i="12"/>
  <c r="E146" i="12"/>
  <c r="G146" i="12"/>
  <c r="H146" i="12"/>
  <c r="C147" i="12"/>
  <c r="D147" i="12"/>
  <c r="E147" i="12"/>
  <c r="G147" i="12"/>
  <c r="H147" i="12"/>
  <c r="C148" i="12"/>
  <c r="D148" i="12"/>
  <c r="E148" i="12"/>
  <c r="G148" i="12"/>
  <c r="H148" i="12"/>
  <c r="C149" i="12"/>
  <c r="D149" i="12"/>
  <c r="E149" i="12"/>
  <c r="G149" i="12"/>
  <c r="H149" i="12"/>
  <c r="C150" i="12"/>
  <c r="D150" i="12"/>
  <c r="E150" i="12"/>
  <c r="G150" i="12"/>
  <c r="H150" i="12"/>
  <c r="C151" i="12"/>
  <c r="D151" i="12"/>
  <c r="E151" i="12"/>
  <c r="G151" i="12"/>
  <c r="H151" i="12"/>
  <c r="C152" i="12"/>
  <c r="D152" i="12"/>
  <c r="E152" i="12"/>
  <c r="G152" i="12"/>
  <c r="H152" i="12"/>
  <c r="C153" i="12"/>
  <c r="D153" i="12"/>
  <c r="E153" i="12"/>
  <c r="G153" i="12"/>
  <c r="H153" i="12"/>
  <c r="C154" i="12"/>
  <c r="D154" i="12"/>
  <c r="E154" i="12"/>
  <c r="G154" i="12"/>
  <c r="H154" i="12"/>
  <c r="C155" i="12"/>
  <c r="D155" i="12"/>
  <c r="E155" i="12"/>
  <c r="G155" i="12"/>
  <c r="H155" i="12"/>
  <c r="C156" i="12"/>
  <c r="D156" i="12"/>
  <c r="E156" i="12"/>
  <c r="G156" i="12"/>
  <c r="H156" i="12"/>
  <c r="C157" i="12"/>
  <c r="D157" i="12"/>
  <c r="E157" i="12"/>
  <c r="G157" i="12"/>
  <c r="H157" i="12"/>
  <c r="C158" i="12"/>
  <c r="D158" i="12"/>
  <c r="E158" i="12"/>
  <c r="G158" i="12"/>
  <c r="H158" i="12"/>
  <c r="C159" i="12"/>
  <c r="D159" i="12"/>
  <c r="E159" i="12"/>
  <c r="G159" i="12"/>
  <c r="H159" i="12"/>
  <c r="C160" i="12"/>
  <c r="D160" i="12"/>
  <c r="E160" i="12"/>
  <c r="G160" i="12"/>
  <c r="H160" i="12"/>
  <c r="C161" i="12"/>
  <c r="D161" i="12"/>
  <c r="E161" i="12"/>
  <c r="G161" i="12"/>
  <c r="H161" i="12"/>
  <c r="C162" i="12"/>
  <c r="D162" i="12"/>
  <c r="E162" i="12"/>
  <c r="G162" i="12"/>
  <c r="H162" i="12"/>
  <c r="C163" i="12"/>
  <c r="D163" i="12"/>
  <c r="E163" i="12"/>
  <c r="G163" i="12"/>
  <c r="H163" i="12"/>
  <c r="C164" i="12"/>
  <c r="D164" i="12"/>
  <c r="E164" i="12"/>
  <c r="G164" i="12"/>
  <c r="H164" i="12"/>
  <c r="C165" i="12"/>
  <c r="D165" i="12"/>
  <c r="E165" i="12"/>
  <c r="G165" i="12"/>
  <c r="H165" i="12"/>
  <c r="C166" i="12"/>
  <c r="D166" i="12"/>
  <c r="E166" i="12"/>
  <c r="G166" i="12"/>
  <c r="H166" i="12"/>
  <c r="C167" i="12"/>
  <c r="D167" i="12"/>
  <c r="E167" i="12"/>
  <c r="G167" i="12"/>
  <c r="H167" i="12"/>
  <c r="C168" i="12"/>
  <c r="D168" i="12"/>
  <c r="E168" i="12"/>
  <c r="G168" i="12"/>
  <c r="H168" i="12"/>
  <c r="C169" i="12"/>
  <c r="D169" i="12"/>
  <c r="E169" i="12"/>
  <c r="G169" i="12"/>
  <c r="H169" i="12"/>
  <c r="C170" i="12"/>
  <c r="D170" i="12"/>
  <c r="E170" i="12"/>
  <c r="G170" i="12"/>
  <c r="H170" i="12"/>
  <c r="C171" i="12"/>
  <c r="D171" i="12"/>
  <c r="E171" i="12"/>
  <c r="G171" i="12"/>
  <c r="H171" i="12"/>
  <c r="C172" i="12"/>
  <c r="D172" i="12"/>
  <c r="E172" i="12"/>
  <c r="G172" i="12"/>
  <c r="H172" i="12"/>
  <c r="C173" i="12"/>
  <c r="D173" i="12"/>
  <c r="E173" i="12"/>
  <c r="G173" i="12"/>
  <c r="H173" i="12"/>
  <c r="C174" i="12"/>
  <c r="D174" i="12"/>
  <c r="E174" i="12"/>
  <c r="G174" i="12"/>
  <c r="H174" i="12"/>
  <c r="C175" i="12"/>
  <c r="D175" i="12"/>
  <c r="E175" i="12"/>
  <c r="G175" i="12"/>
  <c r="H175" i="12"/>
  <c r="C176" i="12"/>
  <c r="D176" i="12"/>
  <c r="E176" i="12"/>
  <c r="G176" i="12"/>
  <c r="H176" i="12"/>
  <c r="C177" i="12"/>
  <c r="D177" i="12"/>
  <c r="E177" i="12"/>
  <c r="G177" i="12"/>
  <c r="H177" i="12"/>
  <c r="C178" i="12"/>
  <c r="D178" i="12"/>
  <c r="E178" i="12"/>
  <c r="G178" i="12"/>
  <c r="H178" i="12"/>
  <c r="C179" i="12"/>
  <c r="D179" i="12"/>
  <c r="E179" i="12"/>
  <c r="G179" i="12"/>
  <c r="H179" i="12"/>
  <c r="C180" i="12"/>
  <c r="D180" i="12"/>
  <c r="E180" i="12"/>
  <c r="G180" i="12"/>
  <c r="H180" i="12"/>
  <c r="C181" i="12"/>
  <c r="D181" i="12"/>
  <c r="E181" i="12"/>
  <c r="G181" i="12"/>
  <c r="H181" i="12"/>
  <c r="C182" i="12"/>
  <c r="D182" i="12"/>
  <c r="E182" i="12"/>
  <c r="G182" i="12"/>
  <c r="H182" i="12"/>
  <c r="C183" i="12"/>
  <c r="D183" i="12"/>
  <c r="E183" i="12"/>
  <c r="G183" i="12"/>
  <c r="H183" i="12"/>
  <c r="C184" i="12"/>
  <c r="D184" i="12"/>
  <c r="E184" i="12"/>
  <c r="G184" i="12"/>
  <c r="H184" i="12"/>
  <c r="C185" i="12"/>
  <c r="D185" i="12"/>
  <c r="E185" i="12"/>
  <c r="G185" i="12"/>
  <c r="H185" i="12"/>
  <c r="C186" i="12"/>
  <c r="D186" i="12"/>
  <c r="E186" i="12"/>
  <c r="G186" i="12"/>
  <c r="H186" i="12"/>
  <c r="C187" i="12"/>
  <c r="D187" i="12"/>
  <c r="E187" i="12"/>
  <c r="G187" i="12"/>
  <c r="H187" i="12"/>
  <c r="C188" i="12"/>
  <c r="D188" i="12"/>
  <c r="E188" i="12"/>
  <c r="G188" i="12"/>
  <c r="H188" i="12"/>
  <c r="C189" i="12"/>
  <c r="D189" i="12"/>
  <c r="E189" i="12"/>
  <c r="G189" i="12"/>
  <c r="H189" i="12"/>
  <c r="C190" i="12"/>
  <c r="D190" i="12"/>
  <c r="E190" i="12"/>
  <c r="G190" i="12"/>
  <c r="H190" i="12"/>
  <c r="C191" i="12"/>
  <c r="D191" i="12"/>
  <c r="E191" i="12"/>
  <c r="G191" i="12"/>
  <c r="H191" i="12"/>
  <c r="C192" i="12"/>
  <c r="D192" i="12"/>
  <c r="E192" i="12"/>
  <c r="G192" i="12"/>
  <c r="H192" i="12"/>
  <c r="C193" i="12"/>
  <c r="D193" i="12"/>
  <c r="E193" i="12"/>
  <c r="G193" i="12"/>
  <c r="H193" i="12"/>
  <c r="C194" i="12"/>
  <c r="D194" i="12"/>
  <c r="E194" i="12"/>
  <c r="G194" i="12"/>
  <c r="H194" i="12"/>
  <c r="C195" i="12"/>
  <c r="D195" i="12"/>
  <c r="E195" i="12"/>
  <c r="G195" i="12"/>
  <c r="H195" i="12"/>
  <c r="C196" i="12"/>
  <c r="D196" i="12"/>
  <c r="E196" i="12"/>
  <c r="G196" i="12"/>
  <c r="H196" i="12"/>
  <c r="C197" i="12"/>
  <c r="D197" i="12"/>
  <c r="E197" i="12"/>
  <c r="G197" i="12"/>
  <c r="H197" i="12"/>
  <c r="C198" i="12"/>
  <c r="D198" i="12"/>
  <c r="E198" i="12"/>
  <c r="G198" i="12"/>
  <c r="H198" i="12"/>
  <c r="C199" i="12"/>
  <c r="D199" i="12"/>
  <c r="E199" i="12"/>
  <c r="G199" i="12"/>
  <c r="H199" i="12"/>
  <c r="C200" i="12"/>
  <c r="D200" i="12"/>
  <c r="E200" i="12"/>
  <c r="G200" i="12"/>
  <c r="H200" i="12"/>
  <c r="C201" i="12"/>
  <c r="D201" i="12"/>
  <c r="E201" i="12"/>
  <c r="G201" i="12"/>
  <c r="H201" i="12"/>
  <c r="C202" i="12"/>
  <c r="D202" i="12"/>
  <c r="E202" i="12"/>
  <c r="G202" i="12"/>
  <c r="H202" i="12"/>
  <c r="C203" i="12"/>
  <c r="D203" i="12"/>
  <c r="E203" i="12"/>
  <c r="G203" i="12"/>
  <c r="H203" i="12"/>
  <c r="C204" i="12"/>
  <c r="D204" i="12"/>
  <c r="E204" i="12"/>
  <c r="G204" i="12"/>
  <c r="H204" i="12"/>
  <c r="C205" i="12"/>
  <c r="D205" i="12"/>
  <c r="E205" i="12"/>
  <c r="G205" i="12"/>
  <c r="H205" i="12"/>
  <c r="C206" i="12"/>
  <c r="D206" i="12"/>
  <c r="E206" i="12"/>
  <c r="G206" i="12"/>
  <c r="H206" i="12"/>
  <c r="C207" i="12"/>
  <c r="D207" i="12"/>
  <c r="E207" i="12"/>
  <c r="G207" i="12"/>
  <c r="H207" i="12"/>
  <c r="C208" i="12"/>
  <c r="D208" i="12"/>
  <c r="E208" i="12"/>
  <c r="G208" i="12"/>
  <c r="H208" i="12"/>
  <c r="C209" i="12"/>
  <c r="D209" i="12"/>
  <c r="E209" i="12"/>
  <c r="G209" i="12"/>
  <c r="H209" i="12"/>
  <c r="C210" i="12"/>
  <c r="D210" i="12"/>
  <c r="E210" i="12"/>
  <c r="G210" i="12"/>
  <c r="H210" i="12"/>
  <c r="C211" i="12"/>
  <c r="D211" i="12"/>
  <c r="E211" i="12"/>
  <c r="G211" i="12"/>
  <c r="H211" i="12"/>
  <c r="C212" i="12"/>
  <c r="D212" i="12"/>
  <c r="E212" i="12"/>
  <c r="G212" i="12"/>
  <c r="H212" i="12"/>
  <c r="C213" i="12"/>
  <c r="D213" i="12"/>
  <c r="E213" i="12"/>
  <c r="G213" i="12"/>
  <c r="H213" i="12"/>
  <c r="C214" i="12"/>
  <c r="D214" i="12"/>
  <c r="E214" i="12"/>
  <c r="G214" i="12"/>
  <c r="H214" i="12"/>
  <c r="C215" i="12"/>
  <c r="D215" i="12"/>
  <c r="E215" i="12"/>
  <c r="G215" i="12"/>
  <c r="H215" i="12"/>
  <c r="C216" i="12"/>
  <c r="D216" i="12"/>
  <c r="E216" i="12"/>
  <c r="G216" i="12"/>
  <c r="H216" i="12"/>
  <c r="C217" i="12"/>
  <c r="D217" i="12"/>
  <c r="E217" i="12"/>
  <c r="G217" i="12"/>
  <c r="H217" i="12"/>
  <c r="C218" i="12"/>
  <c r="D218" i="12"/>
  <c r="E218" i="12"/>
  <c r="G218" i="12"/>
  <c r="H218" i="12"/>
  <c r="C219" i="12"/>
  <c r="D219" i="12"/>
  <c r="E219" i="12"/>
  <c r="G219" i="12"/>
  <c r="H219" i="12"/>
  <c r="C220" i="12"/>
  <c r="D220" i="12"/>
  <c r="E220" i="12"/>
  <c r="G220" i="12"/>
  <c r="H220" i="12"/>
  <c r="C221" i="12"/>
  <c r="D221" i="12"/>
  <c r="E221" i="12"/>
  <c r="G221" i="12"/>
  <c r="H221" i="12"/>
  <c r="C222" i="12"/>
  <c r="D222" i="12"/>
  <c r="E222" i="12"/>
  <c r="G222" i="12"/>
  <c r="H222" i="12"/>
  <c r="C223" i="12"/>
  <c r="D223" i="12"/>
  <c r="E223" i="12"/>
  <c r="G223" i="12"/>
  <c r="H223" i="12"/>
  <c r="C224" i="12"/>
  <c r="D224" i="12"/>
  <c r="E224" i="12"/>
  <c r="G224" i="12"/>
  <c r="H224" i="12"/>
  <c r="C225" i="12"/>
  <c r="D225" i="12"/>
  <c r="E225" i="12"/>
  <c r="G225" i="12"/>
  <c r="H225" i="12"/>
  <c r="C226" i="12"/>
  <c r="D226" i="12"/>
  <c r="E226" i="12"/>
  <c r="G226" i="12"/>
  <c r="H226" i="12"/>
  <c r="C227" i="12"/>
  <c r="D227" i="12"/>
  <c r="E227" i="12"/>
  <c r="G227" i="12"/>
  <c r="H227" i="12"/>
  <c r="C228" i="12"/>
  <c r="D228" i="12"/>
  <c r="E228" i="12"/>
  <c r="G228" i="12"/>
  <c r="H228" i="12"/>
  <c r="C229" i="12"/>
  <c r="D229" i="12"/>
  <c r="E229" i="12"/>
  <c r="G229" i="12"/>
  <c r="H229" i="12"/>
  <c r="C230" i="12"/>
  <c r="D230" i="12"/>
  <c r="E230" i="12"/>
  <c r="G230" i="12"/>
  <c r="H230" i="12"/>
  <c r="C231" i="12"/>
  <c r="D231" i="12"/>
  <c r="E231" i="12"/>
  <c r="G231" i="12"/>
  <c r="H231" i="12"/>
  <c r="C232" i="12"/>
  <c r="D232" i="12"/>
  <c r="E232" i="12"/>
  <c r="G232" i="12"/>
  <c r="H232" i="12"/>
  <c r="C233" i="12"/>
  <c r="D233" i="12"/>
  <c r="E233" i="12"/>
  <c r="G233" i="12"/>
  <c r="H233" i="12"/>
  <c r="C234" i="12"/>
  <c r="D234" i="12"/>
  <c r="E234" i="12"/>
  <c r="G234" i="12"/>
  <c r="H234" i="12"/>
  <c r="C235" i="12"/>
  <c r="D235" i="12"/>
  <c r="E235" i="12"/>
  <c r="G235" i="12"/>
  <c r="H235" i="12"/>
  <c r="C236" i="12"/>
  <c r="D236" i="12"/>
  <c r="E236" i="12"/>
  <c r="G236" i="12"/>
  <c r="H236" i="12"/>
  <c r="C237" i="12"/>
  <c r="D237" i="12"/>
  <c r="E237" i="12"/>
  <c r="G237" i="12"/>
  <c r="H237" i="12"/>
  <c r="C238" i="12"/>
  <c r="D238" i="12"/>
  <c r="E238" i="12"/>
  <c r="G238" i="12"/>
  <c r="H238" i="12"/>
  <c r="C239" i="12"/>
  <c r="D239" i="12"/>
  <c r="E239" i="12"/>
  <c r="G239" i="12"/>
  <c r="H239" i="12"/>
  <c r="C240" i="12"/>
  <c r="D240" i="12"/>
  <c r="E240" i="12"/>
  <c r="G240" i="12"/>
  <c r="H240" i="12"/>
  <c r="C241" i="12"/>
  <c r="D241" i="12"/>
  <c r="E241" i="12"/>
  <c r="G241" i="12"/>
  <c r="H241" i="12"/>
  <c r="C242" i="12"/>
  <c r="D242" i="12"/>
  <c r="E242" i="12"/>
  <c r="G242" i="12"/>
  <c r="H242" i="12"/>
  <c r="C243" i="12"/>
  <c r="D243" i="12"/>
  <c r="E243" i="12"/>
  <c r="G243" i="12"/>
  <c r="H243" i="12"/>
  <c r="C244" i="12"/>
  <c r="D244" i="12"/>
  <c r="E244" i="12"/>
  <c r="G244" i="12"/>
  <c r="H244" i="12"/>
  <c r="C245" i="12"/>
  <c r="D245" i="12"/>
  <c r="E245" i="12"/>
  <c r="G245" i="12"/>
  <c r="H245" i="12"/>
  <c r="C246" i="12"/>
  <c r="D246" i="12"/>
  <c r="E246" i="12"/>
  <c r="G246" i="12"/>
  <c r="H246" i="12"/>
  <c r="C247" i="12"/>
  <c r="D247" i="12"/>
  <c r="E247" i="12"/>
  <c r="G247" i="12"/>
  <c r="H247" i="12"/>
  <c r="C248" i="12"/>
  <c r="D248" i="12"/>
  <c r="E248" i="12"/>
  <c r="G248" i="12"/>
  <c r="H248" i="12"/>
  <c r="C249" i="12"/>
  <c r="D249" i="12"/>
  <c r="E249" i="12"/>
  <c r="G249" i="12"/>
  <c r="H249" i="12"/>
  <c r="C250" i="12"/>
  <c r="D250" i="12"/>
  <c r="E250" i="12"/>
  <c r="G250" i="12"/>
  <c r="H250" i="12"/>
  <c r="C251" i="12"/>
  <c r="D251" i="12"/>
  <c r="E251" i="12"/>
  <c r="G251" i="12"/>
  <c r="H251" i="12"/>
  <c r="C252" i="12"/>
  <c r="D252" i="12"/>
  <c r="E252" i="12"/>
  <c r="G252" i="12"/>
  <c r="H252" i="12"/>
  <c r="C253" i="12"/>
  <c r="D253" i="12"/>
  <c r="E253" i="12"/>
  <c r="G253" i="12"/>
  <c r="H253" i="12"/>
  <c r="C254" i="12"/>
  <c r="D254" i="12"/>
  <c r="E254" i="12"/>
  <c r="G254" i="12"/>
  <c r="H254" i="12"/>
  <c r="C255" i="12"/>
  <c r="D255" i="12"/>
  <c r="E255" i="12"/>
  <c r="G255" i="12"/>
  <c r="H255" i="12"/>
  <c r="C256" i="12"/>
  <c r="D256" i="12"/>
  <c r="E256" i="12"/>
  <c r="G256" i="12"/>
  <c r="H256" i="12"/>
  <c r="C257" i="12"/>
  <c r="D257" i="12"/>
  <c r="E257" i="12"/>
  <c r="G257" i="12"/>
  <c r="H257" i="12"/>
  <c r="C258" i="12"/>
  <c r="D258" i="12"/>
  <c r="E258" i="12"/>
  <c r="G258" i="12"/>
  <c r="H258" i="12"/>
  <c r="C259" i="12"/>
  <c r="D259" i="12"/>
  <c r="E259" i="12"/>
  <c r="G259" i="12"/>
  <c r="H259" i="12"/>
  <c r="C260" i="12"/>
  <c r="D260" i="12"/>
  <c r="E260" i="12"/>
  <c r="G260" i="12"/>
  <c r="H260" i="12"/>
  <c r="C261" i="12"/>
  <c r="D261" i="12"/>
  <c r="E261" i="12"/>
  <c r="G261" i="12"/>
  <c r="H261" i="12"/>
  <c r="C262" i="12"/>
  <c r="D262" i="12"/>
  <c r="E262" i="12"/>
  <c r="G262" i="12"/>
  <c r="H262" i="12"/>
  <c r="C263" i="12"/>
  <c r="D263" i="12"/>
  <c r="E263" i="12"/>
  <c r="G263" i="12"/>
  <c r="H263" i="12"/>
  <c r="C264" i="12"/>
  <c r="D264" i="12"/>
  <c r="E264" i="12"/>
  <c r="G264" i="12"/>
  <c r="H264" i="12"/>
  <c r="C265" i="12"/>
  <c r="D265" i="12"/>
  <c r="E265" i="12"/>
  <c r="G265" i="12"/>
  <c r="H265" i="12"/>
  <c r="C266" i="12"/>
  <c r="D266" i="12"/>
  <c r="E266" i="12"/>
  <c r="G266" i="12"/>
  <c r="H266" i="12"/>
  <c r="C267" i="12"/>
  <c r="D267" i="12"/>
  <c r="E267" i="12"/>
  <c r="G267" i="12"/>
  <c r="H267" i="12"/>
  <c r="C268" i="12"/>
  <c r="D268" i="12"/>
  <c r="E268" i="12"/>
  <c r="G268" i="12"/>
  <c r="H268" i="12"/>
  <c r="C269" i="12"/>
  <c r="D269" i="12"/>
  <c r="E269" i="12"/>
  <c r="G269" i="12"/>
  <c r="H269" i="12"/>
  <c r="C270" i="12"/>
  <c r="D270" i="12"/>
  <c r="E270" i="12"/>
  <c r="G270" i="12"/>
  <c r="H270" i="12"/>
  <c r="C271" i="12"/>
  <c r="D271" i="12"/>
  <c r="E271" i="12"/>
  <c r="G271" i="12"/>
  <c r="H271" i="12"/>
  <c r="C272" i="12"/>
  <c r="D272" i="12"/>
  <c r="E272" i="12"/>
  <c r="G272" i="12"/>
  <c r="H272" i="12"/>
  <c r="C273" i="12"/>
  <c r="D273" i="12"/>
  <c r="E273" i="12"/>
  <c r="G273" i="12"/>
  <c r="H273" i="12"/>
  <c r="C274" i="12"/>
  <c r="D274" i="12"/>
  <c r="E274" i="12"/>
  <c r="G274" i="12"/>
  <c r="H274" i="12"/>
  <c r="C275" i="12"/>
  <c r="D275" i="12"/>
  <c r="E275" i="12"/>
  <c r="G275" i="12"/>
  <c r="H275" i="12"/>
  <c r="C276" i="12"/>
  <c r="D276" i="12"/>
  <c r="E276" i="12"/>
  <c r="G276" i="12"/>
  <c r="H276" i="12"/>
  <c r="C277" i="12"/>
  <c r="D277" i="12"/>
  <c r="E277" i="12"/>
  <c r="G277" i="12"/>
  <c r="H277" i="12"/>
  <c r="C278" i="12"/>
  <c r="D278" i="12"/>
  <c r="E278" i="12"/>
  <c r="G278" i="12"/>
  <c r="H278" i="12"/>
  <c r="C279" i="12"/>
  <c r="D279" i="12"/>
  <c r="E279" i="12"/>
  <c r="G279" i="12"/>
  <c r="H279" i="12"/>
  <c r="C280" i="12"/>
  <c r="D280" i="12"/>
  <c r="E280" i="12"/>
  <c r="G280" i="12"/>
  <c r="H280" i="12"/>
  <c r="C281" i="12"/>
  <c r="D281" i="12"/>
  <c r="E281" i="12"/>
  <c r="G281" i="12"/>
  <c r="H281" i="12"/>
  <c r="C282" i="12"/>
  <c r="D282" i="12"/>
  <c r="E282" i="12"/>
  <c r="G282" i="12"/>
  <c r="H282" i="12"/>
  <c r="C283" i="12"/>
  <c r="D283" i="12"/>
  <c r="E283" i="12"/>
  <c r="G283" i="12"/>
  <c r="H283" i="12"/>
  <c r="C284" i="12"/>
  <c r="D284" i="12"/>
  <c r="E284" i="12"/>
  <c r="G284" i="12"/>
  <c r="H284" i="12"/>
  <c r="C285" i="12"/>
  <c r="D285" i="12"/>
  <c r="E285" i="12"/>
  <c r="G285" i="12"/>
  <c r="H285" i="12"/>
  <c r="C286" i="12"/>
  <c r="D286" i="12"/>
  <c r="E286" i="12"/>
  <c r="G286" i="12"/>
  <c r="H286" i="12"/>
  <c r="C287" i="12"/>
  <c r="D287" i="12"/>
  <c r="E287" i="12"/>
  <c r="G287" i="12"/>
  <c r="H287" i="12"/>
  <c r="C288" i="12"/>
  <c r="D288" i="12"/>
  <c r="E288" i="12"/>
  <c r="G288" i="12"/>
  <c r="H288" i="12"/>
  <c r="C289" i="12"/>
  <c r="D289" i="12"/>
  <c r="E289" i="12"/>
  <c r="G289" i="12"/>
  <c r="H289" i="12"/>
  <c r="C290" i="12"/>
  <c r="D290" i="12"/>
  <c r="E290" i="12"/>
  <c r="G290" i="12"/>
  <c r="H290" i="12"/>
  <c r="C291" i="12"/>
  <c r="D291" i="12"/>
  <c r="E291" i="12"/>
  <c r="G291" i="12"/>
  <c r="H291" i="12"/>
  <c r="C292" i="12"/>
  <c r="D292" i="12"/>
  <c r="E292" i="12"/>
  <c r="G292" i="12"/>
  <c r="H292" i="12"/>
  <c r="C293" i="12"/>
  <c r="D293" i="12"/>
  <c r="E293" i="12"/>
  <c r="G293" i="12"/>
  <c r="H293" i="12"/>
  <c r="C294" i="12"/>
  <c r="D294" i="12"/>
  <c r="E294" i="12"/>
  <c r="G294" i="12"/>
  <c r="H294" i="12"/>
  <c r="C295" i="12"/>
  <c r="D295" i="12"/>
  <c r="E295" i="12"/>
  <c r="G295" i="12"/>
  <c r="H295" i="12"/>
  <c r="C296" i="12"/>
  <c r="D296" i="12"/>
  <c r="E296" i="12"/>
  <c r="G296" i="12"/>
  <c r="H296" i="12"/>
  <c r="C297" i="12"/>
  <c r="D297" i="12"/>
  <c r="E297" i="12"/>
  <c r="G297" i="12"/>
  <c r="H297" i="12"/>
  <c r="C298" i="12"/>
  <c r="D298" i="12"/>
  <c r="E298" i="12"/>
  <c r="G298" i="12"/>
  <c r="H298" i="12"/>
  <c r="C299" i="12"/>
  <c r="D299" i="12"/>
  <c r="E299" i="12"/>
  <c r="G299" i="12"/>
  <c r="H299" i="12"/>
  <c r="C300" i="12"/>
  <c r="D300" i="12"/>
  <c r="E300" i="12"/>
  <c r="G300" i="12"/>
  <c r="H300" i="12"/>
  <c r="C301" i="12"/>
  <c r="D301" i="12"/>
  <c r="E301" i="12"/>
  <c r="G301" i="12"/>
  <c r="H301" i="12"/>
  <c r="C302" i="12"/>
  <c r="D302" i="12"/>
  <c r="E302" i="12"/>
  <c r="G302" i="12"/>
  <c r="H302" i="12"/>
  <c r="C303" i="12"/>
  <c r="D303" i="12"/>
  <c r="E303" i="12"/>
  <c r="G303" i="12"/>
  <c r="H303" i="12"/>
  <c r="C304" i="12"/>
  <c r="D304" i="12"/>
  <c r="E304" i="12"/>
  <c r="G304" i="12"/>
  <c r="H304" i="12"/>
  <c r="C305" i="12"/>
  <c r="D305" i="12"/>
  <c r="E305" i="12"/>
  <c r="G305" i="12"/>
  <c r="H305" i="12"/>
  <c r="C306" i="12"/>
  <c r="D306" i="12"/>
  <c r="E306" i="12"/>
  <c r="G306" i="12"/>
  <c r="H306" i="12"/>
  <c r="C307" i="12"/>
  <c r="D307" i="12"/>
  <c r="E307" i="12"/>
  <c r="G307" i="12"/>
  <c r="H307" i="12"/>
  <c r="C308" i="12"/>
  <c r="D308" i="12"/>
  <c r="E308" i="12"/>
  <c r="G308" i="12"/>
  <c r="H308" i="12"/>
  <c r="C309" i="12"/>
  <c r="D309" i="12"/>
  <c r="E309" i="12"/>
  <c r="G309" i="12"/>
  <c r="H309" i="12"/>
  <c r="C310" i="12"/>
  <c r="D310" i="12"/>
  <c r="E310" i="12"/>
  <c r="G310" i="12"/>
  <c r="H310" i="12"/>
  <c r="C311" i="12"/>
  <c r="D311" i="12"/>
  <c r="E311" i="12"/>
  <c r="G311" i="12"/>
  <c r="H311" i="12"/>
  <c r="C312" i="12"/>
  <c r="D312" i="12"/>
  <c r="E312" i="12"/>
  <c r="G312" i="12"/>
  <c r="H312" i="12"/>
  <c r="C313" i="12"/>
  <c r="D313" i="12"/>
  <c r="E313" i="12"/>
  <c r="G313" i="12"/>
  <c r="H313" i="12"/>
  <c r="C314" i="12"/>
  <c r="D314" i="12"/>
  <c r="E314" i="12"/>
  <c r="G314" i="12"/>
  <c r="H314" i="12"/>
  <c r="C315" i="12"/>
  <c r="D315" i="12"/>
  <c r="E315" i="12"/>
  <c r="G315" i="12"/>
  <c r="H315" i="12"/>
  <c r="C316" i="12"/>
  <c r="D316" i="12"/>
  <c r="E316" i="12"/>
  <c r="G316" i="12"/>
  <c r="H316" i="12"/>
  <c r="C317" i="12"/>
  <c r="D317" i="12"/>
  <c r="E317" i="12"/>
  <c r="G317" i="12"/>
  <c r="H317" i="12"/>
  <c r="C318" i="12"/>
  <c r="D318" i="12"/>
  <c r="E318" i="12"/>
  <c r="G318" i="12"/>
  <c r="H318" i="12"/>
  <c r="C319" i="12"/>
  <c r="D319" i="12"/>
  <c r="E319" i="12"/>
  <c r="G319" i="12"/>
  <c r="H319" i="12"/>
  <c r="C320" i="12"/>
  <c r="D320" i="12"/>
  <c r="E320" i="12"/>
  <c r="G320" i="12"/>
  <c r="H320" i="12"/>
  <c r="C321" i="12"/>
  <c r="D321" i="12"/>
  <c r="E321" i="12"/>
  <c r="G321" i="12"/>
  <c r="H321" i="12"/>
  <c r="C322" i="12"/>
  <c r="D322" i="12"/>
  <c r="E322" i="12"/>
  <c r="G322" i="12"/>
  <c r="H322" i="12"/>
  <c r="C323" i="12"/>
  <c r="D323" i="12"/>
  <c r="E323" i="12"/>
  <c r="G323" i="12"/>
  <c r="H323" i="12"/>
  <c r="C324" i="12"/>
  <c r="D324" i="12"/>
  <c r="E324" i="12"/>
  <c r="G324" i="12"/>
  <c r="H324" i="12"/>
  <c r="C325" i="12"/>
  <c r="D325" i="12"/>
  <c r="E325" i="12"/>
  <c r="G325" i="12"/>
  <c r="H325" i="12"/>
  <c r="C326" i="12"/>
  <c r="D326" i="12"/>
  <c r="E326" i="12"/>
  <c r="G326" i="12"/>
  <c r="H326" i="12"/>
  <c r="C327" i="12"/>
  <c r="D327" i="12"/>
  <c r="E327" i="12"/>
  <c r="G327" i="12"/>
  <c r="H327" i="12"/>
  <c r="C328" i="12"/>
  <c r="D328" i="12"/>
  <c r="E328" i="12"/>
  <c r="G328" i="12"/>
  <c r="H328" i="12"/>
  <c r="C329" i="12"/>
  <c r="D329" i="12"/>
  <c r="E329" i="12"/>
  <c r="G329" i="12"/>
  <c r="H329" i="12"/>
  <c r="C330" i="12"/>
  <c r="D330" i="12"/>
  <c r="E330" i="12"/>
  <c r="G330" i="12"/>
  <c r="H330" i="12"/>
  <c r="C331" i="12"/>
  <c r="D331" i="12"/>
  <c r="E331" i="12"/>
  <c r="G331" i="12"/>
  <c r="H331" i="12"/>
  <c r="C332" i="12"/>
  <c r="D332" i="12"/>
  <c r="E332" i="12"/>
  <c r="G332" i="12"/>
  <c r="H332" i="12"/>
  <c r="C333" i="12"/>
  <c r="D333" i="12"/>
  <c r="E333" i="12"/>
  <c r="G333" i="12"/>
  <c r="H333" i="12"/>
  <c r="C334" i="12"/>
  <c r="D334" i="12"/>
  <c r="E334" i="12"/>
  <c r="G334" i="12"/>
  <c r="H334" i="12"/>
  <c r="C335" i="12"/>
  <c r="D335" i="12"/>
  <c r="E335" i="12"/>
  <c r="G335" i="12"/>
  <c r="H335" i="12"/>
  <c r="C336" i="12"/>
  <c r="D336" i="12"/>
  <c r="E336" i="12"/>
  <c r="G336" i="12"/>
  <c r="H336" i="12"/>
  <c r="C337" i="12"/>
  <c r="D337" i="12"/>
  <c r="E337" i="12"/>
  <c r="G337" i="12"/>
  <c r="H337" i="12"/>
  <c r="C338" i="12"/>
  <c r="D338" i="12"/>
  <c r="E338" i="12"/>
  <c r="G338" i="12"/>
  <c r="H338" i="12"/>
  <c r="C339" i="12"/>
  <c r="D339" i="12"/>
  <c r="E339" i="12"/>
  <c r="G339" i="12"/>
  <c r="H339" i="12"/>
  <c r="C340" i="12"/>
  <c r="D340" i="12"/>
  <c r="E340" i="12"/>
  <c r="G340" i="12"/>
  <c r="H340" i="12"/>
  <c r="C341" i="12"/>
  <c r="D341" i="12"/>
  <c r="E341" i="12"/>
  <c r="G341" i="12"/>
  <c r="H341" i="12"/>
  <c r="C342" i="12"/>
  <c r="D342" i="12"/>
  <c r="E342" i="12"/>
  <c r="G342" i="12"/>
  <c r="H342" i="12"/>
  <c r="C343" i="12"/>
  <c r="D343" i="12"/>
  <c r="E343" i="12"/>
  <c r="G343" i="12"/>
  <c r="H343" i="12"/>
  <c r="C344" i="12"/>
  <c r="D344" i="12"/>
  <c r="E344" i="12"/>
  <c r="G344" i="12"/>
  <c r="H344" i="12"/>
  <c r="C345" i="12"/>
  <c r="D345" i="12"/>
  <c r="E345" i="12"/>
  <c r="G345" i="12"/>
  <c r="H345" i="12"/>
  <c r="C346" i="12"/>
  <c r="D346" i="12"/>
  <c r="E346" i="12"/>
  <c r="G346" i="12"/>
  <c r="H346" i="12"/>
  <c r="C347" i="12"/>
  <c r="D347" i="12"/>
  <c r="E347" i="12"/>
  <c r="G347" i="12"/>
  <c r="H347" i="12"/>
  <c r="C348" i="12"/>
  <c r="D348" i="12"/>
  <c r="E348" i="12"/>
  <c r="G348" i="12"/>
  <c r="H348" i="12"/>
  <c r="C349" i="12"/>
  <c r="D349" i="12"/>
  <c r="E349" i="12"/>
  <c r="G349" i="12"/>
  <c r="H349" i="12"/>
  <c r="C350" i="12"/>
  <c r="D350" i="12"/>
  <c r="E350" i="12"/>
  <c r="G350" i="12"/>
  <c r="H350" i="12"/>
  <c r="C351" i="12"/>
  <c r="D351" i="12"/>
  <c r="E351" i="12"/>
  <c r="G351" i="12"/>
  <c r="H351" i="12"/>
  <c r="C352" i="12"/>
  <c r="D352" i="12"/>
  <c r="E352" i="12"/>
  <c r="G352" i="12"/>
  <c r="H352" i="12"/>
  <c r="C353" i="12"/>
  <c r="D353" i="12"/>
  <c r="E353" i="12"/>
  <c r="G353" i="12"/>
  <c r="H353" i="12"/>
  <c r="C354" i="12"/>
  <c r="D354" i="12"/>
  <c r="E354" i="12"/>
  <c r="G354" i="12"/>
  <c r="H354" i="12"/>
  <c r="C355" i="12"/>
  <c r="D355" i="12"/>
  <c r="E355" i="12"/>
  <c r="G355" i="12"/>
  <c r="H355" i="12"/>
  <c r="C356" i="12"/>
  <c r="D356" i="12"/>
  <c r="E356" i="12"/>
  <c r="G356" i="12"/>
  <c r="H356" i="12"/>
  <c r="C357" i="12"/>
  <c r="D357" i="12"/>
  <c r="E357" i="12"/>
  <c r="G357" i="12"/>
  <c r="H357" i="12"/>
  <c r="C358" i="12"/>
  <c r="D358" i="12"/>
  <c r="E358" i="12"/>
  <c r="G358" i="12"/>
  <c r="H358" i="12"/>
  <c r="C359" i="12"/>
  <c r="D359" i="12"/>
  <c r="E359" i="12"/>
  <c r="G359" i="12"/>
  <c r="H359" i="12"/>
  <c r="C360" i="12"/>
  <c r="D360" i="12"/>
  <c r="E360" i="12"/>
  <c r="G360" i="12"/>
  <c r="H360" i="12"/>
  <c r="C361" i="12"/>
  <c r="D361" i="12"/>
  <c r="E361" i="12"/>
  <c r="G361" i="12"/>
  <c r="H361" i="12"/>
  <c r="C362" i="12"/>
  <c r="D362" i="12"/>
  <c r="E362" i="12"/>
  <c r="G362" i="12"/>
  <c r="H362" i="12"/>
  <c r="C363" i="12"/>
  <c r="D363" i="12"/>
  <c r="E363" i="12"/>
  <c r="G363" i="12"/>
  <c r="H363" i="12"/>
  <c r="C364" i="12"/>
  <c r="D364" i="12"/>
  <c r="E364" i="12"/>
  <c r="G364" i="12"/>
  <c r="H364" i="12"/>
  <c r="C365" i="12"/>
  <c r="D365" i="12"/>
  <c r="E365" i="12"/>
  <c r="G365" i="12"/>
  <c r="H365" i="12"/>
  <c r="C366" i="12"/>
  <c r="D366" i="12"/>
  <c r="E366" i="12"/>
  <c r="G366" i="12"/>
  <c r="H366" i="12"/>
  <c r="C367" i="12"/>
  <c r="D367" i="12"/>
  <c r="E367" i="12"/>
  <c r="G367" i="12"/>
  <c r="H367" i="12"/>
  <c r="C368" i="12"/>
  <c r="D368" i="12"/>
  <c r="E368" i="12"/>
  <c r="G368" i="12"/>
  <c r="H368" i="12"/>
  <c r="C369" i="12"/>
  <c r="D369" i="12"/>
  <c r="E369" i="12"/>
  <c r="G369" i="12"/>
  <c r="H369" i="12"/>
  <c r="C370" i="12"/>
  <c r="D370" i="12"/>
  <c r="E370" i="12"/>
  <c r="G370" i="12"/>
  <c r="H370" i="12"/>
  <c r="C371" i="12"/>
  <c r="D371" i="12"/>
  <c r="E371" i="12"/>
  <c r="G371" i="12"/>
  <c r="H371" i="12"/>
  <c r="C372" i="12"/>
  <c r="D372" i="12"/>
  <c r="E372" i="12"/>
  <c r="G372" i="12"/>
  <c r="H372" i="12"/>
  <c r="C373" i="12"/>
  <c r="D373" i="12"/>
  <c r="E373" i="12"/>
  <c r="G373" i="12"/>
  <c r="H373" i="12"/>
  <c r="C374" i="12"/>
  <c r="D374" i="12"/>
  <c r="E374" i="12"/>
  <c r="G374" i="12"/>
  <c r="H374" i="12"/>
  <c r="C375" i="12"/>
  <c r="D375" i="12"/>
  <c r="E375" i="12"/>
  <c r="G375" i="12"/>
  <c r="H375" i="12"/>
  <c r="C376" i="12"/>
  <c r="D376" i="12"/>
  <c r="E376" i="12"/>
  <c r="G376" i="12"/>
  <c r="H376" i="12"/>
  <c r="C377" i="12"/>
  <c r="D377" i="12"/>
  <c r="E377" i="12"/>
  <c r="G377" i="12"/>
  <c r="H377" i="12"/>
  <c r="C378" i="12"/>
  <c r="D378" i="12"/>
  <c r="E378" i="12"/>
  <c r="G378" i="12"/>
  <c r="H378" i="12"/>
  <c r="C379" i="12"/>
  <c r="D379" i="12"/>
  <c r="E379" i="12"/>
  <c r="G379" i="12"/>
  <c r="H379" i="12"/>
  <c r="C380" i="12"/>
  <c r="D380" i="12"/>
  <c r="E380" i="12"/>
  <c r="G380" i="12"/>
  <c r="H380" i="12"/>
  <c r="C381" i="12"/>
  <c r="D381" i="12"/>
  <c r="E381" i="12"/>
  <c r="G381" i="12"/>
  <c r="H381" i="12"/>
  <c r="C382" i="12"/>
  <c r="D382" i="12"/>
  <c r="E382" i="12"/>
  <c r="G382" i="12"/>
  <c r="H382" i="12"/>
  <c r="C383" i="12"/>
  <c r="D383" i="12"/>
  <c r="E383" i="12"/>
  <c r="G383" i="12"/>
  <c r="H383" i="12"/>
  <c r="C384" i="12"/>
  <c r="D384" i="12"/>
  <c r="E384" i="12"/>
  <c r="G384" i="12"/>
  <c r="H384" i="12"/>
  <c r="C385" i="12"/>
  <c r="D385" i="12"/>
  <c r="E385" i="12"/>
  <c r="G385" i="12"/>
  <c r="H385" i="12"/>
  <c r="C386" i="12"/>
  <c r="D386" i="12"/>
  <c r="E386" i="12"/>
  <c r="G386" i="12"/>
  <c r="H386" i="12"/>
  <c r="C387" i="12"/>
  <c r="D387" i="12"/>
  <c r="E387" i="12"/>
  <c r="G387" i="12"/>
  <c r="H387" i="12"/>
  <c r="C388" i="12"/>
  <c r="D388" i="12"/>
  <c r="E388" i="12"/>
  <c r="G388" i="12"/>
  <c r="H388" i="12"/>
  <c r="C389" i="12"/>
  <c r="D389" i="12"/>
  <c r="E389" i="12"/>
  <c r="G389" i="12"/>
  <c r="H389" i="12"/>
  <c r="C390" i="12"/>
  <c r="D390" i="12"/>
  <c r="E390" i="12"/>
  <c r="G390" i="12"/>
  <c r="H390" i="12"/>
  <c r="C391" i="12"/>
  <c r="D391" i="12"/>
  <c r="E391" i="12"/>
  <c r="G391" i="12"/>
  <c r="H391" i="12"/>
  <c r="C392" i="12"/>
  <c r="D392" i="12"/>
  <c r="E392" i="12"/>
  <c r="G392" i="12"/>
  <c r="H392" i="12"/>
  <c r="C393" i="12"/>
  <c r="D393" i="12"/>
  <c r="E393" i="12"/>
  <c r="G393" i="12"/>
  <c r="H393" i="12"/>
  <c r="C394" i="12"/>
  <c r="D394" i="12"/>
  <c r="E394" i="12"/>
  <c r="G394" i="12"/>
  <c r="H394" i="12"/>
  <c r="C395" i="12"/>
  <c r="D395" i="12"/>
  <c r="E395" i="12"/>
  <c r="G395" i="12"/>
  <c r="H395" i="12"/>
  <c r="C396" i="12"/>
  <c r="D396" i="12"/>
  <c r="E396" i="12"/>
  <c r="G396" i="12"/>
  <c r="H396" i="12"/>
  <c r="C397" i="12"/>
  <c r="D397" i="12"/>
  <c r="E397" i="12"/>
  <c r="G397" i="12"/>
  <c r="H397" i="12"/>
  <c r="C398" i="12"/>
  <c r="D398" i="12"/>
  <c r="E398" i="12"/>
  <c r="G398" i="12"/>
  <c r="H398" i="12"/>
  <c r="C399" i="12"/>
  <c r="D399" i="12"/>
  <c r="E399" i="12"/>
  <c r="G399" i="12"/>
  <c r="H399" i="12"/>
  <c r="C400" i="12"/>
  <c r="D400" i="12"/>
  <c r="E400" i="12"/>
  <c r="G400" i="12"/>
  <c r="H400" i="12"/>
  <c r="C401" i="12"/>
  <c r="D401" i="12"/>
  <c r="E401" i="12"/>
  <c r="G401" i="12"/>
  <c r="H401" i="12"/>
  <c r="C402" i="12"/>
  <c r="D402" i="12"/>
  <c r="E402" i="12"/>
  <c r="G402" i="12"/>
  <c r="H402" i="12"/>
  <c r="C403" i="12"/>
  <c r="D403" i="12"/>
  <c r="E403" i="12"/>
  <c r="G403" i="12"/>
  <c r="H403" i="12"/>
  <c r="C404" i="12"/>
  <c r="D404" i="12"/>
  <c r="E404" i="12"/>
  <c r="G404" i="12"/>
  <c r="H404" i="12"/>
  <c r="C405" i="12"/>
  <c r="D405" i="12"/>
  <c r="E405" i="12"/>
  <c r="G405" i="12"/>
  <c r="H405" i="12"/>
  <c r="C406" i="12"/>
  <c r="D406" i="12"/>
  <c r="E406" i="12"/>
  <c r="G406" i="12"/>
  <c r="H406" i="12"/>
  <c r="C407" i="12"/>
  <c r="D407" i="12"/>
  <c r="E407" i="12"/>
  <c r="G407" i="12"/>
  <c r="H407" i="12"/>
  <c r="C408" i="12"/>
  <c r="D408" i="12"/>
  <c r="E408" i="12"/>
  <c r="G408" i="12"/>
  <c r="H408" i="12"/>
  <c r="C409" i="12"/>
  <c r="D409" i="12"/>
  <c r="E409" i="12"/>
  <c r="G409" i="12"/>
  <c r="H409" i="12"/>
  <c r="C410" i="12"/>
  <c r="D410" i="12"/>
  <c r="E410" i="12"/>
  <c r="G410" i="12"/>
  <c r="H410" i="12"/>
  <c r="C411" i="12"/>
  <c r="D411" i="12"/>
  <c r="E411" i="12"/>
  <c r="G411" i="12"/>
  <c r="H411" i="12"/>
  <c r="C412" i="12"/>
  <c r="D412" i="12"/>
  <c r="E412" i="12"/>
  <c r="G412" i="12"/>
  <c r="H412" i="12"/>
  <c r="C413" i="12"/>
  <c r="D413" i="12"/>
  <c r="E413" i="12"/>
  <c r="G413" i="12"/>
  <c r="H413" i="12"/>
  <c r="C414" i="12"/>
  <c r="D414" i="12"/>
  <c r="E414" i="12"/>
  <c r="G414" i="12"/>
  <c r="H414" i="12"/>
  <c r="C415" i="12"/>
  <c r="D415" i="12"/>
  <c r="E415" i="12"/>
  <c r="G415" i="12"/>
  <c r="H415" i="12"/>
  <c r="C416" i="12"/>
  <c r="D416" i="12"/>
  <c r="E416" i="12"/>
  <c r="G416" i="12"/>
  <c r="H416" i="12"/>
  <c r="C417" i="12"/>
  <c r="D417" i="12"/>
  <c r="E417" i="12"/>
  <c r="G417" i="12"/>
  <c r="H417" i="12"/>
  <c r="C418" i="12"/>
  <c r="D418" i="12"/>
  <c r="E418" i="12"/>
  <c r="G418" i="12"/>
  <c r="H418" i="12"/>
  <c r="C419" i="12"/>
  <c r="D419" i="12"/>
  <c r="E419" i="12"/>
  <c r="G419" i="12"/>
  <c r="H419" i="12"/>
  <c r="C420" i="12"/>
  <c r="D420" i="12"/>
  <c r="E420" i="12"/>
  <c r="G420" i="12"/>
  <c r="H420" i="12"/>
  <c r="C421" i="12"/>
  <c r="D421" i="12"/>
  <c r="E421" i="12"/>
  <c r="G421" i="12"/>
  <c r="H421" i="12"/>
  <c r="C422" i="12"/>
  <c r="D422" i="12"/>
  <c r="E422" i="12"/>
  <c r="G422" i="12"/>
  <c r="H422" i="12"/>
  <c r="C423" i="12"/>
  <c r="D423" i="12"/>
  <c r="E423" i="12"/>
  <c r="G423" i="12"/>
  <c r="H423" i="12"/>
  <c r="C424" i="12"/>
  <c r="D424" i="12"/>
  <c r="E424" i="12"/>
  <c r="G424" i="12"/>
  <c r="H424" i="12"/>
  <c r="C425" i="12"/>
  <c r="D425" i="12"/>
  <c r="E425" i="12"/>
  <c r="G425" i="12"/>
  <c r="H425" i="12"/>
  <c r="C426" i="12"/>
  <c r="D426" i="12"/>
  <c r="E426" i="12"/>
  <c r="G426" i="12"/>
  <c r="H426" i="12"/>
  <c r="C427" i="12"/>
  <c r="D427" i="12"/>
  <c r="E427" i="12"/>
  <c r="G427" i="12"/>
  <c r="H427" i="12"/>
  <c r="C428" i="12"/>
  <c r="D428" i="12"/>
  <c r="E428" i="12"/>
  <c r="G428" i="12"/>
  <c r="H428" i="12"/>
  <c r="C429" i="12"/>
  <c r="D429" i="12"/>
  <c r="E429" i="12"/>
  <c r="G429" i="12"/>
  <c r="H429" i="12"/>
  <c r="C430" i="12"/>
  <c r="D430" i="12"/>
  <c r="E430" i="12"/>
  <c r="G430" i="12"/>
  <c r="H430" i="12"/>
  <c r="C431" i="12"/>
  <c r="D431" i="12"/>
  <c r="E431" i="12"/>
  <c r="G431" i="12"/>
  <c r="H431" i="12"/>
  <c r="C432" i="12"/>
  <c r="D432" i="12"/>
  <c r="E432" i="12"/>
  <c r="G432" i="12"/>
  <c r="H432" i="12"/>
  <c r="C433" i="12"/>
  <c r="D433" i="12"/>
  <c r="E433" i="12"/>
  <c r="G433" i="12"/>
  <c r="H433" i="12"/>
  <c r="C434" i="12"/>
  <c r="D434" i="12"/>
  <c r="E434" i="12"/>
  <c r="G434" i="12"/>
  <c r="H434" i="12"/>
  <c r="C435" i="12"/>
  <c r="D435" i="12"/>
  <c r="E435" i="12"/>
  <c r="G435" i="12"/>
  <c r="H435" i="12"/>
  <c r="C436" i="12"/>
  <c r="D436" i="12"/>
  <c r="E436" i="12"/>
  <c r="G436" i="12"/>
  <c r="H436" i="12"/>
  <c r="C437" i="12"/>
  <c r="D437" i="12"/>
  <c r="E437" i="12"/>
  <c r="G437" i="12"/>
  <c r="H437" i="12"/>
  <c r="C438" i="12"/>
  <c r="D438" i="12"/>
  <c r="E438" i="12"/>
  <c r="G438" i="12"/>
  <c r="H438" i="12"/>
  <c r="C439" i="12"/>
  <c r="D439" i="12"/>
  <c r="E439" i="12"/>
  <c r="G439" i="12"/>
  <c r="H439" i="12"/>
  <c r="C440" i="12"/>
  <c r="D440" i="12"/>
  <c r="E440" i="12"/>
  <c r="G440" i="12"/>
  <c r="H440" i="12"/>
  <c r="C441" i="12"/>
  <c r="D441" i="12"/>
  <c r="E441" i="12"/>
  <c r="G441" i="12"/>
  <c r="H441" i="12"/>
  <c r="C442" i="12"/>
  <c r="D442" i="12"/>
  <c r="E442" i="12"/>
  <c r="G442" i="12"/>
  <c r="H442" i="12"/>
  <c r="C443" i="12"/>
  <c r="D443" i="12"/>
  <c r="E443" i="12"/>
  <c r="G443" i="12"/>
  <c r="H443" i="12"/>
  <c r="C444" i="12"/>
  <c r="D444" i="12"/>
  <c r="E444" i="12"/>
  <c r="G444" i="12"/>
  <c r="H444" i="12"/>
  <c r="C445" i="12"/>
  <c r="D445" i="12"/>
  <c r="E445" i="12"/>
  <c r="G445" i="12"/>
  <c r="H445" i="12"/>
  <c r="C446" i="12"/>
  <c r="D446" i="12"/>
  <c r="E446" i="12"/>
  <c r="G446" i="12"/>
  <c r="H446" i="12"/>
  <c r="C447" i="12"/>
  <c r="D447" i="12"/>
  <c r="E447" i="12"/>
  <c r="G447" i="12"/>
  <c r="H447" i="12"/>
  <c r="C448" i="12"/>
  <c r="D448" i="12"/>
  <c r="E448" i="12"/>
  <c r="G448" i="12"/>
  <c r="H448" i="12"/>
  <c r="C449" i="12"/>
  <c r="D449" i="12"/>
  <c r="E449" i="12"/>
  <c r="G449" i="12"/>
  <c r="H449" i="12"/>
  <c r="C450" i="12"/>
  <c r="D450" i="12"/>
  <c r="E450" i="12"/>
  <c r="G450" i="12"/>
  <c r="H450" i="12"/>
  <c r="C451" i="12"/>
  <c r="D451" i="12"/>
  <c r="E451" i="12"/>
  <c r="G451" i="12"/>
  <c r="H451" i="12"/>
  <c r="C452" i="12"/>
  <c r="D452" i="12"/>
  <c r="E452" i="12"/>
  <c r="G452" i="12"/>
  <c r="H452" i="12"/>
  <c r="C453" i="12"/>
  <c r="D453" i="12"/>
  <c r="E453" i="12"/>
  <c r="G453" i="12"/>
  <c r="H453" i="12"/>
  <c r="C454" i="12"/>
  <c r="D454" i="12"/>
  <c r="E454" i="12"/>
  <c r="G454" i="12"/>
  <c r="H454" i="12"/>
  <c r="C455" i="12"/>
  <c r="D455" i="12"/>
  <c r="E455" i="12"/>
  <c r="G455" i="12"/>
  <c r="H455" i="12"/>
  <c r="C456" i="12"/>
  <c r="D456" i="12"/>
  <c r="E456" i="12"/>
  <c r="G456" i="12"/>
  <c r="H456" i="12"/>
  <c r="C457" i="12"/>
  <c r="D457" i="12"/>
  <c r="E457" i="12"/>
  <c r="G457" i="12"/>
  <c r="H457" i="12"/>
  <c r="C458" i="12"/>
  <c r="D458" i="12"/>
  <c r="E458" i="12"/>
  <c r="G458" i="12"/>
  <c r="H458" i="12"/>
  <c r="C459" i="12"/>
  <c r="D459" i="12"/>
  <c r="E459" i="12"/>
  <c r="G459" i="12"/>
  <c r="H459" i="12"/>
  <c r="C460" i="12"/>
  <c r="D460" i="12"/>
  <c r="E460" i="12"/>
  <c r="G460" i="12"/>
  <c r="H460" i="12"/>
  <c r="C461" i="12"/>
  <c r="D461" i="12"/>
  <c r="E461" i="12"/>
  <c r="G461" i="12"/>
  <c r="H461" i="12"/>
  <c r="C462" i="12"/>
  <c r="D462" i="12"/>
  <c r="E462" i="12"/>
  <c r="G462" i="12"/>
  <c r="H462" i="12"/>
  <c r="C463" i="12"/>
  <c r="D463" i="12"/>
  <c r="E463" i="12"/>
  <c r="G463" i="12"/>
  <c r="H463" i="12"/>
  <c r="C464" i="12"/>
  <c r="D464" i="12"/>
  <c r="E464" i="12"/>
  <c r="G464" i="12"/>
  <c r="H464" i="12"/>
  <c r="C465" i="12"/>
  <c r="D465" i="12"/>
  <c r="E465" i="12"/>
  <c r="G465" i="12"/>
  <c r="H465" i="12"/>
  <c r="C466" i="12"/>
  <c r="D466" i="12"/>
  <c r="E466" i="12"/>
  <c r="G466" i="12"/>
  <c r="H466" i="12"/>
  <c r="C467" i="12"/>
  <c r="D467" i="12"/>
  <c r="E467" i="12"/>
  <c r="G467" i="12"/>
  <c r="H467" i="12"/>
  <c r="C468" i="12"/>
  <c r="D468" i="12"/>
  <c r="E468" i="12"/>
  <c r="G468" i="12"/>
  <c r="H468" i="12"/>
  <c r="C469" i="12"/>
  <c r="D469" i="12"/>
  <c r="E469" i="12"/>
  <c r="G469" i="12"/>
  <c r="H469" i="12"/>
  <c r="C470" i="12"/>
  <c r="D470" i="12"/>
  <c r="E470" i="12"/>
  <c r="G470" i="12"/>
  <c r="H470" i="12"/>
  <c r="C471" i="12"/>
  <c r="D471" i="12"/>
  <c r="E471" i="12"/>
  <c r="G471" i="12"/>
  <c r="H471" i="12"/>
  <c r="C472" i="12"/>
  <c r="D472" i="12"/>
  <c r="E472" i="12"/>
  <c r="G472" i="12"/>
  <c r="H472" i="12"/>
  <c r="C473" i="12"/>
  <c r="D473" i="12"/>
  <c r="E473" i="12"/>
  <c r="G473" i="12"/>
  <c r="H473" i="12"/>
  <c r="C474" i="12"/>
  <c r="D474" i="12"/>
  <c r="E474" i="12"/>
  <c r="G474" i="12"/>
  <c r="H474" i="12"/>
  <c r="C475" i="12"/>
  <c r="D475" i="12"/>
  <c r="E475" i="12"/>
  <c r="G475" i="12"/>
  <c r="H475" i="12"/>
  <c r="C476" i="12"/>
  <c r="D476" i="12"/>
  <c r="E476" i="12"/>
  <c r="G476" i="12"/>
  <c r="H476" i="12"/>
  <c r="C477" i="12"/>
  <c r="D477" i="12"/>
  <c r="E477" i="12"/>
  <c r="G477" i="12"/>
  <c r="H477" i="12"/>
  <c r="C478" i="12"/>
  <c r="D478" i="12"/>
  <c r="E478" i="12"/>
  <c r="G478" i="12"/>
  <c r="H478" i="12"/>
  <c r="C479" i="12"/>
  <c r="D479" i="12"/>
  <c r="E479" i="12"/>
  <c r="G479" i="12"/>
  <c r="H479" i="12"/>
  <c r="C480" i="12"/>
  <c r="D480" i="12"/>
  <c r="E480" i="12"/>
  <c r="G480" i="12"/>
  <c r="H480" i="12"/>
  <c r="C481" i="12"/>
  <c r="D481" i="12"/>
  <c r="E481" i="12"/>
  <c r="G481" i="12"/>
  <c r="H481" i="12"/>
  <c r="C482" i="12"/>
  <c r="D482" i="12"/>
  <c r="E482" i="12"/>
  <c r="G482" i="12"/>
  <c r="H482" i="12"/>
  <c r="C483" i="12"/>
  <c r="D483" i="12"/>
  <c r="E483" i="12"/>
  <c r="G483" i="12"/>
  <c r="H483" i="12"/>
  <c r="C484" i="12"/>
  <c r="D484" i="12"/>
  <c r="E484" i="12"/>
  <c r="G484" i="12"/>
  <c r="H484" i="12"/>
  <c r="C485" i="12"/>
  <c r="D485" i="12"/>
  <c r="E485" i="12"/>
  <c r="G485" i="12"/>
  <c r="H485" i="12"/>
  <c r="C486" i="12"/>
  <c r="D486" i="12"/>
  <c r="E486" i="12"/>
  <c r="G486" i="12"/>
  <c r="H486" i="12"/>
  <c r="C487" i="12"/>
  <c r="D487" i="12"/>
  <c r="E487" i="12"/>
  <c r="G487" i="12"/>
  <c r="H487" i="12"/>
  <c r="C488" i="12"/>
  <c r="D488" i="12"/>
  <c r="E488" i="12"/>
  <c r="G488" i="12"/>
  <c r="H488" i="12"/>
  <c r="C489" i="12"/>
  <c r="D489" i="12"/>
  <c r="E489" i="12"/>
  <c r="G489" i="12"/>
  <c r="H489" i="12"/>
  <c r="C490" i="12"/>
  <c r="D490" i="12"/>
  <c r="E490" i="12"/>
  <c r="G490" i="12"/>
  <c r="H490" i="12"/>
  <c r="C491" i="12"/>
  <c r="D491" i="12"/>
  <c r="E491" i="12"/>
  <c r="G491" i="12"/>
  <c r="H491" i="12"/>
  <c r="C492" i="12"/>
  <c r="D492" i="12"/>
  <c r="E492" i="12"/>
  <c r="G492" i="12"/>
  <c r="H492" i="12"/>
  <c r="C493" i="12"/>
  <c r="D493" i="12"/>
  <c r="E493" i="12"/>
  <c r="G493" i="12"/>
  <c r="H493" i="12"/>
  <c r="C494" i="12"/>
  <c r="D494" i="12"/>
  <c r="E494" i="12"/>
  <c r="G494" i="12"/>
  <c r="H494" i="12"/>
  <c r="C495" i="12"/>
  <c r="D495" i="12"/>
  <c r="E495" i="12"/>
  <c r="G495" i="12"/>
  <c r="H495" i="12"/>
  <c r="C496" i="12"/>
  <c r="D496" i="12"/>
  <c r="E496" i="12"/>
  <c r="G496" i="12"/>
  <c r="H496" i="12"/>
  <c r="C497" i="12"/>
  <c r="D497" i="12"/>
  <c r="E497" i="12"/>
  <c r="G497" i="12"/>
  <c r="H497" i="12"/>
  <c r="C498" i="12"/>
  <c r="D498" i="12"/>
  <c r="E498" i="12"/>
  <c r="G498" i="12"/>
  <c r="H498" i="12"/>
  <c r="H5" i="1" l="1"/>
  <c r="I5" i="1"/>
  <c r="J5" i="1"/>
  <c r="H6" i="1"/>
  <c r="I6" i="1"/>
  <c r="J6" i="1"/>
  <c r="H7" i="1"/>
  <c r="I7" i="1"/>
  <c r="J7" i="1"/>
  <c r="H8" i="1"/>
  <c r="I8" i="1"/>
  <c r="J8" i="1"/>
  <c r="J4" i="1"/>
  <c r="I4" i="1"/>
  <c r="H4" i="1"/>
  <c r="K15" i="1" l="1"/>
  <c r="B13" i="12" s="1"/>
  <c r="K16" i="1"/>
  <c r="B14" i="12" s="1"/>
  <c r="K17" i="1"/>
  <c r="B15" i="12" s="1"/>
  <c r="K18" i="1"/>
  <c r="B16" i="12" s="1"/>
  <c r="K19" i="1"/>
  <c r="B17" i="12" s="1"/>
  <c r="K20" i="1"/>
  <c r="B18" i="12" s="1"/>
  <c r="K21" i="1"/>
  <c r="B19" i="12" s="1"/>
  <c r="K22" i="1"/>
  <c r="B20" i="12" s="1"/>
  <c r="K23" i="1"/>
  <c r="B21" i="12" s="1"/>
  <c r="K24" i="1"/>
  <c r="B22" i="12" s="1"/>
  <c r="K25" i="1"/>
  <c r="B23" i="12" s="1"/>
  <c r="K26" i="1"/>
  <c r="B24" i="12" s="1"/>
  <c r="K27" i="1"/>
  <c r="B25" i="12" s="1"/>
  <c r="K28" i="1"/>
  <c r="B26" i="12" s="1"/>
  <c r="K29" i="1"/>
  <c r="B27" i="12" s="1"/>
  <c r="K30" i="1"/>
  <c r="B28" i="12" s="1"/>
  <c r="K31" i="1"/>
  <c r="B29" i="12" s="1"/>
  <c r="K32" i="1"/>
  <c r="B30" i="12" s="1"/>
  <c r="K33" i="1"/>
  <c r="B31" i="12" s="1"/>
  <c r="K34" i="1"/>
  <c r="B32" i="12" s="1"/>
  <c r="K35" i="1"/>
  <c r="B33" i="12" s="1"/>
  <c r="K36" i="1"/>
  <c r="B34" i="12" s="1"/>
  <c r="K37" i="1"/>
  <c r="B35" i="12" s="1"/>
  <c r="K38" i="1"/>
  <c r="B36" i="12" s="1"/>
  <c r="K39" i="1"/>
  <c r="B37" i="12" s="1"/>
  <c r="K40" i="1"/>
  <c r="B38" i="12" s="1"/>
  <c r="K41" i="1"/>
  <c r="B39" i="12" s="1"/>
  <c r="K42" i="1"/>
  <c r="B40" i="12" s="1"/>
  <c r="K43" i="1"/>
  <c r="B41" i="12" s="1"/>
  <c r="K44" i="1"/>
  <c r="B42" i="12" s="1"/>
  <c r="K45" i="1"/>
  <c r="B43" i="12" s="1"/>
  <c r="K46" i="1"/>
  <c r="B44" i="12" s="1"/>
  <c r="K47" i="1"/>
  <c r="B45" i="12" s="1"/>
  <c r="K48" i="1"/>
  <c r="B46" i="12" s="1"/>
  <c r="K49" i="1"/>
  <c r="B47" i="12" s="1"/>
  <c r="K50" i="1"/>
  <c r="B48" i="12" s="1"/>
  <c r="K51" i="1"/>
  <c r="B49" i="12" s="1"/>
  <c r="K52" i="1"/>
  <c r="B50" i="12" s="1"/>
  <c r="K53" i="1"/>
  <c r="B51" i="12" s="1"/>
  <c r="K54" i="1"/>
  <c r="B52" i="12" s="1"/>
  <c r="K55" i="1"/>
  <c r="B53" i="12" s="1"/>
  <c r="K56" i="1"/>
  <c r="B54" i="12" s="1"/>
  <c r="K57" i="1"/>
  <c r="B55" i="12" s="1"/>
  <c r="K58" i="1"/>
  <c r="B56" i="12" s="1"/>
  <c r="K59" i="1"/>
  <c r="B57" i="12" s="1"/>
  <c r="K60" i="1"/>
  <c r="B58" i="12" s="1"/>
  <c r="K61" i="1"/>
  <c r="B59" i="12" s="1"/>
  <c r="K62" i="1"/>
  <c r="B60" i="12" s="1"/>
  <c r="K63" i="1"/>
  <c r="B61" i="12" s="1"/>
  <c r="K64" i="1"/>
  <c r="B62" i="12" s="1"/>
  <c r="K65" i="1"/>
  <c r="B63" i="12" s="1"/>
  <c r="K66" i="1"/>
  <c r="B64" i="12" s="1"/>
  <c r="K67" i="1"/>
  <c r="B65" i="12" s="1"/>
  <c r="K68" i="1"/>
  <c r="B66" i="12" s="1"/>
  <c r="K69" i="1"/>
  <c r="B67" i="12" s="1"/>
  <c r="K70" i="1"/>
  <c r="B68" i="12" s="1"/>
  <c r="K71" i="1"/>
  <c r="B69" i="12" s="1"/>
  <c r="K72" i="1"/>
  <c r="B70" i="12" s="1"/>
  <c r="K73" i="1"/>
  <c r="B71" i="12" s="1"/>
  <c r="K74" i="1"/>
  <c r="B72" i="12" s="1"/>
  <c r="K75" i="1"/>
  <c r="B73" i="12" s="1"/>
  <c r="K76" i="1"/>
  <c r="B74" i="12" s="1"/>
  <c r="K77" i="1"/>
  <c r="B75" i="12" s="1"/>
  <c r="K78" i="1"/>
  <c r="B76" i="12" s="1"/>
  <c r="K79" i="1"/>
  <c r="B77" i="12" s="1"/>
  <c r="K80" i="1"/>
  <c r="B78" i="12" s="1"/>
  <c r="K81" i="1"/>
  <c r="B79" i="12" s="1"/>
  <c r="K82" i="1"/>
  <c r="B80" i="12" s="1"/>
  <c r="K83" i="1"/>
  <c r="B81" i="12" s="1"/>
  <c r="K84" i="1"/>
  <c r="B82" i="12" s="1"/>
  <c r="K85" i="1"/>
  <c r="B83" i="12" s="1"/>
  <c r="K86" i="1"/>
  <c r="B84" i="12" s="1"/>
  <c r="K87" i="1"/>
  <c r="B85" i="12" s="1"/>
  <c r="K88" i="1"/>
  <c r="B86" i="12" s="1"/>
  <c r="K89" i="1"/>
  <c r="B87" i="12" s="1"/>
  <c r="K90" i="1"/>
  <c r="B88" i="12" s="1"/>
  <c r="K91" i="1"/>
  <c r="B89" i="12" s="1"/>
  <c r="K92" i="1"/>
  <c r="B90" i="12" s="1"/>
  <c r="K93" i="1"/>
  <c r="B91" i="12" s="1"/>
  <c r="K94" i="1"/>
  <c r="B92" i="12" s="1"/>
  <c r="K95" i="1"/>
  <c r="B93" i="12" s="1"/>
  <c r="K96" i="1"/>
  <c r="B94" i="12" s="1"/>
  <c r="K97" i="1"/>
  <c r="B95" i="12" s="1"/>
  <c r="K98" i="1"/>
  <c r="B96" i="12" s="1"/>
  <c r="K99" i="1"/>
  <c r="B97" i="12" s="1"/>
  <c r="K100" i="1"/>
  <c r="B98" i="12" s="1"/>
  <c r="K101" i="1"/>
  <c r="B99" i="12" s="1"/>
  <c r="K102" i="1"/>
  <c r="B100" i="12" s="1"/>
  <c r="K103" i="1"/>
  <c r="B101" i="12" s="1"/>
  <c r="K104" i="1"/>
  <c r="B102" i="12" s="1"/>
  <c r="K105" i="1"/>
  <c r="B103" i="12" s="1"/>
  <c r="K106" i="1"/>
  <c r="B104" i="12" s="1"/>
  <c r="K107" i="1"/>
  <c r="B105" i="12" s="1"/>
  <c r="K108" i="1"/>
  <c r="B106" i="12" s="1"/>
  <c r="K109" i="1"/>
  <c r="B107" i="12" s="1"/>
  <c r="K110" i="1"/>
  <c r="B108" i="12" s="1"/>
  <c r="K111" i="1"/>
  <c r="B109" i="12" s="1"/>
  <c r="K112" i="1"/>
  <c r="B110" i="12" s="1"/>
  <c r="K113" i="1"/>
  <c r="B111" i="12" s="1"/>
  <c r="K114" i="1"/>
  <c r="B112" i="12" s="1"/>
  <c r="K115" i="1"/>
  <c r="B113" i="12" s="1"/>
  <c r="K116" i="1"/>
  <c r="B114" i="12" s="1"/>
  <c r="K117" i="1"/>
  <c r="B115" i="12" s="1"/>
  <c r="K118" i="1"/>
  <c r="B116" i="12" s="1"/>
  <c r="K119" i="1"/>
  <c r="B117" i="12" s="1"/>
  <c r="K120" i="1"/>
  <c r="B118" i="12" s="1"/>
  <c r="K121" i="1"/>
  <c r="B119" i="12" s="1"/>
  <c r="K122" i="1"/>
  <c r="B120" i="12" s="1"/>
  <c r="K123" i="1"/>
  <c r="B121" i="12" s="1"/>
  <c r="K124" i="1"/>
  <c r="B122" i="12" s="1"/>
  <c r="K125" i="1"/>
  <c r="B123" i="12" s="1"/>
  <c r="K126" i="1"/>
  <c r="B124" i="12" s="1"/>
  <c r="K127" i="1"/>
  <c r="B125" i="12" s="1"/>
  <c r="K128" i="1"/>
  <c r="B126" i="12" s="1"/>
  <c r="K129" i="1"/>
  <c r="B127" i="12" s="1"/>
  <c r="K130" i="1"/>
  <c r="B128" i="12" s="1"/>
  <c r="K131" i="1"/>
  <c r="B129" i="12" s="1"/>
  <c r="K132" i="1"/>
  <c r="B130" i="12" s="1"/>
  <c r="K133" i="1"/>
  <c r="B131" i="12" s="1"/>
  <c r="K134" i="1"/>
  <c r="B132" i="12" s="1"/>
  <c r="K135" i="1"/>
  <c r="B133" i="12" s="1"/>
  <c r="K136" i="1"/>
  <c r="B134" i="12" s="1"/>
  <c r="K137" i="1"/>
  <c r="B135" i="12" s="1"/>
  <c r="K138" i="1"/>
  <c r="B136" i="12" s="1"/>
  <c r="K139" i="1"/>
  <c r="B137" i="12" s="1"/>
  <c r="K140" i="1"/>
  <c r="B138" i="12" s="1"/>
  <c r="K141" i="1"/>
  <c r="B139" i="12" s="1"/>
  <c r="K142" i="1"/>
  <c r="B140" i="12" s="1"/>
  <c r="K143" i="1"/>
  <c r="B141" i="12" s="1"/>
  <c r="K144" i="1"/>
  <c r="B142" i="12" s="1"/>
  <c r="K145" i="1"/>
  <c r="B143" i="12" s="1"/>
  <c r="K146" i="1"/>
  <c r="B144" i="12" s="1"/>
  <c r="K147" i="1"/>
  <c r="B145" i="12" s="1"/>
  <c r="K148" i="1"/>
  <c r="B146" i="12" s="1"/>
  <c r="K149" i="1"/>
  <c r="B147" i="12" s="1"/>
  <c r="K150" i="1"/>
  <c r="B148" i="12" s="1"/>
  <c r="K151" i="1"/>
  <c r="B149" i="12" s="1"/>
  <c r="K152" i="1"/>
  <c r="B150" i="12" s="1"/>
  <c r="K153" i="1"/>
  <c r="B151" i="12" s="1"/>
  <c r="K154" i="1"/>
  <c r="B152" i="12" s="1"/>
  <c r="K155" i="1"/>
  <c r="B153" i="12" s="1"/>
  <c r="K156" i="1"/>
  <c r="B154" i="12" s="1"/>
  <c r="K157" i="1"/>
  <c r="B155" i="12" s="1"/>
  <c r="K158" i="1"/>
  <c r="B156" i="12" s="1"/>
  <c r="K159" i="1"/>
  <c r="B157" i="12" s="1"/>
  <c r="K160" i="1"/>
  <c r="B158" i="12" s="1"/>
  <c r="K161" i="1"/>
  <c r="B159" i="12" s="1"/>
  <c r="K162" i="1"/>
  <c r="B160" i="12" s="1"/>
  <c r="K163" i="1"/>
  <c r="B161" i="12" s="1"/>
  <c r="K164" i="1"/>
  <c r="B162" i="12" s="1"/>
  <c r="K165" i="1"/>
  <c r="B163" i="12" s="1"/>
  <c r="K166" i="1"/>
  <c r="B164" i="12" s="1"/>
  <c r="K167" i="1"/>
  <c r="B165" i="12" s="1"/>
  <c r="K168" i="1"/>
  <c r="B166" i="12" s="1"/>
  <c r="K169" i="1"/>
  <c r="B167" i="12" s="1"/>
  <c r="K170" i="1"/>
  <c r="B168" i="12" s="1"/>
  <c r="K171" i="1"/>
  <c r="B169" i="12" s="1"/>
  <c r="K172" i="1"/>
  <c r="B170" i="12" s="1"/>
  <c r="K173" i="1"/>
  <c r="B171" i="12" s="1"/>
  <c r="K174" i="1"/>
  <c r="B172" i="12" s="1"/>
  <c r="K175" i="1"/>
  <c r="B173" i="12" s="1"/>
  <c r="K176" i="1"/>
  <c r="B174" i="12" s="1"/>
  <c r="K177" i="1"/>
  <c r="B175" i="12" s="1"/>
  <c r="K178" i="1"/>
  <c r="B176" i="12" s="1"/>
  <c r="K179" i="1"/>
  <c r="B177" i="12" s="1"/>
  <c r="K180" i="1"/>
  <c r="B178" i="12" s="1"/>
  <c r="K181" i="1"/>
  <c r="B179" i="12" s="1"/>
  <c r="K182" i="1"/>
  <c r="B180" i="12" s="1"/>
  <c r="K183" i="1"/>
  <c r="B181" i="12" s="1"/>
  <c r="K184" i="1"/>
  <c r="B182" i="12" s="1"/>
  <c r="K185" i="1"/>
  <c r="B183" i="12" s="1"/>
  <c r="K186" i="1"/>
  <c r="B184" i="12" s="1"/>
  <c r="K187" i="1"/>
  <c r="B185" i="12" s="1"/>
  <c r="K188" i="1"/>
  <c r="B186" i="12" s="1"/>
  <c r="K189" i="1"/>
  <c r="B187" i="12" s="1"/>
  <c r="K190" i="1"/>
  <c r="B188" i="12" s="1"/>
  <c r="K191" i="1"/>
  <c r="B189" i="12" s="1"/>
  <c r="K192" i="1"/>
  <c r="B190" i="12" s="1"/>
  <c r="K193" i="1"/>
  <c r="B191" i="12" s="1"/>
  <c r="K194" i="1"/>
  <c r="B192" i="12" s="1"/>
  <c r="K195" i="1"/>
  <c r="B193" i="12" s="1"/>
  <c r="K196" i="1"/>
  <c r="B194" i="12" s="1"/>
  <c r="K197" i="1"/>
  <c r="B195" i="12" s="1"/>
  <c r="K198" i="1"/>
  <c r="B196" i="12" s="1"/>
  <c r="K199" i="1"/>
  <c r="B197" i="12" s="1"/>
  <c r="K200" i="1"/>
  <c r="B198" i="12" s="1"/>
  <c r="K201" i="1"/>
  <c r="B199" i="12" s="1"/>
  <c r="K202" i="1"/>
  <c r="B200" i="12" s="1"/>
  <c r="K203" i="1"/>
  <c r="B201" i="12" s="1"/>
  <c r="K204" i="1"/>
  <c r="B202" i="12" s="1"/>
  <c r="K205" i="1"/>
  <c r="B203" i="12" s="1"/>
  <c r="K206" i="1"/>
  <c r="B204" i="12" s="1"/>
  <c r="K207" i="1"/>
  <c r="B205" i="12" s="1"/>
  <c r="K208" i="1"/>
  <c r="B206" i="12" s="1"/>
  <c r="K209" i="1"/>
  <c r="B207" i="12" s="1"/>
  <c r="K210" i="1"/>
  <c r="B208" i="12" s="1"/>
  <c r="K211" i="1"/>
  <c r="B209" i="12" s="1"/>
  <c r="K212" i="1"/>
  <c r="B210" i="12" s="1"/>
  <c r="K213" i="1"/>
  <c r="B211" i="12" s="1"/>
  <c r="K214" i="1"/>
  <c r="B212" i="12" s="1"/>
  <c r="K215" i="1"/>
  <c r="B213" i="12" s="1"/>
  <c r="K216" i="1"/>
  <c r="B214" i="12" s="1"/>
  <c r="K217" i="1"/>
  <c r="B215" i="12" s="1"/>
  <c r="K218" i="1"/>
  <c r="B216" i="12" s="1"/>
  <c r="K219" i="1"/>
  <c r="B217" i="12" s="1"/>
  <c r="K220" i="1"/>
  <c r="B218" i="12" s="1"/>
  <c r="K221" i="1"/>
  <c r="B219" i="12" s="1"/>
  <c r="K222" i="1"/>
  <c r="B220" i="12" s="1"/>
  <c r="K223" i="1"/>
  <c r="B221" i="12" s="1"/>
  <c r="K224" i="1"/>
  <c r="B222" i="12" s="1"/>
  <c r="K225" i="1"/>
  <c r="B223" i="12" s="1"/>
  <c r="K226" i="1"/>
  <c r="B224" i="12" s="1"/>
  <c r="K227" i="1"/>
  <c r="B225" i="12" s="1"/>
  <c r="K228" i="1"/>
  <c r="B226" i="12" s="1"/>
  <c r="K229" i="1"/>
  <c r="B227" i="12" s="1"/>
  <c r="K230" i="1"/>
  <c r="B228" i="12" s="1"/>
  <c r="K231" i="1"/>
  <c r="B229" i="12" s="1"/>
  <c r="K232" i="1"/>
  <c r="B230" i="12" s="1"/>
  <c r="K233" i="1"/>
  <c r="B231" i="12" s="1"/>
  <c r="K234" i="1"/>
  <c r="B232" i="12" s="1"/>
  <c r="K235" i="1"/>
  <c r="B233" i="12" s="1"/>
  <c r="K236" i="1"/>
  <c r="B234" i="12" s="1"/>
  <c r="K237" i="1"/>
  <c r="B235" i="12" s="1"/>
  <c r="K238" i="1"/>
  <c r="B236" i="12" s="1"/>
  <c r="K239" i="1"/>
  <c r="B237" i="12" s="1"/>
  <c r="K240" i="1"/>
  <c r="B238" i="12" s="1"/>
  <c r="K241" i="1"/>
  <c r="B239" i="12" s="1"/>
  <c r="K242" i="1"/>
  <c r="B240" i="12" s="1"/>
  <c r="K243" i="1"/>
  <c r="B241" i="12" s="1"/>
  <c r="K244" i="1"/>
  <c r="B242" i="12" s="1"/>
  <c r="K245" i="1"/>
  <c r="B243" i="12" s="1"/>
  <c r="K246" i="1"/>
  <c r="B244" i="12" s="1"/>
  <c r="K247" i="1"/>
  <c r="B245" i="12" s="1"/>
  <c r="K248" i="1"/>
  <c r="B246" i="12" s="1"/>
  <c r="K249" i="1"/>
  <c r="B247" i="12" s="1"/>
  <c r="K250" i="1"/>
  <c r="B248" i="12" s="1"/>
  <c r="K251" i="1"/>
  <c r="B249" i="12" s="1"/>
  <c r="K252" i="1"/>
  <c r="B250" i="12" s="1"/>
  <c r="K253" i="1"/>
  <c r="B251" i="12" s="1"/>
  <c r="K254" i="1"/>
  <c r="B252" i="12" s="1"/>
  <c r="K255" i="1"/>
  <c r="B253" i="12" s="1"/>
  <c r="K256" i="1"/>
  <c r="B254" i="12" s="1"/>
  <c r="K257" i="1"/>
  <c r="B255" i="12" s="1"/>
  <c r="K258" i="1"/>
  <c r="B256" i="12" s="1"/>
  <c r="K259" i="1"/>
  <c r="B257" i="12" s="1"/>
  <c r="K260" i="1"/>
  <c r="B258" i="12" s="1"/>
  <c r="K261" i="1"/>
  <c r="B259" i="12" s="1"/>
  <c r="K262" i="1"/>
  <c r="B260" i="12" s="1"/>
  <c r="K263" i="1"/>
  <c r="B261" i="12" s="1"/>
  <c r="K264" i="1"/>
  <c r="B262" i="12" s="1"/>
  <c r="K265" i="1"/>
  <c r="B263" i="12" s="1"/>
  <c r="K266" i="1"/>
  <c r="B264" i="12" s="1"/>
  <c r="K267" i="1"/>
  <c r="B265" i="12" s="1"/>
  <c r="K268" i="1"/>
  <c r="B266" i="12" s="1"/>
  <c r="K269" i="1"/>
  <c r="B267" i="12" s="1"/>
  <c r="K270" i="1"/>
  <c r="B268" i="12" s="1"/>
  <c r="K271" i="1"/>
  <c r="B269" i="12" s="1"/>
  <c r="K272" i="1"/>
  <c r="B270" i="12" s="1"/>
  <c r="K273" i="1"/>
  <c r="B271" i="12" s="1"/>
  <c r="K274" i="1"/>
  <c r="B272" i="12" s="1"/>
  <c r="K275" i="1"/>
  <c r="B273" i="12" s="1"/>
  <c r="K276" i="1"/>
  <c r="B274" i="12" s="1"/>
  <c r="K277" i="1"/>
  <c r="B275" i="12" s="1"/>
  <c r="K278" i="1"/>
  <c r="B276" i="12" s="1"/>
  <c r="K279" i="1"/>
  <c r="B277" i="12" s="1"/>
  <c r="K280" i="1"/>
  <c r="B278" i="12" s="1"/>
  <c r="K281" i="1"/>
  <c r="B279" i="12" s="1"/>
  <c r="K282" i="1"/>
  <c r="B280" i="12" s="1"/>
  <c r="K283" i="1"/>
  <c r="B281" i="12" s="1"/>
  <c r="K284" i="1"/>
  <c r="B282" i="12" s="1"/>
  <c r="K285" i="1"/>
  <c r="B283" i="12" s="1"/>
  <c r="K286" i="1"/>
  <c r="B284" i="12" s="1"/>
  <c r="K287" i="1"/>
  <c r="B285" i="12" s="1"/>
  <c r="K288" i="1"/>
  <c r="B286" i="12" s="1"/>
  <c r="K289" i="1"/>
  <c r="B287" i="12" s="1"/>
  <c r="K290" i="1"/>
  <c r="B288" i="12" s="1"/>
  <c r="K291" i="1"/>
  <c r="B289" i="12" s="1"/>
  <c r="K292" i="1"/>
  <c r="B290" i="12" s="1"/>
  <c r="K293" i="1"/>
  <c r="B291" i="12" s="1"/>
  <c r="K294" i="1"/>
  <c r="B292" i="12" s="1"/>
  <c r="K295" i="1"/>
  <c r="B293" i="12" s="1"/>
  <c r="K296" i="1"/>
  <c r="B294" i="12" s="1"/>
  <c r="K297" i="1"/>
  <c r="B295" i="12" s="1"/>
  <c r="K298" i="1"/>
  <c r="B296" i="12" s="1"/>
  <c r="K299" i="1"/>
  <c r="B297" i="12" s="1"/>
  <c r="K300" i="1"/>
  <c r="B298" i="12" s="1"/>
  <c r="K301" i="1"/>
  <c r="B299" i="12" s="1"/>
  <c r="K302" i="1"/>
  <c r="B300" i="12" s="1"/>
  <c r="K303" i="1"/>
  <c r="B301" i="12" s="1"/>
  <c r="K304" i="1"/>
  <c r="B302" i="12" s="1"/>
  <c r="K305" i="1"/>
  <c r="B303" i="12" s="1"/>
  <c r="K306" i="1"/>
  <c r="B304" i="12" s="1"/>
  <c r="K307" i="1"/>
  <c r="B305" i="12" s="1"/>
  <c r="K308" i="1"/>
  <c r="B306" i="12" s="1"/>
  <c r="K309" i="1"/>
  <c r="B307" i="12" s="1"/>
  <c r="K310" i="1"/>
  <c r="B308" i="12" s="1"/>
  <c r="K311" i="1"/>
  <c r="B309" i="12" s="1"/>
  <c r="K312" i="1"/>
  <c r="B310" i="12" s="1"/>
  <c r="K313" i="1"/>
  <c r="B311" i="12" s="1"/>
  <c r="K314" i="1"/>
  <c r="B312" i="12" s="1"/>
  <c r="K315" i="1"/>
  <c r="B313" i="12" s="1"/>
  <c r="K316" i="1"/>
  <c r="B314" i="12" s="1"/>
  <c r="K317" i="1"/>
  <c r="B315" i="12" s="1"/>
  <c r="K318" i="1"/>
  <c r="B316" i="12" s="1"/>
  <c r="K319" i="1"/>
  <c r="B317" i="12" s="1"/>
  <c r="K320" i="1"/>
  <c r="B318" i="12" s="1"/>
  <c r="K321" i="1"/>
  <c r="B319" i="12" s="1"/>
  <c r="K322" i="1"/>
  <c r="B320" i="12" s="1"/>
  <c r="K323" i="1"/>
  <c r="B321" i="12" s="1"/>
  <c r="K324" i="1"/>
  <c r="B322" i="12" s="1"/>
  <c r="K325" i="1"/>
  <c r="B323" i="12" s="1"/>
  <c r="K326" i="1"/>
  <c r="B324" i="12" s="1"/>
  <c r="K327" i="1"/>
  <c r="B325" i="12" s="1"/>
  <c r="K328" i="1"/>
  <c r="B326" i="12" s="1"/>
  <c r="K329" i="1"/>
  <c r="B327" i="12" s="1"/>
  <c r="K330" i="1"/>
  <c r="B328" i="12" s="1"/>
  <c r="K331" i="1"/>
  <c r="B329" i="12" s="1"/>
  <c r="K332" i="1"/>
  <c r="B330" i="12" s="1"/>
  <c r="K333" i="1"/>
  <c r="B331" i="12" s="1"/>
  <c r="K334" i="1"/>
  <c r="B332" i="12" s="1"/>
  <c r="K335" i="1"/>
  <c r="B333" i="12" s="1"/>
  <c r="K336" i="1"/>
  <c r="B334" i="12" s="1"/>
  <c r="K337" i="1"/>
  <c r="B335" i="12" s="1"/>
  <c r="K338" i="1"/>
  <c r="B336" i="12" s="1"/>
  <c r="K339" i="1"/>
  <c r="B337" i="12" s="1"/>
  <c r="K340" i="1"/>
  <c r="B338" i="12" s="1"/>
  <c r="K341" i="1"/>
  <c r="B339" i="12" s="1"/>
  <c r="K342" i="1"/>
  <c r="B340" i="12" s="1"/>
  <c r="K343" i="1"/>
  <c r="B341" i="12" s="1"/>
  <c r="K344" i="1"/>
  <c r="B342" i="12" s="1"/>
  <c r="K345" i="1"/>
  <c r="B343" i="12" s="1"/>
  <c r="K346" i="1"/>
  <c r="B344" i="12" s="1"/>
  <c r="K347" i="1"/>
  <c r="B345" i="12" s="1"/>
  <c r="K348" i="1"/>
  <c r="B346" i="12" s="1"/>
  <c r="K349" i="1"/>
  <c r="B347" i="12" s="1"/>
  <c r="K350" i="1"/>
  <c r="B348" i="12" s="1"/>
  <c r="K351" i="1"/>
  <c r="B349" i="12" s="1"/>
  <c r="K352" i="1"/>
  <c r="B350" i="12" s="1"/>
  <c r="K353" i="1"/>
  <c r="B351" i="12" s="1"/>
  <c r="K354" i="1"/>
  <c r="B352" i="12" s="1"/>
  <c r="K355" i="1"/>
  <c r="B353" i="12" s="1"/>
  <c r="K356" i="1"/>
  <c r="B354" i="12" s="1"/>
  <c r="K357" i="1"/>
  <c r="B355" i="12" s="1"/>
  <c r="K358" i="1"/>
  <c r="B356" i="12" s="1"/>
  <c r="K359" i="1"/>
  <c r="B357" i="12" s="1"/>
  <c r="K360" i="1"/>
  <c r="B358" i="12" s="1"/>
  <c r="K361" i="1"/>
  <c r="B359" i="12" s="1"/>
  <c r="K362" i="1"/>
  <c r="B360" i="12" s="1"/>
  <c r="K363" i="1"/>
  <c r="B361" i="12" s="1"/>
  <c r="K364" i="1"/>
  <c r="B362" i="12" s="1"/>
  <c r="K365" i="1"/>
  <c r="B363" i="12" s="1"/>
  <c r="K366" i="1"/>
  <c r="B364" i="12" s="1"/>
  <c r="K367" i="1"/>
  <c r="B365" i="12" s="1"/>
  <c r="K368" i="1"/>
  <c r="B366" i="12" s="1"/>
  <c r="K369" i="1"/>
  <c r="B367" i="12" s="1"/>
  <c r="K370" i="1"/>
  <c r="B368" i="12" s="1"/>
  <c r="K371" i="1"/>
  <c r="B369" i="12" s="1"/>
  <c r="K372" i="1"/>
  <c r="B370" i="12" s="1"/>
  <c r="K373" i="1"/>
  <c r="B371" i="12" s="1"/>
  <c r="K374" i="1"/>
  <c r="B372" i="12" s="1"/>
  <c r="K375" i="1"/>
  <c r="B373" i="12" s="1"/>
  <c r="K376" i="1"/>
  <c r="B374" i="12" s="1"/>
  <c r="K377" i="1"/>
  <c r="B375" i="12" s="1"/>
  <c r="K378" i="1"/>
  <c r="B376" i="12" s="1"/>
  <c r="K379" i="1"/>
  <c r="B377" i="12" s="1"/>
  <c r="K380" i="1"/>
  <c r="B378" i="12" s="1"/>
  <c r="K381" i="1"/>
  <c r="B379" i="12" s="1"/>
  <c r="K382" i="1"/>
  <c r="B380" i="12" s="1"/>
  <c r="K383" i="1"/>
  <c r="B381" i="12" s="1"/>
  <c r="K384" i="1"/>
  <c r="B382" i="12" s="1"/>
  <c r="K385" i="1"/>
  <c r="B383" i="12" s="1"/>
  <c r="K386" i="1"/>
  <c r="B384" i="12" s="1"/>
  <c r="K387" i="1"/>
  <c r="B385" i="12" s="1"/>
  <c r="K388" i="1"/>
  <c r="B386" i="12" s="1"/>
  <c r="K389" i="1"/>
  <c r="B387" i="12" s="1"/>
  <c r="K390" i="1"/>
  <c r="B388" i="12" s="1"/>
  <c r="K391" i="1"/>
  <c r="B389" i="12" s="1"/>
  <c r="K392" i="1"/>
  <c r="B390" i="12" s="1"/>
  <c r="K393" i="1"/>
  <c r="B391" i="12" s="1"/>
  <c r="K394" i="1"/>
  <c r="B392" i="12" s="1"/>
  <c r="K395" i="1"/>
  <c r="B393" i="12" s="1"/>
  <c r="K396" i="1"/>
  <c r="B394" i="12" s="1"/>
  <c r="K397" i="1"/>
  <c r="B395" i="12" s="1"/>
  <c r="K398" i="1"/>
  <c r="B396" i="12" s="1"/>
  <c r="K399" i="1"/>
  <c r="B397" i="12" s="1"/>
  <c r="K400" i="1"/>
  <c r="B398" i="12" s="1"/>
  <c r="K401" i="1"/>
  <c r="B399" i="12" s="1"/>
  <c r="K402" i="1"/>
  <c r="B400" i="12" s="1"/>
  <c r="K403" i="1"/>
  <c r="B401" i="12" s="1"/>
  <c r="K404" i="1"/>
  <c r="B402" i="12" s="1"/>
  <c r="K405" i="1"/>
  <c r="B403" i="12" s="1"/>
  <c r="K406" i="1"/>
  <c r="B404" i="12" s="1"/>
  <c r="K407" i="1"/>
  <c r="B405" i="12" s="1"/>
  <c r="K408" i="1"/>
  <c r="B406" i="12" s="1"/>
  <c r="K409" i="1"/>
  <c r="B407" i="12" s="1"/>
  <c r="K410" i="1"/>
  <c r="B408" i="12" s="1"/>
  <c r="K411" i="1"/>
  <c r="B409" i="12" s="1"/>
  <c r="K412" i="1"/>
  <c r="B410" i="12" s="1"/>
  <c r="K413" i="1"/>
  <c r="B411" i="12" s="1"/>
  <c r="K414" i="1"/>
  <c r="B412" i="12" s="1"/>
  <c r="K415" i="1"/>
  <c r="B413" i="12" s="1"/>
  <c r="K416" i="1"/>
  <c r="B414" i="12" s="1"/>
  <c r="K417" i="1"/>
  <c r="B415" i="12" s="1"/>
  <c r="K418" i="1"/>
  <c r="B416" i="12" s="1"/>
  <c r="K419" i="1"/>
  <c r="B417" i="12" s="1"/>
  <c r="K420" i="1"/>
  <c r="B418" i="12" s="1"/>
  <c r="K421" i="1"/>
  <c r="B419" i="12" s="1"/>
  <c r="K422" i="1"/>
  <c r="B420" i="12" s="1"/>
  <c r="K423" i="1"/>
  <c r="B421" i="12" s="1"/>
  <c r="K424" i="1"/>
  <c r="B422" i="12" s="1"/>
  <c r="K425" i="1"/>
  <c r="B423" i="12" s="1"/>
  <c r="K426" i="1"/>
  <c r="B424" i="12" s="1"/>
  <c r="K427" i="1"/>
  <c r="B425" i="12" s="1"/>
  <c r="K428" i="1"/>
  <c r="B426" i="12" s="1"/>
  <c r="K429" i="1"/>
  <c r="B427" i="12" s="1"/>
  <c r="K430" i="1"/>
  <c r="B428" i="12" s="1"/>
  <c r="K431" i="1"/>
  <c r="B429" i="12" s="1"/>
  <c r="K432" i="1"/>
  <c r="B430" i="12" s="1"/>
  <c r="K433" i="1"/>
  <c r="B431" i="12" s="1"/>
  <c r="K434" i="1"/>
  <c r="B432" i="12" s="1"/>
  <c r="K435" i="1"/>
  <c r="B433" i="12" s="1"/>
  <c r="K436" i="1"/>
  <c r="B434" i="12" s="1"/>
  <c r="K437" i="1"/>
  <c r="B435" i="12" s="1"/>
  <c r="K438" i="1"/>
  <c r="B436" i="12" s="1"/>
  <c r="K439" i="1"/>
  <c r="B437" i="12" s="1"/>
  <c r="K440" i="1"/>
  <c r="B438" i="12" s="1"/>
  <c r="K441" i="1"/>
  <c r="B439" i="12" s="1"/>
  <c r="K442" i="1"/>
  <c r="B440" i="12" s="1"/>
  <c r="K443" i="1"/>
  <c r="B441" i="12" s="1"/>
  <c r="K444" i="1"/>
  <c r="B442" i="12" s="1"/>
  <c r="K445" i="1"/>
  <c r="B443" i="12" s="1"/>
  <c r="K446" i="1"/>
  <c r="B444" i="12" s="1"/>
  <c r="K447" i="1"/>
  <c r="B445" i="12" s="1"/>
  <c r="K448" i="1"/>
  <c r="B446" i="12" s="1"/>
  <c r="K449" i="1"/>
  <c r="B447" i="12" s="1"/>
  <c r="K450" i="1"/>
  <c r="B448" i="12" s="1"/>
  <c r="K451" i="1"/>
  <c r="B449" i="12" s="1"/>
  <c r="K452" i="1"/>
  <c r="B450" i="12" s="1"/>
  <c r="K453" i="1"/>
  <c r="B451" i="12" s="1"/>
  <c r="K454" i="1"/>
  <c r="B452" i="12" s="1"/>
  <c r="K455" i="1"/>
  <c r="B453" i="12" s="1"/>
  <c r="K456" i="1"/>
  <c r="B454" i="12" s="1"/>
  <c r="K457" i="1"/>
  <c r="B455" i="12" s="1"/>
  <c r="K458" i="1"/>
  <c r="B456" i="12" s="1"/>
  <c r="K459" i="1"/>
  <c r="B457" i="12" s="1"/>
  <c r="K460" i="1"/>
  <c r="B458" i="12" s="1"/>
  <c r="K461" i="1"/>
  <c r="B459" i="12" s="1"/>
  <c r="K462" i="1"/>
  <c r="B460" i="12" s="1"/>
  <c r="K463" i="1"/>
  <c r="B461" i="12" s="1"/>
  <c r="K464" i="1"/>
  <c r="B462" i="12" s="1"/>
  <c r="K465" i="1"/>
  <c r="B463" i="12" s="1"/>
  <c r="K466" i="1"/>
  <c r="B464" i="12" s="1"/>
  <c r="K467" i="1"/>
  <c r="B465" i="12" s="1"/>
  <c r="K468" i="1"/>
  <c r="B466" i="12" s="1"/>
  <c r="K469" i="1"/>
  <c r="B467" i="12" s="1"/>
  <c r="K470" i="1"/>
  <c r="B468" i="12" s="1"/>
  <c r="K471" i="1"/>
  <c r="B469" i="12" s="1"/>
  <c r="K472" i="1"/>
  <c r="B470" i="12" s="1"/>
  <c r="K473" i="1"/>
  <c r="B471" i="12" s="1"/>
  <c r="K474" i="1"/>
  <c r="B472" i="12" s="1"/>
  <c r="K475" i="1"/>
  <c r="B473" i="12" s="1"/>
  <c r="K476" i="1"/>
  <c r="B474" i="12" s="1"/>
  <c r="K477" i="1"/>
  <c r="B475" i="12" s="1"/>
  <c r="K478" i="1"/>
  <c r="B476" i="12" s="1"/>
  <c r="K479" i="1"/>
  <c r="B477" i="12" s="1"/>
  <c r="K480" i="1"/>
  <c r="B478" i="12" s="1"/>
  <c r="K481" i="1"/>
  <c r="B479" i="12" s="1"/>
  <c r="K482" i="1"/>
  <c r="B480" i="12" s="1"/>
  <c r="K483" i="1"/>
  <c r="B481" i="12" s="1"/>
  <c r="K484" i="1"/>
  <c r="B482" i="12" s="1"/>
  <c r="K485" i="1"/>
  <c r="B483" i="12" s="1"/>
  <c r="K486" i="1"/>
  <c r="B484" i="12" s="1"/>
  <c r="K487" i="1"/>
  <c r="B485" i="12" s="1"/>
  <c r="K488" i="1"/>
  <c r="B486" i="12" s="1"/>
  <c r="K489" i="1"/>
  <c r="B487" i="12" s="1"/>
  <c r="K490" i="1"/>
  <c r="B488" i="12" s="1"/>
  <c r="K491" i="1"/>
  <c r="B489" i="12" s="1"/>
  <c r="K492" i="1"/>
  <c r="B490" i="12" s="1"/>
  <c r="K493" i="1"/>
  <c r="B491" i="12" s="1"/>
  <c r="K494" i="1"/>
  <c r="B492" i="12" s="1"/>
  <c r="K495" i="1"/>
  <c r="B493" i="12" s="1"/>
  <c r="K496" i="1"/>
  <c r="B494" i="12" s="1"/>
  <c r="K497" i="1"/>
  <c r="B495" i="12" s="1"/>
  <c r="K498" i="1"/>
  <c r="B496" i="12" s="1"/>
  <c r="K499" i="1"/>
  <c r="B497" i="12" s="1"/>
  <c r="K500" i="1"/>
  <c r="B498" i="12" s="1"/>
  <c r="K5" i="1"/>
  <c r="B3" i="12" s="1"/>
  <c r="K6" i="1"/>
  <c r="B4" i="12" s="1"/>
  <c r="K7" i="1"/>
  <c r="B5" i="12" s="1"/>
  <c r="K8" i="1"/>
  <c r="B6" i="12" s="1"/>
  <c r="K9" i="1"/>
  <c r="B7" i="12" s="1"/>
  <c r="K10" i="1"/>
  <c r="B8" i="12" s="1"/>
  <c r="K11" i="1"/>
  <c r="B9" i="12" s="1"/>
  <c r="K12" i="1"/>
  <c r="B10" i="12" s="1"/>
  <c r="K13" i="1"/>
  <c r="B11" i="12" s="1"/>
  <c r="K14" i="1"/>
  <c r="B12" i="12" s="1"/>
  <c r="K4" i="1"/>
  <c r="B2" i="12" s="1"/>
  <c r="B1" i="12" l="1"/>
  <c r="C1" i="12"/>
  <c r="D1" i="12"/>
  <c r="E1" i="12"/>
  <c r="G1" i="12"/>
  <c r="H1" i="12"/>
  <c r="A1" i="12" l="1"/>
  <c r="B12" i="4" l="1"/>
  <c r="B14" i="4"/>
  <c r="D12" i="4" l="1"/>
  <c r="O7" i="4" s="1"/>
  <c r="B20" i="4"/>
  <c r="D14" i="4"/>
  <c r="O9" i="4" s="1"/>
  <c r="D20" i="4"/>
  <c r="B13" i="4"/>
  <c r="D13" i="4" l="1"/>
  <c r="C20" i="4"/>
  <c r="L9" i="4"/>
  <c r="L7" i="4"/>
  <c r="G22" i="4" l="1"/>
  <c r="L8" i="4"/>
  <c r="O11" i="4"/>
  <c r="O12" i="4" s="1"/>
  <c r="L11" i="4"/>
  <c r="L12" i="4" s="1"/>
  <c r="O8" i="4"/>
  <c r="L14" i="4" l="1"/>
  <c r="O13" i="4"/>
  <c r="O14" i="4"/>
  <c r="G21" i="4" l="1"/>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000-000008000000}">
      <text>
        <r>
          <rPr>
            <b/>
            <sz val="8"/>
            <color indexed="81"/>
            <rFont val="Tahoma"/>
            <family val="2"/>
          </rPr>
          <t xml:space="preserve">Thomas, John:  </t>
        </r>
        <r>
          <rPr>
            <sz val="8"/>
            <color indexed="81"/>
            <rFont val="Tahoma"/>
            <family val="2"/>
          </rPr>
          <t xml:space="preserve">
For ME and QE to share information</t>
        </r>
      </text>
    </comment>
    <comment ref="C2" authorId="0" shapeId="0" xr:uid="{C495A974-CA37-4CB7-B8D7-BDB9817BA37E}">
      <text>
        <r>
          <rPr>
            <b/>
            <sz val="8"/>
            <color indexed="81"/>
            <rFont val="Tahoma"/>
            <family val="2"/>
          </rPr>
          <t>Thomas, John:</t>
        </r>
        <r>
          <rPr>
            <sz val="8"/>
            <color indexed="81"/>
            <rFont val="Tahoma"/>
            <family val="2"/>
          </rPr>
          <t xml:space="preserve">
When the map is done, sort this column A to Z and resequece column A.</t>
        </r>
      </text>
    </comment>
    <comment ref="L2" authorId="0" shapeId="0" xr:uid="{00000000-0006-0000-0000-000001000000}">
      <text>
        <r>
          <rPr>
            <b/>
            <sz val="8"/>
            <color indexed="81"/>
            <rFont val="Tahoma"/>
            <family val="2"/>
          </rPr>
          <t>Thomas, John:</t>
        </r>
        <r>
          <rPr>
            <sz val="8"/>
            <color indexed="81"/>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000-000002000000}">
      <text>
        <r>
          <rPr>
            <b/>
            <sz val="8"/>
            <color indexed="81"/>
            <rFont val="Tahoma"/>
            <family val="2"/>
          </rPr>
          <t>Thomas, John:</t>
        </r>
        <r>
          <rPr>
            <sz val="8"/>
            <color indexed="81"/>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000-000003000000}">
      <text>
        <r>
          <rPr>
            <b/>
            <sz val="8"/>
            <color indexed="81"/>
            <rFont val="Tahoma"/>
            <family val="2"/>
          </rPr>
          <t>Thomas, John:</t>
        </r>
        <r>
          <rPr>
            <sz val="8"/>
            <color indexed="81"/>
            <rFont val="Tahoma"/>
            <family val="2"/>
          </rPr>
          <t xml:space="preserve">
Select NA if check ONLY at Final. </t>
        </r>
      </text>
    </comment>
    <comment ref="P2" authorId="0" shapeId="0" xr:uid="{00000000-0006-0000-0000-000004000000}">
      <text>
        <r>
          <rPr>
            <b/>
            <sz val="8"/>
            <color indexed="81"/>
            <rFont val="Tahoma"/>
            <family val="2"/>
          </rPr>
          <t>Thomas, John:  If the gauge also has a set gauge attach the following image "SET FULL GAUGES.GIF" If the pins use both  SET and FULL attach the following image "SET FULL PINS.GIF"</t>
        </r>
        <r>
          <rPr>
            <sz val="8"/>
            <color indexed="81"/>
            <rFont val="Tahoma"/>
            <family val="2"/>
          </rPr>
          <t xml:space="preserve">
This column serves as a list to issue all gauges except thread plugs and rings. Select Cell for More Instructions. If you use Same As, Do not use Brackets ()</t>
        </r>
      </text>
    </comment>
    <comment ref="Q2" authorId="0" shapeId="0" xr:uid="{00000000-0006-0000-0000-000005000000}">
      <text>
        <r>
          <rPr>
            <b/>
            <sz val="8"/>
            <color indexed="81"/>
            <rFont val="Tahoma"/>
            <family val="2"/>
          </rPr>
          <t>Thomas, John:</t>
        </r>
        <r>
          <rPr>
            <sz val="8"/>
            <color indexed="81"/>
            <rFont val="Tahoma"/>
            <family val="2"/>
          </rPr>
          <t xml:space="preserve">
--You must know the prefered machine type program number before filling out this column. Select cell for more information
</t>
        </r>
      </text>
    </comment>
    <comment ref="U2" authorId="0" shapeId="0" xr:uid="{00000000-0006-0000-0000-000006000000}">
      <text>
        <r>
          <rPr>
            <b/>
            <sz val="8"/>
            <color indexed="81"/>
            <rFont val="Tahoma"/>
            <family val="2"/>
          </rPr>
          <t>Thomas, John:</t>
        </r>
        <r>
          <rPr>
            <sz val="8"/>
            <color indexed="81"/>
            <rFont val="Tahoma"/>
            <family val="2"/>
          </rPr>
          <t xml:space="preserve">
--Identify Primary Control Head
Select cell for more information</t>
        </r>
      </text>
    </comment>
    <comment ref="V2" authorId="0" shapeId="0" xr:uid="{00000000-0006-0000-0000-000007000000}">
      <text>
        <r>
          <rPr>
            <b/>
            <sz val="8"/>
            <color indexed="81"/>
            <rFont val="Tahoma"/>
            <family val="2"/>
          </rPr>
          <t>Thomas, John: Refer to the SET FULL images for Gauges and Pins when required. See Column P instructions</t>
        </r>
        <r>
          <rPr>
            <sz val="8"/>
            <color indexed="81"/>
            <rFont val="Tahoma"/>
            <family val="2"/>
          </rPr>
          <t xml:space="preserve">
Name the gif the same as the Part number_REV_Balloon Number. Select cell for more information.</t>
        </r>
      </text>
    </comment>
    <comment ref="Y2" authorId="0" shapeId="0" xr:uid="{235D7D98-9B88-4129-A2AF-04517B7889E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Z2" authorId="0" shapeId="0" xr:uid="{00000000-0006-0000-0000-000009000000}">
      <text>
        <r>
          <rPr>
            <b/>
            <sz val="8"/>
            <color indexed="81"/>
            <rFont val="Tahoma"/>
            <family val="2"/>
          </rPr>
          <t>Thomas, John:</t>
        </r>
        <r>
          <rPr>
            <sz val="8"/>
            <color indexed="81"/>
            <rFont val="Tahoma"/>
            <family val="2"/>
          </rPr>
          <t xml:space="preserve">
Use for AQL FREQ. ONLY
Don't use if inspection is 1 X SHIFT</t>
        </r>
      </text>
    </comment>
    <comment ref="AA2" authorId="0" shapeId="0" xr:uid="{00000000-0006-0000-0000-00000A000000}">
      <text>
        <r>
          <rPr>
            <b/>
            <sz val="8"/>
            <color indexed="81"/>
            <rFont val="Tahoma"/>
            <family val="2"/>
          </rPr>
          <t>Thomas, John:</t>
        </r>
        <r>
          <rPr>
            <sz val="8"/>
            <color indexed="81"/>
            <rFont val="Tahoma"/>
            <family val="2"/>
          </rPr>
          <t xml:space="preserve">
Use for AQL FREQ. ONLY
Don't use if inspection is 1 X SHIFT</t>
        </r>
      </text>
    </comment>
    <comment ref="AB2" authorId="0" shapeId="0" xr:uid="{00000000-0006-0000-0000-00000C000000}">
      <text>
        <r>
          <rPr>
            <b/>
            <sz val="8"/>
            <color indexed="81"/>
            <rFont val="Tahoma"/>
            <family val="2"/>
          </rPr>
          <t>Thomas, John:</t>
        </r>
        <r>
          <rPr>
            <sz val="8"/>
            <color indexed="81"/>
            <rFont val="Tahoma"/>
            <family val="2"/>
          </rPr>
          <t xml:space="preserve">
Use for AQL FREQ. ONLY
Don't use if inspection is 1 X SHIFT</t>
        </r>
      </text>
    </comment>
    <comment ref="AC2" authorId="0" shapeId="0" xr:uid="{00000000-0006-0000-0000-00000D000000}">
      <text>
        <r>
          <rPr>
            <b/>
            <sz val="8"/>
            <color indexed="81"/>
            <rFont val="Tahoma"/>
            <family val="2"/>
          </rPr>
          <t>Thomas, John:</t>
        </r>
        <r>
          <rPr>
            <sz val="8"/>
            <color indexed="81"/>
            <rFont val="Tahoma"/>
            <family val="2"/>
          </rPr>
          <t xml:space="preserve">
Use for AQL FREQ. ONLY
Don't use if inspection is 1 X SHIFT</t>
        </r>
      </text>
    </comment>
    <comment ref="AF2" authorId="0" shapeId="0" xr:uid="{00000000-0006-0000-0000-00000E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X2" authorId="0" shapeId="0" xr:uid="{5B9FC8AB-D719-4FC1-BA26-104910982FF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AY2" authorId="0" shapeId="0" xr:uid="{00000000-0006-0000-0000-00000F000000}">
      <text>
        <r>
          <rPr>
            <b/>
            <sz val="8"/>
            <color indexed="81"/>
            <rFont val="Tahoma"/>
            <family val="2"/>
          </rPr>
          <t>Thomas, John:</t>
        </r>
        <r>
          <rPr>
            <sz val="8"/>
            <color indexed="81"/>
            <rFont val="Tahoma"/>
            <family val="2"/>
          </rPr>
          <t xml:space="preserve">
Use for AQL FREQ. ONLY
Don't use if inspection is 1 X SHIFT</t>
        </r>
      </text>
    </comment>
    <comment ref="AZ2" authorId="0" shapeId="0" xr:uid="{00000000-0006-0000-0000-000010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A2" authorId="0" shapeId="0" xr:uid="{00000000-0006-0000-0000-000011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B2" authorId="0" shapeId="0" xr:uid="{00000000-0006-0000-0000-000012000000}">
      <text>
        <r>
          <rPr>
            <b/>
            <sz val="8"/>
            <color indexed="81"/>
            <rFont val="Tahoma"/>
            <family val="2"/>
          </rPr>
          <t>Thomas, John:</t>
        </r>
        <r>
          <rPr>
            <sz val="8"/>
            <color indexed="81"/>
            <rFont val="Tahoma"/>
            <family val="2"/>
          </rPr>
          <t xml:space="preserve">
Use for AQL FREQ. ONLY
Don't use if inspection is 1 X SHIFT</t>
        </r>
      </text>
    </comment>
    <comment ref="BC2" authorId="0" shapeId="0" xr:uid="{00000000-0006-0000-0000-000013000000}">
      <text>
        <r>
          <rPr>
            <b/>
            <sz val="8"/>
            <color indexed="81"/>
            <rFont val="Tahoma"/>
            <family val="2"/>
          </rPr>
          <t>Thomas, John:</t>
        </r>
        <r>
          <rPr>
            <sz val="8"/>
            <color indexed="81"/>
            <rFont val="Tahoma"/>
            <family val="2"/>
          </rPr>
          <t xml:space="preserve">
Use for AQL FREQ. ONLY
Don't use if inspection is 1 X SHIFT</t>
        </r>
      </text>
    </comment>
    <comment ref="BE2" authorId="0" shapeId="0" xr:uid="{00000000-0006-0000-0000-000014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3" authorId="0" shapeId="0" xr:uid="{00000000-0006-0000-0000-000015000000}">
      <text>
        <r>
          <rPr>
            <b/>
            <sz val="8"/>
            <color indexed="81"/>
            <rFont val="Tahoma"/>
            <family val="2"/>
          </rPr>
          <t>Thomas, John:</t>
        </r>
        <r>
          <rPr>
            <sz val="8"/>
            <color indexed="81"/>
            <rFont val="Tahoma"/>
            <family val="2"/>
          </rPr>
          <t xml:space="preserve">
Never insert Rows. If you forgot a feature, add it at the end. </t>
        </r>
      </text>
    </comment>
    <comment ref="C3" authorId="0" shapeId="0" xr:uid="{00000000-0006-0000-0000-000016000000}">
      <text>
        <r>
          <rPr>
            <b/>
            <sz val="8"/>
            <color indexed="81"/>
            <rFont val="Tahoma"/>
            <family val="2"/>
          </rPr>
          <t>Thomas, John:</t>
        </r>
        <r>
          <rPr>
            <sz val="8"/>
            <color indexed="81"/>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000-000017000000}">
      <text>
        <r>
          <rPr>
            <b/>
            <sz val="8"/>
            <color indexed="81"/>
            <rFont val="Tahoma"/>
            <family val="2"/>
          </rPr>
          <t>Thomas, John:</t>
        </r>
        <r>
          <rPr>
            <sz val="8"/>
            <color indexed="81"/>
            <rFont val="Tahoma"/>
            <family val="2"/>
          </rPr>
          <t xml:space="preserve">
If the feaqture does not have a Numerical Value input NA</t>
        </r>
      </text>
    </comment>
    <comment ref="E3" authorId="0" shapeId="0" xr:uid="{00000000-0006-0000-0000-000018000000}">
      <text>
        <r>
          <rPr>
            <b/>
            <sz val="8"/>
            <color indexed="81"/>
            <rFont val="Tahoma"/>
            <family val="2"/>
          </rPr>
          <t>Thomas, John:</t>
        </r>
        <r>
          <rPr>
            <sz val="8"/>
            <color indexed="81"/>
            <rFont val="Tahoma"/>
            <family val="2"/>
          </rPr>
          <t xml:space="preserve">
If the feaqture does not have a Numerical Value input NA</t>
        </r>
      </text>
    </comment>
    <comment ref="F3" authorId="0" shapeId="0" xr:uid="{00000000-0006-0000-0000-000019000000}">
      <text>
        <r>
          <rPr>
            <b/>
            <sz val="8"/>
            <color indexed="81"/>
            <rFont val="Tahoma"/>
            <family val="2"/>
          </rPr>
          <t>Thomas, John:</t>
        </r>
        <r>
          <rPr>
            <sz val="8"/>
            <color indexed="81"/>
            <rFont val="Tahoma"/>
            <family val="2"/>
          </rPr>
          <t xml:space="preserve">
If the feaqture does not have a Numerical Value input NA</t>
        </r>
      </text>
    </comment>
    <comment ref="H3" authorId="0" shapeId="0" xr:uid="{00000000-0006-0000-0000-00001A000000}">
      <text>
        <r>
          <rPr>
            <b/>
            <sz val="8"/>
            <color indexed="81"/>
            <rFont val="Tahoma"/>
            <family val="2"/>
          </rPr>
          <t>Thomas, John:</t>
        </r>
        <r>
          <rPr>
            <sz val="8"/>
            <color indexed="81"/>
            <rFont val="Tahoma"/>
            <family val="2"/>
          </rPr>
          <t xml:space="preserve">
These Cells Autofil. Do not alter.</t>
        </r>
      </text>
    </comment>
    <comment ref="I3" authorId="0" shapeId="0" xr:uid="{00000000-0006-0000-0000-00001B000000}">
      <text>
        <r>
          <rPr>
            <b/>
            <sz val="8"/>
            <color indexed="81"/>
            <rFont val="Tahoma"/>
            <family val="2"/>
          </rPr>
          <t>Thomas, John:</t>
        </r>
        <r>
          <rPr>
            <sz val="8"/>
            <color indexed="81"/>
            <rFont val="Tahoma"/>
            <family val="2"/>
          </rPr>
          <t xml:space="preserve">
These Cells Autofil. Do not alter.</t>
        </r>
      </text>
    </comment>
    <comment ref="J3" authorId="0" shapeId="0" xr:uid="{00000000-0006-0000-0000-00001C000000}">
      <text>
        <r>
          <rPr>
            <b/>
            <sz val="8"/>
            <color indexed="81"/>
            <rFont val="Tahoma"/>
            <family val="2"/>
          </rPr>
          <t>Thomas, John:</t>
        </r>
        <r>
          <rPr>
            <sz val="8"/>
            <color indexed="81"/>
            <rFont val="Tahoma"/>
            <family val="2"/>
          </rPr>
          <t xml:space="preserve">
These Cells Autofil. Do not alter.</t>
        </r>
      </text>
    </comment>
    <comment ref="K3" authorId="0" shapeId="0" xr:uid="{00000000-0006-0000-0000-00001D000000}">
      <text>
        <r>
          <rPr>
            <b/>
            <sz val="8"/>
            <color indexed="81"/>
            <rFont val="Tahoma"/>
            <family val="2"/>
          </rPr>
          <t>Thomas, John:</t>
        </r>
        <r>
          <rPr>
            <sz val="8"/>
            <color indexed="81"/>
            <rFont val="Tahoma"/>
            <family val="2"/>
          </rPr>
          <t xml:space="preserve">
These Cells Autofil. Do not alter.
</t>
        </r>
      </text>
    </comment>
    <comment ref="L3" authorId="0" shapeId="0" xr:uid="{75F11E71-3A06-49A0-9F42-E1122BC5680B}">
      <text>
        <r>
          <rPr>
            <b/>
            <sz val="8"/>
            <color indexed="81"/>
            <rFont val="Tahoma"/>
            <family val="2"/>
          </rPr>
          <t>Thomas, John:</t>
        </r>
        <r>
          <rPr>
            <sz val="8"/>
            <color indexed="81"/>
            <rFont val="Tahoma"/>
            <family val="2"/>
          </rPr>
          <t xml:space="preserve">
             Add the gauge description. For Example, T32 Hehalobe, HEX, Butress, Ring, and so on
type in cell and click down arrow to get short list</t>
        </r>
      </text>
    </comment>
    <comment ref="M3" authorId="0" shapeId="0" xr:uid="{C7648C68-A0C7-4A58-B2CF-838877C0B0B6}">
      <text>
        <r>
          <rPr>
            <b/>
            <sz val="8"/>
            <color indexed="81"/>
            <rFont val="Tahoma"/>
            <family val="2"/>
          </rPr>
          <t>Thomas, John:</t>
        </r>
        <r>
          <rPr>
            <sz val="8"/>
            <color indexed="81"/>
            <rFont val="Tahoma"/>
            <family val="2"/>
          </rPr>
          <t xml:space="preserve">
type in cell and click down arrow to get short list</t>
        </r>
      </text>
    </comment>
    <comment ref="N3" authorId="0" shapeId="0" xr:uid="{E403C4A2-EDE9-4BF9-AAC9-9A41916E3C0D}">
      <text>
        <r>
          <rPr>
            <b/>
            <sz val="8"/>
            <color indexed="81"/>
            <rFont val="Tahoma"/>
            <family val="2"/>
          </rPr>
          <t>Thomas, John:</t>
        </r>
        <r>
          <rPr>
            <sz val="8"/>
            <color indexed="81"/>
            <rFont val="Tahoma"/>
            <family val="2"/>
          </rPr>
          <t xml:space="preserve">
 DO NOT USE FREE-FORM TEXT
type in cell and click down arrow to get short list</t>
        </r>
      </text>
    </comment>
    <comment ref="O3" authorId="0" shapeId="0" xr:uid="{EFB1E202-2092-43A9-BCC6-921B0812C030}">
      <text>
        <r>
          <rPr>
            <b/>
            <sz val="8"/>
            <color indexed="81"/>
            <rFont val="Tahoma"/>
            <family val="2"/>
          </rPr>
          <t>Thomas, John
type in cell and click down arrow to get short list</t>
        </r>
      </text>
    </comment>
    <comment ref="P3" authorId="0" shapeId="0" xr:uid="{65482886-E9DB-460E-A943-AFA35386D6D3}">
      <text>
        <r>
          <rPr>
            <b/>
            <sz val="8"/>
            <color indexed="81"/>
            <rFont val="Tahoma"/>
            <family val="2"/>
          </rPr>
          <t>Thomas, John:</t>
        </r>
        <r>
          <rPr>
            <sz val="8"/>
            <color indexed="81"/>
            <rFont val="Tahoma"/>
            <family val="2"/>
          </rPr>
          <t xml:space="preserve">
Add gauge descripton to column L. See it's note</t>
        </r>
      </text>
    </comment>
    <comment ref="Q3" authorId="0" shapeId="0" xr:uid="{00000000-0006-0000-0000-00001E000000}">
      <text>
        <r>
          <rPr>
            <b/>
            <sz val="8"/>
            <color indexed="81"/>
            <rFont val="Tahoma"/>
            <family val="2"/>
          </rPr>
          <t>Thomas, John:</t>
        </r>
        <r>
          <rPr>
            <sz val="8"/>
            <color indexed="81"/>
            <rFont val="Tahoma"/>
            <family val="2"/>
          </rPr>
          <t xml:space="preserve">
Do not use T1 through T9. Use T01 through T09 instead. </t>
        </r>
      </text>
    </comment>
    <comment ref="R3" authorId="0" shapeId="0" xr:uid="{00000000-0006-0000-0000-00001F000000}">
      <text>
        <r>
          <rPr>
            <b/>
            <sz val="8"/>
            <color indexed="81"/>
            <rFont val="Tahoma"/>
            <family val="2"/>
          </rPr>
          <t>Thomas, John:</t>
        </r>
        <r>
          <rPr>
            <sz val="8"/>
            <color indexed="81"/>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000-000020000000}">
      <text>
        <r>
          <rPr>
            <b/>
            <sz val="8"/>
            <color indexed="81"/>
            <rFont val="Tahoma"/>
            <family val="2"/>
          </rPr>
          <t>Thomas, John:</t>
        </r>
        <r>
          <rPr>
            <sz val="8"/>
            <color indexed="81"/>
            <rFont val="Tahoma"/>
            <family val="2"/>
          </rPr>
          <t xml:space="preserve">
--Identify Primary Control Tool Offset Number. Select cell for more information.</t>
        </r>
      </text>
    </comment>
    <comment ref="T3" authorId="0" shapeId="0" xr:uid="{82D2F5A7-4C03-4D5E-81DA-B90A703DCF67}">
      <text>
        <r>
          <rPr>
            <b/>
            <sz val="8"/>
            <color indexed="81"/>
            <rFont val="Tahoma"/>
            <family val="2"/>
          </rPr>
          <t>Thomas, John:</t>
        </r>
        <r>
          <rPr>
            <sz val="8"/>
            <color indexed="81"/>
            <rFont val="Tahoma"/>
            <family val="2"/>
          </rPr>
          <t xml:space="preserve">
--Identify Primary Control Tool Offset Number. Select cell for more information.</t>
        </r>
      </text>
    </comment>
    <comment ref="V3" authorId="0" shapeId="0" xr:uid="{00000000-0006-0000-0000-000021000000}">
      <text>
        <r>
          <rPr>
            <b/>
            <sz val="8"/>
            <color indexed="81"/>
            <rFont val="Tahoma"/>
            <family val="2"/>
          </rPr>
          <t>Thomas, John:</t>
        </r>
        <r>
          <rPr>
            <sz val="8"/>
            <color indexed="81"/>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W3" authorId="0" shapeId="0" xr:uid="{00000000-0006-0000-0000-000022000000}">
      <text>
        <r>
          <rPr>
            <b/>
            <sz val="8"/>
            <color indexed="81"/>
            <rFont val="Tahoma"/>
            <family val="2"/>
          </rPr>
          <t>Thomas, John: If feature is created in the Swiss machining operation put an "X" in the field below</t>
        </r>
        <r>
          <rPr>
            <sz val="8"/>
            <color indexed="81"/>
            <rFont val="Tahoma"/>
            <family val="2"/>
          </rPr>
          <t xml:space="preserve">
</t>
        </r>
      </text>
    </comment>
    <comment ref="X3" authorId="0" shapeId="0" xr:uid="{00000000-0006-0000-0000-000023000000}">
      <text>
        <r>
          <rPr>
            <b/>
            <sz val="8"/>
            <color indexed="81"/>
            <rFont val="Tahoma"/>
            <family val="2"/>
          </rPr>
          <t xml:space="preserve">Thomas, John:, if the  inspection belongs in the routine. Use "X" or "O" in field below Click this Cell for "X" and "O" definition/use 
</t>
        </r>
      </text>
    </comment>
    <comment ref="Y3" authorId="0" shapeId="0" xr:uid="{EDA598CC-62B3-4F3F-BCBD-CDF004D63FB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Z3" authorId="0" shapeId="0" xr:uid="{00000000-0006-0000-0000-000024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A3" authorId="0" shapeId="0" xr:uid="{00000000-0006-0000-0000-000025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B3" authorId="0" shapeId="0" xr:uid="{00000000-0006-0000-0000-000027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AC3" authorId="0" shapeId="0" xr:uid="{00000000-0006-0000-0000-000028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D3" authorId="0" shapeId="0" xr:uid="{00000000-0006-0000-0000-00002A000000}">
      <text>
        <r>
          <rPr>
            <b/>
            <sz val="8"/>
            <color indexed="81"/>
            <rFont val="Tahoma"/>
            <family val="2"/>
          </rPr>
          <t>Thomas, John:If Swiss feature requires a "LAST" Inspection, put "X" in the field below</t>
        </r>
        <r>
          <rPr>
            <sz val="8"/>
            <color indexed="81"/>
            <rFont val="Tahoma"/>
            <family val="2"/>
          </rPr>
          <t xml:space="preserve">
</t>
        </r>
      </text>
    </comment>
    <comment ref="AE3" authorId="0" shapeId="0" xr:uid="{00000000-0006-0000-0000-00002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F3" authorId="0" shapeId="0" xr:uid="{00000000-0006-0000-0000-000029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G3" authorId="0" shapeId="0" xr:uid="{00000000-0006-0000-0000-00002D000000}">
      <text>
        <r>
          <rPr>
            <b/>
            <sz val="8"/>
            <color indexed="81"/>
            <rFont val="Tahoma"/>
            <family val="2"/>
          </rPr>
          <t>Thomas, John:Use for Swiss Visual inspections. Used for "None" FA Type</t>
        </r>
        <r>
          <rPr>
            <sz val="8"/>
            <color indexed="81"/>
            <rFont val="Tahoma"/>
            <family val="2"/>
          </rPr>
          <t xml:space="preserve">
</t>
        </r>
      </text>
    </comment>
    <comment ref="AH3" authorId="0" shapeId="0" xr:uid="{86D5E4FD-0A1E-4DC1-A41D-3EB7306489F6}">
      <text>
        <r>
          <rPr>
            <b/>
            <sz val="8"/>
            <color indexed="81"/>
            <rFont val="Tahoma"/>
            <family val="2"/>
          </rPr>
          <t>Thomas, John:Put an "X" in the field below for all SWISS features checked on RAMPROG</t>
        </r>
      </text>
    </comment>
    <comment ref="AI3" authorId="0" shapeId="0" xr:uid="{00000000-0006-0000-0000-00002E000000}">
      <text>
        <r>
          <rPr>
            <b/>
            <sz val="8"/>
            <color indexed="81"/>
            <rFont val="Tahoma"/>
            <family val="2"/>
          </rPr>
          <t>Thomas, John:Put an "X" in the field below for all Swiss features checked on SYLVAC, regardless of the routine they are used. The FA_SYLVAC PDF is used by the device programmer.</t>
        </r>
        <r>
          <rPr>
            <sz val="8"/>
            <color indexed="81"/>
            <rFont val="Tahoma"/>
            <family val="2"/>
          </rPr>
          <t xml:space="preserve">
</t>
        </r>
      </text>
    </comment>
    <comment ref="AJ3" authorId="0" shapeId="0" xr:uid="{00000000-0006-0000-0000-00002F000000}">
      <text>
        <r>
          <rPr>
            <b/>
            <sz val="8"/>
            <color indexed="81"/>
            <rFont val="Tahoma"/>
            <family val="2"/>
          </rPr>
          <t>Thomas, John: Put an "X" in the field below for all Swiss features checked on CMM, regardless of the routine they are used. The FA_CMM PDF is used by the device programmer.</t>
        </r>
        <r>
          <rPr>
            <sz val="8"/>
            <color indexed="81"/>
            <rFont val="Tahoma"/>
            <family val="2"/>
          </rPr>
          <t xml:space="preserve">
</t>
        </r>
      </text>
    </comment>
    <comment ref="AK3" authorId="0" shapeId="0" xr:uid="{00000000-0006-0000-0000-000030000000}">
      <text>
        <r>
          <rPr>
            <b/>
            <sz val="8"/>
            <color indexed="81"/>
            <rFont val="Tahoma"/>
            <family val="2"/>
          </rPr>
          <t>Thomas, John: Put an "X" in the field below for all features in the FA_VIS. Check with ME for the "X" needed for features to check during the MINI FA Type</t>
        </r>
      </text>
    </comment>
    <comment ref="AL3" authorId="0" shapeId="0" xr:uid="{00000000-0006-0000-0000-000031000000}">
      <text>
        <r>
          <rPr>
            <b/>
            <sz val="8"/>
            <color indexed="81"/>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color indexed="81"/>
            <rFont val="Tahoma"/>
            <family val="2"/>
          </rPr>
          <t xml:space="preserve">
</t>
        </r>
      </text>
    </comment>
    <comment ref="AM3" authorId="0" shapeId="0" xr:uid="{00000000-0006-0000-0000-000032000000}">
      <text>
        <r>
          <rPr>
            <b/>
            <sz val="8"/>
            <color indexed="81"/>
            <rFont val="Tahoma"/>
            <family val="2"/>
          </rPr>
          <t>Thomas, John: If MOM has final visual inspection put an "X" in the field below. For example, features like Laser, Outside Anodize Also, check features selected in FA_VIS and FA_VIS_MILL, ATTRIB ONLY</t>
        </r>
        <r>
          <rPr>
            <sz val="8"/>
            <color indexed="81"/>
            <rFont val="Tahoma"/>
            <family val="2"/>
          </rPr>
          <t xml:space="preserve">
</t>
        </r>
      </text>
    </comment>
    <comment ref="AN3" authorId="0" shapeId="0" xr:uid="{00000000-0006-0000-0000-000033000000}">
      <text>
        <r>
          <rPr>
            <b/>
            <sz val="8"/>
            <color indexed="81"/>
            <rFont val="Tahoma"/>
            <family val="2"/>
          </rPr>
          <t>Thomas, John: Only when required, not used yet. NO ATTRIB ALLOWED, VAR DATA ONLY</t>
        </r>
        <r>
          <rPr>
            <sz val="8"/>
            <color indexed="81"/>
            <rFont val="Tahoma"/>
            <family val="2"/>
          </rPr>
          <t xml:space="preserve">
</t>
        </r>
      </text>
    </comment>
    <comment ref="AO3" authorId="0" shapeId="0" xr:uid="{00000000-0006-0000-0000-000034000000}">
      <text>
        <r>
          <rPr>
            <b/>
            <sz val="8"/>
            <color indexed="81"/>
            <rFont val="Tahoma"/>
            <family val="2"/>
          </rPr>
          <t>Thomas, John: Only when required, not used yet. NO ATTRIB ALLOWED, VAR DATA ONLY</t>
        </r>
        <r>
          <rPr>
            <sz val="8"/>
            <color indexed="81"/>
            <rFont val="Tahoma"/>
            <family val="2"/>
          </rPr>
          <t xml:space="preserve">
</t>
        </r>
      </text>
    </comment>
    <comment ref="AP3" authorId="0" shapeId="0" xr:uid="{00000000-0006-0000-0000-000035000000}">
      <text>
        <r>
          <rPr>
            <b/>
            <sz val="8"/>
            <color indexed="81"/>
            <rFont val="Tahoma"/>
            <family val="2"/>
          </rPr>
          <t>Thomas, John: Only when required, not used yet. NO ATTRIB ALLOWED, VAR DATA ONLY</t>
        </r>
        <r>
          <rPr>
            <sz val="8"/>
            <color indexed="81"/>
            <rFont val="Tahoma"/>
            <family val="2"/>
          </rPr>
          <t xml:space="preserve">
</t>
        </r>
      </text>
    </comment>
    <comment ref="AQ3" authorId="0" shapeId="0" xr:uid="{00000000-0006-0000-0000-000036000000}">
      <text>
        <r>
          <rPr>
            <b/>
            <sz val="8"/>
            <color indexed="81"/>
            <rFont val="Tahoma"/>
            <family val="2"/>
          </rPr>
          <t>Thomas, John: Only when required, not used yet. NO ATTRIB ALLOWED, VAR DATA ONLY</t>
        </r>
        <r>
          <rPr>
            <sz val="8"/>
            <color indexed="81"/>
            <rFont val="Tahoma"/>
            <family val="2"/>
          </rPr>
          <t xml:space="preserve">
</t>
        </r>
      </text>
    </comment>
    <comment ref="AR3" authorId="0" shapeId="0" xr:uid="{F168FB2B-D5D6-41E0-835F-9F958B2547C9}">
      <text>
        <r>
          <rPr>
            <b/>
            <sz val="8"/>
            <color indexed="81"/>
            <rFont val="Tahoma"/>
            <family val="2"/>
          </rPr>
          <t>Thomas, John:</t>
        </r>
        <r>
          <rPr>
            <sz val="8"/>
            <color indexed="81"/>
            <rFont val="Tahoma"/>
            <family val="2"/>
          </rPr>
          <t xml:space="preserve">
ATTRIB AND VAR ALLOWD</t>
        </r>
      </text>
    </comment>
    <comment ref="AS3" authorId="0" shapeId="0" xr:uid="{7A0DEF96-ECAE-4DF6-88F9-4731A053EE26}">
      <text>
        <r>
          <rPr>
            <b/>
            <sz val="8"/>
            <color indexed="81"/>
            <rFont val="Tahoma"/>
            <family val="2"/>
          </rPr>
          <t>Thomas, John:</t>
        </r>
        <r>
          <rPr>
            <sz val="8"/>
            <color indexed="81"/>
            <rFont val="Tahoma"/>
            <family val="2"/>
          </rPr>
          <t xml:space="preserve">
ATTRIB AND VAR ALLOWED</t>
        </r>
      </text>
    </comment>
    <comment ref="AT3" authorId="0" shapeId="0" xr:uid="{00000000-0006-0000-0000-000037000000}">
      <text>
        <r>
          <rPr>
            <b/>
            <sz val="8"/>
            <color indexed="81"/>
            <rFont val="Tahoma"/>
            <family val="2"/>
          </rPr>
          <t>Thomas, John: Currently only used for formed clip ringAlways Use "O" to indicate 2 of 3 in yellow notification setup. Fixture should be cleaned or repaired if running in yellow. Click cell for more info</t>
        </r>
      </text>
    </comment>
    <comment ref="AU3" authorId="0" shapeId="0" xr:uid="{00000000-0006-0000-0000-000038000000}">
      <text>
        <r>
          <rPr>
            <b/>
            <sz val="8"/>
            <color indexed="81"/>
            <rFont val="Tahoma"/>
            <family val="2"/>
          </rPr>
          <t>Thomas, John: Only when required, not used yet. Why don't we do an FA_FIRST_ASSY??</t>
        </r>
        <r>
          <rPr>
            <sz val="8"/>
            <color indexed="81"/>
            <rFont val="Tahoma"/>
            <family val="2"/>
          </rPr>
          <t xml:space="preserve">
</t>
        </r>
      </text>
    </comment>
    <comment ref="AV3" authorId="0" shapeId="0" xr:uid="{00000000-0006-0000-0000-000039000000}">
      <text>
        <r>
          <rPr>
            <b/>
            <sz val="8"/>
            <color indexed="81"/>
            <rFont val="Tahoma"/>
            <family val="2"/>
          </rPr>
          <t>Thomas, John:If feature is created in the Mill machining operation put an "X" in the field below</t>
        </r>
        <r>
          <rPr>
            <sz val="8"/>
            <color indexed="81"/>
            <rFont val="Tahoma"/>
            <family val="2"/>
          </rPr>
          <t xml:space="preserve">
</t>
        </r>
      </text>
    </comment>
    <comment ref="AW3" authorId="0" shapeId="0" xr:uid="{00000000-0006-0000-0000-00003A000000}">
      <text>
        <r>
          <rPr>
            <b/>
            <sz val="8"/>
            <color indexed="81"/>
            <rFont val="Tahoma"/>
            <family val="2"/>
          </rPr>
          <t xml:space="preserve">Thomas, John:, if the  inspection belongs in the routine. Use "X" or "O" in field below Click this Cell for "X" and "O" definition/use 
</t>
        </r>
      </text>
    </comment>
    <comment ref="AX3" authorId="0" shapeId="0" xr:uid="{74BA5F9F-6205-46CA-BEAC-8E0DEBB5F80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Y3" authorId="0" shapeId="0" xr:uid="{00000000-0006-0000-0000-00003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Z3" authorId="0" shapeId="0" xr:uid="{00000000-0006-0000-0000-00003C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A3" authorId="0" shapeId="0" xr:uid="{00000000-0006-0000-0000-00003D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B3" authorId="0" shapeId="0" xr:uid="{00000000-0006-0000-0000-00003E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BC3" authorId="0" shapeId="0" xr:uid="{00000000-0006-0000-0000-00003F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D3" authorId="0" shapeId="0" xr:uid="{00000000-0006-0000-0000-000041000000}">
      <text>
        <r>
          <rPr>
            <b/>
            <sz val="8"/>
            <color indexed="81"/>
            <rFont val="Tahoma"/>
            <family val="2"/>
          </rPr>
          <t xml:space="preserve">Thomas, John:If Mill feature requires a "LAST" Inspection, put "X" in the field below
</t>
        </r>
        <r>
          <rPr>
            <sz val="8"/>
            <color indexed="81"/>
            <rFont val="Tahoma"/>
            <family val="2"/>
          </rPr>
          <t xml:space="preserve">
</t>
        </r>
      </text>
    </comment>
    <comment ref="BE3" authorId="0" shapeId="0" xr:uid="{00000000-0006-0000-0000-000040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F3" authorId="0" shapeId="0" xr:uid="{00000000-0006-0000-0000-000042000000}">
      <text>
        <r>
          <rPr>
            <b/>
            <sz val="8"/>
            <color indexed="81"/>
            <rFont val="Tahoma"/>
            <family val="2"/>
          </rPr>
          <t>Thomas, John: Use for Mill Visual inspections. Used for "None" FA Type</t>
        </r>
        <r>
          <rPr>
            <sz val="8"/>
            <color indexed="81"/>
            <rFont val="Tahoma"/>
            <family val="2"/>
          </rPr>
          <t xml:space="preserve">
</t>
        </r>
      </text>
    </comment>
    <comment ref="BG3" authorId="0" shapeId="0" xr:uid="{5C91392C-E4D6-4B0E-8443-097800DC5FFE}">
      <text>
        <r>
          <rPr>
            <b/>
            <sz val="8"/>
            <color indexed="81"/>
            <rFont val="Tahoma"/>
            <family val="2"/>
          </rPr>
          <t>Thomas, John:Put an "X" in the field below for all Mill features checked on RAMPROG</t>
        </r>
        <r>
          <rPr>
            <sz val="8"/>
            <color indexed="81"/>
            <rFont val="Tahoma"/>
            <family val="2"/>
          </rPr>
          <t xml:space="preserve">
</t>
        </r>
      </text>
    </comment>
    <comment ref="BH3" authorId="0" shapeId="0" xr:uid="{00000000-0006-0000-0000-000043000000}">
      <text>
        <r>
          <rPr>
            <b/>
            <sz val="8"/>
            <color indexed="81"/>
            <rFont val="Tahoma"/>
            <family val="2"/>
          </rPr>
          <t>Thomas, John:Put an "X" in the field below for all Mill features checked on SYLVAC, regardless of the routine they are used. The FA_SYLVAC_MILL PDF is used by the device programmer.</t>
        </r>
        <r>
          <rPr>
            <sz val="8"/>
            <color indexed="81"/>
            <rFont val="Tahoma"/>
            <family val="2"/>
          </rPr>
          <t xml:space="preserve">
</t>
        </r>
      </text>
    </comment>
    <comment ref="BI3" authorId="0" shapeId="0" xr:uid="{00000000-0006-0000-0000-000044000000}">
      <text>
        <r>
          <rPr>
            <b/>
            <sz val="8"/>
            <color indexed="81"/>
            <rFont val="Tahoma"/>
            <family val="2"/>
          </rPr>
          <t>Thomas, John: Put an "X" in the field below for all Mill features checked on CMM, regardless of the routine they are used. The FA_CMM_MILL PDF is used by the device programmer.</t>
        </r>
        <r>
          <rPr>
            <sz val="8"/>
            <color indexed="81"/>
            <rFont val="Tahoma"/>
            <family val="2"/>
          </rPr>
          <t xml:space="preserve">
</t>
        </r>
      </text>
    </comment>
    <comment ref="A8" authorId="0" shapeId="0" xr:uid="{00000000-0006-0000-0000-000045000000}">
      <text>
        <r>
          <rPr>
            <b/>
            <sz val="8"/>
            <color indexed="81"/>
            <rFont val="Tahoma"/>
            <family val="2"/>
          </rPr>
          <t>Thomas, John:</t>
        </r>
        <r>
          <rPr>
            <sz val="8"/>
            <color indexed="81"/>
            <rFont val="Tahoma"/>
            <family val="2"/>
          </rPr>
          <t xml:space="preserve">
If you delete this row, delete it from the "Custom Table to Upload," worksheet too.</t>
        </r>
      </text>
    </comment>
    <comment ref="L8" authorId="0" shapeId="0" xr:uid="{00000000-0006-0000-0000-000046000000}">
      <text>
        <r>
          <rPr>
            <b/>
            <sz val="8"/>
            <color indexed="81"/>
            <rFont val="Tahoma"/>
            <family val="2"/>
          </rPr>
          <t xml:space="preserve">Thomas, John:Delete row if not needed. </t>
        </r>
        <r>
          <rPr>
            <sz val="8"/>
            <color indexed="81"/>
            <rFont val="Tahoma"/>
            <family val="2"/>
          </rPr>
          <t xml:space="preserve">
Also, Delete this row on "Custom Table to Upload" worksheet, if it is not used. When you delete here you have to delete it on the other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200-000001000000}">
      <text>
        <r>
          <rPr>
            <b/>
            <sz val="8"/>
            <color indexed="81"/>
            <rFont val="Tahoma"/>
            <family val="2"/>
          </rPr>
          <t>Thomas, John:</t>
        </r>
        <r>
          <rPr>
            <sz val="8"/>
            <color indexed="81"/>
            <rFont val="Tahoma"/>
            <family val="2"/>
          </rPr>
          <t xml:space="preserve">
Use Inch or Metric as per print.</t>
        </r>
      </text>
    </comment>
    <comment ref="K6" authorId="0" shapeId="0" xr:uid="{00000000-0006-0000-0200-000002000000}">
      <text>
        <r>
          <rPr>
            <b/>
            <sz val="8"/>
            <color indexed="81"/>
            <rFont val="Tahoma"/>
            <family val="2"/>
          </rPr>
          <t>Thomas, John:</t>
        </r>
        <r>
          <rPr>
            <sz val="8"/>
            <color indexed="81"/>
            <rFont val="Tahoma"/>
            <family val="2"/>
          </rPr>
          <t xml:space="preserve">
If metric, convert to inch before entering values</t>
        </r>
      </text>
    </comment>
    <comment ref="N6" authorId="0" shapeId="0" xr:uid="{00000000-0006-0000-0200-000003000000}">
      <text>
        <r>
          <rPr>
            <b/>
            <sz val="8"/>
            <color indexed="81"/>
            <rFont val="Tahoma"/>
            <family val="2"/>
          </rPr>
          <t>Thomas, John:</t>
        </r>
        <r>
          <rPr>
            <sz val="8"/>
            <color indexed="81"/>
            <rFont val="Tahoma"/>
            <family val="2"/>
          </rPr>
          <t xml:space="preserve">
If metric, convert to inch before entering values</t>
        </r>
      </text>
    </comment>
    <comment ref="A17" authorId="0" shapeId="0" xr:uid="{00000000-0006-0000-0200-000004000000}">
      <text>
        <r>
          <rPr>
            <b/>
            <sz val="8"/>
            <color indexed="81"/>
            <rFont val="Tahoma"/>
            <family val="2"/>
          </rPr>
          <t>Thomas, John:</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AC1D787E-5E41-425B-BE8B-71D9B65C8192}">
      <text>
        <r>
          <rPr>
            <b/>
            <sz val="8"/>
            <color indexed="81"/>
            <rFont val="Tahoma"/>
            <family val="2"/>
          </rPr>
          <t>Thomas, John:</t>
        </r>
        <r>
          <rPr>
            <sz val="8"/>
            <color indexed="81"/>
            <rFont val="Tahoma"/>
            <family val="2"/>
          </rPr>
          <t xml:space="preserve">
All MFG. Tol. Must have Change  Log entry that explaines the reason for the adjusted tolerance</t>
        </r>
      </text>
    </comment>
    <comment ref="B28" authorId="0" shapeId="0" xr:uid="{00000000-0006-0000-0100-000001000000}">
      <text>
        <r>
          <rPr>
            <b/>
            <sz val="8"/>
            <color indexed="81"/>
            <rFont val="Tahoma"/>
            <family val="2"/>
          </rPr>
          <t>Thomas, John:</t>
        </r>
        <r>
          <rPr>
            <sz val="8"/>
            <color indexed="81"/>
            <rFont val="Tahoma"/>
            <family val="2"/>
          </rPr>
          <t xml:space="preserve">
Controlled by Setup Sheet</t>
        </r>
      </text>
    </comment>
    <comment ref="D28" authorId="0" shapeId="0" xr:uid="{00000000-0006-0000-0100-000002000000}">
      <text>
        <r>
          <rPr>
            <b/>
            <sz val="8"/>
            <color indexed="81"/>
            <rFont val="Tahoma"/>
            <family val="2"/>
          </rPr>
          <t>Thomas, John:</t>
        </r>
        <r>
          <rPr>
            <sz val="8"/>
            <color indexed="81"/>
            <rFont val="Tahoma"/>
            <family val="2"/>
          </rPr>
          <t xml:space="preserve">
This should be on the setup sheet, not in MeasurLink</t>
        </r>
      </text>
    </comment>
    <comment ref="B40" authorId="0" shapeId="0" xr:uid="{00000000-0006-0000-0100-000003000000}">
      <text>
        <r>
          <rPr>
            <b/>
            <sz val="8"/>
            <color indexed="81"/>
            <rFont val="Tahoma"/>
            <family val="2"/>
          </rPr>
          <t>Thomas, John:</t>
        </r>
        <r>
          <rPr>
            <sz val="8"/>
            <color indexed="81"/>
            <rFont val="Tahoma"/>
            <family val="2"/>
          </rPr>
          <t xml:space="preserve">
Identify Dimension Features like HEX and HEXALOBE for clarity if it is checked with Gauges because the inspection device is listed ad Gauge Go/No Go</t>
        </r>
      </text>
    </comment>
    <comment ref="D59" authorId="0" shapeId="0" xr:uid="{00000000-0006-0000-0100-000004000000}">
      <text>
        <r>
          <rPr>
            <b/>
            <sz val="8"/>
            <color indexed="81"/>
            <rFont val="Tahoma"/>
            <family val="2"/>
          </rPr>
          <t>Thomas, John:</t>
        </r>
        <r>
          <rPr>
            <sz val="8"/>
            <color indexed="81"/>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600-000001000000}">
      <text>
        <r>
          <rPr>
            <b/>
            <sz val="8"/>
            <color indexed="81"/>
            <rFont val="Tahoma"/>
            <family val="2"/>
          </rPr>
          <t>Thomas, John:</t>
        </r>
        <r>
          <rPr>
            <sz val="8"/>
            <color indexed="81"/>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<sst xmlns="http://schemas.openxmlformats.org/spreadsheetml/2006/main" count="6696" uniqueCount="679">
  <si>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</si>
  <si>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</si>
  <si>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</si>
  <si>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</si>
  <si>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</si>
  <si>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</si>
  <si>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</si>
  <si>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</si>
  <si>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</si>
  <si>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</si>
  <si>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</si>
  <si>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</si>
  <si>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</si>
  <si>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</si>
  <si>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</si>
  <si>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</si>
  <si>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</si>
  <si>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</si>
  <si>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</si>
  <si>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</si>
  <si>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</si>
  <si>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</si>
  <si>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</si>
  <si>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</si>
  <si>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</si>
  <si>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</si>
  <si>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</si>
  <si>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</si>
  <si>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</si>
  <si>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</si>
  <si>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</si>
  <si>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</si>
  <si>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</si>
  <si>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</si>
  <si>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</si>
  <si>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</si>
  <si>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</si>
  <si>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</si>
  <si>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</si>
  <si>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</si>
  <si>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</si>
  <si>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</si>
  <si>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</si>
  <si>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</si>
  <si>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</si>
  <si>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</si>
  <si>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</si>
  <si>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</si>
  <si>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</si>
  <si>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</si>
  <si>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</si>
  <si>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</si>
  <si>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</si>
  <si>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</si>
  <si>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</si>
  <si>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</si>
  <si>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</si>
  <si>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</si>
  <si>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</si>
  <si>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</si>
  <si>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</si>
  <si>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</si>
  <si>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</si>
  <si>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</si>
  <si>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</si>
  <si>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</si>
  <si>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</si>
  <si>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</si>
  <si>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</si>
  <si>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</si>
  <si>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</si>
  <si>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</si>
  <si>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</si>
  <si>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</si>
  <si>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</si>
  <si>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</si>
  <si>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</si>
  <si>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</si>
  <si>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</si>
  <si>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</si>
  <si>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</si>
  <si>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</si>
  <si>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</si>
  <si>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</si>
  <si>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</si>
  <si>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</si>
  <si>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</si>
  <si>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</si>
  <si>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</si>
  <si>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</si>
  <si>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 xml:space="preserve">Inspection Type </t>
  </si>
  <si>
    <t>QE</t>
  </si>
  <si>
    <t>ME</t>
  </si>
  <si>
    <t>Index #</t>
  </si>
  <si>
    <t>Attribute</t>
  </si>
  <si>
    <t>X</t>
  </si>
  <si>
    <t>Deburred</t>
  </si>
  <si>
    <t>Chips/Debris Removed</t>
  </si>
  <si>
    <t>(v)</t>
  </si>
  <si>
    <t>Target</t>
  </si>
  <si>
    <t>Lower 
Limit</t>
  </si>
  <si>
    <t>Upper 
Limit</t>
  </si>
  <si>
    <t>Column C</t>
  </si>
  <si>
    <t>1 X SHIFT</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</si>
  <si>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</si>
  <si>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</si>
  <si>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</si>
  <si>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</si>
  <si>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</si>
  <si>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</si>
  <si>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</si>
  <si>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</si>
  <si>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</si>
  <si>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</si>
  <si>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</si>
  <si>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</si>
  <si>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</si>
  <si>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</si>
  <si>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</si>
  <si>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</si>
  <si>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</si>
  <si>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</si>
  <si>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</si>
  <si>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</si>
  <si>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</si>
  <si>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</si>
  <si>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</si>
  <si>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</si>
  <si>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</si>
  <si>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</si>
  <si>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</si>
  <si>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</si>
  <si>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</si>
  <si>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</si>
  <si>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</si>
  <si>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</si>
  <si>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</si>
  <si>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</si>
  <si>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</si>
  <si>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</si>
  <si>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</si>
  <si>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</si>
  <si>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</si>
  <si>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</si>
  <si>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</si>
  <si>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</si>
  <si>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</si>
  <si>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</si>
  <si>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</si>
  <si>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</si>
  <si>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</si>
  <si>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</si>
  <si>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</si>
  <si>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</si>
  <si>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</si>
  <si>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</si>
  <si>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</si>
  <si>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</si>
  <si>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</si>
  <si>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</si>
  <si>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</si>
  <si>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</si>
  <si>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</si>
  <si>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</si>
  <si>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</si>
  <si>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</si>
  <si>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</si>
  <si>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</si>
  <si>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</si>
  <si>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</si>
  <si>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</si>
  <si>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</si>
  <si>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</si>
  <si>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</si>
  <si>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</si>
  <si>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</si>
  <si>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</si>
  <si>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</si>
  <si>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</si>
  <si>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</si>
  <si>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</si>
  <si>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</si>
  <si>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</si>
  <si>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</si>
  <si>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</si>
  <si>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</si>
  <si>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</si>
  <si>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</si>
  <si>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</si>
  <si>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</si>
  <si>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</si>
  <si>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</si>
  <si>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</si>
  <si>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</si>
  <si>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</si>
  <si>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</si>
  <si>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</si>
  <si>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</si>
  <si>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</si>
  <si>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</si>
  <si>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</si>
  <si>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</si>
  <si>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</si>
  <si>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</si>
  <si>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</si>
  <si>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</si>
  <si>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</si>
  <si>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</si>
  <si>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</si>
  <si>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</si>
  <si>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</si>
  <si>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</si>
  <si>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</si>
  <si>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</si>
  <si>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</si>
  <si>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</si>
  <si>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</si>
  <si>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</si>
  <si>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</si>
  <si>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</si>
  <si>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</si>
  <si>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</si>
  <si>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</si>
  <si>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</si>
  <si>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</si>
  <si>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</si>
  <si>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</si>
  <si>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</si>
  <si>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</si>
  <si>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</si>
  <si>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</si>
  <si>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</si>
  <si>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</si>
  <si>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</si>
  <si>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</si>
  <si>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</si>
  <si>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</si>
  <si>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</si>
  <si>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</si>
  <si>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</si>
  <si>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</si>
  <si>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</si>
  <si>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</si>
  <si>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</si>
  <si>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</si>
  <si>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</si>
  <si>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</si>
  <si>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</si>
  <si>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</si>
  <si>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</si>
  <si>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</si>
  <si>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</si>
  <si>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</si>
  <si>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</si>
  <si>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</si>
  <si>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</si>
  <si>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</si>
  <si>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</si>
  <si>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</si>
  <si>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</si>
  <si>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</si>
  <si>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</si>
  <si>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</si>
  <si>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</si>
  <si>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</si>
  <si>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</si>
  <si>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</si>
  <si>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</si>
  <si>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</si>
  <si>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</si>
  <si>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</si>
  <si>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</si>
  <si>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</si>
  <si>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</si>
  <si>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</si>
  <si>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</si>
  <si>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TOOL AXIS OFFSET</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</si>
  <si>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</si>
  <si>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</si>
  <si>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</si>
  <si>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</si>
  <si>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</si>
  <si>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</si>
  <si>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</si>
  <si>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</si>
  <si>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</si>
  <si>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</si>
  <si>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</si>
  <si>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</si>
  <si>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</si>
  <si>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</si>
  <si>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</si>
  <si>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</si>
  <si>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</si>
  <si>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</si>
  <si>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</si>
  <si>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</si>
  <si>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</si>
  <si>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</si>
  <si>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</si>
  <si>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</si>
  <si>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</si>
  <si>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</si>
  <si>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</si>
  <si>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</si>
  <si>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</si>
  <si>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</si>
  <si>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</si>
  <si>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</si>
  <si>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</si>
  <si>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</si>
  <si>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</si>
  <si>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</si>
  <si>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</si>
  <si>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</si>
  <si>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</si>
  <si>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</si>
  <si>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</si>
  <si>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</si>
  <si>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</si>
  <si>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</si>
  <si>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From Calc. Sheet</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</si>
  <si>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</si>
  <si>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</si>
  <si>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</si>
  <si>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</si>
  <si>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</si>
  <si>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</si>
  <si>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</si>
  <si>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</si>
  <si>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</si>
  <si>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</si>
  <si>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</si>
  <si>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</si>
  <si>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</si>
  <si>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</si>
  <si>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</si>
  <si>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</si>
  <si>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</si>
  <si>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</si>
  <si>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</si>
  <si>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</si>
  <si>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</si>
  <si>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</si>
  <si>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</si>
  <si>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</si>
  <si>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</si>
  <si>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</si>
  <si>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</si>
  <si>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</si>
  <si>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</si>
  <si>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</si>
  <si>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</si>
  <si>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</si>
  <si>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</si>
  <si>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</si>
  <si>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</si>
  <si>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</si>
  <si>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</si>
  <si>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 xml:space="preserve">2 DIGIT Primary
Tool </t>
  </si>
  <si>
    <t xml:space="preserve">Primary Control </t>
  </si>
  <si>
    <t>Primary Head
HEAD</t>
  </si>
  <si>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</si>
  <si>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</si>
  <si>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</si>
  <si>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</si>
  <si>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</si>
  <si>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</si>
  <si>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</si>
  <si>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</si>
  <si>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</si>
  <si>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</si>
  <si>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</si>
  <si>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</si>
  <si>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</si>
  <si>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</si>
  <si>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</si>
  <si>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</si>
  <si>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</si>
  <si>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</si>
  <si>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</si>
  <si>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</si>
  <si>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</si>
  <si>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</si>
  <si>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</si>
  <si>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</si>
  <si>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</si>
  <si>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</si>
  <si>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</si>
  <si>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</si>
  <si>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</si>
  <si>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</si>
  <si>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</si>
  <si>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</si>
  <si>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</si>
  <si>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</si>
  <si>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</si>
  <si>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</si>
  <si>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Characteristic
DESCRIPTION &amp; Gauge Name</t>
  </si>
  <si>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</si>
  <si>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</si>
  <si>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</si>
  <si>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</si>
  <si>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</si>
  <si>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</si>
  <si>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</si>
  <si>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</si>
  <si>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</si>
  <si>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</si>
  <si>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</si>
  <si>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</si>
  <si>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</si>
  <si>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</si>
  <si>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</si>
  <si>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</si>
  <si>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</si>
  <si>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</si>
  <si>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</si>
  <si>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</si>
  <si>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</si>
  <si>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</si>
  <si>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</si>
  <si>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t>tool</t>
  </si>
  <si>
    <t>debu</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</si>
  <si>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</si>
  <si>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</si>
  <si>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</si>
  <si>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</si>
  <si>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</si>
  <si>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</si>
  <si>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</si>
  <si>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</si>
  <si>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</si>
  <si>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</si>
  <si>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</si>
  <si>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</si>
  <si>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</si>
  <si>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</si>
  <si>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</si>
  <si>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</si>
  <si>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</si>
  <si>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</si>
  <si>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ML1</t>
  </si>
  <si>
    <t>ML2</t>
  </si>
  <si>
    <t>ML3</t>
  </si>
  <si>
    <t>ML4</t>
  </si>
  <si>
    <t>ML5</t>
  </si>
  <si>
    <t>ML6</t>
  </si>
  <si>
    <t>ML7</t>
  </si>
  <si>
    <t>ML8</t>
  </si>
  <si>
    <t>ANO1</t>
  </si>
  <si>
    <t>ANO2</t>
  </si>
  <si>
    <t>ANO3</t>
  </si>
  <si>
    <t>KEY1</t>
  </si>
  <si>
    <t>KEY1B</t>
  </si>
  <si>
    <t>KEY2</t>
  </si>
  <si>
    <t>KEY2B</t>
  </si>
  <si>
    <t>KEY3</t>
  </si>
  <si>
    <t>KEY3B</t>
  </si>
  <si>
    <t>KEY4</t>
  </si>
  <si>
    <t>KEY4B</t>
  </si>
  <si>
    <t>KEY5</t>
  </si>
  <si>
    <t>KEY5B</t>
  </si>
  <si>
    <t>KEY6</t>
  </si>
  <si>
    <t>KEY6B</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</si>
  <si>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</si>
  <si>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</si>
  <si>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</si>
  <si>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</si>
  <si>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</si>
  <si>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</si>
  <si>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</si>
  <si>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</si>
  <si>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</si>
  <si>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</si>
  <si>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</si>
  <si>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</si>
  <si>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</si>
  <si>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</si>
  <si>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</si>
  <si>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</si>
  <si>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</si>
  <si>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</si>
  <si>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</si>
  <si>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</si>
  <si>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</si>
  <si>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</si>
  <si>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</si>
  <si>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</si>
  <si>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</si>
  <si>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=VLOOKUP('START HERE'!$C$8,Variables!$A$2:$AJ$500,10,FALSE)</t>
  </si>
  <si>
    <t>Anodize Color</t>
  </si>
  <si>
    <t>=VLOOKUP('START HERE'!$C$8,Variables!$A$2:$AJ$500,11,FALSE)</t>
  </si>
  <si>
    <t>Anodize #</t>
  </si>
  <si>
    <t>=VLOOKUP('START HERE'!$C$8,Variables!$A$2:$AJ$500,12,FALSE)</t>
  </si>
  <si>
    <t>Open</t>
  </si>
  <si>
    <t>=VLOOKUP('START HERE'!$C$8,Variables!$A$2:$AZ$500,31,FALSE)</t>
  </si>
  <si>
    <t xml:space="preserve"> </t>
  </si>
  <si>
    <t>=VLOOKUP('START HERE'!$C$8,Variables!$A$2:$AZ$500,33,FALSE)</t>
  </si>
  <si>
    <t>=VLOOKUP('START HERE'!$C$8,Variables!$A$2:$AZ$500,35,FALSE)</t>
  </si>
  <si>
    <t>=VLOOKUP('START HERE'!$C$8,Variables!$A$2:$AZ$500,37,FALSE)</t>
  </si>
  <si>
    <t>=VLOOKUP('START HERE'!$C$8,Variables!$A$2:$AZ$500,39,FALSE)</t>
  </si>
  <si>
    <t>=VLOOKUP('START HERE'!$C$8,Variables!$A$2:$AZ$500,41,FALSE)</t>
  </si>
  <si>
    <t>=VLOOKUP('START HERE'!$C$8,Variables!$A$2:$AZ$500,43,FALSE)</t>
  </si>
  <si>
    <t>=VLOOKUP('START HERE'!$C$8,Variables!$A$2:$AZ$500,44,FALSE)</t>
  </si>
  <si>
    <t>=VLOOKUP('START HERE'!$C$8,Variables!$A$2:$AZ$500,45,FALSE)</t>
  </si>
  <si>
    <t>=VLOOKUP('START HERE'!$C$8,Variables!$A$2:$AZ$500,46,FALSE)</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</si>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</sst>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0"/>
    <numFmt numFmtId="166" formatCode="0.000000"/>
    <numFmt numFmtId="167" formatCode="0."/>
    <numFmt numFmtId="168" formatCode="0.0"/>
  </numFmts>
  <fonts count="39">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color indexed="81"/>
      <name val="Tahoma"/>
      <family val="2"/>
    </font>
    <font>
      <sz val="8"/>
      <color indexed="81"/>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ont>
    <font>
      <sz val="11"/>
      <color theme="1"/>
      <name val="GD&amp;T"/>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ont>
    <font>
      <sz val="11"/>
      <color theme="1"/>
      <name val="InspectionXpert GDT"/>
      <family val="2"/>
    </font>
    <font>
      <b/>
      <sz val="10"/>
      <color rgb="FF000000"/>
      <name val="Arial"/>
      <family val="2"/>
    </font>
    <font>
      <b/>
      <sz val="10"/>
      <color theme="1"/>
      <name val="Arial"/>
      <family val="2"/>
    </font>
    <font>
      <sz val="10"/>
      <color theme="1"/>
      <name val="Arial"/>
      <family val="2"/>
    </font>
  </fonts>
  <fills count="28">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5" tint="0.59999389629810485"/>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7" tint="0.59996337778862885"/>
        <bgColor indexed="64"/>
      </patternFill>
    </fill>
    <fill>
      <patternFill patternType="solid">
        <fgColor rgb="FF00B0F0"/>
        <bgColor indexed="64"/>
      </patternFill>
    </fill>
    <fill>
      <patternFill patternType="solid">
        <fgColor theme="0"/>
        <bgColor indexed="64"/>
      </patternFill>
    </fill>
    <fill>
      <patternFill patternType="solid">
        <fgColor rgb="FFFF5050"/>
        <bgColor indexed="64"/>
      </patternFill>
    </fill>
    <fill>
      <patternFill patternType="solid">
        <fgColor rgb="FF66FF33"/>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s>
  <borders count="42">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style="medium">
        <color auto="1"/>
      </top>
      <bottom/>
      <diagonal/>
    </border>
    <border>
      <left/>
      <right/>
      <top/>
      <bottom style="medium">
        <color auto="1"/>
      </bottom>
      <diagonal/>
    </border>
    <border>
      <left/>
      <right style="medium">
        <color auto="1"/>
      </right>
      <top/>
      <bottom style="medium">
        <color auto="1"/>
      </bottom>
      <diagonal/>
    </border>
    <border>
      <left style="thin">
        <color indexed="64"/>
      </left>
      <right/>
      <top style="thin">
        <color indexed="64"/>
      </top>
      <bottom style="thin">
        <color indexed="64"/>
      </bottom>
      <diagonal/>
    </border>
    <border>
      <left/>
      <right/>
      <top style="hair">
        <color indexed="64"/>
      </top>
      <bottom style="hair">
        <color indexed="64"/>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diagonal/>
    </border>
    <border>
      <left style="thick">
        <color auto="1"/>
      </left>
      <right/>
      <top/>
      <bottom/>
      <diagonal/>
    </border>
    <border>
      <left/>
      <right/>
      <top/>
      <bottom style="medium">
        <color theme="4" tint="0.3999755851924192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s>
  <cellStyleXfs count="5">
    <xf numFmtId="0" fontId="0" fillId="0" borderId="0"/>
    <xf numFmtId="0" fontId="2" fillId="0" borderId="0"/>
    <xf numFmtId="0" fontId="1" fillId="0" borderId="0"/>
    <xf numFmtId="0" fontId="19" fillId="0" borderId="21" applyNumberFormat="0" applyFill="0" applyAlignment="0" applyProtection="0"/>
    <xf numFmtId="0" fontId="1" fillId="0" borderId="0"/>
  </cellStyleXfs>
  <cellXfs count="332">
    <xf numFmtId="0" fontId="0" fillId="0" borderId="0" xfId="0"/>
    <xf numFmtId="0" fontId="0" fillId="0" borderId="1" xfId="0" applyFill="1" applyBorder="1" applyAlignment="1">
      <alignment horizontal="right"/>
    </xf>
    <xf numFmtId="0" fontId="0" fillId="0" borderId="1" xfId="0" applyFill="1" applyBorder="1"/>
    <xf numFmtId="0" fontId="0" fillId="0" borderId="0" xfId="0" applyAlignment="1">
      <alignment wrapText="1"/>
    </xf>
    <xf numFmtId="0" fontId="0" fillId="0" borderId="1" xfId="0" applyFill="1" applyBorder="1" applyAlignment="1">
      <alignment horizontal="center" vertical="center"/>
    </xf>
    <xf numFmtId="0" fontId="0" fillId="0" borderId="1" xfId="0" applyFill="1" applyBorder="1" applyAlignment="1">
      <alignment horizontal="right" vertical="center"/>
    </xf>
    <xf numFmtId="0" fontId="0" fillId="0" borderId="1" xfId="2" applyFont="1" applyFill="1" applyBorder="1"/>
    <xf numFmtId="9" fontId="0" fillId="0" borderId="1" xfId="0" applyNumberFormat="1" applyFill="1" applyBorder="1" applyAlignment="1">
      <alignment horizontal="center" vertical="center"/>
    </xf>
    <xf numFmtId="0" fontId="0" fillId="0" borderId="1" xfId="0" quotePrefix="1" applyFill="1" applyBorder="1"/>
    <xf numFmtId="0" fontId="0" fillId="0" borderId="1" xfId="0" applyFont="1" applyFill="1" applyBorder="1" applyAlignment="1">
      <alignment horizontal="right"/>
    </xf>
    <xf numFmtId="0" fontId="0" fillId="0" borderId="1" xfId="0" applyFill="1" applyBorder="1" applyAlignment="1">
      <alignment horizontal="left"/>
    </xf>
    <xf numFmtId="0" fontId="0" fillId="0" borderId="1" xfId="0" quotePrefix="1" applyFill="1" applyBorder="1" applyAlignment="1">
      <alignment horizontal="center" vertical="center"/>
    </xf>
    <xf numFmtId="0" fontId="3" fillId="0" borderId="1" xfId="0" applyFont="1" applyFill="1" applyBorder="1" applyAlignment="1">
      <alignment horizontal="right"/>
    </xf>
    <xf numFmtId="0" fontId="0" fillId="0" borderId="1" xfId="0" applyFont="1" applyBorder="1" applyAlignment="1">
      <alignment horizontal="center" vertical="center"/>
    </xf>
    <xf numFmtId="0" fontId="0" fillId="2" borderId="1" xfId="0" applyFill="1" applyBorder="1" applyAlignment="1">
      <alignment horizontal="right" vertical="center"/>
    </xf>
    <xf numFmtId="0" fontId="0" fillId="2" borderId="1" xfId="0" applyFill="1" applyBorder="1"/>
    <xf numFmtId="0" fontId="0" fillId="2" borderId="1" xfId="0" applyFill="1" applyBorder="1" applyAlignment="1">
      <alignment horizontal="right"/>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0" fontId="0" fillId="2" borderId="1" xfId="0" applyFill="1" applyBorder="1" applyAlignment="1">
      <alignment horizontal="left"/>
    </xf>
    <xf numFmtId="49" fontId="5" fillId="0" borderId="1" xfId="1" applyNumberFormat="1" applyFont="1" applyFill="1" applyBorder="1" applyAlignment="1" applyProtection="1">
      <alignment horizontal="left" vertical="center"/>
      <protection locked="0"/>
    </xf>
    <xf numFmtId="0" fontId="1" fillId="0" borderId="1" xfId="0" applyFont="1" applyFill="1" applyBorder="1" applyAlignment="1">
      <alignment horizontal="left"/>
    </xf>
    <xf numFmtId="0" fontId="5" fillId="0" borderId="1" xfId="1" applyNumberFormat="1" applyFont="1" applyFill="1" applyBorder="1" applyAlignment="1" applyProtection="1">
      <alignment vertical="center"/>
      <protection locked="0"/>
    </xf>
    <xf numFmtId="0" fontId="5" fillId="0" borderId="1" xfId="1" applyNumberFormat="1" applyFont="1" applyFill="1" applyBorder="1" applyAlignment="1" applyProtection="1">
      <alignment horizontal="left" vertical="center"/>
      <protection locked="0"/>
    </xf>
    <xf numFmtId="0" fontId="0" fillId="0" borderId="1" xfId="0" applyNumberFormat="1" applyFont="1" applyFill="1" applyBorder="1"/>
    <xf numFmtId="0" fontId="0" fillId="0" borderId="1" xfId="0" applyNumberFormat="1" applyFont="1" applyFill="1" applyBorder="1" applyAlignment="1">
      <alignment horizontal="left"/>
    </xf>
    <xf numFmtId="0" fontId="0" fillId="2" borderId="1" xfId="0" quotePrefix="1" applyFill="1" applyBorder="1" applyAlignment="1">
      <alignment horizontal="center" vertical="center"/>
    </xf>
    <xf numFmtId="16" fontId="0" fillId="0" borderId="1" xfId="0" quotePrefix="1" applyNumberFormat="1" applyFill="1" applyBorder="1" applyAlignment="1">
      <alignment horizontal="center" vertical="center"/>
    </xf>
    <xf numFmtId="0" fontId="3" fillId="2" borderId="1" xfId="0" applyFont="1" applyFill="1" applyBorder="1" applyAlignment="1">
      <alignment horizontal="right"/>
    </xf>
    <xf numFmtId="0" fontId="3" fillId="0" borderId="0" xfId="0" applyFont="1"/>
    <xf numFmtId="0" fontId="0" fillId="0" borderId="1" xfId="0" applyBorder="1" applyAlignment="1">
      <alignment vertical="center"/>
    </xf>
    <xf numFmtId="0" fontId="0" fillId="0" borderId="1" xfId="0" applyBorder="1"/>
    <xf numFmtId="164" fontId="0" fillId="0" borderId="0" xfId="0" applyNumberFormat="1"/>
    <xf numFmtId="0" fontId="0" fillId="5" borderId="0" xfId="0" applyFill="1"/>
    <xf numFmtId="0" fontId="0" fillId="0" borderId="1" xfId="0" applyBorder="1" applyAlignment="1">
      <alignment horizontal="center" vertical="center"/>
    </xf>
    <xf numFmtId="0" fontId="0" fillId="5" borderId="2" xfId="0" quotePrefix="1" applyFill="1" applyBorder="1" applyAlignment="1">
      <alignment horizontal="left"/>
    </xf>
    <xf numFmtId="0" fontId="10" fillId="7" borderId="1" xfId="0" applyFont="1" applyFill="1" applyBorder="1" applyAlignment="1">
      <alignment horizontal="center" vertical="center"/>
    </xf>
    <xf numFmtId="0" fontId="0" fillId="0" borderId="4" xfId="0" applyBorder="1"/>
    <xf numFmtId="0" fontId="0" fillId="5" borderId="1"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9" borderId="5" xfId="0" applyNumberFormat="1" applyFill="1" applyBorder="1" applyProtection="1">
      <protection locked="0"/>
    </xf>
    <xf numFmtId="0" fontId="0" fillId="0" borderId="8" xfId="0" applyBorder="1"/>
    <xf numFmtId="164" fontId="0" fillId="0" borderId="9" xfId="0" applyNumberFormat="1" applyBorder="1"/>
    <xf numFmtId="0" fontId="0" fillId="0" borderId="8" xfId="0" applyBorder="1" applyProtection="1">
      <protection hidden="1"/>
    </xf>
    <xf numFmtId="164" fontId="0" fillId="0" borderId="9" xfId="0" applyNumberFormat="1" applyBorder="1" applyProtection="1">
      <protection hidden="1"/>
    </xf>
    <xf numFmtId="0" fontId="0" fillId="0" borderId="10"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9" xfId="0" applyBorder="1"/>
    <xf numFmtId="0" fontId="0" fillId="0" borderId="8" xfId="0" applyFill="1" applyBorder="1"/>
    <xf numFmtId="0" fontId="0" fillId="0" borderId="5" xfId="0" applyBorder="1" applyAlignment="1" applyProtection="1">
      <alignment horizontal="center"/>
      <protection locked="0"/>
    </xf>
    <xf numFmtId="0" fontId="14" fillId="0" borderId="0" xfId="0" applyFont="1"/>
    <xf numFmtId="0" fontId="12" fillId="0" borderId="6" xfId="0" applyFont="1" applyBorder="1"/>
    <xf numFmtId="0" fontId="14" fillId="0" borderId="11" xfId="0" applyFont="1" applyBorder="1"/>
    <xf numFmtId="0" fontId="14" fillId="0" borderId="7" xfId="0" applyFont="1" applyBorder="1"/>
    <xf numFmtId="0" fontId="12" fillId="0" borderId="8" xfId="0" applyFont="1" applyBorder="1"/>
    <xf numFmtId="0" fontId="14" fillId="0" borderId="0" xfId="0" applyFont="1" applyBorder="1"/>
    <xf numFmtId="0" fontId="14" fillId="0" borderId="9" xfId="0" applyFont="1" applyBorder="1"/>
    <xf numFmtId="0" fontId="0" fillId="0" borderId="12" xfId="0" applyBorder="1"/>
    <xf numFmtId="0" fontId="0" fillId="0" borderId="13" xfId="0" applyBorder="1"/>
    <xf numFmtId="164" fontId="14" fillId="0" borderId="11" xfId="0" applyNumberFormat="1" applyFont="1" applyBorder="1"/>
    <xf numFmtId="164" fontId="14" fillId="0" borderId="0" xfId="0" applyNumberFormat="1" applyFont="1" applyBorder="1"/>
    <xf numFmtId="164" fontId="0" fillId="8" borderId="1" xfId="0" applyNumberFormat="1" applyFill="1" applyBorder="1" applyAlignment="1">
      <alignment horizontal="center" vertical="center"/>
    </xf>
    <xf numFmtId="0" fontId="0" fillId="0" borderId="1" xfId="0" applyFill="1" applyBorder="1" applyAlignment="1">
      <alignment vertical="center"/>
    </xf>
    <xf numFmtId="164" fontId="0" fillId="0" borderId="1" xfId="0" applyNumberFormat="1" applyBorder="1"/>
    <xf numFmtId="165" fontId="0" fillId="0" borderId="0" xfId="0" applyNumberFormat="1" applyFill="1" applyBorder="1"/>
    <xf numFmtId="165" fontId="0" fillId="0" borderId="12" xfId="0" applyNumberFormat="1" applyFill="1" applyBorder="1"/>
    <xf numFmtId="164" fontId="0" fillId="0" borderId="9"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5" xfId="1" applyNumberFormat="1" applyFont="1" applyBorder="1" applyAlignment="1" applyProtection="1">
      <alignment vertical="center"/>
      <protection locked="0"/>
    </xf>
    <xf numFmtId="9" fontId="0" fillId="0" borderId="1" xfId="0" applyNumberFormat="1" applyBorder="1" applyAlignment="1">
      <alignment horizontal="left" vertical="center"/>
    </xf>
    <xf numFmtId="0" fontId="0" fillId="0" borderId="0" xfId="0" applyAlignment="1">
      <alignment horizontal="left" vertical="center"/>
    </xf>
    <xf numFmtId="0" fontId="0" fillId="0" borderId="1" xfId="0" applyBorder="1" applyAlignment="1">
      <alignment horizontal="left" vertical="center"/>
    </xf>
    <xf numFmtId="0" fontId="0" fillId="0" borderId="17" xfId="0" applyBorder="1"/>
    <xf numFmtId="0" fontId="0" fillId="0" borderId="0" xfId="0" applyProtection="1">
      <protection locked="0"/>
    </xf>
    <xf numFmtId="0" fontId="0" fillId="0" borderId="0" xfId="0" applyAlignment="1" applyProtection="1">
      <alignment wrapText="1"/>
      <protection locked="0"/>
    </xf>
    <xf numFmtId="0" fontId="0" fillId="12" borderId="1" xfId="0"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4" borderId="1" xfId="0" applyFont="1" applyFill="1" applyBorder="1" applyAlignment="1" applyProtection="1">
      <alignment horizontal="center" vertical="center"/>
      <protection locked="0"/>
    </xf>
    <xf numFmtId="0" fontId="0" fillId="4" borderId="1" xfId="0" applyFill="1" applyBorder="1" applyAlignment="1" applyProtection="1">
      <alignment horizontal="right" vertical="center"/>
      <protection locked="0"/>
    </xf>
    <xf numFmtId="0" fontId="0" fillId="4" borderId="1" xfId="0" applyFill="1" applyBorder="1" applyProtection="1">
      <protection locked="0"/>
    </xf>
    <xf numFmtId="0" fontId="0" fillId="4" borderId="1" xfId="0" applyFill="1" applyBorder="1" applyAlignment="1" applyProtection="1">
      <alignment horizontal="left"/>
      <protection locked="0"/>
    </xf>
    <xf numFmtId="0" fontId="0" fillId="4" borderId="1" xfId="2" applyFont="1" applyFill="1" applyBorder="1" applyAlignment="1" applyProtection="1">
      <alignment horizontal="left"/>
      <protection locked="0"/>
    </xf>
    <xf numFmtId="0" fontId="0" fillId="4" borderId="1" xfId="0" applyFill="1" applyBorder="1" applyAlignment="1" applyProtection="1">
      <alignment horizontal="right"/>
      <protection locked="0"/>
    </xf>
    <xf numFmtId="0" fontId="0" fillId="11" borderId="1" xfId="0" applyFill="1" applyBorder="1" applyAlignment="1" applyProtection="1">
      <alignment horizontal="center" vertical="center"/>
      <protection locked="0"/>
    </xf>
    <xf numFmtId="0" fontId="0" fillId="4" borderId="0" xfId="0" applyFill="1" applyProtection="1">
      <protection locked="0"/>
    </xf>
    <xf numFmtId="49" fontId="0" fillId="4" borderId="1" xfId="0" quotePrefix="1" applyNumberFormat="1" applyFill="1" applyBorder="1" applyAlignment="1" applyProtection="1">
      <alignment horizontal="left"/>
      <protection locked="0"/>
    </xf>
    <xf numFmtId="0" fontId="0" fillId="4" borderId="1" xfId="0" applyFont="1" applyFill="1" applyBorder="1" applyAlignment="1" applyProtection="1">
      <alignment horizontal="left"/>
      <protection locked="0"/>
    </xf>
    <xf numFmtId="0" fontId="0" fillId="4" borderId="1"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1"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4" borderId="1" xfId="0" applyFill="1" applyBorder="1" applyProtection="1"/>
    <xf numFmtId="0" fontId="0" fillId="4" borderId="1" xfId="2" applyFont="1" applyFill="1" applyBorder="1" applyAlignment="1" applyProtection="1">
      <alignment horizontal="left"/>
    </xf>
    <xf numFmtId="0" fontId="3" fillId="0" borderId="1" xfId="0" applyFont="1" applyFill="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0" fillId="0" borderId="1" xfId="0" applyFill="1" applyBorder="1" applyAlignment="1" applyProtection="1">
      <alignment horizontal="center" vertical="center" wrapText="1"/>
    </xf>
    <xf numFmtId="0" fontId="3" fillId="12" borderId="1" xfId="0" applyFont="1" applyFill="1" applyBorder="1" applyAlignment="1" applyProtection="1">
      <alignment horizontal="center" vertical="center" wrapText="1"/>
    </xf>
    <xf numFmtId="0" fontId="3" fillId="13" borderId="1" xfId="0" applyFont="1" applyFill="1" applyBorder="1" applyAlignment="1" applyProtection="1">
      <alignment horizontal="center" vertical="center" wrapText="1"/>
    </xf>
    <xf numFmtId="0" fontId="3" fillId="11" borderId="1" xfId="0" applyFont="1" applyFill="1" applyBorder="1" applyAlignment="1" applyProtection="1">
      <alignment horizontal="center" vertical="center" wrapText="1"/>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wrapText="1"/>
    </xf>
    <xf numFmtId="0" fontId="0" fillId="12" borderId="1" xfId="0" applyFill="1" applyBorder="1" applyAlignment="1" applyProtection="1">
      <alignment horizontal="center" vertical="center"/>
    </xf>
    <xf numFmtId="0" fontId="0" fillId="12" borderId="1" xfId="0" applyFill="1" applyBorder="1" applyAlignment="1" applyProtection="1">
      <alignment vertical="center"/>
    </xf>
    <xf numFmtId="0" fontId="0" fillId="13" borderId="1" xfId="0" applyFill="1" applyBorder="1" applyAlignment="1" applyProtection="1">
      <alignment horizontal="center" vertical="center"/>
    </xf>
    <xf numFmtId="0" fontId="0" fillId="11" borderId="1" xfId="0" applyFill="1" applyBorder="1" applyAlignment="1" applyProtection="1">
      <alignment vertical="center"/>
    </xf>
    <xf numFmtId="0" fontId="0" fillId="4" borderId="1" xfId="0" applyFont="1" applyFill="1" applyBorder="1" applyAlignment="1" applyProtection="1">
      <alignment horizontal="center" vertical="center"/>
    </xf>
    <xf numFmtId="0" fontId="0" fillId="4" borderId="1" xfId="0" applyFill="1" applyBorder="1" applyAlignment="1" applyProtection="1">
      <alignment horizontal="right" vertical="center"/>
    </xf>
    <xf numFmtId="0" fontId="0" fillId="4" borderId="1" xfId="0" applyFill="1" applyBorder="1" applyAlignment="1" applyProtection="1">
      <alignment horizontal="left" vertical="center"/>
    </xf>
    <xf numFmtId="0" fontId="0" fillId="4" borderId="1" xfId="0" applyFill="1" applyBorder="1" applyAlignment="1" applyProtection="1">
      <alignment horizontal="left"/>
    </xf>
    <xf numFmtId="9" fontId="0" fillId="4" borderId="1" xfId="0" applyNumberFormat="1" applyFill="1" applyBorder="1" applyAlignment="1" applyProtection="1">
      <alignment horizontal="left" vertical="center"/>
    </xf>
    <xf numFmtId="0" fontId="0" fillId="4" borderId="1" xfId="0" applyFill="1" applyBorder="1" applyAlignment="1" applyProtection="1">
      <alignment horizontal="right"/>
    </xf>
    <xf numFmtId="0" fontId="0" fillId="4" borderId="1" xfId="0" applyFill="1" applyBorder="1" applyAlignment="1" applyProtection="1">
      <alignment horizontal="left" vertical="center" wrapText="1"/>
    </xf>
    <xf numFmtId="0" fontId="8" fillId="0" borderId="3" xfId="0" applyFont="1" applyBorder="1" applyAlignment="1" applyProtection="1">
      <protection locked="0"/>
    </xf>
    <xf numFmtId="0" fontId="0" fillId="15" borderId="1" xfId="0" applyFont="1" applyFill="1" applyBorder="1" applyAlignment="1" applyProtection="1">
      <alignment horizontal="center" vertical="center"/>
    </xf>
    <xf numFmtId="0" fontId="0" fillId="2" borderId="1" xfId="0" applyFill="1" applyBorder="1" applyAlignment="1" applyProtection="1">
      <alignment vertical="center"/>
    </xf>
    <xf numFmtId="0" fontId="0" fillId="2" borderId="1" xfId="0" applyFill="1" applyBorder="1" applyAlignment="1" applyProtection="1">
      <alignment horizontal="center" vertical="center"/>
    </xf>
    <xf numFmtId="0" fontId="0" fillId="0" borderId="18" xfId="0" applyFill="1" applyBorder="1"/>
    <xf numFmtId="0" fontId="4" fillId="0" borderId="3" xfId="0" applyFont="1" applyBorder="1" applyAlignment="1" applyProtection="1">
      <protection locked="0"/>
    </xf>
    <xf numFmtId="0" fontId="0" fillId="12" borderId="0" xfId="0" applyFill="1" applyAlignment="1" applyProtection="1">
      <alignment horizontal="center" vertical="center"/>
      <protection locked="0"/>
    </xf>
    <xf numFmtId="0" fontId="0" fillId="12" borderId="0" xfId="0" applyFill="1" applyProtection="1">
      <protection locked="0"/>
    </xf>
    <xf numFmtId="165" fontId="0" fillId="8" borderId="1" xfId="0" applyNumberFormat="1" applyFill="1" applyBorder="1"/>
    <xf numFmtId="165" fontId="0" fillId="2" borderId="1" xfId="0" applyNumberFormat="1" applyFill="1" applyBorder="1"/>
    <xf numFmtId="166" fontId="0" fillId="8" borderId="1" xfId="0" applyNumberFormat="1" applyFill="1" applyBorder="1"/>
    <xf numFmtId="164" fontId="0" fillId="8" borderId="1" xfId="0" applyNumberFormat="1" applyFill="1" applyBorder="1"/>
    <xf numFmtId="165" fontId="0" fillId="8" borderId="0" xfId="0" applyNumberFormat="1" applyFill="1"/>
    <xf numFmtId="166" fontId="0" fillId="8" borderId="0" xfId="0" applyNumberFormat="1" applyFill="1"/>
    <xf numFmtId="165" fontId="0" fillId="2" borderId="0" xfId="0" applyNumberFormat="1" applyFill="1"/>
    <xf numFmtId="0" fontId="0" fillId="2" borderId="0" xfId="0" applyFill="1"/>
    <xf numFmtId="0" fontId="3" fillId="14" borderId="1" xfId="0" applyFont="1" applyFill="1" applyBorder="1" applyAlignment="1" applyProtection="1">
      <alignment horizontal="center" vertical="center" wrapText="1"/>
    </xf>
    <xf numFmtId="0" fontId="0" fillId="14" borderId="1" xfId="0" applyFill="1" applyBorder="1" applyAlignment="1" applyProtection="1">
      <alignment vertical="center"/>
    </xf>
    <xf numFmtId="0" fontId="0" fillId="14" borderId="1"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3" fillId="2" borderId="1" xfId="0" applyFont="1" applyFill="1" applyBorder="1" applyAlignment="1" applyProtection="1">
      <alignment horizontal="center" vertical="center" wrapText="1"/>
    </xf>
    <xf numFmtId="0" fontId="0" fillId="2" borderId="1"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6" borderId="1" xfId="0" applyFont="1" applyFill="1" applyBorder="1" applyAlignment="1" applyProtection="1">
      <alignment horizontal="center" vertical="center" wrapText="1"/>
    </xf>
    <xf numFmtId="0" fontId="0" fillId="6" borderId="1" xfId="0" applyFill="1" applyBorder="1" applyAlignment="1" applyProtection="1">
      <alignment vertical="center"/>
    </xf>
    <xf numFmtId="0" fontId="0" fillId="6" borderId="1" xfId="0" applyFill="1" applyBorder="1" applyAlignment="1" applyProtection="1">
      <alignment horizontal="center" vertical="center"/>
      <protection locked="0"/>
    </xf>
    <xf numFmtId="0" fontId="0" fillId="6" borderId="0" xfId="0" applyFill="1" applyAlignment="1" applyProtection="1">
      <alignment horizontal="center" vertical="center"/>
      <protection locked="0"/>
    </xf>
    <xf numFmtId="0" fontId="0" fillId="6" borderId="0" xfId="0" applyFill="1" applyProtection="1">
      <protection locked="0"/>
    </xf>
    <xf numFmtId="0" fontId="0" fillId="0" borderId="14" xfId="0" applyBorder="1" applyAlignment="1">
      <alignment horizontal="left" vertical="center"/>
    </xf>
    <xf numFmtId="0" fontId="3" fillId="16" borderId="1" xfId="0" applyFont="1" applyFill="1" applyBorder="1" applyAlignment="1" applyProtection="1">
      <alignment horizontal="center" vertical="center" wrapText="1"/>
    </xf>
    <xf numFmtId="0" fontId="0" fillId="16" borderId="1" xfId="0" applyFill="1" applyBorder="1" applyAlignment="1" applyProtection="1">
      <alignment vertical="center"/>
    </xf>
    <xf numFmtId="0" fontId="0" fillId="16" borderId="1" xfId="0" applyFill="1" applyBorder="1" applyAlignment="1" applyProtection="1">
      <alignment horizontal="center" vertical="center"/>
      <protection locked="0"/>
    </xf>
    <xf numFmtId="0" fontId="0" fillId="16" borderId="0" xfId="0" applyFill="1" applyAlignment="1" applyProtection="1">
      <alignment horizontal="center" vertical="center"/>
      <protection locked="0"/>
    </xf>
    <xf numFmtId="0" fontId="0" fillId="16" borderId="0" xfId="0" applyFill="1" applyProtection="1">
      <protection locked="0"/>
    </xf>
    <xf numFmtId="0" fontId="0" fillId="0" borderId="2" xfId="0" applyBorder="1"/>
    <xf numFmtId="0" fontId="0" fillId="0" borderId="19" xfId="0" applyBorder="1"/>
    <xf numFmtId="0" fontId="0" fillId="0" borderId="3" xfId="0" applyBorder="1"/>
    <xf numFmtId="0" fontId="10" fillId="6" borderId="3" xfId="0" applyFont="1" applyFill="1" applyBorder="1" applyAlignment="1">
      <alignment horizontal="center" vertical="center"/>
    </xf>
    <xf numFmtId="49" fontId="0" fillId="4" borderId="1" xfId="0" applyNumberFormat="1" applyFill="1" applyBorder="1" applyAlignment="1" applyProtection="1">
      <alignment horizontal="left" vertical="center"/>
      <protection locked="0"/>
    </xf>
    <xf numFmtId="0" fontId="0" fillId="17" borderId="1" xfId="0" applyFill="1" applyBorder="1" applyAlignment="1">
      <alignment wrapText="1"/>
    </xf>
    <xf numFmtId="0" fontId="0" fillId="17" borderId="1" xfId="0" applyFill="1" applyBorder="1"/>
    <xf numFmtId="0" fontId="0" fillId="0" borderId="1" xfId="0" applyBorder="1" applyAlignment="1">
      <alignment wrapText="1"/>
    </xf>
    <xf numFmtId="0" fontId="0" fillId="2" borderId="1" xfId="0" applyFont="1" applyFill="1" applyBorder="1" applyAlignment="1" applyProtection="1">
      <alignment horizontal="center" vertical="center"/>
    </xf>
    <xf numFmtId="0" fontId="0" fillId="2" borderId="1" xfId="0" applyFont="1" applyFill="1" applyBorder="1" applyAlignment="1" applyProtection="1">
      <alignment horizontal="center" vertic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2" borderId="14" xfId="0" applyFill="1" applyBorder="1" applyAlignment="1">
      <alignment horizontal="center" wrapText="1"/>
    </xf>
    <xf numFmtId="0" fontId="0" fillId="2" borderId="2" xfId="0" applyFill="1" applyBorder="1" applyAlignment="1">
      <alignment horizontal="center" wrapText="1"/>
    </xf>
    <xf numFmtId="0" fontId="0" fillId="2" borderId="16" xfId="0" applyFill="1" applyBorder="1" applyAlignment="1">
      <alignment horizontal="center" wrapText="1"/>
    </xf>
    <xf numFmtId="0" fontId="0" fillId="18" borderId="1" xfId="0" applyFill="1" applyBorder="1"/>
    <xf numFmtId="0" fontId="0" fillId="18" borderId="1" xfId="0" applyFill="1" applyBorder="1" applyAlignment="1">
      <alignment wrapText="1"/>
    </xf>
    <xf numFmtId="0" fontId="0" fillId="0" borderId="1" xfId="0" applyFill="1" applyBorder="1" applyAlignment="1">
      <alignment wrapText="1"/>
    </xf>
    <xf numFmtId="0" fontId="3" fillId="19" borderId="1" xfId="0" applyFont="1" applyFill="1" applyBorder="1" applyAlignment="1" applyProtection="1">
      <alignment horizontal="center" vertical="center" wrapText="1"/>
    </xf>
    <xf numFmtId="0" fontId="0" fillId="19" borderId="1" xfId="0" applyFill="1" applyBorder="1" applyAlignment="1" applyProtection="1">
      <alignment vertical="center"/>
    </xf>
    <xf numFmtId="0" fontId="0" fillId="19" borderId="1" xfId="0" applyFill="1" applyBorder="1" applyAlignment="1" applyProtection="1">
      <alignment horizontal="center" vertical="center"/>
      <protection locked="0"/>
    </xf>
    <xf numFmtId="0" fontId="0" fillId="19" borderId="0" xfId="0" applyFill="1" applyProtection="1">
      <protection locked="0"/>
    </xf>
    <xf numFmtId="9" fontId="0" fillId="0" borderId="0" xfId="0" applyNumberFormat="1" applyAlignment="1">
      <alignment horizontal="left" vertical="center"/>
    </xf>
    <xf numFmtId="167" fontId="2" fillId="0" borderId="0" xfId="1" applyNumberFormat="1"/>
    <xf numFmtId="0" fontId="21" fillId="0" borderId="0" xfId="1" applyFont="1"/>
    <xf numFmtId="0" fontId="21" fillId="0" borderId="0" xfId="1" applyFont="1" applyAlignment="1">
      <alignment vertical="center"/>
    </xf>
    <xf numFmtId="0" fontId="2" fillId="0" borderId="22" xfId="1" applyBorder="1" applyAlignment="1" applyProtection="1">
      <alignment horizontal="left" vertical="center" indent="1"/>
      <protection locked="0"/>
    </xf>
    <xf numFmtId="0" fontId="21" fillId="0" borderId="0" xfId="1" applyFont="1" applyAlignment="1">
      <alignment horizontal="left" vertical="center"/>
    </xf>
    <xf numFmtId="49" fontId="2" fillId="0" borderId="22" xfId="1" applyNumberFormat="1" applyBorder="1" applyAlignment="1" applyProtection="1">
      <alignment horizontal="left" vertical="center" indent="1"/>
      <protection locked="0"/>
    </xf>
    <xf numFmtId="0" fontId="22" fillId="0" borderId="22" xfId="1" applyFont="1" applyBorder="1" applyAlignment="1" applyProtection="1">
      <alignment horizontal="left" vertical="center" indent="1"/>
      <protection locked="0"/>
    </xf>
    <xf numFmtId="0" fontId="23" fillId="0" borderId="0" xfId="1" applyFont="1" applyAlignment="1">
      <alignment horizontal="center"/>
    </xf>
    <xf numFmtId="0" fontId="23" fillId="0" borderId="0" xfId="1" applyFont="1"/>
    <xf numFmtId="0" fontId="21" fillId="0" borderId="23" xfId="1" applyFont="1" applyBorder="1"/>
    <xf numFmtId="0" fontId="21" fillId="0" borderId="24" xfId="1" applyFont="1" applyBorder="1"/>
    <xf numFmtId="2" fontId="21" fillId="0" borderId="25" xfId="1" applyNumberFormat="1" applyFont="1" applyBorder="1" applyProtection="1">
      <protection locked="0"/>
    </xf>
    <xf numFmtId="0" fontId="21" fillId="0" borderId="0" xfId="1" applyFont="1" applyAlignment="1">
      <alignment horizontal="center"/>
    </xf>
    <xf numFmtId="0" fontId="2" fillId="0" borderId="22" xfId="1" applyBorder="1" applyAlignment="1">
      <alignment horizontal="center" vertical="center"/>
    </xf>
    <xf numFmtId="0" fontId="24" fillId="0" borderId="0" xfId="1" applyFont="1" applyAlignment="1">
      <alignment vertical="center"/>
    </xf>
    <xf numFmtId="0" fontId="21" fillId="0" borderId="0" xfId="1" applyFont="1" applyProtection="1">
      <protection locked="0"/>
    </xf>
    <xf numFmtId="167" fontId="2" fillId="0" borderId="0" xfId="1" applyNumberFormat="1" applyProtection="1">
      <protection locked="0"/>
    </xf>
    <xf numFmtId="0" fontId="25" fillId="0" borderId="0" xfId="3" applyNumberFormat="1" applyFont="1" applyBorder="1" applyAlignment="1">
      <alignment horizontal="center" vertical="center"/>
    </xf>
    <xf numFmtId="0" fontId="25" fillId="7" borderId="0" xfId="3" applyNumberFormat="1" applyFont="1" applyFill="1" applyBorder="1" applyAlignment="1">
      <alignment horizontal="center" vertical="center"/>
    </xf>
    <xf numFmtId="0" fontId="25" fillId="20" borderId="0" xfId="3" applyNumberFormat="1" applyFont="1" applyFill="1" applyBorder="1" applyAlignment="1">
      <alignment horizontal="center" vertical="center"/>
    </xf>
    <xf numFmtId="0" fontId="25" fillId="21" borderId="0" xfId="3" applyNumberFormat="1" applyFont="1" applyFill="1" applyBorder="1" applyAlignment="1">
      <alignment horizontal="center" vertical="center"/>
    </xf>
    <xf numFmtId="0" fontId="25" fillId="3" borderId="0" xfId="3" applyNumberFormat="1" applyFont="1" applyFill="1" applyBorder="1" applyAlignment="1">
      <alignment horizontal="center" vertical="center"/>
    </xf>
    <xf numFmtId="0" fontId="25" fillId="2" borderId="0" xfId="3" applyNumberFormat="1" applyFont="1" applyFill="1" applyBorder="1" applyAlignment="1">
      <alignment horizontal="center" vertical="center"/>
    </xf>
    <xf numFmtId="0" fontId="2" fillId="22" borderId="0" xfId="1" applyFill="1"/>
    <xf numFmtId="0" fontId="2" fillId="0" borderId="0" xfId="1"/>
    <xf numFmtId="0" fontId="0" fillId="0" borderId="0" xfId="1" applyFont="1" applyAlignment="1">
      <alignment horizontal="center" vertical="center"/>
    </xf>
    <xf numFmtId="0" fontId="2" fillId="0" borderId="0" xfId="1" applyAlignment="1">
      <alignment horizontal="center" vertical="center"/>
    </xf>
    <xf numFmtId="0" fontId="0" fillId="22" borderId="0" xfId="1" applyFont="1" applyFill="1" applyAlignment="1">
      <alignment horizontal="center" vertical="center"/>
    </xf>
    <xf numFmtId="0" fontId="26" fillId="22" borderId="0" xfId="1" applyFont="1" applyFill="1"/>
    <xf numFmtId="0" fontId="2" fillId="22" borderId="12" xfId="1" applyFill="1" applyBorder="1"/>
    <xf numFmtId="0" fontId="2" fillId="22" borderId="6" xfId="1" applyFill="1" applyBorder="1"/>
    <xf numFmtId="0" fontId="2" fillId="22" borderId="11" xfId="1" applyFill="1" applyBorder="1"/>
    <xf numFmtId="0" fontId="2" fillId="22" borderId="7" xfId="1" applyFill="1" applyBorder="1"/>
    <xf numFmtId="0" fontId="27" fillId="22" borderId="8" xfId="1" applyFont="1" applyFill="1" applyBorder="1" applyAlignment="1">
      <alignment horizontal="right" vertical="center"/>
    </xf>
    <xf numFmtId="0" fontId="27" fillId="22" borderId="0" xfId="1" applyFont="1" applyFill="1" applyAlignment="1">
      <alignment vertical="center"/>
    </xf>
    <xf numFmtId="0" fontId="2" fillId="22" borderId="9" xfId="1" applyFill="1" applyBorder="1"/>
    <xf numFmtId="0" fontId="28" fillId="20" borderId="8" xfId="1" applyFont="1" applyFill="1" applyBorder="1" applyAlignment="1">
      <alignment horizontal="right" vertical="center"/>
    </xf>
    <xf numFmtId="49" fontId="2" fillId="20" borderId="0" xfId="1" applyNumberFormat="1" applyFill="1" applyAlignment="1">
      <alignment horizontal="left" vertical="center"/>
    </xf>
    <xf numFmtId="0" fontId="2" fillId="20" borderId="0" xfId="1" applyFill="1" applyAlignment="1">
      <alignment vertical="center"/>
    </xf>
    <xf numFmtId="0" fontId="2" fillId="22" borderId="0" xfId="1" applyFill="1" applyAlignment="1">
      <alignment horizontal="left"/>
    </xf>
    <xf numFmtId="0" fontId="28" fillId="22" borderId="0" xfId="1" applyFont="1" applyFill="1"/>
    <xf numFmtId="0" fontId="2" fillId="22" borderId="0" xfId="1" applyFill="1" applyAlignment="1">
      <alignment horizontal="left" vertical="center"/>
    </xf>
    <xf numFmtId="0" fontId="28" fillId="3" borderId="8" xfId="1" applyFont="1" applyFill="1" applyBorder="1" applyAlignment="1">
      <alignment horizontal="right" vertical="center"/>
    </xf>
    <xf numFmtId="49" fontId="2" fillId="3" borderId="0" xfId="1" applyNumberFormat="1" applyFill="1" applyAlignment="1">
      <alignment horizontal="left" vertical="center"/>
    </xf>
    <xf numFmtId="0" fontId="2" fillId="3" borderId="0" xfId="1" applyFill="1"/>
    <xf numFmtId="0" fontId="28" fillId="2" borderId="8" xfId="1" applyFont="1" applyFill="1" applyBorder="1" applyAlignment="1">
      <alignment horizontal="right" vertical="center"/>
    </xf>
    <xf numFmtId="49" fontId="2" fillId="2" borderId="0" xfId="1" applyNumberFormat="1" applyFill="1" applyAlignment="1">
      <alignment horizontal="left" vertical="center"/>
    </xf>
    <xf numFmtId="0" fontId="2" fillId="2" borderId="0" xfId="1" applyFill="1"/>
    <xf numFmtId="0" fontId="0" fillId="22" borderId="0" xfId="1" applyFont="1" applyFill="1" applyAlignment="1">
      <alignment vertical="top"/>
    </xf>
    <xf numFmtId="0" fontId="2" fillId="22" borderId="12" xfId="1" applyFill="1" applyBorder="1" applyAlignment="1">
      <alignment vertical="top"/>
    </xf>
    <xf numFmtId="0" fontId="2" fillId="22" borderId="13" xfId="1" applyFill="1" applyBorder="1"/>
    <xf numFmtId="0" fontId="28" fillId="22" borderId="11" xfId="1" applyFont="1" applyFill="1" applyBorder="1" applyAlignment="1">
      <alignment wrapText="1"/>
    </xf>
    <xf numFmtId="0" fontId="29" fillId="22" borderId="0" xfId="1" applyFont="1" applyFill="1"/>
    <xf numFmtId="0" fontId="30" fillId="22" borderId="26" xfId="1" applyFont="1" applyFill="1" applyBorder="1"/>
    <xf numFmtId="0" fontId="2" fillId="22" borderId="27" xfId="1" applyFill="1" applyBorder="1"/>
    <xf numFmtId="0" fontId="2" fillId="22" borderId="28" xfId="1" applyFill="1" applyBorder="1"/>
    <xf numFmtId="0" fontId="2" fillId="22" borderId="29" xfId="1" applyFill="1" applyBorder="1"/>
    <xf numFmtId="0" fontId="30" fillId="22" borderId="30" xfId="1" applyFont="1" applyFill="1" applyBorder="1"/>
    <xf numFmtId="0" fontId="2" fillId="22" borderId="19" xfId="1" applyFill="1" applyBorder="1"/>
    <xf numFmtId="0" fontId="2" fillId="22" borderId="31" xfId="1" applyFill="1" applyBorder="1"/>
    <xf numFmtId="0" fontId="30" fillId="22" borderId="8" xfId="1" quotePrefix="1" applyFont="1" applyFill="1" applyBorder="1"/>
    <xf numFmtId="0" fontId="30" fillId="22" borderId="32" xfId="1" applyFont="1" applyFill="1" applyBorder="1"/>
    <xf numFmtId="0" fontId="2" fillId="22" borderId="3" xfId="1" applyFill="1" applyBorder="1"/>
    <xf numFmtId="0" fontId="2" fillId="22" borderId="33" xfId="1" applyFill="1" applyBorder="1"/>
    <xf numFmtId="0" fontId="30" fillId="22" borderId="34" xfId="1" applyFont="1" applyFill="1" applyBorder="1"/>
    <xf numFmtId="0" fontId="2" fillId="22" borderId="35" xfId="1" applyFill="1" applyBorder="1"/>
    <xf numFmtId="0" fontId="30" fillId="22" borderId="36" xfId="1" applyFont="1" applyFill="1" applyBorder="1"/>
    <xf numFmtId="0" fontId="2" fillId="22" borderId="37" xfId="1" applyFill="1" applyBorder="1"/>
    <xf numFmtId="0" fontId="30" fillId="22" borderId="38" xfId="1" applyFont="1" applyFill="1" applyBorder="1"/>
    <xf numFmtId="0" fontId="2" fillId="22" borderId="39" xfId="1" applyFill="1" applyBorder="1"/>
    <xf numFmtId="0" fontId="30" fillId="22" borderId="11" xfId="1" applyFont="1" applyFill="1" applyBorder="1"/>
    <xf numFmtId="0" fontId="30" fillId="22" borderId="0" xfId="1" applyFont="1" applyFill="1"/>
    <xf numFmtId="0" fontId="2" fillId="22" borderId="0" xfId="1" applyFill="1" applyAlignment="1">
      <alignment horizontal="center" vertical="center"/>
    </xf>
    <xf numFmtId="49" fontId="28" fillId="23" borderId="0" xfId="1" applyNumberFormat="1" applyFont="1" applyFill="1" applyAlignment="1">
      <alignment horizontal="center" vertical="center"/>
    </xf>
    <xf numFmtId="49" fontId="28" fillId="0" borderId="0" xfId="1" applyNumberFormat="1" applyFont="1" applyAlignment="1">
      <alignment horizontal="center" vertical="center"/>
    </xf>
    <xf numFmtId="49" fontId="32" fillId="0" borderId="0" xfId="1" applyNumberFormat="1" applyFont="1" applyAlignment="1">
      <alignment horizontal="right"/>
    </xf>
    <xf numFmtId="49" fontId="2" fillId="0" borderId="0" xfId="1" applyNumberFormat="1" applyAlignment="1">
      <alignment horizontal="right"/>
    </xf>
    <xf numFmtId="49" fontId="2" fillId="0" borderId="0" xfId="1" applyNumberFormat="1"/>
    <xf numFmtId="49" fontId="33" fillId="0" borderId="0" xfId="1" applyNumberFormat="1" applyFont="1" applyAlignment="1">
      <alignment horizontal="right"/>
    </xf>
    <xf numFmtId="2" fontId="2" fillId="0" borderId="0" xfId="1" applyNumberFormat="1" applyAlignment="1">
      <alignment horizontal="right"/>
    </xf>
    <xf numFmtId="0" fontId="33" fillId="0" borderId="0" xfId="1" applyFont="1"/>
    <xf numFmtId="168" fontId="2" fillId="0" borderId="0" xfId="1" applyNumberFormat="1" applyAlignment="1">
      <alignment horizontal="right"/>
    </xf>
    <xf numFmtId="0" fontId="1" fillId="0" borderId="0" xfId="4"/>
    <xf numFmtId="0" fontId="34" fillId="0" borderId="0" xfId="4" applyFont="1" applyAlignment="1">
      <alignment horizontal="center"/>
    </xf>
    <xf numFmtId="0" fontId="35" fillId="0" borderId="0" xfId="4" applyFont="1" applyAlignment="1">
      <alignment horizontal="center"/>
    </xf>
    <xf numFmtId="0" fontId="1" fillId="0" borderId="17" xfId="4" applyBorder="1"/>
    <xf numFmtId="0" fontId="34" fillId="0" borderId="17" xfId="4" applyFont="1" applyBorder="1" applyAlignment="1">
      <alignment horizontal="center"/>
    </xf>
    <xf numFmtId="0" fontId="33" fillId="0" borderId="40" xfId="4" applyFont="1" applyBorder="1" applyAlignment="1">
      <alignment horizontal="center"/>
    </xf>
    <xf numFmtId="0" fontId="1" fillId="0" borderId="18" xfId="4" applyBorder="1"/>
    <xf numFmtId="0" fontId="34" fillId="0" borderId="18" xfId="4" applyFont="1" applyBorder="1" applyAlignment="1">
      <alignment horizontal="center"/>
    </xf>
    <xf numFmtId="0" fontId="33" fillId="0" borderId="41" xfId="4" applyFont="1" applyBorder="1" applyAlignment="1">
      <alignment horizontal="center"/>
    </xf>
    <xf numFmtId="0" fontId="20" fillId="23" borderId="18" xfId="4" applyFont="1" applyFill="1" applyBorder="1" applyAlignment="1">
      <alignment horizontal="center" vertical="center" wrapText="1"/>
    </xf>
    <xf numFmtId="0" fontId="20" fillId="25" borderId="18" xfId="4" applyFont="1" applyFill="1" applyBorder="1" applyAlignment="1">
      <alignment horizontal="center" vertical="center" wrapText="1"/>
    </xf>
    <xf numFmtId="0" fontId="1" fillId="26" borderId="18" xfId="4" applyFill="1" applyBorder="1" applyAlignment="1">
      <alignment horizontal="center" vertical="center" wrapText="1"/>
    </xf>
    <xf numFmtId="0" fontId="20" fillId="27" borderId="41" xfId="4" applyFont="1" applyFill="1" applyBorder="1" applyAlignment="1">
      <alignment horizontal="center" vertical="center" wrapText="1"/>
    </xf>
    <xf numFmtId="49" fontId="31" fillId="0" borderId="0" xfId="1" applyNumberFormat="1" applyFont="1" applyProtection="1">
      <protection locked="0"/>
    </xf>
    <xf numFmtId="49" fontId="38" fillId="0" borderId="0" xfId="1" applyNumberFormat="1" applyFont="1" applyProtection="1">
      <protection locked="0"/>
    </xf>
    <xf numFmtId="49" fontId="36" fillId="24" borderId="0" xfId="1" applyNumberFormat="1" applyFont="1" applyFill="1" applyAlignment="1" applyProtection="1">
      <alignment horizontal="center" vertical="center"/>
      <protection locked="0"/>
    </xf>
    <xf numFmtId="49" fontId="37" fillId="24" borderId="0" xfId="1" applyNumberFormat="1" applyFont="1" applyFill="1" applyAlignment="1" applyProtection="1">
      <alignment horizontal="center" vertical="center"/>
      <protection locked="0"/>
    </xf>
    <xf numFmtId="0" fontId="28" fillId="0" borderId="0" xfId="1" applyFont="1" applyAlignment="1" applyProtection="1">
      <alignment horizontal="center"/>
      <protection locked="0"/>
    </xf>
    <xf numFmtId="0" fontId="3" fillId="0" borderId="1" xfId="0" applyNumberFormat="1" applyFont="1" applyFill="1" applyBorder="1" applyAlignment="1" applyProtection="1">
      <alignment horizontal="center" vertical="center" wrapText="1"/>
    </xf>
    <xf numFmtId="0" fontId="0" fillId="15" borderId="1" xfId="0" applyNumberFormat="1" applyFont="1" applyFill="1" applyBorder="1" applyAlignment="1" applyProtection="1">
      <alignment horizontal="center" vertical="center"/>
    </xf>
    <xf numFmtId="0" fontId="0" fillId="0" borderId="0" xfId="0" applyNumberFormat="1" applyProtection="1">
      <protection locked="0"/>
    </xf>
    <xf numFmtId="0" fontId="3" fillId="3" borderId="1" xfId="0" applyNumberFormat="1" applyFont="1" applyFill="1" applyBorder="1" applyAlignment="1" applyProtection="1">
      <alignment horizontal="center" vertical="center" wrapText="1"/>
    </xf>
    <xf numFmtId="0" fontId="0" fillId="2" borderId="1" xfId="0" applyNumberFormat="1" applyFont="1" applyFill="1" applyBorder="1" applyAlignment="1" applyProtection="1">
      <alignment horizontal="center" vertical="center" wrapText="1"/>
    </xf>
    <xf numFmtId="0" fontId="0" fillId="4" borderId="1" xfId="0" applyNumberFormat="1" applyFill="1" applyBorder="1" applyAlignment="1" applyProtection="1">
      <alignment horizontal="left" vertical="center"/>
    </xf>
    <xf numFmtId="0" fontId="0" fillId="4" borderId="1" xfId="0" applyNumberFormat="1" applyFill="1" applyBorder="1" applyAlignment="1" applyProtection="1">
      <alignment horizontal="left" vertical="center" wrapText="1"/>
    </xf>
    <xf numFmtId="0" fontId="0" fillId="4" borderId="1" xfId="0" applyNumberFormat="1" applyFill="1" applyBorder="1" applyAlignment="1" applyProtection="1">
      <alignment horizontal="left" vertical="center" wrapText="1"/>
      <protection locked="0"/>
    </xf>
    <xf numFmtId="0" fontId="0" fillId="4" borderId="1" xfId="0" applyNumberFormat="1" applyFill="1" applyBorder="1" applyAlignment="1" applyProtection="1">
      <alignment horizontal="left"/>
      <protection locked="0"/>
    </xf>
    <xf numFmtId="0" fontId="0" fillId="4" borderId="1" xfId="0" applyNumberFormat="1" applyFill="1" applyBorder="1"/>
    <xf numFmtId="0" fontId="0" fillId="4" borderId="1" xfId="0" applyFill="1" applyBorder="1" applyAlignment="1" applyProtection="1">
      <alignment horizontal="center"/>
    </xf>
    <xf numFmtId="0" fontId="0" fillId="4" borderId="1" xfId="0" applyFill="1" applyBorder="1" applyAlignment="1" applyProtection="1">
      <alignment horizontal="center"/>
      <protection locked="0"/>
    </xf>
    <xf numFmtId="0" fontId="28" fillId="22" borderId="8" xfId="1" applyFont="1" applyFill="1" applyBorder="1" applyAlignment="1">
      <alignment horizontal="right" wrapText="1"/>
    </xf>
    <xf numFmtId="0" fontId="28" fillId="22" borderId="10" xfId="1" applyFont="1" applyFill="1" applyBorder="1" applyAlignment="1">
      <alignment horizontal="right" wrapText="1"/>
    </xf>
    <xf numFmtId="0" fontId="3" fillId="13" borderId="3" xfId="0" applyFont="1" applyFill="1" applyBorder="1" applyAlignment="1" applyProtection="1">
      <alignment horizontal="center"/>
    </xf>
    <xf numFmtId="0" fontId="8" fillId="0" borderId="3" xfId="0" applyFont="1" applyBorder="1" applyAlignment="1" applyProtection="1">
      <alignment horizontal="left"/>
      <protection locked="0"/>
    </xf>
    <xf numFmtId="0" fontId="3" fillId="12" borderId="14" xfId="0" applyFont="1" applyFill="1" applyBorder="1" applyAlignment="1" applyProtection="1">
      <alignment horizontal="center"/>
    </xf>
    <xf numFmtId="0" fontId="3" fillId="12" borderId="2" xfId="0" applyFont="1" applyFill="1" applyBorder="1" applyAlignment="1" applyProtection="1">
      <alignment horizontal="center"/>
    </xf>
    <xf numFmtId="0" fontId="3" fillId="19" borderId="3" xfId="0" applyFont="1" applyFill="1" applyBorder="1" applyAlignment="1" applyProtection="1">
      <alignment horizontal="center"/>
    </xf>
    <xf numFmtId="0" fontId="3" fillId="10" borderId="14" xfId="0" applyFont="1" applyFill="1" applyBorder="1" applyAlignment="1" applyProtection="1">
      <alignment horizontal="center"/>
    </xf>
    <xf numFmtId="0" fontId="3" fillId="10" borderId="2" xfId="0" applyFont="1" applyFill="1" applyBorder="1" applyAlignment="1" applyProtection="1">
      <alignment horizontal="center"/>
    </xf>
    <xf numFmtId="0" fontId="3" fillId="10" borderId="16" xfId="0" applyFont="1" applyFill="1" applyBorder="1" applyAlignment="1" applyProtection="1">
      <alignment horizontal="center"/>
    </xf>
    <xf numFmtId="0" fontId="0" fillId="0" borderId="6"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3" xfId="0" applyBorder="1" applyAlignment="1">
      <alignment horizontal="left"/>
    </xf>
    <xf numFmtId="0" fontId="11" fillId="0" borderId="0" xfId="0" applyFont="1" applyAlignment="1">
      <alignment horizontal="center"/>
    </xf>
    <xf numFmtId="0" fontId="0" fillId="0" borderId="0" xfId="0" applyAlignment="1"/>
    <xf numFmtId="0" fontId="10" fillId="2" borderId="1" xfId="0" applyFont="1" applyFill="1" applyBorder="1" applyAlignment="1">
      <alignment horizontal="center" wrapText="1"/>
    </xf>
    <xf numFmtId="0" fontId="0" fillId="7" borderId="14" xfId="0" applyFill="1" applyBorder="1" applyAlignment="1">
      <alignment horizontal="center" wrapText="1"/>
    </xf>
    <xf numFmtId="0" fontId="0" fillId="7" borderId="2" xfId="0" applyFill="1" applyBorder="1" applyAlignment="1">
      <alignment horizontal="center" wrapText="1"/>
    </xf>
    <xf numFmtId="0" fontId="0" fillId="7" borderId="16" xfId="0" applyFill="1" applyBorder="1" applyAlignment="1">
      <alignment horizont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17" borderId="3" xfId="0" applyFill="1" applyBorder="1" applyAlignment="1">
      <alignment horizontal="center" wrapText="1"/>
    </xf>
    <xf numFmtId="0" fontId="0" fillId="17" borderId="14" xfId="0" applyFill="1" applyBorder="1" applyAlignment="1">
      <alignment horizontal="center" wrapText="1"/>
    </xf>
    <xf numFmtId="0" fontId="0" fillId="17" borderId="2" xfId="0" applyFill="1" applyBorder="1" applyAlignment="1">
      <alignment horizontal="center" wrapText="1"/>
    </xf>
    <xf numFmtId="0" fontId="0" fillId="17" borderId="16" xfId="0" applyFill="1" applyBorder="1" applyAlignment="1">
      <alignment horizontal="center" wrapText="1"/>
    </xf>
    <xf numFmtId="0" fontId="0" fillId="0" borderId="14" xfId="0" applyFill="1" applyBorder="1" applyAlignment="1">
      <alignment horizontal="center" wrapText="1"/>
    </xf>
    <xf numFmtId="0" fontId="0" fillId="0" borderId="2" xfId="0" applyFill="1" applyBorder="1" applyAlignment="1">
      <alignment horizontal="center" wrapText="1"/>
    </xf>
    <xf numFmtId="0" fontId="0" fillId="0" borderId="16" xfId="0" applyFill="1" applyBorder="1" applyAlignment="1">
      <alignment horizontal="center" wrapText="1"/>
    </xf>
    <xf numFmtId="0" fontId="0" fillId="18" borderId="14" xfId="0" applyFill="1" applyBorder="1" applyAlignment="1">
      <alignment horizontal="left" wrapText="1"/>
    </xf>
    <xf numFmtId="0" fontId="0" fillId="18" borderId="2" xfId="0" applyFill="1" applyBorder="1" applyAlignment="1">
      <alignment horizontal="left" wrapText="1"/>
    </xf>
    <xf numFmtId="0" fontId="0" fillId="18" borderId="16" xfId="0" applyFill="1" applyBorder="1" applyAlignment="1">
      <alignment horizontal="left" wrapText="1"/>
    </xf>
    <xf numFmtId="0" fontId="18" fillId="2" borderId="2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8" borderId="3" xfId="0" applyFill="1" applyBorder="1" applyAlignment="1">
      <alignment horizontal="center" wrapText="1"/>
    </xf>
    <xf numFmtId="0" fontId="0" fillId="18" borderId="14" xfId="0" applyFill="1" applyBorder="1" applyAlignment="1">
      <alignment horizontal="center" wrapText="1"/>
    </xf>
    <xf numFmtId="0" fontId="0" fillId="18" borderId="2" xfId="0" applyFill="1" applyBorder="1" applyAlignment="1">
      <alignment horizontal="center" wrapText="1"/>
    </xf>
    <xf numFmtId="0" fontId="0" fillId="18" borderId="16" xfId="0" applyFill="1" applyBorder="1" applyAlignment="1">
      <alignment horizontal="center" wrapText="1"/>
    </xf>
  </cellXfs>
  <cellStyles count="5">
    <cellStyle name="Heading 3 2" xfId="3" xr:uid="{B7ADF4F7-F52C-4D0F-B46D-3FB77B2D960A}"/>
    <cellStyle name="Normal" xfId="0" builtinId="0"/>
    <cellStyle name="Normal 2" xfId="1" xr:uid="{00000000-0005-0000-0000-000001000000}"/>
    <cellStyle name="Normal 6" xfId="2" xr:uid="{00000000-0005-0000-0000-000002000000}"/>
    <cellStyle name="Normal 7" xfId="4" xr:uid="{19C36483-6DC6-4967-ACD3-74223C1DF514}"/>
  </cellStyles>
  <dxfs count="81">
    <dxf>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ertAlign val="baseline"/>
        <sz val="11"/>
        <color theme="1"/>
        <name val="Calibri"/>
        <family val="2"/>
        <scheme val="minor"/>
      </font>
      <fill>
        <patternFill patternType="solid">
          <fgColor indexed="64"/>
          <bgColor rgb="FF92D050"/>
        </patternFill>
      </fill>
      <alignment horizontal="center" vertical="center" textRotation="0" wrapText="0" indent="0" justifyLastLine="0" shrinkToFit="0" readingOrder="0"/>
    </dxf>
    <dxf>
      <font>
        <b/>
        <i val="0"/>
      </font>
      <fill>
        <patternFill>
          <bgColor rgb="FFFF0000"/>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E3C995"/>
      <color rgb="FFFFEAA7"/>
      <color rgb="FFFFE4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600075</xdr:colOff>
          <xdr:row>0</xdr:row>
          <xdr:rowOff>0</xdr:rowOff>
        </xdr:from>
        <xdr:to>
          <xdr:col>14</xdr:col>
          <xdr:colOff>409575</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Sheet1"/>
      <sheetName val="Sheet2"/>
      <sheetName val="RoutineMapDataValidations"/>
    </sheetNames>
    <definedNames>
      <definedName name="AxisOffset" refersTo="='Data Validations'!$G$2:$G$12"/>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H13" t="str">
            <v>FAI, LAST &amp; MINI</v>
          </cell>
        </row>
        <row r="14">
          <cell r="E14" t="str">
            <v>Gauge Pins · Go</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2">
          <cell r="A2" t="str">
            <v>B. Garcia</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xml:space="preserve"> </v>
          </cell>
          <cell r="L9" t="str">
            <v xml:space="preserve"> </v>
          </cell>
          <cell r="M9" t="str">
            <v xml:space="preserve"> </v>
          </cell>
          <cell r="AV9" t="str">
            <v>OL5</v>
          </cell>
          <cell r="AW9" t="str">
            <v>=VLOOKUP('START HERE'!$C$8,Variables!$A$2:$AZ$500,33,FALSE)</v>
          </cell>
        </row>
        <row r="10">
          <cell r="K10" t="str">
            <v xml:space="preserve"> </v>
          </cell>
          <cell r="L10" t="str">
            <v xml:space="preserve"> </v>
          </cell>
          <cell r="M10" t="str">
            <v xml:space="preserve"> </v>
          </cell>
          <cell r="AV10" t="str">
            <v>OL6</v>
          </cell>
          <cell r="AW10" t="str">
            <v>=VLOOKUP('START HERE'!$C$8,Variables!$A$2:$AZ$500,35,FALSE)</v>
          </cell>
        </row>
        <row r="11">
          <cell r="K11" t="str">
            <v xml:space="preserve"> </v>
          </cell>
          <cell r="L11" t="str">
            <v xml:space="preserve"> </v>
          </cell>
          <cell r="M11" t="str">
            <v xml:space="preserve"> </v>
          </cell>
          <cell r="AV11" t="str">
            <v>OL7</v>
          </cell>
          <cell r="AW11" t="str">
            <v>=VLOOKUP('START HERE'!$C$8,Variables!$A$2:$AZ$500,37,FALSE)</v>
          </cell>
        </row>
        <row r="12">
          <cell r="K12" t="str">
            <v xml:space="preserve"> </v>
          </cell>
          <cell r="L12" t="str">
            <v xml:space="preserve"> </v>
          </cell>
          <cell r="M12" t="str">
            <v xml:space="preserve"> </v>
          </cell>
          <cell r="AV12" t="str">
            <v>OL8</v>
          </cell>
          <cell r="AW12" t="str">
            <v>=VLOOKUP('START HERE'!$C$8,Variables!$A$2:$AZ$500,39,FALSE)</v>
          </cell>
        </row>
        <row r="13">
          <cell r="K13" t="str">
            <v xml:space="preserve"> </v>
          </cell>
          <cell r="L13" t="str">
            <v xml:space="preserve"> </v>
          </cell>
          <cell r="M13" t="str">
            <v xml:space="preserve"> </v>
          </cell>
          <cell r="AV13" t="str">
            <v>OL9</v>
          </cell>
          <cell r="AW13" t="str">
            <v>=VLOOKUP('START HERE'!$C$8,Variables!$A$2:$AZ$500,41,FALSE)</v>
          </cell>
        </row>
        <row r="14">
          <cell r="J14" t="str">
            <v xml:space="preserve"> </v>
          </cell>
          <cell r="K14" t="str">
            <v xml:space="preserve"> </v>
          </cell>
          <cell r="L14" t="str">
            <v xml:space="preserve"> </v>
          </cell>
          <cell r="M14" t="str">
            <v xml:space="preserve"> </v>
          </cell>
          <cell r="AV14" t="str">
            <v>Desc</v>
          </cell>
          <cell r="AW14" t="str">
            <v>=VLOOKUP('START HERE'!$C$8,Variables!$A$2:$AZ$500,43,FALSE)</v>
          </cell>
        </row>
        <row r="15">
          <cell r="J15" t="str">
            <v xml:space="preserve"> </v>
          </cell>
          <cell r="K15" t="str">
            <v xml:space="preserve"> </v>
          </cell>
          <cell r="L15" t="str">
            <v xml:space="preserve"> </v>
          </cell>
          <cell r="M15" t="str">
            <v xml:space="preserve"> </v>
          </cell>
          <cell r="AV15" t="str">
            <v>Var2</v>
          </cell>
          <cell r="AW15" t="str">
            <v>=VLOOKUP('START HERE'!$C$8,Variables!$A$2:$AZ$500,44,FALSE)</v>
          </cell>
        </row>
        <row r="16">
          <cell r="J16" t="str">
            <v xml:space="preserve"> </v>
          </cell>
          <cell r="K16" t="str">
            <v xml:space="preserve"> </v>
          </cell>
          <cell r="L16" t="str">
            <v xml:space="preserve"> </v>
          </cell>
          <cell r="M16" t="str">
            <v xml:space="preserve"> </v>
          </cell>
          <cell r="AV16" t="str">
            <v>Var3</v>
          </cell>
          <cell r="AW16" t="str">
            <v>=VLOOKUP('START HERE'!$C$8,Variables!$A$2:$AZ$500,45,FALSE)</v>
          </cell>
        </row>
        <row r="17">
          <cell r="J17" t="str">
            <v xml:space="preserve"> </v>
          </cell>
          <cell r="K17" t="str">
            <v xml:space="preserve"> </v>
          </cell>
          <cell r="L17" t="str">
            <v xml:space="preserve"> </v>
          </cell>
          <cell r="M17" t="str">
            <v xml:space="preserve"> </v>
          </cell>
          <cell r="AV17" t="str">
            <v>Var4</v>
          </cell>
          <cell r="AW17" t="str">
            <v>=VLOOKUP('START HERE'!$C$8,Variables!$A$2:$AZ$500,46,FALSE)</v>
          </cell>
        </row>
        <row r="18">
          <cell r="J18" t="str">
            <v xml:space="preserve"> </v>
          </cell>
          <cell r="K18" t="str">
            <v xml:space="preserve"> </v>
          </cell>
          <cell r="L18" t="str">
            <v xml:space="preserve"> </v>
          </cell>
          <cell r="M18" t="str">
            <v xml:space="preserve"> </v>
          </cell>
          <cell r="AV18" t="str">
            <v>PrePost Anodization Comments</v>
          </cell>
        </row>
        <row r="19">
          <cell r="J19" t="str">
            <v xml:space="preserve"> </v>
          </cell>
          <cell r="K19" t="str">
            <v xml:space="preserve"> </v>
          </cell>
          <cell r="L19" t="str">
            <v xml:space="preserve"> </v>
          </cell>
          <cell r="M19" t="str">
            <v xml:space="preserve"> </v>
          </cell>
          <cell r="AW19" t="str">
            <v>="Anodize "&amp;VLOOKUP('START HERE'!$C$8,'Variables'!$A$2:$AJ$500,10,FALSE)&amp;" per Danco# "&amp;VLOOKUP('START HERE'!$C$8,'Variables'!$A$2:$AJ$500,11,FALSE)</v>
          </cell>
        </row>
        <row r="20">
          <cell r="J20" t="str">
            <v xml:space="preserve"> </v>
          </cell>
          <cell r="K20" t="str">
            <v xml:space="preserve"> </v>
          </cell>
          <cell r="L20" t="str">
            <v xml:space="preserve"> </v>
          </cell>
          <cell r="M20" t="str">
            <v xml:space="preserve"> </v>
          </cell>
          <cell r="AW20" t="str">
            <v>Certification Required</v>
          </cell>
        </row>
        <row r="21">
          <cell r="J21" t="str">
            <v xml:space="preserve"> </v>
          </cell>
          <cell r="K21" t="str">
            <v xml:space="preserve"> </v>
          </cell>
          <cell r="L21" t="str">
            <v xml:space="preserve"> </v>
          </cell>
          <cell r="M21" t="str">
            <v xml:space="preserve"> </v>
          </cell>
        </row>
        <row r="22">
          <cell r="B22" t="str">
            <v xml:space="preserve"> </v>
          </cell>
          <cell r="C22" t="str">
            <v xml:space="preserve"> </v>
          </cell>
          <cell r="D22" t="str">
            <v xml:space="preserve"> </v>
          </cell>
          <cell r="E22" t="str">
            <v xml:space="preserve"> </v>
          </cell>
          <cell r="F22" t="str">
            <v xml:space="preserve"> </v>
          </cell>
          <cell r="G22" t="str">
            <v xml:space="preserve"> </v>
          </cell>
          <cell r="H22" t="str">
            <v xml:space="preserve"> </v>
          </cell>
          <cell r="I22" t="str">
            <v xml:space="preserve"> </v>
          </cell>
          <cell r="J22" t="str">
            <v xml:space="preserve"> </v>
          </cell>
          <cell r="K22" t="str">
            <v xml:space="preserve"> </v>
          </cell>
          <cell r="L22" t="str">
            <v xml:space="preserve"> </v>
          </cell>
          <cell r="M22" t="str">
            <v xml:space="preserve"> </v>
          </cell>
          <cell r="AV22" t="str">
            <v>Procedure:</v>
          </cell>
        </row>
        <row r="23">
          <cell r="B23" t="str">
            <v xml:space="preserve"> </v>
          </cell>
          <cell r="C23" t="str">
            <v xml:space="preserve"> </v>
          </cell>
          <cell r="D23" t="str">
            <v xml:space="preserve"> </v>
          </cell>
          <cell r="E23" t="str">
            <v xml:space="preserve"> </v>
          </cell>
          <cell r="F23" t="str">
            <v xml:space="preserve"> </v>
          </cell>
          <cell r="G23" t="str">
            <v xml:space="preserve"> </v>
          </cell>
          <cell r="H23" t="str">
            <v xml:space="preserve"> </v>
          </cell>
          <cell r="I23" t="str">
            <v xml:space="preserve"> </v>
          </cell>
          <cell r="J23" t="str">
            <v xml:space="preserve"> </v>
          </cell>
          <cell r="K23" t="str">
            <v xml:space="preserve"> </v>
          </cell>
          <cell r="L23" t="str">
            <v xml:space="preserve"> </v>
          </cell>
          <cell r="M23" t="str">
            <v xml:space="preserve"> </v>
          </cell>
          <cell r="AV23" t="str">
            <v>1. Enter all part numbers per print in column A</v>
          </cell>
        </row>
        <row r="24">
          <cell r="B24" t="str">
            <v xml:space="preserve"> </v>
          </cell>
          <cell r="C24" t="str">
            <v xml:space="preserve"> </v>
          </cell>
          <cell r="D24" t="str">
            <v xml:space="preserve"> </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AV24" t="str">
            <v>2. Enter inspection criteria ,as needed, in columns labeled as follows:</v>
          </cell>
        </row>
        <row r="25">
          <cell r="B25" t="str">
            <v xml:space="preserve"> </v>
          </cell>
          <cell r="C25" t="str">
            <v xml:space="preserve"> </v>
          </cell>
          <cell r="D25" t="str">
            <v xml:space="preserve"> </v>
          </cell>
          <cell r="E25" t="str">
            <v xml:space="preserve"> </v>
          </cell>
          <cell r="F25" t="str">
            <v xml:space="preserve"> </v>
          </cell>
          <cell r="G25" t="str">
            <v xml:space="preserve"> </v>
          </cell>
          <cell r="H25" t="str">
            <v xml:space="preserve"> </v>
          </cell>
          <cell r="I25" t="str">
            <v xml:space="preserve"> </v>
          </cell>
          <cell r="J25" t="str">
            <v xml:space="preserve"> </v>
          </cell>
          <cell r="K25" t="str">
            <v xml:space="preserve"> </v>
          </cell>
          <cell r="L25" t="str">
            <v xml:space="preserve"> </v>
          </cell>
          <cell r="M25" t="str">
            <v xml:space="preserve"> </v>
          </cell>
          <cell r="AV25" t="str">
            <v>'MeasurLink Routine name'(ML1 through 8), 'Anodize Color'(ANO1), 'Anodize #'(ANO2), 'Open'(ANO3), 'KEY#####'(KEY1 through 6), 'OL#####'(OL1 through 6)</v>
          </cell>
        </row>
        <row r="26">
          <cell r="B26" t="str">
            <v xml:space="preserve"> </v>
          </cell>
          <cell r="C26" t="str">
            <v xml:space="preserve"> </v>
          </cell>
          <cell r="D26" t="str">
            <v xml:space="preserve"> </v>
          </cell>
          <cell r="E26" t="str">
            <v xml:space="preserve"> </v>
          </cell>
          <cell r="F26" t="str">
            <v xml:space="preserve"> </v>
          </cell>
          <cell r="G26" t="str">
            <v xml:space="preserve"> </v>
          </cell>
          <cell r="H26" t="str">
            <v xml:space="preserve"> </v>
          </cell>
          <cell r="I26" t="str">
            <v xml:space="preserve"> </v>
          </cell>
          <cell r="J26" t="str">
            <v xml:space="preserve"> </v>
          </cell>
          <cell r="K26" t="str">
            <v xml:space="preserve"> </v>
          </cell>
          <cell r="L26" t="str">
            <v xml:space="preserve"> </v>
          </cell>
          <cell r="M26" t="str">
            <v xml:space="preserve"> </v>
          </cell>
          <cell r="AV26" t="str">
            <v>(if no criteria exists for corresponding part #, then leave blank)</v>
          </cell>
        </row>
        <row r="27">
          <cell r="B27" t="str">
            <v xml:space="preserve"> </v>
          </cell>
          <cell r="C27" t="str">
            <v xml:space="preserve"> </v>
          </cell>
          <cell r="D27" t="str">
            <v xml:space="preserve"> </v>
          </cell>
          <cell r="E27" t="str">
            <v xml:space="preserve"> </v>
          </cell>
          <cell r="F27" t="str">
            <v xml:space="preserve"> </v>
          </cell>
          <cell r="G27" t="str">
            <v xml:space="preserve"> </v>
          </cell>
          <cell r="H27" t="str">
            <v xml:space="preserve"> </v>
          </cell>
          <cell r="I27" t="str">
            <v xml:space="preserve"> </v>
          </cell>
          <cell r="J27" t="str">
            <v xml:space="preserve"> </v>
          </cell>
          <cell r="K27" t="str">
            <v xml:space="preserve"> </v>
          </cell>
          <cell r="L27" t="str">
            <v xml:space="preserve"> </v>
          </cell>
          <cell r="M27" t="str">
            <v xml:space="preserve"> </v>
          </cell>
          <cell r="AV27" t="str">
            <v>3. Copy formula from 'FORMULA TO COPY' column, then</v>
          </cell>
        </row>
        <row r="28">
          <cell r="B28" t="str">
            <v xml:space="preserve"> </v>
          </cell>
          <cell r="C28" t="str">
            <v xml:space="preserve"> </v>
          </cell>
          <cell r="D28" t="str">
            <v xml:space="preserve"> </v>
          </cell>
          <cell r="E28" t="str">
            <v xml:space="preserve"> </v>
          </cell>
          <cell r="F28" t="str">
            <v xml:space="preserve"> </v>
          </cell>
          <cell r="G28" t="str">
            <v xml:space="preserve"> </v>
          </cell>
          <cell r="H28" t="str">
            <v xml:space="preserve"> </v>
          </cell>
          <cell r="I28" t="str">
            <v xml:space="preserve"> </v>
          </cell>
          <cell r="J28" t="str">
            <v xml:space="preserve"> </v>
          </cell>
          <cell r="K28" t="str">
            <v xml:space="preserve"> </v>
          </cell>
          <cell r="L28" t="str">
            <v xml:space="preserve"> </v>
          </cell>
          <cell r="M28" t="str">
            <v xml:space="preserve"> </v>
          </cell>
          <cell r="AV28" t="str">
            <v>paste into cell on tab where corresponding criteria is used.</v>
          </cell>
        </row>
        <row r="29">
          <cell r="B29" t="str">
            <v xml:space="preserve"> </v>
          </cell>
          <cell r="C29" t="str">
            <v xml:space="preserve"> </v>
          </cell>
          <cell r="D29" t="str">
            <v xml:space="preserve"> </v>
          </cell>
          <cell r="E29" t="str">
            <v xml:space="preserve"> </v>
          </cell>
          <cell r="F29" t="str">
            <v xml:space="preserve"> </v>
          </cell>
          <cell r="G29" t="str">
            <v xml:space="preserve"> </v>
          </cell>
          <cell r="H29" t="str">
            <v xml:space="preserve"> </v>
          </cell>
          <cell r="I29" t="str">
            <v xml:space="preserve"> </v>
          </cell>
          <cell r="J29" t="str">
            <v xml:space="preserve"> </v>
          </cell>
          <cell r="K29" t="str">
            <v xml:space="preserve"> </v>
          </cell>
          <cell r="L29" t="str">
            <v xml:space="preserve"> </v>
          </cell>
          <cell r="M29" t="str">
            <v xml:space="preserve"> </v>
          </cell>
          <cell r="AV29" t="str">
            <v>4. MUST make sure cell format is set to 'Text' where formula is copied for</v>
          </cell>
        </row>
        <row r="30">
          <cell r="B30" t="str">
            <v xml:space="preserve"> </v>
          </cell>
          <cell r="C30" t="str">
            <v xml:space="preserve"> </v>
          </cell>
          <cell r="D30" t="str">
            <v xml:space="preserve"> </v>
          </cell>
          <cell r="E30" t="str">
            <v xml:space="preserve"> </v>
          </cell>
          <cell r="F30" t="str">
            <v xml:space="preserve"> </v>
          </cell>
          <cell r="G30" t="str">
            <v xml:space="preserve"> </v>
          </cell>
          <cell r="H30" t="str">
            <v xml:space="preserve"> </v>
          </cell>
          <cell r="I30" t="str">
            <v xml:space="preserve"> </v>
          </cell>
          <cell r="J30" t="str">
            <v xml:space="preserve"> </v>
          </cell>
          <cell r="K30" t="str">
            <v xml:space="preserve"> </v>
          </cell>
          <cell r="L30" t="str">
            <v xml:space="preserve"> </v>
          </cell>
          <cell r="M30" t="str">
            <v xml:space="preserve"> </v>
          </cell>
          <cell r="AV30" t="str">
            <v>VLOOKUP to work properly.</v>
          </cell>
        </row>
        <row r="31">
          <cell r="B31" t="str">
            <v xml:space="preserve"> </v>
          </cell>
          <cell r="C31" t="str">
            <v xml:space="preserve"> </v>
          </cell>
          <cell r="D31" t="str">
            <v xml:space="preserve"> </v>
          </cell>
          <cell r="E31" t="str">
            <v xml:space="preserve"> </v>
          </cell>
          <cell r="F31" t="str">
            <v xml:space="preserve"> </v>
          </cell>
          <cell r="G31" t="str">
            <v xml:space="preserve"> </v>
          </cell>
          <cell r="H31" t="str">
            <v xml:space="preserve"> </v>
          </cell>
          <cell r="I31" t="str">
            <v xml:space="preserve"> </v>
          </cell>
          <cell r="J31" t="str">
            <v xml:space="preserve"> </v>
          </cell>
          <cell r="K31" t="str">
            <v xml:space="preserve"> </v>
          </cell>
          <cell r="L31" t="str">
            <v xml:space="preserve"> </v>
          </cell>
          <cell r="M31" t="str">
            <v xml:space="preserve"> </v>
          </cell>
        </row>
        <row r="32">
          <cell r="B32" t="str">
            <v xml:space="preserve"> </v>
          </cell>
          <cell r="C32" t="str">
            <v xml:space="preserve"> </v>
          </cell>
          <cell r="D32" t="str">
            <v xml:space="preserve"> </v>
          </cell>
          <cell r="E32" t="str">
            <v xml:space="preserve"> </v>
          </cell>
          <cell r="F32" t="str">
            <v xml:space="preserve"> </v>
          </cell>
          <cell r="G32" t="str">
            <v xml:space="preserve"> </v>
          </cell>
          <cell r="H32" t="str">
            <v xml:space="preserve"> </v>
          </cell>
          <cell r="I32" t="str">
            <v xml:space="preserve"> </v>
          </cell>
          <cell r="J32" t="str">
            <v xml:space="preserve"> </v>
          </cell>
          <cell r="K32" t="str">
            <v xml:space="preserve"> </v>
          </cell>
          <cell r="L32" t="str">
            <v xml:space="preserve"> </v>
          </cell>
          <cell r="M32" t="str">
            <v xml:space="preserve"> </v>
          </cell>
        </row>
        <row r="33">
          <cell r="B33" t="str">
            <v xml:space="preserve"> </v>
          </cell>
          <cell r="C33" t="str">
            <v xml:space="preserve"> </v>
          </cell>
          <cell r="D33" t="str">
            <v xml:space="preserve"> </v>
          </cell>
          <cell r="E33" t="str">
            <v xml:space="preserve"> </v>
          </cell>
          <cell r="F33" t="str">
            <v xml:space="preserve"> </v>
          </cell>
          <cell r="G33" t="str">
            <v xml:space="preserve"> </v>
          </cell>
          <cell r="H33" t="str">
            <v xml:space="preserve"> </v>
          </cell>
          <cell r="I33" t="str">
            <v xml:space="preserve"> </v>
          </cell>
          <cell r="J33" t="str">
            <v xml:space="preserve"> </v>
          </cell>
          <cell r="K33" t="str">
            <v xml:space="preserve"> </v>
          </cell>
          <cell r="L33" t="str">
            <v xml:space="preserve"> </v>
          </cell>
          <cell r="M33" t="str">
            <v xml:space="preserve"> </v>
          </cell>
        </row>
        <row r="34">
          <cell r="B34" t="str">
            <v xml:space="preserve"> </v>
          </cell>
          <cell r="C34" t="str">
            <v xml:space="preserve"> </v>
          </cell>
          <cell r="D34" t="str">
            <v xml:space="preserve"> </v>
          </cell>
          <cell r="E34" t="str">
            <v xml:space="preserve"> </v>
          </cell>
          <cell r="F34" t="str">
            <v xml:space="preserve"> </v>
          </cell>
          <cell r="G34" t="str">
            <v xml:space="preserve"> </v>
          </cell>
          <cell r="H34" t="str">
            <v xml:space="preserve"> </v>
          </cell>
          <cell r="I34" t="str">
            <v xml:space="preserve"> </v>
          </cell>
          <cell r="J34" t="str">
            <v xml:space="preserve"> </v>
          </cell>
          <cell r="K34" t="str">
            <v xml:space="preserve"> </v>
          </cell>
          <cell r="L34" t="str">
            <v xml:space="preserve"> </v>
          </cell>
          <cell r="M34" t="str">
            <v xml:space="preserve"> </v>
          </cell>
        </row>
        <row r="35">
          <cell r="B35" t="str">
            <v xml:space="preserve"> </v>
          </cell>
          <cell r="C35" t="str">
            <v xml:space="preserve"> </v>
          </cell>
          <cell r="D35" t="str">
            <v xml:space="preserve"> </v>
          </cell>
          <cell r="E35" t="str">
            <v xml:space="preserve"> </v>
          </cell>
          <cell r="F35" t="str">
            <v xml:space="preserve"> </v>
          </cell>
          <cell r="G35" t="str">
            <v xml:space="preserve"> </v>
          </cell>
          <cell r="H35" t="str">
            <v xml:space="preserve"> </v>
          </cell>
          <cell r="I35" t="str">
            <v xml:space="preserve"> </v>
          </cell>
          <cell r="J35" t="str">
            <v xml:space="preserve"> </v>
          </cell>
          <cell r="K35" t="str">
            <v xml:space="preserve"> </v>
          </cell>
          <cell r="L35" t="str">
            <v xml:space="preserve"> </v>
          </cell>
          <cell r="M35" t="str">
            <v xml:space="preserve"> </v>
          </cell>
        </row>
        <row r="36">
          <cell r="B36" t="str">
            <v xml:space="preserve"> </v>
          </cell>
          <cell r="C36" t="str">
            <v xml:space="preserve"> </v>
          </cell>
          <cell r="D36" t="str">
            <v xml:space="preserve"> </v>
          </cell>
          <cell r="E36" t="str">
            <v xml:space="preserve"> </v>
          </cell>
          <cell r="F36" t="str">
            <v xml:space="preserve"> </v>
          </cell>
          <cell r="G36" t="str">
            <v xml:space="preserve"> </v>
          </cell>
          <cell r="H36" t="str">
            <v xml:space="preserve"> </v>
          </cell>
          <cell r="I36" t="str">
            <v xml:space="preserve"> </v>
          </cell>
          <cell r="J36" t="str">
            <v xml:space="preserve"> </v>
          </cell>
          <cell r="K36" t="str">
            <v xml:space="preserve"> </v>
          </cell>
          <cell r="L36" t="str">
            <v xml:space="preserve"> </v>
          </cell>
          <cell r="M36" t="str">
            <v xml:space="preserve"> </v>
          </cell>
        </row>
        <row r="37">
          <cell r="B37" t="str">
            <v xml:space="preserve"> </v>
          </cell>
          <cell r="C37" t="str">
            <v xml:space="preserve"> </v>
          </cell>
          <cell r="D37" t="str">
            <v xml:space="preserve"> </v>
          </cell>
          <cell r="E37" t="str">
            <v xml:space="preserve"> </v>
          </cell>
          <cell r="F37" t="str">
            <v xml:space="preserve"> </v>
          </cell>
          <cell r="G37" t="str">
            <v xml:space="preserve"> </v>
          </cell>
          <cell r="H37" t="str">
            <v xml:space="preserve"> </v>
          </cell>
          <cell r="I37" t="str">
            <v xml:space="preserve"> </v>
          </cell>
          <cell r="J37" t="str">
            <v xml:space="preserve"> </v>
          </cell>
          <cell r="K37" t="str">
            <v xml:space="preserve"> </v>
          </cell>
          <cell r="L37" t="str">
            <v xml:space="preserve"> </v>
          </cell>
          <cell r="M37" t="str">
            <v xml:space="preserve"> </v>
          </cell>
        </row>
        <row r="38">
          <cell r="B38" t="str">
            <v xml:space="preserve"> </v>
          </cell>
          <cell r="C38" t="str">
            <v xml:space="preserve"> </v>
          </cell>
          <cell r="D38" t="str">
            <v xml:space="preserve"> </v>
          </cell>
          <cell r="E38" t="str">
            <v xml:space="preserve"> </v>
          </cell>
          <cell r="F38" t="str">
            <v xml:space="preserve"> </v>
          </cell>
          <cell r="G38" t="str">
            <v xml:space="preserve"> </v>
          </cell>
          <cell r="H38" t="str">
            <v xml:space="preserve"> </v>
          </cell>
          <cell r="I38" t="str">
            <v xml:space="preserve"> </v>
          </cell>
          <cell r="J38" t="str">
            <v xml:space="preserve"> </v>
          </cell>
          <cell r="K38" t="str">
            <v xml:space="preserve"> </v>
          </cell>
          <cell r="L38" t="str">
            <v xml:space="preserve"> </v>
          </cell>
          <cell r="M38" t="str">
            <v xml:space="preserve"> </v>
          </cell>
        </row>
        <row r="39">
          <cell r="B39" t="str">
            <v xml:space="preserve"> </v>
          </cell>
          <cell r="C39" t="str">
            <v xml:space="preserve"> </v>
          </cell>
          <cell r="D39" t="str">
            <v xml:space="preserve"> </v>
          </cell>
          <cell r="E39" t="str">
            <v xml:space="preserve"> </v>
          </cell>
          <cell r="F39" t="str">
            <v xml:space="preserve"> </v>
          </cell>
          <cell r="G39" t="str">
            <v xml:space="preserve"> </v>
          </cell>
          <cell r="H39" t="str">
            <v xml:space="preserve"> </v>
          </cell>
          <cell r="I39" t="str">
            <v xml:space="preserve"> </v>
          </cell>
          <cell r="J39" t="str">
            <v xml:space="preserve"> </v>
          </cell>
          <cell r="K39" t="str">
            <v xml:space="preserve"> </v>
          </cell>
          <cell r="L39" t="str">
            <v xml:space="preserve"> </v>
          </cell>
          <cell r="M39" t="str">
            <v xml:space="preserve"> </v>
          </cell>
        </row>
        <row r="40">
          <cell r="B40" t="str">
            <v xml:space="preserve"> </v>
          </cell>
          <cell r="C40" t="str">
            <v xml:space="preserve"> </v>
          </cell>
          <cell r="D40" t="str">
            <v xml:space="preserve"> </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row>
        <row r="41">
          <cell r="B41" t="str">
            <v xml:space="preserve"> </v>
          </cell>
          <cell r="C41" t="str">
            <v xml:space="preserve"> </v>
          </cell>
          <cell r="D41" t="str">
            <v xml:space="preserve"> </v>
          </cell>
          <cell r="E41" t="str">
            <v xml:space="preserve"> </v>
          </cell>
          <cell r="F41" t="str">
            <v xml:space="preserve"> </v>
          </cell>
          <cell r="G41" t="str">
            <v xml:space="preserve"> </v>
          </cell>
          <cell r="H41" t="str">
            <v xml:space="preserve"> </v>
          </cell>
          <cell r="I41" t="str">
            <v xml:space="preserve"> </v>
          </cell>
          <cell r="J41" t="str">
            <v xml:space="preserve"> </v>
          </cell>
          <cell r="K41" t="str">
            <v xml:space="preserve"> </v>
          </cell>
          <cell r="L41" t="str">
            <v xml:space="preserve"> </v>
          </cell>
          <cell r="M41" t="str">
            <v xml:space="preserve"> </v>
          </cell>
        </row>
        <row r="42">
          <cell r="B42" t="str">
            <v xml:space="preserve"> </v>
          </cell>
          <cell r="C42" t="str">
            <v xml:space="preserve"> </v>
          </cell>
          <cell r="D42" t="str">
            <v xml:space="preserve"> </v>
          </cell>
          <cell r="E42" t="str">
            <v xml:space="preserve"> </v>
          </cell>
          <cell r="F42" t="str">
            <v xml:space="preserve"> </v>
          </cell>
          <cell r="G42" t="str">
            <v xml:space="preserve"> </v>
          </cell>
          <cell r="H42" t="str">
            <v xml:space="preserve"> </v>
          </cell>
          <cell r="I42" t="str">
            <v xml:space="preserve"> </v>
          </cell>
          <cell r="J42" t="str">
            <v xml:space="preserve"> </v>
          </cell>
          <cell r="K42" t="str">
            <v xml:space="preserve"> </v>
          </cell>
          <cell r="L42" t="str">
            <v xml:space="preserve"> </v>
          </cell>
          <cell r="M42" t="str">
            <v xml:space="preserve"> </v>
          </cell>
        </row>
        <row r="43">
          <cell r="B43" t="str">
            <v xml:space="preserve"> </v>
          </cell>
          <cell r="C43" t="str">
            <v xml:space="preserve"> </v>
          </cell>
          <cell r="D43" t="str">
            <v xml:space="preserve"> </v>
          </cell>
          <cell r="E43" t="str">
            <v xml:space="preserve"> </v>
          </cell>
          <cell r="F43" t="str">
            <v xml:space="preserve"> </v>
          </cell>
          <cell r="G43" t="str">
            <v xml:space="preserve"> </v>
          </cell>
          <cell r="H43" t="str">
            <v xml:space="preserve"> </v>
          </cell>
          <cell r="I43" t="str">
            <v xml:space="preserve"> </v>
          </cell>
          <cell r="J43" t="str">
            <v xml:space="preserve"> </v>
          </cell>
          <cell r="K43" t="str">
            <v xml:space="preserve"> </v>
          </cell>
          <cell r="L43" t="str">
            <v xml:space="preserve"> </v>
          </cell>
          <cell r="M43" t="str">
            <v xml:space="preserve"> </v>
          </cell>
        </row>
        <row r="44">
          <cell r="B44" t="str">
            <v xml:space="preserve"> </v>
          </cell>
          <cell r="C44" t="str">
            <v xml:space="preserve"> </v>
          </cell>
          <cell r="D44" t="str">
            <v xml:space="preserve"> </v>
          </cell>
          <cell r="E44" t="str">
            <v xml:space="preserve"> </v>
          </cell>
          <cell r="F44" t="str">
            <v xml:space="preserve"> </v>
          </cell>
          <cell r="G44" t="str">
            <v xml:space="preserve"> </v>
          </cell>
          <cell r="H44" t="str">
            <v xml:space="preserve"> </v>
          </cell>
          <cell r="I44" t="str">
            <v xml:space="preserve"> </v>
          </cell>
          <cell r="J44" t="str">
            <v xml:space="preserve"> </v>
          </cell>
          <cell r="K44" t="str">
            <v xml:space="preserve"> </v>
          </cell>
          <cell r="L44" t="str">
            <v xml:space="preserve"> </v>
          </cell>
          <cell r="M44" t="str">
            <v xml:space="preserve"> </v>
          </cell>
        </row>
        <row r="45">
          <cell r="B45" t="str">
            <v xml:space="preserve"> </v>
          </cell>
          <cell r="C45" t="str">
            <v xml:space="preserve"> </v>
          </cell>
          <cell r="D45" t="str">
            <v xml:space="preserve"> </v>
          </cell>
          <cell r="E45" t="str">
            <v xml:space="preserve"> </v>
          </cell>
          <cell r="F45" t="str">
            <v xml:space="preserve"> </v>
          </cell>
          <cell r="G45" t="str">
            <v xml:space="preserve"> </v>
          </cell>
          <cell r="H45" t="str">
            <v xml:space="preserve"> </v>
          </cell>
          <cell r="I45" t="str">
            <v xml:space="preserve"> </v>
          </cell>
          <cell r="J45" t="str">
            <v xml:space="preserve"> </v>
          </cell>
          <cell r="K45" t="str">
            <v xml:space="preserve"> </v>
          </cell>
          <cell r="L45" t="str">
            <v xml:space="preserve"> </v>
          </cell>
          <cell r="M45" t="str">
            <v xml:space="preserve"> </v>
          </cell>
        </row>
        <row r="46">
          <cell r="B46" t="str">
            <v xml:space="preserve"> </v>
          </cell>
          <cell r="C46" t="str">
            <v xml:space="preserve"> </v>
          </cell>
          <cell r="D46" t="str">
            <v xml:space="preserve"> </v>
          </cell>
          <cell r="E46" t="str">
            <v xml:space="preserve"> </v>
          </cell>
          <cell r="F46" t="str">
            <v xml:space="preserve"> </v>
          </cell>
          <cell r="G46" t="str">
            <v xml:space="preserve"> </v>
          </cell>
          <cell r="H46" t="str">
            <v xml:space="preserve"> </v>
          </cell>
          <cell r="I46" t="str">
            <v xml:space="preserve"> </v>
          </cell>
          <cell r="J46" t="str">
            <v xml:space="preserve"> </v>
          </cell>
          <cell r="K46" t="str">
            <v xml:space="preserve"> </v>
          </cell>
          <cell r="L46" t="str">
            <v xml:space="preserve"> </v>
          </cell>
          <cell r="M46" t="str">
            <v xml:space="preserve"> </v>
          </cell>
        </row>
        <row r="47">
          <cell r="B47" t="str">
            <v xml:space="preserve"> </v>
          </cell>
          <cell r="C47" t="str">
            <v xml:space="preserve"> </v>
          </cell>
          <cell r="D47" t="str">
            <v xml:space="preserve"> </v>
          </cell>
          <cell r="E47" t="str">
            <v xml:space="preserve"> </v>
          </cell>
          <cell r="F47" t="str">
            <v xml:space="preserve"> </v>
          </cell>
          <cell r="G47" t="str">
            <v xml:space="preserve"> </v>
          </cell>
          <cell r="H47" t="str">
            <v xml:space="preserve"> </v>
          </cell>
          <cell r="I47" t="str">
            <v xml:space="preserve"> </v>
          </cell>
          <cell r="J47" t="str">
            <v xml:space="preserve"> </v>
          </cell>
          <cell r="K47" t="str">
            <v xml:space="preserve"> </v>
          </cell>
          <cell r="L47" t="str">
            <v xml:space="preserve"> </v>
          </cell>
          <cell r="M47" t="str">
            <v xml:space="preserve"> </v>
          </cell>
        </row>
        <row r="48">
          <cell r="B48" t="str">
            <v xml:space="preserve"> </v>
          </cell>
          <cell r="C48" t="str">
            <v xml:space="preserve"> </v>
          </cell>
          <cell r="D48" t="str">
            <v xml:space="preserve"> </v>
          </cell>
          <cell r="E48" t="str">
            <v xml:space="preserve"> </v>
          </cell>
          <cell r="F48" t="str">
            <v xml:space="preserve"> </v>
          </cell>
          <cell r="G48" t="str">
            <v xml:space="preserve"> </v>
          </cell>
          <cell r="H48" t="str">
            <v xml:space="preserve"> </v>
          </cell>
          <cell r="I48" t="str">
            <v xml:space="preserve"> </v>
          </cell>
          <cell r="J48" t="str">
            <v xml:space="preserve"> </v>
          </cell>
          <cell r="K48" t="str">
            <v xml:space="preserve"> </v>
          </cell>
          <cell r="L48" t="str">
            <v xml:space="preserve"> </v>
          </cell>
          <cell r="M48" t="str">
            <v xml:space="preserve"> </v>
          </cell>
        </row>
        <row r="49">
          <cell r="B49" t="str">
            <v xml:space="preserve"> </v>
          </cell>
          <cell r="C49" t="str">
            <v xml:space="preserve"> </v>
          </cell>
          <cell r="D49" t="str">
            <v xml:space="preserve"> </v>
          </cell>
          <cell r="E49" t="str">
            <v xml:space="preserve"> </v>
          </cell>
          <cell r="F49" t="str">
            <v xml:space="preserve"> </v>
          </cell>
          <cell r="G49" t="str">
            <v xml:space="preserve"> </v>
          </cell>
          <cell r="H49" t="str">
            <v xml:space="preserve"> </v>
          </cell>
          <cell r="I49" t="str">
            <v xml:space="preserve"> </v>
          </cell>
          <cell r="J49" t="str">
            <v xml:space="preserve"> </v>
          </cell>
          <cell r="K49" t="str">
            <v xml:space="preserve"> </v>
          </cell>
          <cell r="L49" t="str">
            <v xml:space="preserve"> </v>
          </cell>
          <cell r="M49" t="str">
            <v xml:space="preserve"> </v>
          </cell>
        </row>
        <row r="50">
          <cell r="B50" t="str">
            <v xml:space="preserve"> </v>
          </cell>
          <cell r="C50" t="str">
            <v xml:space="preserve"> </v>
          </cell>
          <cell r="D50" t="str">
            <v xml:space="preserve"> </v>
          </cell>
          <cell r="E50" t="str">
            <v xml:space="preserve"> </v>
          </cell>
          <cell r="F50" t="str">
            <v xml:space="preserve"> </v>
          </cell>
          <cell r="G50" t="str">
            <v xml:space="preserve"> </v>
          </cell>
          <cell r="H50" t="str">
            <v xml:space="preserve"> </v>
          </cell>
          <cell r="I50" t="str">
            <v xml:space="preserve"> </v>
          </cell>
          <cell r="J50" t="str">
            <v xml:space="preserve"> </v>
          </cell>
          <cell r="K50" t="str">
            <v xml:space="preserve"> </v>
          </cell>
          <cell r="L50" t="str">
            <v xml:space="preserve"> </v>
          </cell>
          <cell r="M50" t="str">
            <v xml:space="preserve"> </v>
          </cell>
        </row>
        <row r="51">
          <cell r="B51" t="str">
            <v xml:space="preserve"> </v>
          </cell>
          <cell r="C51" t="str">
            <v xml:space="preserve"> </v>
          </cell>
          <cell r="D51" t="str">
            <v xml:space="preserve"> </v>
          </cell>
          <cell r="E51" t="str">
            <v xml:space="preserve"> </v>
          </cell>
          <cell r="F51" t="str">
            <v xml:space="preserve"> </v>
          </cell>
          <cell r="G51" t="str">
            <v xml:space="preserve"> </v>
          </cell>
          <cell r="H51" t="str">
            <v xml:space="preserve"> </v>
          </cell>
          <cell r="I51" t="str">
            <v xml:space="preserve"> </v>
          </cell>
          <cell r="J51" t="str">
            <v xml:space="preserve"> </v>
          </cell>
          <cell r="K51" t="str">
            <v xml:space="preserve"> </v>
          </cell>
          <cell r="L51" t="str">
            <v xml:space="preserve"> </v>
          </cell>
          <cell r="M51" t="str">
            <v xml:space="preserve"> </v>
          </cell>
        </row>
        <row r="52">
          <cell r="B52" t="str">
            <v xml:space="preserve"> </v>
          </cell>
          <cell r="C52" t="str">
            <v xml:space="preserve"> </v>
          </cell>
          <cell r="D52" t="str">
            <v xml:space="preserve"> </v>
          </cell>
          <cell r="E52" t="str">
            <v xml:space="preserve"> </v>
          </cell>
          <cell r="F52" t="str">
            <v xml:space="preserve"> </v>
          </cell>
          <cell r="G52" t="str">
            <v xml:space="preserve"> </v>
          </cell>
          <cell r="H52" t="str">
            <v xml:space="preserve"> </v>
          </cell>
          <cell r="I52" t="str">
            <v xml:space="preserve"> </v>
          </cell>
          <cell r="J52" t="str">
            <v xml:space="preserve"> </v>
          </cell>
          <cell r="K52" t="str">
            <v xml:space="preserve"> </v>
          </cell>
          <cell r="L52" t="str">
            <v xml:space="preserve"> </v>
          </cell>
          <cell r="M52" t="str">
            <v xml:space="preserve"> </v>
          </cell>
        </row>
        <row r="53">
          <cell r="B53" t="str">
            <v xml:space="preserve"> </v>
          </cell>
          <cell r="C53" t="str">
            <v xml:space="preserve"> </v>
          </cell>
          <cell r="D53" t="str">
            <v xml:space="preserve"> </v>
          </cell>
          <cell r="E53" t="str">
            <v xml:space="preserve"> </v>
          </cell>
          <cell r="F53" t="str">
            <v xml:space="preserve"> </v>
          </cell>
          <cell r="G53" t="str">
            <v xml:space="preserve"> </v>
          </cell>
          <cell r="H53" t="str">
            <v xml:space="preserve"> </v>
          </cell>
          <cell r="I53" t="str">
            <v xml:space="preserve"> </v>
          </cell>
          <cell r="J53" t="str">
            <v xml:space="preserve"> </v>
          </cell>
          <cell r="K53" t="str">
            <v xml:space="preserve"> </v>
          </cell>
          <cell r="L53" t="str">
            <v xml:space="preserve"> </v>
          </cell>
          <cell r="M53" t="str">
            <v xml:space="preserve"> </v>
          </cell>
        </row>
        <row r="54">
          <cell r="B54" t="str">
            <v xml:space="preserve"> </v>
          </cell>
          <cell r="C54" t="str">
            <v xml:space="preserve"> </v>
          </cell>
          <cell r="D54" t="str">
            <v xml:space="preserve"> </v>
          </cell>
          <cell r="E54" t="str">
            <v xml:space="preserve"> </v>
          </cell>
          <cell r="F54" t="str">
            <v xml:space="preserve"> </v>
          </cell>
          <cell r="G54" t="str">
            <v xml:space="preserve"> </v>
          </cell>
          <cell r="H54" t="str">
            <v xml:space="preserve"> </v>
          </cell>
          <cell r="I54" t="str">
            <v xml:space="preserve"> </v>
          </cell>
          <cell r="J54" t="str">
            <v xml:space="preserve"> </v>
          </cell>
          <cell r="K54" t="str">
            <v xml:space="preserve"> </v>
          </cell>
          <cell r="L54" t="str">
            <v xml:space="preserve"> </v>
          </cell>
          <cell r="M54" t="str">
            <v xml:space="preserve"> </v>
          </cell>
        </row>
        <row r="55">
          <cell r="B55" t="str">
            <v xml:space="preserve"> </v>
          </cell>
          <cell r="C55" t="str">
            <v xml:space="preserve"> </v>
          </cell>
          <cell r="D55" t="str">
            <v xml:space="preserve"> </v>
          </cell>
          <cell r="E55" t="str">
            <v xml:space="preserve"> </v>
          </cell>
          <cell r="F55" t="str">
            <v xml:space="preserve"> </v>
          </cell>
          <cell r="G55" t="str">
            <v xml:space="preserve"> </v>
          </cell>
          <cell r="H55" t="str">
            <v xml:space="preserve"> </v>
          </cell>
          <cell r="I55" t="str">
            <v xml:space="preserve"> </v>
          </cell>
          <cell r="J55" t="str">
            <v xml:space="preserve"> </v>
          </cell>
          <cell r="K55" t="str">
            <v xml:space="preserve"> </v>
          </cell>
          <cell r="L55" t="str">
            <v xml:space="preserve"> </v>
          </cell>
          <cell r="M55" t="str">
            <v xml:space="preserve"> </v>
          </cell>
        </row>
        <row r="56">
          <cell r="B56" t="str">
            <v xml:space="preserve"> </v>
          </cell>
          <cell r="C56" t="str">
            <v xml:space="preserve"> </v>
          </cell>
          <cell r="D56" t="str">
            <v xml:space="preserve"> </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row>
        <row r="57">
          <cell r="B57" t="str">
            <v xml:space="preserve"> </v>
          </cell>
          <cell r="C57" t="str">
            <v xml:space="preserve"> </v>
          </cell>
          <cell r="D57" t="str">
            <v xml:space="preserve"> </v>
          </cell>
          <cell r="E57" t="str">
            <v xml:space="preserve"> </v>
          </cell>
          <cell r="F57" t="str">
            <v xml:space="preserve"> </v>
          </cell>
          <cell r="G57" t="str">
            <v xml:space="preserve"> </v>
          </cell>
          <cell r="H57" t="str">
            <v xml:space="preserve"> </v>
          </cell>
          <cell r="I57" t="str">
            <v xml:space="preserve"> </v>
          </cell>
          <cell r="J57" t="str">
            <v xml:space="preserve"> </v>
          </cell>
          <cell r="K57" t="str">
            <v xml:space="preserve"> </v>
          </cell>
          <cell r="L57" t="str">
            <v xml:space="preserve"> </v>
          </cell>
          <cell r="M57" t="str">
            <v xml:space="preserve"> </v>
          </cell>
        </row>
        <row r="58">
          <cell r="B58" t="str">
            <v xml:space="preserve"> </v>
          </cell>
          <cell r="C58" t="str">
            <v xml:space="preserve"> </v>
          </cell>
          <cell r="D58" t="str">
            <v xml:space="preserve"> </v>
          </cell>
          <cell r="E58" t="str">
            <v xml:space="preserve"> </v>
          </cell>
          <cell r="F58" t="str">
            <v xml:space="preserve"> </v>
          </cell>
          <cell r="G58" t="str">
            <v xml:space="preserve"> </v>
          </cell>
          <cell r="H58" t="str">
            <v xml:space="preserve"> </v>
          </cell>
          <cell r="I58" t="str">
            <v xml:space="preserve"> </v>
          </cell>
          <cell r="J58" t="str">
            <v xml:space="preserve"> </v>
          </cell>
          <cell r="K58" t="str">
            <v xml:space="preserve"> </v>
          </cell>
          <cell r="L58" t="str">
            <v xml:space="preserve"> </v>
          </cell>
          <cell r="M58" t="str">
            <v xml:space="preserve"> </v>
          </cell>
        </row>
        <row r="59">
          <cell r="B59" t="str">
            <v xml:space="preserve"> </v>
          </cell>
          <cell r="C59" t="str">
            <v xml:space="preserve"> </v>
          </cell>
          <cell r="D59" t="str">
            <v xml:space="preserve"> </v>
          </cell>
          <cell r="E59" t="str">
            <v xml:space="preserve"> </v>
          </cell>
          <cell r="F59" t="str">
            <v xml:space="preserve"> </v>
          </cell>
          <cell r="G59" t="str">
            <v xml:space="preserve"> </v>
          </cell>
          <cell r="H59" t="str">
            <v xml:space="preserve"> </v>
          </cell>
          <cell r="I59" t="str">
            <v xml:space="preserve"> </v>
          </cell>
          <cell r="J59" t="str">
            <v xml:space="preserve"> </v>
          </cell>
          <cell r="K59" t="str">
            <v xml:space="preserve"> </v>
          </cell>
          <cell r="L59" t="str">
            <v xml:space="preserve"> </v>
          </cell>
          <cell r="M59" t="str">
            <v xml:space="preserve"> </v>
          </cell>
        </row>
        <row r="60">
          <cell r="B60" t="str">
            <v xml:space="preserve"> </v>
          </cell>
          <cell r="C60" t="str">
            <v xml:space="preserve"> </v>
          </cell>
          <cell r="D60" t="str">
            <v xml:space="preserve"> </v>
          </cell>
          <cell r="E60" t="str">
            <v xml:space="preserve"> </v>
          </cell>
          <cell r="F60" t="str">
            <v xml:space="preserve"> </v>
          </cell>
          <cell r="G60" t="str">
            <v xml:space="preserve"> </v>
          </cell>
          <cell r="H60" t="str">
            <v xml:space="preserve"> </v>
          </cell>
          <cell r="I60" t="str">
            <v xml:space="preserve"> </v>
          </cell>
          <cell r="J60" t="str">
            <v xml:space="preserve"> </v>
          </cell>
          <cell r="K60" t="str">
            <v xml:space="preserve"> </v>
          </cell>
          <cell r="L60" t="str">
            <v xml:space="preserve"> </v>
          </cell>
          <cell r="M60" t="str">
            <v xml:space="preserve"> </v>
          </cell>
        </row>
        <row r="61">
          <cell r="B61" t="str">
            <v xml:space="preserve"> </v>
          </cell>
          <cell r="C61" t="str">
            <v xml:space="preserve"> </v>
          </cell>
          <cell r="D61" t="str">
            <v xml:space="preserve"> </v>
          </cell>
          <cell r="E61" t="str">
            <v xml:space="preserve"> </v>
          </cell>
          <cell r="F61" t="str">
            <v xml:space="preserve"> </v>
          </cell>
          <cell r="G61" t="str">
            <v xml:space="preserve"> </v>
          </cell>
          <cell r="H61" t="str">
            <v xml:space="preserve"> </v>
          </cell>
          <cell r="I61" t="str">
            <v xml:space="preserve"> </v>
          </cell>
          <cell r="J61" t="str">
            <v xml:space="preserve"> </v>
          </cell>
          <cell r="K61" t="str">
            <v xml:space="preserve"> </v>
          </cell>
          <cell r="L61" t="str">
            <v xml:space="preserve"> </v>
          </cell>
          <cell r="M61" t="str">
            <v xml:space="preserve"> </v>
          </cell>
        </row>
        <row r="62">
          <cell r="B62" t="str">
            <v xml:space="preserve"> </v>
          </cell>
          <cell r="C62" t="str">
            <v xml:space="preserve"> </v>
          </cell>
          <cell r="D62" t="str">
            <v xml:space="preserve"> </v>
          </cell>
          <cell r="E62" t="str">
            <v xml:space="preserve"> </v>
          </cell>
          <cell r="F62" t="str">
            <v xml:space="preserve"> </v>
          </cell>
          <cell r="G62" t="str">
            <v xml:space="preserve"> </v>
          </cell>
          <cell r="H62" t="str">
            <v xml:space="preserve"> </v>
          </cell>
          <cell r="I62" t="str">
            <v xml:space="preserve"> </v>
          </cell>
          <cell r="J62" t="str">
            <v xml:space="preserve"> </v>
          </cell>
          <cell r="K62" t="str">
            <v xml:space="preserve"> </v>
          </cell>
          <cell r="L62" t="str">
            <v xml:space="preserve"> </v>
          </cell>
          <cell r="M62" t="str">
            <v xml:space="preserve"> </v>
          </cell>
        </row>
        <row r="63">
          <cell r="B63" t="str">
            <v xml:space="preserve"> </v>
          </cell>
          <cell r="C63" t="str">
            <v xml:space="preserve"> </v>
          </cell>
          <cell r="D63" t="str">
            <v xml:space="preserve"> </v>
          </cell>
          <cell r="E63" t="str">
            <v xml:space="preserve"> </v>
          </cell>
          <cell r="F63" t="str">
            <v xml:space="preserve"> </v>
          </cell>
          <cell r="G63" t="str">
            <v xml:space="preserve"> </v>
          </cell>
          <cell r="H63" t="str">
            <v xml:space="preserve"> </v>
          </cell>
          <cell r="I63" t="str">
            <v xml:space="preserve"> </v>
          </cell>
          <cell r="J63" t="str">
            <v xml:space="preserve"> </v>
          </cell>
          <cell r="K63" t="str">
            <v xml:space="preserve"> </v>
          </cell>
          <cell r="L63" t="str">
            <v xml:space="preserve"> </v>
          </cell>
          <cell r="M63" t="str">
            <v xml:space="preserve"> </v>
          </cell>
        </row>
        <row r="64">
          <cell r="B64" t="str">
            <v xml:space="preserve"> </v>
          </cell>
          <cell r="C64" t="str">
            <v xml:space="preserve"> </v>
          </cell>
          <cell r="D64" t="str">
            <v xml:space="preserve"> </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t="str">
            <v xml:space="preserve"> </v>
          </cell>
          <cell r="M64" t="str">
            <v xml:space="preserve"> </v>
          </cell>
        </row>
        <row r="65">
          <cell r="B65" t="str">
            <v xml:space="preserve"> </v>
          </cell>
          <cell r="C65" t="str">
            <v xml:space="preserve"> </v>
          </cell>
          <cell r="D65" t="str">
            <v xml:space="preserve"> </v>
          </cell>
          <cell r="E65" t="str">
            <v xml:space="preserve"> </v>
          </cell>
          <cell r="F65" t="str">
            <v xml:space="preserve"> </v>
          </cell>
          <cell r="G65" t="str">
            <v xml:space="preserve"> </v>
          </cell>
          <cell r="H65" t="str">
            <v xml:space="preserve"> </v>
          </cell>
          <cell r="I65" t="str">
            <v xml:space="preserve"> </v>
          </cell>
          <cell r="J65" t="str">
            <v xml:space="preserve"> </v>
          </cell>
          <cell r="K65" t="str">
            <v xml:space="preserve"> </v>
          </cell>
          <cell r="L65" t="str">
            <v xml:space="preserve"> </v>
          </cell>
          <cell r="M65" t="str">
            <v xml:space="preserve"> </v>
          </cell>
        </row>
        <row r="66">
          <cell r="B66" t="str">
            <v xml:space="preserve"> </v>
          </cell>
          <cell r="C66" t="str">
            <v xml:space="preserve"> </v>
          </cell>
          <cell r="D66" t="str">
            <v xml:space="preserve"> </v>
          </cell>
          <cell r="E66" t="str">
            <v xml:space="preserve"> </v>
          </cell>
          <cell r="F66" t="str">
            <v xml:space="preserve"> </v>
          </cell>
          <cell r="G66" t="str">
            <v xml:space="preserve"> </v>
          </cell>
          <cell r="H66" t="str">
            <v xml:space="preserve"> </v>
          </cell>
          <cell r="I66" t="str">
            <v xml:space="preserve"> </v>
          </cell>
          <cell r="J66" t="str">
            <v xml:space="preserve"> </v>
          </cell>
          <cell r="K66" t="str">
            <v xml:space="preserve"> </v>
          </cell>
          <cell r="L66" t="str">
            <v xml:space="preserve"> </v>
          </cell>
          <cell r="M66" t="str">
            <v xml:space="preserve"> </v>
          </cell>
        </row>
        <row r="67">
          <cell r="B67" t="str">
            <v xml:space="preserve"> </v>
          </cell>
          <cell r="C67" t="str">
            <v xml:space="preserve"> </v>
          </cell>
          <cell r="D67" t="str">
            <v xml:space="preserve"> </v>
          </cell>
          <cell r="E67" t="str">
            <v xml:space="preserve"> </v>
          </cell>
          <cell r="F67" t="str">
            <v xml:space="preserve"> </v>
          </cell>
          <cell r="G67" t="str">
            <v xml:space="preserve"> </v>
          </cell>
          <cell r="H67" t="str">
            <v xml:space="preserve"> </v>
          </cell>
          <cell r="I67" t="str">
            <v xml:space="preserve"> </v>
          </cell>
          <cell r="J67" t="str">
            <v xml:space="preserve"> </v>
          </cell>
          <cell r="K67" t="str">
            <v xml:space="preserve"> </v>
          </cell>
          <cell r="L67" t="str">
            <v xml:space="preserve"> </v>
          </cell>
          <cell r="M67" t="str">
            <v xml:space="preserve"> </v>
          </cell>
        </row>
        <row r="68">
          <cell r="B68" t="str">
            <v xml:space="preserve"> </v>
          </cell>
          <cell r="C68" t="str">
            <v xml:space="preserve"> </v>
          </cell>
          <cell r="D68" t="str">
            <v xml:space="preserve"> </v>
          </cell>
          <cell r="E68" t="str">
            <v xml:space="preserve"> </v>
          </cell>
          <cell r="F68" t="str">
            <v xml:space="preserve"> </v>
          </cell>
          <cell r="G68" t="str">
            <v xml:space="preserve"> </v>
          </cell>
          <cell r="H68" t="str">
            <v xml:space="preserve"> </v>
          </cell>
          <cell r="I68" t="str">
            <v xml:space="preserve"> </v>
          </cell>
          <cell r="J68" t="str">
            <v xml:space="preserve"> </v>
          </cell>
          <cell r="K68" t="str">
            <v xml:space="preserve"> </v>
          </cell>
          <cell r="L68" t="str">
            <v xml:space="preserve"> </v>
          </cell>
          <cell r="M68" t="str">
            <v xml:space="preserve"> </v>
          </cell>
        </row>
        <row r="69">
          <cell r="B69" t="str">
            <v xml:space="preserve"> </v>
          </cell>
          <cell r="C69" t="str">
            <v xml:space="preserve"> </v>
          </cell>
          <cell r="D69" t="str">
            <v xml:space="preserve"> </v>
          </cell>
          <cell r="E69" t="str">
            <v xml:space="preserve"> </v>
          </cell>
          <cell r="F69" t="str">
            <v xml:space="preserve"> </v>
          </cell>
          <cell r="G69" t="str">
            <v xml:space="preserve"> </v>
          </cell>
          <cell r="H69" t="str">
            <v xml:space="preserve"> </v>
          </cell>
          <cell r="I69" t="str">
            <v xml:space="preserve"> </v>
          </cell>
          <cell r="J69" t="str">
            <v xml:space="preserve"> </v>
          </cell>
          <cell r="K69" t="str">
            <v xml:space="preserve"> </v>
          </cell>
          <cell r="L69" t="str">
            <v xml:space="preserve"> </v>
          </cell>
          <cell r="M69" t="str">
            <v xml:space="preserve"> </v>
          </cell>
        </row>
        <row r="70">
          <cell r="B70" t="str">
            <v xml:space="preserve"> </v>
          </cell>
          <cell r="C70" t="str">
            <v xml:space="preserve"> </v>
          </cell>
          <cell r="D70" t="str">
            <v xml:space="preserve"> </v>
          </cell>
          <cell r="E70" t="str">
            <v xml:space="preserve"> </v>
          </cell>
          <cell r="F70" t="str">
            <v xml:space="preserve"> </v>
          </cell>
          <cell r="G70" t="str">
            <v xml:space="preserve"> </v>
          </cell>
          <cell r="H70" t="str">
            <v xml:space="preserve"> </v>
          </cell>
          <cell r="I70" t="str">
            <v xml:space="preserve"> </v>
          </cell>
          <cell r="J70" t="str">
            <v xml:space="preserve"> </v>
          </cell>
          <cell r="K70" t="str">
            <v xml:space="preserve"> </v>
          </cell>
          <cell r="L70" t="str">
            <v xml:space="preserve"> </v>
          </cell>
          <cell r="M70" t="str">
            <v xml:space="preserve"> </v>
          </cell>
        </row>
        <row r="71">
          <cell r="B71" t="str">
            <v xml:space="preserve"> </v>
          </cell>
          <cell r="C71" t="str">
            <v xml:space="preserve"> </v>
          </cell>
          <cell r="D71" t="str">
            <v xml:space="preserve"> </v>
          </cell>
          <cell r="E71" t="str">
            <v xml:space="preserve"> </v>
          </cell>
          <cell r="F71" t="str">
            <v xml:space="preserve"> </v>
          </cell>
          <cell r="G71" t="str">
            <v xml:space="preserve"> </v>
          </cell>
          <cell r="H71" t="str">
            <v xml:space="preserve"> </v>
          </cell>
          <cell r="I71" t="str">
            <v xml:space="preserve"> </v>
          </cell>
          <cell r="J71" t="str">
            <v xml:space="preserve"> </v>
          </cell>
          <cell r="K71" t="str">
            <v xml:space="preserve"> </v>
          </cell>
          <cell r="L71" t="str">
            <v xml:space="preserve"> </v>
          </cell>
          <cell r="M71" t="str">
            <v xml:space="preserve"> </v>
          </cell>
        </row>
        <row r="72">
          <cell r="B72" t="str">
            <v xml:space="preserve"> </v>
          </cell>
          <cell r="C72" t="str">
            <v xml:space="preserve"> </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row>
        <row r="73">
          <cell r="B73" t="str">
            <v xml:space="preserve"> </v>
          </cell>
          <cell r="C73" t="str">
            <v xml:space="preserve"> </v>
          </cell>
          <cell r="D73" t="str">
            <v xml:space="preserve"> </v>
          </cell>
          <cell r="E73" t="str">
            <v xml:space="preserve"> </v>
          </cell>
          <cell r="F73" t="str">
            <v xml:space="preserve"> </v>
          </cell>
          <cell r="G73" t="str">
            <v xml:space="preserve"> </v>
          </cell>
          <cell r="H73" t="str">
            <v xml:space="preserve"> </v>
          </cell>
          <cell r="I73" t="str">
            <v xml:space="preserve"> </v>
          </cell>
          <cell r="J73" t="str">
            <v xml:space="preserve"> </v>
          </cell>
          <cell r="K73" t="str">
            <v xml:space="preserve"> </v>
          </cell>
          <cell r="L73" t="str">
            <v xml:space="preserve"> </v>
          </cell>
          <cell r="M73" t="str">
            <v xml:space="preserve"> </v>
          </cell>
        </row>
        <row r="74">
          <cell r="B74" t="str">
            <v xml:space="preserve"> </v>
          </cell>
          <cell r="C74" t="str">
            <v xml:space="preserve"> </v>
          </cell>
          <cell r="D74" t="str">
            <v xml:space="preserve"> </v>
          </cell>
          <cell r="E74" t="str">
            <v xml:space="preserve"> </v>
          </cell>
          <cell r="F74" t="str">
            <v xml:space="preserve"> </v>
          </cell>
          <cell r="G74" t="str">
            <v xml:space="preserve"> </v>
          </cell>
          <cell r="H74" t="str">
            <v xml:space="preserve"> </v>
          </cell>
          <cell r="I74" t="str">
            <v xml:space="preserve"> </v>
          </cell>
          <cell r="J74" t="str">
            <v xml:space="preserve"> </v>
          </cell>
          <cell r="K74" t="str">
            <v xml:space="preserve"> </v>
          </cell>
          <cell r="L74" t="str">
            <v xml:space="preserve"> </v>
          </cell>
          <cell r="M74" t="str">
            <v xml:space="preserve"> </v>
          </cell>
        </row>
        <row r="75">
          <cell r="B75" t="str">
            <v xml:space="preserve"> </v>
          </cell>
          <cell r="C75" t="str">
            <v xml:space="preserve"> </v>
          </cell>
          <cell r="D75" t="str">
            <v xml:space="preserve"> </v>
          </cell>
          <cell r="E75" t="str">
            <v xml:space="preserve"> </v>
          </cell>
          <cell r="F75" t="str">
            <v xml:space="preserve"> </v>
          </cell>
          <cell r="G75" t="str">
            <v xml:space="preserve"> </v>
          </cell>
          <cell r="H75" t="str">
            <v xml:space="preserve"> </v>
          </cell>
          <cell r="I75" t="str">
            <v xml:space="preserve"> </v>
          </cell>
          <cell r="J75" t="str">
            <v xml:space="preserve"> </v>
          </cell>
          <cell r="K75" t="str">
            <v xml:space="preserve"> </v>
          </cell>
          <cell r="L75" t="str">
            <v xml:space="preserve"> </v>
          </cell>
          <cell r="M75" t="str">
            <v xml:space="preserve"> </v>
          </cell>
        </row>
        <row r="76">
          <cell r="B76" t="str">
            <v xml:space="preserve"> </v>
          </cell>
          <cell r="C76" t="str">
            <v xml:space="preserve"> </v>
          </cell>
          <cell r="D76" t="str">
            <v xml:space="preserve"> </v>
          </cell>
          <cell r="E76" t="str">
            <v xml:space="preserve"> </v>
          </cell>
          <cell r="F76" t="str">
            <v xml:space="preserve"> </v>
          </cell>
          <cell r="G76" t="str">
            <v xml:space="preserve"> </v>
          </cell>
          <cell r="H76" t="str">
            <v xml:space="preserve"> </v>
          </cell>
          <cell r="I76" t="str">
            <v xml:space="preserve"> </v>
          </cell>
          <cell r="J76" t="str">
            <v xml:space="preserve"> </v>
          </cell>
          <cell r="K76" t="str">
            <v xml:space="preserve"> </v>
          </cell>
          <cell r="L76" t="str">
            <v xml:space="preserve"> </v>
          </cell>
          <cell r="M76" t="str">
            <v xml:space="preserve"> </v>
          </cell>
        </row>
        <row r="77">
          <cell r="B77" t="str">
            <v xml:space="preserve"> </v>
          </cell>
          <cell r="C77" t="str">
            <v xml:space="preserve"> </v>
          </cell>
          <cell r="D77" t="str">
            <v xml:space="preserve"> </v>
          </cell>
          <cell r="E77" t="str">
            <v xml:space="preserve"> </v>
          </cell>
          <cell r="F77" t="str">
            <v xml:space="preserve"> </v>
          </cell>
          <cell r="G77" t="str">
            <v xml:space="preserve"> </v>
          </cell>
          <cell r="H77" t="str">
            <v xml:space="preserve"> </v>
          </cell>
          <cell r="I77" t="str">
            <v xml:space="preserve"> </v>
          </cell>
          <cell r="J77" t="str">
            <v xml:space="preserve"> </v>
          </cell>
          <cell r="K77" t="str">
            <v xml:space="preserve"> </v>
          </cell>
          <cell r="L77" t="str">
            <v xml:space="preserve"> </v>
          </cell>
          <cell r="M77" t="str">
            <v xml:space="preserve"> </v>
          </cell>
        </row>
        <row r="78">
          <cell r="B78" t="str">
            <v xml:space="preserve"> </v>
          </cell>
          <cell r="C78" t="str">
            <v xml:space="preserve"> </v>
          </cell>
          <cell r="D78" t="str">
            <v xml:space="preserve"> </v>
          </cell>
          <cell r="E78" t="str">
            <v xml:space="preserve"> </v>
          </cell>
          <cell r="F78" t="str">
            <v xml:space="preserve"> </v>
          </cell>
          <cell r="G78" t="str">
            <v xml:space="preserve"> </v>
          </cell>
          <cell r="H78" t="str">
            <v xml:space="preserve"> </v>
          </cell>
          <cell r="I78" t="str">
            <v xml:space="preserve"> </v>
          </cell>
          <cell r="J78" t="str">
            <v xml:space="preserve"> </v>
          </cell>
          <cell r="K78" t="str">
            <v xml:space="preserve"> </v>
          </cell>
          <cell r="L78" t="str">
            <v xml:space="preserve"> </v>
          </cell>
          <cell r="M78" t="str">
            <v xml:space="preserve"> </v>
          </cell>
        </row>
        <row r="79">
          <cell r="B79" t="str">
            <v xml:space="preserve"> </v>
          </cell>
          <cell r="C79" t="str">
            <v xml:space="preserve"> </v>
          </cell>
          <cell r="D79" t="str">
            <v xml:space="preserve"> </v>
          </cell>
          <cell r="E79" t="str">
            <v xml:space="preserve"> </v>
          </cell>
          <cell r="F79" t="str">
            <v xml:space="preserve"> </v>
          </cell>
          <cell r="G79" t="str">
            <v xml:space="preserve"> </v>
          </cell>
          <cell r="H79" t="str">
            <v xml:space="preserve"> </v>
          </cell>
          <cell r="I79" t="str">
            <v xml:space="preserve"> </v>
          </cell>
          <cell r="J79" t="str">
            <v xml:space="preserve"> </v>
          </cell>
          <cell r="K79" t="str">
            <v xml:space="preserve"> </v>
          </cell>
          <cell r="L79" t="str">
            <v xml:space="preserve"> </v>
          </cell>
          <cell r="M79" t="str">
            <v xml:space="preserve"> </v>
          </cell>
        </row>
        <row r="80">
          <cell r="B80" t="str">
            <v xml:space="preserve"> </v>
          </cell>
          <cell r="C80" t="str">
            <v xml:space="preserve"> </v>
          </cell>
          <cell r="D80" t="str">
            <v xml:space="preserve"> </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row>
        <row r="81">
          <cell r="B81" t="str">
            <v xml:space="preserve"> </v>
          </cell>
          <cell r="C81" t="str">
            <v xml:space="preserve"> </v>
          </cell>
          <cell r="D81" t="str">
            <v xml:space="preserve"> </v>
          </cell>
          <cell r="E81" t="str">
            <v xml:space="preserve"> </v>
          </cell>
          <cell r="F81" t="str">
            <v xml:space="preserve"> </v>
          </cell>
          <cell r="G81" t="str">
            <v xml:space="preserve"> </v>
          </cell>
          <cell r="H81" t="str">
            <v xml:space="preserve"> </v>
          </cell>
          <cell r="I81" t="str">
            <v xml:space="preserve"> </v>
          </cell>
          <cell r="J81" t="str">
            <v xml:space="preserve"> </v>
          </cell>
          <cell r="K81" t="str">
            <v xml:space="preserve"> </v>
          </cell>
          <cell r="L81" t="str">
            <v xml:space="preserve"> </v>
          </cell>
          <cell r="M81" t="str">
            <v xml:space="preserve"> </v>
          </cell>
        </row>
        <row r="82">
          <cell r="B82" t="str">
            <v xml:space="preserve"> </v>
          </cell>
          <cell r="C82" t="str">
            <v xml:space="preserve"> </v>
          </cell>
          <cell r="D82" t="str">
            <v xml:space="preserve"> </v>
          </cell>
          <cell r="E82" t="str">
            <v xml:space="preserve"> </v>
          </cell>
          <cell r="F82" t="str">
            <v xml:space="preserve"> </v>
          </cell>
          <cell r="G82" t="str">
            <v xml:space="preserve"> </v>
          </cell>
          <cell r="H82" t="str">
            <v xml:space="preserve"> </v>
          </cell>
          <cell r="I82" t="str">
            <v xml:space="preserve"> </v>
          </cell>
          <cell r="J82" t="str">
            <v xml:space="preserve"> </v>
          </cell>
          <cell r="K82" t="str">
            <v xml:space="preserve"> </v>
          </cell>
          <cell r="L82" t="str">
            <v xml:space="preserve"> </v>
          </cell>
          <cell r="M82" t="str">
            <v xml:space="preserve"> </v>
          </cell>
        </row>
        <row r="83">
          <cell r="B83" t="str">
            <v xml:space="preserve"> </v>
          </cell>
          <cell r="C83" t="str">
            <v xml:space="preserve"> </v>
          </cell>
          <cell r="D83" t="str">
            <v xml:space="preserve"> </v>
          </cell>
          <cell r="E83" t="str">
            <v xml:space="preserve"> </v>
          </cell>
          <cell r="F83" t="str">
            <v xml:space="preserve"> </v>
          </cell>
          <cell r="G83" t="str">
            <v xml:space="preserve"> </v>
          </cell>
          <cell r="H83" t="str">
            <v xml:space="preserve"> </v>
          </cell>
          <cell r="I83" t="str">
            <v xml:space="preserve"> </v>
          </cell>
          <cell r="J83" t="str">
            <v xml:space="preserve"> </v>
          </cell>
          <cell r="K83" t="str">
            <v xml:space="preserve"> </v>
          </cell>
          <cell r="L83" t="str">
            <v xml:space="preserve"> </v>
          </cell>
          <cell r="M83" t="str">
            <v xml:space="preserve"> </v>
          </cell>
        </row>
        <row r="84">
          <cell r="B84" t="str">
            <v xml:space="preserve"> </v>
          </cell>
          <cell r="C84" t="str">
            <v xml:space="preserve"> </v>
          </cell>
          <cell r="D84" t="str">
            <v xml:space="preserve"> </v>
          </cell>
          <cell r="E84" t="str">
            <v xml:space="preserve"> </v>
          </cell>
          <cell r="F84" t="str">
            <v xml:space="preserve"> </v>
          </cell>
          <cell r="G84" t="str">
            <v xml:space="preserve"> </v>
          </cell>
          <cell r="H84" t="str">
            <v xml:space="preserve"> </v>
          </cell>
          <cell r="I84" t="str">
            <v xml:space="preserve"> </v>
          </cell>
          <cell r="J84" t="str">
            <v xml:space="preserve"> </v>
          </cell>
          <cell r="K84" t="str">
            <v xml:space="preserve"> </v>
          </cell>
          <cell r="L84" t="str">
            <v xml:space="preserve"> </v>
          </cell>
          <cell r="M84" t="str">
            <v xml:space="preserve"> </v>
          </cell>
        </row>
        <row r="85">
          <cell r="B85" t="str">
            <v xml:space="preserve"> </v>
          </cell>
          <cell r="C85" t="str">
            <v xml:space="preserve"> </v>
          </cell>
          <cell r="D85" t="str">
            <v xml:space="preserve"> </v>
          </cell>
          <cell r="E85" t="str">
            <v xml:space="preserve"> </v>
          </cell>
          <cell r="F85" t="str">
            <v xml:space="preserve"> </v>
          </cell>
          <cell r="G85" t="str">
            <v xml:space="preserve"> </v>
          </cell>
          <cell r="H85" t="str">
            <v xml:space="preserve"> </v>
          </cell>
          <cell r="I85" t="str">
            <v xml:space="preserve"> </v>
          </cell>
          <cell r="J85" t="str">
            <v xml:space="preserve"> </v>
          </cell>
          <cell r="K85" t="str">
            <v xml:space="preserve"> </v>
          </cell>
          <cell r="L85" t="str">
            <v xml:space="preserve"> </v>
          </cell>
          <cell r="M85" t="str">
            <v xml:space="preserve"> </v>
          </cell>
        </row>
        <row r="86">
          <cell r="B86" t="str">
            <v xml:space="preserve"> </v>
          </cell>
          <cell r="C86" t="str">
            <v xml:space="preserve"> </v>
          </cell>
          <cell r="D86" t="str">
            <v xml:space="preserve"> </v>
          </cell>
          <cell r="E86" t="str">
            <v xml:space="preserve"> </v>
          </cell>
          <cell r="F86" t="str">
            <v xml:space="preserve"> </v>
          </cell>
          <cell r="G86" t="str">
            <v xml:space="preserve"> </v>
          </cell>
          <cell r="H86" t="str">
            <v xml:space="preserve"> </v>
          </cell>
          <cell r="I86" t="str">
            <v xml:space="preserve"> </v>
          </cell>
          <cell r="J86" t="str">
            <v xml:space="preserve"> </v>
          </cell>
          <cell r="K86" t="str">
            <v xml:space="preserve"> </v>
          </cell>
          <cell r="L86" t="str">
            <v xml:space="preserve"> </v>
          </cell>
          <cell r="M86" t="str">
            <v xml:space="preserve"> </v>
          </cell>
        </row>
        <row r="87">
          <cell r="B87" t="str">
            <v xml:space="preserve"> </v>
          </cell>
          <cell r="C87" t="str">
            <v xml:space="preserve"> </v>
          </cell>
          <cell r="D87" t="str">
            <v xml:space="preserve"> </v>
          </cell>
          <cell r="E87" t="str">
            <v xml:space="preserve"> </v>
          </cell>
          <cell r="F87" t="str">
            <v xml:space="preserve"> </v>
          </cell>
          <cell r="G87" t="str">
            <v xml:space="preserve"> </v>
          </cell>
          <cell r="H87" t="str">
            <v xml:space="preserve"> </v>
          </cell>
          <cell r="I87" t="str">
            <v xml:space="preserve"> </v>
          </cell>
          <cell r="J87" t="str">
            <v xml:space="preserve"> </v>
          </cell>
          <cell r="K87" t="str">
            <v xml:space="preserve"> </v>
          </cell>
          <cell r="L87" t="str">
            <v xml:space="preserve"> </v>
          </cell>
          <cell r="M87" t="str">
            <v xml:space="preserve"> </v>
          </cell>
        </row>
        <row r="88">
          <cell r="B88" t="str">
            <v xml:space="preserve"> </v>
          </cell>
          <cell r="C88" t="str">
            <v xml:space="preserve"> </v>
          </cell>
          <cell r="D88" t="str">
            <v xml:space="preserve"> </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row>
        <row r="89">
          <cell r="B89" t="str">
            <v xml:space="preserve"> </v>
          </cell>
          <cell r="C89" t="str">
            <v xml:space="preserve"> </v>
          </cell>
          <cell r="D89" t="str">
            <v xml:space="preserve"> </v>
          </cell>
          <cell r="E89" t="str">
            <v xml:space="preserve"> </v>
          </cell>
          <cell r="F89" t="str">
            <v xml:space="preserve"> </v>
          </cell>
          <cell r="G89" t="str">
            <v xml:space="preserve"> </v>
          </cell>
          <cell r="H89" t="str">
            <v xml:space="preserve"> </v>
          </cell>
          <cell r="I89" t="str">
            <v xml:space="preserve"> </v>
          </cell>
          <cell r="J89" t="str">
            <v xml:space="preserve"> </v>
          </cell>
          <cell r="K89" t="str">
            <v xml:space="preserve"> </v>
          </cell>
          <cell r="L89" t="str">
            <v xml:space="preserve"> </v>
          </cell>
          <cell r="M89" t="str">
            <v xml:space="preserve"> </v>
          </cell>
        </row>
        <row r="90">
          <cell r="B90" t="str">
            <v xml:space="preserve"> </v>
          </cell>
          <cell r="C90" t="str">
            <v xml:space="preserve"> </v>
          </cell>
          <cell r="D90" t="str">
            <v xml:space="preserve"> </v>
          </cell>
          <cell r="E90" t="str">
            <v xml:space="preserve"> </v>
          </cell>
          <cell r="F90" t="str">
            <v xml:space="preserve"> </v>
          </cell>
          <cell r="G90" t="str">
            <v xml:space="preserve"> </v>
          </cell>
          <cell r="H90" t="str">
            <v xml:space="preserve"> </v>
          </cell>
          <cell r="I90" t="str">
            <v xml:space="preserve"> </v>
          </cell>
          <cell r="J90" t="str">
            <v xml:space="preserve"> </v>
          </cell>
          <cell r="K90" t="str">
            <v xml:space="preserve"> </v>
          </cell>
          <cell r="L90" t="str">
            <v xml:space="preserve"> </v>
          </cell>
          <cell r="M90" t="str">
            <v xml:space="preserve"> </v>
          </cell>
        </row>
        <row r="91">
          <cell r="B91" t="str">
            <v xml:space="preserve"> </v>
          </cell>
          <cell r="C91" t="str">
            <v xml:space="preserve"> </v>
          </cell>
          <cell r="D91" t="str">
            <v xml:space="preserve"> </v>
          </cell>
          <cell r="E91" t="str">
            <v xml:space="preserve"> </v>
          </cell>
          <cell r="F91" t="str">
            <v xml:space="preserve"> </v>
          </cell>
          <cell r="G91" t="str">
            <v xml:space="preserve"> </v>
          </cell>
          <cell r="H91" t="str">
            <v xml:space="preserve"> </v>
          </cell>
          <cell r="I91" t="str">
            <v xml:space="preserve"> </v>
          </cell>
          <cell r="J91" t="str">
            <v xml:space="preserve"> </v>
          </cell>
          <cell r="K91" t="str">
            <v xml:space="preserve"> </v>
          </cell>
          <cell r="L91" t="str">
            <v xml:space="preserve"> </v>
          </cell>
          <cell r="M91" t="str">
            <v xml:space="preserve"> </v>
          </cell>
        </row>
        <row r="92">
          <cell r="B92" t="str">
            <v xml:space="preserve"> </v>
          </cell>
          <cell r="C92" t="str">
            <v xml:space="preserve"> </v>
          </cell>
          <cell r="D92" t="str">
            <v xml:space="preserve"> </v>
          </cell>
          <cell r="E92" t="str">
            <v xml:space="preserve"> </v>
          </cell>
          <cell r="F92" t="str">
            <v xml:space="preserve"> </v>
          </cell>
          <cell r="G92" t="str">
            <v xml:space="preserve"> </v>
          </cell>
          <cell r="H92" t="str">
            <v xml:space="preserve"> </v>
          </cell>
          <cell r="I92" t="str">
            <v xml:space="preserve"> </v>
          </cell>
          <cell r="J92" t="str">
            <v xml:space="preserve"> </v>
          </cell>
          <cell r="K92" t="str">
            <v xml:space="preserve"> </v>
          </cell>
          <cell r="L92" t="str">
            <v xml:space="preserve"> </v>
          </cell>
          <cell r="M92" t="str">
            <v xml:space="preserve"> </v>
          </cell>
        </row>
        <row r="93">
          <cell r="B93" t="str">
            <v xml:space="preserve"> </v>
          </cell>
          <cell r="C93" t="str">
            <v xml:space="preserve"> </v>
          </cell>
          <cell r="D93" t="str">
            <v xml:space="preserve"> </v>
          </cell>
          <cell r="E93" t="str">
            <v xml:space="preserve"> </v>
          </cell>
          <cell r="F93" t="str">
            <v xml:space="preserve"> </v>
          </cell>
          <cell r="G93" t="str">
            <v xml:space="preserve"> </v>
          </cell>
          <cell r="H93" t="str">
            <v xml:space="preserve"> </v>
          </cell>
          <cell r="I93" t="str">
            <v xml:space="preserve"> </v>
          </cell>
          <cell r="J93" t="str">
            <v xml:space="preserve"> </v>
          </cell>
          <cell r="K93" t="str">
            <v xml:space="preserve"> </v>
          </cell>
          <cell r="L93" t="str">
            <v xml:space="preserve"> </v>
          </cell>
          <cell r="M93" t="str">
            <v xml:space="preserve"> </v>
          </cell>
        </row>
        <row r="94">
          <cell r="B94" t="str">
            <v xml:space="preserve"> </v>
          </cell>
          <cell r="C94" t="str">
            <v xml:space="preserve"> </v>
          </cell>
          <cell r="D94" t="str">
            <v xml:space="preserve"> </v>
          </cell>
          <cell r="E94" t="str">
            <v xml:space="preserve"> </v>
          </cell>
          <cell r="F94" t="str">
            <v xml:space="preserve"> </v>
          </cell>
          <cell r="G94" t="str">
            <v xml:space="preserve"> </v>
          </cell>
          <cell r="H94" t="str">
            <v xml:space="preserve"> </v>
          </cell>
          <cell r="I94" t="str">
            <v xml:space="preserve"> </v>
          </cell>
          <cell r="J94" t="str">
            <v xml:space="preserve"> </v>
          </cell>
          <cell r="K94" t="str">
            <v xml:space="preserve"> </v>
          </cell>
          <cell r="L94" t="str">
            <v xml:space="preserve"> </v>
          </cell>
          <cell r="M94" t="str">
            <v xml:space="preserve"> </v>
          </cell>
        </row>
        <row r="95">
          <cell r="B95" t="str">
            <v xml:space="preserve"> </v>
          </cell>
          <cell r="C95" t="str">
            <v xml:space="preserve"> </v>
          </cell>
          <cell r="D95" t="str">
            <v xml:space="preserve"> </v>
          </cell>
          <cell r="E95" t="str">
            <v xml:space="preserve"> </v>
          </cell>
          <cell r="F95" t="str">
            <v xml:space="preserve"> </v>
          </cell>
          <cell r="G95" t="str">
            <v xml:space="preserve"> </v>
          </cell>
          <cell r="H95" t="str">
            <v xml:space="preserve"> </v>
          </cell>
          <cell r="I95" t="str">
            <v xml:space="preserve"> </v>
          </cell>
          <cell r="J95" t="str">
            <v xml:space="preserve"> </v>
          </cell>
          <cell r="K95" t="str">
            <v xml:space="preserve"> </v>
          </cell>
          <cell r="L95" t="str">
            <v xml:space="preserve"> </v>
          </cell>
          <cell r="M95" t="str">
            <v xml:space="preserve"> </v>
          </cell>
        </row>
        <row r="96">
          <cell r="B96" t="str">
            <v xml:space="preserve"> </v>
          </cell>
          <cell r="C96" t="str">
            <v xml:space="preserve"> </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row>
        <row r="97">
          <cell r="B97" t="str">
            <v xml:space="preserve"> </v>
          </cell>
          <cell r="C97" t="str">
            <v xml:space="preserve"> </v>
          </cell>
          <cell r="D97" t="str">
            <v xml:space="preserve"> </v>
          </cell>
          <cell r="E97" t="str">
            <v xml:space="preserve"> </v>
          </cell>
          <cell r="F97" t="str">
            <v xml:space="preserve"> </v>
          </cell>
          <cell r="G97" t="str">
            <v xml:space="preserve"> </v>
          </cell>
          <cell r="H97" t="str">
            <v xml:space="preserve"> </v>
          </cell>
          <cell r="I97" t="str">
            <v xml:space="preserve"> </v>
          </cell>
          <cell r="J97" t="str">
            <v xml:space="preserve"> </v>
          </cell>
          <cell r="K97" t="str">
            <v xml:space="preserve"> </v>
          </cell>
          <cell r="L97" t="str">
            <v xml:space="preserve"> </v>
          </cell>
          <cell r="M97" t="str">
            <v xml:space="preserve"> </v>
          </cell>
        </row>
        <row r="98">
          <cell r="B98" t="str">
            <v xml:space="preserve"> </v>
          </cell>
          <cell r="C98" t="str">
            <v xml:space="preserve"> </v>
          </cell>
          <cell r="D98" t="str">
            <v xml:space="preserve"> </v>
          </cell>
          <cell r="E98" t="str">
            <v xml:space="preserve"> </v>
          </cell>
          <cell r="F98" t="str">
            <v xml:space="preserve"> </v>
          </cell>
          <cell r="G98" t="str">
            <v xml:space="preserve"> </v>
          </cell>
          <cell r="H98" t="str">
            <v xml:space="preserve"> </v>
          </cell>
          <cell r="I98" t="str">
            <v xml:space="preserve"> </v>
          </cell>
          <cell r="J98" t="str">
            <v xml:space="preserve"> </v>
          </cell>
          <cell r="K98" t="str">
            <v xml:space="preserve"> </v>
          </cell>
          <cell r="L98" t="str">
            <v xml:space="preserve"> </v>
          </cell>
          <cell r="M98" t="str">
            <v xml:space="preserve"> </v>
          </cell>
        </row>
        <row r="99">
          <cell r="B99" t="str">
            <v xml:space="preserve"> </v>
          </cell>
          <cell r="C99" t="str">
            <v xml:space="preserve"> </v>
          </cell>
          <cell r="D99" t="str">
            <v xml:space="preserve"> </v>
          </cell>
          <cell r="E99" t="str">
            <v xml:space="preserve"> </v>
          </cell>
          <cell r="F99" t="str">
            <v xml:space="preserve"> </v>
          </cell>
          <cell r="G99" t="str">
            <v xml:space="preserve"> </v>
          </cell>
          <cell r="H99" t="str">
            <v xml:space="preserve"> </v>
          </cell>
          <cell r="I99" t="str">
            <v xml:space="preserve"> </v>
          </cell>
          <cell r="J99" t="str">
            <v xml:space="preserve"> </v>
          </cell>
          <cell r="K99" t="str">
            <v xml:space="preserve"> </v>
          </cell>
          <cell r="L99" t="str">
            <v xml:space="preserve"> </v>
          </cell>
          <cell r="M99" t="str">
            <v xml:space="preserve"> </v>
          </cell>
        </row>
        <row r="100">
          <cell r="B100" t="str">
            <v xml:space="preserve"> </v>
          </cell>
          <cell r="C100" t="str">
            <v xml:space="preserve"> </v>
          </cell>
          <cell r="D100" t="str">
            <v xml:space="preserve"> </v>
          </cell>
          <cell r="E100" t="str">
            <v xml:space="preserve"> </v>
          </cell>
          <cell r="F100" t="str">
            <v xml:space="preserve"> </v>
          </cell>
          <cell r="G100" t="str">
            <v xml:space="preserve"> </v>
          </cell>
          <cell r="H100" t="str">
            <v xml:space="preserve"> </v>
          </cell>
          <cell r="I100" t="str">
            <v xml:space="preserve"> </v>
          </cell>
          <cell r="J100" t="str">
            <v xml:space="preserve"> </v>
          </cell>
          <cell r="K100" t="str">
            <v xml:space="preserve"> </v>
          </cell>
          <cell r="L100" t="str">
            <v xml:space="preserve"> </v>
          </cell>
          <cell r="M100" t="str">
            <v xml:space="preserve"> </v>
          </cell>
        </row>
        <row r="101">
          <cell r="B101" t="str">
            <v xml:space="preserve"> </v>
          </cell>
          <cell r="C101" t="str">
            <v xml:space="preserve"> </v>
          </cell>
          <cell r="D101" t="str">
            <v xml:space="preserve"> </v>
          </cell>
          <cell r="E101" t="str">
            <v xml:space="preserve"> </v>
          </cell>
          <cell r="F101" t="str">
            <v xml:space="preserve"> </v>
          </cell>
          <cell r="G101" t="str">
            <v xml:space="preserve"> </v>
          </cell>
          <cell r="H101" t="str">
            <v xml:space="preserve"> </v>
          </cell>
          <cell r="I101" t="str">
            <v xml:space="preserve"> </v>
          </cell>
          <cell r="J101" t="str">
            <v xml:space="preserve"> </v>
          </cell>
          <cell r="K101" t="str">
            <v xml:space="preserve"> </v>
          </cell>
          <cell r="L101" t="str">
            <v xml:space="preserve"> </v>
          </cell>
          <cell r="M101" t="str">
            <v xml:space="preserve"> </v>
          </cell>
        </row>
        <row r="102">
          <cell r="B102" t="str">
            <v xml:space="preserve"> </v>
          </cell>
          <cell r="C102" t="str">
            <v xml:space="preserve"> </v>
          </cell>
          <cell r="D102" t="str">
            <v xml:space="preserve"> </v>
          </cell>
          <cell r="E102" t="str">
            <v xml:space="preserve"> </v>
          </cell>
          <cell r="F102" t="str">
            <v xml:space="preserve"> </v>
          </cell>
          <cell r="G102" t="str">
            <v xml:space="preserve"> </v>
          </cell>
          <cell r="H102" t="str">
            <v xml:space="preserve"> </v>
          </cell>
          <cell r="I102" t="str">
            <v xml:space="preserve"> </v>
          </cell>
          <cell r="J102" t="str">
            <v xml:space="preserve"> </v>
          </cell>
          <cell r="K102" t="str">
            <v xml:space="preserve"> </v>
          </cell>
          <cell r="L102" t="str">
            <v xml:space="preserve"> </v>
          </cell>
          <cell r="M102" t="str">
            <v xml:space="preserve"> </v>
          </cell>
        </row>
        <row r="103">
          <cell r="B103" t="str">
            <v xml:space="preserve"> </v>
          </cell>
          <cell r="C103" t="str">
            <v xml:space="preserve"> </v>
          </cell>
          <cell r="D103" t="str">
            <v xml:space="preserve"> </v>
          </cell>
          <cell r="E103" t="str">
            <v xml:space="preserve"> </v>
          </cell>
          <cell r="F103" t="str">
            <v xml:space="preserve"> </v>
          </cell>
          <cell r="G103" t="str">
            <v xml:space="preserve"> </v>
          </cell>
          <cell r="H103" t="str">
            <v xml:space="preserve"> </v>
          </cell>
          <cell r="I103" t="str">
            <v xml:space="preserve"> </v>
          </cell>
          <cell r="J103" t="str">
            <v xml:space="preserve"> </v>
          </cell>
          <cell r="K103" t="str">
            <v xml:space="preserve"> </v>
          </cell>
          <cell r="L103" t="str">
            <v xml:space="preserve"> </v>
          </cell>
          <cell r="M103" t="str">
            <v xml:space="preserve"> </v>
          </cell>
        </row>
        <row r="104">
          <cell r="B104" t="str">
            <v xml:space="preserve"> </v>
          </cell>
          <cell r="C104" t="str">
            <v xml:space="preserve"> </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row>
        <row r="105">
          <cell r="B105" t="str">
            <v xml:space="preserve"> </v>
          </cell>
          <cell r="C105" t="str">
            <v xml:space="preserve"> </v>
          </cell>
          <cell r="D105" t="str">
            <v xml:space="preserve"> </v>
          </cell>
          <cell r="E105" t="str">
            <v xml:space="preserve"> </v>
          </cell>
          <cell r="F105" t="str">
            <v xml:space="preserve"> </v>
          </cell>
          <cell r="G105" t="str">
            <v xml:space="preserve"> </v>
          </cell>
          <cell r="H105" t="str">
            <v xml:space="preserve"> </v>
          </cell>
          <cell r="I105" t="str">
            <v xml:space="preserve"> </v>
          </cell>
          <cell r="J105" t="str">
            <v xml:space="preserve"> </v>
          </cell>
          <cell r="K105" t="str">
            <v xml:space="preserve"> </v>
          </cell>
          <cell r="L105" t="str">
            <v xml:space="preserve"> </v>
          </cell>
          <cell r="M105" t="str">
            <v xml:space="preserve"> </v>
          </cell>
        </row>
        <row r="106">
          <cell r="B106" t="str">
            <v xml:space="preserve"> </v>
          </cell>
          <cell r="C106" t="str">
            <v xml:space="preserve"> </v>
          </cell>
          <cell r="D106" t="str">
            <v xml:space="preserve"> </v>
          </cell>
          <cell r="E106" t="str">
            <v xml:space="preserve"> </v>
          </cell>
          <cell r="F106" t="str">
            <v xml:space="preserve"> </v>
          </cell>
          <cell r="G106" t="str">
            <v xml:space="preserve"> </v>
          </cell>
          <cell r="H106" t="str">
            <v xml:space="preserve"> </v>
          </cell>
          <cell r="I106" t="str">
            <v xml:space="preserve"> </v>
          </cell>
          <cell r="J106" t="str">
            <v xml:space="preserve"> </v>
          </cell>
          <cell r="K106" t="str">
            <v xml:space="preserve"> </v>
          </cell>
          <cell r="L106" t="str">
            <v xml:space="preserve"> </v>
          </cell>
          <cell r="M106" t="str">
            <v xml:space="preserve"> </v>
          </cell>
        </row>
        <row r="107">
          <cell r="B107" t="str">
            <v xml:space="preserve"> </v>
          </cell>
          <cell r="C107" t="str">
            <v xml:space="preserve"> </v>
          </cell>
          <cell r="D107" t="str">
            <v xml:space="preserve"> </v>
          </cell>
          <cell r="E107" t="str">
            <v xml:space="preserve"> </v>
          </cell>
          <cell r="F107" t="str">
            <v xml:space="preserve"> </v>
          </cell>
          <cell r="G107" t="str">
            <v xml:space="preserve"> </v>
          </cell>
          <cell r="H107" t="str">
            <v xml:space="preserve"> </v>
          </cell>
          <cell r="I107" t="str">
            <v xml:space="preserve"> </v>
          </cell>
          <cell r="J107" t="str">
            <v xml:space="preserve"> </v>
          </cell>
          <cell r="K107" t="str">
            <v xml:space="preserve"> </v>
          </cell>
          <cell r="L107" t="str">
            <v xml:space="preserve"> </v>
          </cell>
          <cell r="M107" t="str">
            <v xml:space="preserve"> </v>
          </cell>
        </row>
        <row r="108">
          <cell r="B108" t="str">
            <v xml:space="preserve"> </v>
          </cell>
          <cell r="C108" t="str">
            <v xml:space="preserve"> </v>
          </cell>
          <cell r="D108" t="str">
            <v xml:space="preserve"> </v>
          </cell>
          <cell r="E108" t="str">
            <v xml:space="preserve"> </v>
          </cell>
          <cell r="F108" t="str">
            <v xml:space="preserve"> </v>
          </cell>
          <cell r="G108" t="str">
            <v xml:space="preserve"> </v>
          </cell>
          <cell r="H108" t="str">
            <v xml:space="preserve"> </v>
          </cell>
          <cell r="I108" t="str">
            <v xml:space="preserve"> </v>
          </cell>
          <cell r="J108" t="str">
            <v xml:space="preserve"> </v>
          </cell>
          <cell r="K108" t="str">
            <v xml:space="preserve"> </v>
          </cell>
          <cell r="L108" t="str">
            <v xml:space="preserve"> </v>
          </cell>
          <cell r="M108" t="str">
            <v xml:space="preserve"> </v>
          </cell>
        </row>
        <row r="109">
          <cell r="B109" t="str">
            <v xml:space="preserve"> </v>
          </cell>
          <cell r="C109" t="str">
            <v xml:space="preserve"> </v>
          </cell>
          <cell r="D109" t="str">
            <v xml:space="preserve"> </v>
          </cell>
          <cell r="E109" t="str">
            <v xml:space="preserve"> </v>
          </cell>
          <cell r="F109" t="str">
            <v xml:space="preserve"> </v>
          </cell>
          <cell r="G109" t="str">
            <v xml:space="preserve"> </v>
          </cell>
          <cell r="H109" t="str">
            <v xml:space="preserve"> </v>
          </cell>
          <cell r="I109" t="str">
            <v xml:space="preserve"> </v>
          </cell>
          <cell r="J109" t="str">
            <v xml:space="preserve"> </v>
          </cell>
          <cell r="K109" t="str">
            <v xml:space="preserve"> </v>
          </cell>
          <cell r="L109" t="str">
            <v xml:space="preserve"> </v>
          </cell>
          <cell r="M109" t="str">
            <v xml:space="preserve"> </v>
          </cell>
        </row>
        <row r="110">
          <cell r="B110" t="str">
            <v xml:space="preserve"> </v>
          </cell>
          <cell r="C110" t="str">
            <v xml:space="preserve"> </v>
          </cell>
          <cell r="D110" t="str">
            <v xml:space="preserve"> </v>
          </cell>
          <cell r="E110" t="str">
            <v xml:space="preserve"> </v>
          </cell>
          <cell r="F110" t="str">
            <v xml:space="preserve"> </v>
          </cell>
          <cell r="G110" t="str">
            <v xml:space="preserve"> </v>
          </cell>
          <cell r="H110" t="str">
            <v xml:space="preserve"> </v>
          </cell>
          <cell r="I110" t="str">
            <v xml:space="preserve"> </v>
          </cell>
          <cell r="J110" t="str">
            <v xml:space="preserve"> </v>
          </cell>
          <cell r="K110" t="str">
            <v xml:space="preserve"> </v>
          </cell>
          <cell r="L110" t="str">
            <v xml:space="preserve"> </v>
          </cell>
          <cell r="M110" t="str">
            <v xml:space="preserve"> </v>
          </cell>
        </row>
        <row r="111">
          <cell r="B111" t="str">
            <v xml:space="preserve"> </v>
          </cell>
          <cell r="C111" t="str">
            <v xml:space="preserve"> </v>
          </cell>
          <cell r="D111" t="str">
            <v xml:space="preserve"> </v>
          </cell>
          <cell r="E111" t="str">
            <v xml:space="preserve"> </v>
          </cell>
          <cell r="F111" t="str">
            <v xml:space="preserve"> </v>
          </cell>
          <cell r="G111" t="str">
            <v xml:space="preserve"> </v>
          </cell>
          <cell r="H111" t="str">
            <v xml:space="preserve"> </v>
          </cell>
          <cell r="I111" t="str">
            <v xml:space="preserve"> </v>
          </cell>
          <cell r="J111" t="str">
            <v xml:space="preserve"> </v>
          </cell>
          <cell r="K111" t="str">
            <v xml:space="preserve"> </v>
          </cell>
          <cell r="L111" t="str">
            <v xml:space="preserve"> </v>
          </cell>
          <cell r="M111" t="str">
            <v xml:space="preserve"> </v>
          </cell>
        </row>
        <row r="112">
          <cell r="B112" t="str">
            <v xml:space="preserve"> </v>
          </cell>
          <cell r="C112" t="str">
            <v xml:space="preserve"> </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row>
        <row r="113">
          <cell r="B113" t="str">
            <v xml:space="preserve"> </v>
          </cell>
          <cell r="C113" t="str">
            <v xml:space="preserve"> </v>
          </cell>
          <cell r="D113" t="str">
            <v xml:space="preserve"> </v>
          </cell>
          <cell r="E113" t="str">
            <v xml:space="preserve"> </v>
          </cell>
          <cell r="F113" t="str">
            <v xml:space="preserve"> </v>
          </cell>
          <cell r="G113" t="str">
            <v xml:space="preserve"> </v>
          </cell>
          <cell r="H113" t="str">
            <v xml:space="preserve"> </v>
          </cell>
          <cell r="I113" t="str">
            <v xml:space="preserve"> </v>
          </cell>
          <cell r="J113" t="str">
            <v xml:space="preserve"> </v>
          </cell>
          <cell r="K113" t="str">
            <v xml:space="preserve"> </v>
          </cell>
          <cell r="L113" t="str">
            <v xml:space="preserve"> </v>
          </cell>
          <cell r="M113" t="str">
            <v xml:space="preserve"> </v>
          </cell>
        </row>
        <row r="114">
          <cell r="B114" t="str">
            <v xml:space="preserve"> </v>
          </cell>
          <cell r="C114" t="str">
            <v xml:space="preserve"> </v>
          </cell>
          <cell r="D114" t="str">
            <v xml:space="preserve"> </v>
          </cell>
          <cell r="E114" t="str">
            <v xml:space="preserve"> </v>
          </cell>
          <cell r="F114" t="str">
            <v xml:space="preserve"> </v>
          </cell>
          <cell r="G114" t="str">
            <v xml:space="preserve"> </v>
          </cell>
          <cell r="H114" t="str">
            <v xml:space="preserve"> </v>
          </cell>
          <cell r="I114" t="str">
            <v xml:space="preserve"> </v>
          </cell>
          <cell r="J114" t="str">
            <v xml:space="preserve"> </v>
          </cell>
          <cell r="K114" t="str">
            <v xml:space="preserve"> </v>
          </cell>
          <cell r="L114" t="str">
            <v xml:space="preserve"> </v>
          </cell>
          <cell r="M114" t="str">
            <v xml:space="preserve"> </v>
          </cell>
        </row>
        <row r="115">
          <cell r="B115" t="str">
            <v xml:space="preserve"> </v>
          </cell>
          <cell r="C115" t="str">
            <v xml:space="preserve"> </v>
          </cell>
          <cell r="D115" t="str">
            <v xml:space="preserve"> </v>
          </cell>
          <cell r="E115" t="str">
            <v xml:space="preserve"> </v>
          </cell>
          <cell r="F115" t="str">
            <v xml:space="preserve"> </v>
          </cell>
          <cell r="G115" t="str">
            <v xml:space="preserve"> </v>
          </cell>
          <cell r="H115" t="str">
            <v xml:space="preserve"> </v>
          </cell>
          <cell r="I115" t="str">
            <v xml:space="preserve"> </v>
          </cell>
          <cell r="J115" t="str">
            <v xml:space="preserve"> </v>
          </cell>
          <cell r="K115" t="str">
            <v xml:space="preserve"> </v>
          </cell>
          <cell r="L115" t="str">
            <v xml:space="preserve"> </v>
          </cell>
          <cell r="M115" t="str">
            <v xml:space="preserve"> </v>
          </cell>
        </row>
        <row r="116">
          <cell r="B116" t="str">
            <v xml:space="preserve"> </v>
          </cell>
          <cell r="C116" t="str">
            <v xml:space="preserve"> </v>
          </cell>
          <cell r="D116" t="str">
            <v xml:space="preserve"> </v>
          </cell>
          <cell r="E116" t="str">
            <v xml:space="preserve"> </v>
          </cell>
          <cell r="F116" t="str">
            <v xml:space="preserve"> </v>
          </cell>
          <cell r="G116" t="str">
            <v xml:space="preserve"> </v>
          </cell>
          <cell r="H116" t="str">
            <v xml:space="preserve"> </v>
          </cell>
          <cell r="I116" t="str">
            <v xml:space="preserve"> </v>
          </cell>
          <cell r="J116" t="str">
            <v xml:space="preserve"> </v>
          </cell>
          <cell r="K116" t="str">
            <v xml:space="preserve"> </v>
          </cell>
          <cell r="L116" t="str">
            <v xml:space="preserve"> </v>
          </cell>
          <cell r="M116" t="str">
            <v xml:space="preserve"> </v>
          </cell>
        </row>
        <row r="117">
          <cell r="B117" t="str">
            <v xml:space="preserve"> </v>
          </cell>
          <cell r="C117" t="str">
            <v xml:space="preserve"> </v>
          </cell>
          <cell r="D117" t="str">
            <v xml:space="preserve"> </v>
          </cell>
          <cell r="E117" t="str">
            <v xml:space="preserve"> </v>
          </cell>
          <cell r="F117" t="str">
            <v xml:space="preserve"> </v>
          </cell>
          <cell r="G117" t="str">
            <v xml:space="preserve"> </v>
          </cell>
          <cell r="H117" t="str">
            <v xml:space="preserve"> </v>
          </cell>
          <cell r="I117" t="str">
            <v xml:space="preserve"> </v>
          </cell>
          <cell r="J117" t="str">
            <v xml:space="preserve"> </v>
          </cell>
          <cell r="K117" t="str">
            <v xml:space="preserve"> </v>
          </cell>
          <cell r="L117" t="str">
            <v xml:space="preserve"> </v>
          </cell>
          <cell r="M117" t="str">
            <v xml:space="preserve"> </v>
          </cell>
        </row>
        <row r="118">
          <cell r="B118" t="str">
            <v xml:space="preserve"> </v>
          </cell>
          <cell r="C118" t="str">
            <v xml:space="preserve"> </v>
          </cell>
          <cell r="D118" t="str">
            <v xml:space="preserve"> </v>
          </cell>
          <cell r="E118" t="str">
            <v xml:space="preserve"> </v>
          </cell>
          <cell r="F118" t="str">
            <v xml:space="preserve"> </v>
          </cell>
          <cell r="G118" t="str">
            <v xml:space="preserve"> </v>
          </cell>
          <cell r="H118" t="str">
            <v xml:space="preserve"> </v>
          </cell>
          <cell r="I118" t="str">
            <v xml:space="preserve"> </v>
          </cell>
          <cell r="J118" t="str">
            <v xml:space="preserve"> </v>
          </cell>
          <cell r="K118" t="str">
            <v xml:space="preserve"> </v>
          </cell>
          <cell r="L118" t="str">
            <v xml:space="preserve"> </v>
          </cell>
          <cell r="M118" t="str">
            <v xml:space="preserve"> </v>
          </cell>
        </row>
        <row r="119">
          <cell r="B119" t="str">
            <v xml:space="preserve"> </v>
          </cell>
          <cell r="C119" t="str">
            <v xml:space="preserve"> </v>
          </cell>
          <cell r="D119" t="str">
            <v xml:space="preserve"> </v>
          </cell>
          <cell r="E119" t="str">
            <v xml:space="preserve"> </v>
          </cell>
          <cell r="F119" t="str">
            <v xml:space="preserve"> </v>
          </cell>
          <cell r="G119" t="str">
            <v xml:space="preserve"> </v>
          </cell>
          <cell r="H119" t="str">
            <v xml:space="preserve"> </v>
          </cell>
          <cell r="I119" t="str">
            <v xml:space="preserve"> </v>
          </cell>
          <cell r="J119" t="str">
            <v xml:space="preserve"> </v>
          </cell>
          <cell r="K119" t="str">
            <v xml:space="preserve"> </v>
          </cell>
          <cell r="L119" t="str">
            <v xml:space="preserve"> </v>
          </cell>
          <cell r="M119" t="str">
            <v xml:space="preserve"> </v>
          </cell>
        </row>
        <row r="120">
          <cell r="B120" t="str">
            <v xml:space="preserve"> </v>
          </cell>
          <cell r="C120" t="str">
            <v xml:space="preserve"> </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row>
        <row r="121">
          <cell r="B121" t="str">
            <v xml:space="preserve"> </v>
          </cell>
          <cell r="C121" t="str">
            <v xml:space="preserve"> </v>
          </cell>
          <cell r="D121" t="str">
            <v xml:space="preserve"> </v>
          </cell>
          <cell r="E121" t="str">
            <v xml:space="preserve"> </v>
          </cell>
          <cell r="F121" t="str">
            <v xml:space="preserve"> </v>
          </cell>
          <cell r="G121" t="str">
            <v xml:space="preserve"> </v>
          </cell>
          <cell r="H121" t="str">
            <v xml:space="preserve"> </v>
          </cell>
          <cell r="I121" t="str">
            <v xml:space="preserve"> </v>
          </cell>
          <cell r="J121" t="str">
            <v xml:space="preserve"> </v>
          </cell>
          <cell r="K121" t="str">
            <v xml:space="preserve"> </v>
          </cell>
          <cell r="L121" t="str">
            <v xml:space="preserve"> </v>
          </cell>
          <cell r="M121" t="str">
            <v xml:space="preserve"> </v>
          </cell>
        </row>
        <row r="122">
          <cell r="B122" t="str">
            <v xml:space="preserve"> </v>
          </cell>
          <cell r="C122" t="str">
            <v xml:space="preserve"> </v>
          </cell>
          <cell r="D122" t="str">
            <v xml:space="preserve"> </v>
          </cell>
          <cell r="E122" t="str">
            <v xml:space="preserve"> </v>
          </cell>
          <cell r="F122" t="str">
            <v xml:space="preserve"> </v>
          </cell>
          <cell r="G122" t="str">
            <v xml:space="preserve"> </v>
          </cell>
          <cell r="H122" t="str">
            <v xml:space="preserve"> </v>
          </cell>
          <cell r="I122" t="str">
            <v xml:space="preserve"> </v>
          </cell>
          <cell r="J122" t="str">
            <v xml:space="preserve"> </v>
          </cell>
          <cell r="K122" t="str">
            <v xml:space="preserve"> </v>
          </cell>
          <cell r="L122" t="str">
            <v xml:space="preserve"> </v>
          </cell>
          <cell r="M122" t="str">
            <v xml:space="preserve"> </v>
          </cell>
        </row>
        <row r="123">
          <cell r="B123" t="str">
            <v xml:space="preserve"> </v>
          </cell>
          <cell r="C123" t="str">
            <v xml:space="preserve"> </v>
          </cell>
          <cell r="D123" t="str">
            <v xml:space="preserve"> </v>
          </cell>
          <cell r="E123" t="str">
            <v xml:space="preserve"> </v>
          </cell>
          <cell r="F123" t="str">
            <v xml:space="preserve"> </v>
          </cell>
          <cell r="G123" t="str">
            <v xml:space="preserve"> </v>
          </cell>
          <cell r="H123" t="str">
            <v xml:space="preserve"> </v>
          </cell>
          <cell r="I123" t="str">
            <v xml:space="preserve"> </v>
          </cell>
          <cell r="J123" t="str">
            <v xml:space="preserve"> </v>
          </cell>
          <cell r="K123" t="str">
            <v xml:space="preserve"> </v>
          </cell>
          <cell r="L123" t="str">
            <v xml:space="preserve"> </v>
          </cell>
          <cell r="M123" t="str">
            <v xml:space="preserve"> </v>
          </cell>
        </row>
        <row r="124">
          <cell r="B124" t="str">
            <v xml:space="preserve"> </v>
          </cell>
          <cell r="C124" t="str">
            <v xml:space="preserve"> </v>
          </cell>
          <cell r="D124" t="str">
            <v xml:space="preserve"> </v>
          </cell>
          <cell r="E124" t="str">
            <v xml:space="preserve"> </v>
          </cell>
          <cell r="F124" t="str">
            <v xml:space="preserve"> </v>
          </cell>
          <cell r="G124" t="str">
            <v xml:space="preserve"> </v>
          </cell>
          <cell r="H124" t="str">
            <v xml:space="preserve"> </v>
          </cell>
          <cell r="I124" t="str">
            <v xml:space="preserve"> </v>
          </cell>
          <cell r="J124" t="str">
            <v xml:space="preserve"> </v>
          </cell>
          <cell r="K124" t="str">
            <v xml:space="preserve"> </v>
          </cell>
          <cell r="L124" t="str">
            <v xml:space="preserve"> </v>
          </cell>
          <cell r="M124" t="str">
            <v xml:space="preserve"> </v>
          </cell>
        </row>
        <row r="125">
          <cell r="B125" t="str">
            <v xml:space="preserve"> </v>
          </cell>
          <cell r="C125" t="str">
            <v xml:space="preserve"> </v>
          </cell>
          <cell r="D125" t="str">
            <v xml:space="preserve"> </v>
          </cell>
          <cell r="E125" t="str">
            <v xml:space="preserve"> </v>
          </cell>
          <cell r="F125" t="str">
            <v xml:space="preserve"> </v>
          </cell>
          <cell r="G125" t="str">
            <v xml:space="preserve"> </v>
          </cell>
          <cell r="H125" t="str">
            <v xml:space="preserve"> </v>
          </cell>
          <cell r="I125" t="str">
            <v xml:space="preserve"> </v>
          </cell>
          <cell r="J125" t="str">
            <v xml:space="preserve"> </v>
          </cell>
          <cell r="K125" t="str">
            <v xml:space="preserve"> </v>
          </cell>
          <cell r="L125" t="str">
            <v xml:space="preserve"> </v>
          </cell>
          <cell r="M125" t="str">
            <v xml:space="preserve"> </v>
          </cell>
        </row>
        <row r="126">
          <cell r="B126" t="str">
            <v xml:space="preserve"> </v>
          </cell>
          <cell r="C126" t="str">
            <v xml:space="preserve"> </v>
          </cell>
          <cell r="D126" t="str">
            <v xml:space="preserve"> </v>
          </cell>
          <cell r="E126" t="str">
            <v xml:space="preserve"> </v>
          </cell>
          <cell r="F126" t="str">
            <v xml:space="preserve"> </v>
          </cell>
          <cell r="G126" t="str">
            <v xml:space="preserve"> </v>
          </cell>
          <cell r="H126" t="str">
            <v xml:space="preserve"> </v>
          </cell>
          <cell r="I126" t="str">
            <v xml:space="preserve"> </v>
          </cell>
          <cell r="J126" t="str">
            <v xml:space="preserve"> </v>
          </cell>
          <cell r="K126" t="str">
            <v xml:space="preserve"> </v>
          </cell>
          <cell r="L126" t="str">
            <v xml:space="preserve"> </v>
          </cell>
          <cell r="M126" t="str">
            <v xml:space="preserve"> </v>
          </cell>
        </row>
        <row r="127">
          <cell r="B127" t="str">
            <v xml:space="preserve"> </v>
          </cell>
          <cell r="C127" t="str">
            <v xml:space="preserve"> </v>
          </cell>
          <cell r="D127" t="str">
            <v xml:space="preserve"> </v>
          </cell>
          <cell r="E127" t="str">
            <v xml:space="preserve"> </v>
          </cell>
          <cell r="F127" t="str">
            <v xml:space="preserve"> </v>
          </cell>
          <cell r="G127" t="str">
            <v xml:space="preserve"> </v>
          </cell>
          <cell r="H127" t="str">
            <v xml:space="preserve"> </v>
          </cell>
          <cell r="I127" t="str">
            <v xml:space="preserve"> </v>
          </cell>
          <cell r="J127" t="str">
            <v xml:space="preserve"> </v>
          </cell>
          <cell r="K127" t="str">
            <v xml:space="preserve"> </v>
          </cell>
          <cell r="L127" t="str">
            <v xml:space="preserve"> </v>
          </cell>
          <cell r="M127" t="str">
            <v xml:space="preserve"> </v>
          </cell>
        </row>
        <row r="128">
          <cell r="B128" t="str">
            <v xml:space="preserve"> </v>
          </cell>
          <cell r="C128" t="str">
            <v xml:space="preserve"> </v>
          </cell>
          <cell r="D128" t="str">
            <v xml:space="preserve"> </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row>
        <row r="129">
          <cell r="B129" t="str">
            <v xml:space="preserve"> </v>
          </cell>
          <cell r="C129" t="str">
            <v xml:space="preserve"> </v>
          </cell>
          <cell r="D129" t="str">
            <v xml:space="preserve"> </v>
          </cell>
          <cell r="E129" t="str">
            <v xml:space="preserve"> </v>
          </cell>
          <cell r="F129" t="str">
            <v xml:space="preserve"> </v>
          </cell>
          <cell r="G129" t="str">
            <v xml:space="preserve"> </v>
          </cell>
          <cell r="H129" t="str">
            <v xml:space="preserve"> </v>
          </cell>
          <cell r="I129" t="str">
            <v xml:space="preserve"> </v>
          </cell>
          <cell r="J129" t="str">
            <v xml:space="preserve"> </v>
          </cell>
          <cell r="K129" t="str">
            <v xml:space="preserve"> </v>
          </cell>
          <cell r="L129" t="str">
            <v xml:space="preserve"> </v>
          </cell>
          <cell r="M129" t="str">
            <v xml:space="preserve"> </v>
          </cell>
        </row>
        <row r="130">
          <cell r="B130" t="str">
            <v xml:space="preserve"> </v>
          </cell>
          <cell r="C130" t="str">
            <v xml:space="preserve"> </v>
          </cell>
          <cell r="D130" t="str">
            <v xml:space="preserve"> </v>
          </cell>
          <cell r="E130" t="str">
            <v xml:space="preserve"> </v>
          </cell>
          <cell r="F130" t="str">
            <v xml:space="preserve"> </v>
          </cell>
          <cell r="G130" t="str">
            <v xml:space="preserve"> </v>
          </cell>
          <cell r="H130" t="str">
            <v xml:space="preserve"> </v>
          </cell>
          <cell r="I130" t="str">
            <v xml:space="preserve"> </v>
          </cell>
          <cell r="J130" t="str">
            <v xml:space="preserve"> </v>
          </cell>
          <cell r="K130" t="str">
            <v xml:space="preserve"> </v>
          </cell>
          <cell r="L130" t="str">
            <v xml:space="preserve"> </v>
          </cell>
          <cell r="M130" t="str">
            <v xml:space="preserve"> </v>
          </cell>
        </row>
        <row r="131">
          <cell r="B131" t="str">
            <v xml:space="preserve"> </v>
          </cell>
          <cell r="C131" t="str">
            <v xml:space="preserve"> </v>
          </cell>
          <cell r="D131" t="str">
            <v xml:space="preserve"> </v>
          </cell>
          <cell r="E131" t="str">
            <v xml:space="preserve"> </v>
          </cell>
          <cell r="F131" t="str">
            <v xml:space="preserve"> </v>
          </cell>
          <cell r="G131" t="str">
            <v xml:space="preserve"> </v>
          </cell>
          <cell r="H131" t="str">
            <v xml:space="preserve"> </v>
          </cell>
          <cell r="I131" t="str">
            <v xml:space="preserve"> </v>
          </cell>
          <cell r="J131" t="str">
            <v xml:space="preserve"> </v>
          </cell>
          <cell r="K131" t="str">
            <v xml:space="preserve"> </v>
          </cell>
          <cell r="L131" t="str">
            <v xml:space="preserve"> </v>
          </cell>
          <cell r="M131" t="str">
            <v xml:space="preserve"> </v>
          </cell>
        </row>
        <row r="132">
          <cell r="B132" t="str">
            <v xml:space="preserve"> </v>
          </cell>
          <cell r="C132" t="str">
            <v xml:space="preserve"> </v>
          </cell>
          <cell r="D132" t="str">
            <v xml:space="preserve"> </v>
          </cell>
          <cell r="E132" t="str">
            <v xml:space="preserve"> </v>
          </cell>
          <cell r="F132" t="str">
            <v xml:space="preserve"> </v>
          </cell>
          <cell r="G132" t="str">
            <v xml:space="preserve"> </v>
          </cell>
          <cell r="H132" t="str">
            <v xml:space="preserve"> </v>
          </cell>
          <cell r="I132" t="str">
            <v xml:space="preserve"> </v>
          </cell>
          <cell r="J132" t="str">
            <v xml:space="preserve"> </v>
          </cell>
          <cell r="K132" t="str">
            <v xml:space="preserve"> </v>
          </cell>
          <cell r="L132" t="str">
            <v xml:space="preserve"> </v>
          </cell>
          <cell r="M132" t="str">
            <v xml:space="preserve"> </v>
          </cell>
        </row>
        <row r="133">
          <cell r="B133" t="str">
            <v xml:space="preserve"> </v>
          </cell>
          <cell r="C133" t="str">
            <v xml:space="preserve"> </v>
          </cell>
          <cell r="D133" t="str">
            <v xml:space="preserve"> </v>
          </cell>
          <cell r="E133" t="str">
            <v xml:space="preserve"> </v>
          </cell>
          <cell r="F133" t="str">
            <v xml:space="preserve"> </v>
          </cell>
          <cell r="G133" t="str">
            <v xml:space="preserve"> </v>
          </cell>
          <cell r="H133" t="str">
            <v xml:space="preserve"> </v>
          </cell>
          <cell r="I133" t="str">
            <v xml:space="preserve"> </v>
          </cell>
          <cell r="J133" t="str">
            <v xml:space="preserve"> </v>
          </cell>
          <cell r="K133" t="str">
            <v xml:space="preserve"> </v>
          </cell>
          <cell r="L133" t="str">
            <v xml:space="preserve"> </v>
          </cell>
          <cell r="M133" t="str">
            <v xml:space="preserve"> </v>
          </cell>
        </row>
        <row r="134">
          <cell r="B134" t="str">
            <v xml:space="preserve"> </v>
          </cell>
          <cell r="C134" t="str">
            <v xml:space="preserve"> </v>
          </cell>
          <cell r="D134" t="str">
            <v xml:space="preserve"> </v>
          </cell>
          <cell r="E134" t="str">
            <v xml:space="preserve"> </v>
          </cell>
          <cell r="F134" t="str">
            <v xml:space="preserve"> </v>
          </cell>
          <cell r="G134" t="str">
            <v xml:space="preserve"> </v>
          </cell>
          <cell r="H134" t="str">
            <v xml:space="preserve"> </v>
          </cell>
          <cell r="I134" t="str">
            <v xml:space="preserve"> </v>
          </cell>
          <cell r="J134" t="str">
            <v xml:space="preserve"> </v>
          </cell>
          <cell r="K134" t="str">
            <v xml:space="preserve"> </v>
          </cell>
          <cell r="L134" t="str">
            <v xml:space="preserve"> </v>
          </cell>
          <cell r="M134" t="str">
            <v xml:space="preserve"> </v>
          </cell>
        </row>
        <row r="135">
          <cell r="B135" t="str">
            <v xml:space="preserve"> </v>
          </cell>
          <cell r="C135" t="str">
            <v xml:space="preserve"> </v>
          </cell>
          <cell r="D135" t="str">
            <v xml:space="preserve"> </v>
          </cell>
          <cell r="E135" t="str">
            <v xml:space="preserve"> </v>
          </cell>
          <cell r="F135" t="str">
            <v xml:space="preserve"> </v>
          </cell>
          <cell r="G135" t="str">
            <v xml:space="preserve"> </v>
          </cell>
          <cell r="H135" t="str">
            <v xml:space="preserve"> </v>
          </cell>
          <cell r="I135" t="str">
            <v xml:space="preserve"> </v>
          </cell>
          <cell r="J135" t="str">
            <v xml:space="preserve"> </v>
          </cell>
          <cell r="K135" t="str">
            <v xml:space="preserve"> </v>
          </cell>
          <cell r="L135" t="str">
            <v xml:space="preserve"> </v>
          </cell>
          <cell r="M135" t="str">
            <v xml:space="preserve"> </v>
          </cell>
        </row>
        <row r="136">
          <cell r="B136" t="str">
            <v xml:space="preserve"> </v>
          </cell>
          <cell r="C136" t="str">
            <v xml:space="preserve"> </v>
          </cell>
          <cell r="D136" t="str">
            <v xml:space="preserve"> </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row>
        <row r="137">
          <cell r="B137" t="str">
            <v xml:space="preserve"> </v>
          </cell>
          <cell r="C137" t="str">
            <v xml:space="preserve"> </v>
          </cell>
          <cell r="D137" t="str">
            <v xml:space="preserve"> </v>
          </cell>
          <cell r="E137" t="str">
            <v xml:space="preserve"> </v>
          </cell>
          <cell r="F137" t="str">
            <v xml:space="preserve"> </v>
          </cell>
          <cell r="G137" t="str">
            <v xml:space="preserve"> </v>
          </cell>
          <cell r="H137" t="str">
            <v xml:space="preserve"> </v>
          </cell>
          <cell r="I137" t="str">
            <v xml:space="preserve"> </v>
          </cell>
          <cell r="J137" t="str">
            <v xml:space="preserve"> </v>
          </cell>
          <cell r="K137" t="str">
            <v xml:space="preserve"> </v>
          </cell>
          <cell r="L137" t="str">
            <v xml:space="preserve"> </v>
          </cell>
          <cell r="M137" t="str">
            <v xml:space="preserve"> </v>
          </cell>
        </row>
        <row r="138">
          <cell r="B138" t="str">
            <v xml:space="preserve"> </v>
          </cell>
          <cell r="C138" t="str">
            <v xml:space="preserve"> </v>
          </cell>
          <cell r="D138" t="str">
            <v xml:space="preserve"> </v>
          </cell>
          <cell r="E138" t="str">
            <v xml:space="preserve"> </v>
          </cell>
          <cell r="F138" t="str">
            <v xml:space="preserve"> </v>
          </cell>
          <cell r="G138" t="str">
            <v xml:space="preserve"> </v>
          </cell>
          <cell r="H138" t="str">
            <v xml:space="preserve"> </v>
          </cell>
          <cell r="I138" t="str">
            <v xml:space="preserve"> </v>
          </cell>
          <cell r="J138" t="str">
            <v xml:space="preserve"> </v>
          </cell>
          <cell r="K138" t="str">
            <v xml:space="preserve"> </v>
          </cell>
          <cell r="L138" t="str">
            <v xml:space="preserve"> </v>
          </cell>
          <cell r="M138" t="str">
            <v xml:space="preserve"> </v>
          </cell>
        </row>
        <row r="139">
          <cell r="B139" t="str">
            <v xml:space="preserve"> </v>
          </cell>
          <cell r="C139" t="str">
            <v xml:space="preserve"> </v>
          </cell>
          <cell r="D139" t="str">
            <v xml:space="preserve"> </v>
          </cell>
          <cell r="E139" t="str">
            <v xml:space="preserve"> </v>
          </cell>
          <cell r="F139" t="str">
            <v xml:space="preserve"> </v>
          </cell>
          <cell r="G139" t="str">
            <v xml:space="preserve"> </v>
          </cell>
          <cell r="H139" t="str">
            <v xml:space="preserve"> </v>
          </cell>
          <cell r="I139" t="str">
            <v xml:space="preserve"> </v>
          </cell>
          <cell r="J139" t="str">
            <v xml:space="preserve"> </v>
          </cell>
          <cell r="K139" t="str">
            <v xml:space="preserve"> </v>
          </cell>
          <cell r="L139" t="str">
            <v xml:space="preserve"> </v>
          </cell>
          <cell r="M139" t="str">
            <v xml:space="preserve"> </v>
          </cell>
        </row>
        <row r="140">
          <cell r="B140" t="str">
            <v xml:space="preserve"> </v>
          </cell>
          <cell r="C140" t="str">
            <v xml:space="preserve"> </v>
          </cell>
          <cell r="D140" t="str">
            <v xml:space="preserve"> </v>
          </cell>
          <cell r="E140" t="str">
            <v xml:space="preserve"> </v>
          </cell>
          <cell r="F140" t="str">
            <v xml:space="preserve"> </v>
          </cell>
          <cell r="G140" t="str">
            <v xml:space="preserve"> </v>
          </cell>
          <cell r="H140" t="str">
            <v xml:space="preserve"> </v>
          </cell>
          <cell r="I140" t="str">
            <v xml:space="preserve"> </v>
          </cell>
          <cell r="J140" t="str">
            <v xml:space="preserve"> </v>
          </cell>
          <cell r="K140" t="str">
            <v xml:space="preserve"> </v>
          </cell>
          <cell r="L140" t="str">
            <v xml:space="preserve"> </v>
          </cell>
          <cell r="M140" t="str">
            <v xml:space="preserve"> </v>
          </cell>
        </row>
        <row r="141">
          <cell r="B141" t="str">
            <v xml:space="preserve"> </v>
          </cell>
          <cell r="C141" t="str">
            <v xml:space="preserve"> </v>
          </cell>
          <cell r="D141" t="str">
            <v xml:space="preserve"> </v>
          </cell>
          <cell r="E141" t="str">
            <v xml:space="preserve"> </v>
          </cell>
          <cell r="F141" t="str">
            <v xml:space="preserve"> </v>
          </cell>
          <cell r="G141" t="str">
            <v xml:space="preserve"> </v>
          </cell>
          <cell r="H141" t="str">
            <v xml:space="preserve"> </v>
          </cell>
          <cell r="I141" t="str">
            <v xml:space="preserve"> </v>
          </cell>
          <cell r="J141" t="str">
            <v xml:space="preserve"> </v>
          </cell>
          <cell r="K141" t="str">
            <v xml:space="preserve"> </v>
          </cell>
          <cell r="L141" t="str">
            <v xml:space="preserve"> </v>
          </cell>
          <cell r="M141" t="str">
            <v xml:space="preserve"> </v>
          </cell>
        </row>
        <row r="142">
          <cell r="B142" t="str">
            <v xml:space="preserve"> </v>
          </cell>
          <cell r="C142" t="str">
            <v xml:space="preserve"> </v>
          </cell>
          <cell r="D142" t="str">
            <v xml:space="preserve"> </v>
          </cell>
          <cell r="E142" t="str">
            <v xml:space="preserve"> </v>
          </cell>
          <cell r="F142" t="str">
            <v xml:space="preserve"> </v>
          </cell>
          <cell r="G142" t="str">
            <v xml:space="preserve"> </v>
          </cell>
          <cell r="H142" t="str">
            <v xml:space="preserve"> </v>
          </cell>
          <cell r="I142" t="str">
            <v xml:space="preserve"> </v>
          </cell>
          <cell r="J142" t="str">
            <v xml:space="preserve"> </v>
          </cell>
          <cell r="K142" t="str">
            <v xml:space="preserve"> </v>
          </cell>
          <cell r="L142" t="str">
            <v xml:space="preserve"> </v>
          </cell>
          <cell r="M142" t="str">
            <v xml:space="preserve"> </v>
          </cell>
        </row>
        <row r="143">
          <cell r="B143" t="str">
            <v xml:space="preserve"> </v>
          </cell>
          <cell r="C143" t="str">
            <v xml:space="preserve"> </v>
          </cell>
          <cell r="D143" t="str">
            <v xml:space="preserve"> </v>
          </cell>
          <cell r="E143" t="str">
            <v xml:space="preserve"> </v>
          </cell>
          <cell r="F143" t="str">
            <v xml:space="preserve"> </v>
          </cell>
          <cell r="G143" t="str">
            <v xml:space="preserve"> </v>
          </cell>
          <cell r="H143" t="str">
            <v xml:space="preserve"> </v>
          </cell>
          <cell r="I143" t="str">
            <v xml:space="preserve"> </v>
          </cell>
          <cell r="J143" t="str">
            <v xml:space="preserve"> </v>
          </cell>
          <cell r="K143" t="str">
            <v xml:space="preserve"> </v>
          </cell>
          <cell r="L143" t="str">
            <v xml:space="preserve"> </v>
          </cell>
          <cell r="M143" t="str">
            <v xml:space="preserve"> </v>
          </cell>
        </row>
        <row r="144">
          <cell r="B144" t="str">
            <v xml:space="preserve"> </v>
          </cell>
          <cell r="C144" t="str">
            <v xml:space="preserve"> </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row>
        <row r="145">
          <cell r="B145" t="str">
            <v xml:space="preserve"> </v>
          </cell>
          <cell r="C145" t="str">
            <v xml:space="preserve"> </v>
          </cell>
          <cell r="D145" t="str">
            <v xml:space="preserve"> </v>
          </cell>
          <cell r="E145" t="str">
            <v xml:space="preserve"> </v>
          </cell>
          <cell r="F145" t="str">
            <v xml:space="preserve"> </v>
          </cell>
          <cell r="G145" t="str">
            <v xml:space="preserve"> </v>
          </cell>
          <cell r="H145" t="str">
            <v xml:space="preserve"> </v>
          </cell>
          <cell r="I145" t="str">
            <v xml:space="preserve"> </v>
          </cell>
          <cell r="J145" t="str">
            <v xml:space="preserve"> </v>
          </cell>
          <cell r="K145" t="str">
            <v xml:space="preserve"> </v>
          </cell>
          <cell r="L145" t="str">
            <v xml:space="preserve"> </v>
          </cell>
          <cell r="M145" t="str">
            <v xml:space="preserve"> </v>
          </cell>
        </row>
        <row r="146">
          <cell r="B146" t="str">
            <v xml:space="preserve"> </v>
          </cell>
          <cell r="C146" t="str">
            <v xml:space="preserve"> </v>
          </cell>
          <cell r="D146" t="str">
            <v xml:space="preserve"> </v>
          </cell>
          <cell r="E146" t="str">
            <v xml:space="preserve"> </v>
          </cell>
          <cell r="F146" t="str">
            <v xml:space="preserve"> </v>
          </cell>
          <cell r="G146" t="str">
            <v xml:space="preserve"> </v>
          </cell>
          <cell r="H146" t="str">
            <v xml:space="preserve"> </v>
          </cell>
          <cell r="I146" t="str">
            <v xml:space="preserve"> </v>
          </cell>
          <cell r="J146" t="str">
            <v xml:space="preserve"> </v>
          </cell>
          <cell r="K146" t="str">
            <v xml:space="preserve"> </v>
          </cell>
          <cell r="L146" t="str">
            <v xml:space="preserve"> </v>
          </cell>
          <cell r="M146" t="str">
            <v xml:space="preserve"> </v>
          </cell>
        </row>
        <row r="147">
          <cell r="B147" t="str">
            <v xml:space="preserve"> </v>
          </cell>
          <cell r="C147" t="str">
            <v xml:space="preserve"> </v>
          </cell>
          <cell r="D147" t="str">
            <v xml:space="preserve"> </v>
          </cell>
          <cell r="E147" t="str">
            <v xml:space="preserve"> </v>
          </cell>
          <cell r="F147" t="str">
            <v xml:space="preserve"> </v>
          </cell>
          <cell r="G147" t="str">
            <v xml:space="preserve"> </v>
          </cell>
          <cell r="H147" t="str">
            <v xml:space="preserve"> </v>
          </cell>
          <cell r="I147" t="str">
            <v xml:space="preserve"> </v>
          </cell>
          <cell r="J147" t="str">
            <v xml:space="preserve"> </v>
          </cell>
          <cell r="K147" t="str">
            <v xml:space="preserve"> </v>
          </cell>
          <cell r="L147" t="str">
            <v xml:space="preserve"> </v>
          </cell>
          <cell r="M147" t="str">
            <v xml:space="preserve"> </v>
          </cell>
        </row>
        <row r="148">
          <cell r="B148" t="str">
            <v xml:space="preserve"> </v>
          </cell>
          <cell r="C148" t="str">
            <v xml:space="preserve"> </v>
          </cell>
          <cell r="D148" t="str">
            <v xml:space="preserve"> </v>
          </cell>
          <cell r="E148" t="str">
            <v xml:space="preserve"> </v>
          </cell>
          <cell r="F148" t="str">
            <v xml:space="preserve"> </v>
          </cell>
          <cell r="G148" t="str">
            <v xml:space="preserve"> </v>
          </cell>
          <cell r="H148" t="str">
            <v xml:space="preserve"> </v>
          </cell>
          <cell r="I148" t="str">
            <v xml:space="preserve"> </v>
          </cell>
          <cell r="J148" t="str">
            <v xml:space="preserve"> </v>
          </cell>
          <cell r="K148" t="str">
            <v xml:space="preserve"> </v>
          </cell>
          <cell r="L148" t="str">
            <v xml:space="preserve"> </v>
          </cell>
          <cell r="M148" t="str">
            <v xml:space="preserve"> </v>
          </cell>
        </row>
        <row r="149">
          <cell r="B149" t="str">
            <v xml:space="preserve"> </v>
          </cell>
          <cell r="C149" t="str">
            <v xml:space="preserve"> </v>
          </cell>
          <cell r="D149" t="str">
            <v xml:space="preserve"> </v>
          </cell>
          <cell r="E149" t="str">
            <v xml:space="preserve"> </v>
          </cell>
          <cell r="F149" t="str">
            <v xml:space="preserve"> </v>
          </cell>
          <cell r="G149" t="str">
            <v xml:space="preserve"> </v>
          </cell>
          <cell r="H149" t="str">
            <v xml:space="preserve"> </v>
          </cell>
          <cell r="I149" t="str">
            <v xml:space="preserve"> </v>
          </cell>
          <cell r="J149" t="str">
            <v xml:space="preserve"> </v>
          </cell>
          <cell r="K149" t="str">
            <v xml:space="preserve"> </v>
          </cell>
          <cell r="L149" t="str">
            <v xml:space="preserve"> </v>
          </cell>
          <cell r="M149" t="str">
            <v xml:space="preserve"> </v>
          </cell>
        </row>
        <row r="150">
          <cell r="B150" t="str">
            <v xml:space="preserve"> </v>
          </cell>
          <cell r="C150" t="str">
            <v xml:space="preserve"> </v>
          </cell>
          <cell r="D150" t="str">
            <v xml:space="preserve"> </v>
          </cell>
          <cell r="E150" t="str">
            <v xml:space="preserve"> </v>
          </cell>
          <cell r="F150" t="str">
            <v xml:space="preserve"> </v>
          </cell>
          <cell r="G150" t="str">
            <v xml:space="preserve"> </v>
          </cell>
          <cell r="H150" t="str">
            <v xml:space="preserve"> </v>
          </cell>
          <cell r="I150" t="str">
            <v xml:space="preserve"> </v>
          </cell>
          <cell r="J150" t="str">
            <v xml:space="preserve"> </v>
          </cell>
          <cell r="K150" t="str">
            <v xml:space="preserve"> </v>
          </cell>
          <cell r="L150" t="str">
            <v xml:space="preserve"> </v>
          </cell>
          <cell r="M150" t="str">
            <v xml:space="preserve"> </v>
          </cell>
        </row>
        <row r="151">
          <cell r="B151" t="str">
            <v xml:space="preserve"> </v>
          </cell>
          <cell r="C151" t="str">
            <v xml:space="preserve"> </v>
          </cell>
          <cell r="D151" t="str">
            <v xml:space="preserve"> </v>
          </cell>
          <cell r="E151" t="str">
            <v xml:space="preserve"> </v>
          </cell>
          <cell r="F151" t="str">
            <v xml:space="preserve"> </v>
          </cell>
          <cell r="G151" t="str">
            <v xml:space="preserve"> </v>
          </cell>
          <cell r="H151" t="str">
            <v xml:space="preserve"> </v>
          </cell>
          <cell r="I151" t="str">
            <v xml:space="preserve"> </v>
          </cell>
          <cell r="J151" t="str">
            <v xml:space="preserve"> </v>
          </cell>
          <cell r="K151" t="str">
            <v xml:space="preserve"> </v>
          </cell>
          <cell r="L151" t="str">
            <v xml:space="preserve"> </v>
          </cell>
          <cell r="M151" t="str">
            <v xml:space="preserve"> </v>
          </cell>
        </row>
        <row r="152">
          <cell r="B152" t="str">
            <v xml:space="preserve"> </v>
          </cell>
          <cell r="C152" t="str">
            <v xml:space="preserve"> </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row>
        <row r="153">
          <cell r="B153" t="str">
            <v xml:space="preserve"> </v>
          </cell>
          <cell r="C153" t="str">
            <v xml:space="preserve"> </v>
          </cell>
          <cell r="D153" t="str">
            <v xml:space="preserve"> </v>
          </cell>
          <cell r="E153" t="str">
            <v xml:space="preserve"> </v>
          </cell>
          <cell r="F153" t="str">
            <v xml:space="preserve"> </v>
          </cell>
          <cell r="G153" t="str">
            <v xml:space="preserve"> </v>
          </cell>
          <cell r="H153" t="str">
            <v xml:space="preserve"> </v>
          </cell>
          <cell r="I153" t="str">
            <v xml:space="preserve"> </v>
          </cell>
          <cell r="J153" t="str">
            <v xml:space="preserve"> </v>
          </cell>
          <cell r="K153" t="str">
            <v xml:space="preserve"> </v>
          </cell>
          <cell r="L153" t="str">
            <v xml:space="preserve"> </v>
          </cell>
          <cell r="M153" t="str">
            <v xml:space="preserve"> </v>
          </cell>
        </row>
        <row r="154">
          <cell r="B154" t="str">
            <v xml:space="preserve"> </v>
          </cell>
          <cell r="C154" t="str">
            <v xml:space="preserve"> </v>
          </cell>
          <cell r="D154" t="str">
            <v xml:space="preserve"> </v>
          </cell>
          <cell r="E154" t="str">
            <v xml:space="preserve"> </v>
          </cell>
          <cell r="F154" t="str">
            <v xml:space="preserve"> </v>
          </cell>
          <cell r="G154" t="str">
            <v xml:space="preserve"> </v>
          </cell>
          <cell r="H154" t="str">
            <v xml:space="preserve"> </v>
          </cell>
          <cell r="I154" t="str">
            <v xml:space="preserve"> </v>
          </cell>
          <cell r="J154" t="str">
            <v xml:space="preserve"> </v>
          </cell>
          <cell r="K154" t="str">
            <v xml:space="preserve"> </v>
          </cell>
          <cell r="L154" t="str">
            <v xml:space="preserve"> </v>
          </cell>
          <cell r="M154" t="str">
            <v xml:space="preserve"> </v>
          </cell>
        </row>
        <row r="155">
          <cell r="B155" t="str">
            <v xml:space="preserve"> </v>
          </cell>
          <cell r="C155" t="str">
            <v xml:space="preserve"> </v>
          </cell>
          <cell r="D155" t="str">
            <v xml:space="preserve"> </v>
          </cell>
          <cell r="E155" t="str">
            <v xml:space="preserve"> </v>
          </cell>
          <cell r="F155" t="str">
            <v xml:space="preserve"> </v>
          </cell>
          <cell r="G155" t="str">
            <v xml:space="preserve"> </v>
          </cell>
          <cell r="H155" t="str">
            <v xml:space="preserve"> </v>
          </cell>
          <cell r="I155" t="str">
            <v xml:space="preserve"> </v>
          </cell>
          <cell r="J155" t="str">
            <v xml:space="preserve"> </v>
          </cell>
          <cell r="K155" t="str">
            <v xml:space="preserve"> </v>
          </cell>
          <cell r="L155" t="str">
            <v xml:space="preserve"> </v>
          </cell>
          <cell r="M155" t="str">
            <v xml:space="preserve"> </v>
          </cell>
        </row>
        <row r="156">
          <cell r="B156" t="str">
            <v xml:space="preserve"> </v>
          </cell>
          <cell r="C156" t="str">
            <v xml:space="preserve"> </v>
          </cell>
          <cell r="D156" t="str">
            <v xml:space="preserve"> </v>
          </cell>
          <cell r="E156" t="str">
            <v xml:space="preserve"> </v>
          </cell>
          <cell r="F156" t="str">
            <v xml:space="preserve"> </v>
          </cell>
          <cell r="G156" t="str">
            <v xml:space="preserve"> </v>
          </cell>
          <cell r="H156" t="str">
            <v xml:space="preserve"> </v>
          </cell>
          <cell r="I156" t="str">
            <v xml:space="preserve"> </v>
          </cell>
          <cell r="J156" t="str">
            <v xml:space="preserve"> </v>
          </cell>
          <cell r="K156" t="str">
            <v xml:space="preserve"> </v>
          </cell>
          <cell r="L156" t="str">
            <v xml:space="preserve"> </v>
          </cell>
          <cell r="M156" t="str">
            <v xml:space="preserve"> </v>
          </cell>
        </row>
        <row r="157">
          <cell r="B157" t="str">
            <v xml:space="preserve"> </v>
          </cell>
          <cell r="C157" t="str">
            <v xml:space="preserve"> </v>
          </cell>
          <cell r="D157" t="str">
            <v xml:space="preserve"> </v>
          </cell>
          <cell r="E157" t="str">
            <v xml:space="preserve"> </v>
          </cell>
          <cell r="F157" t="str">
            <v xml:space="preserve"> </v>
          </cell>
          <cell r="G157" t="str">
            <v xml:space="preserve"> </v>
          </cell>
          <cell r="H157" t="str">
            <v xml:space="preserve"> </v>
          </cell>
          <cell r="I157" t="str">
            <v xml:space="preserve"> </v>
          </cell>
          <cell r="J157" t="str">
            <v xml:space="preserve"> </v>
          </cell>
          <cell r="K157" t="str">
            <v xml:space="preserve"> </v>
          </cell>
          <cell r="L157" t="str">
            <v xml:space="preserve"> </v>
          </cell>
          <cell r="M157" t="str">
            <v xml:space="preserve"> </v>
          </cell>
        </row>
        <row r="158">
          <cell r="B158" t="str">
            <v xml:space="preserve"> </v>
          </cell>
          <cell r="C158" t="str">
            <v xml:space="preserve"> </v>
          </cell>
          <cell r="D158" t="str">
            <v xml:space="preserve"> </v>
          </cell>
          <cell r="E158" t="str">
            <v xml:space="preserve"> </v>
          </cell>
          <cell r="F158" t="str">
            <v xml:space="preserve"> </v>
          </cell>
          <cell r="G158" t="str">
            <v xml:space="preserve"> </v>
          </cell>
          <cell r="H158" t="str">
            <v xml:space="preserve"> </v>
          </cell>
          <cell r="I158" t="str">
            <v xml:space="preserve"> </v>
          </cell>
          <cell r="J158" t="str">
            <v xml:space="preserve"> </v>
          </cell>
          <cell r="K158" t="str">
            <v xml:space="preserve"> </v>
          </cell>
          <cell r="L158" t="str">
            <v xml:space="preserve"> </v>
          </cell>
          <cell r="M158" t="str">
            <v xml:space="preserve"> </v>
          </cell>
        </row>
        <row r="159">
          <cell r="B159" t="str">
            <v xml:space="preserve"> </v>
          </cell>
          <cell r="C159" t="str">
            <v xml:space="preserve"> </v>
          </cell>
          <cell r="D159" t="str">
            <v xml:space="preserve"> </v>
          </cell>
          <cell r="E159" t="str">
            <v xml:space="preserve"> </v>
          </cell>
          <cell r="F159" t="str">
            <v xml:space="preserve"> </v>
          </cell>
          <cell r="G159" t="str">
            <v xml:space="preserve"> </v>
          </cell>
          <cell r="H159" t="str">
            <v xml:space="preserve"> </v>
          </cell>
          <cell r="I159" t="str">
            <v xml:space="preserve"> </v>
          </cell>
          <cell r="J159" t="str">
            <v xml:space="preserve"> </v>
          </cell>
          <cell r="K159" t="str">
            <v xml:space="preserve"> </v>
          </cell>
          <cell r="L159" t="str">
            <v xml:space="preserve"> </v>
          </cell>
          <cell r="M159" t="str">
            <v xml:space="preserve"> </v>
          </cell>
        </row>
        <row r="160">
          <cell r="B160" t="str">
            <v xml:space="preserve"> </v>
          </cell>
          <cell r="C160" t="str">
            <v xml:space="preserve"> </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t="str">
            <v xml:space="preserve"> </v>
          </cell>
        </row>
        <row r="161">
          <cell r="B161" t="str">
            <v xml:space="preserve"> </v>
          </cell>
          <cell r="C161" t="str">
            <v xml:space="preserve"> </v>
          </cell>
          <cell r="D161" t="str">
            <v xml:space="preserve"> </v>
          </cell>
          <cell r="E161" t="str">
            <v xml:space="preserve"> </v>
          </cell>
          <cell r="F161" t="str">
            <v xml:space="preserve"> </v>
          </cell>
          <cell r="G161" t="str">
            <v xml:space="preserve"> </v>
          </cell>
          <cell r="H161" t="str">
            <v xml:space="preserve"> </v>
          </cell>
          <cell r="I161" t="str">
            <v xml:space="preserve"> </v>
          </cell>
          <cell r="J161" t="str">
            <v xml:space="preserve"> </v>
          </cell>
          <cell r="K161" t="str">
            <v xml:space="preserve"> </v>
          </cell>
          <cell r="L161" t="str">
            <v xml:space="preserve"> </v>
          </cell>
          <cell r="M161" t="str">
            <v xml:space="preserve"> </v>
          </cell>
        </row>
        <row r="162">
          <cell r="B162" t="str">
            <v xml:space="preserve"> </v>
          </cell>
          <cell r="C162" t="str">
            <v xml:space="preserve"> </v>
          </cell>
          <cell r="D162" t="str">
            <v xml:space="preserve"> </v>
          </cell>
          <cell r="E162" t="str">
            <v xml:space="preserve"> </v>
          </cell>
          <cell r="F162" t="str">
            <v xml:space="preserve"> </v>
          </cell>
          <cell r="G162" t="str">
            <v xml:space="preserve"> </v>
          </cell>
          <cell r="H162" t="str">
            <v xml:space="preserve"> </v>
          </cell>
          <cell r="I162" t="str">
            <v xml:space="preserve"> </v>
          </cell>
          <cell r="J162" t="str">
            <v xml:space="preserve"> </v>
          </cell>
          <cell r="K162" t="str">
            <v xml:space="preserve"> </v>
          </cell>
          <cell r="L162" t="str">
            <v xml:space="preserve"> </v>
          </cell>
          <cell r="M162" t="str">
            <v xml:space="preserve"> </v>
          </cell>
        </row>
        <row r="163">
          <cell r="B163" t="str">
            <v xml:space="preserve"> </v>
          </cell>
          <cell r="C163" t="str">
            <v xml:space="preserve"> </v>
          </cell>
          <cell r="D163" t="str">
            <v xml:space="preserve"> </v>
          </cell>
          <cell r="E163" t="str">
            <v xml:space="preserve"> </v>
          </cell>
          <cell r="F163" t="str">
            <v xml:space="preserve"> </v>
          </cell>
          <cell r="G163" t="str">
            <v xml:space="preserve"> </v>
          </cell>
          <cell r="H163" t="str">
            <v xml:space="preserve"> </v>
          </cell>
          <cell r="I163" t="str">
            <v xml:space="preserve"> </v>
          </cell>
          <cell r="J163" t="str">
            <v xml:space="preserve"> </v>
          </cell>
          <cell r="K163" t="str">
            <v xml:space="preserve"> </v>
          </cell>
          <cell r="L163" t="str">
            <v xml:space="preserve"> </v>
          </cell>
          <cell r="M163" t="str">
            <v xml:space="preserve"> </v>
          </cell>
        </row>
        <row r="164">
          <cell r="B164" t="str">
            <v xml:space="preserve"> </v>
          </cell>
          <cell r="C164" t="str">
            <v xml:space="preserve"> </v>
          </cell>
          <cell r="D164" t="str">
            <v xml:space="preserve"> </v>
          </cell>
          <cell r="E164" t="str">
            <v xml:space="preserve"> </v>
          </cell>
          <cell r="F164" t="str">
            <v xml:space="preserve"> </v>
          </cell>
          <cell r="G164" t="str">
            <v xml:space="preserve"> </v>
          </cell>
          <cell r="H164" t="str">
            <v xml:space="preserve"> </v>
          </cell>
          <cell r="I164" t="str">
            <v xml:space="preserve"> </v>
          </cell>
          <cell r="J164" t="str">
            <v xml:space="preserve"> </v>
          </cell>
          <cell r="K164" t="str">
            <v xml:space="preserve"> </v>
          </cell>
          <cell r="L164" t="str">
            <v xml:space="preserve"> </v>
          </cell>
          <cell r="M164" t="str">
            <v xml:space="preserve"> </v>
          </cell>
        </row>
        <row r="165">
          <cell r="B165" t="str">
            <v xml:space="preserve"> </v>
          </cell>
          <cell r="C165" t="str">
            <v xml:space="preserve"> </v>
          </cell>
          <cell r="D165" t="str">
            <v xml:space="preserve"> </v>
          </cell>
          <cell r="E165" t="str">
            <v xml:space="preserve"> </v>
          </cell>
          <cell r="F165" t="str">
            <v xml:space="preserve"> </v>
          </cell>
          <cell r="G165" t="str">
            <v xml:space="preserve"> </v>
          </cell>
          <cell r="H165" t="str">
            <v xml:space="preserve"> </v>
          </cell>
          <cell r="I165" t="str">
            <v xml:space="preserve"> </v>
          </cell>
          <cell r="J165" t="str">
            <v xml:space="preserve"> </v>
          </cell>
          <cell r="K165" t="str">
            <v xml:space="preserve"> </v>
          </cell>
          <cell r="L165" t="str">
            <v xml:space="preserve"> </v>
          </cell>
          <cell r="M165" t="str">
            <v xml:space="preserve"> </v>
          </cell>
        </row>
        <row r="166">
          <cell r="B166" t="str">
            <v xml:space="preserve"> </v>
          </cell>
          <cell r="C166" t="str">
            <v xml:space="preserve"> </v>
          </cell>
          <cell r="D166" t="str">
            <v xml:space="preserve"> </v>
          </cell>
          <cell r="E166" t="str">
            <v xml:space="preserve"> </v>
          </cell>
          <cell r="F166" t="str">
            <v xml:space="preserve"> </v>
          </cell>
          <cell r="G166" t="str">
            <v xml:space="preserve"> </v>
          </cell>
          <cell r="H166" t="str">
            <v xml:space="preserve"> </v>
          </cell>
          <cell r="I166" t="str">
            <v xml:space="preserve"> </v>
          </cell>
          <cell r="J166" t="str">
            <v xml:space="preserve"> </v>
          </cell>
          <cell r="K166" t="str">
            <v xml:space="preserve"> </v>
          </cell>
          <cell r="L166" t="str">
            <v xml:space="preserve"> </v>
          </cell>
          <cell r="M166" t="str">
            <v xml:space="preserve"> </v>
          </cell>
        </row>
        <row r="167">
          <cell r="B167" t="str">
            <v xml:space="preserve"> </v>
          </cell>
          <cell r="C167" t="str">
            <v xml:space="preserve"> </v>
          </cell>
          <cell r="D167" t="str">
            <v xml:space="preserve"> </v>
          </cell>
          <cell r="E167" t="str">
            <v xml:space="preserve"> </v>
          </cell>
          <cell r="F167" t="str">
            <v xml:space="preserve"> </v>
          </cell>
          <cell r="G167" t="str">
            <v xml:space="preserve"> </v>
          </cell>
          <cell r="H167" t="str">
            <v xml:space="preserve"> </v>
          </cell>
          <cell r="I167" t="str">
            <v xml:space="preserve"> </v>
          </cell>
          <cell r="J167" t="str">
            <v xml:space="preserve"> </v>
          </cell>
          <cell r="K167" t="str">
            <v xml:space="preserve"> </v>
          </cell>
          <cell r="L167" t="str">
            <v xml:space="preserve"> </v>
          </cell>
          <cell r="M167" t="str">
            <v xml:space="preserve"> </v>
          </cell>
        </row>
        <row r="168">
          <cell r="B168" t="str">
            <v xml:space="preserve"> </v>
          </cell>
          <cell r="C168" t="str">
            <v xml:space="preserve"> </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row>
        <row r="169">
          <cell r="B169" t="str">
            <v xml:space="preserve"> </v>
          </cell>
          <cell r="C169" t="str">
            <v xml:space="preserve"> </v>
          </cell>
          <cell r="D169" t="str">
            <v xml:space="preserve"> </v>
          </cell>
          <cell r="E169" t="str">
            <v xml:space="preserve"> </v>
          </cell>
          <cell r="F169" t="str">
            <v xml:space="preserve"> </v>
          </cell>
          <cell r="G169" t="str">
            <v xml:space="preserve"> </v>
          </cell>
          <cell r="H169" t="str">
            <v xml:space="preserve"> </v>
          </cell>
          <cell r="I169" t="str">
            <v xml:space="preserve"> </v>
          </cell>
          <cell r="J169" t="str">
            <v xml:space="preserve"> </v>
          </cell>
          <cell r="K169" t="str">
            <v xml:space="preserve"> </v>
          </cell>
          <cell r="L169" t="str">
            <v xml:space="preserve"> </v>
          </cell>
          <cell r="M169" t="str">
            <v xml:space="preserve"> </v>
          </cell>
        </row>
        <row r="170">
          <cell r="B170" t="str">
            <v xml:space="preserve"> </v>
          </cell>
          <cell r="C170" t="str">
            <v xml:space="preserve"> </v>
          </cell>
          <cell r="D170" t="str">
            <v xml:space="preserve"> </v>
          </cell>
          <cell r="E170" t="str">
            <v xml:space="preserve"> </v>
          </cell>
          <cell r="F170" t="str">
            <v xml:space="preserve"> </v>
          </cell>
          <cell r="G170" t="str">
            <v xml:space="preserve"> </v>
          </cell>
          <cell r="H170" t="str">
            <v xml:space="preserve"> </v>
          </cell>
          <cell r="I170" t="str">
            <v xml:space="preserve"> </v>
          </cell>
          <cell r="J170" t="str">
            <v xml:space="preserve"> </v>
          </cell>
          <cell r="K170" t="str">
            <v xml:space="preserve"> </v>
          </cell>
          <cell r="L170" t="str">
            <v xml:space="preserve"> </v>
          </cell>
          <cell r="M170" t="str">
            <v xml:space="preserve"> </v>
          </cell>
        </row>
        <row r="171">
          <cell r="B171" t="str">
            <v xml:space="preserve"> </v>
          </cell>
          <cell r="C171" t="str">
            <v xml:space="preserve"> </v>
          </cell>
          <cell r="D171" t="str">
            <v xml:space="preserve"> </v>
          </cell>
          <cell r="E171" t="str">
            <v xml:space="preserve"> </v>
          </cell>
          <cell r="F171" t="str">
            <v xml:space="preserve"> </v>
          </cell>
          <cell r="G171" t="str">
            <v xml:space="preserve"> </v>
          </cell>
          <cell r="H171" t="str">
            <v xml:space="preserve"> </v>
          </cell>
          <cell r="I171" t="str">
            <v xml:space="preserve"> </v>
          </cell>
          <cell r="J171" t="str">
            <v xml:space="preserve"> </v>
          </cell>
          <cell r="K171" t="str">
            <v xml:space="preserve"> </v>
          </cell>
          <cell r="L171" t="str">
            <v xml:space="preserve"> </v>
          </cell>
          <cell r="M171" t="str">
            <v xml:space="preserve"> </v>
          </cell>
        </row>
        <row r="172">
          <cell r="B172" t="str">
            <v xml:space="preserve"> </v>
          </cell>
          <cell r="C172" t="str">
            <v xml:space="preserve"> </v>
          </cell>
          <cell r="D172" t="str">
            <v xml:space="preserve"> </v>
          </cell>
          <cell r="E172" t="str">
            <v xml:space="preserve"> </v>
          </cell>
          <cell r="F172" t="str">
            <v xml:space="preserve"> </v>
          </cell>
          <cell r="G172" t="str">
            <v xml:space="preserve"> </v>
          </cell>
          <cell r="H172" t="str">
            <v xml:space="preserve"> </v>
          </cell>
          <cell r="I172" t="str">
            <v xml:space="preserve"> </v>
          </cell>
          <cell r="J172" t="str">
            <v xml:space="preserve"> </v>
          </cell>
          <cell r="K172" t="str">
            <v xml:space="preserve"> </v>
          </cell>
          <cell r="L172" t="str">
            <v xml:space="preserve"> </v>
          </cell>
          <cell r="M172" t="str">
            <v xml:space="preserve"> </v>
          </cell>
        </row>
        <row r="173">
          <cell r="B173" t="str">
            <v xml:space="preserve"> </v>
          </cell>
          <cell r="C173" t="str">
            <v xml:space="preserve"> </v>
          </cell>
          <cell r="D173" t="str">
            <v xml:space="preserve"> </v>
          </cell>
          <cell r="E173" t="str">
            <v xml:space="preserve"> </v>
          </cell>
          <cell r="F173" t="str">
            <v xml:space="preserve"> </v>
          </cell>
          <cell r="G173" t="str">
            <v xml:space="preserve"> </v>
          </cell>
          <cell r="H173" t="str">
            <v xml:space="preserve"> </v>
          </cell>
          <cell r="I173" t="str">
            <v xml:space="preserve"> </v>
          </cell>
          <cell r="J173" t="str">
            <v xml:space="preserve"> </v>
          </cell>
          <cell r="K173" t="str">
            <v xml:space="preserve"> </v>
          </cell>
          <cell r="L173" t="str">
            <v xml:space="preserve"> </v>
          </cell>
          <cell r="M173" t="str">
            <v xml:space="preserve"> </v>
          </cell>
        </row>
        <row r="174">
          <cell r="B174" t="str">
            <v xml:space="preserve"> </v>
          </cell>
          <cell r="C174" t="str">
            <v xml:space="preserve"> </v>
          </cell>
          <cell r="D174" t="str">
            <v xml:space="preserve"> </v>
          </cell>
          <cell r="E174" t="str">
            <v xml:space="preserve"> </v>
          </cell>
          <cell r="F174" t="str">
            <v xml:space="preserve"> </v>
          </cell>
          <cell r="G174" t="str">
            <v xml:space="preserve"> </v>
          </cell>
          <cell r="H174" t="str">
            <v xml:space="preserve"> </v>
          </cell>
          <cell r="I174" t="str">
            <v xml:space="preserve"> </v>
          </cell>
          <cell r="J174" t="str">
            <v xml:space="preserve"> </v>
          </cell>
          <cell r="K174" t="str">
            <v xml:space="preserve"> </v>
          </cell>
          <cell r="L174" t="str">
            <v xml:space="preserve"> </v>
          </cell>
          <cell r="M174" t="str">
            <v xml:space="preserve"> </v>
          </cell>
        </row>
        <row r="175">
          <cell r="B175" t="str">
            <v xml:space="preserve"> </v>
          </cell>
          <cell r="C175" t="str">
            <v xml:space="preserve"> </v>
          </cell>
          <cell r="D175" t="str">
            <v xml:space="preserve"> </v>
          </cell>
          <cell r="E175" t="str">
            <v xml:space="preserve"> </v>
          </cell>
          <cell r="F175" t="str">
            <v xml:space="preserve"> </v>
          </cell>
          <cell r="G175" t="str">
            <v xml:space="preserve"> </v>
          </cell>
          <cell r="H175" t="str">
            <v xml:space="preserve"> </v>
          </cell>
          <cell r="I175" t="str">
            <v xml:space="preserve"> </v>
          </cell>
          <cell r="J175" t="str">
            <v xml:space="preserve"> </v>
          </cell>
          <cell r="K175" t="str">
            <v xml:space="preserve"> </v>
          </cell>
          <cell r="L175" t="str">
            <v xml:space="preserve"> </v>
          </cell>
          <cell r="M175" t="str">
            <v xml:space="preserve"> </v>
          </cell>
        </row>
        <row r="176">
          <cell r="B176" t="str">
            <v xml:space="preserve"> </v>
          </cell>
          <cell r="C176" t="str">
            <v xml:space="preserve"> </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 xml:space="preserve"> </v>
          </cell>
          <cell r="L176" t="str">
            <v xml:space="preserve"> </v>
          </cell>
          <cell r="M176" t="str">
            <v xml:space="preserve"> </v>
          </cell>
        </row>
        <row r="177">
          <cell r="B177" t="str">
            <v xml:space="preserve"> </v>
          </cell>
          <cell r="C177" t="str">
            <v xml:space="preserve"> </v>
          </cell>
          <cell r="D177" t="str">
            <v xml:space="preserve"> </v>
          </cell>
          <cell r="E177" t="str">
            <v xml:space="preserve"> </v>
          </cell>
          <cell r="F177" t="str">
            <v xml:space="preserve"> </v>
          </cell>
          <cell r="G177" t="str">
            <v xml:space="preserve"> </v>
          </cell>
          <cell r="H177" t="str">
            <v xml:space="preserve"> </v>
          </cell>
          <cell r="I177" t="str">
            <v xml:space="preserve"> </v>
          </cell>
          <cell r="J177" t="str">
            <v xml:space="preserve"> </v>
          </cell>
          <cell r="K177" t="str">
            <v xml:space="preserve"> </v>
          </cell>
          <cell r="L177" t="str">
            <v xml:space="preserve"> </v>
          </cell>
          <cell r="M177" t="str">
            <v xml:space="preserve"> </v>
          </cell>
        </row>
        <row r="178">
          <cell r="B178" t="str">
            <v xml:space="preserve"> </v>
          </cell>
          <cell r="C178" t="str">
            <v xml:space="preserve"> </v>
          </cell>
          <cell r="D178" t="str">
            <v xml:space="preserve"> </v>
          </cell>
          <cell r="E178" t="str">
            <v xml:space="preserve"> </v>
          </cell>
          <cell r="F178" t="str">
            <v xml:space="preserve"> </v>
          </cell>
          <cell r="G178" t="str">
            <v xml:space="preserve"> </v>
          </cell>
          <cell r="H178" t="str">
            <v xml:space="preserve"> </v>
          </cell>
          <cell r="I178" t="str">
            <v xml:space="preserve"> </v>
          </cell>
          <cell r="J178" t="str">
            <v xml:space="preserve"> </v>
          </cell>
          <cell r="K178" t="str">
            <v xml:space="preserve"> </v>
          </cell>
          <cell r="L178" t="str">
            <v xml:space="preserve"> </v>
          </cell>
          <cell r="M178" t="str">
            <v xml:space="preserve"> </v>
          </cell>
        </row>
        <row r="179">
          <cell r="B179" t="str">
            <v xml:space="preserve"> </v>
          </cell>
          <cell r="C179" t="str">
            <v xml:space="preserve"> </v>
          </cell>
          <cell r="D179" t="str">
            <v xml:space="preserve"> </v>
          </cell>
          <cell r="E179" t="str">
            <v xml:space="preserve"> </v>
          </cell>
          <cell r="F179" t="str">
            <v xml:space="preserve"> </v>
          </cell>
          <cell r="G179" t="str">
            <v xml:space="preserve"> </v>
          </cell>
          <cell r="H179" t="str">
            <v xml:space="preserve"> </v>
          </cell>
          <cell r="I179" t="str">
            <v xml:space="preserve"> </v>
          </cell>
          <cell r="J179" t="str">
            <v xml:space="preserve"> </v>
          </cell>
          <cell r="K179" t="str">
            <v xml:space="preserve"> </v>
          </cell>
          <cell r="L179" t="str">
            <v xml:space="preserve"> </v>
          </cell>
          <cell r="M179" t="str">
            <v xml:space="preserve"> </v>
          </cell>
        </row>
        <row r="180">
          <cell r="B180" t="str">
            <v xml:space="preserve"> </v>
          </cell>
          <cell r="C180" t="str">
            <v xml:space="preserve"> </v>
          </cell>
          <cell r="D180" t="str">
            <v xml:space="preserve"> </v>
          </cell>
          <cell r="E180" t="str">
            <v xml:space="preserve"> </v>
          </cell>
          <cell r="F180" t="str">
            <v xml:space="preserve"> </v>
          </cell>
          <cell r="G180" t="str">
            <v xml:space="preserve"> </v>
          </cell>
          <cell r="H180" t="str">
            <v xml:space="preserve"> </v>
          </cell>
          <cell r="I180" t="str">
            <v xml:space="preserve"> </v>
          </cell>
          <cell r="J180" t="str">
            <v xml:space="preserve"> </v>
          </cell>
          <cell r="K180" t="str">
            <v xml:space="preserve"> </v>
          </cell>
          <cell r="L180" t="str">
            <v xml:space="preserve"> </v>
          </cell>
          <cell r="M180" t="str">
            <v xml:space="preserve"> </v>
          </cell>
        </row>
        <row r="181">
          <cell r="B181" t="str">
            <v xml:space="preserve"> </v>
          </cell>
          <cell r="C181" t="str">
            <v xml:space="preserve"> </v>
          </cell>
          <cell r="D181" t="str">
            <v xml:space="preserve"> </v>
          </cell>
          <cell r="E181" t="str">
            <v xml:space="preserve"> </v>
          </cell>
          <cell r="F181" t="str">
            <v xml:space="preserve"> </v>
          </cell>
          <cell r="G181" t="str">
            <v xml:space="preserve"> </v>
          </cell>
          <cell r="H181" t="str">
            <v xml:space="preserve"> </v>
          </cell>
          <cell r="I181" t="str">
            <v xml:space="preserve"> </v>
          </cell>
          <cell r="J181" t="str">
            <v xml:space="preserve"> </v>
          </cell>
          <cell r="K181" t="str">
            <v xml:space="preserve"> </v>
          </cell>
          <cell r="L181" t="str">
            <v xml:space="preserve"> </v>
          </cell>
          <cell r="M181" t="str">
            <v xml:space="preserve"> </v>
          </cell>
        </row>
        <row r="182">
          <cell r="B182" t="str">
            <v xml:space="preserve"> </v>
          </cell>
          <cell r="C182" t="str">
            <v xml:space="preserve"> </v>
          </cell>
          <cell r="D182" t="str">
            <v xml:space="preserve"> </v>
          </cell>
          <cell r="E182" t="str">
            <v xml:space="preserve"> </v>
          </cell>
          <cell r="F182" t="str">
            <v xml:space="preserve"> </v>
          </cell>
          <cell r="G182" t="str">
            <v xml:space="preserve"> </v>
          </cell>
          <cell r="H182" t="str">
            <v xml:space="preserve"> </v>
          </cell>
          <cell r="I182" t="str">
            <v xml:space="preserve"> </v>
          </cell>
          <cell r="J182" t="str">
            <v xml:space="preserve"> </v>
          </cell>
          <cell r="K182" t="str">
            <v xml:space="preserve"> </v>
          </cell>
          <cell r="L182" t="str">
            <v xml:space="preserve"> </v>
          </cell>
          <cell r="M182" t="str">
            <v xml:space="preserve"> </v>
          </cell>
        </row>
        <row r="183">
          <cell r="B183" t="str">
            <v xml:space="preserve"> </v>
          </cell>
          <cell r="C183" t="str">
            <v xml:space="preserve"> </v>
          </cell>
          <cell r="D183" t="str">
            <v xml:space="preserve"> </v>
          </cell>
          <cell r="E183" t="str">
            <v xml:space="preserve"> </v>
          </cell>
          <cell r="F183" t="str">
            <v xml:space="preserve"> </v>
          </cell>
          <cell r="G183" t="str">
            <v xml:space="preserve"> </v>
          </cell>
          <cell r="H183" t="str">
            <v xml:space="preserve"> </v>
          </cell>
          <cell r="I183" t="str">
            <v xml:space="preserve"> </v>
          </cell>
          <cell r="J183" t="str">
            <v xml:space="preserve"> </v>
          </cell>
          <cell r="K183" t="str">
            <v xml:space="preserve"> </v>
          </cell>
          <cell r="L183" t="str">
            <v xml:space="preserve"> </v>
          </cell>
          <cell r="M183" t="str">
            <v xml:space="preserve"> </v>
          </cell>
        </row>
        <row r="184">
          <cell r="B184" t="str">
            <v xml:space="preserve"> </v>
          </cell>
          <cell r="C184" t="str">
            <v xml:space="preserve"> </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 xml:space="preserve"> </v>
          </cell>
          <cell r="L184" t="str">
            <v xml:space="preserve"> </v>
          </cell>
          <cell r="M184" t="str">
            <v xml:space="preserve"> </v>
          </cell>
        </row>
        <row r="185">
          <cell r="B185" t="str">
            <v xml:space="preserve"> </v>
          </cell>
          <cell r="C185" t="str">
            <v xml:space="preserve"> </v>
          </cell>
          <cell r="D185" t="str">
            <v xml:space="preserve"> </v>
          </cell>
          <cell r="E185" t="str">
            <v xml:space="preserve"> </v>
          </cell>
          <cell r="F185" t="str">
            <v xml:space="preserve"> </v>
          </cell>
          <cell r="G185" t="str">
            <v xml:space="preserve"> </v>
          </cell>
          <cell r="H185" t="str">
            <v xml:space="preserve"> </v>
          </cell>
          <cell r="I185" t="str">
            <v xml:space="preserve"> </v>
          </cell>
          <cell r="J185" t="str">
            <v xml:space="preserve"> </v>
          </cell>
          <cell r="K185" t="str">
            <v xml:space="preserve"> </v>
          </cell>
          <cell r="L185" t="str">
            <v xml:space="preserve"> </v>
          </cell>
          <cell r="M185" t="str">
            <v xml:space="preserve"> </v>
          </cell>
        </row>
        <row r="186">
          <cell r="B186" t="str">
            <v xml:space="preserve"> </v>
          </cell>
          <cell r="C186" t="str">
            <v xml:space="preserve"> </v>
          </cell>
          <cell r="D186" t="str">
            <v xml:space="preserve"> </v>
          </cell>
          <cell r="E186" t="str">
            <v xml:space="preserve"> </v>
          </cell>
          <cell r="F186" t="str">
            <v xml:space="preserve"> </v>
          </cell>
          <cell r="G186" t="str">
            <v xml:space="preserve"> </v>
          </cell>
          <cell r="H186" t="str">
            <v xml:space="preserve"> </v>
          </cell>
          <cell r="I186" t="str">
            <v xml:space="preserve"> </v>
          </cell>
          <cell r="J186" t="str">
            <v xml:space="preserve"> </v>
          </cell>
          <cell r="K186" t="str">
            <v xml:space="preserve"> </v>
          </cell>
          <cell r="L186" t="str">
            <v xml:space="preserve"> </v>
          </cell>
          <cell r="M186" t="str">
            <v xml:space="preserve"> </v>
          </cell>
        </row>
        <row r="187">
          <cell r="B187" t="str">
            <v xml:space="preserve"> </v>
          </cell>
          <cell r="C187" t="str">
            <v xml:space="preserve"> </v>
          </cell>
          <cell r="D187" t="str">
            <v xml:space="preserve"> </v>
          </cell>
          <cell r="E187" t="str">
            <v xml:space="preserve"> </v>
          </cell>
          <cell r="F187" t="str">
            <v xml:space="preserve"> </v>
          </cell>
          <cell r="G187" t="str">
            <v xml:space="preserve"> </v>
          </cell>
          <cell r="H187" t="str">
            <v xml:space="preserve"> </v>
          </cell>
          <cell r="I187" t="str">
            <v xml:space="preserve"> </v>
          </cell>
          <cell r="J187" t="str">
            <v xml:space="preserve"> </v>
          </cell>
          <cell r="K187" t="str">
            <v xml:space="preserve"> </v>
          </cell>
          <cell r="L187" t="str">
            <v xml:space="preserve"> </v>
          </cell>
          <cell r="M187" t="str">
            <v xml:space="preserve"> </v>
          </cell>
        </row>
        <row r="188">
          <cell r="B188" t="str">
            <v xml:space="preserve"> </v>
          </cell>
          <cell r="C188" t="str">
            <v xml:space="preserve"> </v>
          </cell>
          <cell r="D188" t="str">
            <v xml:space="preserve"> </v>
          </cell>
          <cell r="E188" t="str">
            <v xml:space="preserve"> </v>
          </cell>
          <cell r="F188" t="str">
            <v xml:space="preserve"> </v>
          </cell>
          <cell r="G188" t="str">
            <v xml:space="preserve"> </v>
          </cell>
          <cell r="H188" t="str">
            <v xml:space="preserve"> </v>
          </cell>
          <cell r="I188" t="str">
            <v xml:space="preserve"> </v>
          </cell>
          <cell r="J188" t="str">
            <v xml:space="preserve"> </v>
          </cell>
          <cell r="K188" t="str">
            <v xml:space="preserve"> </v>
          </cell>
          <cell r="L188" t="str">
            <v xml:space="preserve"> </v>
          </cell>
          <cell r="M188" t="str">
            <v xml:space="preserve"> </v>
          </cell>
        </row>
        <row r="189">
          <cell r="B189" t="str">
            <v xml:space="preserve"> </v>
          </cell>
          <cell r="C189" t="str">
            <v xml:space="preserve"> </v>
          </cell>
          <cell r="D189" t="str">
            <v xml:space="preserve"> </v>
          </cell>
          <cell r="E189" t="str">
            <v xml:space="preserve"> </v>
          </cell>
          <cell r="F189" t="str">
            <v xml:space="preserve"> </v>
          </cell>
          <cell r="G189" t="str">
            <v xml:space="preserve"> </v>
          </cell>
          <cell r="H189" t="str">
            <v xml:space="preserve"> </v>
          </cell>
          <cell r="I189" t="str">
            <v xml:space="preserve"> </v>
          </cell>
          <cell r="J189" t="str">
            <v xml:space="preserve"> </v>
          </cell>
          <cell r="K189" t="str">
            <v xml:space="preserve"> </v>
          </cell>
          <cell r="L189" t="str">
            <v xml:space="preserve"> </v>
          </cell>
          <cell r="M189" t="str">
            <v xml:space="preserve"> </v>
          </cell>
        </row>
        <row r="190">
          <cell r="B190" t="str">
            <v xml:space="preserve"> </v>
          </cell>
          <cell r="C190" t="str">
            <v xml:space="preserve"> </v>
          </cell>
          <cell r="D190" t="str">
            <v xml:space="preserve"> </v>
          </cell>
          <cell r="E190" t="str">
            <v xml:space="preserve"> </v>
          </cell>
          <cell r="F190" t="str">
            <v xml:space="preserve"> </v>
          </cell>
          <cell r="G190" t="str">
            <v xml:space="preserve"> </v>
          </cell>
          <cell r="H190" t="str">
            <v xml:space="preserve"> </v>
          </cell>
          <cell r="I190" t="str">
            <v xml:space="preserve"> </v>
          </cell>
          <cell r="J190" t="str">
            <v xml:space="preserve"> </v>
          </cell>
          <cell r="K190" t="str">
            <v xml:space="preserve"> </v>
          </cell>
          <cell r="L190" t="str">
            <v xml:space="preserve"> </v>
          </cell>
          <cell r="M190" t="str">
            <v xml:space="preserve"> </v>
          </cell>
        </row>
        <row r="191">
          <cell r="B191" t="str">
            <v xml:space="preserve"> </v>
          </cell>
          <cell r="C191" t="str">
            <v xml:space="preserve"> </v>
          </cell>
          <cell r="D191" t="str">
            <v xml:space="preserve"> </v>
          </cell>
          <cell r="E191" t="str">
            <v xml:space="preserve"> </v>
          </cell>
          <cell r="F191" t="str">
            <v xml:space="preserve"> </v>
          </cell>
          <cell r="G191" t="str">
            <v xml:space="preserve"> </v>
          </cell>
          <cell r="H191" t="str">
            <v xml:space="preserve"> </v>
          </cell>
          <cell r="I191" t="str">
            <v xml:space="preserve"> </v>
          </cell>
          <cell r="J191" t="str">
            <v xml:space="preserve"> </v>
          </cell>
          <cell r="K191" t="str">
            <v xml:space="preserve"> </v>
          </cell>
          <cell r="L191" t="str">
            <v xml:space="preserve"> </v>
          </cell>
          <cell r="M191" t="str">
            <v xml:space="preserve"> </v>
          </cell>
        </row>
        <row r="192">
          <cell r="B192" t="str">
            <v xml:space="preserve"> </v>
          </cell>
          <cell r="C192" t="str">
            <v xml:space="preserve"> </v>
          </cell>
          <cell r="D192" t="str">
            <v xml:space="preserve"> </v>
          </cell>
          <cell r="E192" t="str">
            <v xml:space="preserve"> </v>
          </cell>
          <cell r="F192" t="str">
            <v xml:space="preserve"> </v>
          </cell>
          <cell r="G192" t="str">
            <v xml:space="preserve"> </v>
          </cell>
          <cell r="H192" t="str">
            <v xml:space="preserve"> </v>
          </cell>
          <cell r="I192" t="str">
            <v xml:space="preserve"> </v>
          </cell>
          <cell r="J192" t="str">
            <v xml:space="preserve"> </v>
          </cell>
          <cell r="K192" t="str">
            <v xml:space="preserve"> </v>
          </cell>
          <cell r="L192" t="str">
            <v xml:space="preserve"> </v>
          </cell>
          <cell r="M192" t="str">
            <v xml:space="preserve"> </v>
          </cell>
        </row>
        <row r="193">
          <cell r="B193" t="str">
            <v xml:space="preserve"> </v>
          </cell>
          <cell r="C193" t="str">
            <v xml:space="preserve"> </v>
          </cell>
          <cell r="D193" t="str">
            <v xml:space="preserve"> </v>
          </cell>
          <cell r="E193" t="str">
            <v xml:space="preserve"> </v>
          </cell>
          <cell r="F193" t="str">
            <v xml:space="preserve"> </v>
          </cell>
          <cell r="G193" t="str">
            <v xml:space="preserve"> </v>
          </cell>
          <cell r="H193" t="str">
            <v xml:space="preserve"> </v>
          </cell>
          <cell r="I193" t="str">
            <v xml:space="preserve"> </v>
          </cell>
          <cell r="J193" t="str">
            <v xml:space="preserve"> </v>
          </cell>
          <cell r="K193" t="str">
            <v xml:space="preserve"> </v>
          </cell>
          <cell r="L193" t="str">
            <v xml:space="preserve"> </v>
          </cell>
          <cell r="M193" t="str">
            <v xml:space="preserve"> </v>
          </cell>
        </row>
        <row r="194">
          <cell r="B194" t="str">
            <v xml:space="preserve"> </v>
          </cell>
          <cell r="C194" t="str">
            <v xml:space="preserve"> </v>
          </cell>
          <cell r="D194" t="str">
            <v xml:space="preserve"> </v>
          </cell>
          <cell r="E194" t="str">
            <v xml:space="preserve"> </v>
          </cell>
          <cell r="F194" t="str">
            <v xml:space="preserve"> </v>
          </cell>
          <cell r="G194" t="str">
            <v xml:space="preserve"> </v>
          </cell>
          <cell r="H194" t="str">
            <v xml:space="preserve"> </v>
          </cell>
          <cell r="I194" t="str">
            <v xml:space="preserve"> </v>
          </cell>
          <cell r="J194" t="str">
            <v xml:space="preserve"> </v>
          </cell>
          <cell r="K194" t="str">
            <v xml:space="preserve"> </v>
          </cell>
          <cell r="L194" t="str">
            <v xml:space="preserve"> </v>
          </cell>
          <cell r="M194" t="str">
            <v xml:space="preserve"> </v>
          </cell>
        </row>
        <row r="195">
          <cell r="B195" t="str">
            <v xml:space="preserve"> </v>
          </cell>
          <cell r="C195" t="str">
            <v xml:space="preserve"> </v>
          </cell>
          <cell r="D195" t="str">
            <v xml:space="preserve"> </v>
          </cell>
          <cell r="E195" t="str">
            <v xml:space="preserve"> </v>
          </cell>
          <cell r="F195" t="str">
            <v xml:space="preserve"> </v>
          </cell>
          <cell r="G195" t="str">
            <v xml:space="preserve"> </v>
          </cell>
          <cell r="H195" t="str">
            <v xml:space="preserve"> </v>
          </cell>
          <cell r="I195" t="str">
            <v xml:space="preserve"> </v>
          </cell>
          <cell r="J195" t="str">
            <v xml:space="preserve"> </v>
          </cell>
          <cell r="K195" t="str">
            <v xml:space="preserve"> </v>
          </cell>
          <cell r="L195" t="str">
            <v xml:space="preserve"> </v>
          </cell>
          <cell r="M195" t="str">
            <v xml:space="preserve"> </v>
          </cell>
        </row>
        <row r="196">
          <cell r="B196" t="str">
            <v xml:space="preserve"> </v>
          </cell>
          <cell r="C196" t="str">
            <v xml:space="preserve"> </v>
          </cell>
          <cell r="D196" t="str">
            <v xml:space="preserve"> </v>
          </cell>
          <cell r="E196" t="str">
            <v xml:space="preserve"> </v>
          </cell>
          <cell r="F196" t="str">
            <v xml:space="preserve"> </v>
          </cell>
          <cell r="G196" t="str">
            <v xml:space="preserve"> </v>
          </cell>
          <cell r="H196" t="str">
            <v xml:space="preserve"> </v>
          </cell>
          <cell r="I196" t="str">
            <v xml:space="preserve"> </v>
          </cell>
          <cell r="J196" t="str">
            <v xml:space="preserve"> </v>
          </cell>
          <cell r="K196" t="str">
            <v xml:space="preserve"> </v>
          </cell>
          <cell r="L196" t="str">
            <v xml:space="preserve"> </v>
          </cell>
          <cell r="M196" t="str">
            <v xml:space="preserve"> </v>
          </cell>
        </row>
        <row r="197">
          <cell r="B197" t="str">
            <v xml:space="preserve"> </v>
          </cell>
          <cell r="C197" t="str">
            <v xml:space="preserve"> </v>
          </cell>
          <cell r="D197" t="str">
            <v xml:space="preserve"> </v>
          </cell>
          <cell r="E197" t="str">
            <v xml:space="preserve"> </v>
          </cell>
          <cell r="F197" t="str">
            <v xml:space="preserve"> </v>
          </cell>
          <cell r="G197" t="str">
            <v xml:space="preserve"> </v>
          </cell>
          <cell r="H197" t="str">
            <v xml:space="preserve"> </v>
          </cell>
          <cell r="I197" t="str">
            <v xml:space="preserve"> </v>
          </cell>
          <cell r="J197" t="str">
            <v xml:space="preserve"> </v>
          </cell>
          <cell r="K197" t="str">
            <v xml:space="preserve"> </v>
          </cell>
          <cell r="L197" t="str">
            <v xml:space="preserve"> </v>
          </cell>
          <cell r="M197" t="str">
            <v xml:space="preserve"> </v>
          </cell>
        </row>
        <row r="198">
          <cell r="B198" t="str">
            <v xml:space="preserve"> </v>
          </cell>
          <cell r="C198" t="str">
            <v xml:space="preserve"> </v>
          </cell>
          <cell r="D198" t="str">
            <v xml:space="preserve"> </v>
          </cell>
          <cell r="E198" t="str">
            <v xml:space="preserve"> </v>
          </cell>
          <cell r="F198" t="str">
            <v xml:space="preserve"> </v>
          </cell>
          <cell r="G198" t="str">
            <v xml:space="preserve"> </v>
          </cell>
          <cell r="H198" t="str">
            <v xml:space="preserve"> </v>
          </cell>
          <cell r="I198" t="str">
            <v xml:space="preserve"> </v>
          </cell>
          <cell r="J198" t="str">
            <v xml:space="preserve"> </v>
          </cell>
          <cell r="K198" t="str">
            <v xml:space="preserve"> </v>
          </cell>
          <cell r="L198" t="str">
            <v xml:space="preserve"> </v>
          </cell>
          <cell r="M198" t="str">
            <v xml:space="preserve"> </v>
          </cell>
        </row>
        <row r="199">
          <cell r="B199" t="str">
            <v xml:space="preserve"> </v>
          </cell>
          <cell r="C199" t="str">
            <v xml:space="preserve"> </v>
          </cell>
          <cell r="D199" t="str">
            <v xml:space="preserve"> </v>
          </cell>
          <cell r="E199" t="str">
            <v xml:space="preserve"> </v>
          </cell>
          <cell r="F199" t="str">
            <v xml:space="preserve"> </v>
          </cell>
          <cell r="G199" t="str">
            <v xml:space="preserve"> </v>
          </cell>
          <cell r="H199" t="str">
            <v xml:space="preserve"> </v>
          </cell>
          <cell r="I199" t="str">
            <v xml:space="preserve"> </v>
          </cell>
          <cell r="J199" t="str">
            <v xml:space="preserve"> </v>
          </cell>
          <cell r="K199" t="str">
            <v xml:space="preserve"> </v>
          </cell>
          <cell r="L199" t="str">
            <v xml:space="preserve"> </v>
          </cell>
          <cell r="M199" t="str">
            <v xml:space="preserve"> </v>
          </cell>
        </row>
        <row r="200">
          <cell r="B200" t="str">
            <v xml:space="preserve"> </v>
          </cell>
          <cell r="C200" t="str">
            <v xml:space="preserve"> </v>
          </cell>
          <cell r="D200" t="str">
            <v xml:space="preserve"> </v>
          </cell>
          <cell r="E200" t="str">
            <v xml:space="preserve"> </v>
          </cell>
          <cell r="F200" t="str">
            <v xml:space="preserve"> </v>
          </cell>
          <cell r="G200" t="str">
            <v xml:space="preserve"> </v>
          </cell>
          <cell r="H200" t="str">
            <v xml:space="preserve"> </v>
          </cell>
          <cell r="I200" t="str">
            <v xml:space="preserve"> </v>
          </cell>
          <cell r="J200" t="str">
            <v xml:space="preserve"> </v>
          </cell>
          <cell r="K200" t="str">
            <v xml:space="preserve"> </v>
          </cell>
          <cell r="L200" t="str">
            <v xml:space="preserve"> </v>
          </cell>
          <cell r="M200" t="str">
            <v xml:space="preserve"> </v>
          </cell>
        </row>
        <row r="201">
          <cell r="B201" t="str">
            <v xml:space="preserve"> </v>
          </cell>
          <cell r="C201" t="str">
            <v xml:space="preserve"> </v>
          </cell>
          <cell r="D201" t="str">
            <v xml:space="preserve"> </v>
          </cell>
          <cell r="E201" t="str">
            <v xml:space="preserve"> </v>
          </cell>
          <cell r="F201" t="str">
            <v xml:space="preserve"> </v>
          </cell>
          <cell r="G201" t="str">
            <v xml:space="preserve"> </v>
          </cell>
          <cell r="H201" t="str">
            <v xml:space="preserve"> </v>
          </cell>
          <cell r="I201" t="str">
            <v xml:space="preserve"> </v>
          </cell>
          <cell r="J201" t="str">
            <v xml:space="preserve"> </v>
          </cell>
          <cell r="K201" t="str">
            <v xml:space="preserve"> </v>
          </cell>
          <cell r="L201" t="str">
            <v xml:space="preserve"> </v>
          </cell>
          <cell r="M201" t="str">
            <v xml:space="preserve"> </v>
          </cell>
        </row>
        <row r="202">
          <cell r="B202" t="str">
            <v xml:space="preserve"> </v>
          </cell>
          <cell r="C202" t="str">
            <v xml:space="preserve"> </v>
          </cell>
          <cell r="D202" t="str">
            <v xml:space="preserve"> </v>
          </cell>
          <cell r="E202" t="str">
            <v xml:space="preserve"> </v>
          </cell>
          <cell r="F202" t="str">
            <v xml:space="preserve"> </v>
          </cell>
          <cell r="G202" t="str">
            <v xml:space="preserve"> </v>
          </cell>
          <cell r="H202" t="str">
            <v xml:space="preserve"> </v>
          </cell>
          <cell r="I202" t="str">
            <v xml:space="preserve"> </v>
          </cell>
          <cell r="J202" t="str">
            <v xml:space="preserve"> </v>
          </cell>
          <cell r="K202" t="str">
            <v xml:space="preserve"> </v>
          </cell>
          <cell r="L202" t="str">
            <v xml:space="preserve"> </v>
          </cell>
          <cell r="M202" t="str">
            <v xml:space="preserve"> </v>
          </cell>
        </row>
        <row r="203">
          <cell r="B203" t="str">
            <v xml:space="preserve"> </v>
          </cell>
          <cell r="C203" t="str">
            <v xml:space="preserve"> </v>
          </cell>
          <cell r="D203" t="str">
            <v xml:space="preserve"> </v>
          </cell>
          <cell r="E203" t="str">
            <v xml:space="preserve"> </v>
          </cell>
          <cell r="F203" t="str">
            <v xml:space="preserve"> </v>
          </cell>
          <cell r="G203" t="str">
            <v xml:space="preserve"> </v>
          </cell>
          <cell r="H203" t="str">
            <v xml:space="preserve"> </v>
          </cell>
          <cell r="I203" t="str">
            <v xml:space="preserve"> </v>
          </cell>
          <cell r="J203" t="str">
            <v xml:space="preserve"> </v>
          </cell>
          <cell r="K203" t="str">
            <v xml:space="preserve"> </v>
          </cell>
          <cell r="L203" t="str">
            <v xml:space="preserve"> </v>
          </cell>
          <cell r="M203" t="str">
            <v xml:space="preserve"> </v>
          </cell>
        </row>
        <row r="204">
          <cell r="B204" t="str">
            <v xml:space="preserve"> </v>
          </cell>
          <cell r="C204" t="str">
            <v xml:space="preserve"> </v>
          </cell>
          <cell r="D204" t="str">
            <v xml:space="preserve"> </v>
          </cell>
          <cell r="E204" t="str">
            <v xml:space="preserve"> </v>
          </cell>
          <cell r="F204" t="str">
            <v xml:space="preserve"> </v>
          </cell>
          <cell r="G204" t="str">
            <v xml:space="preserve"> </v>
          </cell>
          <cell r="H204" t="str">
            <v xml:space="preserve"> </v>
          </cell>
          <cell r="I204" t="str">
            <v xml:space="preserve"> </v>
          </cell>
          <cell r="J204" t="str">
            <v xml:space="preserve"> </v>
          </cell>
          <cell r="K204" t="str">
            <v xml:space="preserve"> </v>
          </cell>
          <cell r="L204" t="str">
            <v xml:space="preserve"> </v>
          </cell>
          <cell r="M204" t="str">
            <v xml:space="preserve"> </v>
          </cell>
        </row>
        <row r="205">
          <cell r="B205" t="str">
            <v xml:space="preserve"> </v>
          </cell>
          <cell r="C205" t="str">
            <v xml:space="preserve"> </v>
          </cell>
          <cell r="D205" t="str">
            <v xml:space="preserve"> </v>
          </cell>
          <cell r="E205" t="str">
            <v xml:space="preserve"> </v>
          </cell>
          <cell r="F205" t="str">
            <v xml:space="preserve"> </v>
          </cell>
          <cell r="G205" t="str">
            <v xml:space="preserve"> </v>
          </cell>
          <cell r="H205" t="str">
            <v xml:space="preserve"> </v>
          </cell>
          <cell r="I205" t="str">
            <v xml:space="preserve"> </v>
          </cell>
          <cell r="J205" t="str">
            <v xml:space="preserve"> </v>
          </cell>
          <cell r="K205" t="str">
            <v xml:space="preserve"> </v>
          </cell>
          <cell r="L205" t="str">
            <v xml:space="preserve"> </v>
          </cell>
          <cell r="M205" t="str">
            <v xml:space="preserve"> </v>
          </cell>
        </row>
        <row r="206">
          <cell r="B206" t="str">
            <v xml:space="preserve"> </v>
          </cell>
          <cell r="C206" t="str">
            <v xml:space="preserve"> </v>
          </cell>
          <cell r="D206" t="str">
            <v xml:space="preserve"> </v>
          </cell>
          <cell r="E206" t="str">
            <v xml:space="preserve"> </v>
          </cell>
          <cell r="F206" t="str">
            <v xml:space="preserve"> </v>
          </cell>
          <cell r="G206" t="str">
            <v xml:space="preserve"> </v>
          </cell>
          <cell r="H206" t="str">
            <v xml:space="preserve"> </v>
          </cell>
          <cell r="I206" t="str">
            <v xml:space="preserve"> </v>
          </cell>
          <cell r="J206" t="str">
            <v xml:space="preserve"> </v>
          </cell>
          <cell r="K206" t="str">
            <v xml:space="preserve"> </v>
          </cell>
          <cell r="L206" t="str">
            <v xml:space="preserve"> </v>
          </cell>
          <cell r="M206" t="str">
            <v xml:space="preserve"> </v>
          </cell>
        </row>
        <row r="207">
          <cell r="B207" t="str">
            <v xml:space="preserve"> </v>
          </cell>
          <cell r="C207" t="str">
            <v xml:space="preserve"> </v>
          </cell>
          <cell r="D207" t="str">
            <v xml:space="preserve"> </v>
          </cell>
          <cell r="E207" t="str">
            <v xml:space="preserve"> </v>
          </cell>
          <cell r="F207" t="str">
            <v xml:space="preserve"> </v>
          </cell>
          <cell r="G207" t="str">
            <v xml:space="preserve"> </v>
          </cell>
          <cell r="H207" t="str">
            <v xml:space="preserve"> </v>
          </cell>
          <cell r="I207" t="str">
            <v xml:space="preserve"> </v>
          </cell>
          <cell r="J207" t="str">
            <v xml:space="preserve"> </v>
          </cell>
          <cell r="K207" t="str">
            <v xml:space="preserve"> </v>
          </cell>
          <cell r="L207" t="str">
            <v xml:space="preserve"> </v>
          </cell>
          <cell r="M207" t="str">
            <v xml:space="preserve"> </v>
          </cell>
        </row>
        <row r="208">
          <cell r="B208" t="str">
            <v xml:space="preserve"> </v>
          </cell>
          <cell r="C208" t="str">
            <v xml:space="preserve"> </v>
          </cell>
          <cell r="D208" t="str">
            <v xml:space="preserve"> </v>
          </cell>
          <cell r="E208" t="str">
            <v xml:space="preserve"> </v>
          </cell>
          <cell r="F208" t="str">
            <v xml:space="preserve"> </v>
          </cell>
          <cell r="G208" t="str">
            <v xml:space="preserve"> </v>
          </cell>
          <cell r="H208" t="str">
            <v xml:space="preserve"> </v>
          </cell>
          <cell r="I208" t="str">
            <v xml:space="preserve"> </v>
          </cell>
          <cell r="J208" t="str">
            <v xml:space="preserve"> </v>
          </cell>
          <cell r="K208" t="str">
            <v xml:space="preserve"> </v>
          </cell>
          <cell r="L208" t="str">
            <v xml:space="preserve"> </v>
          </cell>
          <cell r="M208" t="str">
            <v xml:space="preserve"> </v>
          </cell>
        </row>
        <row r="209">
          <cell r="B209" t="str">
            <v xml:space="preserve"> </v>
          </cell>
          <cell r="C209" t="str">
            <v xml:space="preserve"> </v>
          </cell>
          <cell r="D209" t="str">
            <v xml:space="preserve"> </v>
          </cell>
          <cell r="E209" t="str">
            <v xml:space="preserve"> </v>
          </cell>
          <cell r="F209" t="str">
            <v xml:space="preserve"> </v>
          </cell>
          <cell r="G209" t="str">
            <v xml:space="preserve"> </v>
          </cell>
          <cell r="H209" t="str">
            <v xml:space="preserve"> </v>
          </cell>
          <cell r="I209" t="str">
            <v xml:space="preserve"> </v>
          </cell>
          <cell r="J209" t="str">
            <v xml:space="preserve"> </v>
          </cell>
          <cell r="K209" t="str">
            <v xml:space="preserve"> </v>
          </cell>
          <cell r="L209" t="str">
            <v xml:space="preserve"> </v>
          </cell>
          <cell r="M209" t="str">
            <v xml:space="preserve"> </v>
          </cell>
        </row>
        <row r="210">
          <cell r="B210" t="str">
            <v xml:space="preserve"> </v>
          </cell>
          <cell r="C210" t="str">
            <v xml:space="preserve"> </v>
          </cell>
          <cell r="D210" t="str">
            <v xml:space="preserve"> </v>
          </cell>
          <cell r="E210" t="str">
            <v xml:space="preserve"> </v>
          </cell>
          <cell r="F210" t="str">
            <v xml:space="preserve"> </v>
          </cell>
          <cell r="G210" t="str">
            <v xml:space="preserve"> </v>
          </cell>
          <cell r="H210" t="str">
            <v xml:space="preserve"> </v>
          </cell>
          <cell r="I210" t="str">
            <v xml:space="preserve"> </v>
          </cell>
          <cell r="J210" t="str">
            <v xml:space="preserve"> </v>
          </cell>
          <cell r="K210" t="str">
            <v xml:space="preserve"> </v>
          </cell>
          <cell r="L210" t="str">
            <v xml:space="preserve"> </v>
          </cell>
          <cell r="M210" t="str">
            <v xml:space="preserve"> </v>
          </cell>
        </row>
        <row r="211">
          <cell r="B211" t="str">
            <v xml:space="preserve"> </v>
          </cell>
          <cell r="C211" t="str">
            <v xml:space="preserve"> </v>
          </cell>
          <cell r="D211" t="str">
            <v xml:space="preserve"> </v>
          </cell>
          <cell r="E211" t="str">
            <v xml:space="preserve"> </v>
          </cell>
          <cell r="F211" t="str">
            <v xml:space="preserve"> </v>
          </cell>
          <cell r="G211" t="str">
            <v xml:space="preserve"> </v>
          </cell>
          <cell r="H211" t="str">
            <v xml:space="preserve"> </v>
          </cell>
          <cell r="I211" t="str">
            <v xml:space="preserve"> </v>
          </cell>
          <cell r="J211" t="str">
            <v xml:space="preserve"> </v>
          </cell>
          <cell r="K211" t="str">
            <v xml:space="preserve"> </v>
          </cell>
          <cell r="L211" t="str">
            <v xml:space="preserve"> </v>
          </cell>
          <cell r="M211" t="str">
            <v xml:space="preserve"> </v>
          </cell>
        </row>
        <row r="212">
          <cell r="B212" t="str">
            <v xml:space="preserve"> </v>
          </cell>
          <cell r="C212" t="str">
            <v xml:space="preserve"> </v>
          </cell>
          <cell r="D212" t="str">
            <v xml:space="preserve"> </v>
          </cell>
          <cell r="E212" t="str">
            <v xml:space="preserve"> </v>
          </cell>
          <cell r="F212" t="str">
            <v xml:space="preserve"> </v>
          </cell>
          <cell r="G212" t="str">
            <v xml:space="preserve"> </v>
          </cell>
          <cell r="H212" t="str">
            <v xml:space="preserve"> </v>
          </cell>
          <cell r="I212" t="str">
            <v xml:space="preserve"> </v>
          </cell>
          <cell r="J212" t="str">
            <v xml:space="preserve"> </v>
          </cell>
          <cell r="K212" t="str">
            <v xml:space="preserve"> </v>
          </cell>
          <cell r="L212" t="str">
            <v xml:space="preserve"> </v>
          </cell>
          <cell r="M212" t="str">
            <v xml:space="preserve"> </v>
          </cell>
        </row>
        <row r="213">
          <cell r="B213" t="str">
            <v xml:space="preserve"> </v>
          </cell>
          <cell r="C213" t="str">
            <v xml:space="preserve"> </v>
          </cell>
          <cell r="D213" t="str">
            <v xml:space="preserve"> </v>
          </cell>
          <cell r="E213" t="str">
            <v xml:space="preserve"> </v>
          </cell>
          <cell r="F213" t="str">
            <v xml:space="preserve"> </v>
          </cell>
          <cell r="G213" t="str">
            <v xml:space="preserve"> </v>
          </cell>
          <cell r="H213" t="str">
            <v xml:space="preserve"> </v>
          </cell>
          <cell r="I213" t="str">
            <v xml:space="preserve"> </v>
          </cell>
          <cell r="J213" t="str">
            <v xml:space="preserve"> </v>
          </cell>
          <cell r="K213" t="str">
            <v xml:space="preserve"> </v>
          </cell>
          <cell r="L213" t="str">
            <v xml:space="preserve"> </v>
          </cell>
          <cell r="M213" t="str">
            <v xml:space="preserve"> </v>
          </cell>
        </row>
        <row r="214">
          <cell r="B214" t="str">
            <v xml:space="preserve"> </v>
          </cell>
          <cell r="C214" t="str">
            <v xml:space="preserve"> </v>
          </cell>
          <cell r="D214" t="str">
            <v xml:space="preserve"> </v>
          </cell>
          <cell r="E214" t="str">
            <v xml:space="preserve"> </v>
          </cell>
          <cell r="F214" t="str">
            <v xml:space="preserve"> </v>
          </cell>
          <cell r="G214" t="str">
            <v xml:space="preserve"> </v>
          </cell>
          <cell r="H214" t="str">
            <v xml:space="preserve"> </v>
          </cell>
          <cell r="I214" t="str">
            <v xml:space="preserve"> </v>
          </cell>
          <cell r="J214" t="str">
            <v xml:space="preserve"> </v>
          </cell>
          <cell r="K214" t="str">
            <v xml:space="preserve"> </v>
          </cell>
          <cell r="L214" t="str">
            <v xml:space="preserve"> </v>
          </cell>
          <cell r="M214" t="str">
            <v xml:space="preserve"> </v>
          </cell>
        </row>
        <row r="215">
          <cell r="B215" t="str">
            <v xml:space="preserve"> </v>
          </cell>
          <cell r="C215" t="str">
            <v xml:space="preserve"> </v>
          </cell>
          <cell r="D215" t="str">
            <v xml:space="preserve"> </v>
          </cell>
          <cell r="E215" t="str">
            <v xml:space="preserve"> </v>
          </cell>
          <cell r="F215" t="str">
            <v xml:space="preserve"> </v>
          </cell>
          <cell r="G215" t="str">
            <v xml:space="preserve"> </v>
          </cell>
          <cell r="H215" t="str">
            <v xml:space="preserve"> </v>
          </cell>
          <cell r="I215" t="str">
            <v xml:space="preserve"> </v>
          </cell>
          <cell r="J215" t="str">
            <v xml:space="preserve"> </v>
          </cell>
          <cell r="K215" t="str">
            <v xml:space="preserve"> </v>
          </cell>
          <cell r="L215" t="str">
            <v xml:space="preserve"> </v>
          </cell>
          <cell r="M215" t="str">
            <v xml:space="preserve"> </v>
          </cell>
        </row>
        <row r="216">
          <cell r="B216" t="str">
            <v xml:space="preserve"> </v>
          </cell>
          <cell r="C216" t="str">
            <v xml:space="preserve"> </v>
          </cell>
          <cell r="D216" t="str">
            <v xml:space="preserve"> </v>
          </cell>
          <cell r="E216" t="str">
            <v xml:space="preserve"> </v>
          </cell>
          <cell r="F216" t="str">
            <v xml:space="preserve"> </v>
          </cell>
          <cell r="G216" t="str">
            <v xml:space="preserve"> </v>
          </cell>
          <cell r="H216" t="str">
            <v xml:space="preserve"> </v>
          </cell>
          <cell r="I216" t="str">
            <v xml:space="preserve"> </v>
          </cell>
          <cell r="J216" t="str">
            <v xml:space="preserve"> </v>
          </cell>
          <cell r="K216" t="str">
            <v xml:space="preserve"> </v>
          </cell>
          <cell r="L216" t="str">
            <v xml:space="preserve"> </v>
          </cell>
          <cell r="M216" t="str">
            <v xml:space="preserve"> </v>
          </cell>
        </row>
        <row r="217">
          <cell r="B217" t="str">
            <v xml:space="preserve"> </v>
          </cell>
          <cell r="C217" t="str">
            <v xml:space="preserve"> </v>
          </cell>
          <cell r="D217" t="str">
            <v xml:space="preserve"> </v>
          </cell>
          <cell r="E217" t="str">
            <v xml:space="preserve"> </v>
          </cell>
          <cell r="F217" t="str">
            <v xml:space="preserve"> </v>
          </cell>
          <cell r="G217" t="str">
            <v xml:space="preserve"> </v>
          </cell>
          <cell r="H217" t="str">
            <v xml:space="preserve"> </v>
          </cell>
          <cell r="I217" t="str">
            <v xml:space="preserve"> </v>
          </cell>
          <cell r="J217" t="str">
            <v xml:space="preserve"> </v>
          </cell>
          <cell r="K217" t="str">
            <v xml:space="preserve"> </v>
          </cell>
          <cell r="L217" t="str">
            <v xml:space="preserve"> </v>
          </cell>
          <cell r="M217" t="str">
            <v xml:space="preserve"> </v>
          </cell>
        </row>
        <row r="218">
          <cell r="B218" t="str">
            <v xml:space="preserve"> </v>
          </cell>
          <cell r="C218" t="str">
            <v xml:space="preserve"> </v>
          </cell>
          <cell r="D218" t="str">
            <v xml:space="preserve"> </v>
          </cell>
          <cell r="E218" t="str">
            <v xml:space="preserve"> </v>
          </cell>
          <cell r="F218" t="str">
            <v xml:space="preserve"> </v>
          </cell>
          <cell r="G218" t="str">
            <v xml:space="preserve"> </v>
          </cell>
          <cell r="H218" t="str">
            <v xml:space="preserve"> </v>
          </cell>
          <cell r="I218" t="str">
            <v xml:space="preserve"> </v>
          </cell>
          <cell r="J218" t="str">
            <v xml:space="preserve"> </v>
          </cell>
          <cell r="K218" t="str">
            <v xml:space="preserve"> </v>
          </cell>
          <cell r="L218" t="str">
            <v xml:space="preserve"> </v>
          </cell>
          <cell r="M218" t="str">
            <v xml:space="preserve"> </v>
          </cell>
        </row>
        <row r="219">
          <cell r="B219" t="str">
            <v xml:space="preserve"> </v>
          </cell>
          <cell r="C219" t="str">
            <v xml:space="preserve"> </v>
          </cell>
          <cell r="D219" t="str">
            <v xml:space="preserve"> </v>
          </cell>
          <cell r="E219" t="str">
            <v xml:space="preserve"> </v>
          </cell>
          <cell r="F219" t="str">
            <v xml:space="preserve"> </v>
          </cell>
          <cell r="G219" t="str">
            <v xml:space="preserve"> </v>
          </cell>
          <cell r="H219" t="str">
            <v xml:space="preserve"> </v>
          </cell>
          <cell r="I219" t="str">
            <v xml:space="preserve"> </v>
          </cell>
          <cell r="J219" t="str">
            <v xml:space="preserve"> </v>
          </cell>
          <cell r="K219" t="str">
            <v xml:space="preserve"> </v>
          </cell>
          <cell r="L219" t="str">
            <v xml:space="preserve"> </v>
          </cell>
          <cell r="M219" t="str">
            <v xml:space="preserve"> </v>
          </cell>
        </row>
        <row r="220">
          <cell r="B220" t="str">
            <v xml:space="preserve"> </v>
          </cell>
          <cell r="C220" t="str">
            <v xml:space="preserve"> </v>
          </cell>
          <cell r="D220" t="str">
            <v xml:space="preserve"> </v>
          </cell>
          <cell r="E220" t="str">
            <v xml:space="preserve"> </v>
          </cell>
          <cell r="F220" t="str">
            <v xml:space="preserve"> </v>
          </cell>
          <cell r="G220" t="str">
            <v xml:space="preserve"> </v>
          </cell>
          <cell r="H220" t="str">
            <v xml:space="preserve"> </v>
          </cell>
          <cell r="I220" t="str">
            <v xml:space="preserve"> </v>
          </cell>
          <cell r="J220" t="str">
            <v xml:space="preserve"> </v>
          </cell>
          <cell r="K220" t="str">
            <v xml:space="preserve"> </v>
          </cell>
          <cell r="L220" t="str">
            <v xml:space="preserve"> </v>
          </cell>
          <cell r="M220" t="str">
            <v xml:space="preserve"> </v>
          </cell>
        </row>
        <row r="221">
          <cell r="B221" t="str">
            <v xml:space="preserve"> </v>
          </cell>
          <cell r="C221" t="str">
            <v xml:space="preserve"> </v>
          </cell>
          <cell r="D221" t="str">
            <v xml:space="preserve"> </v>
          </cell>
          <cell r="E221" t="str">
            <v xml:space="preserve"> </v>
          </cell>
          <cell r="F221" t="str">
            <v xml:space="preserve"> </v>
          </cell>
          <cell r="G221" t="str">
            <v xml:space="preserve"> </v>
          </cell>
          <cell r="H221" t="str">
            <v xml:space="preserve"> </v>
          </cell>
          <cell r="I221" t="str">
            <v xml:space="preserve"> </v>
          </cell>
          <cell r="J221" t="str">
            <v xml:space="preserve"> </v>
          </cell>
          <cell r="K221" t="str">
            <v xml:space="preserve"> </v>
          </cell>
          <cell r="L221" t="str">
            <v xml:space="preserve"> </v>
          </cell>
          <cell r="M221" t="str">
            <v xml:space="preserve"> </v>
          </cell>
        </row>
        <row r="222">
          <cell r="B222" t="str">
            <v xml:space="preserve"> </v>
          </cell>
          <cell r="C222" t="str">
            <v xml:space="preserve"> </v>
          </cell>
          <cell r="D222" t="str">
            <v xml:space="preserve"> </v>
          </cell>
          <cell r="E222" t="str">
            <v xml:space="preserve"> </v>
          </cell>
          <cell r="F222" t="str">
            <v xml:space="preserve"> </v>
          </cell>
          <cell r="G222" t="str">
            <v xml:space="preserve"> </v>
          </cell>
          <cell r="H222" t="str">
            <v xml:space="preserve"> </v>
          </cell>
          <cell r="I222" t="str">
            <v xml:space="preserve"> </v>
          </cell>
          <cell r="J222" t="str">
            <v xml:space="preserve"> </v>
          </cell>
          <cell r="K222" t="str">
            <v xml:space="preserve"> </v>
          </cell>
          <cell r="L222" t="str">
            <v xml:space="preserve"> </v>
          </cell>
          <cell r="M222" t="str">
            <v xml:space="preserve"> </v>
          </cell>
        </row>
        <row r="223">
          <cell r="B223" t="str">
            <v xml:space="preserve"> </v>
          </cell>
          <cell r="C223" t="str">
            <v xml:space="preserve"> </v>
          </cell>
          <cell r="D223" t="str">
            <v xml:space="preserve"> </v>
          </cell>
          <cell r="E223" t="str">
            <v xml:space="preserve"> </v>
          </cell>
          <cell r="F223" t="str">
            <v xml:space="preserve"> </v>
          </cell>
          <cell r="G223" t="str">
            <v xml:space="preserve"> </v>
          </cell>
          <cell r="H223" t="str">
            <v xml:space="preserve"> </v>
          </cell>
          <cell r="I223" t="str">
            <v xml:space="preserve"> </v>
          </cell>
          <cell r="J223" t="str">
            <v xml:space="preserve"> </v>
          </cell>
          <cell r="K223" t="str">
            <v xml:space="preserve"> </v>
          </cell>
          <cell r="L223" t="str">
            <v xml:space="preserve"> </v>
          </cell>
          <cell r="M223" t="str">
            <v xml:space="preserve"> </v>
          </cell>
        </row>
        <row r="224">
          <cell r="B224" t="str">
            <v xml:space="preserve"> </v>
          </cell>
          <cell r="C224" t="str">
            <v xml:space="preserve"> </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t="str">
            <v xml:space="preserve"> </v>
          </cell>
          <cell r="M224" t="str">
            <v xml:space="preserve"> </v>
          </cell>
        </row>
        <row r="225">
          <cell r="B225" t="str">
            <v xml:space="preserve"> </v>
          </cell>
          <cell r="C225" t="str">
            <v xml:space="preserve"> </v>
          </cell>
          <cell r="D225" t="str">
            <v xml:space="preserve"> </v>
          </cell>
          <cell r="E225" t="str">
            <v xml:space="preserve"> </v>
          </cell>
          <cell r="F225" t="str">
            <v xml:space="preserve"> </v>
          </cell>
          <cell r="G225" t="str">
            <v xml:space="preserve"> </v>
          </cell>
          <cell r="H225" t="str">
            <v xml:space="preserve"> </v>
          </cell>
          <cell r="I225" t="str">
            <v xml:space="preserve"> </v>
          </cell>
          <cell r="J225" t="str">
            <v xml:space="preserve"> </v>
          </cell>
          <cell r="K225" t="str">
            <v xml:space="preserve"> </v>
          </cell>
          <cell r="L225" t="str">
            <v xml:space="preserve"> </v>
          </cell>
          <cell r="M225" t="str">
            <v xml:space="preserve"> </v>
          </cell>
        </row>
        <row r="226">
          <cell r="B226" t="str">
            <v xml:space="preserve"> </v>
          </cell>
          <cell r="C226" t="str">
            <v xml:space="preserve"> </v>
          </cell>
          <cell r="D226" t="str">
            <v xml:space="preserve"> </v>
          </cell>
          <cell r="E226" t="str">
            <v xml:space="preserve"> </v>
          </cell>
          <cell r="F226" t="str">
            <v xml:space="preserve"> </v>
          </cell>
          <cell r="G226" t="str">
            <v xml:space="preserve"> </v>
          </cell>
          <cell r="H226" t="str">
            <v xml:space="preserve"> </v>
          </cell>
          <cell r="I226" t="str">
            <v xml:space="preserve"> </v>
          </cell>
          <cell r="J226" t="str">
            <v xml:space="preserve"> </v>
          </cell>
          <cell r="K226" t="str">
            <v xml:space="preserve"> </v>
          </cell>
          <cell r="L226" t="str">
            <v xml:space="preserve"> </v>
          </cell>
          <cell r="M226" t="str">
            <v xml:space="preserve"> </v>
          </cell>
        </row>
        <row r="227">
          <cell r="B227" t="str">
            <v xml:space="preserve"> </v>
          </cell>
          <cell r="C227" t="str">
            <v xml:space="preserve"> </v>
          </cell>
          <cell r="D227" t="str">
            <v xml:space="preserve"> </v>
          </cell>
          <cell r="E227" t="str">
            <v xml:space="preserve"> </v>
          </cell>
          <cell r="F227" t="str">
            <v xml:space="preserve"> </v>
          </cell>
          <cell r="G227" t="str">
            <v xml:space="preserve"> </v>
          </cell>
          <cell r="H227" t="str">
            <v xml:space="preserve"> </v>
          </cell>
          <cell r="I227" t="str">
            <v xml:space="preserve"> </v>
          </cell>
          <cell r="J227" t="str">
            <v xml:space="preserve"> </v>
          </cell>
          <cell r="K227" t="str">
            <v xml:space="preserve"> </v>
          </cell>
          <cell r="L227" t="str">
            <v xml:space="preserve"> </v>
          </cell>
          <cell r="M227" t="str">
            <v xml:space="preserve"> </v>
          </cell>
        </row>
        <row r="228">
          <cell r="B228" t="str">
            <v xml:space="preserve"> </v>
          </cell>
          <cell r="C228" t="str">
            <v xml:space="preserve"> </v>
          </cell>
          <cell r="D228" t="str">
            <v xml:space="preserve"> </v>
          </cell>
          <cell r="E228" t="str">
            <v xml:space="preserve"> </v>
          </cell>
          <cell r="F228" t="str">
            <v xml:space="preserve"> </v>
          </cell>
          <cell r="G228" t="str">
            <v xml:space="preserve"> </v>
          </cell>
          <cell r="H228" t="str">
            <v xml:space="preserve"> </v>
          </cell>
          <cell r="I228" t="str">
            <v xml:space="preserve"> </v>
          </cell>
          <cell r="J228" t="str">
            <v xml:space="preserve"> </v>
          </cell>
          <cell r="K228" t="str">
            <v xml:space="preserve"> </v>
          </cell>
          <cell r="L228" t="str">
            <v xml:space="preserve"> </v>
          </cell>
          <cell r="M228" t="str">
            <v xml:space="preserve"> </v>
          </cell>
        </row>
        <row r="229">
          <cell r="B229" t="str">
            <v xml:space="preserve"> </v>
          </cell>
          <cell r="C229" t="str">
            <v xml:space="preserve"> </v>
          </cell>
          <cell r="D229" t="str">
            <v xml:space="preserve"> </v>
          </cell>
          <cell r="E229" t="str">
            <v xml:space="preserve"> </v>
          </cell>
          <cell r="F229" t="str">
            <v xml:space="preserve"> </v>
          </cell>
          <cell r="G229" t="str">
            <v xml:space="preserve"> </v>
          </cell>
          <cell r="H229" t="str">
            <v xml:space="preserve"> </v>
          </cell>
          <cell r="I229" t="str">
            <v xml:space="preserve"> </v>
          </cell>
          <cell r="J229" t="str">
            <v xml:space="preserve"> </v>
          </cell>
          <cell r="K229" t="str">
            <v xml:space="preserve"> </v>
          </cell>
          <cell r="L229" t="str">
            <v xml:space="preserve"> </v>
          </cell>
          <cell r="M229" t="str">
            <v xml:space="preserve"> </v>
          </cell>
        </row>
        <row r="230">
          <cell r="B230" t="str">
            <v xml:space="preserve"> </v>
          </cell>
          <cell r="C230" t="str">
            <v xml:space="preserve"> </v>
          </cell>
          <cell r="D230" t="str">
            <v xml:space="preserve"> </v>
          </cell>
          <cell r="E230" t="str">
            <v xml:space="preserve"> </v>
          </cell>
          <cell r="F230" t="str">
            <v xml:space="preserve"> </v>
          </cell>
          <cell r="G230" t="str">
            <v xml:space="preserve"> </v>
          </cell>
          <cell r="H230" t="str">
            <v xml:space="preserve"> </v>
          </cell>
          <cell r="I230" t="str">
            <v xml:space="preserve"> </v>
          </cell>
          <cell r="J230" t="str">
            <v xml:space="preserve"> </v>
          </cell>
          <cell r="K230" t="str">
            <v xml:space="preserve"> </v>
          </cell>
          <cell r="L230" t="str">
            <v xml:space="preserve"> </v>
          </cell>
          <cell r="M230" t="str">
            <v xml:space="preserve"> </v>
          </cell>
        </row>
        <row r="231">
          <cell r="B231" t="str">
            <v xml:space="preserve"> </v>
          </cell>
          <cell r="C231" t="str">
            <v xml:space="preserve"> </v>
          </cell>
          <cell r="D231" t="str">
            <v xml:space="preserve"> </v>
          </cell>
          <cell r="E231" t="str">
            <v xml:space="preserve"> </v>
          </cell>
          <cell r="F231" t="str">
            <v xml:space="preserve"> </v>
          </cell>
          <cell r="G231" t="str">
            <v xml:space="preserve"> </v>
          </cell>
          <cell r="H231" t="str">
            <v xml:space="preserve"> </v>
          </cell>
          <cell r="I231" t="str">
            <v xml:space="preserve"> </v>
          </cell>
          <cell r="J231" t="str">
            <v xml:space="preserve"> </v>
          </cell>
          <cell r="K231" t="str">
            <v xml:space="preserve"> </v>
          </cell>
          <cell r="L231" t="str">
            <v xml:space="preserve"> </v>
          </cell>
          <cell r="M231" t="str">
            <v xml:space="preserve"> </v>
          </cell>
        </row>
        <row r="232">
          <cell r="B232" t="str">
            <v xml:space="preserve"> </v>
          </cell>
          <cell r="C232" t="str">
            <v xml:space="preserve"> </v>
          </cell>
          <cell r="D232" t="str">
            <v xml:space="preserve"> </v>
          </cell>
          <cell r="E232" t="str">
            <v xml:space="preserve"> </v>
          </cell>
          <cell r="F232" t="str">
            <v xml:space="preserve"> </v>
          </cell>
          <cell r="G232" t="str">
            <v xml:space="preserve"> </v>
          </cell>
          <cell r="H232" t="str">
            <v xml:space="preserve"> </v>
          </cell>
          <cell r="I232" t="str">
            <v xml:space="preserve"> </v>
          </cell>
          <cell r="J232" t="str">
            <v xml:space="preserve"> </v>
          </cell>
          <cell r="K232" t="str">
            <v xml:space="preserve"> </v>
          </cell>
          <cell r="L232" t="str">
            <v xml:space="preserve"> </v>
          </cell>
          <cell r="M232" t="str">
            <v xml:space="preserve"> </v>
          </cell>
        </row>
        <row r="233">
          <cell r="B233" t="str">
            <v xml:space="preserve"> </v>
          </cell>
          <cell r="C233" t="str">
            <v xml:space="preserve"> </v>
          </cell>
          <cell r="D233" t="str">
            <v xml:space="preserve"> </v>
          </cell>
          <cell r="E233" t="str">
            <v xml:space="preserve"> </v>
          </cell>
          <cell r="F233" t="str">
            <v xml:space="preserve"> </v>
          </cell>
          <cell r="G233" t="str">
            <v xml:space="preserve"> </v>
          </cell>
          <cell r="H233" t="str">
            <v xml:space="preserve"> </v>
          </cell>
          <cell r="I233" t="str">
            <v xml:space="preserve"> </v>
          </cell>
          <cell r="J233" t="str">
            <v xml:space="preserve"> </v>
          </cell>
          <cell r="K233" t="str">
            <v xml:space="preserve"> </v>
          </cell>
          <cell r="L233" t="str">
            <v xml:space="preserve"> </v>
          </cell>
          <cell r="M233" t="str">
            <v xml:space="preserve"> </v>
          </cell>
        </row>
        <row r="234">
          <cell r="B234" t="str">
            <v xml:space="preserve"> </v>
          </cell>
          <cell r="C234" t="str">
            <v xml:space="preserve"> </v>
          </cell>
          <cell r="D234" t="str">
            <v xml:space="preserve"> </v>
          </cell>
          <cell r="E234" t="str">
            <v xml:space="preserve"> </v>
          </cell>
          <cell r="F234" t="str">
            <v xml:space="preserve"> </v>
          </cell>
          <cell r="G234" t="str">
            <v xml:space="preserve"> </v>
          </cell>
          <cell r="H234" t="str">
            <v xml:space="preserve"> </v>
          </cell>
          <cell r="I234" t="str">
            <v xml:space="preserve"> </v>
          </cell>
          <cell r="J234" t="str">
            <v xml:space="preserve"> </v>
          </cell>
          <cell r="K234" t="str">
            <v xml:space="preserve"> </v>
          </cell>
          <cell r="L234" t="str">
            <v xml:space="preserve"> </v>
          </cell>
          <cell r="M234" t="str">
            <v xml:space="preserve"> </v>
          </cell>
        </row>
        <row r="235">
          <cell r="B235" t="str">
            <v xml:space="preserve"> </v>
          </cell>
          <cell r="C235" t="str">
            <v xml:space="preserve"> </v>
          </cell>
          <cell r="D235" t="str">
            <v xml:space="preserve"> </v>
          </cell>
          <cell r="E235" t="str">
            <v xml:space="preserve"> </v>
          </cell>
          <cell r="F235" t="str">
            <v xml:space="preserve"> </v>
          </cell>
          <cell r="G235" t="str">
            <v xml:space="preserve"> </v>
          </cell>
          <cell r="H235" t="str">
            <v xml:space="preserve"> </v>
          </cell>
          <cell r="I235" t="str">
            <v xml:space="preserve"> </v>
          </cell>
          <cell r="J235" t="str">
            <v xml:space="preserve"> </v>
          </cell>
          <cell r="K235" t="str">
            <v xml:space="preserve"> </v>
          </cell>
          <cell r="L235" t="str">
            <v xml:space="preserve"> </v>
          </cell>
          <cell r="M235" t="str">
            <v xml:space="preserve"> </v>
          </cell>
        </row>
        <row r="236">
          <cell r="B236" t="str">
            <v xml:space="preserve"> </v>
          </cell>
          <cell r="C236" t="str">
            <v xml:space="preserve"> </v>
          </cell>
          <cell r="D236" t="str">
            <v xml:space="preserve"> </v>
          </cell>
          <cell r="E236" t="str">
            <v xml:space="preserve"> </v>
          </cell>
          <cell r="F236" t="str">
            <v xml:space="preserve"> </v>
          </cell>
          <cell r="G236" t="str">
            <v xml:space="preserve"> </v>
          </cell>
          <cell r="H236" t="str">
            <v xml:space="preserve"> </v>
          </cell>
          <cell r="I236" t="str">
            <v xml:space="preserve"> </v>
          </cell>
          <cell r="J236" t="str">
            <v xml:space="preserve"> </v>
          </cell>
          <cell r="K236" t="str">
            <v xml:space="preserve"> </v>
          </cell>
          <cell r="L236" t="str">
            <v xml:space="preserve"> </v>
          </cell>
          <cell r="M236" t="str">
            <v xml:space="preserve"> </v>
          </cell>
        </row>
        <row r="237">
          <cell r="B237" t="str">
            <v xml:space="preserve"> </v>
          </cell>
          <cell r="C237" t="str">
            <v xml:space="preserve"> </v>
          </cell>
          <cell r="D237" t="str">
            <v xml:space="preserve"> </v>
          </cell>
          <cell r="E237" t="str">
            <v xml:space="preserve"> </v>
          </cell>
          <cell r="F237" t="str">
            <v xml:space="preserve"> </v>
          </cell>
          <cell r="G237" t="str">
            <v xml:space="preserve"> </v>
          </cell>
          <cell r="H237" t="str">
            <v xml:space="preserve"> </v>
          </cell>
          <cell r="I237" t="str">
            <v xml:space="preserve"> </v>
          </cell>
          <cell r="J237" t="str">
            <v xml:space="preserve"> </v>
          </cell>
          <cell r="K237" t="str">
            <v xml:space="preserve"> </v>
          </cell>
          <cell r="L237" t="str">
            <v xml:space="preserve"> </v>
          </cell>
          <cell r="M237" t="str">
            <v xml:space="preserve"> </v>
          </cell>
        </row>
        <row r="238">
          <cell r="B238" t="str">
            <v xml:space="preserve"> </v>
          </cell>
          <cell r="C238" t="str">
            <v xml:space="preserve"> </v>
          </cell>
          <cell r="D238" t="str">
            <v xml:space="preserve"> </v>
          </cell>
          <cell r="E238" t="str">
            <v xml:space="preserve"> </v>
          </cell>
          <cell r="F238" t="str">
            <v xml:space="preserve"> </v>
          </cell>
          <cell r="G238" t="str">
            <v xml:space="preserve"> </v>
          </cell>
          <cell r="H238" t="str">
            <v xml:space="preserve"> </v>
          </cell>
          <cell r="I238" t="str">
            <v xml:space="preserve"> </v>
          </cell>
          <cell r="J238" t="str">
            <v xml:space="preserve"> </v>
          </cell>
          <cell r="K238" t="str">
            <v xml:space="preserve"> </v>
          </cell>
          <cell r="L238" t="str">
            <v xml:space="preserve"> </v>
          </cell>
          <cell r="M238" t="str">
            <v xml:space="preserve"> </v>
          </cell>
        </row>
        <row r="239">
          <cell r="B239" t="str">
            <v xml:space="preserve"> </v>
          </cell>
          <cell r="C239" t="str">
            <v xml:space="preserve"> </v>
          </cell>
          <cell r="D239" t="str">
            <v xml:space="preserve"> </v>
          </cell>
          <cell r="E239" t="str">
            <v xml:space="preserve"> </v>
          </cell>
          <cell r="F239" t="str">
            <v xml:space="preserve"> </v>
          </cell>
          <cell r="G239" t="str">
            <v xml:space="preserve"> </v>
          </cell>
          <cell r="H239" t="str">
            <v xml:space="preserve"> </v>
          </cell>
          <cell r="I239" t="str">
            <v xml:space="preserve"> </v>
          </cell>
          <cell r="J239" t="str">
            <v xml:space="preserve"> </v>
          </cell>
          <cell r="K239" t="str">
            <v xml:space="preserve"> </v>
          </cell>
          <cell r="L239" t="str">
            <v xml:space="preserve"> </v>
          </cell>
          <cell r="M239" t="str">
            <v xml:space="preserve"> </v>
          </cell>
        </row>
        <row r="240">
          <cell r="B240" t="str">
            <v xml:space="preserve"> </v>
          </cell>
          <cell r="C240" t="str">
            <v xml:space="preserve"> </v>
          </cell>
          <cell r="D240" t="str">
            <v xml:space="preserve"> </v>
          </cell>
          <cell r="E240" t="str">
            <v xml:space="preserve"> </v>
          </cell>
          <cell r="F240" t="str">
            <v xml:space="preserve"> </v>
          </cell>
          <cell r="G240" t="str">
            <v xml:space="preserve"> </v>
          </cell>
          <cell r="H240" t="str">
            <v xml:space="preserve"> </v>
          </cell>
          <cell r="I240" t="str">
            <v xml:space="preserve"> </v>
          </cell>
          <cell r="J240" t="str">
            <v xml:space="preserve"> </v>
          </cell>
          <cell r="K240" t="str">
            <v xml:space="preserve"> </v>
          </cell>
          <cell r="L240" t="str">
            <v xml:space="preserve"> </v>
          </cell>
          <cell r="M240" t="str">
            <v xml:space="preserve"> </v>
          </cell>
        </row>
        <row r="241">
          <cell r="B241" t="str">
            <v xml:space="preserve"> </v>
          </cell>
          <cell r="C241" t="str">
            <v xml:space="preserve"> </v>
          </cell>
          <cell r="D241" t="str">
            <v xml:space="preserve"> </v>
          </cell>
          <cell r="E241" t="str">
            <v xml:space="preserve"> </v>
          </cell>
          <cell r="F241" t="str">
            <v xml:space="preserve"> </v>
          </cell>
          <cell r="G241" t="str">
            <v xml:space="preserve"> </v>
          </cell>
          <cell r="H241" t="str">
            <v xml:space="preserve"> </v>
          </cell>
          <cell r="I241" t="str">
            <v xml:space="preserve"> </v>
          </cell>
          <cell r="J241" t="str">
            <v xml:space="preserve"> </v>
          </cell>
          <cell r="K241" t="str">
            <v xml:space="preserve"> </v>
          </cell>
          <cell r="L241" t="str">
            <v xml:space="preserve"> </v>
          </cell>
          <cell r="M241" t="str">
            <v xml:space="preserve"> </v>
          </cell>
        </row>
        <row r="242">
          <cell r="B242" t="str">
            <v xml:space="preserve"> </v>
          </cell>
          <cell r="C242" t="str">
            <v xml:space="preserve"> </v>
          </cell>
          <cell r="D242" t="str">
            <v xml:space="preserve"> </v>
          </cell>
          <cell r="E242" t="str">
            <v xml:space="preserve"> </v>
          </cell>
          <cell r="F242" t="str">
            <v xml:space="preserve"> </v>
          </cell>
          <cell r="G242" t="str">
            <v xml:space="preserve"> </v>
          </cell>
          <cell r="H242" t="str">
            <v xml:space="preserve"> </v>
          </cell>
          <cell r="I242" t="str">
            <v xml:space="preserve"> </v>
          </cell>
          <cell r="J242" t="str">
            <v xml:space="preserve"> </v>
          </cell>
          <cell r="K242" t="str">
            <v xml:space="preserve"> </v>
          </cell>
          <cell r="L242" t="str">
            <v xml:space="preserve"> </v>
          </cell>
          <cell r="M242" t="str">
            <v xml:space="preserve"> </v>
          </cell>
        </row>
        <row r="243">
          <cell r="B243" t="str">
            <v xml:space="preserve"> </v>
          </cell>
          <cell r="C243" t="str">
            <v xml:space="preserve"> </v>
          </cell>
          <cell r="D243" t="str">
            <v xml:space="preserve"> </v>
          </cell>
          <cell r="E243" t="str">
            <v xml:space="preserve"> </v>
          </cell>
          <cell r="F243" t="str">
            <v xml:space="preserve"> </v>
          </cell>
          <cell r="G243" t="str">
            <v xml:space="preserve"> </v>
          </cell>
          <cell r="H243" t="str">
            <v xml:space="preserve"> </v>
          </cell>
          <cell r="I243" t="str">
            <v xml:space="preserve"> </v>
          </cell>
          <cell r="J243" t="str">
            <v xml:space="preserve"> </v>
          </cell>
          <cell r="K243" t="str">
            <v xml:space="preserve"> </v>
          </cell>
          <cell r="L243" t="str">
            <v xml:space="preserve"> </v>
          </cell>
          <cell r="M243" t="str">
            <v xml:space="preserve"> </v>
          </cell>
        </row>
        <row r="244">
          <cell r="B244" t="str">
            <v xml:space="preserve"> </v>
          </cell>
          <cell r="C244" t="str">
            <v xml:space="preserve"> </v>
          </cell>
          <cell r="D244" t="str">
            <v xml:space="preserve"> </v>
          </cell>
          <cell r="E244" t="str">
            <v xml:space="preserve"> </v>
          </cell>
          <cell r="F244" t="str">
            <v xml:space="preserve"> </v>
          </cell>
          <cell r="G244" t="str">
            <v xml:space="preserve"> </v>
          </cell>
          <cell r="H244" t="str">
            <v xml:space="preserve"> </v>
          </cell>
          <cell r="I244" t="str">
            <v xml:space="preserve"> </v>
          </cell>
          <cell r="J244" t="str">
            <v xml:space="preserve"> </v>
          </cell>
          <cell r="K244" t="str">
            <v xml:space="preserve"> </v>
          </cell>
          <cell r="L244" t="str">
            <v xml:space="preserve"> </v>
          </cell>
          <cell r="M244" t="str">
            <v xml:space="preserve"> </v>
          </cell>
        </row>
        <row r="245">
          <cell r="B245" t="str">
            <v xml:space="preserve"> </v>
          </cell>
          <cell r="C245" t="str">
            <v xml:space="preserve"> </v>
          </cell>
          <cell r="D245" t="str">
            <v xml:space="preserve"> </v>
          </cell>
          <cell r="E245" t="str">
            <v xml:space="preserve"> </v>
          </cell>
          <cell r="F245" t="str">
            <v xml:space="preserve"> </v>
          </cell>
          <cell r="G245" t="str">
            <v xml:space="preserve"> </v>
          </cell>
          <cell r="H245" t="str">
            <v xml:space="preserve"> </v>
          </cell>
          <cell r="I245" t="str">
            <v xml:space="preserve"> </v>
          </cell>
          <cell r="J245" t="str">
            <v xml:space="preserve"> </v>
          </cell>
          <cell r="K245" t="str">
            <v xml:space="preserve"> </v>
          </cell>
          <cell r="L245" t="str">
            <v xml:space="preserve"> </v>
          </cell>
          <cell r="M245" t="str">
            <v xml:space="preserve"> </v>
          </cell>
        </row>
        <row r="246">
          <cell r="B246" t="str">
            <v xml:space="preserve"> </v>
          </cell>
          <cell r="C246" t="str">
            <v xml:space="preserve"> </v>
          </cell>
          <cell r="D246" t="str">
            <v xml:space="preserve"> </v>
          </cell>
          <cell r="E246" t="str">
            <v xml:space="preserve"> </v>
          </cell>
          <cell r="F246" t="str">
            <v xml:space="preserve"> </v>
          </cell>
          <cell r="G246" t="str">
            <v xml:space="preserve"> </v>
          </cell>
          <cell r="H246" t="str">
            <v xml:space="preserve"> </v>
          </cell>
          <cell r="I246" t="str">
            <v xml:space="preserve"> </v>
          </cell>
          <cell r="J246" t="str">
            <v xml:space="preserve"> </v>
          </cell>
          <cell r="K246" t="str">
            <v xml:space="preserve"> </v>
          </cell>
          <cell r="L246" t="str">
            <v xml:space="preserve"> </v>
          </cell>
          <cell r="M246" t="str">
            <v xml:space="preserve"> </v>
          </cell>
        </row>
        <row r="247">
          <cell r="B247" t="str">
            <v xml:space="preserve"> </v>
          </cell>
          <cell r="C247" t="str">
            <v xml:space="preserve"> </v>
          </cell>
          <cell r="D247" t="str">
            <v xml:space="preserve"> </v>
          </cell>
          <cell r="E247" t="str">
            <v xml:space="preserve"> </v>
          </cell>
          <cell r="F247" t="str">
            <v xml:space="preserve"> </v>
          </cell>
          <cell r="G247" t="str">
            <v xml:space="preserve"> </v>
          </cell>
          <cell r="H247" t="str">
            <v xml:space="preserve"> </v>
          </cell>
          <cell r="I247" t="str">
            <v xml:space="preserve"> </v>
          </cell>
          <cell r="J247" t="str">
            <v xml:space="preserve"> </v>
          </cell>
          <cell r="K247" t="str">
            <v xml:space="preserve"> </v>
          </cell>
          <cell r="L247" t="str">
            <v xml:space="preserve"> </v>
          </cell>
          <cell r="M247" t="str">
            <v xml:space="preserve"> </v>
          </cell>
        </row>
        <row r="248">
          <cell r="B248" t="str">
            <v xml:space="preserve"> </v>
          </cell>
          <cell r="C248" t="str">
            <v xml:space="preserve"> </v>
          </cell>
          <cell r="D248" t="str">
            <v xml:space="preserve"> </v>
          </cell>
          <cell r="E248" t="str">
            <v xml:space="preserve"> </v>
          </cell>
          <cell r="F248" t="str">
            <v xml:space="preserve"> </v>
          </cell>
          <cell r="G248" t="str">
            <v xml:space="preserve"> </v>
          </cell>
          <cell r="H248" t="str">
            <v xml:space="preserve"> </v>
          </cell>
          <cell r="I248" t="str">
            <v xml:space="preserve"> </v>
          </cell>
          <cell r="J248" t="str">
            <v xml:space="preserve"> </v>
          </cell>
          <cell r="K248" t="str">
            <v xml:space="preserve"> </v>
          </cell>
          <cell r="L248" t="str">
            <v xml:space="preserve"> </v>
          </cell>
          <cell r="M248" t="str">
            <v xml:space="preserve"> </v>
          </cell>
        </row>
        <row r="249">
          <cell r="B249" t="str">
            <v xml:space="preserve"> </v>
          </cell>
          <cell r="C249" t="str">
            <v xml:space="preserve"> </v>
          </cell>
          <cell r="D249" t="str">
            <v xml:space="preserve"> </v>
          </cell>
          <cell r="E249" t="str">
            <v xml:space="preserve"> </v>
          </cell>
          <cell r="F249" t="str">
            <v xml:space="preserve"> </v>
          </cell>
          <cell r="G249" t="str">
            <v xml:space="preserve"> </v>
          </cell>
          <cell r="H249" t="str">
            <v xml:space="preserve"> </v>
          </cell>
          <cell r="I249" t="str">
            <v xml:space="preserve"> </v>
          </cell>
          <cell r="J249" t="str">
            <v xml:space="preserve"> </v>
          </cell>
          <cell r="K249" t="str">
            <v xml:space="preserve"> </v>
          </cell>
          <cell r="L249" t="str">
            <v xml:space="preserve"> </v>
          </cell>
          <cell r="M249" t="str">
            <v xml:space="preserve"> </v>
          </cell>
        </row>
        <row r="250">
          <cell r="B250" t="str">
            <v xml:space="preserve"> </v>
          </cell>
          <cell r="C250" t="str">
            <v xml:space="preserve"> </v>
          </cell>
          <cell r="D250" t="str">
            <v xml:space="preserve"> </v>
          </cell>
          <cell r="E250" t="str">
            <v xml:space="preserve"> </v>
          </cell>
          <cell r="F250" t="str">
            <v xml:space="preserve"> </v>
          </cell>
          <cell r="G250" t="str">
            <v xml:space="preserve"> </v>
          </cell>
          <cell r="H250" t="str">
            <v xml:space="preserve"> </v>
          </cell>
          <cell r="I250" t="str">
            <v xml:space="preserve"> </v>
          </cell>
          <cell r="J250" t="str">
            <v xml:space="preserve"> </v>
          </cell>
          <cell r="K250" t="str">
            <v xml:space="preserve"> </v>
          </cell>
          <cell r="L250" t="str">
            <v xml:space="preserve"> </v>
          </cell>
          <cell r="M250" t="str">
            <v xml:space="preserve"> </v>
          </cell>
        </row>
        <row r="251">
          <cell r="B251" t="str">
            <v xml:space="preserve"> </v>
          </cell>
          <cell r="C251" t="str">
            <v xml:space="preserve"> </v>
          </cell>
          <cell r="D251" t="str">
            <v xml:space="preserve"> </v>
          </cell>
          <cell r="E251" t="str">
            <v xml:space="preserve"> </v>
          </cell>
          <cell r="F251" t="str">
            <v xml:space="preserve"> </v>
          </cell>
          <cell r="G251" t="str">
            <v xml:space="preserve"> </v>
          </cell>
          <cell r="H251" t="str">
            <v xml:space="preserve"> </v>
          </cell>
          <cell r="I251" t="str">
            <v xml:space="preserve"> </v>
          </cell>
          <cell r="J251" t="str">
            <v xml:space="preserve"> </v>
          </cell>
          <cell r="K251" t="str">
            <v xml:space="preserve"> </v>
          </cell>
          <cell r="L251" t="str">
            <v xml:space="preserve"> </v>
          </cell>
          <cell r="M251" t="str">
            <v xml:space="preserve"> </v>
          </cell>
        </row>
        <row r="252">
          <cell r="B252" t="str">
            <v xml:space="preserve"> </v>
          </cell>
          <cell r="C252" t="str">
            <v xml:space="preserve"> </v>
          </cell>
          <cell r="D252" t="str">
            <v xml:space="preserve"> </v>
          </cell>
          <cell r="E252" t="str">
            <v xml:space="preserve"> </v>
          </cell>
          <cell r="F252" t="str">
            <v xml:space="preserve"> </v>
          </cell>
          <cell r="G252" t="str">
            <v xml:space="preserve"> </v>
          </cell>
          <cell r="H252" t="str">
            <v xml:space="preserve"> </v>
          </cell>
          <cell r="I252" t="str">
            <v xml:space="preserve"> </v>
          </cell>
          <cell r="J252" t="str">
            <v xml:space="preserve"> </v>
          </cell>
          <cell r="K252" t="str">
            <v xml:space="preserve"> </v>
          </cell>
          <cell r="L252" t="str">
            <v xml:space="preserve"> </v>
          </cell>
          <cell r="M252" t="str">
            <v xml:space="preserve"> </v>
          </cell>
        </row>
        <row r="253">
          <cell r="B253" t="str">
            <v xml:space="preserve"> </v>
          </cell>
          <cell r="C253" t="str">
            <v xml:space="preserve"> </v>
          </cell>
          <cell r="D253" t="str">
            <v xml:space="preserve"> </v>
          </cell>
          <cell r="E253" t="str">
            <v xml:space="preserve"> </v>
          </cell>
          <cell r="F253" t="str">
            <v xml:space="preserve"> </v>
          </cell>
          <cell r="G253" t="str">
            <v xml:space="preserve"> </v>
          </cell>
          <cell r="H253" t="str">
            <v xml:space="preserve"> </v>
          </cell>
          <cell r="I253" t="str">
            <v xml:space="preserve"> </v>
          </cell>
          <cell r="J253" t="str">
            <v xml:space="preserve"> </v>
          </cell>
          <cell r="K253" t="str">
            <v xml:space="preserve"> </v>
          </cell>
          <cell r="L253" t="str">
            <v xml:space="preserve"> </v>
          </cell>
          <cell r="M253" t="str">
            <v xml:space="preserve"> </v>
          </cell>
        </row>
        <row r="254">
          <cell r="B254" t="str">
            <v xml:space="preserve"> </v>
          </cell>
          <cell r="C254" t="str">
            <v xml:space="preserve"> </v>
          </cell>
          <cell r="D254" t="str">
            <v xml:space="preserve"> </v>
          </cell>
          <cell r="E254" t="str">
            <v xml:space="preserve"> </v>
          </cell>
          <cell r="F254" t="str">
            <v xml:space="preserve"> </v>
          </cell>
          <cell r="G254" t="str">
            <v xml:space="preserve"> </v>
          </cell>
          <cell r="H254" t="str">
            <v xml:space="preserve"> </v>
          </cell>
          <cell r="I254" t="str">
            <v xml:space="preserve"> </v>
          </cell>
          <cell r="J254" t="str">
            <v xml:space="preserve"> </v>
          </cell>
          <cell r="K254" t="str">
            <v xml:space="preserve"> </v>
          </cell>
          <cell r="L254" t="str">
            <v xml:space="preserve"> </v>
          </cell>
          <cell r="M254" t="str">
            <v xml:space="preserve"> </v>
          </cell>
        </row>
        <row r="255">
          <cell r="B255" t="str">
            <v xml:space="preserve"> </v>
          </cell>
          <cell r="C255" t="str">
            <v xml:space="preserve"> </v>
          </cell>
          <cell r="D255" t="str">
            <v xml:space="preserve"> </v>
          </cell>
          <cell r="E255" t="str">
            <v xml:space="preserve"> </v>
          </cell>
          <cell r="F255" t="str">
            <v xml:space="preserve"> </v>
          </cell>
          <cell r="G255" t="str">
            <v xml:space="preserve"> </v>
          </cell>
          <cell r="H255" t="str">
            <v xml:space="preserve"> </v>
          </cell>
          <cell r="I255" t="str">
            <v xml:space="preserve"> </v>
          </cell>
          <cell r="J255" t="str">
            <v xml:space="preserve"> </v>
          </cell>
          <cell r="K255" t="str">
            <v xml:space="preserve"> </v>
          </cell>
          <cell r="L255" t="str">
            <v xml:space="preserve"> </v>
          </cell>
          <cell r="M255" t="str">
            <v xml:space="preserve"> </v>
          </cell>
        </row>
        <row r="256">
          <cell r="B256" t="str">
            <v xml:space="preserve"> </v>
          </cell>
          <cell r="C256" t="str">
            <v xml:space="preserve"> </v>
          </cell>
          <cell r="D256" t="str">
            <v xml:space="preserve"> </v>
          </cell>
          <cell r="E256" t="str">
            <v xml:space="preserve"> </v>
          </cell>
          <cell r="F256" t="str">
            <v xml:space="preserve"> </v>
          </cell>
          <cell r="G256" t="str">
            <v xml:space="preserve"> </v>
          </cell>
          <cell r="H256" t="str">
            <v xml:space="preserve"> </v>
          </cell>
          <cell r="I256" t="str">
            <v xml:space="preserve"> </v>
          </cell>
          <cell r="J256" t="str">
            <v xml:space="preserve"> </v>
          </cell>
          <cell r="K256" t="str">
            <v xml:space="preserve"> </v>
          </cell>
          <cell r="L256" t="str">
            <v xml:space="preserve"> </v>
          </cell>
          <cell r="M256" t="str">
            <v xml:space="preserve"> </v>
          </cell>
        </row>
        <row r="257">
          <cell r="B257" t="str">
            <v xml:space="preserve"> </v>
          </cell>
          <cell r="C257" t="str">
            <v xml:space="preserve"> </v>
          </cell>
          <cell r="D257" t="str">
            <v xml:space="preserve"> </v>
          </cell>
          <cell r="E257" t="str">
            <v xml:space="preserve"> </v>
          </cell>
          <cell r="F257" t="str">
            <v xml:space="preserve"> </v>
          </cell>
          <cell r="G257" t="str">
            <v xml:space="preserve"> </v>
          </cell>
          <cell r="H257" t="str">
            <v xml:space="preserve"> </v>
          </cell>
          <cell r="I257" t="str">
            <v xml:space="preserve"> </v>
          </cell>
          <cell r="J257" t="str">
            <v xml:space="preserve"> </v>
          </cell>
          <cell r="K257" t="str">
            <v xml:space="preserve"> </v>
          </cell>
          <cell r="L257" t="str">
            <v xml:space="preserve"> </v>
          </cell>
          <cell r="M257" t="str">
            <v xml:space="preserve"> </v>
          </cell>
        </row>
        <row r="258">
          <cell r="B258" t="str">
            <v xml:space="preserve"> </v>
          </cell>
          <cell r="C258" t="str">
            <v xml:space="preserve"> </v>
          </cell>
          <cell r="D258" t="str">
            <v xml:space="preserve"> </v>
          </cell>
          <cell r="E258" t="str">
            <v xml:space="preserve"> </v>
          </cell>
          <cell r="F258" t="str">
            <v xml:space="preserve"> </v>
          </cell>
          <cell r="G258" t="str">
            <v xml:space="preserve"> </v>
          </cell>
          <cell r="H258" t="str">
            <v xml:space="preserve"> </v>
          </cell>
          <cell r="I258" t="str">
            <v xml:space="preserve"> </v>
          </cell>
          <cell r="J258" t="str">
            <v xml:space="preserve"> </v>
          </cell>
          <cell r="K258" t="str">
            <v xml:space="preserve"> </v>
          </cell>
          <cell r="L258" t="str">
            <v xml:space="preserve"> </v>
          </cell>
          <cell r="M258" t="str">
            <v xml:space="preserve"> </v>
          </cell>
        </row>
        <row r="259">
          <cell r="B259" t="str">
            <v xml:space="preserve"> </v>
          </cell>
          <cell r="C259" t="str">
            <v xml:space="preserve"> </v>
          </cell>
          <cell r="D259" t="str">
            <v xml:space="preserve"> </v>
          </cell>
          <cell r="E259" t="str">
            <v xml:space="preserve"> </v>
          </cell>
          <cell r="F259" t="str">
            <v xml:space="preserve"> </v>
          </cell>
          <cell r="G259" t="str">
            <v xml:space="preserve"> </v>
          </cell>
          <cell r="H259" t="str">
            <v xml:space="preserve"> </v>
          </cell>
          <cell r="I259" t="str">
            <v xml:space="preserve"> </v>
          </cell>
          <cell r="J259" t="str">
            <v xml:space="preserve"> </v>
          </cell>
          <cell r="K259" t="str">
            <v xml:space="preserve"> </v>
          </cell>
          <cell r="L259" t="str">
            <v xml:space="preserve"> </v>
          </cell>
          <cell r="M259" t="str">
            <v xml:space="preserve"> </v>
          </cell>
        </row>
        <row r="260">
          <cell r="B260" t="str">
            <v xml:space="preserve"> </v>
          </cell>
          <cell r="C260" t="str">
            <v xml:space="preserve"> </v>
          </cell>
          <cell r="D260" t="str">
            <v xml:space="preserve"> </v>
          </cell>
          <cell r="E260" t="str">
            <v xml:space="preserve"> </v>
          </cell>
          <cell r="F260" t="str">
            <v xml:space="preserve"> </v>
          </cell>
          <cell r="G260" t="str">
            <v xml:space="preserve"> </v>
          </cell>
          <cell r="H260" t="str">
            <v xml:space="preserve"> </v>
          </cell>
          <cell r="I260" t="str">
            <v xml:space="preserve"> </v>
          </cell>
          <cell r="J260" t="str">
            <v xml:space="preserve"> </v>
          </cell>
          <cell r="K260" t="str">
            <v xml:space="preserve"> </v>
          </cell>
          <cell r="L260" t="str">
            <v xml:space="preserve"> </v>
          </cell>
          <cell r="M260" t="str">
            <v xml:space="preserve"> </v>
          </cell>
        </row>
        <row r="261">
          <cell r="B261" t="str">
            <v xml:space="preserve"> </v>
          </cell>
          <cell r="C261" t="str">
            <v xml:space="preserve"> </v>
          </cell>
          <cell r="D261" t="str">
            <v xml:space="preserve"> </v>
          </cell>
          <cell r="E261" t="str">
            <v xml:space="preserve"> </v>
          </cell>
          <cell r="F261" t="str">
            <v xml:space="preserve"> </v>
          </cell>
          <cell r="G261" t="str">
            <v xml:space="preserve"> </v>
          </cell>
          <cell r="H261" t="str">
            <v xml:space="preserve"> </v>
          </cell>
          <cell r="I261" t="str">
            <v xml:space="preserve"> </v>
          </cell>
          <cell r="J261" t="str">
            <v xml:space="preserve"> </v>
          </cell>
          <cell r="K261" t="str">
            <v xml:space="preserve"> </v>
          </cell>
          <cell r="L261" t="str">
            <v xml:space="preserve"> </v>
          </cell>
          <cell r="M261" t="str">
            <v xml:space="preserve"> </v>
          </cell>
        </row>
        <row r="262">
          <cell r="B262" t="str">
            <v xml:space="preserve"> </v>
          </cell>
          <cell r="C262" t="str">
            <v xml:space="preserve"> </v>
          </cell>
          <cell r="D262" t="str">
            <v xml:space="preserve"> </v>
          </cell>
          <cell r="E262" t="str">
            <v xml:space="preserve"> </v>
          </cell>
          <cell r="F262" t="str">
            <v xml:space="preserve"> </v>
          </cell>
          <cell r="G262" t="str">
            <v xml:space="preserve"> </v>
          </cell>
          <cell r="H262" t="str">
            <v xml:space="preserve"> </v>
          </cell>
          <cell r="I262" t="str">
            <v xml:space="preserve"> </v>
          </cell>
          <cell r="J262" t="str">
            <v xml:space="preserve"> </v>
          </cell>
          <cell r="K262" t="str">
            <v xml:space="preserve"> </v>
          </cell>
          <cell r="L262" t="str">
            <v xml:space="preserve"> </v>
          </cell>
          <cell r="M262" t="str">
            <v xml:space="preserve"> </v>
          </cell>
        </row>
        <row r="263">
          <cell r="B263" t="str">
            <v xml:space="preserve"> </v>
          </cell>
          <cell r="C263" t="str">
            <v xml:space="preserve"> </v>
          </cell>
          <cell r="D263" t="str">
            <v xml:space="preserve"> </v>
          </cell>
          <cell r="E263" t="str">
            <v xml:space="preserve"> </v>
          </cell>
          <cell r="F263" t="str">
            <v xml:space="preserve"> </v>
          </cell>
          <cell r="G263" t="str">
            <v xml:space="preserve"> </v>
          </cell>
          <cell r="H263" t="str">
            <v xml:space="preserve"> </v>
          </cell>
          <cell r="I263" t="str">
            <v xml:space="preserve"> </v>
          </cell>
          <cell r="J263" t="str">
            <v xml:space="preserve"> </v>
          </cell>
          <cell r="K263" t="str">
            <v xml:space="preserve"> </v>
          </cell>
          <cell r="L263" t="str">
            <v xml:space="preserve"> </v>
          </cell>
          <cell r="M263" t="str">
            <v xml:space="preserve"> </v>
          </cell>
        </row>
        <row r="264">
          <cell r="B264" t="str">
            <v xml:space="preserve"> </v>
          </cell>
          <cell r="C264" t="str">
            <v xml:space="preserve"> </v>
          </cell>
          <cell r="D264" t="str">
            <v xml:space="preserve"> </v>
          </cell>
          <cell r="E264" t="str">
            <v xml:space="preserve"> </v>
          </cell>
          <cell r="F264" t="str">
            <v xml:space="preserve"> </v>
          </cell>
          <cell r="G264" t="str">
            <v xml:space="preserve"> </v>
          </cell>
          <cell r="H264" t="str">
            <v xml:space="preserve"> </v>
          </cell>
          <cell r="I264" t="str">
            <v xml:space="preserve"> </v>
          </cell>
          <cell r="J264" t="str">
            <v xml:space="preserve"> </v>
          </cell>
          <cell r="K264" t="str">
            <v xml:space="preserve"> </v>
          </cell>
          <cell r="L264" t="str">
            <v xml:space="preserve"> </v>
          </cell>
          <cell r="M264" t="str">
            <v xml:space="preserve"> </v>
          </cell>
        </row>
        <row r="265">
          <cell r="B265" t="str">
            <v xml:space="preserve"> </v>
          </cell>
          <cell r="C265" t="str">
            <v xml:space="preserve"> </v>
          </cell>
          <cell r="D265" t="str">
            <v xml:space="preserve"> </v>
          </cell>
          <cell r="E265" t="str">
            <v xml:space="preserve"> </v>
          </cell>
          <cell r="F265" t="str">
            <v xml:space="preserve"> </v>
          </cell>
          <cell r="G265" t="str">
            <v xml:space="preserve"> </v>
          </cell>
          <cell r="H265" t="str">
            <v xml:space="preserve"> </v>
          </cell>
          <cell r="I265" t="str">
            <v xml:space="preserve"> </v>
          </cell>
          <cell r="J265" t="str">
            <v xml:space="preserve"> </v>
          </cell>
          <cell r="K265" t="str">
            <v xml:space="preserve"> </v>
          </cell>
          <cell r="L265" t="str">
            <v xml:space="preserve"> </v>
          </cell>
          <cell r="M265" t="str">
            <v xml:space="preserve"> </v>
          </cell>
        </row>
        <row r="266">
          <cell r="B266" t="str">
            <v xml:space="preserve"> </v>
          </cell>
          <cell r="C266" t="str">
            <v xml:space="preserve"> </v>
          </cell>
          <cell r="D266" t="str">
            <v xml:space="preserve"> </v>
          </cell>
          <cell r="E266" t="str">
            <v xml:space="preserve"> </v>
          </cell>
          <cell r="F266" t="str">
            <v xml:space="preserve"> </v>
          </cell>
          <cell r="G266" t="str">
            <v xml:space="preserve"> </v>
          </cell>
          <cell r="H266" t="str">
            <v xml:space="preserve"> </v>
          </cell>
          <cell r="I266" t="str">
            <v xml:space="preserve"> </v>
          </cell>
          <cell r="J266" t="str">
            <v xml:space="preserve"> </v>
          </cell>
          <cell r="K266" t="str">
            <v xml:space="preserve"> </v>
          </cell>
          <cell r="L266" t="str">
            <v xml:space="preserve"> </v>
          </cell>
          <cell r="M266" t="str">
            <v xml:space="preserve"> </v>
          </cell>
        </row>
        <row r="267">
          <cell r="B267" t="str">
            <v xml:space="preserve"> </v>
          </cell>
          <cell r="C267" t="str">
            <v xml:space="preserve"> </v>
          </cell>
          <cell r="D267" t="str">
            <v xml:space="preserve"> </v>
          </cell>
          <cell r="E267" t="str">
            <v xml:space="preserve"> </v>
          </cell>
          <cell r="F267" t="str">
            <v xml:space="preserve"> </v>
          </cell>
          <cell r="G267" t="str">
            <v xml:space="preserve"> </v>
          </cell>
          <cell r="H267" t="str">
            <v xml:space="preserve"> </v>
          </cell>
          <cell r="I267" t="str">
            <v xml:space="preserve"> </v>
          </cell>
          <cell r="J267" t="str">
            <v xml:space="preserve"> </v>
          </cell>
          <cell r="K267" t="str">
            <v xml:space="preserve"> </v>
          </cell>
          <cell r="L267" t="str">
            <v xml:space="preserve"> </v>
          </cell>
          <cell r="M267" t="str">
            <v xml:space="preserve"> </v>
          </cell>
        </row>
        <row r="268">
          <cell r="B268" t="str">
            <v xml:space="preserve"> </v>
          </cell>
          <cell r="C268" t="str">
            <v xml:space="preserve"> </v>
          </cell>
          <cell r="D268" t="str">
            <v xml:space="preserve"> </v>
          </cell>
          <cell r="E268" t="str">
            <v xml:space="preserve"> </v>
          </cell>
          <cell r="F268" t="str">
            <v xml:space="preserve"> </v>
          </cell>
          <cell r="G268" t="str">
            <v xml:space="preserve"> </v>
          </cell>
          <cell r="H268" t="str">
            <v xml:space="preserve"> </v>
          </cell>
          <cell r="I268" t="str">
            <v xml:space="preserve"> </v>
          </cell>
          <cell r="J268" t="str">
            <v xml:space="preserve"> </v>
          </cell>
          <cell r="K268" t="str">
            <v xml:space="preserve"> </v>
          </cell>
          <cell r="L268" t="str">
            <v xml:space="preserve"> </v>
          </cell>
          <cell r="M268" t="str">
            <v xml:space="preserve"> </v>
          </cell>
        </row>
        <row r="269">
          <cell r="B269" t="str">
            <v xml:space="preserve"> </v>
          </cell>
          <cell r="C269" t="str">
            <v xml:space="preserve"> </v>
          </cell>
          <cell r="D269" t="str">
            <v xml:space="preserve"> </v>
          </cell>
          <cell r="E269" t="str">
            <v xml:space="preserve"> </v>
          </cell>
          <cell r="F269" t="str">
            <v xml:space="preserve"> </v>
          </cell>
          <cell r="G269" t="str">
            <v xml:space="preserve"> </v>
          </cell>
          <cell r="H269" t="str">
            <v xml:space="preserve"> </v>
          </cell>
          <cell r="I269" t="str">
            <v xml:space="preserve"> </v>
          </cell>
          <cell r="J269" t="str">
            <v xml:space="preserve"> </v>
          </cell>
          <cell r="K269" t="str">
            <v xml:space="preserve"> </v>
          </cell>
          <cell r="L269" t="str">
            <v xml:space="preserve"> </v>
          </cell>
          <cell r="M269" t="str">
            <v xml:space="preserve"> </v>
          </cell>
        </row>
        <row r="270">
          <cell r="B270" t="str">
            <v xml:space="preserve"> </v>
          </cell>
          <cell r="C270" t="str">
            <v xml:space="preserve"> </v>
          </cell>
          <cell r="D270" t="str">
            <v xml:space="preserve"> </v>
          </cell>
          <cell r="E270" t="str">
            <v xml:space="preserve"> </v>
          </cell>
          <cell r="F270" t="str">
            <v xml:space="preserve"> </v>
          </cell>
          <cell r="G270" t="str">
            <v xml:space="preserve"> </v>
          </cell>
          <cell r="H270" t="str">
            <v xml:space="preserve"> </v>
          </cell>
          <cell r="I270" t="str">
            <v xml:space="preserve"> </v>
          </cell>
          <cell r="J270" t="str">
            <v xml:space="preserve"> </v>
          </cell>
          <cell r="K270" t="str">
            <v xml:space="preserve"> </v>
          </cell>
          <cell r="L270" t="str">
            <v xml:space="preserve"> </v>
          </cell>
          <cell r="M270" t="str">
            <v xml:space="preserve"> </v>
          </cell>
        </row>
        <row r="271">
          <cell r="B271" t="str">
            <v xml:space="preserve"> </v>
          </cell>
          <cell r="C271" t="str">
            <v xml:space="preserve"> </v>
          </cell>
          <cell r="D271" t="str">
            <v xml:space="preserve"> </v>
          </cell>
          <cell r="E271" t="str">
            <v xml:space="preserve"> </v>
          </cell>
          <cell r="F271" t="str">
            <v xml:space="preserve"> </v>
          </cell>
          <cell r="G271" t="str">
            <v xml:space="preserve"> </v>
          </cell>
          <cell r="H271" t="str">
            <v xml:space="preserve"> </v>
          </cell>
          <cell r="I271" t="str">
            <v xml:space="preserve"> </v>
          </cell>
          <cell r="J271" t="str">
            <v xml:space="preserve"> </v>
          </cell>
          <cell r="K271" t="str">
            <v xml:space="preserve"> </v>
          </cell>
          <cell r="L271" t="str">
            <v xml:space="preserve"> </v>
          </cell>
          <cell r="M271" t="str">
            <v xml:space="preserve"> </v>
          </cell>
        </row>
        <row r="272">
          <cell r="B272" t="str">
            <v xml:space="preserve"> </v>
          </cell>
          <cell r="C272" t="str">
            <v xml:space="preserve"> </v>
          </cell>
          <cell r="D272" t="str">
            <v xml:space="preserve"> </v>
          </cell>
          <cell r="E272" t="str">
            <v xml:space="preserve"> </v>
          </cell>
          <cell r="F272" t="str">
            <v xml:space="preserve"> </v>
          </cell>
          <cell r="G272" t="str">
            <v xml:space="preserve"> </v>
          </cell>
          <cell r="H272" t="str">
            <v xml:space="preserve"> </v>
          </cell>
          <cell r="I272" t="str">
            <v xml:space="preserve"> </v>
          </cell>
          <cell r="J272" t="str">
            <v xml:space="preserve"> </v>
          </cell>
          <cell r="K272" t="str">
            <v xml:space="preserve"> </v>
          </cell>
          <cell r="L272" t="str">
            <v xml:space="preserve"> </v>
          </cell>
          <cell r="M272" t="str">
            <v xml:space="preserve"> </v>
          </cell>
        </row>
        <row r="273">
          <cell r="B273" t="str">
            <v xml:space="preserve"> </v>
          </cell>
          <cell r="C273" t="str">
            <v xml:space="preserve"> </v>
          </cell>
          <cell r="D273" t="str">
            <v xml:space="preserve"> </v>
          </cell>
          <cell r="E273" t="str">
            <v xml:space="preserve"> </v>
          </cell>
          <cell r="F273" t="str">
            <v xml:space="preserve"> </v>
          </cell>
          <cell r="G273" t="str">
            <v xml:space="preserve"> </v>
          </cell>
          <cell r="H273" t="str">
            <v xml:space="preserve"> </v>
          </cell>
          <cell r="I273" t="str">
            <v xml:space="preserve"> </v>
          </cell>
          <cell r="J273" t="str">
            <v xml:space="preserve"> </v>
          </cell>
          <cell r="K273" t="str">
            <v xml:space="preserve"> </v>
          </cell>
          <cell r="L273" t="str">
            <v xml:space="preserve"> </v>
          </cell>
          <cell r="M273" t="str">
            <v xml:space="preserve"> </v>
          </cell>
        </row>
        <row r="274">
          <cell r="B274" t="str">
            <v xml:space="preserve"> </v>
          </cell>
          <cell r="C274" t="str">
            <v xml:space="preserve"> </v>
          </cell>
          <cell r="D274" t="str">
            <v xml:space="preserve"> </v>
          </cell>
          <cell r="E274" t="str">
            <v xml:space="preserve"> </v>
          </cell>
          <cell r="F274" t="str">
            <v xml:space="preserve"> </v>
          </cell>
          <cell r="G274" t="str">
            <v xml:space="preserve"> </v>
          </cell>
          <cell r="H274" t="str">
            <v xml:space="preserve"> </v>
          </cell>
          <cell r="I274" t="str">
            <v xml:space="preserve"> </v>
          </cell>
          <cell r="J274" t="str">
            <v xml:space="preserve"> </v>
          </cell>
          <cell r="K274" t="str">
            <v xml:space="preserve"> </v>
          </cell>
          <cell r="L274" t="str">
            <v xml:space="preserve"> </v>
          </cell>
          <cell r="M274" t="str">
            <v xml:space="preserve"> </v>
          </cell>
        </row>
        <row r="275">
          <cell r="B275" t="str">
            <v xml:space="preserve"> </v>
          </cell>
          <cell r="C275" t="str">
            <v xml:space="preserve"> </v>
          </cell>
          <cell r="D275" t="str">
            <v xml:space="preserve"> </v>
          </cell>
          <cell r="E275" t="str">
            <v xml:space="preserve"> </v>
          </cell>
          <cell r="F275" t="str">
            <v xml:space="preserve"> </v>
          </cell>
          <cell r="G275" t="str">
            <v xml:space="preserve"> </v>
          </cell>
          <cell r="H275" t="str">
            <v xml:space="preserve"> </v>
          </cell>
          <cell r="I275" t="str">
            <v xml:space="preserve"> </v>
          </cell>
          <cell r="J275" t="str">
            <v xml:space="preserve"> </v>
          </cell>
          <cell r="K275" t="str">
            <v xml:space="preserve"> </v>
          </cell>
          <cell r="L275" t="str">
            <v xml:space="preserve"> </v>
          </cell>
          <cell r="M275" t="str">
            <v xml:space="preserve"> </v>
          </cell>
        </row>
        <row r="276">
          <cell r="B276" t="str">
            <v xml:space="preserve"> </v>
          </cell>
          <cell r="C276" t="str">
            <v xml:space="preserve"> </v>
          </cell>
          <cell r="D276" t="str">
            <v xml:space="preserve"> </v>
          </cell>
          <cell r="E276" t="str">
            <v xml:space="preserve"> </v>
          </cell>
          <cell r="F276" t="str">
            <v xml:space="preserve"> </v>
          </cell>
          <cell r="G276" t="str">
            <v xml:space="preserve"> </v>
          </cell>
          <cell r="H276" t="str">
            <v xml:space="preserve"> </v>
          </cell>
          <cell r="I276" t="str">
            <v xml:space="preserve"> </v>
          </cell>
          <cell r="J276" t="str">
            <v xml:space="preserve"> </v>
          </cell>
          <cell r="K276" t="str">
            <v xml:space="preserve"> </v>
          </cell>
          <cell r="L276" t="str">
            <v xml:space="preserve"> </v>
          </cell>
          <cell r="M276" t="str">
            <v xml:space="preserve"> </v>
          </cell>
        </row>
        <row r="277">
          <cell r="B277" t="str">
            <v xml:space="preserve"> </v>
          </cell>
          <cell r="C277" t="str">
            <v xml:space="preserve"> </v>
          </cell>
          <cell r="D277" t="str">
            <v xml:space="preserve"> </v>
          </cell>
          <cell r="E277" t="str">
            <v xml:space="preserve"> </v>
          </cell>
          <cell r="F277" t="str">
            <v xml:space="preserve"> </v>
          </cell>
          <cell r="G277" t="str">
            <v xml:space="preserve"> </v>
          </cell>
          <cell r="H277" t="str">
            <v xml:space="preserve"> </v>
          </cell>
          <cell r="I277" t="str">
            <v xml:space="preserve"> </v>
          </cell>
          <cell r="J277" t="str">
            <v xml:space="preserve"> </v>
          </cell>
          <cell r="K277" t="str">
            <v xml:space="preserve"> </v>
          </cell>
          <cell r="L277" t="str">
            <v xml:space="preserve"> </v>
          </cell>
          <cell r="M277" t="str">
            <v xml:space="preserve"> </v>
          </cell>
        </row>
        <row r="278">
          <cell r="B278" t="str">
            <v xml:space="preserve"> </v>
          </cell>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cell r="L278" t="str">
            <v xml:space="preserve"> </v>
          </cell>
          <cell r="M278" t="str">
            <v xml:space="preserve"> </v>
          </cell>
        </row>
        <row r="279">
          <cell r="B279" t="str">
            <v xml:space="preserve"> </v>
          </cell>
          <cell r="C279" t="str">
            <v xml:space="preserve"> </v>
          </cell>
          <cell r="D279" t="str">
            <v xml:space="preserve"> </v>
          </cell>
          <cell r="E279" t="str">
            <v xml:space="preserve"> </v>
          </cell>
          <cell r="F279" t="str">
            <v xml:space="preserve"> </v>
          </cell>
          <cell r="G279" t="str">
            <v xml:space="preserve"> </v>
          </cell>
          <cell r="H279" t="str">
            <v xml:space="preserve"> </v>
          </cell>
          <cell r="I279" t="str">
            <v xml:space="preserve"> </v>
          </cell>
          <cell r="J279" t="str">
            <v xml:space="preserve"> </v>
          </cell>
          <cell r="K279" t="str">
            <v xml:space="preserve"> </v>
          </cell>
          <cell r="L279" t="str">
            <v xml:space="preserve"> </v>
          </cell>
          <cell r="M279" t="str">
            <v xml:space="preserve"> </v>
          </cell>
        </row>
        <row r="280">
          <cell r="B280" t="str">
            <v xml:space="preserve"> </v>
          </cell>
          <cell r="C280" t="str">
            <v xml:space="preserve"> </v>
          </cell>
          <cell r="D280" t="str">
            <v xml:space="preserve"> </v>
          </cell>
          <cell r="E280" t="str">
            <v xml:space="preserve"> </v>
          </cell>
          <cell r="F280" t="str">
            <v xml:space="preserve"> </v>
          </cell>
          <cell r="G280" t="str">
            <v xml:space="preserve"> </v>
          </cell>
          <cell r="H280" t="str">
            <v xml:space="preserve"> </v>
          </cell>
          <cell r="I280" t="str">
            <v xml:space="preserve"> </v>
          </cell>
          <cell r="J280" t="str">
            <v xml:space="preserve"> </v>
          </cell>
          <cell r="K280" t="str">
            <v xml:space="preserve"> </v>
          </cell>
          <cell r="L280" t="str">
            <v xml:space="preserve"> </v>
          </cell>
          <cell r="M280" t="str">
            <v xml:space="preserve"> </v>
          </cell>
        </row>
        <row r="281">
          <cell r="B281" t="str">
            <v xml:space="preserve"> </v>
          </cell>
          <cell r="C281" t="str">
            <v xml:space="preserve"> </v>
          </cell>
          <cell r="D281" t="str">
            <v xml:space="preserve"> </v>
          </cell>
          <cell r="E281" t="str">
            <v xml:space="preserve"> </v>
          </cell>
          <cell r="F281" t="str">
            <v xml:space="preserve"> </v>
          </cell>
          <cell r="G281" t="str">
            <v xml:space="preserve"> </v>
          </cell>
          <cell r="H281" t="str">
            <v xml:space="preserve"> </v>
          </cell>
          <cell r="I281" t="str">
            <v xml:space="preserve"> </v>
          </cell>
          <cell r="J281" t="str">
            <v xml:space="preserve"> </v>
          </cell>
          <cell r="K281" t="str">
            <v xml:space="preserve"> </v>
          </cell>
          <cell r="L281" t="str">
            <v xml:space="preserve"> </v>
          </cell>
          <cell r="M281" t="str">
            <v xml:space="preserve"> </v>
          </cell>
        </row>
        <row r="282">
          <cell r="B282" t="str">
            <v xml:space="preserve"> </v>
          </cell>
          <cell r="C282" t="str">
            <v xml:space="preserve"> </v>
          </cell>
          <cell r="D282" t="str">
            <v xml:space="preserve"> </v>
          </cell>
          <cell r="E282" t="str">
            <v xml:space="preserve"> </v>
          </cell>
          <cell r="F282" t="str">
            <v xml:space="preserve"> </v>
          </cell>
          <cell r="G282" t="str">
            <v xml:space="preserve"> </v>
          </cell>
          <cell r="H282" t="str">
            <v xml:space="preserve"> </v>
          </cell>
          <cell r="I282" t="str">
            <v xml:space="preserve"> </v>
          </cell>
          <cell r="J282" t="str">
            <v xml:space="preserve"> </v>
          </cell>
          <cell r="K282" t="str">
            <v xml:space="preserve"> </v>
          </cell>
          <cell r="L282" t="str">
            <v xml:space="preserve"> </v>
          </cell>
          <cell r="M282" t="str">
            <v xml:space="preserve"> </v>
          </cell>
        </row>
        <row r="283">
          <cell r="B283" t="str">
            <v xml:space="preserve"> </v>
          </cell>
          <cell r="C283" t="str">
            <v xml:space="preserve"> </v>
          </cell>
          <cell r="D283" t="str">
            <v xml:space="preserve"> </v>
          </cell>
          <cell r="E283" t="str">
            <v xml:space="preserve"> </v>
          </cell>
          <cell r="F283" t="str">
            <v xml:space="preserve"> </v>
          </cell>
          <cell r="G283" t="str">
            <v xml:space="preserve"> </v>
          </cell>
          <cell r="H283" t="str">
            <v xml:space="preserve"> </v>
          </cell>
          <cell r="I283" t="str">
            <v xml:space="preserve"> </v>
          </cell>
          <cell r="J283" t="str">
            <v xml:space="preserve"> </v>
          </cell>
          <cell r="K283" t="str">
            <v xml:space="preserve"> </v>
          </cell>
          <cell r="L283" t="str">
            <v xml:space="preserve"> </v>
          </cell>
          <cell r="M283" t="str">
            <v xml:space="preserve"> </v>
          </cell>
        </row>
        <row r="284">
          <cell r="B284" t="str">
            <v xml:space="preserve"> </v>
          </cell>
          <cell r="C284" t="str">
            <v xml:space="preserve"> </v>
          </cell>
          <cell r="D284" t="str">
            <v xml:space="preserve"> </v>
          </cell>
          <cell r="E284" t="str">
            <v xml:space="preserve"> </v>
          </cell>
          <cell r="F284" t="str">
            <v xml:space="preserve"> </v>
          </cell>
          <cell r="G284" t="str">
            <v xml:space="preserve"> </v>
          </cell>
          <cell r="H284" t="str">
            <v xml:space="preserve"> </v>
          </cell>
          <cell r="I284" t="str">
            <v xml:space="preserve"> </v>
          </cell>
          <cell r="J284" t="str">
            <v xml:space="preserve"> </v>
          </cell>
          <cell r="K284" t="str">
            <v xml:space="preserve"> </v>
          </cell>
          <cell r="L284" t="str">
            <v xml:space="preserve"> </v>
          </cell>
          <cell r="M284" t="str">
            <v xml:space="preserve"> </v>
          </cell>
        </row>
        <row r="285">
          <cell r="B285" t="str">
            <v xml:space="preserve"> </v>
          </cell>
          <cell r="C285" t="str">
            <v xml:space="preserve"> </v>
          </cell>
          <cell r="D285" t="str">
            <v xml:space="preserve"> </v>
          </cell>
          <cell r="E285" t="str">
            <v xml:space="preserve"> </v>
          </cell>
          <cell r="F285" t="str">
            <v xml:space="preserve"> </v>
          </cell>
          <cell r="G285" t="str">
            <v xml:space="preserve"> </v>
          </cell>
          <cell r="H285" t="str">
            <v xml:space="preserve"> </v>
          </cell>
          <cell r="I285" t="str">
            <v xml:space="preserve"> </v>
          </cell>
          <cell r="J285" t="str">
            <v xml:space="preserve"> </v>
          </cell>
          <cell r="K285" t="str">
            <v xml:space="preserve"> </v>
          </cell>
          <cell r="L285" t="str">
            <v xml:space="preserve"> </v>
          </cell>
          <cell r="M285" t="str">
            <v xml:space="preserve"> </v>
          </cell>
        </row>
        <row r="286">
          <cell r="B286" t="str">
            <v xml:space="preserve"> </v>
          </cell>
          <cell r="C286" t="str">
            <v xml:space="preserve"> </v>
          </cell>
          <cell r="D286" t="str">
            <v xml:space="preserve"> </v>
          </cell>
          <cell r="E286" t="str">
            <v xml:space="preserve"> </v>
          </cell>
          <cell r="F286" t="str">
            <v xml:space="preserve"> </v>
          </cell>
          <cell r="G286" t="str">
            <v xml:space="preserve"> </v>
          </cell>
          <cell r="H286" t="str">
            <v xml:space="preserve"> </v>
          </cell>
          <cell r="I286" t="str">
            <v xml:space="preserve"> </v>
          </cell>
          <cell r="J286" t="str">
            <v xml:space="preserve"> </v>
          </cell>
          <cell r="K286" t="str">
            <v xml:space="preserve"> </v>
          </cell>
          <cell r="L286" t="str">
            <v xml:space="preserve"> </v>
          </cell>
          <cell r="M286" t="str">
            <v xml:space="preserve"> </v>
          </cell>
        </row>
        <row r="287">
          <cell r="B287" t="str">
            <v xml:space="preserve"> </v>
          </cell>
          <cell r="C287" t="str">
            <v xml:space="preserve"> </v>
          </cell>
          <cell r="D287" t="str">
            <v xml:space="preserve"> </v>
          </cell>
          <cell r="E287" t="str">
            <v xml:space="preserve"> </v>
          </cell>
          <cell r="F287" t="str">
            <v xml:space="preserve"> </v>
          </cell>
          <cell r="G287" t="str">
            <v xml:space="preserve"> </v>
          </cell>
          <cell r="H287" t="str">
            <v xml:space="preserve"> </v>
          </cell>
          <cell r="I287" t="str">
            <v xml:space="preserve"> </v>
          </cell>
          <cell r="J287" t="str">
            <v xml:space="preserve"> </v>
          </cell>
          <cell r="K287" t="str">
            <v xml:space="preserve"> </v>
          </cell>
          <cell r="L287" t="str">
            <v xml:space="preserve"> </v>
          </cell>
          <cell r="M287" t="str">
            <v xml:space="preserve"> </v>
          </cell>
        </row>
        <row r="288">
          <cell r="B288" t="str">
            <v xml:space="preserve"> </v>
          </cell>
          <cell r="C288" t="str">
            <v xml:space="preserve"> </v>
          </cell>
          <cell r="D288" t="str">
            <v xml:space="preserve"> </v>
          </cell>
          <cell r="E288" t="str">
            <v xml:space="preserve"> </v>
          </cell>
          <cell r="F288" t="str">
            <v xml:space="preserve"> </v>
          </cell>
          <cell r="G288" t="str">
            <v xml:space="preserve"> </v>
          </cell>
          <cell r="H288" t="str">
            <v xml:space="preserve"> </v>
          </cell>
          <cell r="I288" t="str">
            <v xml:space="preserve"> </v>
          </cell>
          <cell r="J288" t="str">
            <v xml:space="preserve"> </v>
          </cell>
          <cell r="K288" t="str">
            <v xml:space="preserve"> </v>
          </cell>
          <cell r="L288" t="str">
            <v xml:space="preserve"> </v>
          </cell>
          <cell r="M288" t="str">
            <v xml:space="preserve"> </v>
          </cell>
        </row>
        <row r="289">
          <cell r="B289" t="str">
            <v xml:space="preserve"> </v>
          </cell>
          <cell r="C289" t="str">
            <v xml:space="preserve"> </v>
          </cell>
          <cell r="D289" t="str">
            <v xml:space="preserve"> </v>
          </cell>
          <cell r="E289" t="str">
            <v xml:space="preserve"> </v>
          </cell>
          <cell r="F289" t="str">
            <v xml:space="preserve"> </v>
          </cell>
          <cell r="G289" t="str">
            <v xml:space="preserve"> </v>
          </cell>
          <cell r="H289" t="str">
            <v xml:space="preserve"> </v>
          </cell>
          <cell r="I289" t="str">
            <v xml:space="preserve"> </v>
          </cell>
          <cell r="J289" t="str">
            <v xml:space="preserve"> </v>
          </cell>
          <cell r="K289" t="str">
            <v xml:space="preserve"> </v>
          </cell>
          <cell r="L289" t="str">
            <v xml:space="preserve"> </v>
          </cell>
          <cell r="M289" t="str">
            <v xml:space="preserve"> </v>
          </cell>
        </row>
        <row r="290">
          <cell r="B290" t="str">
            <v xml:space="preserve"> </v>
          </cell>
          <cell r="C290" t="str">
            <v xml:space="preserve"> </v>
          </cell>
          <cell r="D290" t="str">
            <v xml:space="preserve"> </v>
          </cell>
          <cell r="E290" t="str">
            <v xml:space="preserve"> </v>
          </cell>
          <cell r="F290" t="str">
            <v xml:space="preserve"> </v>
          </cell>
          <cell r="G290" t="str">
            <v xml:space="preserve"> </v>
          </cell>
          <cell r="H290" t="str">
            <v xml:space="preserve"> </v>
          </cell>
          <cell r="I290" t="str">
            <v xml:space="preserve"> </v>
          </cell>
          <cell r="J290" t="str">
            <v xml:space="preserve"> </v>
          </cell>
          <cell r="K290" t="str">
            <v xml:space="preserve"> </v>
          </cell>
          <cell r="L290" t="str">
            <v xml:space="preserve"> </v>
          </cell>
          <cell r="M290" t="str">
            <v xml:space="preserve"> </v>
          </cell>
        </row>
        <row r="291">
          <cell r="B291" t="str">
            <v xml:space="preserve"> </v>
          </cell>
          <cell r="C291" t="str">
            <v xml:space="preserve"> </v>
          </cell>
          <cell r="D291" t="str">
            <v xml:space="preserve"> </v>
          </cell>
          <cell r="E291" t="str">
            <v xml:space="preserve"> </v>
          </cell>
          <cell r="F291" t="str">
            <v xml:space="preserve"> </v>
          </cell>
          <cell r="G291" t="str">
            <v xml:space="preserve"> </v>
          </cell>
          <cell r="H291" t="str">
            <v xml:space="preserve"> </v>
          </cell>
          <cell r="I291" t="str">
            <v xml:space="preserve"> </v>
          </cell>
          <cell r="J291" t="str">
            <v xml:space="preserve"> </v>
          </cell>
          <cell r="K291" t="str">
            <v xml:space="preserve"> </v>
          </cell>
          <cell r="L291" t="str">
            <v xml:space="preserve"> </v>
          </cell>
          <cell r="M291" t="str">
            <v xml:space="preserve"> </v>
          </cell>
        </row>
        <row r="292">
          <cell r="B292" t="str">
            <v xml:space="preserve"> </v>
          </cell>
          <cell r="C292" t="str">
            <v xml:space="preserve"> </v>
          </cell>
          <cell r="D292" t="str">
            <v xml:space="preserve"> </v>
          </cell>
          <cell r="E292" t="str">
            <v xml:space="preserve"> </v>
          </cell>
          <cell r="F292" t="str">
            <v xml:space="preserve"> </v>
          </cell>
          <cell r="G292" t="str">
            <v xml:space="preserve"> </v>
          </cell>
          <cell r="H292" t="str">
            <v xml:space="preserve"> </v>
          </cell>
          <cell r="I292" t="str">
            <v xml:space="preserve"> </v>
          </cell>
          <cell r="J292" t="str">
            <v xml:space="preserve"> </v>
          </cell>
          <cell r="K292" t="str">
            <v xml:space="preserve"> </v>
          </cell>
          <cell r="L292" t="str">
            <v xml:space="preserve"> </v>
          </cell>
          <cell r="M292" t="str">
            <v xml:space="preserve"> </v>
          </cell>
        </row>
        <row r="293">
          <cell r="B293" t="str">
            <v xml:space="preserve"> </v>
          </cell>
          <cell r="C293" t="str">
            <v xml:space="preserve"> </v>
          </cell>
          <cell r="D293" t="str">
            <v xml:space="preserve"> </v>
          </cell>
          <cell r="E293" t="str">
            <v xml:space="preserve"> </v>
          </cell>
          <cell r="F293" t="str">
            <v xml:space="preserve"> </v>
          </cell>
          <cell r="G293" t="str">
            <v xml:space="preserve"> </v>
          </cell>
          <cell r="H293" t="str">
            <v xml:space="preserve"> </v>
          </cell>
          <cell r="I293" t="str">
            <v xml:space="preserve"> </v>
          </cell>
          <cell r="J293" t="str">
            <v xml:space="preserve"> </v>
          </cell>
          <cell r="K293" t="str">
            <v xml:space="preserve"> </v>
          </cell>
          <cell r="L293" t="str">
            <v xml:space="preserve"> </v>
          </cell>
          <cell r="M293" t="str">
            <v xml:space="preserve"> </v>
          </cell>
        </row>
        <row r="294">
          <cell r="B294" t="str">
            <v xml:space="preserve"> </v>
          </cell>
          <cell r="C294" t="str">
            <v xml:space="preserve"> </v>
          </cell>
          <cell r="D294" t="str">
            <v xml:space="preserve"> </v>
          </cell>
          <cell r="E294" t="str">
            <v xml:space="preserve"> </v>
          </cell>
          <cell r="F294" t="str">
            <v xml:space="preserve"> </v>
          </cell>
          <cell r="G294" t="str">
            <v xml:space="preserve"> </v>
          </cell>
          <cell r="H294" t="str">
            <v xml:space="preserve"> </v>
          </cell>
          <cell r="I294" t="str">
            <v xml:space="preserve"> </v>
          </cell>
          <cell r="J294" t="str">
            <v xml:space="preserve"> </v>
          </cell>
          <cell r="K294" t="str">
            <v xml:space="preserve"> </v>
          </cell>
          <cell r="L294" t="str">
            <v xml:space="preserve"> </v>
          </cell>
          <cell r="M294" t="str">
            <v xml:space="preserve"> </v>
          </cell>
        </row>
        <row r="295">
          <cell r="B295" t="str">
            <v xml:space="preserve"> </v>
          </cell>
          <cell r="C295" t="str">
            <v xml:space="preserve"> </v>
          </cell>
          <cell r="D295" t="str">
            <v xml:space="preserve"> </v>
          </cell>
          <cell r="E295" t="str">
            <v xml:space="preserve"> </v>
          </cell>
          <cell r="F295" t="str">
            <v xml:space="preserve"> </v>
          </cell>
          <cell r="G295" t="str">
            <v xml:space="preserve"> </v>
          </cell>
          <cell r="H295" t="str">
            <v xml:space="preserve"> </v>
          </cell>
          <cell r="I295" t="str">
            <v xml:space="preserve"> </v>
          </cell>
          <cell r="J295" t="str">
            <v xml:space="preserve"> </v>
          </cell>
          <cell r="K295" t="str">
            <v xml:space="preserve"> </v>
          </cell>
          <cell r="L295" t="str">
            <v xml:space="preserve"> </v>
          </cell>
          <cell r="M295" t="str">
            <v xml:space="preserve"> </v>
          </cell>
        </row>
        <row r="296">
          <cell r="B296" t="str">
            <v xml:space="preserve"> </v>
          </cell>
          <cell r="C296" t="str">
            <v xml:space="preserve"> </v>
          </cell>
          <cell r="D296" t="str">
            <v xml:space="preserve"> </v>
          </cell>
          <cell r="E296" t="str">
            <v xml:space="preserve"> </v>
          </cell>
          <cell r="F296" t="str">
            <v xml:space="preserve"> </v>
          </cell>
          <cell r="G296" t="str">
            <v xml:space="preserve"> </v>
          </cell>
          <cell r="H296" t="str">
            <v xml:space="preserve"> </v>
          </cell>
          <cell r="I296" t="str">
            <v xml:space="preserve"> </v>
          </cell>
          <cell r="J296" t="str">
            <v xml:space="preserve"> </v>
          </cell>
          <cell r="K296" t="str">
            <v xml:space="preserve"> </v>
          </cell>
          <cell r="L296" t="str">
            <v xml:space="preserve"> </v>
          </cell>
          <cell r="M296" t="str">
            <v xml:space="preserve"> </v>
          </cell>
        </row>
        <row r="297">
          <cell r="B297" t="str">
            <v xml:space="preserve"> </v>
          </cell>
          <cell r="C297" t="str">
            <v xml:space="preserve"> </v>
          </cell>
          <cell r="D297" t="str">
            <v xml:space="preserve"> </v>
          </cell>
          <cell r="E297" t="str">
            <v xml:space="preserve"> </v>
          </cell>
          <cell r="F297" t="str">
            <v xml:space="preserve"> </v>
          </cell>
          <cell r="G297" t="str">
            <v xml:space="preserve"> </v>
          </cell>
          <cell r="H297" t="str">
            <v xml:space="preserve"> </v>
          </cell>
          <cell r="I297" t="str">
            <v xml:space="preserve"> </v>
          </cell>
          <cell r="J297" t="str">
            <v xml:space="preserve"> </v>
          </cell>
          <cell r="K297" t="str">
            <v xml:space="preserve"> </v>
          </cell>
          <cell r="L297" t="str">
            <v xml:space="preserve"> </v>
          </cell>
          <cell r="M297" t="str">
            <v xml:space="preserve"> </v>
          </cell>
        </row>
        <row r="298">
          <cell r="B298" t="str">
            <v xml:space="preserve"> </v>
          </cell>
          <cell r="C298" t="str">
            <v xml:space="preserve"> </v>
          </cell>
          <cell r="D298" t="str">
            <v xml:space="preserve"> </v>
          </cell>
          <cell r="E298" t="str">
            <v xml:space="preserve"> </v>
          </cell>
          <cell r="F298" t="str">
            <v xml:space="preserve"> </v>
          </cell>
          <cell r="G298" t="str">
            <v xml:space="preserve"> </v>
          </cell>
          <cell r="H298" t="str">
            <v xml:space="preserve"> </v>
          </cell>
          <cell r="I298" t="str">
            <v xml:space="preserve"> </v>
          </cell>
          <cell r="J298" t="str">
            <v xml:space="preserve"> </v>
          </cell>
          <cell r="K298" t="str">
            <v xml:space="preserve"> </v>
          </cell>
          <cell r="L298" t="str">
            <v xml:space="preserve"> </v>
          </cell>
          <cell r="M298" t="str">
            <v xml:space="preserve"> </v>
          </cell>
        </row>
        <row r="299">
          <cell r="B299" t="str">
            <v xml:space="preserve"> </v>
          </cell>
          <cell r="C299" t="str">
            <v xml:space="preserve"> </v>
          </cell>
          <cell r="D299" t="str">
            <v xml:space="preserve"> </v>
          </cell>
          <cell r="E299" t="str">
            <v xml:space="preserve"> </v>
          </cell>
          <cell r="F299" t="str">
            <v xml:space="preserve"> </v>
          </cell>
          <cell r="G299" t="str">
            <v xml:space="preserve"> </v>
          </cell>
          <cell r="H299" t="str">
            <v xml:space="preserve"> </v>
          </cell>
          <cell r="I299" t="str">
            <v xml:space="preserve"> </v>
          </cell>
          <cell r="J299" t="str">
            <v xml:space="preserve"> </v>
          </cell>
          <cell r="K299" t="str">
            <v xml:space="preserve"> </v>
          </cell>
          <cell r="L299" t="str">
            <v xml:space="preserve"> </v>
          </cell>
          <cell r="M299" t="str">
            <v xml:space="preserve"> </v>
          </cell>
        </row>
        <row r="300">
          <cell r="B300" t="str">
            <v xml:space="preserve"> </v>
          </cell>
          <cell r="C300" t="str">
            <v xml:space="preserve"> </v>
          </cell>
          <cell r="D300" t="str">
            <v xml:space="preserve"> </v>
          </cell>
          <cell r="E300" t="str">
            <v xml:space="preserve"> </v>
          </cell>
          <cell r="F300" t="str">
            <v xml:space="preserve"> </v>
          </cell>
          <cell r="G300" t="str">
            <v xml:space="preserve"> </v>
          </cell>
          <cell r="H300" t="str">
            <v xml:space="preserve"> </v>
          </cell>
          <cell r="I300" t="str">
            <v xml:space="preserve"> </v>
          </cell>
          <cell r="J300" t="str">
            <v xml:space="preserve"> </v>
          </cell>
          <cell r="K300" t="str">
            <v xml:space="preserve"> </v>
          </cell>
          <cell r="L300" t="str">
            <v xml:space="preserve"> </v>
          </cell>
          <cell r="M300" t="str">
            <v xml:space="preserve"> </v>
          </cell>
        </row>
        <row r="301">
          <cell r="B301" t="str">
            <v xml:space="preserve"> </v>
          </cell>
          <cell r="C301" t="str">
            <v xml:space="preserve"> </v>
          </cell>
          <cell r="D301" t="str">
            <v xml:space="preserve"> </v>
          </cell>
          <cell r="E301" t="str">
            <v xml:space="preserve"> </v>
          </cell>
          <cell r="F301" t="str">
            <v xml:space="preserve"> </v>
          </cell>
          <cell r="G301" t="str">
            <v xml:space="preserve"> </v>
          </cell>
          <cell r="H301" t="str">
            <v xml:space="preserve"> </v>
          </cell>
          <cell r="I301" t="str">
            <v xml:space="preserve"> </v>
          </cell>
          <cell r="J301" t="str">
            <v xml:space="preserve"> </v>
          </cell>
          <cell r="K301" t="str">
            <v xml:space="preserve"> </v>
          </cell>
          <cell r="L301" t="str">
            <v xml:space="preserve"> </v>
          </cell>
          <cell r="M301" t="str">
            <v xml:space="preserve"> </v>
          </cell>
        </row>
        <row r="302">
          <cell r="B302" t="str">
            <v xml:space="preserve"> </v>
          </cell>
          <cell r="C302" t="str">
            <v xml:space="preserve"> </v>
          </cell>
          <cell r="D302" t="str">
            <v xml:space="preserve"> </v>
          </cell>
          <cell r="E302" t="str">
            <v xml:space="preserve"> </v>
          </cell>
          <cell r="F302" t="str">
            <v xml:space="preserve"> </v>
          </cell>
          <cell r="G302" t="str">
            <v xml:space="preserve"> </v>
          </cell>
          <cell r="H302" t="str">
            <v xml:space="preserve"> </v>
          </cell>
          <cell r="I302" t="str">
            <v xml:space="preserve"> </v>
          </cell>
          <cell r="J302" t="str">
            <v xml:space="preserve"> </v>
          </cell>
          <cell r="K302" t="str">
            <v xml:space="preserve"> </v>
          </cell>
          <cell r="L302" t="str">
            <v xml:space="preserve"> </v>
          </cell>
          <cell r="M302" t="str">
            <v xml:space="preserve"> </v>
          </cell>
        </row>
        <row r="303">
          <cell r="B303" t="str">
            <v xml:space="preserve"> </v>
          </cell>
          <cell r="C303" t="str">
            <v xml:space="preserve"> </v>
          </cell>
          <cell r="D303" t="str">
            <v xml:space="preserve"> </v>
          </cell>
          <cell r="E303" t="str">
            <v xml:space="preserve"> </v>
          </cell>
          <cell r="F303" t="str">
            <v xml:space="preserve"> </v>
          </cell>
          <cell r="G303" t="str">
            <v xml:space="preserve"> </v>
          </cell>
          <cell r="H303" t="str">
            <v xml:space="preserve"> </v>
          </cell>
          <cell r="I303" t="str">
            <v xml:space="preserve"> </v>
          </cell>
          <cell r="J303" t="str">
            <v xml:space="preserve"> </v>
          </cell>
          <cell r="K303" t="str">
            <v xml:space="preserve"> </v>
          </cell>
          <cell r="L303" t="str">
            <v xml:space="preserve"> </v>
          </cell>
          <cell r="M303" t="str">
            <v xml:space="preserve"> </v>
          </cell>
        </row>
        <row r="304">
          <cell r="B304" t="str">
            <v xml:space="preserve"> </v>
          </cell>
          <cell r="C304" t="str">
            <v xml:space="preserve"> </v>
          </cell>
          <cell r="D304" t="str">
            <v xml:space="preserve"> </v>
          </cell>
          <cell r="E304" t="str">
            <v xml:space="preserve"> </v>
          </cell>
          <cell r="F304" t="str">
            <v xml:space="preserve"> </v>
          </cell>
          <cell r="G304" t="str">
            <v xml:space="preserve"> </v>
          </cell>
          <cell r="H304" t="str">
            <v xml:space="preserve"> </v>
          </cell>
          <cell r="I304" t="str">
            <v xml:space="preserve"> </v>
          </cell>
          <cell r="J304" t="str">
            <v xml:space="preserve"> </v>
          </cell>
          <cell r="K304" t="str">
            <v xml:space="preserve"> </v>
          </cell>
          <cell r="L304" t="str">
            <v xml:space="preserve"> </v>
          </cell>
          <cell r="M304" t="str">
            <v xml:space="preserve"> </v>
          </cell>
        </row>
        <row r="305">
          <cell r="B305" t="str">
            <v xml:space="preserve"> </v>
          </cell>
          <cell r="C305" t="str">
            <v xml:space="preserve"> </v>
          </cell>
          <cell r="D305" t="str">
            <v xml:space="preserve"> </v>
          </cell>
          <cell r="E305" t="str">
            <v xml:space="preserve"> </v>
          </cell>
          <cell r="F305" t="str">
            <v xml:space="preserve"> </v>
          </cell>
          <cell r="G305" t="str">
            <v xml:space="preserve"> </v>
          </cell>
          <cell r="H305" t="str">
            <v xml:space="preserve"> </v>
          </cell>
          <cell r="I305" t="str">
            <v xml:space="preserve"> </v>
          </cell>
          <cell r="J305" t="str">
            <v xml:space="preserve"> </v>
          </cell>
          <cell r="K305" t="str">
            <v xml:space="preserve"> </v>
          </cell>
          <cell r="L305" t="str">
            <v xml:space="preserve"> </v>
          </cell>
          <cell r="M305" t="str">
            <v xml:space="preserve"> </v>
          </cell>
        </row>
        <row r="306">
          <cell r="B306" t="str">
            <v xml:space="preserve"> </v>
          </cell>
          <cell r="C306" t="str">
            <v xml:space="preserve"> </v>
          </cell>
          <cell r="D306" t="str">
            <v xml:space="preserve"> </v>
          </cell>
          <cell r="E306" t="str">
            <v xml:space="preserve"> </v>
          </cell>
          <cell r="F306" t="str">
            <v xml:space="preserve"> </v>
          </cell>
          <cell r="G306" t="str">
            <v xml:space="preserve"> </v>
          </cell>
          <cell r="H306" t="str">
            <v xml:space="preserve"> </v>
          </cell>
          <cell r="I306" t="str">
            <v xml:space="preserve"> </v>
          </cell>
          <cell r="J306" t="str">
            <v xml:space="preserve"> </v>
          </cell>
          <cell r="K306" t="str">
            <v xml:space="preserve"> </v>
          </cell>
          <cell r="L306" t="str">
            <v xml:space="preserve"> </v>
          </cell>
          <cell r="M306" t="str">
            <v xml:space="preserve"> </v>
          </cell>
        </row>
        <row r="307">
          <cell r="B307" t="str">
            <v xml:space="preserve"> </v>
          </cell>
          <cell r="C307" t="str">
            <v xml:space="preserve"> </v>
          </cell>
          <cell r="D307" t="str">
            <v xml:space="preserve"> </v>
          </cell>
          <cell r="E307" t="str">
            <v xml:space="preserve"> </v>
          </cell>
          <cell r="F307" t="str">
            <v xml:space="preserve"> </v>
          </cell>
          <cell r="G307" t="str">
            <v xml:space="preserve"> </v>
          </cell>
          <cell r="H307" t="str">
            <v xml:space="preserve"> </v>
          </cell>
          <cell r="I307" t="str">
            <v xml:space="preserve"> </v>
          </cell>
          <cell r="J307" t="str">
            <v xml:space="preserve"> </v>
          </cell>
          <cell r="K307" t="str">
            <v xml:space="preserve"> </v>
          </cell>
          <cell r="L307" t="str">
            <v xml:space="preserve"> </v>
          </cell>
          <cell r="M307" t="str">
            <v xml:space="preserve"> </v>
          </cell>
        </row>
        <row r="308">
          <cell r="B308" t="str">
            <v xml:space="preserve"> </v>
          </cell>
          <cell r="C308" t="str">
            <v xml:space="preserve"> </v>
          </cell>
          <cell r="D308" t="str">
            <v xml:space="preserve"> </v>
          </cell>
          <cell r="E308" t="str">
            <v xml:space="preserve"> </v>
          </cell>
          <cell r="F308" t="str">
            <v xml:space="preserve"> </v>
          </cell>
          <cell r="G308" t="str">
            <v xml:space="preserve"> </v>
          </cell>
          <cell r="H308" t="str">
            <v xml:space="preserve"> </v>
          </cell>
          <cell r="I308" t="str">
            <v xml:space="preserve"> </v>
          </cell>
          <cell r="J308" t="str">
            <v xml:space="preserve"> </v>
          </cell>
          <cell r="K308" t="str">
            <v xml:space="preserve"> </v>
          </cell>
          <cell r="L308" t="str">
            <v xml:space="preserve"> </v>
          </cell>
          <cell r="M308" t="str">
            <v xml:space="preserve"> </v>
          </cell>
        </row>
        <row r="309">
          <cell r="B309" t="str">
            <v xml:space="preserve"> </v>
          </cell>
          <cell r="C309" t="str">
            <v xml:space="preserve"> </v>
          </cell>
          <cell r="D309" t="str">
            <v xml:space="preserve"> </v>
          </cell>
          <cell r="E309" t="str">
            <v xml:space="preserve"> </v>
          </cell>
          <cell r="F309" t="str">
            <v xml:space="preserve"> </v>
          </cell>
          <cell r="G309" t="str">
            <v xml:space="preserve"> </v>
          </cell>
          <cell r="H309" t="str">
            <v xml:space="preserve"> </v>
          </cell>
          <cell r="I309" t="str">
            <v xml:space="preserve"> </v>
          </cell>
          <cell r="J309" t="str">
            <v xml:space="preserve"> </v>
          </cell>
          <cell r="K309" t="str">
            <v xml:space="preserve"> </v>
          </cell>
          <cell r="L309" t="str">
            <v xml:space="preserve"> </v>
          </cell>
          <cell r="M309" t="str">
            <v xml:space="preserve"> </v>
          </cell>
        </row>
        <row r="310">
          <cell r="B310" t="str">
            <v xml:space="preserve"> </v>
          </cell>
          <cell r="C310" t="str">
            <v xml:space="preserve"> </v>
          </cell>
          <cell r="D310" t="str">
            <v xml:space="preserve"> </v>
          </cell>
          <cell r="E310" t="str">
            <v xml:space="preserve"> </v>
          </cell>
          <cell r="F310" t="str">
            <v xml:space="preserve"> </v>
          </cell>
          <cell r="G310" t="str">
            <v xml:space="preserve"> </v>
          </cell>
          <cell r="H310" t="str">
            <v xml:space="preserve"> </v>
          </cell>
          <cell r="I310" t="str">
            <v xml:space="preserve"> </v>
          </cell>
          <cell r="J310" t="str">
            <v xml:space="preserve"> </v>
          </cell>
          <cell r="K310" t="str">
            <v xml:space="preserve"> </v>
          </cell>
          <cell r="L310" t="str">
            <v xml:space="preserve"> </v>
          </cell>
          <cell r="M310" t="str">
            <v xml:space="preserve"> </v>
          </cell>
        </row>
        <row r="311">
          <cell r="B311" t="str">
            <v xml:space="preserve"> </v>
          </cell>
          <cell r="C311" t="str">
            <v xml:space="preserve"> </v>
          </cell>
          <cell r="D311" t="str">
            <v xml:space="preserve"> </v>
          </cell>
          <cell r="E311" t="str">
            <v xml:space="preserve"> </v>
          </cell>
          <cell r="F311" t="str">
            <v xml:space="preserve"> </v>
          </cell>
          <cell r="G311" t="str">
            <v xml:space="preserve"> </v>
          </cell>
          <cell r="H311" t="str">
            <v xml:space="preserve"> </v>
          </cell>
          <cell r="I311" t="str">
            <v xml:space="preserve"> </v>
          </cell>
          <cell r="J311" t="str">
            <v xml:space="preserve"> </v>
          </cell>
          <cell r="K311" t="str">
            <v xml:space="preserve"> </v>
          </cell>
          <cell r="L311" t="str">
            <v xml:space="preserve"> </v>
          </cell>
          <cell r="M311" t="str">
            <v xml:space="preserve"> </v>
          </cell>
        </row>
        <row r="312">
          <cell r="B312" t="str">
            <v xml:space="preserve"> </v>
          </cell>
          <cell r="C312" t="str">
            <v xml:space="preserve"> </v>
          </cell>
          <cell r="D312" t="str">
            <v xml:space="preserve"> </v>
          </cell>
          <cell r="E312" t="str">
            <v xml:space="preserve"> </v>
          </cell>
          <cell r="F312" t="str">
            <v xml:space="preserve"> </v>
          </cell>
          <cell r="G312" t="str">
            <v xml:space="preserve"> </v>
          </cell>
          <cell r="H312" t="str">
            <v xml:space="preserve"> </v>
          </cell>
          <cell r="I312" t="str">
            <v xml:space="preserve"> </v>
          </cell>
          <cell r="J312" t="str">
            <v xml:space="preserve"> </v>
          </cell>
          <cell r="K312" t="str">
            <v xml:space="preserve"> </v>
          </cell>
          <cell r="L312" t="str">
            <v xml:space="preserve"> </v>
          </cell>
          <cell r="M312" t="str">
            <v xml:space="preserve"> </v>
          </cell>
        </row>
        <row r="313">
          <cell r="B313" t="str">
            <v xml:space="preserve"> </v>
          </cell>
          <cell r="C313" t="str">
            <v xml:space="preserve"> </v>
          </cell>
          <cell r="D313" t="str">
            <v xml:space="preserve"> </v>
          </cell>
          <cell r="E313" t="str">
            <v xml:space="preserve"> </v>
          </cell>
          <cell r="F313" t="str">
            <v xml:space="preserve"> </v>
          </cell>
          <cell r="G313" t="str">
            <v xml:space="preserve"> </v>
          </cell>
          <cell r="H313" t="str">
            <v xml:space="preserve"> </v>
          </cell>
          <cell r="I313" t="str">
            <v xml:space="preserve"> </v>
          </cell>
          <cell r="J313" t="str">
            <v xml:space="preserve"> </v>
          </cell>
          <cell r="K313" t="str">
            <v xml:space="preserve"> </v>
          </cell>
          <cell r="L313" t="str">
            <v xml:space="preserve"> </v>
          </cell>
          <cell r="M313" t="str">
            <v xml:space="preserve"> </v>
          </cell>
        </row>
        <row r="314">
          <cell r="B314" t="str">
            <v xml:space="preserve"> </v>
          </cell>
          <cell r="C314" t="str">
            <v xml:space="preserve"> </v>
          </cell>
          <cell r="D314" t="str">
            <v xml:space="preserve"> </v>
          </cell>
          <cell r="E314" t="str">
            <v xml:space="preserve"> </v>
          </cell>
          <cell r="F314" t="str">
            <v xml:space="preserve"> </v>
          </cell>
          <cell r="G314" t="str">
            <v xml:space="preserve"> </v>
          </cell>
          <cell r="H314" t="str">
            <v xml:space="preserve"> </v>
          </cell>
          <cell r="I314" t="str">
            <v xml:space="preserve"> </v>
          </cell>
          <cell r="J314" t="str">
            <v xml:space="preserve"> </v>
          </cell>
          <cell r="K314" t="str">
            <v xml:space="preserve"> </v>
          </cell>
          <cell r="L314" t="str">
            <v xml:space="preserve"> </v>
          </cell>
          <cell r="M314" t="str">
            <v xml:space="preserve"> </v>
          </cell>
        </row>
        <row r="315">
          <cell r="B315" t="str">
            <v xml:space="preserve"> </v>
          </cell>
          <cell r="C315" t="str">
            <v xml:space="preserve"> </v>
          </cell>
          <cell r="D315" t="str">
            <v xml:space="preserve"> </v>
          </cell>
          <cell r="E315" t="str">
            <v xml:space="preserve"> </v>
          </cell>
          <cell r="F315" t="str">
            <v xml:space="preserve"> </v>
          </cell>
          <cell r="G315" t="str">
            <v xml:space="preserve"> </v>
          </cell>
          <cell r="H315" t="str">
            <v xml:space="preserve"> </v>
          </cell>
          <cell r="I315" t="str">
            <v xml:space="preserve"> </v>
          </cell>
          <cell r="J315" t="str">
            <v xml:space="preserve"> </v>
          </cell>
          <cell r="K315" t="str">
            <v xml:space="preserve"> </v>
          </cell>
          <cell r="L315" t="str">
            <v xml:space="preserve"> </v>
          </cell>
          <cell r="M315" t="str">
            <v xml:space="preserve"> </v>
          </cell>
        </row>
        <row r="316">
          <cell r="B316" t="str">
            <v xml:space="preserve"> </v>
          </cell>
          <cell r="C316" t="str">
            <v xml:space="preserve"> </v>
          </cell>
          <cell r="D316" t="str">
            <v xml:space="preserve"> </v>
          </cell>
          <cell r="E316" t="str">
            <v xml:space="preserve"> </v>
          </cell>
          <cell r="F316" t="str">
            <v xml:space="preserve"> </v>
          </cell>
          <cell r="G316" t="str">
            <v xml:space="preserve"> </v>
          </cell>
          <cell r="H316" t="str">
            <v xml:space="preserve"> </v>
          </cell>
          <cell r="I316" t="str">
            <v xml:space="preserve"> </v>
          </cell>
          <cell r="J316" t="str">
            <v xml:space="preserve"> </v>
          </cell>
          <cell r="K316" t="str">
            <v xml:space="preserve"> </v>
          </cell>
          <cell r="L316" t="str">
            <v xml:space="preserve"> </v>
          </cell>
          <cell r="M316" t="str">
            <v xml:space="preserve"> </v>
          </cell>
        </row>
        <row r="317">
          <cell r="B317" t="str">
            <v xml:space="preserve"> </v>
          </cell>
          <cell r="C317" t="str">
            <v xml:space="preserve"> </v>
          </cell>
          <cell r="D317" t="str">
            <v xml:space="preserve"> </v>
          </cell>
          <cell r="E317" t="str">
            <v xml:space="preserve"> </v>
          </cell>
          <cell r="F317" t="str">
            <v xml:space="preserve"> </v>
          </cell>
          <cell r="G317" t="str">
            <v xml:space="preserve"> </v>
          </cell>
          <cell r="H317" t="str">
            <v xml:space="preserve"> </v>
          </cell>
          <cell r="I317" t="str">
            <v xml:space="preserve"> </v>
          </cell>
          <cell r="J317" t="str">
            <v xml:space="preserve"> </v>
          </cell>
          <cell r="K317" t="str">
            <v xml:space="preserve"> </v>
          </cell>
          <cell r="L317" t="str">
            <v xml:space="preserve"> </v>
          </cell>
          <cell r="M317" t="str">
            <v xml:space="preserve"> </v>
          </cell>
        </row>
        <row r="318">
          <cell r="B318" t="str">
            <v xml:space="preserve"> </v>
          </cell>
          <cell r="C318" t="str">
            <v xml:space="preserve"> </v>
          </cell>
          <cell r="D318" t="str">
            <v xml:space="preserve"> </v>
          </cell>
          <cell r="E318" t="str">
            <v xml:space="preserve"> </v>
          </cell>
          <cell r="F318" t="str">
            <v xml:space="preserve"> </v>
          </cell>
          <cell r="G318" t="str">
            <v xml:space="preserve"> </v>
          </cell>
          <cell r="H318" t="str">
            <v xml:space="preserve"> </v>
          </cell>
          <cell r="I318" t="str">
            <v xml:space="preserve"> </v>
          </cell>
          <cell r="J318" t="str">
            <v xml:space="preserve"> </v>
          </cell>
          <cell r="K318" t="str">
            <v xml:space="preserve"> </v>
          </cell>
          <cell r="L318" t="str">
            <v xml:space="preserve"> </v>
          </cell>
          <cell r="M318" t="str">
            <v xml:space="preserve"> </v>
          </cell>
        </row>
        <row r="319">
          <cell r="B319" t="str">
            <v xml:space="preserve"> </v>
          </cell>
          <cell r="C319" t="str">
            <v xml:space="preserve"> </v>
          </cell>
          <cell r="D319" t="str">
            <v xml:space="preserve"> </v>
          </cell>
          <cell r="E319" t="str">
            <v xml:space="preserve"> </v>
          </cell>
          <cell r="F319" t="str">
            <v xml:space="preserve"> </v>
          </cell>
          <cell r="G319" t="str">
            <v xml:space="preserve"> </v>
          </cell>
          <cell r="H319" t="str">
            <v xml:space="preserve"> </v>
          </cell>
          <cell r="I319" t="str">
            <v xml:space="preserve"> </v>
          </cell>
          <cell r="J319" t="str">
            <v xml:space="preserve"> </v>
          </cell>
          <cell r="K319" t="str">
            <v xml:space="preserve"> </v>
          </cell>
          <cell r="L319" t="str">
            <v xml:space="preserve"> </v>
          </cell>
          <cell r="M319" t="str">
            <v xml:space="preserve"> </v>
          </cell>
        </row>
        <row r="320">
          <cell r="B320" t="str">
            <v xml:space="preserve"> </v>
          </cell>
          <cell r="C320" t="str">
            <v xml:space="preserve"> </v>
          </cell>
          <cell r="D320" t="str">
            <v xml:space="preserve"> </v>
          </cell>
          <cell r="E320" t="str">
            <v xml:space="preserve"> </v>
          </cell>
          <cell r="F320" t="str">
            <v xml:space="preserve"> </v>
          </cell>
          <cell r="G320" t="str">
            <v xml:space="preserve"> </v>
          </cell>
          <cell r="H320" t="str">
            <v xml:space="preserve"> </v>
          </cell>
          <cell r="I320" t="str">
            <v xml:space="preserve"> </v>
          </cell>
          <cell r="J320" t="str">
            <v xml:space="preserve"> </v>
          </cell>
          <cell r="K320" t="str">
            <v xml:space="preserve"> </v>
          </cell>
          <cell r="L320" t="str">
            <v xml:space="preserve"> </v>
          </cell>
          <cell r="M320" t="str">
            <v xml:space="preserve"> </v>
          </cell>
        </row>
        <row r="321">
          <cell r="B321" t="str">
            <v xml:space="preserve"> </v>
          </cell>
          <cell r="C321" t="str">
            <v xml:space="preserve"> </v>
          </cell>
          <cell r="D321" t="str">
            <v xml:space="preserve"> </v>
          </cell>
          <cell r="E321" t="str">
            <v xml:space="preserve"> </v>
          </cell>
          <cell r="F321" t="str">
            <v xml:space="preserve"> </v>
          </cell>
          <cell r="G321" t="str">
            <v xml:space="preserve"> </v>
          </cell>
          <cell r="H321" t="str">
            <v xml:space="preserve"> </v>
          </cell>
          <cell r="I321" t="str">
            <v xml:space="preserve"> </v>
          </cell>
          <cell r="J321" t="str">
            <v xml:space="preserve"> </v>
          </cell>
          <cell r="K321" t="str">
            <v xml:space="preserve"> </v>
          </cell>
          <cell r="L321" t="str">
            <v xml:space="preserve"> </v>
          </cell>
          <cell r="M321" t="str">
            <v xml:space="preserve"> </v>
          </cell>
        </row>
        <row r="322">
          <cell r="B322" t="str">
            <v xml:space="preserve"> </v>
          </cell>
          <cell r="C322" t="str">
            <v xml:space="preserve"> </v>
          </cell>
          <cell r="D322" t="str">
            <v xml:space="preserve"> </v>
          </cell>
          <cell r="E322" t="str">
            <v xml:space="preserve"> </v>
          </cell>
          <cell r="F322" t="str">
            <v xml:space="preserve"> </v>
          </cell>
          <cell r="G322" t="str">
            <v xml:space="preserve"> </v>
          </cell>
          <cell r="H322" t="str">
            <v xml:space="preserve"> </v>
          </cell>
          <cell r="I322" t="str">
            <v xml:space="preserve"> </v>
          </cell>
          <cell r="J322" t="str">
            <v xml:space="preserve"> </v>
          </cell>
          <cell r="K322" t="str">
            <v xml:space="preserve"> </v>
          </cell>
          <cell r="L322" t="str">
            <v xml:space="preserve"> </v>
          </cell>
          <cell r="M322" t="str">
            <v xml:space="preserve"> </v>
          </cell>
        </row>
        <row r="323">
          <cell r="B323" t="str">
            <v xml:space="preserve"> </v>
          </cell>
          <cell r="C323" t="str">
            <v xml:space="preserve"> </v>
          </cell>
          <cell r="D323" t="str">
            <v xml:space="preserve"> </v>
          </cell>
          <cell r="E323" t="str">
            <v xml:space="preserve"> </v>
          </cell>
          <cell r="F323" t="str">
            <v xml:space="preserve"> </v>
          </cell>
          <cell r="G323" t="str">
            <v xml:space="preserve"> </v>
          </cell>
          <cell r="H323" t="str">
            <v xml:space="preserve"> </v>
          </cell>
          <cell r="I323" t="str">
            <v xml:space="preserve"> </v>
          </cell>
          <cell r="J323" t="str">
            <v xml:space="preserve"> </v>
          </cell>
          <cell r="K323" t="str">
            <v xml:space="preserve"> </v>
          </cell>
          <cell r="L323" t="str">
            <v xml:space="preserve"> </v>
          </cell>
          <cell r="M323" t="str">
            <v xml:space="preserve"> </v>
          </cell>
        </row>
        <row r="324">
          <cell r="B324" t="str">
            <v xml:space="preserve"> </v>
          </cell>
          <cell r="C324" t="str">
            <v xml:space="preserve"> </v>
          </cell>
          <cell r="D324" t="str">
            <v xml:space="preserve"> </v>
          </cell>
          <cell r="E324" t="str">
            <v xml:space="preserve"> </v>
          </cell>
          <cell r="F324" t="str">
            <v xml:space="preserve"> </v>
          </cell>
          <cell r="G324" t="str">
            <v xml:space="preserve"> </v>
          </cell>
          <cell r="H324" t="str">
            <v xml:space="preserve"> </v>
          </cell>
          <cell r="I324" t="str">
            <v xml:space="preserve"> </v>
          </cell>
          <cell r="J324" t="str">
            <v xml:space="preserve"> </v>
          </cell>
          <cell r="K324" t="str">
            <v xml:space="preserve"> </v>
          </cell>
          <cell r="L324" t="str">
            <v xml:space="preserve"> </v>
          </cell>
          <cell r="M324" t="str">
            <v xml:space="preserve"> </v>
          </cell>
        </row>
        <row r="325">
          <cell r="B325" t="str">
            <v xml:space="preserve"> </v>
          </cell>
          <cell r="C325" t="str">
            <v xml:space="preserve"> </v>
          </cell>
          <cell r="D325" t="str">
            <v xml:space="preserve"> </v>
          </cell>
          <cell r="E325" t="str">
            <v xml:space="preserve"> </v>
          </cell>
          <cell r="F325" t="str">
            <v xml:space="preserve"> </v>
          </cell>
          <cell r="G325" t="str">
            <v xml:space="preserve"> </v>
          </cell>
          <cell r="H325" t="str">
            <v xml:space="preserve"> </v>
          </cell>
          <cell r="I325" t="str">
            <v xml:space="preserve"> </v>
          </cell>
          <cell r="J325" t="str">
            <v xml:space="preserve"> </v>
          </cell>
          <cell r="K325" t="str">
            <v xml:space="preserve"> </v>
          </cell>
          <cell r="L325" t="str">
            <v xml:space="preserve"> </v>
          </cell>
          <cell r="M325" t="str">
            <v xml:space="preserve"> </v>
          </cell>
        </row>
        <row r="326">
          <cell r="B326" t="str">
            <v xml:space="preserve"> </v>
          </cell>
          <cell r="C326" t="str">
            <v xml:space="preserve"> </v>
          </cell>
          <cell r="D326" t="str">
            <v xml:space="preserve"> </v>
          </cell>
          <cell r="E326" t="str">
            <v xml:space="preserve"> </v>
          </cell>
          <cell r="F326" t="str">
            <v xml:space="preserve"> </v>
          </cell>
          <cell r="G326" t="str">
            <v xml:space="preserve"> </v>
          </cell>
          <cell r="H326" t="str">
            <v xml:space="preserve"> </v>
          </cell>
          <cell r="I326" t="str">
            <v xml:space="preserve"> </v>
          </cell>
          <cell r="J326" t="str">
            <v xml:space="preserve"> </v>
          </cell>
          <cell r="K326" t="str">
            <v xml:space="preserve"> </v>
          </cell>
          <cell r="L326" t="str">
            <v xml:space="preserve"> </v>
          </cell>
          <cell r="M326" t="str">
            <v xml:space="preserve"> </v>
          </cell>
        </row>
        <row r="327">
          <cell r="B327" t="str">
            <v xml:space="preserve"> </v>
          </cell>
          <cell r="C327" t="str">
            <v xml:space="preserve"> </v>
          </cell>
          <cell r="D327" t="str">
            <v xml:space="preserve"> </v>
          </cell>
          <cell r="E327" t="str">
            <v xml:space="preserve"> </v>
          </cell>
          <cell r="F327" t="str">
            <v xml:space="preserve"> </v>
          </cell>
          <cell r="G327" t="str">
            <v xml:space="preserve"> </v>
          </cell>
          <cell r="H327" t="str">
            <v xml:space="preserve"> </v>
          </cell>
          <cell r="I327" t="str">
            <v xml:space="preserve"> </v>
          </cell>
          <cell r="J327" t="str">
            <v xml:space="preserve"> </v>
          </cell>
          <cell r="K327" t="str">
            <v xml:space="preserve"> </v>
          </cell>
          <cell r="L327" t="str">
            <v xml:space="preserve"> </v>
          </cell>
          <cell r="M327" t="str">
            <v xml:space="preserve"> </v>
          </cell>
        </row>
        <row r="328">
          <cell r="B328" t="str">
            <v xml:space="preserve"> </v>
          </cell>
          <cell r="C328" t="str">
            <v xml:space="preserve"> </v>
          </cell>
          <cell r="D328" t="str">
            <v xml:space="preserve"> </v>
          </cell>
          <cell r="E328" t="str">
            <v xml:space="preserve"> </v>
          </cell>
          <cell r="F328" t="str">
            <v xml:space="preserve"> </v>
          </cell>
          <cell r="G328" t="str">
            <v xml:space="preserve"> </v>
          </cell>
          <cell r="H328" t="str">
            <v xml:space="preserve"> </v>
          </cell>
          <cell r="I328" t="str">
            <v xml:space="preserve"> </v>
          </cell>
          <cell r="J328" t="str">
            <v xml:space="preserve"> </v>
          </cell>
          <cell r="K328" t="str">
            <v xml:space="preserve"> </v>
          </cell>
          <cell r="L328" t="str">
            <v xml:space="preserve"> </v>
          </cell>
          <cell r="M328" t="str">
            <v xml:space="preserve"> </v>
          </cell>
        </row>
        <row r="329">
          <cell r="B329" t="str">
            <v xml:space="preserve"> </v>
          </cell>
          <cell r="C329" t="str">
            <v xml:space="preserve"> </v>
          </cell>
          <cell r="D329" t="str">
            <v xml:space="preserve"> </v>
          </cell>
          <cell r="E329" t="str">
            <v xml:space="preserve"> </v>
          </cell>
          <cell r="F329" t="str">
            <v xml:space="preserve"> </v>
          </cell>
          <cell r="G329" t="str">
            <v xml:space="preserve"> </v>
          </cell>
          <cell r="H329" t="str">
            <v xml:space="preserve"> </v>
          </cell>
          <cell r="I329" t="str">
            <v xml:space="preserve"> </v>
          </cell>
          <cell r="J329" t="str">
            <v xml:space="preserve"> </v>
          </cell>
          <cell r="K329" t="str">
            <v xml:space="preserve"> </v>
          </cell>
          <cell r="L329" t="str">
            <v xml:space="preserve"> </v>
          </cell>
          <cell r="M329" t="str">
            <v xml:space="preserve"> </v>
          </cell>
        </row>
        <row r="330">
          <cell r="B330" t="str">
            <v xml:space="preserve"> </v>
          </cell>
          <cell r="C330" t="str">
            <v xml:space="preserve"> </v>
          </cell>
          <cell r="D330" t="str">
            <v xml:space="preserve"> </v>
          </cell>
          <cell r="E330" t="str">
            <v xml:space="preserve"> </v>
          </cell>
          <cell r="F330" t="str">
            <v xml:space="preserve"> </v>
          </cell>
          <cell r="G330" t="str">
            <v xml:space="preserve"> </v>
          </cell>
          <cell r="H330" t="str">
            <v xml:space="preserve"> </v>
          </cell>
          <cell r="I330" t="str">
            <v xml:space="preserve"> </v>
          </cell>
          <cell r="J330" t="str">
            <v xml:space="preserve"> </v>
          </cell>
          <cell r="K330" t="str">
            <v xml:space="preserve"> </v>
          </cell>
          <cell r="L330" t="str">
            <v xml:space="preserve"> </v>
          </cell>
          <cell r="M330" t="str">
            <v xml:space="preserve"> </v>
          </cell>
        </row>
        <row r="331">
          <cell r="B331" t="str">
            <v xml:space="preserve"> </v>
          </cell>
          <cell r="C331" t="str">
            <v xml:space="preserve"> </v>
          </cell>
          <cell r="D331" t="str">
            <v xml:space="preserve"> </v>
          </cell>
          <cell r="E331" t="str">
            <v xml:space="preserve"> </v>
          </cell>
          <cell r="F331" t="str">
            <v xml:space="preserve"> </v>
          </cell>
          <cell r="G331" t="str">
            <v xml:space="preserve"> </v>
          </cell>
          <cell r="H331" t="str">
            <v xml:space="preserve"> </v>
          </cell>
          <cell r="I331" t="str">
            <v xml:space="preserve"> </v>
          </cell>
          <cell r="J331" t="str">
            <v xml:space="preserve"> </v>
          </cell>
          <cell r="K331" t="str">
            <v xml:space="preserve"> </v>
          </cell>
          <cell r="L331" t="str">
            <v xml:space="preserve"> </v>
          </cell>
          <cell r="M331" t="str">
            <v xml:space="preserve"> </v>
          </cell>
        </row>
        <row r="332">
          <cell r="B332" t="str">
            <v xml:space="preserve"> </v>
          </cell>
          <cell r="C332" t="str">
            <v xml:space="preserve"> </v>
          </cell>
          <cell r="D332" t="str">
            <v xml:space="preserve"> </v>
          </cell>
          <cell r="E332" t="str">
            <v xml:space="preserve"> </v>
          </cell>
          <cell r="F332" t="str">
            <v xml:space="preserve"> </v>
          </cell>
          <cell r="G332" t="str">
            <v xml:space="preserve"> </v>
          </cell>
          <cell r="H332" t="str">
            <v xml:space="preserve"> </v>
          </cell>
          <cell r="I332" t="str">
            <v xml:space="preserve"> </v>
          </cell>
          <cell r="J332" t="str">
            <v xml:space="preserve"> </v>
          </cell>
          <cell r="K332" t="str">
            <v xml:space="preserve"> </v>
          </cell>
          <cell r="L332" t="str">
            <v xml:space="preserve"> </v>
          </cell>
          <cell r="M332" t="str">
            <v xml:space="preserve"> </v>
          </cell>
        </row>
        <row r="333">
          <cell r="B333" t="str">
            <v xml:space="preserve"> </v>
          </cell>
          <cell r="C333" t="str">
            <v xml:space="preserve"> </v>
          </cell>
          <cell r="D333" t="str">
            <v xml:space="preserve"> </v>
          </cell>
          <cell r="E333" t="str">
            <v xml:space="preserve"> </v>
          </cell>
          <cell r="F333" t="str">
            <v xml:space="preserve"> </v>
          </cell>
          <cell r="G333" t="str">
            <v xml:space="preserve"> </v>
          </cell>
          <cell r="H333" t="str">
            <v xml:space="preserve"> </v>
          </cell>
          <cell r="I333" t="str">
            <v xml:space="preserve"> </v>
          </cell>
          <cell r="J333" t="str">
            <v xml:space="preserve"> </v>
          </cell>
          <cell r="K333" t="str">
            <v xml:space="preserve"> </v>
          </cell>
          <cell r="L333" t="str">
            <v xml:space="preserve"> </v>
          </cell>
          <cell r="M333" t="str">
            <v xml:space="preserve"> </v>
          </cell>
        </row>
        <row r="334">
          <cell r="B334" t="str">
            <v xml:space="preserve"> </v>
          </cell>
          <cell r="C334" t="str">
            <v xml:space="preserve"> </v>
          </cell>
          <cell r="D334" t="str">
            <v xml:space="preserve"> </v>
          </cell>
          <cell r="E334" t="str">
            <v xml:space="preserve"> </v>
          </cell>
          <cell r="F334" t="str">
            <v xml:space="preserve"> </v>
          </cell>
          <cell r="G334" t="str">
            <v xml:space="preserve"> </v>
          </cell>
          <cell r="H334" t="str">
            <v xml:space="preserve"> </v>
          </cell>
          <cell r="I334" t="str">
            <v xml:space="preserve"> </v>
          </cell>
          <cell r="J334" t="str">
            <v xml:space="preserve"> </v>
          </cell>
          <cell r="K334" t="str">
            <v xml:space="preserve"> </v>
          </cell>
          <cell r="L334" t="str">
            <v xml:space="preserve"> </v>
          </cell>
          <cell r="M334" t="str">
            <v xml:space="preserve"> </v>
          </cell>
        </row>
        <row r="335">
          <cell r="B335" t="str">
            <v xml:space="preserve"> </v>
          </cell>
          <cell r="C335" t="str">
            <v xml:space="preserve"> </v>
          </cell>
          <cell r="D335" t="str">
            <v xml:space="preserve"> </v>
          </cell>
          <cell r="E335" t="str">
            <v xml:space="preserve"> </v>
          </cell>
          <cell r="F335" t="str">
            <v xml:space="preserve"> </v>
          </cell>
          <cell r="G335" t="str">
            <v xml:space="preserve"> </v>
          </cell>
          <cell r="H335" t="str">
            <v xml:space="preserve"> </v>
          </cell>
          <cell r="I335" t="str">
            <v xml:space="preserve"> </v>
          </cell>
          <cell r="J335" t="str">
            <v xml:space="preserve"> </v>
          </cell>
          <cell r="K335" t="str">
            <v xml:space="preserve"> </v>
          </cell>
          <cell r="L335" t="str">
            <v xml:space="preserve"> </v>
          </cell>
          <cell r="M335" t="str">
            <v xml:space="preserve"> </v>
          </cell>
        </row>
        <row r="336">
          <cell r="B336" t="str">
            <v xml:space="preserve"> </v>
          </cell>
          <cell r="C336" t="str">
            <v xml:space="preserve"> </v>
          </cell>
          <cell r="D336" t="str">
            <v xml:space="preserve"> </v>
          </cell>
          <cell r="E336" t="str">
            <v xml:space="preserve"> </v>
          </cell>
          <cell r="F336" t="str">
            <v xml:space="preserve"> </v>
          </cell>
          <cell r="G336" t="str">
            <v xml:space="preserve"> </v>
          </cell>
          <cell r="H336" t="str">
            <v xml:space="preserve"> </v>
          </cell>
          <cell r="I336" t="str">
            <v xml:space="preserve"> </v>
          </cell>
          <cell r="J336" t="str">
            <v xml:space="preserve"> </v>
          </cell>
          <cell r="K336" t="str">
            <v xml:space="preserve"> </v>
          </cell>
          <cell r="L336" t="str">
            <v xml:space="preserve"> </v>
          </cell>
          <cell r="M336" t="str">
            <v xml:space="preserve"> </v>
          </cell>
        </row>
        <row r="337">
          <cell r="B337" t="str">
            <v xml:space="preserve"> </v>
          </cell>
          <cell r="C337" t="str">
            <v xml:space="preserve"> </v>
          </cell>
          <cell r="D337" t="str">
            <v xml:space="preserve"> </v>
          </cell>
          <cell r="E337" t="str">
            <v xml:space="preserve"> </v>
          </cell>
          <cell r="F337" t="str">
            <v xml:space="preserve"> </v>
          </cell>
          <cell r="G337" t="str">
            <v xml:space="preserve"> </v>
          </cell>
          <cell r="H337" t="str">
            <v xml:space="preserve"> </v>
          </cell>
          <cell r="I337" t="str">
            <v xml:space="preserve"> </v>
          </cell>
          <cell r="J337" t="str">
            <v xml:space="preserve"> </v>
          </cell>
          <cell r="K337" t="str">
            <v xml:space="preserve"> </v>
          </cell>
          <cell r="L337" t="str">
            <v xml:space="preserve"> </v>
          </cell>
          <cell r="M337" t="str">
            <v xml:space="preserve"> </v>
          </cell>
        </row>
        <row r="338">
          <cell r="B338" t="str">
            <v xml:space="preserve"> </v>
          </cell>
          <cell r="C338" t="str">
            <v xml:space="preserve"> </v>
          </cell>
          <cell r="D338" t="str">
            <v xml:space="preserve"> </v>
          </cell>
          <cell r="E338" t="str">
            <v xml:space="preserve"> </v>
          </cell>
          <cell r="F338" t="str">
            <v xml:space="preserve"> </v>
          </cell>
          <cell r="G338" t="str">
            <v xml:space="preserve"> </v>
          </cell>
          <cell r="H338" t="str">
            <v xml:space="preserve"> </v>
          </cell>
          <cell r="I338" t="str">
            <v xml:space="preserve"> </v>
          </cell>
          <cell r="J338" t="str">
            <v xml:space="preserve"> </v>
          </cell>
          <cell r="K338" t="str">
            <v xml:space="preserve"> </v>
          </cell>
          <cell r="L338" t="str">
            <v xml:space="preserve"> </v>
          </cell>
          <cell r="M338" t="str">
            <v xml:space="preserve"> </v>
          </cell>
        </row>
        <row r="339">
          <cell r="B339" t="str">
            <v xml:space="preserve"> </v>
          </cell>
          <cell r="C339" t="str">
            <v xml:space="preserve"> </v>
          </cell>
          <cell r="D339" t="str">
            <v xml:space="preserve"> </v>
          </cell>
          <cell r="E339" t="str">
            <v xml:space="preserve"> </v>
          </cell>
          <cell r="F339" t="str">
            <v xml:space="preserve"> </v>
          </cell>
          <cell r="G339" t="str">
            <v xml:space="preserve"> </v>
          </cell>
          <cell r="H339" t="str">
            <v xml:space="preserve"> </v>
          </cell>
          <cell r="I339" t="str">
            <v xml:space="preserve"> </v>
          </cell>
          <cell r="J339" t="str">
            <v xml:space="preserve"> </v>
          </cell>
          <cell r="K339" t="str">
            <v xml:space="preserve"> </v>
          </cell>
          <cell r="L339" t="str">
            <v xml:space="preserve"> </v>
          </cell>
          <cell r="M339" t="str">
            <v xml:space="preserve"> </v>
          </cell>
        </row>
        <row r="340">
          <cell r="B340" t="str">
            <v xml:space="preserve"> </v>
          </cell>
          <cell r="C340" t="str">
            <v xml:space="preserve"> </v>
          </cell>
          <cell r="D340" t="str">
            <v xml:space="preserve"> </v>
          </cell>
          <cell r="E340" t="str">
            <v xml:space="preserve"> </v>
          </cell>
          <cell r="F340" t="str">
            <v xml:space="preserve"> </v>
          </cell>
          <cell r="G340" t="str">
            <v xml:space="preserve"> </v>
          </cell>
          <cell r="H340" t="str">
            <v xml:space="preserve"> </v>
          </cell>
          <cell r="I340" t="str">
            <v xml:space="preserve"> </v>
          </cell>
          <cell r="J340" t="str">
            <v xml:space="preserve"> </v>
          </cell>
          <cell r="K340" t="str">
            <v xml:space="preserve"> </v>
          </cell>
          <cell r="L340" t="str">
            <v xml:space="preserve"> </v>
          </cell>
          <cell r="M340" t="str">
            <v xml:space="preserve"> </v>
          </cell>
        </row>
        <row r="341">
          <cell r="B341" t="str">
            <v xml:space="preserve"> </v>
          </cell>
          <cell r="C341" t="str">
            <v xml:space="preserve"> </v>
          </cell>
          <cell r="D341" t="str">
            <v xml:space="preserve"> </v>
          </cell>
          <cell r="E341" t="str">
            <v xml:space="preserve"> </v>
          </cell>
          <cell r="F341" t="str">
            <v xml:space="preserve"> </v>
          </cell>
          <cell r="G341" t="str">
            <v xml:space="preserve"> </v>
          </cell>
          <cell r="H341" t="str">
            <v xml:space="preserve"> </v>
          </cell>
          <cell r="I341" t="str">
            <v xml:space="preserve"> </v>
          </cell>
          <cell r="J341" t="str">
            <v xml:space="preserve"> </v>
          </cell>
          <cell r="K341" t="str">
            <v xml:space="preserve"> </v>
          </cell>
          <cell r="L341" t="str">
            <v xml:space="preserve"> </v>
          </cell>
          <cell r="M341" t="str">
            <v xml:space="preserve"> </v>
          </cell>
        </row>
        <row r="342">
          <cell r="B342" t="str">
            <v xml:space="preserve"> </v>
          </cell>
          <cell r="C342" t="str">
            <v xml:space="preserve"> </v>
          </cell>
          <cell r="D342" t="str">
            <v xml:space="preserve"> </v>
          </cell>
          <cell r="E342" t="str">
            <v xml:space="preserve"> </v>
          </cell>
          <cell r="F342" t="str">
            <v xml:space="preserve"> </v>
          </cell>
          <cell r="G342" t="str">
            <v xml:space="preserve"> </v>
          </cell>
          <cell r="H342" t="str">
            <v xml:space="preserve"> </v>
          </cell>
          <cell r="I342" t="str">
            <v xml:space="preserve"> </v>
          </cell>
          <cell r="J342" t="str">
            <v xml:space="preserve"> </v>
          </cell>
          <cell r="K342" t="str">
            <v xml:space="preserve"> </v>
          </cell>
          <cell r="L342" t="str">
            <v xml:space="preserve"> </v>
          </cell>
          <cell r="M342" t="str">
            <v xml:space="preserve"> </v>
          </cell>
        </row>
        <row r="343">
          <cell r="B343" t="str">
            <v xml:space="preserve"> </v>
          </cell>
          <cell r="C343" t="str">
            <v xml:space="preserve"> </v>
          </cell>
          <cell r="D343" t="str">
            <v xml:space="preserve"> </v>
          </cell>
          <cell r="E343" t="str">
            <v xml:space="preserve"> </v>
          </cell>
          <cell r="F343" t="str">
            <v xml:space="preserve"> </v>
          </cell>
          <cell r="G343" t="str">
            <v xml:space="preserve"> </v>
          </cell>
          <cell r="H343" t="str">
            <v xml:space="preserve"> </v>
          </cell>
          <cell r="I343" t="str">
            <v xml:space="preserve"> </v>
          </cell>
          <cell r="J343" t="str">
            <v xml:space="preserve"> </v>
          </cell>
          <cell r="K343" t="str">
            <v xml:space="preserve"> </v>
          </cell>
          <cell r="L343" t="str">
            <v xml:space="preserve"> </v>
          </cell>
          <cell r="M343" t="str">
            <v xml:space="preserve"> </v>
          </cell>
        </row>
        <row r="344">
          <cell r="B344" t="str">
            <v xml:space="preserve"> </v>
          </cell>
          <cell r="C344" t="str">
            <v xml:space="preserve"> </v>
          </cell>
          <cell r="D344" t="str">
            <v xml:space="preserve"> </v>
          </cell>
          <cell r="E344" t="str">
            <v xml:space="preserve"> </v>
          </cell>
          <cell r="F344" t="str">
            <v xml:space="preserve"> </v>
          </cell>
          <cell r="G344" t="str">
            <v xml:space="preserve"> </v>
          </cell>
          <cell r="H344" t="str">
            <v xml:space="preserve"> </v>
          </cell>
          <cell r="I344" t="str">
            <v xml:space="preserve"> </v>
          </cell>
          <cell r="J344" t="str">
            <v xml:space="preserve"> </v>
          </cell>
          <cell r="K344" t="str">
            <v xml:space="preserve"> </v>
          </cell>
          <cell r="L344" t="str">
            <v xml:space="preserve"> </v>
          </cell>
          <cell r="M344" t="str">
            <v xml:space="preserve"> </v>
          </cell>
        </row>
        <row r="345">
          <cell r="B345" t="str">
            <v xml:space="preserve"> </v>
          </cell>
          <cell r="C345" t="str">
            <v xml:space="preserve"> </v>
          </cell>
          <cell r="D345" t="str">
            <v xml:space="preserve"> </v>
          </cell>
          <cell r="E345" t="str">
            <v xml:space="preserve"> </v>
          </cell>
          <cell r="F345" t="str">
            <v xml:space="preserve"> </v>
          </cell>
          <cell r="G345" t="str">
            <v xml:space="preserve"> </v>
          </cell>
          <cell r="H345" t="str">
            <v xml:space="preserve"> </v>
          </cell>
          <cell r="I345" t="str">
            <v xml:space="preserve"> </v>
          </cell>
          <cell r="J345" t="str">
            <v xml:space="preserve"> </v>
          </cell>
          <cell r="K345" t="str">
            <v xml:space="preserve"> </v>
          </cell>
          <cell r="L345" t="str">
            <v xml:space="preserve"> </v>
          </cell>
          <cell r="M345" t="str">
            <v xml:space="preserve"> </v>
          </cell>
        </row>
        <row r="346">
          <cell r="B346" t="str">
            <v xml:space="preserve"> </v>
          </cell>
          <cell r="C346" t="str">
            <v xml:space="preserve"> </v>
          </cell>
          <cell r="D346" t="str">
            <v xml:space="preserve"> </v>
          </cell>
          <cell r="E346" t="str">
            <v xml:space="preserve"> </v>
          </cell>
          <cell r="F346" t="str">
            <v xml:space="preserve"> </v>
          </cell>
          <cell r="G346" t="str">
            <v xml:space="preserve"> </v>
          </cell>
          <cell r="H346" t="str">
            <v xml:space="preserve"> </v>
          </cell>
          <cell r="I346" t="str">
            <v xml:space="preserve"> </v>
          </cell>
          <cell r="J346" t="str">
            <v xml:space="preserve"> </v>
          </cell>
          <cell r="K346" t="str">
            <v xml:space="preserve"> </v>
          </cell>
          <cell r="L346" t="str">
            <v xml:space="preserve"> </v>
          </cell>
          <cell r="M346" t="str">
            <v xml:space="preserve"> </v>
          </cell>
        </row>
        <row r="347">
          <cell r="B347" t="str">
            <v xml:space="preserve"> </v>
          </cell>
          <cell r="C347" t="str">
            <v xml:space="preserve"> </v>
          </cell>
          <cell r="D347" t="str">
            <v xml:space="preserve"> </v>
          </cell>
          <cell r="E347" t="str">
            <v xml:space="preserve"> </v>
          </cell>
          <cell r="F347" t="str">
            <v xml:space="preserve"> </v>
          </cell>
          <cell r="G347" t="str">
            <v xml:space="preserve"> </v>
          </cell>
          <cell r="H347" t="str">
            <v xml:space="preserve"> </v>
          </cell>
          <cell r="I347" t="str">
            <v xml:space="preserve"> </v>
          </cell>
          <cell r="J347" t="str">
            <v xml:space="preserve"> </v>
          </cell>
          <cell r="K347" t="str">
            <v xml:space="preserve"> </v>
          </cell>
          <cell r="L347" t="str">
            <v xml:space="preserve"> </v>
          </cell>
          <cell r="M347" t="str">
            <v xml:space="preserve"> </v>
          </cell>
        </row>
        <row r="348">
          <cell r="B348" t="str">
            <v xml:space="preserve"> </v>
          </cell>
          <cell r="C348" t="str">
            <v xml:space="preserve"> </v>
          </cell>
          <cell r="D348" t="str">
            <v xml:space="preserve"> </v>
          </cell>
          <cell r="E348" t="str">
            <v xml:space="preserve"> </v>
          </cell>
          <cell r="F348" t="str">
            <v xml:space="preserve"> </v>
          </cell>
          <cell r="G348" t="str">
            <v xml:space="preserve"> </v>
          </cell>
          <cell r="H348" t="str">
            <v xml:space="preserve"> </v>
          </cell>
          <cell r="I348" t="str">
            <v xml:space="preserve"> </v>
          </cell>
          <cell r="J348" t="str">
            <v xml:space="preserve"> </v>
          </cell>
          <cell r="K348" t="str">
            <v xml:space="preserve"> </v>
          </cell>
          <cell r="L348" t="str">
            <v xml:space="preserve"> </v>
          </cell>
          <cell r="M348" t="str">
            <v xml:space="preserve"> </v>
          </cell>
        </row>
        <row r="349">
          <cell r="B349" t="str">
            <v xml:space="preserve"> </v>
          </cell>
          <cell r="C349" t="str">
            <v xml:space="preserve"> </v>
          </cell>
          <cell r="D349" t="str">
            <v xml:space="preserve"> </v>
          </cell>
          <cell r="E349" t="str">
            <v xml:space="preserve"> </v>
          </cell>
          <cell r="F349" t="str">
            <v xml:space="preserve"> </v>
          </cell>
          <cell r="G349" t="str">
            <v xml:space="preserve"> </v>
          </cell>
          <cell r="H349" t="str">
            <v xml:space="preserve"> </v>
          </cell>
          <cell r="I349" t="str">
            <v xml:space="preserve"> </v>
          </cell>
          <cell r="J349" t="str">
            <v xml:space="preserve"> </v>
          </cell>
          <cell r="K349" t="str">
            <v xml:space="preserve"> </v>
          </cell>
          <cell r="L349" t="str">
            <v xml:space="preserve"> </v>
          </cell>
          <cell r="M349" t="str">
            <v xml:space="preserve"> </v>
          </cell>
        </row>
        <row r="350">
          <cell r="B350" t="str">
            <v xml:space="preserve"> </v>
          </cell>
          <cell r="C350" t="str">
            <v xml:space="preserve"> </v>
          </cell>
          <cell r="D350" t="str">
            <v xml:space="preserve"> </v>
          </cell>
          <cell r="E350" t="str">
            <v xml:space="preserve"> </v>
          </cell>
          <cell r="F350" t="str">
            <v xml:space="preserve"> </v>
          </cell>
          <cell r="G350" t="str">
            <v xml:space="preserve"> </v>
          </cell>
          <cell r="H350" t="str">
            <v xml:space="preserve"> </v>
          </cell>
          <cell r="I350" t="str">
            <v xml:space="preserve"> </v>
          </cell>
          <cell r="J350" t="str">
            <v xml:space="preserve"> </v>
          </cell>
          <cell r="K350" t="str">
            <v xml:space="preserve"> </v>
          </cell>
          <cell r="L350" t="str">
            <v xml:space="preserve"> </v>
          </cell>
          <cell r="M350" t="str">
            <v xml:space="preserve"> </v>
          </cell>
        </row>
        <row r="351">
          <cell r="B351" t="str">
            <v xml:space="preserve"> </v>
          </cell>
          <cell r="C351" t="str">
            <v xml:space="preserve"> </v>
          </cell>
          <cell r="D351" t="str">
            <v xml:space="preserve"> </v>
          </cell>
          <cell r="E351" t="str">
            <v xml:space="preserve"> </v>
          </cell>
          <cell r="F351" t="str">
            <v xml:space="preserve"> </v>
          </cell>
          <cell r="G351" t="str">
            <v xml:space="preserve"> </v>
          </cell>
          <cell r="H351" t="str">
            <v xml:space="preserve"> </v>
          </cell>
          <cell r="I351" t="str">
            <v xml:space="preserve"> </v>
          </cell>
          <cell r="J351" t="str">
            <v xml:space="preserve"> </v>
          </cell>
          <cell r="K351" t="str">
            <v xml:space="preserve"> </v>
          </cell>
          <cell r="L351" t="str">
            <v xml:space="preserve"> </v>
          </cell>
          <cell r="M351" t="str">
            <v xml:space="preserve"> </v>
          </cell>
        </row>
        <row r="352">
          <cell r="B352" t="str">
            <v xml:space="preserve"> </v>
          </cell>
          <cell r="C352" t="str">
            <v xml:space="preserve"> </v>
          </cell>
          <cell r="D352" t="str">
            <v xml:space="preserve"> </v>
          </cell>
          <cell r="E352" t="str">
            <v xml:space="preserve"> </v>
          </cell>
          <cell r="F352" t="str">
            <v xml:space="preserve"> </v>
          </cell>
          <cell r="G352" t="str">
            <v xml:space="preserve"> </v>
          </cell>
          <cell r="H352" t="str">
            <v xml:space="preserve"> </v>
          </cell>
          <cell r="I352" t="str">
            <v xml:space="preserve"> </v>
          </cell>
          <cell r="J352" t="str">
            <v xml:space="preserve"> </v>
          </cell>
          <cell r="K352" t="str">
            <v xml:space="preserve"> </v>
          </cell>
          <cell r="L352" t="str">
            <v xml:space="preserve"> </v>
          </cell>
          <cell r="M352" t="str">
            <v xml:space="preserve"> </v>
          </cell>
        </row>
        <row r="353">
          <cell r="B353" t="str">
            <v xml:space="preserve"> </v>
          </cell>
          <cell r="C353" t="str">
            <v xml:space="preserve"> </v>
          </cell>
          <cell r="D353" t="str">
            <v xml:space="preserve"> </v>
          </cell>
          <cell r="E353" t="str">
            <v xml:space="preserve"> </v>
          </cell>
          <cell r="F353" t="str">
            <v xml:space="preserve"> </v>
          </cell>
          <cell r="G353" t="str">
            <v xml:space="preserve"> </v>
          </cell>
          <cell r="H353" t="str">
            <v xml:space="preserve"> </v>
          </cell>
          <cell r="I353" t="str">
            <v xml:space="preserve"> </v>
          </cell>
          <cell r="J353" t="str">
            <v xml:space="preserve"> </v>
          </cell>
          <cell r="K353" t="str">
            <v xml:space="preserve"> </v>
          </cell>
          <cell r="L353" t="str">
            <v xml:space="preserve"> </v>
          </cell>
          <cell r="M353" t="str">
            <v xml:space="preserve"> </v>
          </cell>
        </row>
        <row r="354">
          <cell r="B354" t="str">
            <v xml:space="preserve"> </v>
          </cell>
          <cell r="C354" t="str">
            <v xml:space="preserve"> </v>
          </cell>
          <cell r="D354" t="str">
            <v xml:space="preserve"> </v>
          </cell>
          <cell r="E354" t="str">
            <v xml:space="preserve"> </v>
          </cell>
          <cell r="F354" t="str">
            <v xml:space="preserve"> </v>
          </cell>
          <cell r="G354" t="str">
            <v xml:space="preserve"> </v>
          </cell>
          <cell r="H354" t="str">
            <v xml:space="preserve"> </v>
          </cell>
          <cell r="I354" t="str">
            <v xml:space="preserve"> </v>
          </cell>
          <cell r="J354" t="str">
            <v xml:space="preserve"> </v>
          </cell>
          <cell r="K354" t="str">
            <v xml:space="preserve"> </v>
          </cell>
          <cell r="L354" t="str">
            <v xml:space="preserve"> </v>
          </cell>
          <cell r="M354" t="str">
            <v xml:space="preserve"> </v>
          </cell>
        </row>
        <row r="355">
          <cell r="B355" t="str">
            <v xml:space="preserve"> </v>
          </cell>
          <cell r="C355" t="str">
            <v xml:space="preserve"> </v>
          </cell>
          <cell r="D355" t="str">
            <v xml:space="preserve"> </v>
          </cell>
          <cell r="E355" t="str">
            <v xml:space="preserve"> </v>
          </cell>
          <cell r="F355" t="str">
            <v xml:space="preserve"> </v>
          </cell>
          <cell r="G355" t="str">
            <v xml:space="preserve"> </v>
          </cell>
          <cell r="H355" t="str">
            <v xml:space="preserve"> </v>
          </cell>
          <cell r="I355" t="str">
            <v xml:space="preserve"> </v>
          </cell>
          <cell r="J355" t="str">
            <v xml:space="preserve"> </v>
          </cell>
          <cell r="K355" t="str">
            <v xml:space="preserve"> </v>
          </cell>
          <cell r="L355" t="str">
            <v xml:space="preserve"> </v>
          </cell>
          <cell r="M355" t="str">
            <v xml:space="preserve"> </v>
          </cell>
        </row>
        <row r="356">
          <cell r="B356" t="str">
            <v xml:space="preserve"> </v>
          </cell>
          <cell r="C356" t="str">
            <v xml:space="preserve"> </v>
          </cell>
          <cell r="D356" t="str">
            <v xml:space="preserve"> </v>
          </cell>
          <cell r="E356" t="str">
            <v xml:space="preserve"> </v>
          </cell>
          <cell r="F356" t="str">
            <v xml:space="preserve"> </v>
          </cell>
          <cell r="G356" t="str">
            <v xml:space="preserve"> </v>
          </cell>
          <cell r="H356" t="str">
            <v xml:space="preserve"> </v>
          </cell>
          <cell r="I356" t="str">
            <v xml:space="preserve"> </v>
          </cell>
          <cell r="J356" t="str">
            <v xml:space="preserve"> </v>
          </cell>
          <cell r="K356" t="str">
            <v xml:space="preserve"> </v>
          </cell>
          <cell r="L356" t="str">
            <v xml:space="preserve"> </v>
          </cell>
          <cell r="M356" t="str">
            <v xml:space="preserve"> </v>
          </cell>
        </row>
        <row r="357">
          <cell r="B357" t="str">
            <v xml:space="preserve"> </v>
          </cell>
          <cell r="C357" t="str">
            <v xml:space="preserve"> </v>
          </cell>
          <cell r="D357" t="str">
            <v xml:space="preserve"> </v>
          </cell>
          <cell r="E357" t="str">
            <v xml:space="preserve"> </v>
          </cell>
          <cell r="F357" t="str">
            <v xml:space="preserve"> </v>
          </cell>
          <cell r="G357" t="str">
            <v xml:space="preserve"> </v>
          </cell>
          <cell r="H357" t="str">
            <v xml:space="preserve"> </v>
          </cell>
          <cell r="I357" t="str">
            <v xml:space="preserve"> </v>
          </cell>
          <cell r="J357" t="str">
            <v xml:space="preserve"> </v>
          </cell>
          <cell r="K357" t="str">
            <v xml:space="preserve"> </v>
          </cell>
          <cell r="L357" t="str">
            <v xml:space="preserve"> </v>
          </cell>
          <cell r="M357" t="str">
            <v xml:space="preserve"> </v>
          </cell>
        </row>
        <row r="358">
          <cell r="B358" t="str">
            <v xml:space="preserve"> </v>
          </cell>
          <cell r="C358" t="str">
            <v xml:space="preserve"> </v>
          </cell>
          <cell r="D358" t="str">
            <v xml:space="preserve"> </v>
          </cell>
          <cell r="E358" t="str">
            <v xml:space="preserve"> </v>
          </cell>
          <cell r="F358" t="str">
            <v xml:space="preserve"> </v>
          </cell>
          <cell r="G358" t="str">
            <v xml:space="preserve"> </v>
          </cell>
          <cell r="H358" t="str">
            <v xml:space="preserve"> </v>
          </cell>
          <cell r="I358" t="str">
            <v xml:space="preserve"> </v>
          </cell>
          <cell r="J358" t="str">
            <v xml:space="preserve"> </v>
          </cell>
          <cell r="K358" t="str">
            <v xml:space="preserve"> </v>
          </cell>
          <cell r="L358" t="str">
            <v xml:space="preserve"> </v>
          </cell>
          <cell r="M358" t="str">
            <v xml:space="preserve"> </v>
          </cell>
        </row>
        <row r="359">
          <cell r="B359" t="str">
            <v xml:space="preserve"> </v>
          </cell>
          <cell r="C359" t="str">
            <v xml:space="preserve"> </v>
          </cell>
          <cell r="D359" t="str">
            <v xml:space="preserve"> </v>
          </cell>
          <cell r="E359" t="str">
            <v xml:space="preserve"> </v>
          </cell>
          <cell r="F359" t="str">
            <v xml:space="preserve"> </v>
          </cell>
          <cell r="G359" t="str">
            <v xml:space="preserve"> </v>
          </cell>
          <cell r="H359" t="str">
            <v xml:space="preserve"> </v>
          </cell>
          <cell r="I359" t="str">
            <v xml:space="preserve"> </v>
          </cell>
          <cell r="J359" t="str">
            <v xml:space="preserve"> </v>
          </cell>
          <cell r="K359" t="str">
            <v xml:space="preserve"> </v>
          </cell>
          <cell r="L359" t="str">
            <v xml:space="preserve"> </v>
          </cell>
          <cell r="M359" t="str">
            <v xml:space="preserve"> </v>
          </cell>
        </row>
        <row r="360">
          <cell r="B360" t="str">
            <v xml:space="preserve"> </v>
          </cell>
          <cell r="C360" t="str">
            <v xml:space="preserve"> </v>
          </cell>
          <cell r="D360" t="str">
            <v xml:space="preserve"> </v>
          </cell>
          <cell r="E360" t="str">
            <v xml:space="preserve"> </v>
          </cell>
          <cell r="F360" t="str">
            <v xml:space="preserve"> </v>
          </cell>
          <cell r="G360" t="str">
            <v xml:space="preserve"> </v>
          </cell>
          <cell r="H360" t="str">
            <v xml:space="preserve"> </v>
          </cell>
          <cell r="I360" t="str">
            <v xml:space="preserve"> </v>
          </cell>
          <cell r="J360" t="str">
            <v xml:space="preserve"> </v>
          </cell>
          <cell r="K360" t="str">
            <v xml:space="preserve"> </v>
          </cell>
          <cell r="L360" t="str">
            <v xml:space="preserve"> </v>
          </cell>
          <cell r="M360" t="str">
            <v xml:space="preserve"> </v>
          </cell>
        </row>
        <row r="361">
          <cell r="B361" t="str">
            <v xml:space="preserve"> </v>
          </cell>
          <cell r="C361" t="str">
            <v xml:space="preserve"> </v>
          </cell>
          <cell r="D361" t="str">
            <v xml:space="preserve"> </v>
          </cell>
          <cell r="E361" t="str">
            <v xml:space="preserve"> </v>
          </cell>
          <cell r="F361" t="str">
            <v xml:space="preserve"> </v>
          </cell>
          <cell r="G361" t="str">
            <v xml:space="preserve"> </v>
          </cell>
          <cell r="H361" t="str">
            <v xml:space="preserve"> </v>
          </cell>
          <cell r="I361" t="str">
            <v xml:space="preserve"> </v>
          </cell>
          <cell r="J361" t="str">
            <v xml:space="preserve"> </v>
          </cell>
          <cell r="K361" t="str">
            <v xml:space="preserve"> </v>
          </cell>
          <cell r="L361" t="str">
            <v xml:space="preserve"> </v>
          </cell>
          <cell r="M361" t="str">
            <v xml:space="preserve"> </v>
          </cell>
        </row>
        <row r="362">
          <cell r="B362" t="str">
            <v xml:space="preserve"> </v>
          </cell>
          <cell r="C362" t="str">
            <v xml:space="preserve"> </v>
          </cell>
          <cell r="D362" t="str">
            <v xml:space="preserve"> </v>
          </cell>
          <cell r="E362" t="str">
            <v xml:space="preserve"> </v>
          </cell>
          <cell r="F362" t="str">
            <v xml:space="preserve"> </v>
          </cell>
          <cell r="G362" t="str">
            <v xml:space="preserve"> </v>
          </cell>
          <cell r="H362" t="str">
            <v xml:space="preserve"> </v>
          </cell>
          <cell r="I362" t="str">
            <v xml:space="preserve"> </v>
          </cell>
          <cell r="J362" t="str">
            <v xml:space="preserve"> </v>
          </cell>
          <cell r="K362" t="str">
            <v xml:space="preserve"> </v>
          </cell>
          <cell r="L362" t="str">
            <v xml:space="preserve"> </v>
          </cell>
          <cell r="M362" t="str">
            <v xml:space="preserve"> </v>
          </cell>
        </row>
        <row r="363">
          <cell r="B363" t="str">
            <v xml:space="preserve"> </v>
          </cell>
          <cell r="C363" t="str">
            <v xml:space="preserve"> </v>
          </cell>
          <cell r="D363" t="str">
            <v xml:space="preserve"> </v>
          </cell>
          <cell r="E363" t="str">
            <v xml:space="preserve"> </v>
          </cell>
          <cell r="F363" t="str">
            <v xml:space="preserve"> </v>
          </cell>
          <cell r="G363" t="str">
            <v xml:space="preserve"> </v>
          </cell>
          <cell r="H363" t="str">
            <v xml:space="preserve"> </v>
          </cell>
          <cell r="I363" t="str">
            <v xml:space="preserve"> </v>
          </cell>
          <cell r="J363" t="str">
            <v xml:space="preserve"> </v>
          </cell>
          <cell r="K363" t="str">
            <v xml:space="preserve"> </v>
          </cell>
          <cell r="L363" t="str">
            <v xml:space="preserve"> </v>
          </cell>
          <cell r="M363" t="str">
            <v xml:space="preserve"> </v>
          </cell>
        </row>
        <row r="364">
          <cell r="B364" t="str">
            <v xml:space="preserve"> </v>
          </cell>
          <cell r="C364" t="str">
            <v xml:space="preserve"> </v>
          </cell>
          <cell r="D364" t="str">
            <v xml:space="preserve"> </v>
          </cell>
          <cell r="E364" t="str">
            <v xml:space="preserve"> </v>
          </cell>
          <cell r="F364" t="str">
            <v xml:space="preserve"> </v>
          </cell>
          <cell r="G364" t="str">
            <v xml:space="preserve"> </v>
          </cell>
          <cell r="H364" t="str">
            <v xml:space="preserve"> </v>
          </cell>
          <cell r="I364" t="str">
            <v xml:space="preserve"> </v>
          </cell>
          <cell r="J364" t="str">
            <v xml:space="preserve"> </v>
          </cell>
          <cell r="K364" t="str">
            <v xml:space="preserve"> </v>
          </cell>
          <cell r="L364" t="str">
            <v xml:space="preserve"> </v>
          </cell>
          <cell r="M364" t="str">
            <v xml:space="preserve"> </v>
          </cell>
        </row>
        <row r="365">
          <cell r="B365" t="str">
            <v xml:space="preserve"> </v>
          </cell>
          <cell r="C365" t="str">
            <v xml:space="preserve"> </v>
          </cell>
          <cell r="D365" t="str">
            <v xml:space="preserve"> </v>
          </cell>
          <cell r="E365" t="str">
            <v xml:space="preserve"> </v>
          </cell>
          <cell r="F365" t="str">
            <v xml:space="preserve"> </v>
          </cell>
          <cell r="G365" t="str">
            <v xml:space="preserve"> </v>
          </cell>
          <cell r="H365" t="str">
            <v xml:space="preserve"> </v>
          </cell>
          <cell r="I365" t="str">
            <v xml:space="preserve"> </v>
          </cell>
          <cell r="J365" t="str">
            <v xml:space="preserve"> </v>
          </cell>
          <cell r="K365" t="str">
            <v xml:space="preserve"> </v>
          </cell>
          <cell r="L365" t="str">
            <v xml:space="preserve"> </v>
          </cell>
          <cell r="M365" t="str">
            <v xml:space="preserve"> </v>
          </cell>
        </row>
        <row r="366">
          <cell r="B366" t="str">
            <v xml:space="preserve"> </v>
          </cell>
          <cell r="C366" t="str">
            <v xml:space="preserve"> </v>
          </cell>
          <cell r="D366" t="str">
            <v xml:space="preserve"> </v>
          </cell>
          <cell r="E366" t="str">
            <v xml:space="preserve"> </v>
          </cell>
          <cell r="F366" t="str">
            <v xml:space="preserve"> </v>
          </cell>
          <cell r="G366" t="str">
            <v xml:space="preserve"> </v>
          </cell>
          <cell r="H366" t="str">
            <v xml:space="preserve"> </v>
          </cell>
          <cell r="I366" t="str">
            <v xml:space="preserve"> </v>
          </cell>
          <cell r="J366" t="str">
            <v xml:space="preserve"> </v>
          </cell>
          <cell r="K366" t="str">
            <v xml:space="preserve"> </v>
          </cell>
          <cell r="L366" t="str">
            <v xml:space="preserve"> </v>
          </cell>
          <cell r="M366" t="str">
            <v xml:space="preserve"> </v>
          </cell>
        </row>
        <row r="367">
          <cell r="B367" t="str">
            <v xml:space="preserve"> </v>
          </cell>
          <cell r="C367" t="str">
            <v xml:space="preserve"> </v>
          </cell>
          <cell r="D367" t="str">
            <v xml:space="preserve"> </v>
          </cell>
          <cell r="E367" t="str">
            <v xml:space="preserve"> </v>
          </cell>
          <cell r="F367" t="str">
            <v xml:space="preserve"> </v>
          </cell>
          <cell r="G367" t="str">
            <v xml:space="preserve"> </v>
          </cell>
          <cell r="H367" t="str">
            <v xml:space="preserve"> </v>
          </cell>
          <cell r="I367" t="str">
            <v xml:space="preserve"> </v>
          </cell>
          <cell r="J367" t="str">
            <v xml:space="preserve"> </v>
          </cell>
          <cell r="K367" t="str">
            <v xml:space="preserve"> </v>
          </cell>
          <cell r="L367" t="str">
            <v xml:space="preserve"> </v>
          </cell>
          <cell r="M367" t="str">
            <v xml:space="preserve"> </v>
          </cell>
        </row>
        <row r="368">
          <cell r="B368" t="str">
            <v xml:space="preserve"> </v>
          </cell>
          <cell r="C368" t="str">
            <v xml:space="preserve"> </v>
          </cell>
          <cell r="D368" t="str">
            <v xml:space="preserve"> </v>
          </cell>
          <cell r="E368" t="str">
            <v xml:space="preserve"> </v>
          </cell>
          <cell r="F368" t="str">
            <v xml:space="preserve"> </v>
          </cell>
          <cell r="G368" t="str">
            <v xml:space="preserve"> </v>
          </cell>
          <cell r="H368" t="str">
            <v xml:space="preserve"> </v>
          </cell>
          <cell r="I368" t="str">
            <v xml:space="preserve"> </v>
          </cell>
          <cell r="J368" t="str">
            <v xml:space="preserve"> </v>
          </cell>
          <cell r="K368" t="str">
            <v xml:space="preserve"> </v>
          </cell>
          <cell r="L368" t="str">
            <v xml:space="preserve"> </v>
          </cell>
          <cell r="M368" t="str">
            <v xml:space="preserve"> </v>
          </cell>
        </row>
        <row r="369">
          <cell r="B369" t="str">
            <v xml:space="preserve"> </v>
          </cell>
          <cell r="C369" t="str">
            <v xml:space="preserve"> </v>
          </cell>
          <cell r="D369" t="str">
            <v xml:space="preserve"> </v>
          </cell>
          <cell r="E369" t="str">
            <v xml:space="preserve"> </v>
          </cell>
          <cell r="F369" t="str">
            <v xml:space="preserve"> </v>
          </cell>
          <cell r="G369" t="str">
            <v xml:space="preserve"> </v>
          </cell>
          <cell r="H369" t="str">
            <v xml:space="preserve"> </v>
          </cell>
          <cell r="I369" t="str">
            <v xml:space="preserve"> </v>
          </cell>
          <cell r="J369" t="str">
            <v xml:space="preserve"> </v>
          </cell>
          <cell r="K369" t="str">
            <v xml:space="preserve"> </v>
          </cell>
          <cell r="L369" t="str">
            <v xml:space="preserve"> </v>
          </cell>
          <cell r="M369" t="str">
            <v xml:space="preserve"> </v>
          </cell>
        </row>
        <row r="370">
          <cell r="B370" t="str">
            <v xml:space="preserve"> </v>
          </cell>
          <cell r="C370" t="str">
            <v xml:space="preserve"> </v>
          </cell>
          <cell r="D370" t="str">
            <v xml:space="preserve"> </v>
          </cell>
          <cell r="E370" t="str">
            <v xml:space="preserve"> </v>
          </cell>
          <cell r="F370" t="str">
            <v xml:space="preserve"> </v>
          </cell>
          <cell r="G370" t="str">
            <v xml:space="preserve"> </v>
          </cell>
          <cell r="H370" t="str">
            <v xml:space="preserve"> </v>
          </cell>
          <cell r="I370" t="str">
            <v xml:space="preserve"> </v>
          </cell>
          <cell r="J370" t="str">
            <v xml:space="preserve"> </v>
          </cell>
          <cell r="K370" t="str">
            <v xml:space="preserve"> </v>
          </cell>
          <cell r="L370" t="str">
            <v xml:space="preserve"> </v>
          </cell>
          <cell r="M370" t="str">
            <v xml:space="preserve"> </v>
          </cell>
        </row>
        <row r="371">
          <cell r="B371" t="str">
            <v xml:space="preserve"> </v>
          </cell>
          <cell r="C371" t="str">
            <v xml:space="preserve"> </v>
          </cell>
          <cell r="D371" t="str">
            <v xml:space="preserve"> </v>
          </cell>
          <cell r="E371" t="str">
            <v xml:space="preserve"> </v>
          </cell>
          <cell r="F371" t="str">
            <v xml:space="preserve"> </v>
          </cell>
          <cell r="G371" t="str">
            <v xml:space="preserve"> </v>
          </cell>
          <cell r="H371" t="str">
            <v xml:space="preserve"> </v>
          </cell>
          <cell r="I371" t="str">
            <v xml:space="preserve"> </v>
          </cell>
          <cell r="J371" t="str">
            <v xml:space="preserve"> </v>
          </cell>
          <cell r="K371" t="str">
            <v xml:space="preserve"> </v>
          </cell>
          <cell r="L371" t="str">
            <v xml:space="preserve"> </v>
          </cell>
          <cell r="M371" t="str">
            <v xml:space="preserve"> </v>
          </cell>
        </row>
        <row r="372">
          <cell r="B372" t="str">
            <v xml:space="preserve"> </v>
          </cell>
          <cell r="C372" t="str">
            <v xml:space="preserve"> </v>
          </cell>
          <cell r="D372" t="str">
            <v xml:space="preserve"> </v>
          </cell>
          <cell r="E372" t="str">
            <v xml:space="preserve"> </v>
          </cell>
          <cell r="F372" t="str">
            <v xml:space="preserve"> </v>
          </cell>
          <cell r="G372" t="str">
            <v xml:space="preserve"> </v>
          </cell>
          <cell r="H372" t="str">
            <v xml:space="preserve"> </v>
          </cell>
          <cell r="I372" t="str">
            <v xml:space="preserve"> </v>
          </cell>
          <cell r="J372" t="str">
            <v xml:space="preserve"> </v>
          </cell>
          <cell r="K372" t="str">
            <v xml:space="preserve"> </v>
          </cell>
          <cell r="L372" t="str">
            <v xml:space="preserve"> </v>
          </cell>
          <cell r="M372" t="str">
            <v xml:space="preserve"> </v>
          </cell>
        </row>
        <row r="373">
          <cell r="B373" t="str">
            <v xml:space="preserve"> </v>
          </cell>
          <cell r="C373" t="str">
            <v xml:space="preserve"> </v>
          </cell>
          <cell r="D373" t="str">
            <v xml:space="preserve"> </v>
          </cell>
          <cell r="E373" t="str">
            <v xml:space="preserve"> </v>
          </cell>
          <cell r="F373" t="str">
            <v xml:space="preserve"> </v>
          </cell>
          <cell r="G373" t="str">
            <v xml:space="preserve"> </v>
          </cell>
          <cell r="H373" t="str">
            <v xml:space="preserve"> </v>
          </cell>
          <cell r="I373" t="str">
            <v xml:space="preserve"> </v>
          </cell>
          <cell r="J373" t="str">
            <v xml:space="preserve"> </v>
          </cell>
          <cell r="K373" t="str">
            <v xml:space="preserve"> </v>
          </cell>
          <cell r="L373" t="str">
            <v xml:space="preserve"> </v>
          </cell>
          <cell r="M373" t="str">
            <v xml:space="preserve"> </v>
          </cell>
        </row>
        <row r="374">
          <cell r="B374" t="str">
            <v xml:space="preserve"> </v>
          </cell>
          <cell r="C374" t="str">
            <v xml:space="preserve"> </v>
          </cell>
          <cell r="D374" t="str">
            <v xml:space="preserve"> </v>
          </cell>
          <cell r="E374" t="str">
            <v xml:space="preserve"> </v>
          </cell>
          <cell r="F374" t="str">
            <v xml:space="preserve"> </v>
          </cell>
          <cell r="G374" t="str">
            <v xml:space="preserve"> </v>
          </cell>
          <cell r="H374" t="str">
            <v xml:space="preserve"> </v>
          </cell>
          <cell r="I374" t="str">
            <v xml:space="preserve"> </v>
          </cell>
          <cell r="J374" t="str">
            <v xml:space="preserve"> </v>
          </cell>
          <cell r="K374" t="str">
            <v xml:space="preserve"> </v>
          </cell>
          <cell r="L374" t="str">
            <v xml:space="preserve"> </v>
          </cell>
          <cell r="M374" t="str">
            <v xml:space="preserve"> </v>
          </cell>
        </row>
        <row r="375">
          <cell r="B375" t="str">
            <v xml:space="preserve"> </v>
          </cell>
          <cell r="C375" t="str">
            <v xml:space="preserve"> </v>
          </cell>
          <cell r="D375" t="str">
            <v xml:space="preserve"> </v>
          </cell>
          <cell r="E375" t="str">
            <v xml:space="preserve"> </v>
          </cell>
          <cell r="F375" t="str">
            <v xml:space="preserve"> </v>
          </cell>
          <cell r="G375" t="str">
            <v xml:space="preserve"> </v>
          </cell>
          <cell r="H375" t="str">
            <v xml:space="preserve"> </v>
          </cell>
          <cell r="I375" t="str">
            <v xml:space="preserve"> </v>
          </cell>
          <cell r="J375" t="str">
            <v xml:space="preserve"> </v>
          </cell>
          <cell r="K375" t="str">
            <v xml:space="preserve"> </v>
          </cell>
          <cell r="L375" t="str">
            <v xml:space="preserve"> </v>
          </cell>
          <cell r="M375" t="str">
            <v xml:space="preserve"> </v>
          </cell>
        </row>
        <row r="376">
          <cell r="B376" t="str">
            <v xml:space="preserve"> </v>
          </cell>
          <cell r="C376" t="str">
            <v xml:space="preserve"> </v>
          </cell>
          <cell r="D376" t="str">
            <v xml:space="preserve"> </v>
          </cell>
          <cell r="E376" t="str">
            <v xml:space="preserve"> </v>
          </cell>
          <cell r="F376" t="str">
            <v xml:space="preserve"> </v>
          </cell>
          <cell r="G376" t="str">
            <v xml:space="preserve"> </v>
          </cell>
          <cell r="H376" t="str">
            <v xml:space="preserve"> </v>
          </cell>
          <cell r="I376" t="str">
            <v xml:space="preserve"> </v>
          </cell>
          <cell r="J376" t="str">
            <v xml:space="preserve"> </v>
          </cell>
          <cell r="K376" t="str">
            <v xml:space="preserve"> </v>
          </cell>
          <cell r="L376" t="str">
            <v xml:space="preserve"> </v>
          </cell>
          <cell r="M376" t="str">
            <v xml:space="preserve"> </v>
          </cell>
        </row>
        <row r="377">
          <cell r="B377" t="str">
            <v xml:space="preserve"> </v>
          </cell>
          <cell r="C377" t="str">
            <v xml:space="preserve"> </v>
          </cell>
          <cell r="D377" t="str">
            <v xml:space="preserve"> </v>
          </cell>
          <cell r="E377" t="str">
            <v xml:space="preserve"> </v>
          </cell>
          <cell r="F377" t="str">
            <v xml:space="preserve"> </v>
          </cell>
          <cell r="G377" t="str">
            <v xml:space="preserve"> </v>
          </cell>
          <cell r="H377" t="str">
            <v xml:space="preserve"> </v>
          </cell>
          <cell r="I377" t="str">
            <v xml:space="preserve"> </v>
          </cell>
          <cell r="J377" t="str">
            <v xml:space="preserve"> </v>
          </cell>
          <cell r="K377" t="str">
            <v xml:space="preserve"> </v>
          </cell>
          <cell r="L377" t="str">
            <v xml:space="preserve"> </v>
          </cell>
          <cell r="M377" t="str">
            <v xml:space="preserve"> </v>
          </cell>
        </row>
        <row r="378">
          <cell r="B378" t="str">
            <v xml:space="preserve"> </v>
          </cell>
          <cell r="C378" t="str">
            <v xml:space="preserve"> </v>
          </cell>
          <cell r="D378" t="str">
            <v xml:space="preserve"> </v>
          </cell>
          <cell r="E378" t="str">
            <v xml:space="preserve"> </v>
          </cell>
          <cell r="F378" t="str">
            <v xml:space="preserve"> </v>
          </cell>
          <cell r="G378" t="str">
            <v xml:space="preserve"> </v>
          </cell>
          <cell r="H378" t="str">
            <v xml:space="preserve"> </v>
          </cell>
          <cell r="I378" t="str">
            <v xml:space="preserve"> </v>
          </cell>
          <cell r="J378" t="str">
            <v xml:space="preserve"> </v>
          </cell>
          <cell r="K378" t="str">
            <v xml:space="preserve"> </v>
          </cell>
          <cell r="L378" t="str">
            <v xml:space="preserve"> </v>
          </cell>
          <cell r="M378" t="str">
            <v xml:space="preserve"> </v>
          </cell>
        </row>
        <row r="379">
          <cell r="B379" t="str">
            <v xml:space="preserve"> </v>
          </cell>
          <cell r="C379" t="str">
            <v xml:space="preserve"> </v>
          </cell>
          <cell r="D379" t="str">
            <v xml:space="preserve"> </v>
          </cell>
          <cell r="E379" t="str">
            <v xml:space="preserve"> </v>
          </cell>
          <cell r="F379" t="str">
            <v xml:space="preserve"> </v>
          </cell>
          <cell r="G379" t="str">
            <v xml:space="preserve"> </v>
          </cell>
          <cell r="H379" t="str">
            <v xml:space="preserve"> </v>
          </cell>
          <cell r="I379" t="str">
            <v xml:space="preserve"> </v>
          </cell>
          <cell r="J379" t="str">
            <v xml:space="preserve"> </v>
          </cell>
          <cell r="K379" t="str">
            <v xml:space="preserve"> </v>
          </cell>
          <cell r="L379" t="str">
            <v xml:space="preserve"> </v>
          </cell>
          <cell r="M379" t="str">
            <v xml:space="preserve"> </v>
          </cell>
        </row>
        <row r="380">
          <cell r="B380" t="str">
            <v xml:space="preserve"> </v>
          </cell>
          <cell r="C380" t="str">
            <v xml:space="preserve"> </v>
          </cell>
          <cell r="D380" t="str">
            <v xml:space="preserve"> </v>
          </cell>
          <cell r="E380" t="str">
            <v xml:space="preserve"> </v>
          </cell>
          <cell r="F380" t="str">
            <v xml:space="preserve"> </v>
          </cell>
          <cell r="G380" t="str">
            <v xml:space="preserve"> </v>
          </cell>
          <cell r="H380" t="str">
            <v xml:space="preserve"> </v>
          </cell>
          <cell r="I380" t="str">
            <v xml:space="preserve"> </v>
          </cell>
          <cell r="J380" t="str">
            <v xml:space="preserve"> </v>
          </cell>
          <cell r="K380" t="str">
            <v xml:space="preserve"> </v>
          </cell>
          <cell r="L380" t="str">
            <v xml:space="preserve"> </v>
          </cell>
          <cell r="M380" t="str">
            <v xml:space="preserve"> </v>
          </cell>
        </row>
        <row r="381">
          <cell r="B381" t="str">
            <v xml:space="preserve"> </v>
          </cell>
          <cell r="C381" t="str">
            <v xml:space="preserve"> </v>
          </cell>
          <cell r="D381" t="str">
            <v xml:space="preserve"> </v>
          </cell>
          <cell r="E381" t="str">
            <v xml:space="preserve"> </v>
          </cell>
          <cell r="F381" t="str">
            <v xml:space="preserve"> </v>
          </cell>
          <cell r="G381" t="str">
            <v xml:space="preserve"> </v>
          </cell>
          <cell r="H381" t="str">
            <v xml:space="preserve"> </v>
          </cell>
          <cell r="I381" t="str">
            <v xml:space="preserve"> </v>
          </cell>
          <cell r="J381" t="str">
            <v xml:space="preserve"> </v>
          </cell>
          <cell r="K381" t="str">
            <v xml:space="preserve"> </v>
          </cell>
          <cell r="L381" t="str">
            <v xml:space="preserve"> </v>
          </cell>
          <cell r="M381" t="str">
            <v xml:space="preserve"> </v>
          </cell>
        </row>
        <row r="382">
          <cell r="B382" t="str">
            <v xml:space="preserve"> </v>
          </cell>
          <cell r="C382" t="str">
            <v xml:space="preserve"> </v>
          </cell>
          <cell r="D382" t="str">
            <v xml:space="preserve"> </v>
          </cell>
          <cell r="E382" t="str">
            <v xml:space="preserve"> </v>
          </cell>
          <cell r="F382" t="str">
            <v xml:space="preserve"> </v>
          </cell>
          <cell r="G382" t="str">
            <v xml:space="preserve"> </v>
          </cell>
          <cell r="H382" t="str">
            <v xml:space="preserve"> </v>
          </cell>
          <cell r="I382" t="str">
            <v xml:space="preserve"> </v>
          </cell>
          <cell r="J382" t="str">
            <v xml:space="preserve"> </v>
          </cell>
          <cell r="K382" t="str">
            <v xml:space="preserve"> </v>
          </cell>
          <cell r="L382" t="str">
            <v xml:space="preserve"> </v>
          </cell>
          <cell r="M382" t="str">
            <v xml:space="preserve"> </v>
          </cell>
        </row>
        <row r="383">
          <cell r="B383" t="str">
            <v xml:space="preserve"> </v>
          </cell>
          <cell r="C383" t="str">
            <v xml:space="preserve"> </v>
          </cell>
          <cell r="D383" t="str">
            <v xml:space="preserve"> </v>
          </cell>
          <cell r="E383" t="str">
            <v xml:space="preserve"> </v>
          </cell>
          <cell r="F383" t="str">
            <v xml:space="preserve"> </v>
          </cell>
          <cell r="G383" t="str">
            <v xml:space="preserve"> </v>
          </cell>
          <cell r="H383" t="str">
            <v xml:space="preserve"> </v>
          </cell>
          <cell r="I383" t="str">
            <v xml:space="preserve"> </v>
          </cell>
          <cell r="J383" t="str">
            <v xml:space="preserve"> </v>
          </cell>
          <cell r="K383" t="str">
            <v xml:space="preserve"> </v>
          </cell>
          <cell r="L383" t="str">
            <v xml:space="preserve"> </v>
          </cell>
          <cell r="M383" t="str">
            <v xml:space="preserve"> </v>
          </cell>
        </row>
        <row r="384">
          <cell r="B384" t="str">
            <v xml:space="preserve"> </v>
          </cell>
          <cell r="C384" t="str">
            <v xml:space="preserve"> </v>
          </cell>
          <cell r="D384" t="str">
            <v xml:space="preserve"> </v>
          </cell>
          <cell r="E384" t="str">
            <v xml:space="preserve"> </v>
          </cell>
          <cell r="F384" t="str">
            <v xml:space="preserve"> </v>
          </cell>
          <cell r="G384" t="str">
            <v xml:space="preserve"> </v>
          </cell>
          <cell r="H384" t="str">
            <v xml:space="preserve"> </v>
          </cell>
          <cell r="I384" t="str">
            <v xml:space="preserve"> </v>
          </cell>
          <cell r="J384" t="str">
            <v xml:space="preserve"> </v>
          </cell>
          <cell r="K384" t="str">
            <v xml:space="preserve"> </v>
          </cell>
          <cell r="L384" t="str">
            <v xml:space="preserve"> </v>
          </cell>
          <cell r="M384" t="str">
            <v xml:space="preserve"> </v>
          </cell>
        </row>
        <row r="385">
          <cell r="B385" t="str">
            <v xml:space="preserve"> </v>
          </cell>
          <cell r="C385" t="str">
            <v xml:space="preserve"> </v>
          </cell>
          <cell r="D385" t="str">
            <v xml:space="preserve"> </v>
          </cell>
          <cell r="E385" t="str">
            <v xml:space="preserve"> </v>
          </cell>
          <cell r="F385" t="str">
            <v xml:space="preserve"> </v>
          </cell>
          <cell r="G385" t="str">
            <v xml:space="preserve"> </v>
          </cell>
          <cell r="H385" t="str">
            <v xml:space="preserve"> </v>
          </cell>
          <cell r="I385" t="str">
            <v xml:space="preserve"> </v>
          </cell>
          <cell r="J385" t="str">
            <v xml:space="preserve"> </v>
          </cell>
          <cell r="K385" t="str">
            <v xml:space="preserve"> </v>
          </cell>
          <cell r="L385" t="str">
            <v xml:space="preserve"> </v>
          </cell>
          <cell r="M385" t="str">
            <v xml:space="preserve"> </v>
          </cell>
        </row>
        <row r="386">
          <cell r="B386" t="str">
            <v xml:space="preserve"> </v>
          </cell>
          <cell r="C386" t="str">
            <v xml:space="preserve"> </v>
          </cell>
          <cell r="D386" t="str">
            <v xml:space="preserve"> </v>
          </cell>
          <cell r="E386" t="str">
            <v xml:space="preserve"> </v>
          </cell>
          <cell r="F386" t="str">
            <v xml:space="preserve"> </v>
          </cell>
          <cell r="G386" t="str">
            <v xml:space="preserve"> </v>
          </cell>
          <cell r="H386" t="str">
            <v xml:space="preserve"> </v>
          </cell>
          <cell r="I386" t="str">
            <v xml:space="preserve"> </v>
          </cell>
          <cell r="J386" t="str">
            <v xml:space="preserve"> </v>
          </cell>
          <cell r="K386" t="str">
            <v xml:space="preserve"> </v>
          </cell>
          <cell r="L386" t="str">
            <v xml:space="preserve"> </v>
          </cell>
          <cell r="M386" t="str">
            <v xml:space="preserve"> </v>
          </cell>
        </row>
        <row r="387">
          <cell r="B387" t="str">
            <v xml:space="preserve"> </v>
          </cell>
          <cell r="C387" t="str">
            <v xml:space="preserve"> </v>
          </cell>
          <cell r="D387" t="str">
            <v xml:space="preserve"> </v>
          </cell>
          <cell r="E387" t="str">
            <v xml:space="preserve"> </v>
          </cell>
          <cell r="F387" t="str">
            <v xml:space="preserve"> </v>
          </cell>
          <cell r="G387" t="str">
            <v xml:space="preserve"> </v>
          </cell>
          <cell r="H387" t="str">
            <v xml:space="preserve"> </v>
          </cell>
          <cell r="I387" t="str">
            <v xml:space="preserve"> </v>
          </cell>
          <cell r="J387" t="str">
            <v xml:space="preserve"> </v>
          </cell>
          <cell r="K387" t="str">
            <v xml:space="preserve"> </v>
          </cell>
          <cell r="L387" t="str">
            <v xml:space="preserve"> </v>
          </cell>
          <cell r="M387" t="str">
            <v xml:space="preserve"> </v>
          </cell>
        </row>
        <row r="388">
          <cell r="B388" t="str">
            <v xml:space="preserve"> </v>
          </cell>
          <cell r="C388" t="str">
            <v xml:space="preserve"> </v>
          </cell>
          <cell r="D388" t="str">
            <v xml:space="preserve"> </v>
          </cell>
          <cell r="E388" t="str">
            <v xml:space="preserve"> </v>
          </cell>
          <cell r="F388" t="str">
            <v xml:space="preserve"> </v>
          </cell>
          <cell r="G388" t="str">
            <v xml:space="preserve"> </v>
          </cell>
          <cell r="H388" t="str">
            <v xml:space="preserve"> </v>
          </cell>
          <cell r="I388" t="str">
            <v xml:space="preserve"> </v>
          </cell>
          <cell r="J388" t="str">
            <v xml:space="preserve"> </v>
          </cell>
          <cell r="K388" t="str">
            <v xml:space="preserve"> </v>
          </cell>
          <cell r="L388" t="str">
            <v xml:space="preserve"> </v>
          </cell>
          <cell r="M388" t="str">
            <v xml:space="preserve"> </v>
          </cell>
        </row>
        <row r="389">
          <cell r="B389" t="str">
            <v xml:space="preserve"> </v>
          </cell>
          <cell r="C389" t="str">
            <v xml:space="preserve"> </v>
          </cell>
          <cell r="D389" t="str">
            <v xml:space="preserve"> </v>
          </cell>
          <cell r="E389" t="str">
            <v xml:space="preserve"> </v>
          </cell>
          <cell r="F389" t="str">
            <v xml:space="preserve"> </v>
          </cell>
          <cell r="G389" t="str">
            <v xml:space="preserve"> </v>
          </cell>
          <cell r="H389" t="str">
            <v xml:space="preserve"> </v>
          </cell>
          <cell r="I389" t="str">
            <v xml:space="preserve"> </v>
          </cell>
          <cell r="J389" t="str">
            <v xml:space="preserve"> </v>
          </cell>
          <cell r="K389" t="str">
            <v xml:space="preserve"> </v>
          </cell>
          <cell r="L389" t="str">
            <v xml:space="preserve"> </v>
          </cell>
          <cell r="M389" t="str">
            <v xml:space="preserve"> </v>
          </cell>
        </row>
        <row r="390">
          <cell r="B390" t="str">
            <v xml:space="preserve"> </v>
          </cell>
          <cell r="C390" t="str">
            <v xml:space="preserve"> </v>
          </cell>
          <cell r="D390" t="str">
            <v xml:space="preserve"> </v>
          </cell>
          <cell r="E390" t="str">
            <v xml:space="preserve"> </v>
          </cell>
          <cell r="F390" t="str">
            <v xml:space="preserve"> </v>
          </cell>
          <cell r="G390" t="str">
            <v xml:space="preserve"> </v>
          </cell>
          <cell r="H390" t="str">
            <v xml:space="preserve"> </v>
          </cell>
          <cell r="I390" t="str">
            <v xml:space="preserve"> </v>
          </cell>
          <cell r="J390" t="str">
            <v xml:space="preserve"> </v>
          </cell>
          <cell r="K390" t="str">
            <v xml:space="preserve"> </v>
          </cell>
          <cell r="L390" t="str">
            <v xml:space="preserve"> </v>
          </cell>
          <cell r="M390" t="str">
            <v xml:space="preserve"> </v>
          </cell>
        </row>
        <row r="391">
          <cell r="B391" t="str">
            <v xml:space="preserve"> </v>
          </cell>
          <cell r="C391" t="str">
            <v xml:space="preserve"> </v>
          </cell>
          <cell r="D391" t="str">
            <v xml:space="preserve"> </v>
          </cell>
          <cell r="E391" t="str">
            <v xml:space="preserve"> </v>
          </cell>
          <cell r="F391" t="str">
            <v xml:space="preserve"> </v>
          </cell>
          <cell r="G391" t="str">
            <v xml:space="preserve"> </v>
          </cell>
          <cell r="H391" t="str">
            <v xml:space="preserve"> </v>
          </cell>
          <cell r="I391" t="str">
            <v xml:space="preserve"> </v>
          </cell>
          <cell r="J391" t="str">
            <v xml:space="preserve"> </v>
          </cell>
          <cell r="K391" t="str">
            <v xml:space="preserve"> </v>
          </cell>
          <cell r="L391" t="str">
            <v xml:space="preserve"> </v>
          </cell>
          <cell r="M391" t="str">
            <v xml:space="preserve"> </v>
          </cell>
        </row>
        <row r="392">
          <cell r="B392" t="str">
            <v xml:space="preserve"> </v>
          </cell>
          <cell r="C392" t="str">
            <v xml:space="preserve"> </v>
          </cell>
          <cell r="D392" t="str">
            <v xml:space="preserve"> </v>
          </cell>
          <cell r="E392" t="str">
            <v xml:space="preserve"> </v>
          </cell>
          <cell r="F392" t="str">
            <v xml:space="preserve"> </v>
          </cell>
          <cell r="G392" t="str">
            <v xml:space="preserve"> </v>
          </cell>
          <cell r="H392" t="str">
            <v xml:space="preserve"> </v>
          </cell>
          <cell r="I392" t="str">
            <v xml:space="preserve"> </v>
          </cell>
          <cell r="J392" t="str">
            <v xml:space="preserve"> </v>
          </cell>
          <cell r="K392" t="str">
            <v xml:space="preserve"> </v>
          </cell>
          <cell r="L392" t="str">
            <v xml:space="preserve"> </v>
          </cell>
          <cell r="M392" t="str">
            <v xml:space="preserve"> </v>
          </cell>
        </row>
        <row r="393">
          <cell r="B393" t="str">
            <v xml:space="preserve"> </v>
          </cell>
          <cell r="C393" t="str">
            <v xml:space="preserve"> </v>
          </cell>
          <cell r="D393" t="str">
            <v xml:space="preserve"> </v>
          </cell>
          <cell r="E393" t="str">
            <v xml:space="preserve"> </v>
          </cell>
          <cell r="F393" t="str">
            <v xml:space="preserve"> </v>
          </cell>
          <cell r="G393" t="str">
            <v xml:space="preserve"> </v>
          </cell>
          <cell r="H393" t="str">
            <v xml:space="preserve"> </v>
          </cell>
          <cell r="I393" t="str">
            <v xml:space="preserve"> </v>
          </cell>
          <cell r="J393" t="str">
            <v xml:space="preserve"> </v>
          </cell>
          <cell r="K393" t="str">
            <v xml:space="preserve"> </v>
          </cell>
          <cell r="L393" t="str">
            <v xml:space="preserve"> </v>
          </cell>
          <cell r="M393" t="str">
            <v xml:space="preserve"> </v>
          </cell>
        </row>
        <row r="394">
          <cell r="B394" t="str">
            <v xml:space="preserve"> </v>
          </cell>
          <cell r="C394" t="str">
            <v xml:space="preserve"> </v>
          </cell>
          <cell r="D394" t="str">
            <v xml:space="preserve"> </v>
          </cell>
          <cell r="E394" t="str">
            <v xml:space="preserve"> </v>
          </cell>
          <cell r="F394" t="str">
            <v xml:space="preserve"> </v>
          </cell>
          <cell r="G394" t="str">
            <v xml:space="preserve"> </v>
          </cell>
          <cell r="H394" t="str">
            <v xml:space="preserve"> </v>
          </cell>
          <cell r="I394" t="str">
            <v xml:space="preserve"> </v>
          </cell>
          <cell r="J394" t="str">
            <v xml:space="preserve"> </v>
          </cell>
          <cell r="K394" t="str">
            <v xml:space="preserve"> </v>
          </cell>
          <cell r="L394" t="str">
            <v xml:space="preserve"> </v>
          </cell>
          <cell r="M394" t="str">
            <v xml:space="preserve"> </v>
          </cell>
        </row>
        <row r="395">
          <cell r="B395" t="str">
            <v xml:space="preserve"> </v>
          </cell>
          <cell r="C395" t="str">
            <v xml:space="preserve"> </v>
          </cell>
          <cell r="D395" t="str">
            <v xml:space="preserve"> </v>
          </cell>
          <cell r="E395" t="str">
            <v xml:space="preserve"> </v>
          </cell>
          <cell r="F395" t="str">
            <v xml:space="preserve"> </v>
          </cell>
          <cell r="G395" t="str">
            <v xml:space="preserve"> </v>
          </cell>
          <cell r="H395" t="str">
            <v xml:space="preserve"> </v>
          </cell>
          <cell r="I395" t="str">
            <v xml:space="preserve"> </v>
          </cell>
          <cell r="J395" t="str">
            <v xml:space="preserve"> </v>
          </cell>
          <cell r="K395" t="str">
            <v xml:space="preserve"> </v>
          </cell>
          <cell r="L395" t="str">
            <v xml:space="preserve"> </v>
          </cell>
          <cell r="M395" t="str">
            <v xml:space="preserve"> </v>
          </cell>
        </row>
        <row r="396">
          <cell r="B396" t="str">
            <v xml:space="preserve"> </v>
          </cell>
          <cell r="C396" t="str">
            <v xml:space="preserve"> </v>
          </cell>
          <cell r="D396" t="str">
            <v xml:space="preserve"> </v>
          </cell>
          <cell r="E396" t="str">
            <v xml:space="preserve"> </v>
          </cell>
          <cell r="F396" t="str">
            <v xml:space="preserve"> </v>
          </cell>
          <cell r="G396" t="str">
            <v xml:space="preserve"> </v>
          </cell>
          <cell r="H396" t="str">
            <v xml:space="preserve"> </v>
          </cell>
          <cell r="I396" t="str">
            <v xml:space="preserve"> </v>
          </cell>
          <cell r="J396" t="str">
            <v xml:space="preserve"> </v>
          </cell>
          <cell r="K396" t="str">
            <v xml:space="preserve"> </v>
          </cell>
          <cell r="L396" t="str">
            <v xml:space="preserve"> </v>
          </cell>
          <cell r="M396" t="str">
            <v xml:space="preserve"> </v>
          </cell>
        </row>
        <row r="397">
          <cell r="B397" t="str">
            <v xml:space="preserve"> </v>
          </cell>
          <cell r="C397" t="str">
            <v xml:space="preserve"> </v>
          </cell>
          <cell r="D397" t="str">
            <v xml:space="preserve"> </v>
          </cell>
          <cell r="E397" t="str">
            <v xml:space="preserve"> </v>
          </cell>
          <cell r="F397" t="str">
            <v xml:space="preserve"> </v>
          </cell>
          <cell r="G397" t="str">
            <v xml:space="preserve"> </v>
          </cell>
          <cell r="H397" t="str">
            <v xml:space="preserve"> </v>
          </cell>
          <cell r="I397" t="str">
            <v xml:space="preserve"> </v>
          </cell>
          <cell r="J397" t="str">
            <v xml:space="preserve"> </v>
          </cell>
          <cell r="K397" t="str">
            <v xml:space="preserve"> </v>
          </cell>
          <cell r="L397" t="str">
            <v xml:space="preserve"> </v>
          </cell>
          <cell r="M397" t="str">
            <v xml:space="preserve"> </v>
          </cell>
        </row>
        <row r="398">
          <cell r="B398" t="str">
            <v xml:space="preserve"> </v>
          </cell>
          <cell r="C398" t="str">
            <v xml:space="preserve"> </v>
          </cell>
          <cell r="D398" t="str">
            <v xml:space="preserve"> </v>
          </cell>
          <cell r="E398" t="str">
            <v xml:space="preserve"> </v>
          </cell>
          <cell r="F398" t="str">
            <v xml:space="preserve"> </v>
          </cell>
          <cell r="G398" t="str">
            <v xml:space="preserve"> </v>
          </cell>
          <cell r="H398" t="str">
            <v xml:space="preserve"> </v>
          </cell>
          <cell r="I398" t="str">
            <v xml:space="preserve"> </v>
          </cell>
          <cell r="J398" t="str">
            <v xml:space="preserve"> </v>
          </cell>
          <cell r="K398" t="str">
            <v xml:space="preserve"> </v>
          </cell>
          <cell r="L398" t="str">
            <v xml:space="preserve"> </v>
          </cell>
          <cell r="M398" t="str">
            <v xml:space="preserve"> </v>
          </cell>
        </row>
        <row r="399">
          <cell r="B399" t="str">
            <v xml:space="preserve"> </v>
          </cell>
          <cell r="C399" t="str">
            <v xml:space="preserve"> </v>
          </cell>
          <cell r="D399" t="str">
            <v xml:space="preserve"> </v>
          </cell>
          <cell r="E399" t="str">
            <v xml:space="preserve"> </v>
          </cell>
          <cell r="F399" t="str">
            <v xml:space="preserve"> </v>
          </cell>
          <cell r="G399" t="str">
            <v xml:space="preserve"> </v>
          </cell>
          <cell r="H399" t="str">
            <v xml:space="preserve"> </v>
          </cell>
          <cell r="I399" t="str">
            <v xml:space="preserve"> </v>
          </cell>
          <cell r="J399" t="str">
            <v xml:space="preserve"> </v>
          </cell>
          <cell r="K399" t="str">
            <v xml:space="preserve"> </v>
          </cell>
          <cell r="L399" t="str">
            <v xml:space="preserve"> </v>
          </cell>
          <cell r="M399" t="str">
            <v xml:space="preserve"> </v>
          </cell>
        </row>
        <row r="400">
          <cell r="B400" t="str">
            <v xml:space="preserve"> </v>
          </cell>
          <cell r="C400" t="str">
            <v xml:space="preserve"> </v>
          </cell>
          <cell r="D400" t="str">
            <v xml:space="preserve"> </v>
          </cell>
          <cell r="E400" t="str">
            <v xml:space="preserve"> </v>
          </cell>
          <cell r="F400" t="str">
            <v xml:space="preserve"> </v>
          </cell>
          <cell r="G400" t="str">
            <v xml:space="preserve"> </v>
          </cell>
          <cell r="H400" t="str">
            <v xml:space="preserve"> </v>
          </cell>
          <cell r="I400" t="str">
            <v xml:space="preserve"> </v>
          </cell>
          <cell r="J400" t="str">
            <v xml:space="preserve"> </v>
          </cell>
          <cell r="K400" t="str">
            <v xml:space="preserve"> </v>
          </cell>
          <cell r="L400" t="str">
            <v xml:space="preserve"> </v>
          </cell>
          <cell r="M400" t="str">
            <v xml:space="preserve"> </v>
          </cell>
        </row>
        <row r="401">
          <cell r="B401" t="str">
            <v xml:space="preserve"> </v>
          </cell>
          <cell r="C401" t="str">
            <v xml:space="preserve"> </v>
          </cell>
          <cell r="D401" t="str">
            <v xml:space="preserve"> </v>
          </cell>
          <cell r="E401" t="str">
            <v xml:space="preserve"> </v>
          </cell>
          <cell r="F401" t="str">
            <v xml:space="preserve"> </v>
          </cell>
          <cell r="G401" t="str">
            <v xml:space="preserve"> </v>
          </cell>
          <cell r="H401" t="str">
            <v xml:space="preserve"> </v>
          </cell>
          <cell r="I401" t="str">
            <v xml:space="preserve"> </v>
          </cell>
          <cell r="J401" t="str">
            <v xml:space="preserve"> </v>
          </cell>
          <cell r="K401" t="str">
            <v xml:space="preserve"> </v>
          </cell>
          <cell r="L401" t="str">
            <v xml:space="preserve"> </v>
          </cell>
          <cell r="M401" t="str">
            <v xml:space="preserve"> </v>
          </cell>
        </row>
        <row r="402">
          <cell r="B402" t="str">
            <v xml:space="preserve"> </v>
          </cell>
          <cell r="C402" t="str">
            <v xml:space="preserve"> </v>
          </cell>
          <cell r="D402" t="str">
            <v xml:space="preserve"> </v>
          </cell>
          <cell r="E402" t="str">
            <v xml:space="preserve"> </v>
          </cell>
          <cell r="F402" t="str">
            <v xml:space="preserve"> </v>
          </cell>
          <cell r="G402" t="str">
            <v xml:space="preserve"> </v>
          </cell>
          <cell r="H402" t="str">
            <v xml:space="preserve"> </v>
          </cell>
          <cell r="I402" t="str">
            <v xml:space="preserve"> </v>
          </cell>
          <cell r="J402" t="str">
            <v xml:space="preserve"> </v>
          </cell>
          <cell r="K402" t="str">
            <v xml:space="preserve"> </v>
          </cell>
          <cell r="L402" t="str">
            <v xml:space="preserve"> </v>
          </cell>
          <cell r="M402" t="str">
            <v xml:space="preserve"> </v>
          </cell>
        </row>
        <row r="403">
          <cell r="B403" t="str">
            <v xml:space="preserve"> </v>
          </cell>
          <cell r="C403" t="str">
            <v xml:space="preserve"> </v>
          </cell>
          <cell r="D403" t="str">
            <v xml:space="preserve"> </v>
          </cell>
          <cell r="E403" t="str">
            <v xml:space="preserve"> </v>
          </cell>
          <cell r="F403" t="str">
            <v xml:space="preserve"> </v>
          </cell>
          <cell r="G403" t="str">
            <v xml:space="preserve"> </v>
          </cell>
          <cell r="H403" t="str">
            <v xml:space="preserve"> </v>
          </cell>
          <cell r="I403" t="str">
            <v xml:space="preserve"> </v>
          </cell>
          <cell r="J403" t="str">
            <v xml:space="preserve"> </v>
          </cell>
          <cell r="K403" t="str">
            <v xml:space="preserve"> </v>
          </cell>
          <cell r="L403" t="str">
            <v xml:space="preserve"> </v>
          </cell>
          <cell r="M403" t="str">
            <v xml:space="preserve"> </v>
          </cell>
        </row>
        <row r="404">
          <cell r="B404" t="str">
            <v xml:space="preserve"> </v>
          </cell>
          <cell r="C404" t="str">
            <v xml:space="preserve"> </v>
          </cell>
          <cell r="D404" t="str">
            <v xml:space="preserve"> </v>
          </cell>
          <cell r="E404" t="str">
            <v xml:space="preserve"> </v>
          </cell>
          <cell r="F404" t="str">
            <v xml:space="preserve"> </v>
          </cell>
          <cell r="G404" t="str">
            <v xml:space="preserve"> </v>
          </cell>
          <cell r="H404" t="str">
            <v xml:space="preserve"> </v>
          </cell>
          <cell r="I404" t="str">
            <v xml:space="preserve"> </v>
          </cell>
          <cell r="J404" t="str">
            <v xml:space="preserve"> </v>
          </cell>
          <cell r="K404" t="str">
            <v xml:space="preserve"> </v>
          </cell>
          <cell r="L404" t="str">
            <v xml:space="preserve"> </v>
          </cell>
          <cell r="M404" t="str">
            <v xml:space="preserve"> </v>
          </cell>
        </row>
        <row r="405">
          <cell r="B405" t="str">
            <v xml:space="preserve"> </v>
          </cell>
          <cell r="C405" t="str">
            <v xml:space="preserve"> </v>
          </cell>
          <cell r="D405" t="str">
            <v xml:space="preserve"> </v>
          </cell>
          <cell r="E405" t="str">
            <v xml:space="preserve"> </v>
          </cell>
          <cell r="F405" t="str">
            <v xml:space="preserve"> </v>
          </cell>
          <cell r="G405" t="str">
            <v xml:space="preserve"> </v>
          </cell>
          <cell r="H405" t="str">
            <v xml:space="preserve"> </v>
          </cell>
          <cell r="I405" t="str">
            <v xml:space="preserve"> </v>
          </cell>
          <cell r="J405" t="str">
            <v xml:space="preserve"> </v>
          </cell>
          <cell r="K405" t="str">
            <v xml:space="preserve"> </v>
          </cell>
          <cell r="L405" t="str">
            <v xml:space="preserve"> </v>
          </cell>
          <cell r="M405" t="str">
            <v xml:space="preserve"> </v>
          </cell>
        </row>
        <row r="406">
          <cell r="B406" t="str">
            <v xml:space="preserve"> </v>
          </cell>
          <cell r="C406" t="str">
            <v xml:space="preserve"> </v>
          </cell>
          <cell r="D406" t="str">
            <v xml:space="preserve"> </v>
          </cell>
          <cell r="E406" t="str">
            <v xml:space="preserve"> </v>
          </cell>
          <cell r="F406" t="str">
            <v xml:space="preserve"> </v>
          </cell>
          <cell r="G406" t="str">
            <v xml:space="preserve"> </v>
          </cell>
          <cell r="H406" t="str">
            <v xml:space="preserve"> </v>
          </cell>
          <cell r="I406" t="str">
            <v xml:space="preserve"> </v>
          </cell>
          <cell r="J406" t="str">
            <v xml:space="preserve"> </v>
          </cell>
          <cell r="K406" t="str">
            <v xml:space="preserve"> </v>
          </cell>
          <cell r="L406" t="str">
            <v xml:space="preserve"> </v>
          </cell>
          <cell r="M406" t="str">
            <v xml:space="preserve"> </v>
          </cell>
        </row>
        <row r="407">
          <cell r="B407" t="str">
            <v xml:space="preserve"> </v>
          </cell>
          <cell r="C407" t="str">
            <v xml:space="preserve"> </v>
          </cell>
          <cell r="D407" t="str">
            <v xml:space="preserve"> </v>
          </cell>
          <cell r="E407" t="str">
            <v xml:space="preserve"> </v>
          </cell>
          <cell r="F407" t="str">
            <v xml:space="preserve"> </v>
          </cell>
          <cell r="G407" t="str">
            <v xml:space="preserve"> </v>
          </cell>
          <cell r="H407" t="str">
            <v xml:space="preserve"> </v>
          </cell>
          <cell r="I407" t="str">
            <v xml:space="preserve"> </v>
          </cell>
          <cell r="J407" t="str">
            <v xml:space="preserve"> </v>
          </cell>
          <cell r="K407" t="str">
            <v xml:space="preserve"> </v>
          </cell>
          <cell r="L407" t="str">
            <v xml:space="preserve"> </v>
          </cell>
          <cell r="M407" t="str">
            <v xml:space="preserve"> </v>
          </cell>
        </row>
        <row r="408">
          <cell r="B408" t="str">
            <v xml:space="preserve"> </v>
          </cell>
          <cell r="C408" t="str">
            <v xml:space="preserve"> </v>
          </cell>
          <cell r="D408" t="str">
            <v xml:space="preserve"> </v>
          </cell>
          <cell r="E408" t="str">
            <v xml:space="preserve"> </v>
          </cell>
          <cell r="F408" t="str">
            <v xml:space="preserve"> </v>
          </cell>
          <cell r="G408" t="str">
            <v xml:space="preserve"> </v>
          </cell>
          <cell r="H408" t="str">
            <v xml:space="preserve"> </v>
          </cell>
          <cell r="I408" t="str">
            <v xml:space="preserve"> </v>
          </cell>
          <cell r="J408" t="str">
            <v xml:space="preserve"> </v>
          </cell>
          <cell r="K408" t="str">
            <v xml:space="preserve"> </v>
          </cell>
          <cell r="L408" t="str">
            <v xml:space="preserve"> </v>
          </cell>
          <cell r="M408" t="str">
            <v xml:space="preserve"> </v>
          </cell>
        </row>
        <row r="409">
          <cell r="B409" t="str">
            <v xml:space="preserve"> </v>
          </cell>
          <cell r="C409" t="str">
            <v xml:space="preserve"> </v>
          </cell>
          <cell r="D409" t="str">
            <v xml:space="preserve"> </v>
          </cell>
          <cell r="E409" t="str">
            <v xml:space="preserve"> </v>
          </cell>
          <cell r="F409" t="str">
            <v xml:space="preserve"> </v>
          </cell>
          <cell r="G409" t="str">
            <v xml:space="preserve"> </v>
          </cell>
          <cell r="H409" t="str">
            <v xml:space="preserve"> </v>
          </cell>
          <cell r="I409" t="str">
            <v xml:space="preserve"> </v>
          </cell>
          <cell r="J409" t="str">
            <v xml:space="preserve"> </v>
          </cell>
          <cell r="K409" t="str">
            <v xml:space="preserve"> </v>
          </cell>
          <cell r="L409" t="str">
            <v xml:space="preserve"> </v>
          </cell>
          <cell r="M409" t="str">
            <v xml:space="preserve"> </v>
          </cell>
        </row>
        <row r="410">
          <cell r="B410" t="str">
            <v xml:space="preserve"> </v>
          </cell>
          <cell r="C410" t="str">
            <v xml:space="preserve"> </v>
          </cell>
          <cell r="D410" t="str">
            <v xml:space="preserve"> </v>
          </cell>
          <cell r="E410" t="str">
            <v xml:space="preserve"> </v>
          </cell>
          <cell r="F410" t="str">
            <v xml:space="preserve"> </v>
          </cell>
          <cell r="G410" t="str">
            <v xml:space="preserve"> </v>
          </cell>
          <cell r="H410" t="str">
            <v xml:space="preserve"> </v>
          </cell>
          <cell r="I410" t="str">
            <v xml:space="preserve"> </v>
          </cell>
          <cell r="J410" t="str">
            <v xml:space="preserve"> </v>
          </cell>
          <cell r="K410" t="str">
            <v xml:space="preserve"> </v>
          </cell>
          <cell r="L410" t="str">
            <v xml:space="preserve"> </v>
          </cell>
          <cell r="M410" t="str">
            <v xml:space="preserve"> </v>
          </cell>
        </row>
        <row r="411">
          <cell r="B411" t="str">
            <v xml:space="preserve"> </v>
          </cell>
          <cell r="C411" t="str">
            <v xml:space="preserve"> </v>
          </cell>
          <cell r="D411" t="str">
            <v xml:space="preserve"> </v>
          </cell>
          <cell r="E411" t="str">
            <v xml:space="preserve"> </v>
          </cell>
          <cell r="F411" t="str">
            <v xml:space="preserve"> </v>
          </cell>
          <cell r="G411" t="str">
            <v xml:space="preserve"> </v>
          </cell>
          <cell r="H411" t="str">
            <v xml:space="preserve"> </v>
          </cell>
          <cell r="I411" t="str">
            <v xml:space="preserve"> </v>
          </cell>
          <cell r="J411" t="str">
            <v xml:space="preserve"> </v>
          </cell>
          <cell r="K411" t="str">
            <v xml:space="preserve"> </v>
          </cell>
          <cell r="L411" t="str">
            <v xml:space="preserve"> </v>
          </cell>
          <cell r="M411" t="str">
            <v xml:space="preserve"> </v>
          </cell>
        </row>
        <row r="412">
          <cell r="B412" t="str">
            <v xml:space="preserve"> </v>
          </cell>
          <cell r="C412" t="str">
            <v xml:space="preserve"> </v>
          </cell>
          <cell r="D412" t="str">
            <v xml:space="preserve"> </v>
          </cell>
          <cell r="E412" t="str">
            <v xml:space="preserve"> </v>
          </cell>
          <cell r="F412" t="str">
            <v xml:space="preserve"> </v>
          </cell>
          <cell r="G412" t="str">
            <v xml:space="preserve"> </v>
          </cell>
          <cell r="H412" t="str">
            <v xml:space="preserve"> </v>
          </cell>
          <cell r="I412" t="str">
            <v xml:space="preserve"> </v>
          </cell>
          <cell r="J412" t="str">
            <v xml:space="preserve"> </v>
          </cell>
          <cell r="K412" t="str">
            <v xml:space="preserve"> </v>
          </cell>
          <cell r="L412" t="str">
            <v xml:space="preserve"> </v>
          </cell>
          <cell r="M412" t="str">
            <v xml:space="preserve"> </v>
          </cell>
        </row>
        <row r="413">
          <cell r="B413" t="str">
            <v xml:space="preserve"> </v>
          </cell>
          <cell r="C413" t="str">
            <v xml:space="preserve"> </v>
          </cell>
          <cell r="D413" t="str">
            <v xml:space="preserve"> </v>
          </cell>
          <cell r="E413" t="str">
            <v xml:space="preserve"> </v>
          </cell>
          <cell r="F413" t="str">
            <v xml:space="preserve"> </v>
          </cell>
          <cell r="G413" t="str">
            <v xml:space="preserve"> </v>
          </cell>
          <cell r="H413" t="str">
            <v xml:space="preserve"> </v>
          </cell>
          <cell r="I413" t="str">
            <v xml:space="preserve"> </v>
          </cell>
          <cell r="J413" t="str">
            <v xml:space="preserve"> </v>
          </cell>
          <cell r="K413" t="str">
            <v xml:space="preserve"> </v>
          </cell>
          <cell r="L413" t="str">
            <v xml:space="preserve"> </v>
          </cell>
          <cell r="M413" t="str">
            <v xml:space="preserve"> </v>
          </cell>
        </row>
        <row r="414">
          <cell r="B414" t="str">
            <v xml:space="preserve"> </v>
          </cell>
          <cell r="C414" t="str">
            <v xml:space="preserve"> </v>
          </cell>
          <cell r="D414" t="str">
            <v xml:space="preserve"> </v>
          </cell>
          <cell r="E414" t="str">
            <v xml:space="preserve"> </v>
          </cell>
          <cell r="F414" t="str">
            <v xml:space="preserve"> </v>
          </cell>
          <cell r="G414" t="str">
            <v xml:space="preserve"> </v>
          </cell>
          <cell r="H414" t="str">
            <v xml:space="preserve"> </v>
          </cell>
          <cell r="I414" t="str">
            <v xml:space="preserve"> </v>
          </cell>
          <cell r="J414" t="str">
            <v xml:space="preserve"> </v>
          </cell>
          <cell r="K414" t="str">
            <v xml:space="preserve"> </v>
          </cell>
          <cell r="L414" t="str">
            <v xml:space="preserve"> </v>
          </cell>
          <cell r="M414" t="str">
            <v xml:space="preserve"> </v>
          </cell>
        </row>
        <row r="415">
          <cell r="B415" t="str">
            <v xml:space="preserve"> </v>
          </cell>
          <cell r="C415" t="str">
            <v xml:space="preserve"> </v>
          </cell>
          <cell r="D415" t="str">
            <v xml:space="preserve"> </v>
          </cell>
          <cell r="E415" t="str">
            <v xml:space="preserve"> </v>
          </cell>
          <cell r="F415" t="str">
            <v xml:space="preserve"> </v>
          </cell>
          <cell r="G415" t="str">
            <v xml:space="preserve"> </v>
          </cell>
          <cell r="H415" t="str">
            <v xml:space="preserve"> </v>
          </cell>
          <cell r="I415" t="str">
            <v xml:space="preserve"> </v>
          </cell>
          <cell r="J415" t="str">
            <v xml:space="preserve"> </v>
          </cell>
          <cell r="K415" t="str">
            <v xml:space="preserve"> </v>
          </cell>
          <cell r="L415" t="str">
            <v xml:space="preserve"> </v>
          </cell>
          <cell r="M415" t="str">
            <v xml:space="preserve"> </v>
          </cell>
        </row>
        <row r="416">
          <cell r="B416" t="str">
            <v xml:space="preserve"> </v>
          </cell>
          <cell r="C416" t="str">
            <v xml:space="preserve"> </v>
          </cell>
          <cell r="D416" t="str">
            <v xml:space="preserve"> </v>
          </cell>
          <cell r="E416" t="str">
            <v xml:space="preserve"> </v>
          </cell>
          <cell r="F416" t="str">
            <v xml:space="preserve"> </v>
          </cell>
          <cell r="G416" t="str">
            <v xml:space="preserve"> </v>
          </cell>
          <cell r="H416" t="str">
            <v xml:space="preserve"> </v>
          </cell>
          <cell r="I416" t="str">
            <v xml:space="preserve"> </v>
          </cell>
          <cell r="J416" t="str">
            <v xml:space="preserve"> </v>
          </cell>
          <cell r="K416" t="str">
            <v xml:space="preserve"> </v>
          </cell>
          <cell r="L416" t="str">
            <v xml:space="preserve"> </v>
          </cell>
          <cell r="M416" t="str">
            <v xml:space="preserve"> </v>
          </cell>
        </row>
        <row r="417">
          <cell r="B417" t="str">
            <v xml:space="preserve"> </v>
          </cell>
          <cell r="C417" t="str">
            <v xml:space="preserve"> </v>
          </cell>
          <cell r="D417" t="str">
            <v xml:space="preserve"> </v>
          </cell>
          <cell r="E417" t="str">
            <v xml:space="preserve"> </v>
          </cell>
          <cell r="F417" t="str">
            <v xml:space="preserve"> </v>
          </cell>
          <cell r="G417" t="str">
            <v xml:space="preserve"> </v>
          </cell>
          <cell r="H417" t="str">
            <v xml:space="preserve"> </v>
          </cell>
          <cell r="I417" t="str">
            <v xml:space="preserve"> </v>
          </cell>
          <cell r="J417" t="str">
            <v xml:space="preserve"> </v>
          </cell>
          <cell r="K417" t="str">
            <v xml:space="preserve"> </v>
          </cell>
          <cell r="L417" t="str">
            <v xml:space="preserve"> </v>
          </cell>
          <cell r="M417" t="str">
            <v xml:space="preserve"> </v>
          </cell>
        </row>
        <row r="418">
          <cell r="B418" t="str">
            <v xml:space="preserve"> </v>
          </cell>
          <cell r="C418" t="str">
            <v xml:space="preserve"> </v>
          </cell>
          <cell r="D418" t="str">
            <v xml:space="preserve"> </v>
          </cell>
          <cell r="E418" t="str">
            <v xml:space="preserve"> </v>
          </cell>
          <cell r="F418" t="str">
            <v xml:space="preserve"> </v>
          </cell>
          <cell r="G418" t="str">
            <v xml:space="preserve"> </v>
          </cell>
          <cell r="H418" t="str">
            <v xml:space="preserve"> </v>
          </cell>
          <cell r="I418" t="str">
            <v xml:space="preserve"> </v>
          </cell>
          <cell r="J418" t="str">
            <v xml:space="preserve"> </v>
          </cell>
          <cell r="K418" t="str">
            <v xml:space="preserve"> </v>
          </cell>
          <cell r="L418" t="str">
            <v xml:space="preserve"> </v>
          </cell>
          <cell r="M418" t="str">
            <v xml:space="preserve"> </v>
          </cell>
        </row>
        <row r="419">
          <cell r="B419" t="str">
            <v xml:space="preserve"> </v>
          </cell>
          <cell r="C419" t="str">
            <v xml:space="preserve"> </v>
          </cell>
          <cell r="D419" t="str">
            <v xml:space="preserve"> </v>
          </cell>
          <cell r="E419" t="str">
            <v xml:space="preserve"> </v>
          </cell>
          <cell r="F419" t="str">
            <v xml:space="preserve"> </v>
          </cell>
          <cell r="G419" t="str">
            <v xml:space="preserve"> </v>
          </cell>
          <cell r="H419" t="str">
            <v xml:space="preserve"> </v>
          </cell>
          <cell r="I419" t="str">
            <v xml:space="preserve"> </v>
          </cell>
          <cell r="J419" t="str">
            <v xml:space="preserve"> </v>
          </cell>
          <cell r="K419" t="str">
            <v xml:space="preserve"> </v>
          </cell>
          <cell r="L419" t="str">
            <v xml:space="preserve"> </v>
          </cell>
          <cell r="M419" t="str">
            <v xml:space="preserve"> </v>
          </cell>
        </row>
        <row r="420">
          <cell r="B420" t="str">
            <v xml:space="preserve"> </v>
          </cell>
          <cell r="C420" t="str">
            <v xml:space="preserve"> </v>
          </cell>
          <cell r="D420" t="str">
            <v xml:space="preserve"> </v>
          </cell>
          <cell r="E420" t="str">
            <v xml:space="preserve"> </v>
          </cell>
          <cell r="F420" t="str">
            <v xml:space="preserve"> </v>
          </cell>
          <cell r="G420" t="str">
            <v xml:space="preserve"> </v>
          </cell>
          <cell r="H420" t="str">
            <v xml:space="preserve"> </v>
          </cell>
          <cell r="I420" t="str">
            <v xml:space="preserve"> </v>
          </cell>
          <cell r="J420" t="str">
            <v xml:space="preserve"> </v>
          </cell>
          <cell r="K420" t="str">
            <v xml:space="preserve"> </v>
          </cell>
          <cell r="L420" t="str">
            <v xml:space="preserve"> </v>
          </cell>
          <cell r="M420" t="str">
            <v xml:space="preserve"> </v>
          </cell>
        </row>
        <row r="421">
          <cell r="B421" t="str">
            <v xml:space="preserve"> </v>
          </cell>
          <cell r="C421" t="str">
            <v xml:space="preserve"> </v>
          </cell>
          <cell r="D421" t="str">
            <v xml:space="preserve"> </v>
          </cell>
          <cell r="E421" t="str">
            <v xml:space="preserve"> </v>
          </cell>
          <cell r="F421" t="str">
            <v xml:space="preserve"> </v>
          </cell>
          <cell r="G421" t="str">
            <v xml:space="preserve"> </v>
          </cell>
          <cell r="H421" t="str">
            <v xml:space="preserve"> </v>
          </cell>
          <cell r="I421" t="str">
            <v xml:space="preserve"> </v>
          </cell>
          <cell r="J421" t="str">
            <v xml:space="preserve"> </v>
          </cell>
          <cell r="K421" t="str">
            <v xml:space="preserve"> </v>
          </cell>
          <cell r="L421" t="str">
            <v xml:space="preserve"> </v>
          </cell>
          <cell r="M421" t="str">
            <v xml:space="preserve"> </v>
          </cell>
        </row>
        <row r="422">
          <cell r="B422" t="str">
            <v xml:space="preserve"> </v>
          </cell>
          <cell r="C422" t="str">
            <v xml:space="preserve"> </v>
          </cell>
          <cell r="D422" t="str">
            <v xml:space="preserve"> </v>
          </cell>
          <cell r="E422" t="str">
            <v xml:space="preserve"> </v>
          </cell>
          <cell r="F422" t="str">
            <v xml:space="preserve"> </v>
          </cell>
          <cell r="G422" t="str">
            <v xml:space="preserve"> </v>
          </cell>
          <cell r="H422" t="str">
            <v xml:space="preserve"> </v>
          </cell>
          <cell r="I422" t="str">
            <v xml:space="preserve"> </v>
          </cell>
          <cell r="J422" t="str">
            <v xml:space="preserve"> </v>
          </cell>
          <cell r="K422" t="str">
            <v xml:space="preserve"> </v>
          </cell>
          <cell r="L422" t="str">
            <v xml:space="preserve"> </v>
          </cell>
          <cell r="M422" t="str">
            <v xml:space="preserve"> </v>
          </cell>
        </row>
        <row r="423">
          <cell r="B423" t="str">
            <v xml:space="preserve"> </v>
          </cell>
          <cell r="C423" t="str">
            <v xml:space="preserve"> </v>
          </cell>
          <cell r="D423" t="str">
            <v xml:space="preserve"> </v>
          </cell>
          <cell r="E423" t="str">
            <v xml:space="preserve"> </v>
          </cell>
          <cell r="F423" t="str">
            <v xml:space="preserve"> </v>
          </cell>
          <cell r="G423" t="str">
            <v xml:space="preserve"> </v>
          </cell>
          <cell r="H423" t="str">
            <v xml:space="preserve"> </v>
          </cell>
          <cell r="I423" t="str">
            <v xml:space="preserve"> </v>
          </cell>
          <cell r="J423" t="str">
            <v xml:space="preserve"> </v>
          </cell>
          <cell r="K423" t="str">
            <v xml:space="preserve"> </v>
          </cell>
          <cell r="L423" t="str">
            <v xml:space="preserve"> </v>
          </cell>
          <cell r="M423" t="str">
            <v xml:space="preserve"> </v>
          </cell>
        </row>
        <row r="424">
          <cell r="B424" t="str">
            <v xml:space="preserve"> </v>
          </cell>
          <cell r="C424" t="str">
            <v xml:space="preserve"> </v>
          </cell>
          <cell r="D424" t="str">
            <v xml:space="preserve"> </v>
          </cell>
          <cell r="E424" t="str">
            <v xml:space="preserve"> </v>
          </cell>
          <cell r="F424" t="str">
            <v xml:space="preserve"> </v>
          </cell>
          <cell r="G424" t="str">
            <v xml:space="preserve"> </v>
          </cell>
          <cell r="H424" t="str">
            <v xml:space="preserve"> </v>
          </cell>
          <cell r="I424" t="str">
            <v xml:space="preserve"> </v>
          </cell>
          <cell r="J424" t="str">
            <v xml:space="preserve"> </v>
          </cell>
          <cell r="K424" t="str">
            <v xml:space="preserve"> </v>
          </cell>
          <cell r="L424" t="str">
            <v xml:space="preserve"> </v>
          </cell>
          <cell r="M424" t="str">
            <v xml:space="preserve"> </v>
          </cell>
        </row>
        <row r="425">
          <cell r="B425" t="str">
            <v xml:space="preserve"> </v>
          </cell>
          <cell r="C425" t="str">
            <v xml:space="preserve"> </v>
          </cell>
          <cell r="D425" t="str">
            <v xml:space="preserve"> </v>
          </cell>
          <cell r="E425" t="str">
            <v xml:space="preserve"> </v>
          </cell>
          <cell r="F425" t="str">
            <v xml:space="preserve"> </v>
          </cell>
          <cell r="G425" t="str">
            <v xml:space="preserve"> </v>
          </cell>
          <cell r="H425" t="str">
            <v xml:space="preserve"> </v>
          </cell>
          <cell r="I425" t="str">
            <v xml:space="preserve"> </v>
          </cell>
          <cell r="J425" t="str">
            <v xml:space="preserve"> </v>
          </cell>
          <cell r="K425" t="str">
            <v xml:space="preserve"> </v>
          </cell>
          <cell r="L425" t="str">
            <v xml:space="preserve"> </v>
          </cell>
          <cell r="M425" t="str">
            <v xml:space="preserve"> </v>
          </cell>
        </row>
        <row r="426">
          <cell r="B426" t="str">
            <v xml:space="preserve"> </v>
          </cell>
          <cell r="C426" t="str">
            <v xml:space="preserve"> </v>
          </cell>
          <cell r="D426" t="str">
            <v xml:space="preserve"> </v>
          </cell>
          <cell r="E426" t="str">
            <v xml:space="preserve"> </v>
          </cell>
          <cell r="F426" t="str">
            <v xml:space="preserve"> </v>
          </cell>
          <cell r="G426" t="str">
            <v xml:space="preserve"> </v>
          </cell>
          <cell r="H426" t="str">
            <v xml:space="preserve"> </v>
          </cell>
          <cell r="I426" t="str">
            <v xml:space="preserve"> </v>
          </cell>
          <cell r="J426" t="str">
            <v xml:space="preserve"> </v>
          </cell>
          <cell r="K426" t="str">
            <v xml:space="preserve"> </v>
          </cell>
          <cell r="L426" t="str">
            <v xml:space="preserve"> </v>
          </cell>
          <cell r="M426" t="str">
            <v xml:space="preserve"> </v>
          </cell>
        </row>
        <row r="427">
          <cell r="B427" t="str">
            <v xml:space="preserve"> </v>
          </cell>
          <cell r="C427" t="str">
            <v xml:space="preserve"> </v>
          </cell>
          <cell r="D427" t="str">
            <v xml:space="preserve"> </v>
          </cell>
          <cell r="E427" t="str">
            <v xml:space="preserve"> </v>
          </cell>
          <cell r="F427" t="str">
            <v xml:space="preserve"> </v>
          </cell>
          <cell r="G427" t="str">
            <v xml:space="preserve"> </v>
          </cell>
          <cell r="H427" t="str">
            <v xml:space="preserve"> </v>
          </cell>
          <cell r="I427" t="str">
            <v xml:space="preserve"> </v>
          </cell>
          <cell r="J427" t="str">
            <v xml:space="preserve"> </v>
          </cell>
          <cell r="K427" t="str">
            <v xml:space="preserve"> </v>
          </cell>
          <cell r="L427" t="str">
            <v xml:space="preserve"> </v>
          </cell>
          <cell r="M427" t="str">
            <v xml:space="preserve"> </v>
          </cell>
        </row>
        <row r="428">
          <cell r="B428" t="str">
            <v xml:space="preserve"> </v>
          </cell>
          <cell r="C428" t="str">
            <v xml:space="preserve"> </v>
          </cell>
          <cell r="D428" t="str">
            <v xml:space="preserve"> </v>
          </cell>
          <cell r="E428" t="str">
            <v xml:space="preserve"> </v>
          </cell>
          <cell r="F428" t="str">
            <v xml:space="preserve"> </v>
          </cell>
          <cell r="G428" t="str">
            <v xml:space="preserve"> </v>
          </cell>
          <cell r="H428" t="str">
            <v xml:space="preserve"> </v>
          </cell>
          <cell r="I428" t="str">
            <v xml:space="preserve"> </v>
          </cell>
          <cell r="J428" t="str">
            <v xml:space="preserve"> </v>
          </cell>
          <cell r="K428" t="str">
            <v xml:space="preserve"> </v>
          </cell>
          <cell r="L428" t="str">
            <v xml:space="preserve"> </v>
          </cell>
          <cell r="M428" t="str">
            <v xml:space="preserve"> </v>
          </cell>
        </row>
        <row r="429">
          <cell r="B429" t="str">
            <v xml:space="preserve"> </v>
          </cell>
          <cell r="C429" t="str">
            <v xml:space="preserve"> </v>
          </cell>
          <cell r="D429" t="str">
            <v xml:space="preserve"> </v>
          </cell>
          <cell r="E429" t="str">
            <v xml:space="preserve"> </v>
          </cell>
          <cell r="F429" t="str">
            <v xml:space="preserve"> </v>
          </cell>
          <cell r="G429" t="str">
            <v xml:space="preserve"> </v>
          </cell>
          <cell r="H429" t="str">
            <v xml:space="preserve"> </v>
          </cell>
          <cell r="I429" t="str">
            <v xml:space="preserve"> </v>
          </cell>
          <cell r="J429" t="str">
            <v xml:space="preserve"> </v>
          </cell>
          <cell r="K429" t="str">
            <v xml:space="preserve"> </v>
          </cell>
          <cell r="L429" t="str">
            <v xml:space="preserve"> </v>
          </cell>
          <cell r="M429" t="str">
            <v xml:space="preserve"> </v>
          </cell>
        </row>
        <row r="430">
          <cell r="B430" t="str">
            <v xml:space="preserve"> </v>
          </cell>
          <cell r="C430" t="str">
            <v xml:space="preserve"> </v>
          </cell>
          <cell r="D430" t="str">
            <v xml:space="preserve"> </v>
          </cell>
          <cell r="E430" t="str">
            <v xml:space="preserve"> </v>
          </cell>
          <cell r="F430" t="str">
            <v xml:space="preserve"> </v>
          </cell>
          <cell r="G430" t="str">
            <v xml:space="preserve"> </v>
          </cell>
          <cell r="H430" t="str">
            <v xml:space="preserve"> </v>
          </cell>
          <cell r="I430" t="str">
            <v xml:space="preserve"> </v>
          </cell>
          <cell r="J430" t="str">
            <v xml:space="preserve"> </v>
          </cell>
          <cell r="K430" t="str">
            <v xml:space="preserve"> </v>
          </cell>
          <cell r="L430" t="str">
            <v xml:space="preserve"> </v>
          </cell>
          <cell r="M430" t="str">
            <v xml:space="preserve"> </v>
          </cell>
        </row>
        <row r="431">
          <cell r="B431" t="str">
            <v xml:space="preserve"> </v>
          </cell>
          <cell r="C431" t="str">
            <v xml:space="preserve"> </v>
          </cell>
          <cell r="D431" t="str">
            <v xml:space="preserve"> </v>
          </cell>
          <cell r="E431" t="str">
            <v xml:space="preserve"> </v>
          </cell>
          <cell r="F431" t="str">
            <v xml:space="preserve"> </v>
          </cell>
          <cell r="G431" t="str">
            <v xml:space="preserve"> </v>
          </cell>
          <cell r="H431" t="str">
            <v xml:space="preserve"> </v>
          </cell>
          <cell r="I431" t="str">
            <v xml:space="preserve"> </v>
          </cell>
          <cell r="J431" t="str">
            <v xml:space="preserve"> </v>
          </cell>
          <cell r="K431" t="str">
            <v xml:space="preserve"> </v>
          </cell>
          <cell r="L431" t="str">
            <v xml:space="preserve"> </v>
          </cell>
          <cell r="M431" t="str">
            <v xml:space="preserve"> </v>
          </cell>
        </row>
        <row r="432">
          <cell r="B432" t="str">
            <v xml:space="preserve"> </v>
          </cell>
          <cell r="C432" t="str">
            <v xml:space="preserve"> </v>
          </cell>
          <cell r="D432" t="str">
            <v xml:space="preserve"> </v>
          </cell>
          <cell r="E432" t="str">
            <v xml:space="preserve"> </v>
          </cell>
          <cell r="F432" t="str">
            <v xml:space="preserve"> </v>
          </cell>
          <cell r="G432" t="str">
            <v xml:space="preserve"> </v>
          </cell>
          <cell r="H432" t="str">
            <v xml:space="preserve"> </v>
          </cell>
          <cell r="I432" t="str">
            <v xml:space="preserve"> </v>
          </cell>
          <cell r="J432" t="str">
            <v xml:space="preserve"> </v>
          </cell>
          <cell r="K432" t="str">
            <v xml:space="preserve"> </v>
          </cell>
          <cell r="L432" t="str">
            <v xml:space="preserve"> </v>
          </cell>
          <cell r="M432" t="str">
            <v xml:space="preserve"> </v>
          </cell>
        </row>
        <row r="433">
          <cell r="B433" t="str">
            <v xml:space="preserve"> </v>
          </cell>
          <cell r="C433" t="str">
            <v xml:space="preserve"> </v>
          </cell>
          <cell r="D433" t="str">
            <v xml:space="preserve"> </v>
          </cell>
          <cell r="E433" t="str">
            <v xml:space="preserve"> </v>
          </cell>
          <cell r="F433" t="str">
            <v xml:space="preserve"> </v>
          </cell>
          <cell r="G433" t="str">
            <v xml:space="preserve"> </v>
          </cell>
          <cell r="H433" t="str">
            <v xml:space="preserve"> </v>
          </cell>
          <cell r="I433" t="str">
            <v xml:space="preserve"> </v>
          </cell>
          <cell r="J433" t="str">
            <v xml:space="preserve"> </v>
          </cell>
          <cell r="K433" t="str">
            <v xml:space="preserve"> </v>
          </cell>
          <cell r="L433" t="str">
            <v xml:space="preserve"> </v>
          </cell>
          <cell r="M433" t="str">
            <v xml:space="preserve"> </v>
          </cell>
        </row>
        <row r="434">
          <cell r="B434" t="str">
            <v xml:space="preserve"> </v>
          </cell>
          <cell r="C434" t="str">
            <v xml:space="preserve"> </v>
          </cell>
          <cell r="D434" t="str">
            <v xml:space="preserve"> </v>
          </cell>
          <cell r="E434" t="str">
            <v xml:space="preserve"> </v>
          </cell>
          <cell r="F434" t="str">
            <v xml:space="preserve"> </v>
          </cell>
          <cell r="G434" t="str">
            <v xml:space="preserve"> </v>
          </cell>
          <cell r="H434" t="str">
            <v xml:space="preserve"> </v>
          </cell>
          <cell r="I434" t="str">
            <v xml:space="preserve"> </v>
          </cell>
          <cell r="J434" t="str">
            <v xml:space="preserve"> </v>
          </cell>
          <cell r="K434" t="str">
            <v xml:space="preserve"> </v>
          </cell>
          <cell r="L434" t="str">
            <v xml:space="preserve"> </v>
          </cell>
          <cell r="M434" t="str">
            <v xml:space="preserve"> </v>
          </cell>
        </row>
        <row r="435">
          <cell r="B435" t="str">
            <v xml:space="preserve"> </v>
          </cell>
          <cell r="C435" t="str">
            <v xml:space="preserve"> </v>
          </cell>
          <cell r="D435" t="str">
            <v xml:space="preserve"> </v>
          </cell>
          <cell r="E435" t="str">
            <v xml:space="preserve"> </v>
          </cell>
          <cell r="F435" t="str">
            <v xml:space="preserve"> </v>
          </cell>
          <cell r="G435" t="str">
            <v xml:space="preserve"> </v>
          </cell>
          <cell r="H435" t="str">
            <v xml:space="preserve"> </v>
          </cell>
          <cell r="I435" t="str">
            <v xml:space="preserve"> </v>
          </cell>
          <cell r="J435" t="str">
            <v xml:space="preserve"> </v>
          </cell>
          <cell r="K435" t="str">
            <v xml:space="preserve"> </v>
          </cell>
          <cell r="L435" t="str">
            <v xml:space="preserve"> </v>
          </cell>
          <cell r="M435" t="str">
            <v xml:space="preserve"> </v>
          </cell>
        </row>
        <row r="436">
          <cell r="B436" t="str">
            <v xml:space="preserve"> </v>
          </cell>
          <cell r="C436" t="str">
            <v xml:space="preserve"> </v>
          </cell>
          <cell r="D436" t="str">
            <v xml:space="preserve"> </v>
          </cell>
          <cell r="E436" t="str">
            <v xml:space="preserve"> </v>
          </cell>
          <cell r="F436" t="str">
            <v xml:space="preserve"> </v>
          </cell>
          <cell r="G436" t="str">
            <v xml:space="preserve"> </v>
          </cell>
          <cell r="H436" t="str">
            <v xml:space="preserve"> </v>
          </cell>
          <cell r="I436" t="str">
            <v xml:space="preserve"> </v>
          </cell>
          <cell r="J436" t="str">
            <v xml:space="preserve"> </v>
          </cell>
          <cell r="K436" t="str">
            <v xml:space="preserve"> </v>
          </cell>
          <cell r="L436" t="str">
            <v xml:space="preserve"> </v>
          </cell>
          <cell r="M436" t="str">
            <v xml:space="preserve"> </v>
          </cell>
        </row>
        <row r="437">
          <cell r="B437" t="str">
            <v xml:space="preserve"> </v>
          </cell>
          <cell r="C437" t="str">
            <v xml:space="preserve"> </v>
          </cell>
          <cell r="D437" t="str">
            <v xml:space="preserve"> </v>
          </cell>
          <cell r="E437" t="str">
            <v xml:space="preserve"> </v>
          </cell>
          <cell r="F437" t="str">
            <v xml:space="preserve"> </v>
          </cell>
          <cell r="G437" t="str">
            <v xml:space="preserve"> </v>
          </cell>
          <cell r="H437" t="str">
            <v xml:space="preserve"> </v>
          </cell>
          <cell r="I437" t="str">
            <v xml:space="preserve"> </v>
          </cell>
          <cell r="J437" t="str">
            <v xml:space="preserve"> </v>
          </cell>
          <cell r="K437" t="str">
            <v xml:space="preserve"> </v>
          </cell>
          <cell r="L437" t="str">
            <v xml:space="preserve"> </v>
          </cell>
          <cell r="M437" t="str">
            <v xml:space="preserve"> </v>
          </cell>
        </row>
        <row r="438">
          <cell r="B438" t="str">
            <v xml:space="preserve"> </v>
          </cell>
          <cell r="C438" t="str">
            <v xml:space="preserve"> </v>
          </cell>
          <cell r="D438" t="str">
            <v xml:space="preserve"> </v>
          </cell>
          <cell r="E438" t="str">
            <v xml:space="preserve"> </v>
          </cell>
          <cell r="F438" t="str">
            <v xml:space="preserve"> </v>
          </cell>
          <cell r="G438" t="str">
            <v xml:space="preserve"> </v>
          </cell>
          <cell r="H438" t="str">
            <v xml:space="preserve"> </v>
          </cell>
          <cell r="I438" t="str">
            <v xml:space="preserve"> </v>
          </cell>
          <cell r="J438" t="str">
            <v xml:space="preserve"> </v>
          </cell>
          <cell r="K438" t="str">
            <v xml:space="preserve"> </v>
          </cell>
          <cell r="L438" t="str">
            <v xml:space="preserve"> </v>
          </cell>
          <cell r="M438" t="str">
            <v xml:space="preserve"> </v>
          </cell>
        </row>
        <row r="439">
          <cell r="B439" t="str">
            <v xml:space="preserve"> </v>
          </cell>
          <cell r="C439" t="str">
            <v xml:space="preserve"> </v>
          </cell>
          <cell r="D439" t="str">
            <v xml:space="preserve"> </v>
          </cell>
          <cell r="E439" t="str">
            <v xml:space="preserve"> </v>
          </cell>
          <cell r="F439" t="str">
            <v xml:space="preserve"> </v>
          </cell>
          <cell r="G439" t="str">
            <v xml:space="preserve"> </v>
          </cell>
          <cell r="H439" t="str">
            <v xml:space="preserve"> </v>
          </cell>
          <cell r="I439" t="str">
            <v xml:space="preserve"> </v>
          </cell>
          <cell r="J439" t="str">
            <v xml:space="preserve"> </v>
          </cell>
          <cell r="K439" t="str">
            <v xml:space="preserve"> </v>
          </cell>
          <cell r="L439" t="str">
            <v xml:space="preserve"> </v>
          </cell>
          <cell r="M439" t="str">
            <v xml:space="preserve"> </v>
          </cell>
        </row>
        <row r="440">
          <cell r="B440" t="str">
            <v xml:space="preserve"> </v>
          </cell>
          <cell r="C440" t="str">
            <v xml:space="preserve"> </v>
          </cell>
          <cell r="D440" t="str">
            <v xml:space="preserve"> </v>
          </cell>
          <cell r="E440" t="str">
            <v xml:space="preserve"> </v>
          </cell>
          <cell r="F440" t="str">
            <v xml:space="preserve"> </v>
          </cell>
          <cell r="G440" t="str">
            <v xml:space="preserve"> </v>
          </cell>
          <cell r="H440" t="str">
            <v xml:space="preserve"> </v>
          </cell>
          <cell r="I440" t="str">
            <v xml:space="preserve"> </v>
          </cell>
          <cell r="J440" t="str">
            <v xml:space="preserve"> </v>
          </cell>
          <cell r="K440" t="str">
            <v xml:space="preserve"> </v>
          </cell>
          <cell r="L440" t="str">
            <v xml:space="preserve"> </v>
          </cell>
          <cell r="M440" t="str">
            <v xml:space="preserve"> </v>
          </cell>
        </row>
        <row r="441">
          <cell r="B441" t="str">
            <v xml:space="preserve"> </v>
          </cell>
          <cell r="C441" t="str">
            <v xml:space="preserve"> </v>
          </cell>
          <cell r="D441" t="str">
            <v xml:space="preserve"> </v>
          </cell>
          <cell r="E441" t="str">
            <v xml:space="preserve"> </v>
          </cell>
          <cell r="F441" t="str">
            <v xml:space="preserve"> </v>
          </cell>
          <cell r="G441" t="str">
            <v xml:space="preserve"> </v>
          </cell>
          <cell r="H441" t="str">
            <v xml:space="preserve"> </v>
          </cell>
          <cell r="I441" t="str">
            <v xml:space="preserve"> </v>
          </cell>
          <cell r="J441" t="str">
            <v xml:space="preserve"> </v>
          </cell>
          <cell r="K441" t="str">
            <v xml:space="preserve"> </v>
          </cell>
          <cell r="L441" t="str">
            <v xml:space="preserve"> </v>
          </cell>
          <cell r="M441" t="str">
            <v xml:space="preserve"> </v>
          </cell>
        </row>
        <row r="442">
          <cell r="B442" t="str">
            <v xml:space="preserve"> </v>
          </cell>
          <cell r="C442" t="str">
            <v xml:space="preserve"> </v>
          </cell>
          <cell r="D442" t="str">
            <v xml:space="preserve"> </v>
          </cell>
          <cell r="E442" t="str">
            <v xml:space="preserve"> </v>
          </cell>
          <cell r="F442" t="str">
            <v xml:space="preserve"> </v>
          </cell>
          <cell r="G442" t="str">
            <v xml:space="preserve"> </v>
          </cell>
          <cell r="H442" t="str">
            <v xml:space="preserve"> </v>
          </cell>
          <cell r="I442" t="str">
            <v xml:space="preserve"> </v>
          </cell>
          <cell r="J442" t="str">
            <v xml:space="preserve"> </v>
          </cell>
          <cell r="K442" t="str">
            <v xml:space="preserve"> </v>
          </cell>
          <cell r="L442" t="str">
            <v xml:space="preserve"> </v>
          </cell>
          <cell r="M442" t="str">
            <v xml:space="preserve"> </v>
          </cell>
        </row>
        <row r="443">
          <cell r="B443" t="str">
            <v xml:space="preserve"> </v>
          </cell>
          <cell r="C443" t="str">
            <v xml:space="preserve"> </v>
          </cell>
          <cell r="D443" t="str">
            <v xml:space="preserve"> </v>
          </cell>
          <cell r="E443" t="str">
            <v xml:space="preserve"> </v>
          </cell>
          <cell r="F443" t="str">
            <v xml:space="preserve"> </v>
          </cell>
          <cell r="G443" t="str">
            <v xml:space="preserve"> </v>
          </cell>
          <cell r="H443" t="str">
            <v xml:space="preserve"> </v>
          </cell>
          <cell r="I443" t="str">
            <v xml:space="preserve"> </v>
          </cell>
          <cell r="J443" t="str">
            <v xml:space="preserve"> </v>
          </cell>
          <cell r="K443" t="str">
            <v xml:space="preserve"> </v>
          </cell>
          <cell r="L443" t="str">
            <v xml:space="preserve"> </v>
          </cell>
          <cell r="M443" t="str">
            <v xml:space="preserve"> </v>
          </cell>
        </row>
        <row r="444">
          <cell r="B444" t="str">
            <v xml:space="preserve"> </v>
          </cell>
          <cell r="C444" t="str">
            <v xml:space="preserve"> </v>
          </cell>
          <cell r="D444" t="str">
            <v xml:space="preserve"> </v>
          </cell>
          <cell r="E444" t="str">
            <v xml:space="preserve"> </v>
          </cell>
          <cell r="F444" t="str">
            <v xml:space="preserve"> </v>
          </cell>
          <cell r="G444" t="str">
            <v xml:space="preserve"> </v>
          </cell>
          <cell r="H444" t="str">
            <v xml:space="preserve"> </v>
          </cell>
          <cell r="I444" t="str">
            <v xml:space="preserve"> </v>
          </cell>
          <cell r="J444" t="str">
            <v xml:space="preserve"> </v>
          </cell>
          <cell r="K444" t="str">
            <v xml:space="preserve"> </v>
          </cell>
          <cell r="L444" t="str">
            <v xml:space="preserve"> </v>
          </cell>
          <cell r="M444" t="str">
            <v xml:space="preserve"> </v>
          </cell>
        </row>
        <row r="445">
          <cell r="B445" t="str">
            <v xml:space="preserve"> </v>
          </cell>
          <cell r="C445" t="str">
            <v xml:space="preserve"> </v>
          </cell>
          <cell r="D445" t="str">
            <v xml:space="preserve"> </v>
          </cell>
          <cell r="E445" t="str">
            <v xml:space="preserve"> </v>
          </cell>
          <cell r="F445" t="str">
            <v xml:space="preserve"> </v>
          </cell>
          <cell r="G445" t="str">
            <v xml:space="preserve"> </v>
          </cell>
          <cell r="H445" t="str">
            <v xml:space="preserve"> </v>
          </cell>
          <cell r="I445" t="str">
            <v xml:space="preserve"> </v>
          </cell>
          <cell r="J445" t="str">
            <v xml:space="preserve"> </v>
          </cell>
          <cell r="K445" t="str">
            <v xml:space="preserve"> </v>
          </cell>
          <cell r="L445" t="str">
            <v xml:space="preserve"> </v>
          </cell>
          <cell r="M445" t="str">
            <v xml:space="preserve"> </v>
          </cell>
        </row>
        <row r="446">
          <cell r="B446" t="str">
            <v xml:space="preserve"> </v>
          </cell>
          <cell r="C446" t="str">
            <v xml:space="preserve"> </v>
          </cell>
          <cell r="D446" t="str">
            <v xml:space="preserve"> </v>
          </cell>
          <cell r="E446" t="str">
            <v xml:space="preserve"> </v>
          </cell>
          <cell r="F446" t="str">
            <v xml:space="preserve"> </v>
          </cell>
          <cell r="G446" t="str">
            <v xml:space="preserve"> </v>
          </cell>
          <cell r="H446" t="str">
            <v xml:space="preserve"> </v>
          </cell>
          <cell r="I446" t="str">
            <v xml:space="preserve"> </v>
          </cell>
          <cell r="J446" t="str">
            <v xml:space="preserve"> </v>
          </cell>
          <cell r="K446" t="str">
            <v xml:space="preserve"> </v>
          </cell>
          <cell r="L446" t="str">
            <v xml:space="preserve"> </v>
          </cell>
          <cell r="M446" t="str">
            <v xml:space="preserve"> </v>
          </cell>
        </row>
        <row r="447">
          <cell r="B447" t="str">
            <v xml:space="preserve"> </v>
          </cell>
          <cell r="C447" t="str">
            <v xml:space="preserve"> </v>
          </cell>
          <cell r="D447" t="str">
            <v xml:space="preserve"> </v>
          </cell>
          <cell r="E447" t="str">
            <v xml:space="preserve"> </v>
          </cell>
          <cell r="F447" t="str">
            <v xml:space="preserve"> </v>
          </cell>
          <cell r="G447" t="str">
            <v xml:space="preserve"> </v>
          </cell>
          <cell r="H447" t="str">
            <v xml:space="preserve"> </v>
          </cell>
          <cell r="I447" t="str">
            <v xml:space="preserve"> </v>
          </cell>
          <cell r="J447" t="str">
            <v xml:space="preserve"> </v>
          </cell>
          <cell r="K447" t="str">
            <v xml:space="preserve"> </v>
          </cell>
          <cell r="L447" t="str">
            <v xml:space="preserve"> </v>
          </cell>
          <cell r="M447" t="str">
            <v xml:space="preserve"> </v>
          </cell>
        </row>
        <row r="448">
          <cell r="B448" t="str">
            <v xml:space="preserve"> </v>
          </cell>
          <cell r="C448" t="str">
            <v xml:space="preserve"> </v>
          </cell>
          <cell r="D448" t="str">
            <v xml:space="preserve"> </v>
          </cell>
          <cell r="E448" t="str">
            <v xml:space="preserve"> </v>
          </cell>
          <cell r="F448" t="str">
            <v xml:space="preserve"> </v>
          </cell>
          <cell r="G448" t="str">
            <v xml:space="preserve"> </v>
          </cell>
          <cell r="H448" t="str">
            <v xml:space="preserve"> </v>
          </cell>
          <cell r="I448" t="str">
            <v xml:space="preserve"> </v>
          </cell>
          <cell r="J448" t="str">
            <v xml:space="preserve"> </v>
          </cell>
          <cell r="K448" t="str">
            <v xml:space="preserve"> </v>
          </cell>
          <cell r="L448" t="str">
            <v xml:space="preserve"> </v>
          </cell>
          <cell r="M448" t="str">
            <v xml:space="preserve"> </v>
          </cell>
        </row>
        <row r="449">
          <cell r="B449" t="str">
            <v xml:space="preserve"> </v>
          </cell>
          <cell r="C449" t="str">
            <v xml:space="preserve"> </v>
          </cell>
          <cell r="D449" t="str">
            <v xml:space="preserve"> </v>
          </cell>
          <cell r="E449" t="str">
            <v xml:space="preserve"> </v>
          </cell>
          <cell r="F449" t="str">
            <v xml:space="preserve"> </v>
          </cell>
          <cell r="G449" t="str">
            <v xml:space="preserve"> </v>
          </cell>
          <cell r="H449" t="str">
            <v xml:space="preserve"> </v>
          </cell>
          <cell r="I449" t="str">
            <v xml:space="preserve"> </v>
          </cell>
          <cell r="J449" t="str">
            <v xml:space="preserve"> </v>
          </cell>
          <cell r="K449" t="str">
            <v xml:space="preserve"> </v>
          </cell>
          <cell r="L449" t="str">
            <v xml:space="preserve"> </v>
          </cell>
          <cell r="M449" t="str">
            <v xml:space="preserve"> </v>
          </cell>
        </row>
        <row r="450">
          <cell r="B450" t="str">
            <v xml:space="preserve"> </v>
          </cell>
          <cell r="C450" t="str">
            <v xml:space="preserve"> </v>
          </cell>
          <cell r="D450" t="str">
            <v xml:space="preserve"> </v>
          </cell>
          <cell r="E450" t="str">
            <v xml:space="preserve"> </v>
          </cell>
          <cell r="F450" t="str">
            <v xml:space="preserve"> </v>
          </cell>
          <cell r="G450" t="str">
            <v xml:space="preserve"> </v>
          </cell>
          <cell r="H450" t="str">
            <v xml:space="preserve"> </v>
          </cell>
          <cell r="I450" t="str">
            <v xml:space="preserve"> </v>
          </cell>
          <cell r="J450" t="str">
            <v xml:space="preserve"> </v>
          </cell>
          <cell r="K450" t="str">
            <v xml:space="preserve"> </v>
          </cell>
          <cell r="L450" t="str">
            <v xml:space="preserve"> </v>
          </cell>
          <cell r="M450" t="str">
            <v xml:space="preserve"> </v>
          </cell>
        </row>
        <row r="451">
          <cell r="B451" t="str">
            <v xml:space="preserve"> </v>
          </cell>
          <cell r="C451" t="str">
            <v xml:space="preserve"> </v>
          </cell>
          <cell r="D451" t="str">
            <v xml:space="preserve"> </v>
          </cell>
          <cell r="E451" t="str">
            <v xml:space="preserve"> </v>
          </cell>
          <cell r="F451" t="str">
            <v xml:space="preserve"> </v>
          </cell>
          <cell r="G451" t="str">
            <v xml:space="preserve"> </v>
          </cell>
          <cell r="H451" t="str">
            <v xml:space="preserve"> </v>
          </cell>
          <cell r="I451" t="str">
            <v xml:space="preserve"> </v>
          </cell>
          <cell r="J451" t="str">
            <v xml:space="preserve"> </v>
          </cell>
          <cell r="K451" t="str">
            <v xml:space="preserve"> </v>
          </cell>
          <cell r="L451" t="str">
            <v xml:space="preserve"> </v>
          </cell>
          <cell r="M451" t="str">
            <v xml:space="preserve"> </v>
          </cell>
        </row>
        <row r="452">
          <cell r="B452" t="str">
            <v xml:space="preserve"> </v>
          </cell>
          <cell r="C452" t="str">
            <v xml:space="preserve"> </v>
          </cell>
          <cell r="D452" t="str">
            <v xml:space="preserve"> </v>
          </cell>
          <cell r="E452" t="str">
            <v xml:space="preserve"> </v>
          </cell>
          <cell r="F452" t="str">
            <v xml:space="preserve"> </v>
          </cell>
          <cell r="G452" t="str">
            <v xml:space="preserve"> </v>
          </cell>
          <cell r="H452" t="str">
            <v xml:space="preserve"> </v>
          </cell>
          <cell r="I452" t="str">
            <v xml:space="preserve"> </v>
          </cell>
          <cell r="J452" t="str">
            <v xml:space="preserve"> </v>
          </cell>
          <cell r="K452" t="str">
            <v xml:space="preserve"> </v>
          </cell>
          <cell r="L452" t="str">
            <v xml:space="preserve"> </v>
          </cell>
          <cell r="M452" t="str">
            <v xml:space="preserve"> </v>
          </cell>
        </row>
        <row r="453">
          <cell r="B453" t="str">
            <v xml:space="preserve"> </v>
          </cell>
          <cell r="C453" t="str">
            <v xml:space="preserve"> </v>
          </cell>
          <cell r="D453" t="str">
            <v xml:space="preserve"> </v>
          </cell>
          <cell r="E453" t="str">
            <v xml:space="preserve"> </v>
          </cell>
          <cell r="F453" t="str">
            <v xml:space="preserve"> </v>
          </cell>
          <cell r="G453" t="str">
            <v xml:space="preserve"> </v>
          </cell>
          <cell r="H453" t="str">
            <v xml:space="preserve"> </v>
          </cell>
          <cell r="I453" t="str">
            <v xml:space="preserve"> </v>
          </cell>
          <cell r="J453" t="str">
            <v xml:space="preserve"> </v>
          </cell>
          <cell r="K453" t="str">
            <v xml:space="preserve"> </v>
          </cell>
          <cell r="L453" t="str">
            <v xml:space="preserve"> </v>
          </cell>
          <cell r="M453" t="str">
            <v xml:space="preserve"> </v>
          </cell>
        </row>
        <row r="454">
          <cell r="B454" t="str">
            <v xml:space="preserve"> </v>
          </cell>
          <cell r="C454" t="str">
            <v xml:space="preserve"> </v>
          </cell>
          <cell r="D454" t="str">
            <v xml:space="preserve"> </v>
          </cell>
          <cell r="E454" t="str">
            <v xml:space="preserve"> </v>
          </cell>
          <cell r="F454" t="str">
            <v xml:space="preserve"> </v>
          </cell>
          <cell r="G454" t="str">
            <v xml:space="preserve"> </v>
          </cell>
          <cell r="H454" t="str">
            <v xml:space="preserve"> </v>
          </cell>
          <cell r="I454" t="str">
            <v xml:space="preserve"> </v>
          </cell>
          <cell r="J454" t="str">
            <v xml:space="preserve"> </v>
          </cell>
          <cell r="K454" t="str">
            <v xml:space="preserve"> </v>
          </cell>
          <cell r="L454" t="str">
            <v xml:space="preserve"> </v>
          </cell>
          <cell r="M454" t="str">
            <v xml:space="preserve"> </v>
          </cell>
        </row>
        <row r="455">
          <cell r="B455" t="str">
            <v xml:space="preserve"> </v>
          </cell>
          <cell r="C455" t="str">
            <v xml:space="preserve"> </v>
          </cell>
          <cell r="D455" t="str">
            <v xml:space="preserve"> </v>
          </cell>
          <cell r="E455" t="str">
            <v xml:space="preserve"> </v>
          </cell>
          <cell r="F455" t="str">
            <v xml:space="preserve"> </v>
          </cell>
          <cell r="G455" t="str">
            <v xml:space="preserve"> </v>
          </cell>
          <cell r="H455" t="str">
            <v xml:space="preserve"> </v>
          </cell>
          <cell r="I455" t="str">
            <v xml:space="preserve"> </v>
          </cell>
          <cell r="J455" t="str">
            <v xml:space="preserve"> </v>
          </cell>
          <cell r="K455" t="str">
            <v xml:space="preserve"> </v>
          </cell>
          <cell r="L455" t="str">
            <v xml:space="preserve"> </v>
          </cell>
          <cell r="M455" t="str">
            <v xml:space="preserve"> </v>
          </cell>
        </row>
        <row r="456">
          <cell r="B456" t="str">
            <v xml:space="preserve"> </v>
          </cell>
          <cell r="C456" t="str">
            <v xml:space="preserve"> </v>
          </cell>
          <cell r="D456" t="str">
            <v xml:space="preserve"> </v>
          </cell>
          <cell r="E456" t="str">
            <v xml:space="preserve"> </v>
          </cell>
          <cell r="F456" t="str">
            <v xml:space="preserve"> </v>
          </cell>
          <cell r="G456" t="str">
            <v xml:space="preserve"> </v>
          </cell>
          <cell r="H456" t="str">
            <v xml:space="preserve"> </v>
          </cell>
          <cell r="I456" t="str">
            <v xml:space="preserve"> </v>
          </cell>
          <cell r="J456" t="str">
            <v xml:space="preserve"> </v>
          </cell>
          <cell r="K456" t="str">
            <v xml:space="preserve"> </v>
          </cell>
          <cell r="L456" t="str">
            <v xml:space="preserve"> </v>
          </cell>
          <cell r="M456" t="str">
            <v xml:space="preserve"> </v>
          </cell>
        </row>
        <row r="457">
          <cell r="B457" t="str">
            <v xml:space="preserve"> </v>
          </cell>
          <cell r="C457" t="str">
            <v xml:space="preserve"> </v>
          </cell>
          <cell r="D457" t="str">
            <v xml:space="preserve"> </v>
          </cell>
          <cell r="E457" t="str">
            <v xml:space="preserve"> </v>
          </cell>
          <cell r="F457" t="str">
            <v xml:space="preserve"> </v>
          </cell>
          <cell r="G457" t="str">
            <v xml:space="preserve"> </v>
          </cell>
          <cell r="H457" t="str">
            <v xml:space="preserve"> </v>
          </cell>
          <cell r="I457" t="str">
            <v xml:space="preserve"> </v>
          </cell>
          <cell r="J457" t="str">
            <v xml:space="preserve"> </v>
          </cell>
          <cell r="K457" t="str">
            <v xml:space="preserve"> </v>
          </cell>
          <cell r="L457" t="str">
            <v xml:space="preserve"> </v>
          </cell>
          <cell r="M457" t="str">
            <v xml:space="preserve"> </v>
          </cell>
        </row>
        <row r="458">
          <cell r="B458" t="str">
            <v xml:space="preserve"> </v>
          </cell>
          <cell r="C458" t="str">
            <v xml:space="preserve"> </v>
          </cell>
          <cell r="D458" t="str">
            <v xml:space="preserve"> </v>
          </cell>
          <cell r="E458" t="str">
            <v xml:space="preserve"> </v>
          </cell>
          <cell r="F458" t="str">
            <v xml:space="preserve"> </v>
          </cell>
          <cell r="G458" t="str">
            <v xml:space="preserve"> </v>
          </cell>
          <cell r="H458" t="str">
            <v xml:space="preserve"> </v>
          </cell>
          <cell r="I458" t="str">
            <v xml:space="preserve"> </v>
          </cell>
          <cell r="J458" t="str">
            <v xml:space="preserve"> </v>
          </cell>
          <cell r="K458" t="str">
            <v xml:space="preserve"> </v>
          </cell>
          <cell r="L458" t="str">
            <v xml:space="preserve"> </v>
          </cell>
          <cell r="M458" t="str">
            <v xml:space="preserve"> </v>
          </cell>
        </row>
        <row r="459">
          <cell r="B459" t="str">
            <v xml:space="preserve"> </v>
          </cell>
          <cell r="C459" t="str">
            <v xml:space="preserve"> </v>
          </cell>
          <cell r="D459" t="str">
            <v xml:space="preserve"> </v>
          </cell>
          <cell r="E459" t="str">
            <v xml:space="preserve"> </v>
          </cell>
          <cell r="F459" t="str">
            <v xml:space="preserve"> </v>
          </cell>
          <cell r="G459" t="str">
            <v xml:space="preserve"> </v>
          </cell>
          <cell r="H459" t="str">
            <v xml:space="preserve"> </v>
          </cell>
          <cell r="I459" t="str">
            <v xml:space="preserve"> </v>
          </cell>
          <cell r="J459" t="str">
            <v xml:space="preserve"> </v>
          </cell>
          <cell r="K459" t="str">
            <v xml:space="preserve"> </v>
          </cell>
          <cell r="L459" t="str">
            <v xml:space="preserve"> </v>
          </cell>
          <cell r="M459" t="str">
            <v xml:space="preserve"> </v>
          </cell>
        </row>
        <row r="460">
          <cell r="B460" t="str">
            <v xml:space="preserve"> </v>
          </cell>
          <cell r="C460" t="str">
            <v xml:space="preserve"> </v>
          </cell>
          <cell r="D460" t="str">
            <v xml:space="preserve"> </v>
          </cell>
          <cell r="E460" t="str">
            <v xml:space="preserve"> </v>
          </cell>
          <cell r="F460" t="str">
            <v xml:space="preserve"> </v>
          </cell>
          <cell r="G460" t="str">
            <v xml:space="preserve"> </v>
          </cell>
          <cell r="H460" t="str">
            <v xml:space="preserve"> </v>
          </cell>
          <cell r="I460" t="str">
            <v xml:space="preserve"> </v>
          </cell>
          <cell r="J460" t="str">
            <v xml:space="preserve"> </v>
          </cell>
          <cell r="K460" t="str">
            <v xml:space="preserve"> </v>
          </cell>
          <cell r="L460" t="str">
            <v xml:space="preserve"> </v>
          </cell>
          <cell r="M460" t="str">
            <v xml:space="preserve"> </v>
          </cell>
        </row>
        <row r="461">
          <cell r="B461" t="str">
            <v xml:space="preserve"> </v>
          </cell>
          <cell r="C461" t="str">
            <v xml:space="preserve"> </v>
          </cell>
          <cell r="D461" t="str">
            <v xml:space="preserve"> </v>
          </cell>
          <cell r="E461" t="str">
            <v xml:space="preserve"> </v>
          </cell>
          <cell r="F461" t="str">
            <v xml:space="preserve"> </v>
          </cell>
          <cell r="G461" t="str">
            <v xml:space="preserve"> </v>
          </cell>
          <cell r="H461" t="str">
            <v xml:space="preserve"> </v>
          </cell>
          <cell r="I461" t="str">
            <v xml:space="preserve"> </v>
          </cell>
          <cell r="J461" t="str">
            <v xml:space="preserve"> </v>
          </cell>
          <cell r="K461" t="str">
            <v xml:space="preserve"> </v>
          </cell>
          <cell r="L461" t="str">
            <v xml:space="preserve"> </v>
          </cell>
          <cell r="M461" t="str">
            <v xml:space="preserve"> </v>
          </cell>
        </row>
        <row r="462">
          <cell r="B462" t="str">
            <v xml:space="preserve"> </v>
          </cell>
          <cell r="C462" t="str">
            <v xml:space="preserve"> </v>
          </cell>
          <cell r="D462" t="str">
            <v xml:space="preserve"> </v>
          </cell>
          <cell r="E462" t="str">
            <v xml:space="preserve"> </v>
          </cell>
          <cell r="F462" t="str">
            <v xml:space="preserve"> </v>
          </cell>
          <cell r="G462" t="str">
            <v xml:space="preserve"> </v>
          </cell>
          <cell r="H462" t="str">
            <v xml:space="preserve"> </v>
          </cell>
          <cell r="I462" t="str">
            <v xml:space="preserve"> </v>
          </cell>
          <cell r="J462" t="str">
            <v xml:space="preserve"> </v>
          </cell>
          <cell r="K462" t="str">
            <v xml:space="preserve"> </v>
          </cell>
          <cell r="L462" t="str">
            <v xml:space="preserve"> </v>
          </cell>
          <cell r="M462" t="str">
            <v xml:space="preserve"> </v>
          </cell>
        </row>
        <row r="463">
          <cell r="B463" t="str">
            <v xml:space="preserve"> </v>
          </cell>
          <cell r="C463" t="str">
            <v xml:space="preserve"> </v>
          </cell>
          <cell r="D463" t="str">
            <v xml:space="preserve"> </v>
          </cell>
          <cell r="E463" t="str">
            <v xml:space="preserve"> </v>
          </cell>
          <cell r="F463" t="str">
            <v xml:space="preserve"> </v>
          </cell>
          <cell r="G463" t="str">
            <v xml:space="preserve"> </v>
          </cell>
          <cell r="H463" t="str">
            <v xml:space="preserve"> </v>
          </cell>
          <cell r="I463" t="str">
            <v xml:space="preserve"> </v>
          </cell>
          <cell r="J463" t="str">
            <v xml:space="preserve"> </v>
          </cell>
          <cell r="K463" t="str">
            <v xml:space="preserve"> </v>
          </cell>
          <cell r="L463" t="str">
            <v xml:space="preserve"> </v>
          </cell>
          <cell r="M463" t="str">
            <v xml:space="preserve"> </v>
          </cell>
        </row>
        <row r="464">
          <cell r="B464" t="str">
            <v xml:space="preserve"> </v>
          </cell>
          <cell r="C464" t="str">
            <v xml:space="preserve"> </v>
          </cell>
          <cell r="D464" t="str">
            <v xml:space="preserve"> </v>
          </cell>
          <cell r="E464" t="str">
            <v xml:space="preserve"> </v>
          </cell>
          <cell r="F464" t="str">
            <v xml:space="preserve"> </v>
          </cell>
          <cell r="G464" t="str">
            <v xml:space="preserve"> </v>
          </cell>
          <cell r="H464" t="str">
            <v xml:space="preserve"> </v>
          </cell>
          <cell r="I464" t="str">
            <v xml:space="preserve"> </v>
          </cell>
          <cell r="J464" t="str">
            <v xml:space="preserve"> </v>
          </cell>
          <cell r="K464" t="str">
            <v xml:space="preserve"> </v>
          </cell>
          <cell r="L464" t="str">
            <v xml:space="preserve"> </v>
          </cell>
          <cell r="M464" t="str">
            <v xml:space="preserve"> </v>
          </cell>
        </row>
        <row r="465">
          <cell r="B465" t="str">
            <v xml:space="preserve"> </v>
          </cell>
          <cell r="C465" t="str">
            <v xml:space="preserve"> </v>
          </cell>
          <cell r="D465" t="str">
            <v xml:space="preserve"> </v>
          </cell>
          <cell r="E465" t="str">
            <v xml:space="preserve"> </v>
          </cell>
          <cell r="F465" t="str">
            <v xml:space="preserve"> </v>
          </cell>
          <cell r="G465" t="str">
            <v xml:space="preserve"> </v>
          </cell>
          <cell r="H465" t="str">
            <v xml:space="preserve"> </v>
          </cell>
          <cell r="I465" t="str">
            <v xml:space="preserve"> </v>
          </cell>
          <cell r="J465" t="str">
            <v xml:space="preserve"> </v>
          </cell>
          <cell r="K465" t="str">
            <v xml:space="preserve"> </v>
          </cell>
          <cell r="L465" t="str">
            <v xml:space="preserve"> </v>
          </cell>
          <cell r="M465" t="str">
            <v xml:space="preserve"> </v>
          </cell>
        </row>
        <row r="466">
          <cell r="B466" t="str">
            <v xml:space="preserve"> </v>
          </cell>
          <cell r="C466" t="str">
            <v xml:space="preserve"> </v>
          </cell>
          <cell r="D466" t="str">
            <v xml:space="preserve"> </v>
          </cell>
          <cell r="E466" t="str">
            <v xml:space="preserve"> </v>
          </cell>
          <cell r="F466" t="str">
            <v xml:space="preserve"> </v>
          </cell>
          <cell r="G466" t="str">
            <v xml:space="preserve"> </v>
          </cell>
          <cell r="H466" t="str">
            <v xml:space="preserve"> </v>
          </cell>
          <cell r="I466" t="str">
            <v xml:space="preserve"> </v>
          </cell>
          <cell r="J466" t="str">
            <v xml:space="preserve"> </v>
          </cell>
          <cell r="K466" t="str">
            <v xml:space="preserve"> </v>
          </cell>
          <cell r="L466" t="str">
            <v xml:space="preserve"> </v>
          </cell>
          <cell r="M466" t="str">
            <v xml:space="preserve"> </v>
          </cell>
        </row>
        <row r="467">
          <cell r="B467" t="str">
            <v xml:space="preserve"> </v>
          </cell>
          <cell r="C467" t="str">
            <v xml:space="preserve"> </v>
          </cell>
          <cell r="D467" t="str">
            <v xml:space="preserve"> </v>
          </cell>
          <cell r="E467" t="str">
            <v xml:space="preserve"> </v>
          </cell>
          <cell r="F467" t="str">
            <v xml:space="preserve"> </v>
          </cell>
          <cell r="G467" t="str">
            <v xml:space="preserve"> </v>
          </cell>
          <cell r="H467" t="str">
            <v xml:space="preserve"> </v>
          </cell>
          <cell r="I467" t="str">
            <v xml:space="preserve"> </v>
          </cell>
          <cell r="J467" t="str">
            <v xml:space="preserve"> </v>
          </cell>
          <cell r="K467" t="str">
            <v xml:space="preserve"> </v>
          </cell>
          <cell r="L467" t="str">
            <v xml:space="preserve"> </v>
          </cell>
          <cell r="M467" t="str">
            <v xml:space="preserve"> </v>
          </cell>
        </row>
        <row r="468">
          <cell r="B468" t="str">
            <v xml:space="preserve"> </v>
          </cell>
          <cell r="C468" t="str">
            <v xml:space="preserve"> </v>
          </cell>
          <cell r="D468" t="str">
            <v xml:space="preserve"> </v>
          </cell>
          <cell r="E468" t="str">
            <v xml:space="preserve"> </v>
          </cell>
          <cell r="F468" t="str">
            <v xml:space="preserve"> </v>
          </cell>
          <cell r="G468" t="str">
            <v xml:space="preserve"> </v>
          </cell>
          <cell r="H468" t="str">
            <v xml:space="preserve"> </v>
          </cell>
          <cell r="I468" t="str">
            <v xml:space="preserve"> </v>
          </cell>
          <cell r="J468" t="str">
            <v xml:space="preserve"> </v>
          </cell>
          <cell r="K468" t="str">
            <v xml:space="preserve"> </v>
          </cell>
          <cell r="L468" t="str">
            <v xml:space="preserve"> </v>
          </cell>
          <cell r="M468" t="str">
            <v xml:space="preserve"> </v>
          </cell>
        </row>
        <row r="469">
          <cell r="B469" t="str">
            <v xml:space="preserve"> </v>
          </cell>
          <cell r="C469" t="str">
            <v xml:space="preserve"> </v>
          </cell>
          <cell r="D469" t="str">
            <v xml:space="preserve"> </v>
          </cell>
          <cell r="E469" t="str">
            <v xml:space="preserve"> </v>
          </cell>
          <cell r="F469" t="str">
            <v xml:space="preserve"> </v>
          </cell>
          <cell r="G469" t="str">
            <v xml:space="preserve"> </v>
          </cell>
          <cell r="H469" t="str">
            <v xml:space="preserve"> </v>
          </cell>
          <cell r="I469" t="str">
            <v xml:space="preserve"> </v>
          </cell>
          <cell r="J469" t="str">
            <v xml:space="preserve"> </v>
          </cell>
          <cell r="K469" t="str">
            <v xml:space="preserve"> </v>
          </cell>
          <cell r="L469" t="str">
            <v xml:space="preserve"> </v>
          </cell>
          <cell r="M469" t="str">
            <v xml:space="preserve"> </v>
          </cell>
        </row>
        <row r="470">
          <cell r="B470" t="str">
            <v xml:space="preserve"> </v>
          </cell>
          <cell r="C470" t="str">
            <v xml:space="preserve"> </v>
          </cell>
          <cell r="D470" t="str">
            <v xml:space="preserve"> </v>
          </cell>
          <cell r="E470" t="str">
            <v xml:space="preserve"> </v>
          </cell>
          <cell r="F470" t="str">
            <v xml:space="preserve"> </v>
          </cell>
          <cell r="G470" t="str">
            <v xml:space="preserve"> </v>
          </cell>
          <cell r="H470" t="str">
            <v xml:space="preserve"> </v>
          </cell>
          <cell r="I470" t="str">
            <v xml:space="preserve"> </v>
          </cell>
          <cell r="J470" t="str">
            <v xml:space="preserve"> </v>
          </cell>
          <cell r="K470" t="str">
            <v xml:space="preserve"> </v>
          </cell>
          <cell r="L470" t="str">
            <v xml:space="preserve"> </v>
          </cell>
          <cell r="M470" t="str">
            <v xml:space="preserve"> </v>
          </cell>
        </row>
        <row r="471">
          <cell r="B471" t="str">
            <v xml:space="preserve"> </v>
          </cell>
          <cell r="C471" t="str">
            <v xml:space="preserve"> </v>
          </cell>
          <cell r="D471" t="str">
            <v xml:space="preserve"> </v>
          </cell>
          <cell r="E471" t="str">
            <v xml:space="preserve"> </v>
          </cell>
          <cell r="F471" t="str">
            <v xml:space="preserve"> </v>
          </cell>
          <cell r="G471" t="str">
            <v xml:space="preserve"> </v>
          </cell>
          <cell r="H471" t="str">
            <v xml:space="preserve"> </v>
          </cell>
          <cell r="I471" t="str">
            <v xml:space="preserve"> </v>
          </cell>
          <cell r="J471" t="str">
            <v xml:space="preserve"> </v>
          </cell>
          <cell r="K471" t="str">
            <v xml:space="preserve"> </v>
          </cell>
          <cell r="L471" t="str">
            <v xml:space="preserve"> </v>
          </cell>
          <cell r="M471" t="str">
            <v xml:space="preserve"> </v>
          </cell>
        </row>
        <row r="472">
          <cell r="B472" t="str">
            <v xml:space="preserve"> </v>
          </cell>
          <cell r="C472" t="str">
            <v xml:space="preserve"> </v>
          </cell>
          <cell r="D472" t="str">
            <v xml:space="preserve"> </v>
          </cell>
          <cell r="E472" t="str">
            <v xml:space="preserve"> </v>
          </cell>
          <cell r="F472" t="str">
            <v xml:space="preserve"> </v>
          </cell>
          <cell r="G472" t="str">
            <v xml:space="preserve"> </v>
          </cell>
          <cell r="H472" t="str">
            <v xml:space="preserve"> </v>
          </cell>
          <cell r="I472" t="str">
            <v xml:space="preserve"> </v>
          </cell>
          <cell r="J472" t="str">
            <v xml:space="preserve"> </v>
          </cell>
          <cell r="K472" t="str">
            <v xml:space="preserve"> </v>
          </cell>
          <cell r="L472" t="str">
            <v xml:space="preserve"> </v>
          </cell>
          <cell r="M472" t="str">
            <v xml:space="preserve"> </v>
          </cell>
        </row>
        <row r="473">
          <cell r="B473" t="str">
            <v xml:space="preserve"> </v>
          </cell>
          <cell r="C473" t="str">
            <v xml:space="preserve"> </v>
          </cell>
          <cell r="D473" t="str">
            <v xml:space="preserve"> </v>
          </cell>
          <cell r="E473" t="str">
            <v xml:space="preserve"> </v>
          </cell>
          <cell r="F473" t="str">
            <v xml:space="preserve"> </v>
          </cell>
          <cell r="G473" t="str">
            <v xml:space="preserve"> </v>
          </cell>
          <cell r="H473" t="str">
            <v xml:space="preserve"> </v>
          </cell>
          <cell r="I473" t="str">
            <v xml:space="preserve"> </v>
          </cell>
          <cell r="J473" t="str">
            <v xml:space="preserve"> </v>
          </cell>
          <cell r="K473" t="str">
            <v xml:space="preserve"> </v>
          </cell>
          <cell r="L473" t="str">
            <v xml:space="preserve"> </v>
          </cell>
          <cell r="M473" t="str">
            <v xml:space="preserve"> </v>
          </cell>
        </row>
        <row r="474">
          <cell r="B474" t="str">
            <v xml:space="preserve"> </v>
          </cell>
          <cell r="C474" t="str">
            <v xml:space="preserve"> </v>
          </cell>
          <cell r="D474" t="str">
            <v xml:space="preserve"> </v>
          </cell>
          <cell r="E474" t="str">
            <v xml:space="preserve"> </v>
          </cell>
          <cell r="F474" t="str">
            <v xml:space="preserve"> </v>
          </cell>
          <cell r="G474" t="str">
            <v xml:space="preserve"> </v>
          </cell>
          <cell r="H474" t="str">
            <v xml:space="preserve"> </v>
          </cell>
          <cell r="I474" t="str">
            <v xml:space="preserve"> </v>
          </cell>
          <cell r="J474" t="str">
            <v xml:space="preserve"> </v>
          </cell>
          <cell r="K474" t="str">
            <v xml:space="preserve"> </v>
          </cell>
          <cell r="L474" t="str">
            <v xml:space="preserve"> </v>
          </cell>
          <cell r="M474" t="str">
            <v xml:space="preserve"> </v>
          </cell>
        </row>
        <row r="475">
          <cell r="B475" t="str">
            <v xml:space="preserve"> </v>
          </cell>
          <cell r="C475" t="str">
            <v xml:space="preserve"> </v>
          </cell>
          <cell r="D475" t="str">
            <v xml:space="preserve"> </v>
          </cell>
          <cell r="E475" t="str">
            <v xml:space="preserve"> </v>
          </cell>
          <cell r="F475" t="str">
            <v xml:space="preserve"> </v>
          </cell>
          <cell r="G475" t="str">
            <v xml:space="preserve"> </v>
          </cell>
          <cell r="H475" t="str">
            <v xml:space="preserve"> </v>
          </cell>
          <cell r="I475" t="str">
            <v xml:space="preserve"> </v>
          </cell>
          <cell r="J475" t="str">
            <v xml:space="preserve"> </v>
          </cell>
          <cell r="K475" t="str">
            <v xml:space="preserve"> </v>
          </cell>
          <cell r="L475" t="str">
            <v xml:space="preserve"> </v>
          </cell>
          <cell r="M475" t="str">
            <v xml:space="preserve"> </v>
          </cell>
        </row>
        <row r="476">
          <cell r="B476" t="str">
            <v xml:space="preserve"> </v>
          </cell>
          <cell r="C476" t="str">
            <v xml:space="preserve"> </v>
          </cell>
          <cell r="D476" t="str">
            <v xml:space="preserve"> </v>
          </cell>
          <cell r="E476" t="str">
            <v xml:space="preserve"> </v>
          </cell>
          <cell r="F476" t="str">
            <v xml:space="preserve"> </v>
          </cell>
          <cell r="G476" t="str">
            <v xml:space="preserve"> </v>
          </cell>
          <cell r="H476" t="str">
            <v xml:space="preserve"> </v>
          </cell>
          <cell r="I476" t="str">
            <v xml:space="preserve"> </v>
          </cell>
          <cell r="J476" t="str">
            <v xml:space="preserve"> </v>
          </cell>
          <cell r="K476" t="str">
            <v xml:space="preserve"> </v>
          </cell>
          <cell r="L476" t="str">
            <v xml:space="preserve"> </v>
          </cell>
          <cell r="M476" t="str">
            <v xml:space="preserve"> </v>
          </cell>
        </row>
        <row r="477">
          <cell r="B477" t="str">
            <v xml:space="preserve"> </v>
          </cell>
          <cell r="C477" t="str">
            <v xml:space="preserve"> </v>
          </cell>
          <cell r="D477" t="str">
            <v xml:space="preserve"> </v>
          </cell>
          <cell r="E477" t="str">
            <v xml:space="preserve"> </v>
          </cell>
          <cell r="F477" t="str">
            <v xml:space="preserve"> </v>
          </cell>
          <cell r="G477" t="str">
            <v xml:space="preserve"> </v>
          </cell>
          <cell r="H477" t="str">
            <v xml:space="preserve"> </v>
          </cell>
          <cell r="I477" t="str">
            <v xml:space="preserve"> </v>
          </cell>
          <cell r="J477" t="str">
            <v xml:space="preserve"> </v>
          </cell>
          <cell r="K477" t="str">
            <v xml:space="preserve"> </v>
          </cell>
          <cell r="L477" t="str">
            <v xml:space="preserve"> </v>
          </cell>
          <cell r="M477" t="str">
            <v xml:space="preserve"> </v>
          </cell>
        </row>
        <row r="478">
          <cell r="B478" t="str">
            <v xml:space="preserve"> </v>
          </cell>
          <cell r="C478" t="str">
            <v xml:space="preserve"> </v>
          </cell>
          <cell r="D478" t="str">
            <v xml:space="preserve"> </v>
          </cell>
          <cell r="E478" t="str">
            <v xml:space="preserve"> </v>
          </cell>
          <cell r="F478" t="str">
            <v xml:space="preserve"> </v>
          </cell>
          <cell r="G478" t="str">
            <v xml:space="preserve"> </v>
          </cell>
          <cell r="H478" t="str">
            <v xml:space="preserve"> </v>
          </cell>
          <cell r="I478" t="str">
            <v xml:space="preserve"> </v>
          </cell>
          <cell r="J478" t="str">
            <v xml:space="preserve"> </v>
          </cell>
          <cell r="K478" t="str">
            <v xml:space="preserve"> </v>
          </cell>
          <cell r="L478" t="str">
            <v xml:space="preserve"> </v>
          </cell>
          <cell r="M478" t="str">
            <v xml:space="preserve"> </v>
          </cell>
        </row>
        <row r="479">
          <cell r="B479" t="str">
            <v xml:space="preserve"> </v>
          </cell>
          <cell r="C479" t="str">
            <v xml:space="preserve"> </v>
          </cell>
          <cell r="D479" t="str">
            <v xml:space="preserve"> </v>
          </cell>
          <cell r="E479" t="str">
            <v xml:space="preserve"> </v>
          </cell>
          <cell r="F479" t="str">
            <v xml:space="preserve"> </v>
          </cell>
          <cell r="G479" t="str">
            <v xml:space="preserve"> </v>
          </cell>
          <cell r="H479" t="str">
            <v xml:space="preserve"> </v>
          </cell>
          <cell r="I479" t="str">
            <v xml:space="preserve"> </v>
          </cell>
          <cell r="J479" t="str">
            <v xml:space="preserve"> </v>
          </cell>
          <cell r="K479" t="str">
            <v xml:space="preserve"> </v>
          </cell>
          <cell r="L479" t="str">
            <v xml:space="preserve"> </v>
          </cell>
          <cell r="M479" t="str">
            <v xml:space="preserve"> </v>
          </cell>
        </row>
        <row r="480">
          <cell r="B480" t="str">
            <v xml:space="preserve"> </v>
          </cell>
          <cell r="C480" t="str">
            <v xml:space="preserve"> </v>
          </cell>
          <cell r="D480" t="str">
            <v xml:space="preserve"> </v>
          </cell>
          <cell r="E480" t="str">
            <v xml:space="preserve"> </v>
          </cell>
          <cell r="F480" t="str">
            <v xml:space="preserve"> </v>
          </cell>
          <cell r="G480" t="str">
            <v xml:space="preserve"> </v>
          </cell>
          <cell r="H480" t="str">
            <v xml:space="preserve"> </v>
          </cell>
          <cell r="I480" t="str">
            <v xml:space="preserve"> </v>
          </cell>
          <cell r="J480" t="str">
            <v xml:space="preserve"> </v>
          </cell>
          <cell r="K480" t="str">
            <v xml:space="preserve"> </v>
          </cell>
          <cell r="L480" t="str">
            <v xml:space="preserve"> </v>
          </cell>
          <cell r="M480" t="str">
            <v xml:space="preserve"> </v>
          </cell>
        </row>
        <row r="481">
          <cell r="B481" t="str">
            <v xml:space="preserve"> </v>
          </cell>
          <cell r="C481" t="str">
            <v xml:space="preserve"> </v>
          </cell>
          <cell r="D481" t="str">
            <v xml:space="preserve"> </v>
          </cell>
          <cell r="E481" t="str">
            <v xml:space="preserve"> </v>
          </cell>
          <cell r="F481" t="str">
            <v xml:space="preserve"> </v>
          </cell>
          <cell r="G481" t="str">
            <v xml:space="preserve"> </v>
          </cell>
          <cell r="H481" t="str">
            <v xml:space="preserve"> </v>
          </cell>
          <cell r="I481" t="str">
            <v xml:space="preserve"> </v>
          </cell>
          <cell r="J481" t="str">
            <v xml:space="preserve"> </v>
          </cell>
          <cell r="K481" t="str">
            <v xml:space="preserve"> </v>
          </cell>
          <cell r="L481" t="str">
            <v xml:space="preserve"> </v>
          </cell>
          <cell r="M481" t="str">
            <v xml:space="preserve"> </v>
          </cell>
        </row>
        <row r="482">
          <cell r="B482" t="str">
            <v xml:space="preserve"> </v>
          </cell>
          <cell r="C482" t="str">
            <v xml:space="preserve"> </v>
          </cell>
          <cell r="D482" t="str">
            <v xml:space="preserve"> </v>
          </cell>
          <cell r="E482" t="str">
            <v xml:space="preserve"> </v>
          </cell>
          <cell r="F482" t="str">
            <v xml:space="preserve"> </v>
          </cell>
          <cell r="G482" t="str">
            <v xml:space="preserve"> </v>
          </cell>
          <cell r="H482" t="str">
            <v xml:space="preserve"> </v>
          </cell>
          <cell r="I482" t="str">
            <v xml:space="preserve"> </v>
          </cell>
          <cell r="J482" t="str">
            <v xml:space="preserve"> </v>
          </cell>
          <cell r="K482" t="str">
            <v xml:space="preserve"> </v>
          </cell>
          <cell r="L482" t="str">
            <v xml:space="preserve"> </v>
          </cell>
          <cell r="M482" t="str">
            <v xml:space="preserve"> </v>
          </cell>
        </row>
        <row r="483">
          <cell r="B483" t="str">
            <v xml:space="preserve"> </v>
          </cell>
          <cell r="C483" t="str">
            <v xml:space="preserve"> </v>
          </cell>
          <cell r="D483" t="str">
            <v xml:space="preserve"> </v>
          </cell>
          <cell r="E483" t="str">
            <v xml:space="preserve"> </v>
          </cell>
          <cell r="F483" t="str">
            <v xml:space="preserve"> </v>
          </cell>
          <cell r="G483" t="str">
            <v xml:space="preserve"> </v>
          </cell>
          <cell r="H483" t="str">
            <v xml:space="preserve"> </v>
          </cell>
          <cell r="I483" t="str">
            <v xml:space="preserve"> </v>
          </cell>
          <cell r="J483" t="str">
            <v xml:space="preserve"> </v>
          </cell>
          <cell r="K483" t="str">
            <v xml:space="preserve"> </v>
          </cell>
          <cell r="L483" t="str">
            <v xml:space="preserve"> </v>
          </cell>
          <cell r="M483" t="str">
            <v xml:space="preserve"> </v>
          </cell>
        </row>
        <row r="484">
          <cell r="B484" t="str">
            <v xml:space="preserve"> </v>
          </cell>
          <cell r="C484" t="str">
            <v xml:space="preserve"> </v>
          </cell>
          <cell r="D484" t="str">
            <v xml:space="preserve"> </v>
          </cell>
          <cell r="E484" t="str">
            <v xml:space="preserve"> </v>
          </cell>
          <cell r="F484" t="str">
            <v xml:space="preserve"> </v>
          </cell>
          <cell r="G484" t="str">
            <v xml:space="preserve"> </v>
          </cell>
          <cell r="H484" t="str">
            <v xml:space="preserve"> </v>
          </cell>
          <cell r="I484" t="str">
            <v xml:space="preserve"> </v>
          </cell>
          <cell r="J484" t="str">
            <v xml:space="preserve"> </v>
          </cell>
          <cell r="K484" t="str">
            <v xml:space="preserve"> </v>
          </cell>
          <cell r="L484" t="str">
            <v xml:space="preserve"> </v>
          </cell>
          <cell r="M484" t="str">
            <v xml:space="preserve"> </v>
          </cell>
        </row>
        <row r="485">
          <cell r="B485" t="str">
            <v xml:space="preserve"> </v>
          </cell>
          <cell r="C485" t="str">
            <v xml:space="preserve"> </v>
          </cell>
          <cell r="D485" t="str">
            <v xml:space="preserve"> </v>
          </cell>
          <cell r="E485" t="str">
            <v xml:space="preserve"> </v>
          </cell>
          <cell r="F485" t="str">
            <v xml:space="preserve"> </v>
          </cell>
          <cell r="G485" t="str">
            <v xml:space="preserve"> </v>
          </cell>
          <cell r="H485" t="str">
            <v xml:space="preserve"> </v>
          </cell>
          <cell r="I485" t="str">
            <v xml:space="preserve"> </v>
          </cell>
          <cell r="J485" t="str">
            <v xml:space="preserve"> </v>
          </cell>
          <cell r="K485" t="str">
            <v xml:space="preserve"> </v>
          </cell>
          <cell r="L485" t="str">
            <v xml:space="preserve"> </v>
          </cell>
          <cell r="M485" t="str">
            <v xml:space="preserve"> </v>
          </cell>
        </row>
        <row r="486">
          <cell r="B486" t="str">
            <v xml:space="preserve"> </v>
          </cell>
          <cell r="C486" t="str">
            <v xml:space="preserve"> </v>
          </cell>
          <cell r="D486" t="str">
            <v xml:space="preserve"> </v>
          </cell>
          <cell r="E486" t="str">
            <v xml:space="preserve"> </v>
          </cell>
          <cell r="F486" t="str">
            <v xml:space="preserve"> </v>
          </cell>
          <cell r="G486" t="str">
            <v xml:space="preserve"> </v>
          </cell>
          <cell r="H486" t="str">
            <v xml:space="preserve"> </v>
          </cell>
          <cell r="I486" t="str">
            <v xml:space="preserve"> </v>
          </cell>
          <cell r="J486" t="str">
            <v xml:space="preserve"> </v>
          </cell>
          <cell r="K486" t="str">
            <v xml:space="preserve"> </v>
          </cell>
          <cell r="L486" t="str">
            <v xml:space="preserve"> </v>
          </cell>
          <cell r="M486" t="str">
            <v xml:space="preserve"> </v>
          </cell>
        </row>
        <row r="487">
          <cell r="B487" t="str">
            <v xml:space="preserve"> </v>
          </cell>
          <cell r="C487" t="str">
            <v xml:space="preserve"> </v>
          </cell>
          <cell r="D487" t="str">
            <v xml:space="preserve"> </v>
          </cell>
          <cell r="E487" t="str">
            <v xml:space="preserve"> </v>
          </cell>
          <cell r="F487" t="str">
            <v xml:space="preserve"> </v>
          </cell>
          <cell r="G487" t="str">
            <v xml:space="preserve"> </v>
          </cell>
          <cell r="H487" t="str">
            <v xml:space="preserve"> </v>
          </cell>
          <cell r="I487" t="str">
            <v xml:space="preserve"> </v>
          </cell>
          <cell r="J487" t="str">
            <v xml:space="preserve"> </v>
          </cell>
          <cell r="K487" t="str">
            <v xml:space="preserve"> </v>
          </cell>
          <cell r="L487" t="str">
            <v xml:space="preserve"> </v>
          </cell>
          <cell r="M487" t="str">
            <v xml:space="preserve"> </v>
          </cell>
        </row>
        <row r="488">
          <cell r="B488" t="str">
            <v xml:space="preserve"> </v>
          </cell>
          <cell r="C488" t="str">
            <v xml:space="preserve"> </v>
          </cell>
          <cell r="D488" t="str">
            <v xml:space="preserve"> </v>
          </cell>
          <cell r="E488" t="str">
            <v xml:space="preserve"> </v>
          </cell>
          <cell r="F488" t="str">
            <v xml:space="preserve"> </v>
          </cell>
          <cell r="G488" t="str">
            <v xml:space="preserve"> </v>
          </cell>
          <cell r="H488" t="str">
            <v xml:space="preserve"> </v>
          </cell>
          <cell r="I488" t="str">
            <v xml:space="preserve"> </v>
          </cell>
          <cell r="J488" t="str">
            <v xml:space="preserve"> </v>
          </cell>
          <cell r="K488" t="str">
            <v xml:space="preserve"> </v>
          </cell>
          <cell r="L488" t="str">
            <v xml:space="preserve"> </v>
          </cell>
          <cell r="M488" t="str">
            <v xml:space="preserve"> </v>
          </cell>
        </row>
        <row r="489">
          <cell r="B489" t="str">
            <v xml:space="preserve"> </v>
          </cell>
          <cell r="C489" t="str">
            <v xml:space="preserve"> </v>
          </cell>
          <cell r="D489" t="str">
            <v xml:space="preserve"> </v>
          </cell>
          <cell r="E489" t="str">
            <v xml:space="preserve"> </v>
          </cell>
          <cell r="F489" t="str">
            <v xml:space="preserve"> </v>
          </cell>
          <cell r="G489" t="str">
            <v xml:space="preserve"> </v>
          </cell>
          <cell r="H489" t="str">
            <v xml:space="preserve"> </v>
          </cell>
          <cell r="I489" t="str">
            <v xml:space="preserve"> </v>
          </cell>
          <cell r="J489" t="str">
            <v xml:space="preserve"> </v>
          </cell>
          <cell r="K489" t="str">
            <v xml:space="preserve"> </v>
          </cell>
          <cell r="L489" t="str">
            <v xml:space="preserve"> </v>
          </cell>
          <cell r="M489" t="str">
            <v xml:space="preserve"> </v>
          </cell>
        </row>
        <row r="490">
          <cell r="B490" t="str">
            <v xml:space="preserve"> </v>
          </cell>
          <cell r="C490" t="str">
            <v xml:space="preserve"> </v>
          </cell>
          <cell r="D490" t="str">
            <v xml:space="preserve"> </v>
          </cell>
          <cell r="E490" t="str">
            <v xml:space="preserve"> </v>
          </cell>
          <cell r="F490" t="str">
            <v xml:space="preserve"> </v>
          </cell>
          <cell r="G490" t="str">
            <v xml:space="preserve"> </v>
          </cell>
          <cell r="H490" t="str">
            <v xml:space="preserve"> </v>
          </cell>
          <cell r="I490" t="str">
            <v xml:space="preserve"> </v>
          </cell>
          <cell r="J490" t="str">
            <v xml:space="preserve"> </v>
          </cell>
          <cell r="K490" t="str">
            <v xml:space="preserve"> </v>
          </cell>
          <cell r="L490" t="str">
            <v xml:space="preserve"> </v>
          </cell>
          <cell r="M490" t="str">
            <v xml:space="preserve"> </v>
          </cell>
        </row>
      </sheetData>
      <sheetData sheetId="2"/>
      <sheetData sheetId="3"/>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sheetData sheetId="22"/>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745573-9A71-4FA8-8BE7-A8E8AC67DB80}" name="Table14" displayName="Table14" ref="A1:AT490" totalsRowShown="0" headerRowDxfId="80" dataDxfId="79">
  <autoFilter ref="A1:AT490" xr:uid="{00000000-0009-0000-0100-000001000000}"/>
  <tableColumns count="46">
    <tableColumn id="1" xr3:uid="{DF52F361-6962-4F75-BC9B-2A32ECEEE85E}" name="PART#" dataDxfId="78"/>
    <tableColumn id="2" xr3:uid="{37F5022C-CAE7-4B19-8647-300D7A427409}" name="ML1" dataDxfId="77"/>
    <tableColumn id="12" xr3:uid="{9683FEB6-30D6-4464-88A6-EE8B4BB6C32E}" name="ML2" dataDxfId="76"/>
    <tableColumn id="3" xr3:uid="{569C9C4C-561C-469F-80DC-6E2D1F291243}" name="ML3" dataDxfId="75"/>
    <tableColumn id="13" xr3:uid="{966457A7-EE01-4809-ABB6-7A85306F58B7}" name="ML4" dataDxfId="74"/>
    <tableColumn id="4" xr3:uid="{897F868B-97F4-4BCE-9D44-4C4B2F5E111D}" name="ML5" dataDxfId="73"/>
    <tableColumn id="14" xr3:uid="{8233E035-E364-4B0E-8A29-E22601751270}" name="ML6" dataDxfId="72"/>
    <tableColumn id="5" xr3:uid="{80DD831D-6109-4B4A-A968-F50C221844DD}" name="ML7" dataDxfId="71"/>
    <tableColumn id="15" xr3:uid="{957FAFF7-17F2-4903-9533-BDCD5CAD0B5D}" name="ML8" dataDxfId="70"/>
    <tableColumn id="6" xr3:uid="{EADD5372-0F3F-4F41-B481-628B5BD24E47}" name="ANO1" dataDxfId="69"/>
    <tableColumn id="16" xr3:uid="{A0FCA04F-565A-4461-9207-9E2BC9661319}" name="ANO2" dataDxfId="68"/>
    <tableColumn id="7" xr3:uid="{BAB0E8B4-EA00-4CF3-A931-6630BDFE5FBF}" name="ANO3" dataDxfId="67"/>
    <tableColumn id="17" xr3:uid="{323E0728-92B4-4D5B-86ED-029071ED8535}" name="KEY1" dataDxfId="66"/>
    <tableColumn id="24" xr3:uid="{3477F8C7-18C5-4FBC-A706-FA67223D7835}" name="KEY1B" dataDxfId="65"/>
    <tableColumn id="23" xr3:uid="{AF1E865A-E5BD-4F31-A780-2D8D48719A58}" name="KEY2" dataDxfId="64"/>
    <tableColumn id="22" xr3:uid="{D966C24D-6DCD-422E-B2BB-B96FD8550911}" name="KEY2B" dataDxfId="63"/>
    <tableColumn id="21" xr3:uid="{8FD4D35C-AD56-44E2-A4E8-E56E3E8A112F}" name="KEY3" dataDxfId="62"/>
    <tableColumn id="20" xr3:uid="{5329C6C3-3F21-4F22-A3CD-7DE667FFEA48}" name="KEY3B" dataDxfId="61"/>
    <tableColumn id="19" xr3:uid="{31C125CB-A2DC-4F96-8002-501FDD226F0C}" name="KEY4" dataDxfId="60"/>
    <tableColumn id="18" xr3:uid="{906281A4-ECFC-4216-A33D-2FF90223DF30}" name="KEY4B" dataDxfId="59"/>
    <tableColumn id="11" xr3:uid="{9A370671-CB3D-4970-8517-C1BF5EFAF5E3}" name="KEY5" dataDxfId="58"/>
    <tableColumn id="10" xr3:uid="{AA6B8AD3-3FA7-440B-9DAD-51BA2C8B11E6}" name="KEY5B" dataDxfId="57"/>
    <tableColumn id="25" xr3:uid="{CE67747C-A6B7-4730-A168-80B3EDE6B9F8}" name="KEY6" dataDxfId="56"/>
    <tableColumn id="33" xr3:uid="{D83AC7D7-AF1C-42DC-BD4D-8E79EB1CB84B}" name="KEY6B" dataDxfId="55"/>
    <tableColumn id="31" xr3:uid="{B4DDBA5B-017B-4BBF-8531-F93C42978CA9}" name="OL1" dataDxfId="54"/>
    <tableColumn id="29" xr3:uid="{9154F66E-58F2-48E5-8B5A-9C21F00C090B}" name="OL1B" dataDxfId="53"/>
    <tableColumn id="27" xr3:uid="{FF87EBBB-8029-4F01-B9CF-80E80A322863}" name="OL2" dataDxfId="52"/>
    <tableColumn id="28" xr3:uid="{A0BC06C4-97F5-41CD-BB8F-734511230CD9}" name="OL2B" dataDxfId="51"/>
    <tableColumn id="44" xr3:uid="{485DD4EC-7CE2-4A30-8DA5-1060FC7F9FBF}" name="OL3" dataDxfId="50"/>
    <tableColumn id="43" xr3:uid="{C71DB94A-C76A-43F3-9EB9-101975080449}" name="OL3B" dataDxfId="49"/>
    <tableColumn id="42" xr3:uid="{B146A770-7149-4892-B83A-7F0088ECC771}" name="OL4" dataDxfId="48"/>
    <tableColumn id="41" xr3:uid="{28144B2D-4FC6-4BC8-9224-903C1F6C6153}" name="OL4B" dataDxfId="47"/>
    <tableColumn id="46" xr3:uid="{A4B3FB67-73D4-4560-8201-80948576F059}" name="OL5" dataDxfId="46"/>
    <tableColumn id="45" xr3:uid="{42753B17-A0D8-4A6E-ACF5-B5B64F35144B}" name="OL5B" dataDxfId="45"/>
    <tableColumn id="26" xr3:uid="{DF744B69-C292-407B-B731-5AF9B17EAB88}" name="OL6" dataDxfId="44"/>
    <tableColumn id="35" xr3:uid="{A846122D-251C-42D8-9F9C-B554A4A60E56}" name="OL6B" dataDxfId="43"/>
    <tableColumn id="34" xr3:uid="{D16D6B35-AD59-4C8A-B0B9-B6D0985A518D}" name="OL7" dataDxfId="42"/>
    <tableColumn id="36" xr3:uid="{C1924F00-24BE-43B5-A2BB-302F1E67A8BA}" name="OL7B" dataDxfId="41"/>
    <tableColumn id="37" xr3:uid="{11E28AC9-1BA6-47BF-983C-1D57C878BA6F}" name="OL8" dataDxfId="40"/>
    <tableColumn id="38" xr3:uid="{852FDF4C-F5AC-46F0-A013-92C9D7AD20F9}" name="OL8B" dataDxfId="39"/>
    <tableColumn id="39" xr3:uid="{67EAEE34-A76F-4AFC-BD14-227E8415C02F}" name="OL9" dataDxfId="38"/>
    <tableColumn id="40" xr3:uid="{D5A2B8D8-AA74-4971-957A-F8C7B34133DD}" name="OL9B" dataDxfId="37"/>
    <tableColumn id="8" xr3:uid="{9393BC9A-35A5-498F-9FB1-715FBDD698F1}" name="Desc" dataDxfId="36"/>
    <tableColumn id="9" xr3:uid="{76E061B5-D864-4C49-BDAE-C7ACF76A8F48}" name="Var2" dataDxfId="35"/>
    <tableColumn id="30" xr3:uid="{B6724D56-22F3-4B01-9B35-63DF7825383B}" name="Var3" dataDxfId="34"/>
    <tableColumn id="32" xr3:uid="{C310B478-56D2-422F-93E8-38CD4464AD8E}" name="Var4" dataDxfId="33"/>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B3D8E-82D0-4F8D-89BA-67BE47220127}" name="Table1" displayName="Table1" ref="B2:B83" totalsRowShown="0" headerRowDxfId="3" headerRowBorderDxfId="2" tableBorderDxfId="1">
  <autoFilter ref="B2:B83" xr:uid="{0FB48376-60CD-4396-AF7D-0150A3FB8059}"/>
  <tableColumns count="1">
    <tableColumn id="1" xr3:uid="{EC75F9E0-BE90-4888-A939-CF48C445433D}"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2" sqref="C2"/>
    </sheetView>
  </sheetViews>
  <sheetFormatPr defaultColWidth="9.140625" defaultRowHeight="20.100000000000001" customHeight="1"/>
  <cols>
    <col min="1" max="1" width="4.7109375" style="195" customWidth="1"/>
    <col min="2" max="2" width="18.7109375" style="194" customWidth="1"/>
    <col min="3" max="3" width="30.7109375" style="194" customWidth="1"/>
    <col min="4" max="4" width="3.7109375" style="194" customWidth="1"/>
    <col min="5" max="5" width="30.7109375" style="194" customWidth="1"/>
    <col min="6" max="6" width="3.7109375" style="194" customWidth="1"/>
    <col min="7" max="7" width="30.7109375" style="194" customWidth="1"/>
    <col min="8" max="8" width="3.7109375" style="194" customWidth="1"/>
    <col min="9" max="9" width="30.7109375" style="194" customWidth="1"/>
    <col min="10" max="10" width="3.7109375" style="194" customWidth="1"/>
    <col min="11" max="11" width="30.7109375" style="194" customWidth="1"/>
    <col min="12" max="12" width="3.7109375" style="194" customWidth="1"/>
    <col min="13" max="13" width="30.7109375" style="194" customWidth="1"/>
    <col min="14" max="14" width="3.7109375" style="194" customWidth="1"/>
    <col min="15" max="15" width="30.7109375" style="194" customWidth="1"/>
    <col min="16" max="16384" width="9.140625" style="194"/>
  </cols>
  <sheetData>
    <row r="1" spans="1:9" s="180" customFormat="1" ht="9.9499999999999993" customHeight="1">
      <c r="A1" s="179"/>
    </row>
    <row r="2" spans="1:9" s="180" customFormat="1" ht="20.100000000000001" customHeight="1">
      <c r="A2" s="179"/>
      <c r="B2" s="181" t="s">
        <v>425</v>
      </c>
      <c r="C2" s="182"/>
    </row>
    <row r="3" spans="1:9" s="180" customFormat="1" ht="9.9499999999999993" customHeight="1">
      <c r="A3" s="179"/>
      <c r="B3" s="181"/>
      <c r="C3" s="183"/>
    </row>
    <row r="4" spans="1:9" s="180" customFormat="1" ht="20.100000000000001" customHeight="1">
      <c r="A4" s="179"/>
      <c r="B4" s="181" t="s">
        <v>426</v>
      </c>
      <c r="C4" s="184"/>
    </row>
    <row r="5" spans="1:9" s="180" customFormat="1" ht="9.9499999999999993" customHeight="1">
      <c r="A5" s="179"/>
      <c r="B5" s="181"/>
      <c r="C5" s="183"/>
    </row>
    <row r="6" spans="1:9" s="180" customFormat="1" ht="20.100000000000001" customHeight="1">
      <c r="A6" s="179"/>
      <c r="B6" s="181" t="s">
        <v>427</v>
      </c>
      <c r="C6" s="185" t="e">
        <f>VLOOKUP('START HERE'!$C$8,[5]Variables!$A$2:$AZ$500,43,FALSE)</f>
        <v>#N/A</v>
      </c>
    </row>
    <row r="7" spans="1:9" s="180" customFormat="1" ht="9.9499999999999993" customHeight="1">
      <c r="A7" s="179"/>
      <c r="B7" s="181"/>
      <c r="C7" s="183"/>
    </row>
    <row r="8" spans="1:9" s="180" customFormat="1" ht="20.100000000000001" customHeight="1">
      <c r="A8" s="179"/>
      <c r="B8" s="181" t="s">
        <v>428</v>
      </c>
      <c r="C8" s="182"/>
      <c r="E8" s="186" t="s">
        <v>429</v>
      </c>
      <c r="F8" s="187"/>
      <c r="G8" s="186" t="s">
        <v>430</v>
      </c>
      <c r="H8" s="187"/>
      <c r="I8" s="186" t="s">
        <v>431</v>
      </c>
    </row>
    <row r="9" spans="1:9" s="180" customFormat="1" ht="9.9499999999999993" customHeight="1">
      <c r="A9" s="179"/>
      <c r="B9" s="181"/>
      <c r="C9" s="183"/>
      <c r="I9" s="188"/>
    </row>
    <row r="10" spans="1:9" s="180" customFormat="1" ht="20.100000000000001" customHeight="1">
      <c r="A10" s="179"/>
      <c r="B10" s="181" t="s">
        <v>432</v>
      </c>
      <c r="C10" s="184"/>
      <c r="E10" s="180">
        <f>ROUNDUP(C16*1.1,0)</f>
        <v>0</v>
      </c>
      <c r="G10" s="180" t="e">
        <f>IF(E10="","",IF(E10="100%","100%",IF(E10="Section","",IF(OR(INDEX([7]AQL!$A$1:$J$12, MATCH(E10,[7]AQL!$A$1:$A$12,1), MATCH(I10,[7]AQL!$A$1:$J$1,0))=0,INDEX([7]AQL!$A$1:$J$12, MATCH(E10,[7]AQL!$A$1:$A$12,1), MATCH(I10,[7]AQL!$A$1:$J$1,0))&gt;E10),"100%",INDEX([7]AQL!$A$1:$J$12, MATCH(E10,[7]AQL!$A$1:$A$12,1), MATCH(I10,[7]AQL!$A$1:$J$1,0))))))</f>
        <v>#N/A</v>
      </c>
      <c r="H10" s="189"/>
      <c r="I10" s="190">
        <v>4</v>
      </c>
    </row>
    <row r="11" spans="1:9" s="180" customFormat="1" ht="9.9499999999999993" customHeight="1">
      <c r="A11" s="179"/>
      <c r="B11" s="181"/>
      <c r="C11" s="183"/>
    </row>
    <row r="12" spans="1:9" s="180" customFormat="1" ht="20.100000000000001" customHeight="1">
      <c r="A12" s="179"/>
      <c r="B12" s="181" t="s">
        <v>433</v>
      </c>
      <c r="C12" s="184"/>
    </row>
    <row r="13" spans="1:9" s="180" customFormat="1" ht="9.9499999999999993" customHeight="1">
      <c r="A13" s="179"/>
      <c r="B13" s="181"/>
      <c r="C13" s="183"/>
    </row>
    <row r="14" spans="1:9" s="180" customFormat="1" ht="20.100000000000001" customHeight="1">
      <c r="A14" s="179"/>
      <c r="B14" s="181" t="s">
        <v>434</v>
      </c>
      <c r="C14" s="184" t="s">
        <v>33</v>
      </c>
      <c r="E14" s="191" t="s">
        <v>435</v>
      </c>
      <c r="G14" s="191"/>
    </row>
    <row r="15" spans="1:9" s="180" customFormat="1" ht="9.9499999999999993" customHeight="1">
      <c r="A15" s="179"/>
    </row>
    <row r="16" spans="1:9" s="180" customFormat="1" ht="20.100000000000001" customHeight="1">
      <c r="A16" s="179"/>
      <c r="B16" s="181" t="s">
        <v>436</v>
      </c>
      <c r="C16" s="182"/>
      <c r="E16" s="192" t="str">
        <f>IFERROR(IF(G10="100%","100%","1/"&amp;_xlfn.FLOOR.MATH(E10/G10)),"AQL")</f>
        <v>AQL</v>
      </c>
      <c r="G16" s="191"/>
    </row>
    <row r="17" spans="1:15" s="180" customFormat="1" ht="9.9499999999999993" customHeight="1">
      <c r="A17" s="179"/>
      <c r="B17" s="181"/>
      <c r="C17" s="183"/>
    </row>
    <row r="18" spans="1:15" s="180" customFormat="1" ht="20.100000000000001" customHeight="1">
      <c r="A18" s="179"/>
      <c r="B18" s="181" t="s">
        <v>437</v>
      </c>
      <c r="C18" s="184"/>
      <c r="E18" s="184"/>
      <c r="G18" s="184"/>
      <c r="I18" s="184"/>
      <c r="K18" s="184"/>
      <c r="M18" s="184"/>
      <c r="O18" s="184"/>
    </row>
    <row r="19" spans="1:15" s="180" customFormat="1" ht="9.9499999999999993" customHeight="1">
      <c r="A19" s="179"/>
    </row>
    <row r="20" spans="1:15" s="180" customFormat="1" ht="20.100000000000001" customHeight="1">
      <c r="A20" s="179"/>
      <c r="B20" s="181" t="s">
        <v>438</v>
      </c>
      <c r="C20" s="184"/>
      <c r="E20" s="184"/>
      <c r="G20" s="184"/>
    </row>
    <row r="21" spans="1:15" s="180" customFormat="1" ht="20.100000000000001" customHeight="1">
      <c r="A21" s="179"/>
    </row>
    <row r="22" spans="1:15" s="180" customFormat="1" ht="20.100000000000001" customHeight="1">
      <c r="A22" s="179"/>
      <c r="B22" s="193" t="s">
        <v>439</v>
      </c>
    </row>
    <row r="23" spans="1:15" ht="20.100000000000001" customHeight="1">
      <c r="A23" s="179">
        <v>1</v>
      </c>
      <c r="B23" s="187" t="s">
        <v>440</v>
      </c>
      <c r="C23" s="180"/>
      <c r="D23" s="180"/>
      <c r="E23" s="180"/>
      <c r="F23" s="180"/>
      <c r="G23" s="180"/>
      <c r="H23" s="180"/>
      <c r="I23" s="180"/>
      <c r="J23" s="180"/>
      <c r="K23" s="180"/>
      <c r="L23" s="180"/>
      <c r="M23" s="180"/>
      <c r="N23" s="180"/>
      <c r="O23" s="180"/>
    </row>
  </sheetData>
  <sheetProtection algorithmName="SHA-512" hashValue="+PSToUpXP7DboqIuby7zRs6Jpzpw3lRk8cMZeE/easmAqpKxMZbauRveKEp/ehpwm98z6c6xz7LEdS71ftG2gg==" saltValue="8Vua0z5fknbidn1GemIspw==" spinCount="100000" sheet="1"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D862855-05AB-4258-9EA4-DEDC909C6D48}">
          <x14:formula1>
            <xm:f>'C:\Users\mdieckman\Desktop\[IR Master Template_Generic1]AQL'!#REF!</xm:f>
          </x14:formula1>
          <xm:sqref>I10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BK491"/>
  <sheetViews>
    <sheetView zoomScaleSheetLayoutView="40" workbookViewId="0">
      <pane xSplit="1" ySplit="1" topLeftCell="J2" activePane="bottomRight" state="frozen"/>
      <selection pane="topRight" activeCell="B1" sqref="B1"/>
      <selection pane="bottomLeft" activeCell="A2" sqref="A2"/>
      <selection pane="bottomRight" activeCell="A5" sqref="A5"/>
    </sheetView>
  </sheetViews>
  <sheetFormatPr defaultColWidth="9.140625" defaultRowHeight="12.75" outlineLevelCol="1"/>
  <cols>
    <col min="1" max="1" width="25.7109375" style="205" customWidth="1"/>
    <col min="2" max="9" width="12.7109375" style="205" hidden="1" customWidth="1" outlineLevel="1"/>
    <col min="10" max="10" width="12.7109375" style="205" customWidth="1" collapsed="1"/>
    <col min="11" max="12" width="12.7109375" style="205" customWidth="1"/>
    <col min="13" max="24" width="12.7109375" style="205" hidden="1" customWidth="1" outlineLevel="1"/>
    <col min="25" max="25" width="12.7109375" style="205" customWidth="1" collapsed="1"/>
    <col min="26" max="42" width="12.7109375" style="205" customWidth="1"/>
    <col min="43" max="43" width="34.28515625" style="205" customWidth="1"/>
    <col min="44" max="46" width="12.7109375" style="205" customWidth="1"/>
    <col min="47" max="47" width="5.7109375" style="205" customWidth="1"/>
    <col min="48" max="48" width="15.7109375" style="203" customWidth="1"/>
    <col min="49" max="49" width="20.7109375" style="203" customWidth="1"/>
    <col min="50" max="50" width="40.5703125" style="203" customWidth="1"/>
    <col min="51" max="16384" width="9.140625" style="203"/>
  </cols>
  <sheetData>
    <row r="1" spans="1:63" ht="16.5">
      <c r="A1" s="196" t="s">
        <v>441</v>
      </c>
      <c r="B1" s="197" t="s">
        <v>442</v>
      </c>
      <c r="C1" s="197" t="s">
        <v>443</v>
      </c>
      <c r="D1" s="197" t="s">
        <v>444</v>
      </c>
      <c r="E1" s="197" t="s">
        <v>445</v>
      </c>
      <c r="F1" s="197" t="s">
        <v>446</v>
      </c>
      <c r="G1" s="197" t="s">
        <v>447</v>
      </c>
      <c r="H1" s="197" t="s">
        <v>448</v>
      </c>
      <c r="I1" s="197" t="s">
        <v>449</v>
      </c>
      <c r="J1" s="198" t="s">
        <v>450</v>
      </c>
      <c r="K1" s="198" t="s">
        <v>451</v>
      </c>
      <c r="L1" s="198" t="s">
        <v>452</v>
      </c>
      <c r="M1" s="199" t="s">
        <v>453</v>
      </c>
      <c r="N1" s="199" t="s">
        <v>454</v>
      </c>
      <c r="O1" s="199" t="s">
        <v>455</v>
      </c>
      <c r="P1" s="199" t="s">
        <v>456</v>
      </c>
      <c r="Q1" s="199" t="s">
        <v>457</v>
      </c>
      <c r="R1" s="199" t="s">
        <v>458</v>
      </c>
      <c r="S1" s="199" t="s">
        <v>459</v>
      </c>
      <c r="T1" s="199" t="s">
        <v>460</v>
      </c>
      <c r="U1" s="199" t="s">
        <v>461</v>
      </c>
      <c r="V1" s="199" t="s">
        <v>462</v>
      </c>
      <c r="W1" s="199" t="s">
        <v>463</v>
      </c>
      <c r="X1" s="199" t="s">
        <v>464</v>
      </c>
      <c r="Y1" s="200" t="s">
        <v>465</v>
      </c>
      <c r="Z1" s="200" t="s">
        <v>466</v>
      </c>
      <c r="AA1" s="200" t="s">
        <v>467</v>
      </c>
      <c r="AB1" s="200" t="s">
        <v>468</v>
      </c>
      <c r="AC1" s="200" t="s">
        <v>469</v>
      </c>
      <c r="AD1" s="200" t="s">
        <v>470</v>
      </c>
      <c r="AE1" s="200" t="s">
        <v>471</v>
      </c>
      <c r="AF1" s="200" t="s">
        <v>472</v>
      </c>
      <c r="AG1" s="200" t="s">
        <v>473</v>
      </c>
      <c r="AH1" s="200" t="s">
        <v>474</v>
      </c>
      <c r="AI1" s="200" t="s">
        <v>475</v>
      </c>
      <c r="AJ1" s="200" t="s">
        <v>476</v>
      </c>
      <c r="AK1" s="200" t="s">
        <v>477</v>
      </c>
      <c r="AL1" s="200" t="s">
        <v>478</v>
      </c>
      <c r="AM1" s="200" t="s">
        <v>479</v>
      </c>
      <c r="AN1" s="200" t="s">
        <v>480</v>
      </c>
      <c r="AO1" s="200" t="s">
        <v>481</v>
      </c>
      <c r="AP1" s="200" t="s">
        <v>482</v>
      </c>
      <c r="AQ1" s="201" t="s">
        <v>483</v>
      </c>
      <c r="AR1" s="201" t="s">
        <v>484</v>
      </c>
      <c r="AS1" s="201" t="s">
        <v>485</v>
      </c>
      <c r="AT1" s="201" t="s">
        <v>486</v>
      </c>
      <c r="AU1" s="196"/>
      <c r="AV1" s="202"/>
      <c r="AW1" s="202"/>
      <c r="AX1" s="202"/>
      <c r="AY1" s="202"/>
    </row>
    <row r="2" spans="1:63" ht="12.75" customHeight="1" thickBot="1">
      <c r="A2" s="204"/>
      <c r="B2" s="204"/>
      <c r="C2" s="204"/>
      <c r="D2" s="204"/>
      <c r="E2" s="204"/>
      <c r="F2" s="204"/>
      <c r="G2" s="204"/>
      <c r="H2" s="204"/>
      <c r="I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6"/>
      <c r="AV2" s="207" t="s">
        <v>487</v>
      </c>
      <c r="AW2" s="208"/>
      <c r="AX2" s="208"/>
      <c r="AY2" s="202"/>
      <c r="AZ2" s="202"/>
      <c r="BA2" s="202"/>
      <c r="BB2" s="202"/>
      <c r="BC2" s="202"/>
      <c r="BD2" s="202"/>
      <c r="BE2" s="202"/>
      <c r="BF2" s="202"/>
      <c r="BG2" s="202"/>
    </row>
    <row r="3" spans="1:63" ht="12.75" customHeight="1">
      <c r="A3" s="204"/>
      <c r="B3" s="204"/>
      <c r="C3" s="204"/>
      <c r="D3" s="204"/>
      <c r="E3" s="204"/>
      <c r="F3" s="204"/>
      <c r="G3" s="204"/>
      <c r="H3" s="204"/>
      <c r="I3" s="204"/>
      <c r="L3" s="204"/>
      <c r="M3" s="204"/>
      <c r="N3" s="204"/>
      <c r="O3" s="204"/>
      <c r="P3" s="204"/>
      <c r="Q3" s="204"/>
      <c r="R3" s="204"/>
      <c r="S3" s="204"/>
      <c r="T3" s="204"/>
      <c r="U3" s="204"/>
      <c r="V3" s="204"/>
      <c r="W3" s="204"/>
      <c r="X3" s="204"/>
      <c r="Y3" s="204"/>
      <c r="Z3" s="204"/>
      <c r="AA3" s="204"/>
      <c r="AB3" s="204"/>
      <c r="AC3" s="204"/>
      <c r="AD3" s="204"/>
      <c r="AE3" s="204"/>
      <c r="AF3" s="204"/>
      <c r="AG3" s="204"/>
      <c r="AH3" s="204"/>
      <c r="AI3" s="204"/>
      <c r="AJ3" s="204"/>
      <c r="AK3" s="204"/>
      <c r="AL3" s="204"/>
      <c r="AM3" s="204"/>
      <c r="AN3" s="204"/>
      <c r="AO3" s="204"/>
      <c r="AP3" s="204"/>
      <c r="AQ3" s="204"/>
      <c r="AR3" s="204"/>
      <c r="AS3" s="204"/>
      <c r="AT3" s="204"/>
      <c r="AU3" s="206"/>
      <c r="AV3" s="209"/>
      <c r="AW3" s="210"/>
      <c r="AX3" s="210"/>
      <c r="AY3" s="210"/>
      <c r="AZ3" s="210"/>
      <c r="BA3" s="210"/>
      <c r="BB3" s="210"/>
      <c r="BC3" s="210"/>
      <c r="BD3" s="210"/>
      <c r="BE3" s="210"/>
      <c r="BF3" s="210"/>
      <c r="BG3" s="211"/>
    </row>
    <row r="4" spans="1:63" ht="15">
      <c r="A4" s="204"/>
      <c r="B4" s="204"/>
      <c r="C4" s="204"/>
      <c r="D4" s="204"/>
      <c r="E4" s="204"/>
      <c r="F4" s="204"/>
      <c r="G4" s="204"/>
      <c r="H4" s="204"/>
      <c r="I4" s="204"/>
      <c r="L4" s="204"/>
      <c r="M4" s="204"/>
      <c r="N4" s="204"/>
      <c r="O4" s="204"/>
      <c r="P4" s="204"/>
      <c r="Q4" s="204"/>
      <c r="R4" s="204"/>
      <c r="S4" s="204"/>
      <c r="T4" s="204"/>
      <c r="U4" s="204"/>
      <c r="V4" s="204"/>
      <c r="W4" s="204"/>
      <c r="X4" s="204"/>
      <c r="Y4" s="204"/>
      <c r="Z4" s="204"/>
      <c r="AA4" s="204"/>
      <c r="AB4" s="204"/>
      <c r="AC4" s="204"/>
      <c r="AD4" s="204"/>
      <c r="AE4" s="204"/>
      <c r="AF4" s="204"/>
      <c r="AG4" s="204"/>
      <c r="AH4" s="204"/>
      <c r="AI4" s="204"/>
      <c r="AJ4" s="204"/>
      <c r="AK4" s="204"/>
      <c r="AL4" s="204"/>
      <c r="AM4" s="204"/>
      <c r="AN4" s="204"/>
      <c r="AO4" s="204"/>
      <c r="AP4" s="204"/>
      <c r="AQ4" s="204"/>
      <c r="AR4" s="204"/>
      <c r="AS4" s="204"/>
      <c r="AT4" s="204"/>
      <c r="AU4" s="206"/>
      <c r="AV4" s="212" t="s">
        <v>488</v>
      </c>
      <c r="AW4" s="213" t="s">
        <v>489</v>
      </c>
      <c r="AX4" s="202"/>
      <c r="AY4" s="202"/>
      <c r="AZ4" s="202"/>
      <c r="BA4" s="202"/>
      <c r="BB4" s="202"/>
      <c r="BC4" s="202"/>
      <c r="BD4" s="202"/>
      <c r="BE4" s="202"/>
      <c r="BF4" s="202"/>
      <c r="BG4" s="214"/>
    </row>
    <row r="5" spans="1:63" ht="15">
      <c r="B5" s="204"/>
      <c r="C5" s="204"/>
      <c r="D5" s="204"/>
      <c r="E5" s="204"/>
      <c r="F5" s="204"/>
      <c r="G5" s="204"/>
      <c r="H5" s="204"/>
      <c r="I5" s="204"/>
      <c r="L5" s="204"/>
      <c r="M5" s="204"/>
      <c r="N5" s="204"/>
      <c r="O5" s="204"/>
      <c r="P5" s="204"/>
      <c r="Q5" s="204"/>
      <c r="R5" s="204"/>
      <c r="S5" s="204"/>
      <c r="T5" s="204"/>
      <c r="U5" s="204"/>
      <c r="V5" s="204"/>
      <c r="W5" s="204"/>
      <c r="X5" s="204"/>
      <c r="Y5" s="204"/>
      <c r="Z5" s="204"/>
      <c r="AA5" s="204"/>
      <c r="AB5" s="204"/>
      <c r="AC5" s="204"/>
      <c r="AD5" s="204"/>
      <c r="AE5" s="204"/>
      <c r="AF5" s="204"/>
      <c r="AG5" s="204"/>
      <c r="AH5" s="204"/>
      <c r="AI5" s="204"/>
      <c r="AJ5" s="204"/>
      <c r="AK5" s="204"/>
      <c r="AL5" s="204"/>
      <c r="AM5" s="204"/>
      <c r="AN5" s="204"/>
      <c r="AO5" s="204"/>
      <c r="AP5" s="204"/>
      <c r="AQ5" s="204"/>
      <c r="AR5" s="204"/>
      <c r="AS5" s="204"/>
      <c r="AT5" s="204"/>
      <c r="AU5" s="206"/>
      <c r="AV5" s="215" t="s">
        <v>450</v>
      </c>
      <c r="AW5" s="216" t="s">
        <v>490</v>
      </c>
      <c r="AX5" s="217"/>
      <c r="AY5" s="218" t="s">
        <v>491</v>
      </c>
      <c r="AZ5" s="202"/>
      <c r="BA5" s="202"/>
      <c r="BB5" s="202"/>
      <c r="BC5" s="202"/>
      <c r="BD5" s="202"/>
      <c r="BE5" s="202"/>
      <c r="BF5" s="202"/>
      <c r="BG5" s="214"/>
    </row>
    <row r="6" spans="1:63" ht="15">
      <c r="A6" s="204"/>
      <c r="B6" s="204"/>
      <c r="C6" s="204"/>
      <c r="D6" s="204"/>
      <c r="E6" s="204"/>
      <c r="F6" s="204"/>
      <c r="G6" s="204"/>
      <c r="H6" s="204"/>
      <c r="I6" s="204"/>
      <c r="L6" s="204"/>
      <c r="M6" s="204"/>
      <c r="N6" s="204"/>
      <c r="O6" s="204"/>
      <c r="P6" s="204"/>
      <c r="Q6" s="204"/>
      <c r="R6" s="204"/>
      <c r="S6" s="204"/>
      <c r="T6" s="204"/>
      <c r="U6" s="204"/>
      <c r="V6" s="204"/>
      <c r="W6" s="204"/>
      <c r="X6" s="204"/>
      <c r="Y6" s="204"/>
      <c r="Z6" s="204"/>
      <c r="AA6" s="204"/>
      <c r="AB6" s="204"/>
      <c r="AC6" s="204"/>
      <c r="AD6" s="204"/>
      <c r="AE6" s="204"/>
      <c r="AF6" s="204"/>
      <c r="AG6" s="204"/>
      <c r="AH6" s="204"/>
      <c r="AI6" s="204"/>
      <c r="AJ6" s="204"/>
      <c r="AK6" s="204"/>
      <c r="AL6" s="204"/>
      <c r="AM6" s="204"/>
      <c r="AN6" s="204"/>
      <c r="AO6" s="204"/>
      <c r="AP6" s="204"/>
      <c r="AQ6" s="204"/>
      <c r="AR6" s="204"/>
      <c r="AS6" s="204"/>
      <c r="AT6" s="204"/>
      <c r="AU6" s="206"/>
      <c r="AV6" s="215" t="s">
        <v>451</v>
      </c>
      <c r="AW6" s="216" t="s">
        <v>492</v>
      </c>
      <c r="AX6" s="217"/>
      <c r="AY6" s="218" t="s">
        <v>493</v>
      </c>
      <c r="AZ6" s="219"/>
      <c r="BA6" s="219"/>
      <c r="BB6" s="219"/>
      <c r="BC6" s="219"/>
      <c r="BD6" s="219"/>
      <c r="BE6" s="219"/>
      <c r="BF6" s="219"/>
      <c r="BG6" s="214"/>
    </row>
    <row r="7" spans="1:63" ht="15">
      <c r="A7" s="204"/>
      <c r="B7" s="204"/>
      <c r="C7" s="204"/>
      <c r="D7" s="204"/>
      <c r="E7" s="204"/>
      <c r="F7" s="204"/>
      <c r="G7" s="204"/>
      <c r="H7" s="204"/>
      <c r="I7" s="204"/>
      <c r="L7" s="204"/>
      <c r="M7" s="204"/>
      <c r="N7" s="204"/>
      <c r="O7" s="204"/>
      <c r="P7" s="204"/>
      <c r="Q7" s="204"/>
      <c r="R7" s="204"/>
      <c r="S7" s="204"/>
      <c r="T7" s="204"/>
      <c r="U7" s="204"/>
      <c r="V7" s="204"/>
      <c r="W7" s="204"/>
      <c r="X7" s="204"/>
      <c r="Y7" s="204"/>
      <c r="Z7" s="204"/>
      <c r="AA7" s="204"/>
      <c r="AB7" s="204"/>
      <c r="AC7" s="204"/>
      <c r="AD7" s="204"/>
      <c r="AE7" s="204"/>
      <c r="AF7" s="204"/>
      <c r="AG7" s="204"/>
      <c r="AH7" s="204"/>
      <c r="AI7" s="204"/>
      <c r="AJ7" s="204"/>
      <c r="AK7" s="204"/>
      <c r="AL7" s="204"/>
      <c r="AM7" s="204"/>
      <c r="AN7" s="204"/>
      <c r="AO7" s="204"/>
      <c r="AP7" s="204"/>
      <c r="AQ7" s="204"/>
      <c r="AR7" s="204"/>
      <c r="AS7" s="204"/>
      <c r="AT7" s="204"/>
      <c r="AU7" s="206"/>
      <c r="AV7" s="215" t="s">
        <v>452</v>
      </c>
      <c r="AW7" s="216" t="s">
        <v>494</v>
      </c>
      <c r="AX7" s="217"/>
      <c r="AY7" s="218" t="s">
        <v>495</v>
      </c>
      <c r="AZ7" s="219"/>
      <c r="BA7" s="219"/>
      <c r="BB7" s="219"/>
      <c r="BC7" s="219"/>
      <c r="BD7" s="219"/>
      <c r="BE7" s="219"/>
      <c r="BF7" s="219"/>
      <c r="BG7" s="214"/>
      <c r="BK7" s="220"/>
    </row>
    <row r="8" spans="1:63" ht="15">
      <c r="A8" s="204"/>
      <c r="B8" s="204"/>
      <c r="C8" s="204"/>
      <c r="D8" s="204"/>
      <c r="E8" s="204"/>
      <c r="F8" s="204"/>
      <c r="G8" s="204"/>
      <c r="H8" s="204"/>
      <c r="I8" s="204"/>
      <c r="L8" s="204"/>
      <c r="M8" s="204"/>
      <c r="N8" s="204"/>
      <c r="O8" s="204"/>
      <c r="P8" s="204"/>
      <c r="Q8" s="204"/>
      <c r="R8" s="204"/>
      <c r="S8" s="204"/>
      <c r="T8" s="204"/>
      <c r="U8" s="204"/>
      <c r="V8" s="204"/>
      <c r="W8" s="204"/>
      <c r="X8" s="204"/>
      <c r="Y8" s="204"/>
      <c r="Z8" s="204"/>
      <c r="AA8" s="204"/>
      <c r="AB8" s="204"/>
      <c r="AC8" s="204"/>
      <c r="AD8" s="204"/>
      <c r="AE8" s="204"/>
      <c r="AF8" s="204"/>
      <c r="AG8" s="204"/>
      <c r="AH8" s="204"/>
      <c r="AI8" s="204"/>
      <c r="AJ8" s="204"/>
      <c r="AK8" s="204"/>
      <c r="AL8" s="204"/>
      <c r="AM8" s="204"/>
      <c r="AN8" s="204"/>
      <c r="AO8" s="204"/>
      <c r="AP8" s="204"/>
      <c r="AQ8" s="204"/>
      <c r="AR8" s="204"/>
      <c r="AS8" s="204"/>
      <c r="AT8" s="204"/>
      <c r="AU8" s="206"/>
      <c r="AV8" s="221" t="s">
        <v>471</v>
      </c>
      <c r="AW8" s="222" t="s">
        <v>496</v>
      </c>
      <c r="AX8" s="223"/>
      <c r="AY8" s="202"/>
      <c r="AZ8" s="202"/>
      <c r="BA8" s="202"/>
      <c r="BB8" s="202"/>
      <c r="BC8" s="202"/>
      <c r="BD8" s="202"/>
      <c r="BE8" s="202"/>
      <c r="BF8" s="202"/>
      <c r="BG8" s="214"/>
    </row>
    <row r="9" spans="1:63" ht="15">
      <c r="A9" s="204"/>
      <c r="B9" s="204"/>
      <c r="C9" s="204"/>
      <c r="D9" s="204"/>
      <c r="E9" s="204"/>
      <c r="F9" s="204"/>
      <c r="G9" s="204"/>
      <c r="H9" s="204"/>
      <c r="I9" s="204"/>
      <c r="K9" s="205" t="s">
        <v>497</v>
      </c>
      <c r="L9" s="204" t="s">
        <v>497</v>
      </c>
      <c r="M9" s="204" t="s">
        <v>497</v>
      </c>
      <c r="N9" s="204"/>
      <c r="O9" s="204"/>
      <c r="P9" s="204"/>
      <c r="Q9" s="204"/>
      <c r="R9" s="204"/>
      <c r="S9" s="204"/>
      <c r="T9" s="204"/>
      <c r="U9" s="204"/>
      <c r="V9" s="204"/>
      <c r="W9" s="204"/>
      <c r="X9" s="204"/>
      <c r="Y9" s="204"/>
      <c r="Z9" s="204"/>
      <c r="AA9" s="204"/>
      <c r="AB9" s="204"/>
      <c r="AC9" s="204"/>
      <c r="AD9" s="204"/>
      <c r="AE9" s="204"/>
      <c r="AF9" s="204"/>
      <c r="AG9" s="204"/>
      <c r="AH9" s="204"/>
      <c r="AI9" s="204"/>
      <c r="AJ9" s="204"/>
      <c r="AK9" s="204"/>
      <c r="AL9" s="204"/>
      <c r="AM9" s="204"/>
      <c r="AN9" s="204"/>
      <c r="AO9" s="204"/>
      <c r="AP9" s="204"/>
      <c r="AQ9" s="204"/>
      <c r="AR9" s="204"/>
      <c r="AS9" s="204"/>
      <c r="AT9" s="204"/>
      <c r="AU9" s="206"/>
      <c r="AV9" s="221" t="s">
        <v>473</v>
      </c>
      <c r="AW9" s="222" t="s">
        <v>498</v>
      </c>
      <c r="AX9" s="223"/>
      <c r="AY9" s="202"/>
      <c r="AZ9" s="202"/>
      <c r="BA9" s="202"/>
      <c r="BB9" s="202"/>
      <c r="BC9" s="202"/>
      <c r="BD9" s="202"/>
      <c r="BE9" s="202"/>
      <c r="BF9" s="202"/>
      <c r="BG9" s="214"/>
    </row>
    <row r="10" spans="1:63" ht="15">
      <c r="B10" s="204"/>
      <c r="C10" s="204"/>
      <c r="D10" s="204"/>
      <c r="E10" s="204"/>
      <c r="F10" s="204"/>
      <c r="G10" s="204"/>
      <c r="H10" s="204"/>
      <c r="I10" s="204"/>
      <c r="K10" s="205" t="s">
        <v>497</v>
      </c>
      <c r="L10" s="204" t="s">
        <v>497</v>
      </c>
      <c r="M10" s="204" t="s">
        <v>497</v>
      </c>
      <c r="N10" s="204"/>
      <c r="O10" s="204"/>
      <c r="P10" s="204"/>
      <c r="Q10" s="204"/>
      <c r="R10" s="204"/>
      <c r="S10" s="204"/>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AQ10" s="204"/>
      <c r="AR10" s="204"/>
      <c r="AS10" s="204"/>
      <c r="AT10" s="204"/>
      <c r="AU10" s="206"/>
      <c r="AV10" s="221" t="s">
        <v>475</v>
      </c>
      <c r="AW10" s="222" t="s">
        <v>499</v>
      </c>
      <c r="AX10" s="223"/>
      <c r="AY10" s="202"/>
      <c r="AZ10" s="202"/>
      <c r="BA10" s="202"/>
      <c r="BB10" s="202"/>
      <c r="BC10" s="202"/>
      <c r="BD10" s="202"/>
      <c r="BE10" s="202"/>
      <c r="BF10" s="202"/>
      <c r="BG10" s="214"/>
    </row>
    <row r="11" spans="1:63" ht="15">
      <c r="B11" s="204"/>
      <c r="C11" s="204"/>
      <c r="D11" s="204"/>
      <c r="E11" s="204"/>
      <c r="F11" s="204"/>
      <c r="G11" s="204"/>
      <c r="H11" s="204"/>
      <c r="I11" s="204"/>
      <c r="K11" s="205" t="s">
        <v>497</v>
      </c>
      <c r="L11" s="204" t="s">
        <v>497</v>
      </c>
      <c r="M11" s="204" t="s">
        <v>497</v>
      </c>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6"/>
      <c r="AV11" s="221" t="s">
        <v>477</v>
      </c>
      <c r="AW11" s="222" t="s">
        <v>500</v>
      </c>
      <c r="AX11" s="223"/>
      <c r="AY11" s="202"/>
      <c r="AZ11" s="202"/>
      <c r="BA11" s="202"/>
      <c r="BB11" s="202"/>
      <c r="BC11" s="202"/>
      <c r="BD11" s="202"/>
      <c r="BE11" s="202"/>
      <c r="BF11" s="202"/>
      <c r="BG11" s="214"/>
    </row>
    <row r="12" spans="1:63" ht="15">
      <c r="B12" s="204"/>
      <c r="C12" s="204"/>
      <c r="D12" s="204"/>
      <c r="E12" s="204"/>
      <c r="F12" s="204"/>
      <c r="G12" s="204"/>
      <c r="H12" s="204"/>
      <c r="I12" s="204"/>
      <c r="K12" s="205" t="s">
        <v>497</v>
      </c>
      <c r="L12" s="204" t="s">
        <v>497</v>
      </c>
      <c r="M12" s="204" t="s">
        <v>497</v>
      </c>
      <c r="N12" s="204"/>
      <c r="O12" s="204"/>
      <c r="P12" s="204"/>
      <c r="Q12" s="204"/>
      <c r="R12" s="204"/>
      <c r="S12" s="204"/>
      <c r="T12" s="204"/>
      <c r="U12" s="204"/>
      <c r="V12" s="204"/>
      <c r="W12" s="204"/>
      <c r="X12" s="204"/>
      <c r="Y12" s="204"/>
      <c r="Z12" s="204"/>
      <c r="AA12" s="204"/>
      <c r="AB12" s="204"/>
      <c r="AC12" s="204"/>
      <c r="AD12" s="204"/>
      <c r="AE12" s="204"/>
      <c r="AF12" s="204"/>
      <c r="AG12" s="204"/>
      <c r="AH12" s="204"/>
      <c r="AI12" s="204"/>
      <c r="AJ12" s="204"/>
      <c r="AK12" s="204"/>
      <c r="AL12" s="204"/>
      <c r="AM12" s="204"/>
      <c r="AN12" s="204"/>
      <c r="AO12" s="204"/>
      <c r="AP12" s="204"/>
      <c r="AQ12" s="204"/>
      <c r="AR12" s="204"/>
      <c r="AS12" s="204"/>
      <c r="AT12" s="204"/>
      <c r="AU12" s="206"/>
      <c r="AV12" s="221" t="s">
        <v>479</v>
      </c>
      <c r="AW12" s="222" t="s">
        <v>501</v>
      </c>
      <c r="AX12" s="223"/>
      <c r="AY12" s="202"/>
      <c r="AZ12" s="202"/>
      <c r="BA12" s="202"/>
      <c r="BB12" s="202"/>
      <c r="BC12" s="202"/>
      <c r="BD12" s="202"/>
      <c r="BE12" s="202"/>
      <c r="BF12" s="202"/>
      <c r="BG12" s="214"/>
    </row>
    <row r="13" spans="1:63" ht="15">
      <c r="B13" s="204"/>
      <c r="C13" s="204"/>
      <c r="D13" s="204"/>
      <c r="E13" s="204"/>
      <c r="F13" s="204"/>
      <c r="G13" s="204"/>
      <c r="H13" s="204"/>
      <c r="I13" s="204"/>
      <c r="K13" s="205" t="s">
        <v>497</v>
      </c>
      <c r="L13" s="204" t="s">
        <v>497</v>
      </c>
      <c r="M13" s="204" t="s">
        <v>497</v>
      </c>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6"/>
      <c r="AV13" s="221" t="s">
        <v>481</v>
      </c>
      <c r="AW13" s="222" t="s">
        <v>502</v>
      </c>
      <c r="AX13" s="223"/>
      <c r="AY13" s="202"/>
      <c r="AZ13" s="202"/>
      <c r="BA13" s="202"/>
      <c r="BB13" s="202"/>
      <c r="BC13" s="202"/>
      <c r="BD13" s="202"/>
      <c r="BE13" s="202"/>
      <c r="BF13" s="202"/>
      <c r="BG13" s="214"/>
    </row>
    <row r="14" spans="1:63" ht="15">
      <c r="B14" s="204"/>
      <c r="C14" s="204"/>
      <c r="D14" s="204"/>
      <c r="E14" s="204"/>
      <c r="F14" s="204"/>
      <c r="G14" s="204"/>
      <c r="H14" s="204"/>
      <c r="I14" s="204"/>
      <c r="J14" s="205" t="s">
        <v>497</v>
      </c>
      <c r="K14" s="205" t="s">
        <v>497</v>
      </c>
      <c r="L14" s="204" t="s">
        <v>497</v>
      </c>
      <c r="M14" s="204" t="s">
        <v>497</v>
      </c>
      <c r="N14" s="204"/>
      <c r="O14" s="204"/>
      <c r="P14" s="204"/>
      <c r="Q14" s="204"/>
      <c r="R14" s="204"/>
      <c r="S14" s="204"/>
      <c r="T14" s="204"/>
      <c r="U14" s="204"/>
      <c r="V14" s="204"/>
      <c r="W14" s="204"/>
      <c r="X14" s="204"/>
      <c r="Y14" s="204"/>
      <c r="Z14" s="204"/>
      <c r="AA14" s="204"/>
      <c r="AB14" s="204"/>
      <c r="AC14" s="204"/>
      <c r="AD14" s="204"/>
      <c r="AE14" s="204"/>
      <c r="AF14" s="204"/>
      <c r="AG14" s="204"/>
      <c r="AH14" s="204"/>
      <c r="AI14" s="204"/>
      <c r="AJ14" s="204"/>
      <c r="AK14" s="204"/>
      <c r="AL14" s="204"/>
      <c r="AM14" s="204"/>
      <c r="AN14" s="204"/>
      <c r="AO14" s="204"/>
      <c r="AP14" s="204"/>
      <c r="AQ14" s="204"/>
      <c r="AR14" s="204"/>
      <c r="AS14" s="204"/>
      <c r="AT14" s="204"/>
      <c r="AU14" s="206"/>
      <c r="AV14" s="224" t="s">
        <v>483</v>
      </c>
      <c r="AW14" s="225" t="s">
        <v>503</v>
      </c>
      <c r="AX14" s="226"/>
      <c r="AY14" s="202"/>
      <c r="AZ14" s="202"/>
      <c r="BA14" s="202"/>
      <c r="BB14" s="202"/>
      <c r="BC14" s="202"/>
      <c r="BD14" s="202"/>
      <c r="BE14" s="202"/>
      <c r="BF14" s="202"/>
      <c r="BG14" s="214"/>
    </row>
    <row r="15" spans="1:63" ht="15">
      <c r="B15" s="204"/>
      <c r="C15" s="204"/>
      <c r="D15" s="204"/>
      <c r="E15" s="204"/>
      <c r="F15" s="204"/>
      <c r="G15" s="204"/>
      <c r="H15" s="204"/>
      <c r="I15" s="204"/>
      <c r="J15" s="205" t="s">
        <v>497</v>
      </c>
      <c r="K15" s="205" t="s">
        <v>497</v>
      </c>
      <c r="L15" s="204" t="s">
        <v>497</v>
      </c>
      <c r="M15" s="204" t="s">
        <v>497</v>
      </c>
      <c r="N15" s="204"/>
      <c r="O15" s="204"/>
      <c r="P15" s="204"/>
      <c r="Q15" s="204"/>
      <c r="R15" s="204"/>
      <c r="S15" s="204"/>
      <c r="T15" s="204"/>
      <c r="U15" s="204"/>
      <c r="V15" s="204"/>
      <c r="W15" s="204"/>
      <c r="X15" s="204"/>
      <c r="Y15" s="204"/>
      <c r="Z15" s="204"/>
      <c r="AA15" s="204"/>
      <c r="AB15" s="204"/>
      <c r="AC15" s="204"/>
      <c r="AD15" s="204"/>
      <c r="AE15" s="204"/>
      <c r="AF15" s="204"/>
      <c r="AG15" s="204"/>
      <c r="AH15" s="204"/>
      <c r="AI15" s="204"/>
      <c r="AJ15" s="204"/>
      <c r="AK15" s="204"/>
      <c r="AL15" s="204"/>
      <c r="AM15" s="204"/>
      <c r="AN15" s="204"/>
      <c r="AO15" s="204"/>
      <c r="AP15" s="204"/>
      <c r="AQ15" s="204"/>
      <c r="AR15" s="204"/>
      <c r="AS15" s="204"/>
      <c r="AT15" s="204"/>
      <c r="AU15" s="206"/>
      <c r="AV15" s="224" t="s">
        <v>484</v>
      </c>
      <c r="AW15" s="225" t="s">
        <v>504</v>
      </c>
      <c r="AX15" s="226"/>
      <c r="AY15" s="202"/>
      <c r="AZ15" s="202"/>
      <c r="BA15" s="202"/>
      <c r="BB15" s="202"/>
      <c r="BC15" s="202"/>
      <c r="BD15" s="202"/>
      <c r="BE15" s="202"/>
      <c r="BF15" s="202"/>
      <c r="BG15" s="214"/>
    </row>
    <row r="16" spans="1:63" ht="15">
      <c r="B16" s="204"/>
      <c r="C16" s="204"/>
      <c r="D16" s="204"/>
      <c r="E16" s="204"/>
      <c r="F16" s="204"/>
      <c r="G16" s="204"/>
      <c r="H16" s="204"/>
      <c r="I16" s="204"/>
      <c r="J16" s="205" t="s">
        <v>497</v>
      </c>
      <c r="K16" s="205" t="s">
        <v>497</v>
      </c>
      <c r="L16" s="204" t="s">
        <v>497</v>
      </c>
      <c r="M16" s="204" t="s">
        <v>497</v>
      </c>
      <c r="N16" s="204"/>
      <c r="O16" s="204"/>
      <c r="P16" s="204"/>
      <c r="Q16" s="204"/>
      <c r="R16" s="204"/>
      <c r="S16" s="204"/>
      <c r="T16" s="204"/>
      <c r="U16" s="204"/>
      <c r="V16" s="204"/>
      <c r="W16" s="204"/>
      <c r="X16" s="204"/>
      <c r="Y16" s="204"/>
      <c r="Z16" s="204"/>
      <c r="AA16" s="204"/>
      <c r="AB16" s="204"/>
      <c r="AC16" s="204"/>
      <c r="AD16" s="204"/>
      <c r="AE16" s="204"/>
      <c r="AF16" s="204"/>
      <c r="AG16" s="204"/>
      <c r="AH16" s="204"/>
      <c r="AI16" s="204"/>
      <c r="AJ16" s="204"/>
      <c r="AK16" s="204"/>
      <c r="AL16" s="204"/>
      <c r="AM16" s="204"/>
      <c r="AN16" s="204"/>
      <c r="AO16" s="204"/>
      <c r="AP16" s="204"/>
      <c r="AQ16" s="204"/>
      <c r="AR16" s="204"/>
      <c r="AS16" s="204"/>
      <c r="AT16" s="204"/>
      <c r="AU16" s="206"/>
      <c r="AV16" s="224" t="s">
        <v>485</v>
      </c>
      <c r="AW16" s="225" t="s">
        <v>505</v>
      </c>
      <c r="AX16" s="226"/>
      <c r="AY16" s="202"/>
      <c r="AZ16" s="202"/>
      <c r="BA16" s="202"/>
      <c r="BB16" s="202"/>
      <c r="BC16" s="202"/>
      <c r="BD16" s="202"/>
      <c r="BE16" s="202"/>
      <c r="BF16" s="202"/>
      <c r="BG16" s="214"/>
    </row>
    <row r="17" spans="2:59" ht="15">
      <c r="B17" s="204"/>
      <c r="C17" s="204"/>
      <c r="D17" s="204"/>
      <c r="E17" s="204"/>
      <c r="F17" s="204"/>
      <c r="G17" s="204"/>
      <c r="H17" s="204"/>
      <c r="I17" s="204"/>
      <c r="J17" s="205" t="s">
        <v>497</v>
      </c>
      <c r="K17" s="205" t="s">
        <v>497</v>
      </c>
      <c r="L17" s="204" t="s">
        <v>497</v>
      </c>
      <c r="M17" s="204" t="s">
        <v>497</v>
      </c>
      <c r="N17" s="204"/>
      <c r="O17" s="204"/>
      <c r="P17" s="204"/>
      <c r="Q17" s="204"/>
      <c r="R17" s="204"/>
      <c r="S17" s="204"/>
      <c r="T17" s="204"/>
      <c r="U17" s="204"/>
      <c r="V17" s="204"/>
      <c r="W17" s="204"/>
      <c r="X17" s="204"/>
      <c r="Y17" s="204"/>
      <c r="Z17" s="204"/>
      <c r="AA17" s="204"/>
      <c r="AB17" s="204"/>
      <c r="AC17" s="204"/>
      <c r="AD17" s="204"/>
      <c r="AE17" s="204"/>
      <c r="AF17" s="204"/>
      <c r="AG17" s="204"/>
      <c r="AH17" s="204"/>
      <c r="AI17" s="204"/>
      <c r="AJ17" s="204"/>
      <c r="AK17" s="204"/>
      <c r="AL17" s="204"/>
      <c r="AM17" s="204"/>
      <c r="AN17" s="204"/>
      <c r="AO17" s="204"/>
      <c r="AP17" s="204"/>
      <c r="AQ17" s="204"/>
      <c r="AR17" s="204"/>
      <c r="AS17" s="204"/>
      <c r="AT17" s="204"/>
      <c r="AU17" s="206"/>
      <c r="AV17" s="224" t="s">
        <v>486</v>
      </c>
      <c r="AW17" s="225" t="s">
        <v>506</v>
      </c>
      <c r="AX17" s="226"/>
      <c r="AY17" s="202"/>
      <c r="AZ17" s="202"/>
      <c r="BA17" s="202"/>
      <c r="BB17" s="202"/>
      <c r="BC17" s="202"/>
      <c r="BD17" s="202"/>
      <c r="BE17" s="202"/>
      <c r="BF17" s="202"/>
      <c r="BG17" s="214"/>
    </row>
    <row r="18" spans="2:59" ht="15">
      <c r="B18" s="204"/>
      <c r="C18" s="204"/>
      <c r="D18" s="204"/>
      <c r="E18" s="204"/>
      <c r="F18" s="204"/>
      <c r="G18" s="204"/>
      <c r="H18" s="204"/>
      <c r="I18" s="204"/>
      <c r="J18" s="205" t="s">
        <v>497</v>
      </c>
      <c r="K18" s="205" t="s">
        <v>497</v>
      </c>
      <c r="L18" s="204" t="s">
        <v>497</v>
      </c>
      <c r="M18" s="204" t="s">
        <v>497</v>
      </c>
      <c r="N18" s="204"/>
      <c r="O18" s="204"/>
      <c r="P18" s="204"/>
      <c r="Q18" s="204"/>
      <c r="R18" s="204"/>
      <c r="S18" s="204"/>
      <c r="T18" s="204"/>
      <c r="U18" s="204"/>
      <c r="V18" s="204"/>
      <c r="W18" s="204"/>
      <c r="X18" s="204"/>
      <c r="Y18" s="204"/>
      <c r="Z18" s="204"/>
      <c r="AA18" s="204"/>
      <c r="AB18" s="204"/>
      <c r="AC18" s="204"/>
      <c r="AD18" s="204"/>
      <c r="AE18" s="204"/>
      <c r="AF18" s="204"/>
      <c r="AG18" s="204"/>
      <c r="AH18" s="204"/>
      <c r="AI18" s="204"/>
      <c r="AJ18" s="204"/>
      <c r="AK18" s="204"/>
      <c r="AL18" s="204"/>
      <c r="AM18" s="204"/>
      <c r="AN18" s="204"/>
      <c r="AO18" s="204"/>
      <c r="AP18" s="204"/>
      <c r="AQ18" s="204"/>
      <c r="AR18" s="204"/>
      <c r="AS18" s="204"/>
      <c r="AT18" s="204"/>
      <c r="AU18" s="206"/>
      <c r="AV18" s="291" t="s">
        <v>507</v>
      </c>
      <c r="AW18" s="202"/>
      <c r="AX18" s="202"/>
      <c r="AY18" s="202"/>
      <c r="AZ18" s="202"/>
      <c r="BA18" s="202"/>
      <c r="BB18" s="202"/>
      <c r="BC18" s="202"/>
      <c r="BD18" s="202"/>
      <c r="BE18" s="202"/>
      <c r="BF18" s="202"/>
      <c r="BG18" s="214"/>
    </row>
    <row r="19" spans="2:59" ht="15">
      <c r="B19" s="204"/>
      <c r="C19" s="204"/>
      <c r="D19" s="204"/>
      <c r="E19" s="204"/>
      <c r="F19" s="204"/>
      <c r="G19" s="204"/>
      <c r="H19" s="204"/>
      <c r="I19" s="204"/>
      <c r="J19" s="205" t="s">
        <v>497</v>
      </c>
      <c r="K19" s="205" t="s">
        <v>497</v>
      </c>
      <c r="L19" s="204" t="s">
        <v>497</v>
      </c>
      <c r="M19" s="204" t="s">
        <v>497</v>
      </c>
      <c r="N19" s="204"/>
      <c r="O19" s="204"/>
      <c r="P19" s="204"/>
      <c r="Q19" s="204"/>
      <c r="R19" s="204"/>
      <c r="S19" s="204"/>
      <c r="T19" s="204"/>
      <c r="U19" s="204"/>
      <c r="V19" s="204"/>
      <c r="W19" s="204"/>
      <c r="X19" s="204"/>
      <c r="Y19" s="204"/>
      <c r="Z19" s="204"/>
      <c r="AA19" s="204"/>
      <c r="AB19" s="204"/>
      <c r="AC19" s="204"/>
      <c r="AD19" s="204"/>
      <c r="AE19" s="204"/>
      <c r="AF19" s="204"/>
      <c r="AG19" s="204"/>
      <c r="AH19" s="204"/>
      <c r="AI19" s="204"/>
      <c r="AJ19" s="204"/>
      <c r="AK19" s="204"/>
      <c r="AL19" s="204"/>
      <c r="AM19" s="204"/>
      <c r="AN19" s="204"/>
      <c r="AO19" s="204"/>
      <c r="AP19" s="204"/>
      <c r="AQ19" s="204"/>
      <c r="AR19" s="204"/>
      <c r="AS19" s="204"/>
      <c r="AT19" s="204"/>
      <c r="AU19" s="206"/>
      <c r="AV19" s="291"/>
      <c r="AW19" s="227" t="s">
        <v>508</v>
      </c>
      <c r="AX19" s="202"/>
      <c r="AY19" s="202"/>
      <c r="AZ19" s="202"/>
      <c r="BA19" s="202"/>
      <c r="BB19" s="202"/>
      <c r="BC19" s="202"/>
      <c r="BD19" s="202"/>
      <c r="BE19" s="202"/>
      <c r="BF19" s="202"/>
      <c r="BG19" s="214"/>
    </row>
    <row r="20" spans="2:59" ht="15.75" thickBot="1">
      <c r="B20" s="204"/>
      <c r="C20" s="204"/>
      <c r="D20" s="204"/>
      <c r="E20" s="204"/>
      <c r="F20" s="204"/>
      <c r="G20" s="204"/>
      <c r="H20" s="204"/>
      <c r="I20" s="204"/>
      <c r="J20" s="205" t="s">
        <v>497</v>
      </c>
      <c r="K20" s="205" t="s">
        <v>497</v>
      </c>
      <c r="L20" s="204" t="s">
        <v>497</v>
      </c>
      <c r="M20" s="204" t="s">
        <v>497</v>
      </c>
      <c r="N20" s="204"/>
      <c r="O20" s="204"/>
      <c r="P20" s="204"/>
      <c r="Q20" s="204"/>
      <c r="R20" s="204"/>
      <c r="S20" s="204"/>
      <c r="T20" s="204"/>
      <c r="U20" s="204"/>
      <c r="V20" s="204"/>
      <c r="W20" s="204"/>
      <c r="X20" s="204"/>
      <c r="Y20" s="204"/>
      <c r="Z20" s="204"/>
      <c r="AA20" s="204"/>
      <c r="AB20" s="204"/>
      <c r="AC20" s="204"/>
      <c r="AD20" s="204"/>
      <c r="AE20" s="204"/>
      <c r="AF20" s="204"/>
      <c r="AG20" s="204"/>
      <c r="AH20" s="204"/>
      <c r="AI20" s="204"/>
      <c r="AJ20" s="204"/>
      <c r="AK20" s="204"/>
      <c r="AL20" s="204"/>
      <c r="AM20" s="204"/>
      <c r="AN20" s="204"/>
      <c r="AO20" s="204"/>
      <c r="AP20" s="204"/>
      <c r="AQ20" s="204"/>
      <c r="AR20" s="204"/>
      <c r="AS20" s="204"/>
      <c r="AT20" s="204"/>
      <c r="AU20" s="206"/>
      <c r="AV20" s="292"/>
      <c r="AW20" s="228" t="s">
        <v>509</v>
      </c>
      <c r="AX20" s="208"/>
      <c r="AY20" s="208"/>
      <c r="AZ20" s="208"/>
      <c r="BA20" s="208"/>
      <c r="BB20" s="208"/>
      <c r="BC20" s="208"/>
      <c r="BD20" s="208"/>
      <c r="BE20" s="208"/>
      <c r="BF20" s="208"/>
      <c r="BG20" s="229"/>
    </row>
    <row r="21" spans="2:59" ht="15">
      <c r="B21" s="204"/>
      <c r="C21" s="204"/>
      <c r="D21" s="204"/>
      <c r="E21" s="204"/>
      <c r="F21" s="204"/>
      <c r="G21" s="204"/>
      <c r="H21" s="204"/>
      <c r="I21" s="204"/>
      <c r="J21" s="205" t="s">
        <v>497</v>
      </c>
      <c r="K21" s="205" t="s">
        <v>497</v>
      </c>
      <c r="L21" s="204" t="s">
        <v>497</v>
      </c>
      <c r="M21" s="204" t="s">
        <v>497</v>
      </c>
      <c r="N21" s="204"/>
      <c r="O21" s="204"/>
      <c r="P21" s="204"/>
      <c r="Q21" s="204"/>
      <c r="R21" s="204"/>
      <c r="S21" s="204"/>
      <c r="T21" s="204"/>
      <c r="U21" s="204"/>
      <c r="V21" s="204"/>
      <c r="W21" s="204"/>
      <c r="X21" s="204"/>
      <c r="Y21" s="204"/>
      <c r="Z21" s="204"/>
      <c r="AA21" s="204"/>
      <c r="AB21" s="204"/>
      <c r="AC21" s="204"/>
      <c r="AD21" s="204"/>
      <c r="AE21" s="204"/>
      <c r="AF21" s="204"/>
      <c r="AG21" s="204"/>
      <c r="AH21" s="204"/>
      <c r="AI21" s="204"/>
      <c r="AJ21" s="204"/>
      <c r="AK21" s="204"/>
      <c r="AL21" s="204"/>
      <c r="AM21" s="204"/>
      <c r="AN21" s="204"/>
      <c r="AO21" s="204"/>
      <c r="AP21" s="204"/>
      <c r="AQ21" s="204"/>
      <c r="AR21" s="204"/>
      <c r="AS21" s="204"/>
      <c r="AT21" s="204"/>
      <c r="AU21" s="206"/>
      <c r="AV21" s="230"/>
      <c r="AW21" s="210"/>
      <c r="AX21" s="210"/>
      <c r="AY21" s="210"/>
      <c r="AZ21" s="210"/>
      <c r="BA21" s="210"/>
      <c r="BB21" s="210"/>
      <c r="BC21" s="210"/>
      <c r="BD21" s="210"/>
      <c r="BE21" s="210"/>
      <c r="BF21" s="210"/>
      <c r="BG21" s="210"/>
    </row>
    <row r="22" spans="2:59" ht="15.75" thickBot="1">
      <c r="B22" s="204" t="s">
        <v>497</v>
      </c>
      <c r="C22" s="204" t="s">
        <v>497</v>
      </c>
      <c r="D22" s="204" t="s">
        <v>497</v>
      </c>
      <c r="E22" s="204" t="s">
        <v>497</v>
      </c>
      <c r="F22" s="204" t="s">
        <v>497</v>
      </c>
      <c r="G22" s="204" t="s">
        <v>497</v>
      </c>
      <c r="H22" s="204" t="s">
        <v>497</v>
      </c>
      <c r="I22" s="204" t="s">
        <v>497</v>
      </c>
      <c r="J22" s="205" t="s">
        <v>497</v>
      </c>
      <c r="K22" s="205" t="s">
        <v>497</v>
      </c>
      <c r="L22" s="204" t="s">
        <v>497</v>
      </c>
      <c r="M22" s="204" t="s">
        <v>497</v>
      </c>
      <c r="N22" s="204"/>
      <c r="O22" s="204"/>
      <c r="P22" s="204"/>
      <c r="Q22" s="204"/>
      <c r="R22" s="204"/>
      <c r="S22" s="204"/>
      <c r="T22" s="204"/>
      <c r="U22" s="204"/>
      <c r="V22" s="204"/>
      <c r="W22" s="204"/>
      <c r="X22" s="204"/>
      <c r="Y22" s="204"/>
      <c r="Z22" s="204"/>
      <c r="AA22" s="204"/>
      <c r="AB22" s="204"/>
      <c r="AC22" s="204"/>
      <c r="AD22" s="204"/>
      <c r="AE22" s="204"/>
      <c r="AF22" s="204"/>
      <c r="AG22" s="204"/>
      <c r="AH22" s="204"/>
      <c r="AI22" s="204"/>
      <c r="AJ22" s="204"/>
      <c r="AK22" s="204"/>
      <c r="AL22" s="204"/>
      <c r="AM22" s="204"/>
      <c r="AN22" s="204"/>
      <c r="AO22" s="204"/>
      <c r="AP22" s="204"/>
      <c r="AQ22" s="204"/>
      <c r="AR22" s="204"/>
      <c r="AS22" s="204"/>
      <c r="AT22" s="204"/>
      <c r="AU22" s="206"/>
      <c r="AV22" s="231" t="s">
        <v>510</v>
      </c>
      <c r="AW22" s="202"/>
      <c r="AX22" s="202"/>
      <c r="AY22" s="202"/>
      <c r="AZ22" s="202"/>
      <c r="BA22" s="202"/>
      <c r="BB22" s="202"/>
      <c r="BC22" s="202"/>
      <c r="BD22" s="202"/>
      <c r="BE22" s="202"/>
      <c r="BF22" s="202"/>
      <c r="BG22" s="202"/>
    </row>
    <row r="23" spans="2:59" ht="15">
      <c r="B23" s="204" t="s">
        <v>497</v>
      </c>
      <c r="C23" s="204" t="s">
        <v>497</v>
      </c>
      <c r="D23" s="204" t="s">
        <v>497</v>
      </c>
      <c r="E23" s="204" t="s">
        <v>497</v>
      </c>
      <c r="F23" s="204" t="s">
        <v>497</v>
      </c>
      <c r="G23" s="204" t="s">
        <v>497</v>
      </c>
      <c r="H23" s="204" t="s">
        <v>497</v>
      </c>
      <c r="I23" s="204" t="s">
        <v>497</v>
      </c>
      <c r="J23" s="205" t="s">
        <v>497</v>
      </c>
      <c r="K23" s="205" t="s">
        <v>497</v>
      </c>
      <c r="L23" s="204" t="s">
        <v>497</v>
      </c>
      <c r="M23" s="204" t="s">
        <v>497</v>
      </c>
      <c r="N23" s="204"/>
      <c r="O23" s="204"/>
      <c r="P23" s="204"/>
      <c r="Q23" s="204"/>
      <c r="R23" s="204"/>
      <c r="S23" s="204"/>
      <c r="T23" s="204"/>
      <c r="U23" s="204"/>
      <c r="V23" s="204"/>
      <c r="W23" s="204"/>
      <c r="X23" s="204"/>
      <c r="Y23" s="204"/>
      <c r="Z23" s="204"/>
      <c r="AA23" s="204"/>
      <c r="AB23" s="204"/>
      <c r="AC23" s="204"/>
      <c r="AD23" s="204"/>
      <c r="AE23" s="204"/>
      <c r="AF23" s="204"/>
      <c r="AG23" s="204"/>
      <c r="AH23" s="204"/>
      <c r="AI23" s="204"/>
      <c r="AJ23" s="204"/>
      <c r="AK23" s="204"/>
      <c r="AL23" s="204"/>
      <c r="AM23" s="204"/>
      <c r="AN23" s="204"/>
      <c r="AO23" s="204"/>
      <c r="AP23" s="204"/>
      <c r="AQ23" s="204"/>
      <c r="AR23" s="204"/>
      <c r="AS23" s="204"/>
      <c r="AT23" s="204"/>
      <c r="AU23" s="206"/>
      <c r="AV23" s="232" t="s">
        <v>511</v>
      </c>
      <c r="AW23" s="233"/>
      <c r="AX23" s="234"/>
      <c r="AY23" s="234"/>
      <c r="AZ23" s="234"/>
      <c r="BA23" s="234"/>
      <c r="BB23" s="234"/>
      <c r="BC23" s="234"/>
      <c r="BD23" s="234"/>
      <c r="BE23" s="234"/>
      <c r="BF23" s="234"/>
      <c r="BG23" s="235"/>
    </row>
    <row r="24" spans="2:59" ht="15">
      <c r="B24" s="204" t="s">
        <v>497</v>
      </c>
      <c r="C24" s="204" t="s">
        <v>497</v>
      </c>
      <c r="D24" s="204" t="s">
        <v>497</v>
      </c>
      <c r="E24" s="204" t="s">
        <v>497</v>
      </c>
      <c r="F24" s="204" t="s">
        <v>497</v>
      </c>
      <c r="G24" s="204" t="s">
        <v>497</v>
      </c>
      <c r="H24" s="204" t="s">
        <v>497</v>
      </c>
      <c r="I24" s="204" t="s">
        <v>497</v>
      </c>
      <c r="J24" s="205" t="s">
        <v>497</v>
      </c>
      <c r="K24" s="205" t="s">
        <v>497</v>
      </c>
      <c r="L24" s="204" t="s">
        <v>497</v>
      </c>
      <c r="M24" s="204" t="s">
        <v>497</v>
      </c>
      <c r="N24" s="204"/>
      <c r="O24" s="204"/>
      <c r="P24" s="204"/>
      <c r="Q24" s="204"/>
      <c r="R24" s="204"/>
      <c r="S24" s="204"/>
      <c r="T24" s="204"/>
      <c r="U24" s="204"/>
      <c r="V24" s="204"/>
      <c r="W24" s="204"/>
      <c r="X24" s="204"/>
      <c r="Y24" s="204"/>
      <c r="Z24" s="204"/>
      <c r="AA24" s="204"/>
      <c r="AB24" s="204"/>
      <c r="AC24" s="204"/>
      <c r="AD24" s="204"/>
      <c r="AE24" s="204"/>
      <c r="AF24" s="204"/>
      <c r="AG24" s="204"/>
      <c r="AH24" s="204"/>
      <c r="AI24" s="204"/>
      <c r="AJ24" s="204"/>
      <c r="AK24" s="204"/>
      <c r="AL24" s="204"/>
      <c r="AM24" s="204"/>
      <c r="AN24" s="204"/>
      <c r="AO24" s="204"/>
      <c r="AP24" s="204"/>
      <c r="AQ24" s="204"/>
      <c r="AR24" s="204"/>
      <c r="AS24" s="204"/>
      <c r="AT24" s="204"/>
      <c r="AU24" s="206"/>
      <c r="AV24" s="236" t="s">
        <v>512</v>
      </c>
      <c r="AW24" s="237"/>
      <c r="AX24" s="237"/>
      <c r="AY24" s="202"/>
      <c r="AZ24" s="202"/>
      <c r="BA24" s="202"/>
      <c r="BB24" s="202"/>
      <c r="BC24" s="237"/>
      <c r="BD24" s="237"/>
      <c r="BE24" s="202"/>
      <c r="BF24" s="202"/>
      <c r="BG24" s="238"/>
    </row>
    <row r="25" spans="2:59" ht="15">
      <c r="B25" s="204" t="s">
        <v>497</v>
      </c>
      <c r="C25" s="204" t="s">
        <v>497</v>
      </c>
      <c r="D25" s="204" t="s">
        <v>497</v>
      </c>
      <c r="E25" s="204" t="s">
        <v>497</v>
      </c>
      <c r="F25" s="204" t="s">
        <v>497</v>
      </c>
      <c r="G25" s="204" t="s">
        <v>497</v>
      </c>
      <c r="H25" s="204" t="s">
        <v>497</v>
      </c>
      <c r="I25" s="204" t="s">
        <v>497</v>
      </c>
      <c r="J25" s="205" t="s">
        <v>497</v>
      </c>
      <c r="K25" s="205" t="s">
        <v>497</v>
      </c>
      <c r="L25" s="204" t="s">
        <v>497</v>
      </c>
      <c r="M25" s="204" t="s">
        <v>497</v>
      </c>
      <c r="N25" s="204"/>
      <c r="O25" s="204"/>
      <c r="P25" s="204"/>
      <c r="Q25" s="204"/>
      <c r="R25" s="204"/>
      <c r="S25" s="204"/>
      <c r="T25" s="204"/>
      <c r="U25" s="204"/>
      <c r="V25" s="204"/>
      <c r="W25" s="204"/>
      <c r="X25" s="204"/>
      <c r="Y25" s="204"/>
      <c r="Z25" s="204"/>
      <c r="AA25" s="204"/>
      <c r="AB25" s="204"/>
      <c r="AC25" s="204"/>
      <c r="AD25" s="204"/>
      <c r="AE25" s="204"/>
      <c r="AF25" s="204"/>
      <c r="AG25" s="204"/>
      <c r="AH25" s="204"/>
      <c r="AI25" s="204"/>
      <c r="AJ25" s="204"/>
      <c r="AK25" s="204"/>
      <c r="AL25" s="204"/>
      <c r="AM25" s="204"/>
      <c r="AN25" s="204"/>
      <c r="AO25" s="204"/>
      <c r="AP25" s="204"/>
      <c r="AQ25" s="204"/>
      <c r="AR25" s="204"/>
      <c r="AS25" s="204"/>
      <c r="AT25" s="204"/>
      <c r="AU25" s="206"/>
      <c r="AV25" s="239" t="s">
        <v>513</v>
      </c>
      <c r="AW25" s="202"/>
      <c r="AX25" s="202"/>
      <c r="AY25" s="202"/>
      <c r="AZ25" s="202"/>
      <c r="BA25" s="202"/>
      <c r="BB25" s="202"/>
      <c r="BC25" s="202"/>
      <c r="BD25" s="202"/>
      <c r="BE25" s="202"/>
      <c r="BF25" s="202"/>
      <c r="BG25" s="214"/>
    </row>
    <row r="26" spans="2:59" ht="15">
      <c r="B26" s="204" t="s">
        <v>497</v>
      </c>
      <c r="C26" s="204" t="s">
        <v>497</v>
      </c>
      <c r="D26" s="204" t="s">
        <v>497</v>
      </c>
      <c r="E26" s="204" t="s">
        <v>497</v>
      </c>
      <c r="F26" s="204" t="s">
        <v>497</v>
      </c>
      <c r="G26" s="204" t="s">
        <v>497</v>
      </c>
      <c r="H26" s="204" t="s">
        <v>497</v>
      </c>
      <c r="I26" s="204" t="s">
        <v>497</v>
      </c>
      <c r="J26" s="205" t="s">
        <v>497</v>
      </c>
      <c r="K26" s="205" t="s">
        <v>497</v>
      </c>
      <c r="L26" s="204" t="s">
        <v>497</v>
      </c>
      <c r="M26" s="204" t="s">
        <v>497</v>
      </c>
      <c r="N26" s="204"/>
      <c r="O26" s="204"/>
      <c r="P26" s="204"/>
      <c r="Q26" s="204"/>
      <c r="R26" s="204"/>
      <c r="S26" s="204"/>
      <c r="T26" s="204"/>
      <c r="U26" s="204"/>
      <c r="V26" s="204"/>
      <c r="W26" s="204"/>
      <c r="X26" s="204"/>
      <c r="Y26" s="204"/>
      <c r="Z26" s="204"/>
      <c r="AA26" s="204"/>
      <c r="AB26" s="204"/>
      <c r="AC26" s="204"/>
      <c r="AD26" s="204"/>
      <c r="AE26" s="204"/>
      <c r="AF26" s="204"/>
      <c r="AG26" s="204"/>
      <c r="AH26" s="204"/>
      <c r="AI26" s="204"/>
      <c r="AJ26" s="204"/>
      <c r="AK26" s="204"/>
      <c r="AL26" s="204"/>
      <c r="AM26" s="204"/>
      <c r="AN26" s="204"/>
      <c r="AO26" s="204"/>
      <c r="AP26" s="204"/>
      <c r="AQ26" s="204"/>
      <c r="AR26" s="204"/>
      <c r="AS26" s="204"/>
      <c r="AT26" s="204"/>
      <c r="AU26" s="206"/>
      <c r="AV26" s="240" t="s">
        <v>514</v>
      </c>
      <c r="AW26" s="241"/>
      <c r="AX26" s="241"/>
      <c r="AY26" s="202"/>
      <c r="AZ26" s="202"/>
      <c r="BA26" s="202"/>
      <c r="BB26" s="202"/>
      <c r="BC26" s="241"/>
      <c r="BD26" s="241"/>
      <c r="BE26" s="202"/>
      <c r="BF26" s="202"/>
      <c r="BG26" s="242"/>
    </row>
    <row r="27" spans="2:59" ht="15">
      <c r="B27" s="204" t="s">
        <v>497</v>
      </c>
      <c r="C27" s="204" t="s">
        <v>497</v>
      </c>
      <c r="D27" s="204" t="s">
        <v>497</v>
      </c>
      <c r="E27" s="204" t="s">
        <v>497</v>
      </c>
      <c r="F27" s="204" t="s">
        <v>497</v>
      </c>
      <c r="G27" s="204" t="s">
        <v>497</v>
      </c>
      <c r="H27" s="204" t="s">
        <v>497</v>
      </c>
      <c r="I27" s="204" t="s">
        <v>497</v>
      </c>
      <c r="J27" s="205" t="s">
        <v>497</v>
      </c>
      <c r="K27" s="205" t="s">
        <v>497</v>
      </c>
      <c r="L27" s="204" t="s">
        <v>497</v>
      </c>
      <c r="M27" s="204" t="s">
        <v>497</v>
      </c>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6"/>
      <c r="AV27" s="243" t="s">
        <v>515</v>
      </c>
      <c r="AW27" s="244"/>
      <c r="AX27" s="237"/>
      <c r="AY27" s="237"/>
      <c r="AZ27" s="237"/>
      <c r="BA27" s="237"/>
      <c r="BB27" s="237"/>
      <c r="BC27" s="237"/>
      <c r="BD27" s="237"/>
      <c r="BE27" s="237"/>
      <c r="BF27" s="237"/>
      <c r="BG27" s="238"/>
    </row>
    <row r="28" spans="2:59" ht="15">
      <c r="B28" s="204" t="s">
        <v>497</v>
      </c>
      <c r="C28" s="204" t="s">
        <v>497</v>
      </c>
      <c r="D28" s="204" t="s">
        <v>497</v>
      </c>
      <c r="E28" s="204" t="s">
        <v>497</v>
      </c>
      <c r="F28" s="204" t="s">
        <v>497</v>
      </c>
      <c r="G28" s="204" t="s">
        <v>497</v>
      </c>
      <c r="H28" s="204" t="s">
        <v>497</v>
      </c>
      <c r="I28" s="204" t="s">
        <v>497</v>
      </c>
      <c r="J28" s="205" t="s">
        <v>497</v>
      </c>
      <c r="K28" s="205" t="s">
        <v>497</v>
      </c>
      <c r="L28" s="204" t="s">
        <v>497</v>
      </c>
      <c r="M28" s="204" t="s">
        <v>497</v>
      </c>
      <c r="N28" s="204"/>
      <c r="O28" s="204"/>
      <c r="P28" s="204"/>
      <c r="Q28" s="204"/>
      <c r="R28" s="204"/>
      <c r="S28" s="204"/>
      <c r="T28" s="204"/>
      <c r="U28" s="204"/>
      <c r="V28" s="204"/>
      <c r="W28" s="204"/>
      <c r="X28" s="204"/>
      <c r="Y28" s="204"/>
      <c r="Z28" s="204"/>
      <c r="AA28" s="204"/>
      <c r="AB28" s="204"/>
      <c r="AC28" s="204"/>
      <c r="AD28" s="204"/>
      <c r="AE28" s="204"/>
      <c r="AF28" s="204"/>
      <c r="AG28" s="204"/>
      <c r="AH28" s="204"/>
      <c r="AI28" s="204"/>
      <c r="AJ28" s="204"/>
      <c r="AK28" s="204"/>
      <c r="AL28" s="204"/>
      <c r="AM28" s="204"/>
      <c r="AN28" s="204"/>
      <c r="AO28" s="204"/>
      <c r="AP28" s="204"/>
      <c r="AQ28" s="204"/>
      <c r="AR28" s="204"/>
      <c r="AS28" s="204"/>
      <c r="AT28" s="204"/>
      <c r="AU28" s="206"/>
      <c r="AV28" s="245" t="s">
        <v>516</v>
      </c>
      <c r="AW28" s="246"/>
      <c r="AX28" s="202"/>
      <c r="AY28" s="202"/>
      <c r="AZ28" s="202"/>
      <c r="BA28" s="202"/>
      <c r="BB28" s="202"/>
      <c r="BC28" s="202"/>
      <c r="BD28" s="202"/>
      <c r="BE28" s="202"/>
      <c r="BF28" s="202"/>
      <c r="BG28" s="242"/>
    </row>
    <row r="29" spans="2:59" ht="15">
      <c r="B29" s="204" t="s">
        <v>497</v>
      </c>
      <c r="C29" s="204" t="s">
        <v>497</v>
      </c>
      <c r="D29" s="204" t="s">
        <v>497</v>
      </c>
      <c r="E29" s="204" t="s">
        <v>497</v>
      </c>
      <c r="F29" s="204" t="s">
        <v>497</v>
      </c>
      <c r="G29" s="204" t="s">
        <v>497</v>
      </c>
      <c r="H29" s="204" t="s">
        <v>497</v>
      </c>
      <c r="I29" s="204" t="s">
        <v>497</v>
      </c>
      <c r="J29" s="205" t="s">
        <v>497</v>
      </c>
      <c r="K29" s="205" t="s">
        <v>497</v>
      </c>
      <c r="L29" s="204" t="s">
        <v>497</v>
      </c>
      <c r="M29" s="204" t="s">
        <v>497</v>
      </c>
      <c r="N29" s="204"/>
      <c r="O29" s="204"/>
      <c r="P29" s="204"/>
      <c r="Q29" s="204"/>
      <c r="R29" s="204"/>
      <c r="S29" s="204"/>
      <c r="T29" s="204"/>
      <c r="U29" s="204"/>
      <c r="V29" s="204"/>
      <c r="W29" s="204"/>
      <c r="X29" s="204"/>
      <c r="Y29" s="204"/>
      <c r="Z29" s="204"/>
      <c r="AA29" s="204"/>
      <c r="AB29" s="204"/>
      <c r="AC29" s="204"/>
      <c r="AD29" s="204"/>
      <c r="AE29" s="204"/>
      <c r="AF29" s="204"/>
      <c r="AG29" s="204"/>
      <c r="AH29" s="204"/>
      <c r="AI29" s="204"/>
      <c r="AJ29" s="204"/>
      <c r="AK29" s="204"/>
      <c r="AL29" s="204"/>
      <c r="AM29" s="204"/>
      <c r="AN29" s="204"/>
      <c r="AO29" s="204"/>
      <c r="AP29" s="204"/>
      <c r="AQ29" s="204"/>
      <c r="AR29" s="204"/>
      <c r="AS29" s="204"/>
      <c r="AT29" s="204"/>
      <c r="AU29" s="206"/>
      <c r="AV29" s="243" t="s">
        <v>517</v>
      </c>
      <c r="AW29" s="244"/>
      <c r="AX29" s="237"/>
      <c r="AY29" s="237"/>
      <c r="AZ29" s="237"/>
      <c r="BA29" s="237"/>
      <c r="BB29" s="237"/>
      <c r="BC29" s="237"/>
      <c r="BD29" s="237"/>
      <c r="BE29" s="237"/>
      <c r="BF29" s="237"/>
      <c r="BG29" s="238"/>
    </row>
    <row r="30" spans="2:59" ht="15.75" thickBot="1">
      <c r="B30" s="204" t="s">
        <v>497</v>
      </c>
      <c r="C30" s="204" t="s">
        <v>497</v>
      </c>
      <c r="D30" s="204" t="s">
        <v>497</v>
      </c>
      <c r="E30" s="204" t="s">
        <v>497</v>
      </c>
      <c r="F30" s="204" t="s">
        <v>497</v>
      </c>
      <c r="G30" s="204" t="s">
        <v>497</v>
      </c>
      <c r="H30" s="204" t="s">
        <v>497</v>
      </c>
      <c r="I30" s="204" t="s">
        <v>497</v>
      </c>
      <c r="J30" s="205" t="s">
        <v>497</v>
      </c>
      <c r="K30" s="205" t="s">
        <v>497</v>
      </c>
      <c r="L30" s="204" t="s">
        <v>497</v>
      </c>
      <c r="M30" s="204" t="s">
        <v>497</v>
      </c>
      <c r="N30" s="204"/>
      <c r="O30" s="204"/>
      <c r="P30" s="204"/>
      <c r="Q30" s="204"/>
      <c r="R30" s="204"/>
      <c r="S30" s="204"/>
      <c r="T30" s="204"/>
      <c r="U30" s="204"/>
      <c r="V30" s="204"/>
      <c r="W30" s="204"/>
      <c r="X30" s="204"/>
      <c r="Y30" s="204"/>
      <c r="Z30" s="204"/>
      <c r="AA30" s="204"/>
      <c r="AB30" s="204"/>
      <c r="AC30" s="204"/>
      <c r="AD30" s="204"/>
      <c r="AE30" s="204"/>
      <c r="AF30" s="204"/>
      <c r="AG30" s="204"/>
      <c r="AH30" s="204"/>
      <c r="AI30" s="204"/>
      <c r="AJ30" s="204"/>
      <c r="AK30" s="204"/>
      <c r="AL30" s="204"/>
      <c r="AM30" s="204"/>
      <c r="AN30" s="204"/>
      <c r="AO30" s="204"/>
      <c r="AP30" s="204"/>
      <c r="AQ30" s="204"/>
      <c r="AR30" s="204"/>
      <c r="AS30" s="204"/>
      <c r="AT30" s="204"/>
      <c r="AU30" s="206"/>
      <c r="AV30" s="247" t="s">
        <v>518</v>
      </c>
      <c r="AW30" s="248"/>
      <c r="AX30" s="208"/>
      <c r="AY30" s="208"/>
      <c r="AZ30" s="208"/>
      <c r="BA30" s="208"/>
      <c r="BB30" s="208"/>
      <c r="BC30" s="208"/>
      <c r="BD30" s="208"/>
      <c r="BE30" s="208"/>
      <c r="BF30" s="208"/>
      <c r="BG30" s="229"/>
    </row>
    <row r="31" spans="2:59" ht="15">
      <c r="B31" s="204" t="s">
        <v>497</v>
      </c>
      <c r="C31" s="204" t="s">
        <v>497</v>
      </c>
      <c r="D31" s="204" t="s">
        <v>497</v>
      </c>
      <c r="E31" s="204" t="s">
        <v>497</v>
      </c>
      <c r="F31" s="204" t="s">
        <v>497</v>
      </c>
      <c r="G31" s="204" t="s">
        <v>497</v>
      </c>
      <c r="H31" s="204" t="s">
        <v>497</v>
      </c>
      <c r="I31" s="204" t="s">
        <v>497</v>
      </c>
      <c r="J31" s="205" t="s">
        <v>497</v>
      </c>
      <c r="K31" s="205" t="s">
        <v>497</v>
      </c>
      <c r="L31" s="204" t="s">
        <v>497</v>
      </c>
      <c r="M31" s="204" t="s">
        <v>497</v>
      </c>
      <c r="N31" s="204"/>
      <c r="O31" s="204"/>
      <c r="P31" s="204"/>
      <c r="Q31" s="204"/>
      <c r="R31" s="204"/>
      <c r="S31" s="204"/>
      <c r="T31" s="204"/>
      <c r="U31" s="204"/>
      <c r="V31" s="204"/>
      <c r="W31" s="204"/>
      <c r="X31" s="204"/>
      <c r="Y31" s="204"/>
      <c r="Z31" s="204"/>
      <c r="AA31" s="204"/>
      <c r="AB31" s="204"/>
      <c r="AC31" s="204"/>
      <c r="AD31" s="204"/>
      <c r="AE31" s="204"/>
      <c r="AF31" s="204"/>
      <c r="AG31" s="204"/>
      <c r="AH31" s="204"/>
      <c r="AI31" s="204"/>
      <c r="AJ31" s="204"/>
      <c r="AK31" s="204"/>
      <c r="AL31" s="204"/>
      <c r="AM31" s="204"/>
      <c r="AN31" s="204"/>
      <c r="AO31" s="204"/>
      <c r="AP31" s="204"/>
      <c r="AQ31" s="204"/>
      <c r="AR31" s="204"/>
      <c r="AS31" s="204"/>
      <c r="AT31" s="204"/>
      <c r="AU31" s="206"/>
      <c r="AV31" s="249"/>
      <c r="AW31" s="210"/>
      <c r="AX31" s="210"/>
      <c r="AY31" s="210"/>
      <c r="AZ31" s="210"/>
      <c r="BA31" s="210"/>
      <c r="BB31" s="210"/>
      <c r="BC31" s="210"/>
      <c r="BD31" s="210"/>
      <c r="BE31" s="210"/>
      <c r="BF31" s="210"/>
      <c r="BG31" s="202"/>
    </row>
    <row r="32" spans="2:59" ht="15">
      <c r="B32" s="204" t="s">
        <v>497</v>
      </c>
      <c r="C32" s="204" t="s">
        <v>497</v>
      </c>
      <c r="D32" s="204" t="s">
        <v>497</v>
      </c>
      <c r="E32" s="204" t="s">
        <v>497</v>
      </c>
      <c r="F32" s="204" t="s">
        <v>497</v>
      </c>
      <c r="G32" s="204" t="s">
        <v>497</v>
      </c>
      <c r="H32" s="204" t="s">
        <v>497</v>
      </c>
      <c r="I32" s="204" t="s">
        <v>497</v>
      </c>
      <c r="J32" s="205" t="s">
        <v>497</v>
      </c>
      <c r="K32" s="205" t="s">
        <v>497</v>
      </c>
      <c r="L32" s="204" t="s">
        <v>497</v>
      </c>
      <c r="M32" s="204" t="s">
        <v>497</v>
      </c>
      <c r="N32" s="204"/>
      <c r="O32" s="204"/>
      <c r="P32" s="204"/>
      <c r="Q32" s="204"/>
      <c r="R32" s="204"/>
      <c r="S32" s="204"/>
      <c r="T32" s="204"/>
      <c r="U32" s="204"/>
      <c r="V32" s="204"/>
      <c r="W32" s="204"/>
      <c r="X32" s="204"/>
      <c r="Y32" s="204"/>
      <c r="Z32" s="204"/>
      <c r="AA32" s="204"/>
      <c r="AB32" s="204"/>
      <c r="AC32" s="204"/>
      <c r="AD32" s="204"/>
      <c r="AE32" s="204"/>
      <c r="AF32" s="204"/>
      <c r="AG32" s="204"/>
      <c r="AH32" s="204"/>
      <c r="AI32" s="204"/>
      <c r="AJ32" s="204"/>
      <c r="AK32" s="204"/>
      <c r="AL32" s="204"/>
      <c r="AM32" s="204"/>
      <c r="AN32" s="204"/>
      <c r="AO32" s="204"/>
      <c r="AP32" s="204"/>
      <c r="AQ32" s="204"/>
      <c r="AR32" s="204"/>
      <c r="AS32" s="204"/>
      <c r="AT32" s="204"/>
      <c r="AU32" s="206"/>
      <c r="AV32" s="250"/>
      <c r="AW32" s="202"/>
      <c r="AX32" s="202"/>
      <c r="AY32" s="202"/>
      <c r="AZ32" s="202"/>
      <c r="BA32" s="202"/>
      <c r="BB32" s="202"/>
      <c r="BC32" s="202"/>
      <c r="BD32" s="202"/>
      <c r="BE32" s="202"/>
      <c r="BF32" s="202"/>
      <c r="BG32" s="202"/>
    </row>
    <row r="33" spans="2:59" ht="15">
      <c r="B33" s="204" t="s">
        <v>497</v>
      </c>
      <c r="C33" s="204" t="s">
        <v>497</v>
      </c>
      <c r="D33" s="204" t="s">
        <v>497</v>
      </c>
      <c r="E33" s="204" t="s">
        <v>497</v>
      </c>
      <c r="F33" s="204" t="s">
        <v>497</v>
      </c>
      <c r="G33" s="204" t="s">
        <v>497</v>
      </c>
      <c r="H33" s="204" t="s">
        <v>497</v>
      </c>
      <c r="I33" s="204" t="s">
        <v>497</v>
      </c>
      <c r="J33" s="205" t="s">
        <v>497</v>
      </c>
      <c r="K33" s="205" t="s">
        <v>497</v>
      </c>
      <c r="L33" s="204" t="s">
        <v>497</v>
      </c>
      <c r="M33" s="204" t="s">
        <v>497</v>
      </c>
      <c r="N33" s="204"/>
      <c r="O33" s="204"/>
      <c r="P33" s="204"/>
      <c r="Q33" s="204"/>
      <c r="R33" s="204"/>
      <c r="S33" s="204"/>
      <c r="T33" s="204"/>
      <c r="U33" s="204"/>
      <c r="V33" s="204"/>
      <c r="W33" s="204"/>
      <c r="X33" s="204"/>
      <c r="Y33" s="204"/>
      <c r="Z33" s="204"/>
      <c r="AA33" s="204"/>
      <c r="AB33" s="204"/>
      <c r="AC33" s="204"/>
      <c r="AD33" s="204"/>
      <c r="AE33" s="204"/>
      <c r="AF33" s="204"/>
      <c r="AG33" s="204"/>
      <c r="AH33" s="204"/>
      <c r="AI33" s="204"/>
      <c r="AJ33" s="204"/>
      <c r="AK33" s="204"/>
      <c r="AL33" s="204"/>
      <c r="AM33" s="204"/>
      <c r="AN33" s="204"/>
      <c r="AO33" s="204"/>
      <c r="AP33" s="204"/>
      <c r="AQ33" s="204"/>
      <c r="AR33" s="204"/>
      <c r="AS33" s="204"/>
      <c r="AT33" s="204"/>
      <c r="AU33" s="206"/>
      <c r="AV33" s="202"/>
      <c r="AW33" s="202"/>
      <c r="AX33" s="202"/>
      <c r="AY33" s="202"/>
      <c r="AZ33" s="202"/>
      <c r="BA33" s="202"/>
      <c r="BB33" s="202"/>
      <c r="BC33" s="202"/>
      <c r="BD33" s="202"/>
      <c r="BE33" s="202"/>
      <c r="BF33" s="202"/>
      <c r="BG33" s="202"/>
    </row>
    <row r="34" spans="2:59" ht="15">
      <c r="B34" s="204" t="s">
        <v>497</v>
      </c>
      <c r="C34" s="204" t="s">
        <v>497</v>
      </c>
      <c r="D34" s="204" t="s">
        <v>497</v>
      </c>
      <c r="E34" s="204" t="s">
        <v>497</v>
      </c>
      <c r="F34" s="204" t="s">
        <v>497</v>
      </c>
      <c r="G34" s="204" t="s">
        <v>497</v>
      </c>
      <c r="H34" s="204" t="s">
        <v>497</v>
      </c>
      <c r="I34" s="204" t="s">
        <v>497</v>
      </c>
      <c r="J34" s="205" t="s">
        <v>497</v>
      </c>
      <c r="K34" s="205" t="s">
        <v>497</v>
      </c>
      <c r="L34" s="204" t="s">
        <v>497</v>
      </c>
      <c r="M34" s="204" t="s">
        <v>497</v>
      </c>
      <c r="N34" s="204"/>
      <c r="O34" s="204"/>
      <c r="P34" s="204"/>
      <c r="Q34" s="204"/>
      <c r="R34" s="204"/>
      <c r="S34" s="204"/>
      <c r="T34" s="204"/>
      <c r="U34" s="204"/>
      <c r="V34" s="204"/>
      <c r="W34" s="204"/>
      <c r="X34" s="204"/>
      <c r="Y34" s="204"/>
      <c r="Z34" s="204"/>
      <c r="AA34" s="204"/>
      <c r="AB34" s="204"/>
      <c r="AC34" s="204"/>
      <c r="AD34" s="204"/>
      <c r="AE34" s="204"/>
      <c r="AF34" s="204"/>
      <c r="AG34" s="204"/>
      <c r="AH34" s="204"/>
      <c r="AI34" s="204"/>
      <c r="AJ34" s="204"/>
      <c r="AK34" s="204"/>
      <c r="AL34" s="204"/>
      <c r="AM34" s="204"/>
      <c r="AN34" s="204"/>
      <c r="AO34" s="204"/>
      <c r="AP34" s="204"/>
      <c r="AQ34" s="204"/>
      <c r="AR34" s="204"/>
      <c r="AS34" s="204"/>
      <c r="AT34" s="204"/>
      <c r="AU34" s="206"/>
      <c r="AV34" s="207"/>
      <c r="AW34" s="202"/>
      <c r="AX34" s="202"/>
      <c r="AY34" s="202"/>
      <c r="AZ34" s="202"/>
      <c r="BA34" s="202"/>
      <c r="BB34" s="202"/>
      <c r="BC34" s="202"/>
      <c r="BD34" s="202"/>
      <c r="BE34" s="202"/>
      <c r="BF34" s="202"/>
      <c r="BG34" s="202"/>
    </row>
    <row r="35" spans="2:59" ht="15">
      <c r="B35" s="204" t="s">
        <v>497</v>
      </c>
      <c r="C35" s="204" t="s">
        <v>497</v>
      </c>
      <c r="D35" s="204" t="s">
        <v>497</v>
      </c>
      <c r="E35" s="204" t="s">
        <v>497</v>
      </c>
      <c r="F35" s="204" t="s">
        <v>497</v>
      </c>
      <c r="G35" s="204" t="s">
        <v>497</v>
      </c>
      <c r="H35" s="204" t="s">
        <v>497</v>
      </c>
      <c r="I35" s="204" t="s">
        <v>497</v>
      </c>
      <c r="J35" s="205" t="s">
        <v>497</v>
      </c>
      <c r="K35" s="205" t="s">
        <v>497</v>
      </c>
      <c r="L35" s="204" t="s">
        <v>497</v>
      </c>
      <c r="M35" s="204" t="s">
        <v>497</v>
      </c>
      <c r="N35" s="204"/>
      <c r="O35" s="204"/>
      <c r="P35" s="204"/>
      <c r="Q35" s="204"/>
      <c r="R35" s="204"/>
      <c r="S35" s="204"/>
      <c r="T35" s="204"/>
      <c r="U35" s="204"/>
      <c r="V35" s="204"/>
      <c r="W35" s="204"/>
      <c r="X35" s="204"/>
      <c r="Y35" s="204"/>
      <c r="Z35" s="204"/>
      <c r="AA35" s="204"/>
      <c r="AB35" s="204"/>
      <c r="AC35" s="204"/>
      <c r="AD35" s="204"/>
      <c r="AE35" s="204"/>
      <c r="AF35" s="204"/>
      <c r="AG35" s="204"/>
      <c r="AH35" s="204"/>
      <c r="AI35" s="204"/>
      <c r="AJ35" s="204"/>
      <c r="AK35" s="204"/>
      <c r="AL35" s="204"/>
      <c r="AM35" s="204"/>
      <c r="AN35" s="204"/>
      <c r="AO35" s="204"/>
      <c r="AP35" s="204"/>
      <c r="AQ35" s="204"/>
      <c r="AR35" s="204"/>
      <c r="AS35" s="204"/>
      <c r="AT35" s="204"/>
      <c r="AU35" s="206"/>
      <c r="AV35" s="207"/>
      <c r="AW35" s="202"/>
      <c r="AX35" s="202"/>
      <c r="AY35" s="202"/>
      <c r="AZ35" s="202"/>
      <c r="BA35" s="202"/>
      <c r="BB35" s="202"/>
      <c r="BC35" s="202"/>
      <c r="BD35" s="202"/>
      <c r="BE35" s="202"/>
      <c r="BF35" s="202"/>
      <c r="BG35" s="202"/>
    </row>
    <row r="36" spans="2:59" ht="15">
      <c r="B36" s="204" t="s">
        <v>497</v>
      </c>
      <c r="C36" s="204" t="s">
        <v>497</v>
      </c>
      <c r="D36" s="204" t="s">
        <v>497</v>
      </c>
      <c r="E36" s="204" t="s">
        <v>497</v>
      </c>
      <c r="F36" s="204" t="s">
        <v>497</v>
      </c>
      <c r="G36" s="204" t="s">
        <v>497</v>
      </c>
      <c r="H36" s="204" t="s">
        <v>497</v>
      </c>
      <c r="I36" s="204" t="s">
        <v>497</v>
      </c>
      <c r="J36" s="205" t="s">
        <v>497</v>
      </c>
      <c r="K36" s="205" t="s">
        <v>497</v>
      </c>
      <c r="L36" s="204" t="s">
        <v>497</v>
      </c>
      <c r="M36" s="204" t="s">
        <v>497</v>
      </c>
      <c r="N36" s="204"/>
      <c r="O36" s="204"/>
      <c r="P36" s="204"/>
      <c r="Q36" s="204"/>
      <c r="R36" s="204"/>
      <c r="S36" s="204"/>
      <c r="T36" s="204"/>
      <c r="U36" s="204"/>
      <c r="V36" s="204"/>
      <c r="W36" s="204"/>
      <c r="X36" s="204"/>
      <c r="Y36" s="204"/>
      <c r="Z36" s="204"/>
      <c r="AA36" s="204"/>
      <c r="AB36" s="204"/>
      <c r="AC36" s="204"/>
      <c r="AD36" s="204"/>
      <c r="AE36" s="204"/>
      <c r="AF36" s="204"/>
      <c r="AG36" s="204"/>
      <c r="AH36" s="204"/>
      <c r="AI36" s="204"/>
      <c r="AJ36" s="204"/>
      <c r="AK36" s="204"/>
      <c r="AL36" s="204"/>
      <c r="AM36" s="204"/>
      <c r="AN36" s="204"/>
      <c r="AO36" s="204"/>
      <c r="AP36" s="204"/>
      <c r="AQ36" s="204"/>
      <c r="AR36" s="204"/>
      <c r="AS36" s="204"/>
      <c r="AT36" s="204"/>
      <c r="AU36" s="206"/>
      <c r="AV36" s="207"/>
      <c r="AW36" s="202"/>
      <c r="AX36" s="202"/>
      <c r="AY36" s="202"/>
      <c r="AZ36" s="202"/>
      <c r="BA36" s="202"/>
      <c r="BB36" s="202"/>
      <c r="BC36" s="202"/>
      <c r="BD36" s="202"/>
      <c r="BE36" s="202"/>
      <c r="BF36" s="202"/>
      <c r="BG36" s="202"/>
    </row>
    <row r="37" spans="2:59" ht="15">
      <c r="B37" s="204" t="s">
        <v>497</v>
      </c>
      <c r="C37" s="204" t="s">
        <v>497</v>
      </c>
      <c r="D37" s="204" t="s">
        <v>497</v>
      </c>
      <c r="E37" s="204" t="s">
        <v>497</v>
      </c>
      <c r="F37" s="204" t="s">
        <v>497</v>
      </c>
      <c r="G37" s="204" t="s">
        <v>497</v>
      </c>
      <c r="H37" s="204" t="s">
        <v>497</v>
      </c>
      <c r="I37" s="204" t="s">
        <v>497</v>
      </c>
      <c r="J37" s="205" t="s">
        <v>497</v>
      </c>
      <c r="K37" s="205" t="s">
        <v>497</v>
      </c>
      <c r="L37" s="204" t="s">
        <v>497</v>
      </c>
      <c r="M37" s="204" t="s">
        <v>497</v>
      </c>
      <c r="N37" s="204"/>
      <c r="O37" s="204"/>
      <c r="P37" s="204"/>
      <c r="Q37" s="204"/>
      <c r="R37" s="204"/>
      <c r="S37" s="204"/>
      <c r="T37" s="204"/>
      <c r="U37" s="204"/>
      <c r="V37" s="204"/>
      <c r="W37" s="204"/>
      <c r="X37" s="204"/>
      <c r="Y37" s="204"/>
      <c r="Z37" s="204"/>
      <c r="AA37" s="204"/>
      <c r="AB37" s="204"/>
      <c r="AC37" s="204"/>
      <c r="AD37" s="204"/>
      <c r="AE37" s="204"/>
      <c r="AF37" s="204"/>
      <c r="AG37" s="204"/>
      <c r="AH37" s="204"/>
      <c r="AI37" s="204"/>
      <c r="AJ37" s="204"/>
      <c r="AK37" s="204"/>
      <c r="AL37" s="204"/>
      <c r="AM37" s="204"/>
      <c r="AN37" s="204"/>
      <c r="AO37" s="204"/>
      <c r="AP37" s="204"/>
      <c r="AQ37" s="204"/>
      <c r="AR37" s="204"/>
      <c r="AS37" s="204"/>
      <c r="AT37" s="204"/>
      <c r="AU37" s="206"/>
      <c r="AV37" s="207"/>
      <c r="AW37" s="202"/>
      <c r="AX37" s="202"/>
      <c r="AY37" s="202"/>
      <c r="AZ37" s="202"/>
      <c r="BA37" s="202"/>
      <c r="BB37" s="202"/>
      <c r="BC37" s="202"/>
      <c r="BD37" s="202"/>
      <c r="BE37" s="202"/>
      <c r="BF37" s="202"/>
      <c r="BG37" s="202"/>
    </row>
    <row r="38" spans="2:59" ht="15">
      <c r="B38" s="204" t="s">
        <v>497</v>
      </c>
      <c r="C38" s="204" t="s">
        <v>497</v>
      </c>
      <c r="D38" s="204" t="s">
        <v>497</v>
      </c>
      <c r="E38" s="204" t="s">
        <v>497</v>
      </c>
      <c r="F38" s="204" t="s">
        <v>497</v>
      </c>
      <c r="G38" s="204" t="s">
        <v>497</v>
      </c>
      <c r="H38" s="204" t="s">
        <v>497</v>
      </c>
      <c r="I38" s="204" t="s">
        <v>497</v>
      </c>
      <c r="J38" s="205" t="s">
        <v>497</v>
      </c>
      <c r="K38" s="205" t="s">
        <v>497</v>
      </c>
      <c r="L38" s="204" t="s">
        <v>497</v>
      </c>
      <c r="M38" s="204" t="s">
        <v>497</v>
      </c>
      <c r="N38" s="204"/>
      <c r="O38" s="204"/>
      <c r="P38" s="204"/>
      <c r="Q38" s="204"/>
      <c r="R38" s="204"/>
      <c r="S38" s="204"/>
      <c r="T38" s="204"/>
      <c r="U38" s="204"/>
      <c r="V38" s="204"/>
      <c r="W38" s="204"/>
      <c r="X38" s="204"/>
      <c r="Y38" s="204"/>
      <c r="Z38" s="204"/>
      <c r="AA38" s="204"/>
      <c r="AB38" s="204"/>
      <c r="AC38" s="204"/>
      <c r="AD38" s="204"/>
      <c r="AE38" s="204"/>
      <c r="AF38" s="204"/>
      <c r="AG38" s="204"/>
      <c r="AH38" s="204"/>
      <c r="AI38" s="204"/>
      <c r="AJ38" s="204"/>
      <c r="AK38" s="204"/>
      <c r="AL38" s="204"/>
      <c r="AM38" s="204"/>
      <c r="AN38" s="204"/>
      <c r="AO38" s="204"/>
      <c r="AP38" s="204"/>
      <c r="AQ38" s="204"/>
      <c r="AR38" s="204"/>
      <c r="AS38" s="204"/>
      <c r="AT38" s="204"/>
      <c r="AU38" s="206"/>
      <c r="AV38" s="207"/>
      <c r="AW38" s="202"/>
      <c r="AX38" s="202"/>
      <c r="AY38" s="202"/>
      <c r="AZ38" s="202"/>
      <c r="BA38" s="202"/>
      <c r="BB38" s="202"/>
      <c r="BC38" s="202"/>
      <c r="BD38" s="202"/>
      <c r="BE38" s="202"/>
      <c r="BF38" s="202"/>
      <c r="BG38" s="202"/>
    </row>
    <row r="39" spans="2:59" ht="15">
      <c r="B39" s="204" t="s">
        <v>497</v>
      </c>
      <c r="C39" s="204" t="s">
        <v>497</v>
      </c>
      <c r="D39" s="204" t="s">
        <v>497</v>
      </c>
      <c r="E39" s="204" t="s">
        <v>497</v>
      </c>
      <c r="F39" s="204" t="s">
        <v>497</v>
      </c>
      <c r="G39" s="204" t="s">
        <v>497</v>
      </c>
      <c r="H39" s="204" t="s">
        <v>497</v>
      </c>
      <c r="I39" s="204" t="s">
        <v>497</v>
      </c>
      <c r="J39" s="205" t="s">
        <v>497</v>
      </c>
      <c r="K39" s="205" t="s">
        <v>497</v>
      </c>
      <c r="L39" s="204" t="s">
        <v>497</v>
      </c>
      <c r="M39" s="204" t="s">
        <v>497</v>
      </c>
      <c r="N39" s="204"/>
      <c r="O39" s="204"/>
      <c r="P39" s="204"/>
      <c r="Q39" s="204"/>
      <c r="R39" s="204"/>
      <c r="S39" s="204"/>
      <c r="T39" s="204"/>
      <c r="U39" s="204"/>
      <c r="V39" s="204"/>
      <c r="W39" s="204"/>
      <c r="X39" s="204"/>
      <c r="Y39" s="204"/>
      <c r="Z39" s="204"/>
      <c r="AA39" s="204"/>
      <c r="AB39" s="204"/>
      <c r="AC39" s="204"/>
      <c r="AD39" s="204"/>
      <c r="AE39" s="204"/>
      <c r="AF39" s="204"/>
      <c r="AG39" s="204"/>
      <c r="AH39" s="204"/>
      <c r="AI39" s="204"/>
      <c r="AJ39" s="204"/>
      <c r="AK39" s="204"/>
      <c r="AL39" s="204"/>
      <c r="AM39" s="204"/>
      <c r="AN39" s="204"/>
      <c r="AO39" s="204"/>
      <c r="AP39" s="204"/>
      <c r="AQ39" s="204"/>
      <c r="AR39" s="204"/>
      <c r="AS39" s="204"/>
      <c r="AT39" s="204"/>
      <c r="AU39" s="206"/>
      <c r="AV39" s="207"/>
      <c r="AW39" s="202"/>
      <c r="AX39" s="202"/>
      <c r="AY39" s="202"/>
      <c r="AZ39" s="202"/>
      <c r="BA39" s="202"/>
      <c r="BB39" s="202"/>
      <c r="BC39" s="202"/>
      <c r="BD39" s="202"/>
      <c r="BE39" s="202"/>
      <c r="BF39" s="202"/>
      <c r="BG39" s="202"/>
    </row>
    <row r="40" spans="2:59" ht="15">
      <c r="B40" s="204" t="s">
        <v>497</v>
      </c>
      <c r="C40" s="204" t="s">
        <v>497</v>
      </c>
      <c r="D40" s="204" t="s">
        <v>497</v>
      </c>
      <c r="E40" s="204" t="s">
        <v>497</v>
      </c>
      <c r="F40" s="204" t="s">
        <v>497</v>
      </c>
      <c r="G40" s="204" t="s">
        <v>497</v>
      </c>
      <c r="H40" s="204" t="s">
        <v>497</v>
      </c>
      <c r="I40" s="204" t="s">
        <v>497</v>
      </c>
      <c r="J40" s="205" t="s">
        <v>497</v>
      </c>
      <c r="K40" s="205" t="s">
        <v>497</v>
      </c>
      <c r="L40" s="204" t="s">
        <v>497</v>
      </c>
      <c r="M40" s="204" t="s">
        <v>497</v>
      </c>
      <c r="N40" s="204"/>
      <c r="O40" s="204"/>
      <c r="P40" s="204"/>
      <c r="Q40" s="204"/>
      <c r="R40" s="204"/>
      <c r="S40" s="204"/>
      <c r="T40" s="204"/>
      <c r="U40" s="204"/>
      <c r="V40" s="204"/>
      <c r="W40" s="204"/>
      <c r="X40" s="204"/>
      <c r="Y40" s="204"/>
      <c r="Z40" s="204"/>
      <c r="AA40" s="204"/>
      <c r="AB40" s="204"/>
      <c r="AC40" s="204"/>
      <c r="AD40" s="204"/>
      <c r="AE40" s="204"/>
      <c r="AF40" s="204"/>
      <c r="AG40" s="204"/>
      <c r="AH40" s="204"/>
      <c r="AI40" s="204"/>
      <c r="AJ40" s="204"/>
      <c r="AK40" s="204"/>
      <c r="AL40" s="204"/>
      <c r="AM40" s="204"/>
      <c r="AN40" s="204"/>
      <c r="AO40" s="204"/>
      <c r="AP40" s="204"/>
      <c r="AQ40" s="204"/>
      <c r="AR40" s="204"/>
      <c r="AS40" s="204"/>
      <c r="AT40" s="204"/>
      <c r="AU40" s="206"/>
      <c r="AV40" s="207"/>
      <c r="AW40" s="202"/>
      <c r="AX40" s="202"/>
      <c r="AY40" s="202"/>
      <c r="AZ40" s="202"/>
      <c r="BA40" s="202"/>
      <c r="BB40" s="202"/>
      <c r="BC40" s="202"/>
      <c r="BD40" s="202"/>
      <c r="BE40" s="202"/>
      <c r="BF40" s="202"/>
      <c r="BG40" s="202"/>
    </row>
    <row r="41" spans="2:59" ht="15">
      <c r="B41" s="204" t="s">
        <v>497</v>
      </c>
      <c r="C41" s="204" t="s">
        <v>497</v>
      </c>
      <c r="D41" s="204" t="s">
        <v>497</v>
      </c>
      <c r="E41" s="204" t="s">
        <v>497</v>
      </c>
      <c r="F41" s="204" t="s">
        <v>497</v>
      </c>
      <c r="G41" s="204" t="s">
        <v>497</v>
      </c>
      <c r="H41" s="204" t="s">
        <v>497</v>
      </c>
      <c r="I41" s="204" t="s">
        <v>497</v>
      </c>
      <c r="J41" s="205" t="s">
        <v>497</v>
      </c>
      <c r="K41" s="205" t="s">
        <v>497</v>
      </c>
      <c r="L41" s="204" t="s">
        <v>497</v>
      </c>
      <c r="M41" s="204" t="s">
        <v>497</v>
      </c>
      <c r="N41" s="204"/>
      <c r="O41" s="204"/>
      <c r="P41" s="204"/>
      <c r="Q41" s="204"/>
      <c r="R41" s="204"/>
      <c r="S41" s="204"/>
      <c r="T41" s="204"/>
      <c r="U41" s="204"/>
      <c r="V41" s="204"/>
      <c r="W41" s="204"/>
      <c r="X41" s="204"/>
      <c r="Y41" s="204"/>
      <c r="Z41" s="204"/>
      <c r="AA41" s="204"/>
      <c r="AB41" s="204"/>
      <c r="AC41" s="204"/>
      <c r="AD41" s="204"/>
      <c r="AE41" s="204"/>
      <c r="AF41" s="204"/>
      <c r="AG41" s="204"/>
      <c r="AH41" s="204"/>
      <c r="AI41" s="204"/>
      <c r="AJ41" s="204"/>
      <c r="AK41" s="204"/>
      <c r="AL41" s="204"/>
      <c r="AM41" s="204"/>
      <c r="AN41" s="204"/>
      <c r="AO41" s="204"/>
      <c r="AP41" s="204"/>
      <c r="AQ41" s="204"/>
      <c r="AR41" s="204"/>
      <c r="AS41" s="204"/>
      <c r="AT41" s="204"/>
      <c r="AU41" s="206"/>
      <c r="AV41" s="207"/>
      <c r="AW41" s="202"/>
      <c r="AX41" s="202"/>
      <c r="AY41" s="202"/>
      <c r="AZ41" s="202"/>
      <c r="BA41" s="202"/>
      <c r="BB41" s="202"/>
      <c r="BC41" s="202"/>
      <c r="BD41" s="202"/>
      <c r="BE41" s="202"/>
      <c r="BF41" s="202"/>
      <c r="BG41" s="202"/>
    </row>
    <row r="42" spans="2:59" ht="15">
      <c r="B42" s="204" t="s">
        <v>497</v>
      </c>
      <c r="C42" s="204" t="s">
        <v>497</v>
      </c>
      <c r="D42" s="204" t="s">
        <v>497</v>
      </c>
      <c r="E42" s="204" t="s">
        <v>497</v>
      </c>
      <c r="F42" s="204" t="s">
        <v>497</v>
      </c>
      <c r="G42" s="204" t="s">
        <v>497</v>
      </c>
      <c r="H42" s="204" t="s">
        <v>497</v>
      </c>
      <c r="I42" s="204" t="s">
        <v>497</v>
      </c>
      <c r="J42" s="205" t="s">
        <v>497</v>
      </c>
      <c r="K42" s="205" t="s">
        <v>497</v>
      </c>
      <c r="L42" s="204" t="s">
        <v>497</v>
      </c>
      <c r="M42" s="204" t="s">
        <v>497</v>
      </c>
      <c r="N42" s="204"/>
      <c r="O42" s="204"/>
      <c r="P42" s="204"/>
      <c r="Q42" s="204"/>
      <c r="R42" s="204"/>
      <c r="S42" s="204"/>
      <c r="T42" s="204"/>
      <c r="U42" s="204"/>
      <c r="V42" s="204"/>
      <c r="W42" s="204"/>
      <c r="X42" s="204"/>
      <c r="Y42" s="204"/>
      <c r="Z42" s="204"/>
      <c r="AA42" s="204"/>
      <c r="AB42" s="204"/>
      <c r="AC42" s="204"/>
      <c r="AD42" s="204"/>
      <c r="AE42" s="204"/>
      <c r="AF42" s="204"/>
      <c r="AG42" s="204"/>
      <c r="AH42" s="204"/>
      <c r="AI42" s="204"/>
      <c r="AJ42" s="204"/>
      <c r="AK42" s="204"/>
      <c r="AL42" s="204"/>
      <c r="AM42" s="204"/>
      <c r="AN42" s="204"/>
      <c r="AO42" s="204"/>
      <c r="AP42" s="204"/>
      <c r="AQ42" s="204"/>
      <c r="AR42" s="204"/>
      <c r="AS42" s="204"/>
      <c r="AT42" s="204"/>
      <c r="AU42" s="206"/>
      <c r="AV42" s="207"/>
      <c r="AW42" s="202"/>
      <c r="AX42" s="202"/>
      <c r="AY42" s="202"/>
      <c r="AZ42" s="202"/>
      <c r="BA42" s="202"/>
      <c r="BB42" s="202"/>
      <c r="BC42" s="202"/>
      <c r="BD42" s="202"/>
      <c r="BE42" s="202"/>
      <c r="BF42" s="202"/>
      <c r="BG42" s="202"/>
    </row>
    <row r="43" spans="2:59" ht="15">
      <c r="B43" s="204" t="s">
        <v>497</v>
      </c>
      <c r="C43" s="204" t="s">
        <v>497</v>
      </c>
      <c r="D43" s="204" t="s">
        <v>497</v>
      </c>
      <c r="E43" s="204" t="s">
        <v>497</v>
      </c>
      <c r="F43" s="204" t="s">
        <v>497</v>
      </c>
      <c r="G43" s="204" t="s">
        <v>497</v>
      </c>
      <c r="H43" s="204" t="s">
        <v>497</v>
      </c>
      <c r="I43" s="204" t="s">
        <v>497</v>
      </c>
      <c r="J43" s="205" t="s">
        <v>497</v>
      </c>
      <c r="K43" s="205" t="s">
        <v>497</v>
      </c>
      <c r="L43" s="204" t="s">
        <v>497</v>
      </c>
      <c r="M43" s="204" t="s">
        <v>497</v>
      </c>
      <c r="N43" s="204"/>
      <c r="O43" s="204"/>
      <c r="P43" s="204"/>
      <c r="Q43" s="204"/>
      <c r="R43" s="204"/>
      <c r="S43" s="204"/>
      <c r="T43" s="204"/>
      <c r="U43" s="204"/>
      <c r="V43" s="204"/>
      <c r="W43" s="204"/>
      <c r="X43" s="204"/>
      <c r="Y43" s="204"/>
      <c r="Z43" s="204"/>
      <c r="AA43" s="204"/>
      <c r="AB43" s="204"/>
      <c r="AC43" s="204"/>
      <c r="AD43" s="204"/>
      <c r="AE43" s="204"/>
      <c r="AF43" s="204"/>
      <c r="AG43" s="204"/>
      <c r="AH43" s="204"/>
      <c r="AI43" s="204"/>
      <c r="AJ43" s="204"/>
      <c r="AK43" s="204"/>
      <c r="AL43" s="204"/>
      <c r="AM43" s="204"/>
      <c r="AN43" s="204"/>
      <c r="AO43" s="204"/>
      <c r="AP43" s="204"/>
      <c r="AQ43" s="204"/>
      <c r="AR43" s="204"/>
      <c r="AS43" s="204"/>
      <c r="AT43" s="204"/>
      <c r="AU43" s="206"/>
      <c r="AV43" s="207"/>
      <c r="AW43" s="202"/>
      <c r="AX43" s="202"/>
      <c r="AY43" s="202"/>
      <c r="AZ43" s="202"/>
      <c r="BA43" s="202"/>
      <c r="BB43" s="202"/>
      <c r="BC43" s="202"/>
      <c r="BD43" s="202"/>
      <c r="BE43" s="202"/>
      <c r="BF43" s="202"/>
      <c r="BG43" s="202"/>
    </row>
    <row r="44" spans="2:59" ht="15">
      <c r="B44" s="204" t="s">
        <v>497</v>
      </c>
      <c r="C44" s="204" t="s">
        <v>497</v>
      </c>
      <c r="D44" s="204" t="s">
        <v>497</v>
      </c>
      <c r="E44" s="204" t="s">
        <v>497</v>
      </c>
      <c r="F44" s="204" t="s">
        <v>497</v>
      </c>
      <c r="G44" s="204" t="s">
        <v>497</v>
      </c>
      <c r="H44" s="204" t="s">
        <v>497</v>
      </c>
      <c r="I44" s="204" t="s">
        <v>497</v>
      </c>
      <c r="J44" s="205" t="s">
        <v>497</v>
      </c>
      <c r="K44" s="205" t="s">
        <v>497</v>
      </c>
      <c r="L44" s="204" t="s">
        <v>497</v>
      </c>
      <c r="M44" s="204" t="s">
        <v>497</v>
      </c>
      <c r="N44" s="204"/>
      <c r="O44" s="204"/>
      <c r="P44" s="204"/>
      <c r="Q44" s="204"/>
      <c r="R44" s="204"/>
      <c r="S44" s="204"/>
      <c r="T44" s="204"/>
      <c r="U44" s="204"/>
      <c r="V44" s="204"/>
      <c r="W44" s="204"/>
      <c r="X44" s="204"/>
      <c r="Y44" s="204"/>
      <c r="Z44" s="204"/>
      <c r="AA44" s="204"/>
      <c r="AB44" s="204"/>
      <c r="AC44" s="204"/>
      <c r="AD44" s="204"/>
      <c r="AE44" s="204"/>
      <c r="AF44" s="204"/>
      <c r="AG44" s="204"/>
      <c r="AH44" s="204"/>
      <c r="AI44" s="204"/>
      <c r="AJ44" s="204"/>
      <c r="AK44" s="204"/>
      <c r="AL44" s="204"/>
      <c r="AM44" s="204"/>
      <c r="AN44" s="204"/>
      <c r="AO44" s="204"/>
      <c r="AP44" s="204"/>
      <c r="AQ44" s="204"/>
      <c r="AR44" s="204"/>
      <c r="AS44" s="204"/>
      <c r="AT44" s="204"/>
      <c r="AU44" s="206"/>
      <c r="AV44" s="207"/>
      <c r="AW44" s="202"/>
      <c r="AX44" s="202"/>
      <c r="AY44" s="202"/>
      <c r="AZ44" s="202"/>
      <c r="BA44" s="202"/>
      <c r="BB44" s="202"/>
      <c r="BC44" s="202"/>
      <c r="BD44" s="202"/>
      <c r="BE44" s="202"/>
      <c r="BF44" s="202"/>
      <c r="BG44" s="202"/>
    </row>
    <row r="45" spans="2:59" ht="15">
      <c r="B45" s="204" t="s">
        <v>497</v>
      </c>
      <c r="C45" s="204" t="s">
        <v>497</v>
      </c>
      <c r="D45" s="204" t="s">
        <v>497</v>
      </c>
      <c r="E45" s="204" t="s">
        <v>497</v>
      </c>
      <c r="F45" s="204" t="s">
        <v>497</v>
      </c>
      <c r="G45" s="204" t="s">
        <v>497</v>
      </c>
      <c r="H45" s="204" t="s">
        <v>497</v>
      </c>
      <c r="I45" s="204" t="s">
        <v>497</v>
      </c>
      <c r="J45" s="205" t="s">
        <v>497</v>
      </c>
      <c r="K45" s="205" t="s">
        <v>497</v>
      </c>
      <c r="L45" s="204" t="s">
        <v>497</v>
      </c>
      <c r="M45" s="204" t="s">
        <v>497</v>
      </c>
      <c r="N45" s="204"/>
      <c r="O45" s="204"/>
      <c r="P45" s="204"/>
      <c r="Q45" s="204"/>
      <c r="R45" s="204"/>
      <c r="S45" s="204"/>
      <c r="T45" s="204"/>
      <c r="U45" s="204"/>
      <c r="V45" s="204"/>
      <c r="W45" s="204"/>
      <c r="X45" s="204"/>
      <c r="Y45" s="204"/>
      <c r="Z45" s="204"/>
      <c r="AA45" s="204"/>
      <c r="AB45" s="204"/>
      <c r="AC45" s="204"/>
      <c r="AD45" s="204"/>
      <c r="AE45" s="204"/>
      <c r="AF45" s="204"/>
      <c r="AG45" s="204"/>
      <c r="AH45" s="204"/>
      <c r="AI45" s="204"/>
      <c r="AJ45" s="204"/>
      <c r="AK45" s="204"/>
      <c r="AL45" s="204"/>
      <c r="AM45" s="204"/>
      <c r="AN45" s="204"/>
      <c r="AO45" s="204"/>
      <c r="AP45" s="204"/>
      <c r="AQ45" s="204"/>
      <c r="AR45" s="204"/>
      <c r="AS45" s="204"/>
      <c r="AT45" s="204"/>
      <c r="AU45" s="206"/>
      <c r="AV45" s="207"/>
      <c r="AW45" s="202"/>
      <c r="AX45" s="202"/>
      <c r="AY45" s="202"/>
      <c r="AZ45" s="202"/>
      <c r="BA45" s="202"/>
      <c r="BB45" s="202"/>
      <c r="BC45" s="202"/>
      <c r="BD45" s="202"/>
      <c r="BE45" s="202"/>
      <c r="BF45" s="202"/>
      <c r="BG45" s="202"/>
    </row>
    <row r="46" spans="2:59" ht="15">
      <c r="B46" s="204" t="s">
        <v>497</v>
      </c>
      <c r="C46" s="204" t="s">
        <v>497</v>
      </c>
      <c r="D46" s="204" t="s">
        <v>497</v>
      </c>
      <c r="E46" s="204" t="s">
        <v>497</v>
      </c>
      <c r="F46" s="204" t="s">
        <v>497</v>
      </c>
      <c r="G46" s="204" t="s">
        <v>497</v>
      </c>
      <c r="H46" s="204" t="s">
        <v>497</v>
      </c>
      <c r="I46" s="204" t="s">
        <v>497</v>
      </c>
      <c r="J46" s="205" t="s">
        <v>497</v>
      </c>
      <c r="K46" s="205" t="s">
        <v>497</v>
      </c>
      <c r="L46" s="204" t="s">
        <v>497</v>
      </c>
      <c r="M46" s="204" t="s">
        <v>497</v>
      </c>
      <c r="N46" s="204"/>
      <c r="O46" s="204"/>
      <c r="P46" s="204"/>
      <c r="Q46" s="204"/>
      <c r="R46" s="204"/>
      <c r="S46" s="204"/>
      <c r="T46" s="204"/>
      <c r="U46" s="204"/>
      <c r="V46" s="204"/>
      <c r="W46" s="204"/>
      <c r="X46" s="204"/>
      <c r="Y46" s="204"/>
      <c r="Z46" s="204"/>
      <c r="AA46" s="204"/>
      <c r="AB46" s="204"/>
      <c r="AC46" s="204"/>
      <c r="AD46" s="204"/>
      <c r="AE46" s="204"/>
      <c r="AF46" s="204"/>
      <c r="AG46" s="204"/>
      <c r="AH46" s="204"/>
      <c r="AI46" s="204"/>
      <c r="AJ46" s="204"/>
      <c r="AK46" s="204"/>
      <c r="AL46" s="204"/>
      <c r="AM46" s="204"/>
      <c r="AN46" s="204"/>
      <c r="AO46" s="204"/>
      <c r="AP46" s="204"/>
      <c r="AQ46" s="204"/>
      <c r="AR46" s="204"/>
      <c r="AS46" s="204"/>
      <c r="AT46" s="204"/>
      <c r="AU46" s="206"/>
      <c r="AV46" s="202"/>
      <c r="AW46" s="202"/>
      <c r="AX46" s="202"/>
      <c r="AY46" s="202"/>
      <c r="AZ46" s="202"/>
      <c r="BA46" s="202"/>
      <c r="BB46" s="202"/>
      <c r="BC46" s="202"/>
      <c r="BD46" s="202"/>
      <c r="BE46" s="202"/>
      <c r="BF46" s="202"/>
      <c r="BG46" s="202"/>
    </row>
    <row r="47" spans="2:59" ht="15">
      <c r="B47" s="204" t="s">
        <v>497</v>
      </c>
      <c r="C47" s="204" t="s">
        <v>497</v>
      </c>
      <c r="D47" s="204" t="s">
        <v>497</v>
      </c>
      <c r="E47" s="204" t="s">
        <v>497</v>
      </c>
      <c r="F47" s="204" t="s">
        <v>497</v>
      </c>
      <c r="G47" s="204" t="s">
        <v>497</v>
      </c>
      <c r="H47" s="204" t="s">
        <v>497</v>
      </c>
      <c r="I47" s="204" t="s">
        <v>497</v>
      </c>
      <c r="J47" s="205" t="s">
        <v>497</v>
      </c>
      <c r="K47" s="205" t="s">
        <v>497</v>
      </c>
      <c r="L47" s="204" t="s">
        <v>497</v>
      </c>
      <c r="M47" s="204" t="s">
        <v>497</v>
      </c>
      <c r="N47" s="204"/>
      <c r="O47" s="204"/>
      <c r="P47" s="204"/>
      <c r="Q47" s="204"/>
      <c r="R47" s="204"/>
      <c r="S47" s="204"/>
      <c r="T47" s="204"/>
      <c r="U47" s="204"/>
      <c r="V47" s="204"/>
      <c r="W47" s="204"/>
      <c r="X47" s="204"/>
      <c r="Y47" s="204"/>
      <c r="Z47" s="204"/>
      <c r="AA47" s="204"/>
      <c r="AB47" s="204"/>
      <c r="AC47" s="204"/>
      <c r="AD47" s="204"/>
      <c r="AE47" s="204"/>
      <c r="AF47" s="204"/>
      <c r="AG47" s="204"/>
      <c r="AH47" s="204"/>
      <c r="AI47" s="204"/>
      <c r="AJ47" s="204"/>
      <c r="AK47" s="204"/>
      <c r="AL47" s="204"/>
      <c r="AM47" s="204"/>
      <c r="AN47" s="204"/>
      <c r="AO47" s="204"/>
      <c r="AP47" s="204"/>
      <c r="AQ47" s="204"/>
      <c r="AR47" s="204"/>
      <c r="AS47" s="204"/>
      <c r="AT47" s="204"/>
      <c r="AU47" s="206"/>
      <c r="AV47" s="202"/>
      <c r="AW47" s="202"/>
      <c r="AX47" s="202"/>
      <c r="AY47" s="202"/>
      <c r="AZ47" s="202"/>
      <c r="BA47" s="202"/>
      <c r="BB47" s="202"/>
      <c r="BC47" s="202"/>
      <c r="BD47" s="202"/>
      <c r="BE47" s="202"/>
      <c r="BF47" s="202"/>
      <c r="BG47" s="202"/>
    </row>
    <row r="48" spans="2:59" ht="15">
      <c r="B48" s="204" t="s">
        <v>497</v>
      </c>
      <c r="C48" s="204" t="s">
        <v>497</v>
      </c>
      <c r="D48" s="204" t="s">
        <v>497</v>
      </c>
      <c r="E48" s="204" t="s">
        <v>497</v>
      </c>
      <c r="F48" s="204" t="s">
        <v>497</v>
      </c>
      <c r="G48" s="204" t="s">
        <v>497</v>
      </c>
      <c r="H48" s="204" t="s">
        <v>497</v>
      </c>
      <c r="I48" s="204" t="s">
        <v>497</v>
      </c>
      <c r="J48" s="205" t="s">
        <v>497</v>
      </c>
      <c r="K48" s="205" t="s">
        <v>497</v>
      </c>
      <c r="L48" s="204" t="s">
        <v>497</v>
      </c>
      <c r="M48" s="204" t="s">
        <v>497</v>
      </c>
      <c r="N48" s="204"/>
      <c r="O48" s="204"/>
      <c r="P48" s="204"/>
      <c r="Q48" s="204"/>
      <c r="R48" s="204"/>
      <c r="S48" s="204"/>
      <c r="T48" s="204"/>
      <c r="U48" s="204"/>
      <c r="V48" s="204"/>
      <c r="W48" s="204"/>
      <c r="X48" s="204"/>
      <c r="Y48" s="204"/>
      <c r="Z48" s="204"/>
      <c r="AA48" s="204"/>
      <c r="AB48" s="204"/>
      <c r="AC48" s="204"/>
      <c r="AD48" s="204"/>
      <c r="AE48" s="204"/>
      <c r="AF48" s="204"/>
      <c r="AG48" s="204"/>
      <c r="AH48" s="204"/>
      <c r="AI48" s="204"/>
      <c r="AJ48" s="204"/>
      <c r="AK48" s="204"/>
      <c r="AL48" s="204"/>
      <c r="AM48" s="204"/>
      <c r="AN48" s="204"/>
      <c r="AO48" s="204"/>
      <c r="AP48" s="204"/>
      <c r="AQ48" s="204"/>
      <c r="AR48" s="204"/>
      <c r="AS48" s="204"/>
      <c r="AT48" s="204"/>
      <c r="AU48" s="206"/>
      <c r="AV48" s="202"/>
      <c r="AW48" s="202"/>
      <c r="AX48" s="202"/>
      <c r="AY48" s="202"/>
      <c r="AZ48" s="202"/>
      <c r="BA48" s="202"/>
      <c r="BB48" s="202"/>
      <c r="BC48" s="202"/>
      <c r="BD48" s="202"/>
      <c r="BE48" s="202"/>
      <c r="BF48" s="202"/>
      <c r="BG48" s="202"/>
    </row>
    <row r="49" spans="2:59" ht="15">
      <c r="B49" s="204" t="s">
        <v>497</v>
      </c>
      <c r="C49" s="204" t="s">
        <v>497</v>
      </c>
      <c r="D49" s="204" t="s">
        <v>497</v>
      </c>
      <c r="E49" s="204" t="s">
        <v>497</v>
      </c>
      <c r="F49" s="204" t="s">
        <v>497</v>
      </c>
      <c r="G49" s="204" t="s">
        <v>497</v>
      </c>
      <c r="H49" s="204" t="s">
        <v>497</v>
      </c>
      <c r="I49" s="204" t="s">
        <v>497</v>
      </c>
      <c r="J49" s="205" t="s">
        <v>497</v>
      </c>
      <c r="K49" s="205" t="s">
        <v>497</v>
      </c>
      <c r="L49" s="204" t="s">
        <v>497</v>
      </c>
      <c r="M49" s="204" t="s">
        <v>497</v>
      </c>
      <c r="N49" s="204"/>
      <c r="O49" s="204"/>
      <c r="P49" s="204"/>
      <c r="Q49" s="204"/>
      <c r="R49" s="204"/>
      <c r="S49" s="204"/>
      <c r="T49" s="204"/>
      <c r="U49" s="204"/>
      <c r="V49" s="204"/>
      <c r="W49" s="204"/>
      <c r="X49" s="204"/>
      <c r="Y49" s="204"/>
      <c r="Z49" s="204"/>
      <c r="AA49" s="204"/>
      <c r="AB49" s="204"/>
      <c r="AC49" s="204"/>
      <c r="AD49" s="204"/>
      <c r="AE49" s="204"/>
      <c r="AF49" s="204"/>
      <c r="AG49" s="204"/>
      <c r="AH49" s="204"/>
      <c r="AI49" s="204"/>
      <c r="AJ49" s="204"/>
      <c r="AK49" s="204"/>
      <c r="AL49" s="204"/>
      <c r="AM49" s="204"/>
      <c r="AN49" s="204"/>
      <c r="AO49" s="204"/>
      <c r="AP49" s="204"/>
      <c r="AQ49" s="204"/>
      <c r="AR49" s="204"/>
      <c r="AS49" s="204"/>
      <c r="AT49" s="204"/>
      <c r="AU49" s="206"/>
      <c r="AV49" s="202"/>
      <c r="AW49" s="202"/>
      <c r="AX49" s="202"/>
      <c r="AY49" s="202"/>
      <c r="AZ49" s="202"/>
      <c r="BA49" s="202"/>
      <c r="BB49" s="202"/>
      <c r="BC49" s="202"/>
      <c r="BD49" s="202"/>
      <c r="BE49" s="202"/>
      <c r="BF49" s="202"/>
      <c r="BG49" s="202"/>
    </row>
    <row r="50" spans="2:59" ht="15">
      <c r="B50" s="204" t="s">
        <v>497</v>
      </c>
      <c r="C50" s="204" t="s">
        <v>497</v>
      </c>
      <c r="D50" s="204" t="s">
        <v>497</v>
      </c>
      <c r="E50" s="204" t="s">
        <v>497</v>
      </c>
      <c r="F50" s="204" t="s">
        <v>497</v>
      </c>
      <c r="G50" s="204" t="s">
        <v>497</v>
      </c>
      <c r="H50" s="204" t="s">
        <v>497</v>
      </c>
      <c r="I50" s="204" t="s">
        <v>497</v>
      </c>
      <c r="J50" s="205" t="s">
        <v>497</v>
      </c>
      <c r="K50" s="205" t="s">
        <v>497</v>
      </c>
      <c r="L50" s="204" t="s">
        <v>497</v>
      </c>
      <c r="M50" s="204" t="s">
        <v>497</v>
      </c>
      <c r="N50" s="204"/>
      <c r="O50" s="204"/>
      <c r="P50" s="204"/>
      <c r="Q50" s="204"/>
      <c r="R50" s="204"/>
      <c r="S50" s="204"/>
      <c r="T50" s="204"/>
      <c r="U50" s="204"/>
      <c r="V50" s="204"/>
      <c r="W50" s="204"/>
      <c r="X50" s="204"/>
      <c r="Y50" s="204"/>
      <c r="Z50" s="204"/>
      <c r="AA50" s="204"/>
      <c r="AB50" s="204"/>
      <c r="AC50" s="204"/>
      <c r="AD50" s="204"/>
      <c r="AE50" s="204"/>
      <c r="AF50" s="204"/>
      <c r="AG50" s="204"/>
      <c r="AH50" s="204"/>
      <c r="AI50" s="204"/>
      <c r="AJ50" s="204"/>
      <c r="AK50" s="204"/>
      <c r="AL50" s="204"/>
      <c r="AM50" s="204"/>
      <c r="AN50" s="204"/>
      <c r="AO50" s="204"/>
      <c r="AP50" s="204"/>
      <c r="AQ50" s="204"/>
      <c r="AR50" s="204"/>
      <c r="AS50" s="204"/>
      <c r="AT50" s="204"/>
      <c r="AU50" s="206"/>
      <c r="AV50" s="202"/>
      <c r="AW50" s="202"/>
      <c r="AX50" s="202"/>
      <c r="AY50" s="202"/>
      <c r="AZ50" s="202"/>
      <c r="BA50" s="202"/>
      <c r="BB50" s="202"/>
      <c r="BC50" s="202"/>
      <c r="BD50" s="202"/>
      <c r="BE50" s="202"/>
      <c r="BF50" s="202"/>
      <c r="BG50" s="202"/>
    </row>
    <row r="51" spans="2:59" ht="15">
      <c r="B51" s="204" t="s">
        <v>497</v>
      </c>
      <c r="C51" s="204" t="s">
        <v>497</v>
      </c>
      <c r="D51" s="204" t="s">
        <v>497</v>
      </c>
      <c r="E51" s="204" t="s">
        <v>497</v>
      </c>
      <c r="F51" s="204" t="s">
        <v>497</v>
      </c>
      <c r="G51" s="204" t="s">
        <v>497</v>
      </c>
      <c r="H51" s="204" t="s">
        <v>497</v>
      </c>
      <c r="I51" s="204" t="s">
        <v>497</v>
      </c>
      <c r="J51" s="205" t="s">
        <v>497</v>
      </c>
      <c r="K51" s="205" t="s">
        <v>497</v>
      </c>
      <c r="L51" s="204" t="s">
        <v>497</v>
      </c>
      <c r="M51" s="204" t="s">
        <v>497</v>
      </c>
      <c r="N51" s="204"/>
      <c r="O51" s="204"/>
      <c r="P51" s="204"/>
      <c r="Q51" s="204"/>
      <c r="R51" s="204"/>
      <c r="S51" s="204"/>
      <c r="T51" s="204"/>
      <c r="U51" s="204"/>
      <c r="V51" s="204"/>
      <c r="W51" s="204"/>
      <c r="X51" s="204"/>
      <c r="Y51" s="204"/>
      <c r="Z51" s="204"/>
      <c r="AA51" s="204"/>
      <c r="AB51" s="204"/>
      <c r="AC51" s="204"/>
      <c r="AD51" s="204"/>
      <c r="AE51" s="204"/>
      <c r="AF51" s="204"/>
      <c r="AG51" s="204"/>
      <c r="AH51" s="204"/>
      <c r="AI51" s="204"/>
      <c r="AJ51" s="204"/>
      <c r="AK51" s="204"/>
      <c r="AL51" s="204"/>
      <c r="AM51" s="204"/>
      <c r="AN51" s="204"/>
      <c r="AO51" s="204"/>
      <c r="AP51" s="204"/>
      <c r="AQ51" s="204"/>
      <c r="AR51" s="204"/>
      <c r="AS51" s="204"/>
      <c r="AT51" s="204"/>
      <c r="AU51" s="206"/>
      <c r="AV51" s="202"/>
      <c r="AW51" s="202"/>
      <c r="AX51" s="202"/>
      <c r="AY51" s="202"/>
      <c r="AZ51" s="202"/>
      <c r="BA51" s="202"/>
      <c r="BB51" s="202"/>
      <c r="BC51" s="202"/>
      <c r="BD51" s="202"/>
      <c r="BE51" s="202"/>
      <c r="BF51" s="202"/>
      <c r="BG51" s="202"/>
    </row>
    <row r="52" spans="2:59" ht="15">
      <c r="B52" s="204" t="s">
        <v>497</v>
      </c>
      <c r="C52" s="204" t="s">
        <v>497</v>
      </c>
      <c r="D52" s="204" t="s">
        <v>497</v>
      </c>
      <c r="E52" s="204" t="s">
        <v>497</v>
      </c>
      <c r="F52" s="204" t="s">
        <v>497</v>
      </c>
      <c r="G52" s="204" t="s">
        <v>497</v>
      </c>
      <c r="H52" s="204" t="s">
        <v>497</v>
      </c>
      <c r="I52" s="204" t="s">
        <v>497</v>
      </c>
      <c r="J52" s="205" t="s">
        <v>497</v>
      </c>
      <c r="K52" s="205" t="s">
        <v>497</v>
      </c>
      <c r="L52" s="204" t="s">
        <v>497</v>
      </c>
      <c r="M52" s="204" t="s">
        <v>497</v>
      </c>
      <c r="N52" s="204"/>
      <c r="O52" s="204"/>
      <c r="P52" s="204"/>
      <c r="Q52" s="204"/>
      <c r="R52" s="204"/>
      <c r="S52" s="204"/>
      <c r="T52" s="204"/>
      <c r="U52" s="204"/>
      <c r="V52" s="204"/>
      <c r="W52" s="204"/>
      <c r="X52" s="204"/>
      <c r="Y52" s="204"/>
      <c r="Z52" s="204"/>
      <c r="AA52" s="204"/>
      <c r="AB52" s="204"/>
      <c r="AC52" s="204"/>
      <c r="AD52" s="204"/>
      <c r="AE52" s="204"/>
      <c r="AF52" s="204"/>
      <c r="AG52" s="204"/>
      <c r="AH52" s="204"/>
      <c r="AI52" s="204"/>
      <c r="AJ52" s="204"/>
      <c r="AK52" s="204"/>
      <c r="AL52" s="204"/>
      <c r="AM52" s="204"/>
      <c r="AN52" s="204"/>
      <c r="AO52" s="204"/>
      <c r="AP52" s="204"/>
      <c r="AQ52" s="204"/>
      <c r="AR52" s="204"/>
      <c r="AS52" s="204"/>
      <c r="AT52" s="204"/>
      <c r="AU52" s="206"/>
      <c r="AV52" s="202"/>
      <c r="AW52" s="202"/>
      <c r="AX52" s="202"/>
      <c r="AY52" s="202"/>
      <c r="AZ52" s="202"/>
      <c r="BA52" s="202"/>
      <c r="BB52" s="202"/>
      <c r="BC52" s="202"/>
      <c r="BD52" s="202"/>
      <c r="BE52" s="202"/>
      <c r="BF52" s="202"/>
      <c r="BG52" s="202"/>
    </row>
    <row r="53" spans="2:59" ht="15">
      <c r="B53" s="204" t="s">
        <v>497</v>
      </c>
      <c r="C53" s="204" t="s">
        <v>497</v>
      </c>
      <c r="D53" s="204" t="s">
        <v>497</v>
      </c>
      <c r="E53" s="204" t="s">
        <v>497</v>
      </c>
      <c r="F53" s="204" t="s">
        <v>497</v>
      </c>
      <c r="G53" s="204" t="s">
        <v>497</v>
      </c>
      <c r="H53" s="204" t="s">
        <v>497</v>
      </c>
      <c r="I53" s="204" t="s">
        <v>497</v>
      </c>
      <c r="J53" s="205" t="s">
        <v>497</v>
      </c>
      <c r="K53" s="205" t="s">
        <v>497</v>
      </c>
      <c r="L53" s="204" t="s">
        <v>497</v>
      </c>
      <c r="M53" s="204" t="s">
        <v>497</v>
      </c>
      <c r="N53" s="204"/>
      <c r="O53" s="204"/>
      <c r="P53" s="204"/>
      <c r="Q53" s="204"/>
      <c r="R53" s="204"/>
      <c r="S53" s="204"/>
      <c r="T53" s="204"/>
      <c r="U53" s="204"/>
      <c r="V53" s="204"/>
      <c r="W53" s="204"/>
      <c r="X53" s="204"/>
      <c r="Y53" s="204"/>
      <c r="Z53" s="204"/>
      <c r="AA53" s="204"/>
      <c r="AB53" s="204"/>
      <c r="AC53" s="204"/>
      <c r="AD53" s="204"/>
      <c r="AE53" s="204"/>
      <c r="AF53" s="204"/>
      <c r="AG53" s="204"/>
      <c r="AH53" s="204"/>
      <c r="AI53" s="204"/>
      <c r="AJ53" s="204"/>
      <c r="AK53" s="204"/>
      <c r="AL53" s="204"/>
      <c r="AM53" s="204"/>
      <c r="AN53" s="204"/>
      <c r="AO53" s="204"/>
      <c r="AP53" s="204"/>
      <c r="AQ53" s="204"/>
      <c r="AR53" s="204"/>
      <c r="AS53" s="204"/>
      <c r="AT53" s="204"/>
      <c r="AU53" s="206"/>
      <c r="AV53" s="202"/>
      <c r="AW53" s="202"/>
      <c r="AX53" s="202"/>
      <c r="AY53" s="202"/>
      <c r="AZ53" s="202"/>
      <c r="BA53" s="202"/>
      <c r="BB53" s="202"/>
      <c r="BC53" s="202"/>
      <c r="BD53" s="202"/>
      <c r="BE53" s="202"/>
      <c r="BF53" s="202"/>
      <c r="BG53" s="202"/>
    </row>
    <row r="54" spans="2:59" ht="15">
      <c r="B54" s="204" t="s">
        <v>497</v>
      </c>
      <c r="C54" s="204" t="s">
        <v>497</v>
      </c>
      <c r="D54" s="204" t="s">
        <v>497</v>
      </c>
      <c r="E54" s="204" t="s">
        <v>497</v>
      </c>
      <c r="F54" s="204" t="s">
        <v>497</v>
      </c>
      <c r="G54" s="204" t="s">
        <v>497</v>
      </c>
      <c r="H54" s="204" t="s">
        <v>497</v>
      </c>
      <c r="I54" s="204" t="s">
        <v>497</v>
      </c>
      <c r="J54" s="205" t="s">
        <v>497</v>
      </c>
      <c r="K54" s="205" t="s">
        <v>497</v>
      </c>
      <c r="L54" s="204" t="s">
        <v>497</v>
      </c>
      <c r="M54" s="204" t="s">
        <v>497</v>
      </c>
      <c r="N54" s="204"/>
      <c r="O54" s="204"/>
      <c r="P54" s="204"/>
      <c r="Q54" s="204"/>
      <c r="R54" s="204"/>
      <c r="S54" s="204"/>
      <c r="T54" s="204"/>
      <c r="U54" s="204"/>
      <c r="V54" s="204"/>
      <c r="W54" s="204"/>
      <c r="X54" s="204"/>
      <c r="Y54" s="204"/>
      <c r="Z54" s="204"/>
      <c r="AA54" s="204"/>
      <c r="AB54" s="204"/>
      <c r="AC54" s="204"/>
      <c r="AD54" s="204"/>
      <c r="AE54" s="204"/>
      <c r="AF54" s="204"/>
      <c r="AG54" s="204"/>
      <c r="AH54" s="204"/>
      <c r="AI54" s="204"/>
      <c r="AJ54" s="204"/>
      <c r="AK54" s="204"/>
      <c r="AL54" s="204"/>
      <c r="AM54" s="204"/>
      <c r="AN54" s="204"/>
      <c r="AO54" s="204"/>
      <c r="AP54" s="204"/>
      <c r="AQ54" s="204"/>
      <c r="AR54" s="204"/>
      <c r="AS54" s="204"/>
      <c r="AT54" s="204"/>
      <c r="AU54" s="206"/>
      <c r="AV54" s="202"/>
      <c r="AW54" s="202"/>
      <c r="AX54" s="202"/>
      <c r="AY54" s="202"/>
      <c r="AZ54" s="202"/>
      <c r="BA54" s="202"/>
      <c r="BB54" s="202"/>
      <c r="BC54" s="202"/>
      <c r="BD54" s="202"/>
      <c r="BE54" s="202"/>
      <c r="BF54" s="202"/>
      <c r="BG54" s="202"/>
    </row>
    <row r="55" spans="2:59" ht="15">
      <c r="B55" s="204" t="s">
        <v>497</v>
      </c>
      <c r="C55" s="204" t="s">
        <v>497</v>
      </c>
      <c r="D55" s="204" t="s">
        <v>497</v>
      </c>
      <c r="E55" s="204" t="s">
        <v>497</v>
      </c>
      <c r="F55" s="204" t="s">
        <v>497</v>
      </c>
      <c r="G55" s="204" t="s">
        <v>497</v>
      </c>
      <c r="H55" s="204" t="s">
        <v>497</v>
      </c>
      <c r="I55" s="204" t="s">
        <v>497</v>
      </c>
      <c r="J55" s="205" t="s">
        <v>497</v>
      </c>
      <c r="K55" s="205" t="s">
        <v>497</v>
      </c>
      <c r="L55" s="204" t="s">
        <v>497</v>
      </c>
      <c r="M55" s="204" t="s">
        <v>497</v>
      </c>
      <c r="N55" s="204"/>
      <c r="O55" s="204"/>
      <c r="P55" s="204"/>
      <c r="Q55" s="204"/>
      <c r="R55" s="204"/>
      <c r="S55" s="204"/>
      <c r="T55" s="204"/>
      <c r="U55" s="204"/>
      <c r="V55" s="204"/>
      <c r="W55" s="204"/>
      <c r="X55" s="204"/>
      <c r="Y55" s="204"/>
      <c r="Z55" s="204"/>
      <c r="AA55" s="204"/>
      <c r="AB55" s="204"/>
      <c r="AC55" s="204"/>
      <c r="AD55" s="204"/>
      <c r="AE55" s="204"/>
      <c r="AF55" s="204"/>
      <c r="AG55" s="204"/>
      <c r="AH55" s="204"/>
      <c r="AI55" s="204"/>
      <c r="AJ55" s="204"/>
      <c r="AK55" s="204"/>
      <c r="AL55" s="204"/>
      <c r="AM55" s="204"/>
      <c r="AN55" s="204"/>
      <c r="AO55" s="204"/>
      <c r="AP55" s="204"/>
      <c r="AQ55" s="204"/>
      <c r="AR55" s="204"/>
      <c r="AS55" s="204"/>
      <c r="AT55" s="204"/>
      <c r="AU55" s="206"/>
      <c r="AV55" s="202"/>
      <c r="AW55" s="202"/>
      <c r="AX55" s="202"/>
      <c r="AY55" s="202"/>
      <c r="AZ55" s="202"/>
      <c r="BA55" s="202"/>
      <c r="BB55" s="202"/>
      <c r="BC55" s="202"/>
      <c r="BD55" s="202"/>
      <c r="BE55" s="202"/>
      <c r="BF55" s="202"/>
      <c r="BG55" s="202"/>
    </row>
    <row r="56" spans="2:59" ht="15">
      <c r="B56" s="204" t="s">
        <v>497</v>
      </c>
      <c r="C56" s="204" t="s">
        <v>497</v>
      </c>
      <c r="D56" s="204" t="s">
        <v>497</v>
      </c>
      <c r="E56" s="204" t="s">
        <v>497</v>
      </c>
      <c r="F56" s="204" t="s">
        <v>497</v>
      </c>
      <c r="G56" s="204" t="s">
        <v>497</v>
      </c>
      <c r="H56" s="204" t="s">
        <v>497</v>
      </c>
      <c r="I56" s="204" t="s">
        <v>497</v>
      </c>
      <c r="J56" s="205" t="s">
        <v>497</v>
      </c>
      <c r="K56" s="205" t="s">
        <v>497</v>
      </c>
      <c r="L56" s="204" t="s">
        <v>497</v>
      </c>
      <c r="M56" s="204" t="s">
        <v>497</v>
      </c>
      <c r="N56" s="204"/>
      <c r="O56" s="204"/>
      <c r="P56" s="204"/>
      <c r="Q56" s="204"/>
      <c r="R56" s="204"/>
      <c r="S56" s="204"/>
      <c r="T56" s="204"/>
      <c r="U56" s="204"/>
      <c r="V56" s="204"/>
      <c r="W56" s="204"/>
      <c r="X56" s="204"/>
      <c r="Y56" s="204"/>
      <c r="Z56" s="204"/>
      <c r="AA56" s="204"/>
      <c r="AB56" s="204"/>
      <c r="AC56" s="204"/>
      <c r="AD56" s="204"/>
      <c r="AE56" s="204"/>
      <c r="AF56" s="204"/>
      <c r="AG56" s="204"/>
      <c r="AH56" s="204"/>
      <c r="AI56" s="204"/>
      <c r="AJ56" s="204"/>
      <c r="AK56" s="204"/>
      <c r="AL56" s="204"/>
      <c r="AM56" s="204"/>
      <c r="AN56" s="204"/>
      <c r="AO56" s="204"/>
      <c r="AP56" s="204"/>
      <c r="AQ56" s="204"/>
      <c r="AR56" s="204"/>
      <c r="AS56" s="204"/>
      <c r="AT56" s="204"/>
      <c r="AU56" s="206"/>
      <c r="AV56" s="202"/>
      <c r="AW56" s="202"/>
      <c r="AX56" s="202"/>
      <c r="AY56" s="202"/>
      <c r="AZ56" s="202"/>
      <c r="BA56" s="202"/>
      <c r="BB56" s="202"/>
      <c r="BC56" s="202"/>
      <c r="BD56" s="202"/>
      <c r="BE56" s="202"/>
      <c r="BF56" s="202"/>
      <c r="BG56" s="202"/>
    </row>
    <row r="57" spans="2:59" ht="15">
      <c r="B57" s="204" t="s">
        <v>497</v>
      </c>
      <c r="C57" s="204" t="s">
        <v>497</v>
      </c>
      <c r="D57" s="204" t="s">
        <v>497</v>
      </c>
      <c r="E57" s="204" t="s">
        <v>497</v>
      </c>
      <c r="F57" s="204" t="s">
        <v>497</v>
      </c>
      <c r="G57" s="204" t="s">
        <v>497</v>
      </c>
      <c r="H57" s="204" t="s">
        <v>497</v>
      </c>
      <c r="I57" s="204" t="s">
        <v>497</v>
      </c>
      <c r="J57" s="205" t="s">
        <v>497</v>
      </c>
      <c r="K57" s="205" t="s">
        <v>497</v>
      </c>
      <c r="L57" s="204" t="s">
        <v>497</v>
      </c>
      <c r="M57" s="204" t="s">
        <v>497</v>
      </c>
      <c r="N57" s="204"/>
      <c r="O57" s="204"/>
      <c r="P57" s="204"/>
      <c r="Q57" s="204"/>
      <c r="R57" s="204"/>
      <c r="S57" s="204"/>
      <c r="T57" s="204"/>
      <c r="U57" s="204"/>
      <c r="V57" s="204"/>
      <c r="W57" s="204"/>
      <c r="X57" s="204"/>
      <c r="Y57" s="204"/>
      <c r="Z57" s="204"/>
      <c r="AA57" s="204"/>
      <c r="AB57" s="204"/>
      <c r="AC57" s="204"/>
      <c r="AD57" s="204"/>
      <c r="AE57" s="204"/>
      <c r="AF57" s="204"/>
      <c r="AG57" s="204"/>
      <c r="AH57" s="204"/>
      <c r="AI57" s="204"/>
      <c r="AJ57" s="204"/>
      <c r="AK57" s="204"/>
      <c r="AL57" s="204"/>
      <c r="AM57" s="204"/>
      <c r="AN57" s="204"/>
      <c r="AO57" s="204"/>
      <c r="AP57" s="204"/>
      <c r="AQ57" s="204"/>
      <c r="AR57" s="204"/>
      <c r="AS57" s="204"/>
      <c r="AT57" s="204"/>
      <c r="AU57" s="206"/>
      <c r="AV57" s="202"/>
      <c r="AW57" s="202"/>
      <c r="AX57" s="202"/>
      <c r="AY57" s="202"/>
      <c r="AZ57" s="202"/>
      <c r="BA57" s="202"/>
      <c r="BB57" s="202"/>
      <c r="BC57" s="202"/>
      <c r="BD57" s="202"/>
      <c r="BE57" s="202"/>
      <c r="BF57" s="202"/>
      <c r="BG57" s="202"/>
    </row>
    <row r="58" spans="2:59" ht="15">
      <c r="B58" s="204" t="s">
        <v>497</v>
      </c>
      <c r="C58" s="204" t="s">
        <v>497</v>
      </c>
      <c r="D58" s="204" t="s">
        <v>497</v>
      </c>
      <c r="E58" s="204" t="s">
        <v>497</v>
      </c>
      <c r="F58" s="204" t="s">
        <v>497</v>
      </c>
      <c r="G58" s="204" t="s">
        <v>497</v>
      </c>
      <c r="H58" s="204" t="s">
        <v>497</v>
      </c>
      <c r="I58" s="204" t="s">
        <v>497</v>
      </c>
      <c r="J58" s="205" t="s">
        <v>497</v>
      </c>
      <c r="K58" s="205" t="s">
        <v>497</v>
      </c>
      <c r="L58" s="204" t="s">
        <v>497</v>
      </c>
      <c r="M58" s="204" t="s">
        <v>497</v>
      </c>
      <c r="N58" s="204"/>
      <c r="O58" s="204"/>
      <c r="P58" s="204"/>
      <c r="Q58" s="204"/>
      <c r="R58" s="204"/>
      <c r="S58" s="204"/>
      <c r="T58" s="204"/>
      <c r="U58" s="204"/>
      <c r="V58" s="204"/>
      <c r="W58" s="204"/>
      <c r="X58" s="204"/>
      <c r="Y58" s="204"/>
      <c r="Z58" s="204"/>
      <c r="AA58" s="204"/>
      <c r="AB58" s="204"/>
      <c r="AC58" s="204"/>
      <c r="AD58" s="204"/>
      <c r="AE58" s="204"/>
      <c r="AF58" s="204"/>
      <c r="AG58" s="204"/>
      <c r="AH58" s="204"/>
      <c r="AI58" s="204"/>
      <c r="AJ58" s="204"/>
      <c r="AK58" s="204"/>
      <c r="AL58" s="204"/>
      <c r="AM58" s="204"/>
      <c r="AN58" s="204"/>
      <c r="AO58" s="204"/>
      <c r="AP58" s="204"/>
      <c r="AQ58" s="204"/>
      <c r="AR58" s="204"/>
      <c r="AS58" s="204"/>
      <c r="AT58" s="204"/>
      <c r="AU58" s="206"/>
      <c r="AV58" s="202"/>
      <c r="AW58" s="202"/>
      <c r="AX58" s="202"/>
      <c r="AY58" s="202"/>
      <c r="AZ58" s="202"/>
      <c r="BA58" s="202"/>
      <c r="BB58" s="202"/>
      <c r="BC58" s="202"/>
      <c r="BD58" s="202"/>
      <c r="BE58" s="202"/>
      <c r="BF58" s="202"/>
      <c r="BG58" s="202"/>
    </row>
    <row r="59" spans="2:59" ht="15">
      <c r="B59" s="204" t="s">
        <v>497</v>
      </c>
      <c r="C59" s="204" t="s">
        <v>497</v>
      </c>
      <c r="D59" s="204" t="s">
        <v>497</v>
      </c>
      <c r="E59" s="204" t="s">
        <v>497</v>
      </c>
      <c r="F59" s="204" t="s">
        <v>497</v>
      </c>
      <c r="G59" s="204" t="s">
        <v>497</v>
      </c>
      <c r="H59" s="204" t="s">
        <v>497</v>
      </c>
      <c r="I59" s="204" t="s">
        <v>497</v>
      </c>
      <c r="J59" s="205" t="s">
        <v>497</v>
      </c>
      <c r="K59" s="205" t="s">
        <v>497</v>
      </c>
      <c r="L59" s="204" t="s">
        <v>497</v>
      </c>
      <c r="M59" s="204" t="s">
        <v>497</v>
      </c>
      <c r="N59" s="204"/>
      <c r="O59" s="204"/>
      <c r="P59" s="204"/>
      <c r="Q59" s="204"/>
      <c r="R59" s="204"/>
      <c r="S59" s="204"/>
      <c r="T59" s="204"/>
      <c r="U59" s="204"/>
      <c r="V59" s="204"/>
      <c r="W59" s="204"/>
      <c r="X59" s="204"/>
      <c r="Y59" s="204"/>
      <c r="Z59" s="204"/>
      <c r="AA59" s="204"/>
      <c r="AB59" s="204"/>
      <c r="AC59" s="204"/>
      <c r="AD59" s="204"/>
      <c r="AE59" s="204"/>
      <c r="AF59" s="204"/>
      <c r="AG59" s="204"/>
      <c r="AH59" s="204"/>
      <c r="AI59" s="204"/>
      <c r="AJ59" s="204"/>
      <c r="AK59" s="204"/>
      <c r="AL59" s="204"/>
      <c r="AM59" s="204"/>
      <c r="AN59" s="204"/>
      <c r="AO59" s="204"/>
      <c r="AP59" s="204"/>
      <c r="AQ59" s="204"/>
      <c r="AR59" s="204"/>
      <c r="AS59" s="204"/>
      <c r="AT59" s="204"/>
      <c r="AU59" s="206"/>
      <c r="AV59" s="202"/>
      <c r="AW59" s="202"/>
      <c r="AX59" s="202"/>
      <c r="AY59" s="202"/>
      <c r="AZ59" s="202"/>
      <c r="BA59" s="202"/>
      <c r="BB59" s="202"/>
      <c r="BC59" s="202"/>
      <c r="BD59" s="202"/>
      <c r="BE59" s="202"/>
      <c r="BF59" s="202"/>
      <c r="BG59" s="202"/>
    </row>
    <row r="60" spans="2:59" ht="15">
      <c r="B60" s="204" t="s">
        <v>497</v>
      </c>
      <c r="C60" s="204" t="s">
        <v>497</v>
      </c>
      <c r="D60" s="204" t="s">
        <v>497</v>
      </c>
      <c r="E60" s="204" t="s">
        <v>497</v>
      </c>
      <c r="F60" s="204" t="s">
        <v>497</v>
      </c>
      <c r="G60" s="204" t="s">
        <v>497</v>
      </c>
      <c r="H60" s="204" t="s">
        <v>497</v>
      </c>
      <c r="I60" s="204" t="s">
        <v>497</v>
      </c>
      <c r="J60" s="205" t="s">
        <v>497</v>
      </c>
      <c r="K60" s="205" t="s">
        <v>497</v>
      </c>
      <c r="L60" s="204" t="s">
        <v>497</v>
      </c>
      <c r="M60" s="204" t="s">
        <v>497</v>
      </c>
      <c r="N60" s="204"/>
      <c r="O60" s="204"/>
      <c r="P60" s="204"/>
      <c r="Q60" s="204"/>
      <c r="R60" s="204"/>
      <c r="S60" s="204"/>
      <c r="T60" s="204"/>
      <c r="U60" s="204"/>
      <c r="V60" s="204"/>
      <c r="W60" s="204"/>
      <c r="X60" s="204"/>
      <c r="Y60" s="204"/>
      <c r="Z60" s="204"/>
      <c r="AA60" s="204"/>
      <c r="AB60" s="204"/>
      <c r="AC60" s="204"/>
      <c r="AD60" s="204"/>
      <c r="AE60" s="204"/>
      <c r="AF60" s="204"/>
      <c r="AG60" s="204"/>
      <c r="AH60" s="204"/>
      <c r="AI60" s="204"/>
      <c r="AJ60" s="204"/>
      <c r="AK60" s="204"/>
      <c r="AL60" s="204"/>
      <c r="AM60" s="204"/>
      <c r="AN60" s="204"/>
      <c r="AO60" s="204"/>
      <c r="AP60" s="204"/>
      <c r="AQ60" s="204"/>
      <c r="AR60" s="204"/>
      <c r="AS60" s="204"/>
      <c r="AT60" s="204"/>
      <c r="AU60" s="206"/>
      <c r="AV60" s="202"/>
      <c r="AW60" s="202"/>
      <c r="AX60" s="202"/>
      <c r="AY60" s="202"/>
      <c r="AZ60" s="202"/>
      <c r="BA60" s="202"/>
      <c r="BB60" s="202"/>
      <c r="BC60" s="202"/>
      <c r="BD60" s="202"/>
      <c r="BE60" s="202"/>
      <c r="BF60" s="202"/>
      <c r="BG60" s="202"/>
    </row>
    <row r="61" spans="2:59" ht="15">
      <c r="B61" s="204" t="s">
        <v>497</v>
      </c>
      <c r="C61" s="204" t="s">
        <v>497</v>
      </c>
      <c r="D61" s="204" t="s">
        <v>497</v>
      </c>
      <c r="E61" s="204" t="s">
        <v>497</v>
      </c>
      <c r="F61" s="204" t="s">
        <v>497</v>
      </c>
      <c r="G61" s="204" t="s">
        <v>497</v>
      </c>
      <c r="H61" s="204" t="s">
        <v>497</v>
      </c>
      <c r="I61" s="204" t="s">
        <v>497</v>
      </c>
      <c r="J61" s="205" t="s">
        <v>497</v>
      </c>
      <c r="K61" s="205" t="s">
        <v>497</v>
      </c>
      <c r="L61" s="204" t="s">
        <v>497</v>
      </c>
      <c r="M61" s="204" t="s">
        <v>497</v>
      </c>
      <c r="N61" s="204"/>
      <c r="O61" s="204"/>
      <c r="P61" s="204"/>
      <c r="Q61" s="204"/>
      <c r="R61" s="204"/>
      <c r="S61" s="204"/>
      <c r="T61" s="204"/>
      <c r="U61" s="204"/>
      <c r="V61" s="204"/>
      <c r="W61" s="204"/>
      <c r="X61" s="204"/>
      <c r="Y61" s="204"/>
      <c r="Z61" s="204"/>
      <c r="AA61" s="204"/>
      <c r="AB61" s="204"/>
      <c r="AC61" s="204"/>
      <c r="AD61" s="204"/>
      <c r="AE61" s="204"/>
      <c r="AF61" s="204"/>
      <c r="AG61" s="204"/>
      <c r="AH61" s="204"/>
      <c r="AI61" s="204"/>
      <c r="AJ61" s="204"/>
      <c r="AK61" s="204"/>
      <c r="AL61" s="204"/>
      <c r="AM61" s="204"/>
      <c r="AN61" s="204"/>
      <c r="AO61" s="204"/>
      <c r="AP61" s="204"/>
      <c r="AQ61" s="204"/>
      <c r="AR61" s="204"/>
      <c r="AS61" s="204"/>
      <c r="AT61" s="204"/>
      <c r="AU61" s="206"/>
      <c r="AV61" s="202"/>
      <c r="AW61" s="202"/>
      <c r="AX61" s="202"/>
      <c r="AY61" s="202"/>
      <c r="AZ61" s="202"/>
      <c r="BA61" s="202"/>
      <c r="BB61" s="202"/>
      <c r="BC61" s="202"/>
      <c r="BD61" s="202"/>
      <c r="BE61" s="202"/>
      <c r="BF61" s="202"/>
      <c r="BG61" s="202"/>
    </row>
    <row r="62" spans="2:59" ht="15">
      <c r="B62" s="204" t="s">
        <v>497</v>
      </c>
      <c r="C62" s="204" t="s">
        <v>497</v>
      </c>
      <c r="D62" s="204" t="s">
        <v>497</v>
      </c>
      <c r="E62" s="204" t="s">
        <v>497</v>
      </c>
      <c r="F62" s="204" t="s">
        <v>497</v>
      </c>
      <c r="G62" s="204" t="s">
        <v>497</v>
      </c>
      <c r="H62" s="204" t="s">
        <v>497</v>
      </c>
      <c r="I62" s="204" t="s">
        <v>497</v>
      </c>
      <c r="J62" s="205" t="s">
        <v>497</v>
      </c>
      <c r="K62" s="205" t="s">
        <v>497</v>
      </c>
      <c r="L62" s="204" t="s">
        <v>497</v>
      </c>
      <c r="M62" s="204" t="s">
        <v>497</v>
      </c>
      <c r="N62" s="204"/>
      <c r="O62" s="204"/>
      <c r="P62" s="204"/>
      <c r="Q62" s="204"/>
      <c r="R62" s="204"/>
      <c r="S62" s="204"/>
      <c r="T62" s="204"/>
      <c r="U62" s="204"/>
      <c r="V62" s="204"/>
      <c r="W62" s="204"/>
      <c r="X62" s="204"/>
      <c r="Y62" s="204"/>
      <c r="Z62" s="204"/>
      <c r="AA62" s="204"/>
      <c r="AB62" s="204"/>
      <c r="AC62" s="204"/>
      <c r="AD62" s="204"/>
      <c r="AE62" s="204"/>
      <c r="AF62" s="204"/>
      <c r="AG62" s="204"/>
      <c r="AH62" s="204"/>
      <c r="AI62" s="204"/>
      <c r="AJ62" s="204"/>
      <c r="AK62" s="204"/>
      <c r="AL62" s="204"/>
      <c r="AM62" s="204"/>
      <c r="AN62" s="204"/>
      <c r="AO62" s="204"/>
      <c r="AP62" s="204"/>
      <c r="AQ62" s="204"/>
      <c r="AR62" s="204"/>
      <c r="AS62" s="204"/>
      <c r="AT62" s="204"/>
      <c r="AU62" s="206"/>
      <c r="AV62" s="202"/>
      <c r="AW62" s="202"/>
      <c r="AX62" s="202"/>
      <c r="AY62" s="202"/>
      <c r="AZ62" s="202"/>
      <c r="BA62" s="202"/>
      <c r="BB62" s="202"/>
      <c r="BC62" s="202"/>
      <c r="BD62" s="202"/>
      <c r="BE62" s="202"/>
      <c r="BF62" s="202"/>
      <c r="BG62" s="202"/>
    </row>
    <row r="63" spans="2:59" ht="15">
      <c r="B63" s="204" t="s">
        <v>497</v>
      </c>
      <c r="C63" s="204" t="s">
        <v>497</v>
      </c>
      <c r="D63" s="204" t="s">
        <v>497</v>
      </c>
      <c r="E63" s="204" t="s">
        <v>497</v>
      </c>
      <c r="F63" s="204" t="s">
        <v>497</v>
      </c>
      <c r="G63" s="204" t="s">
        <v>497</v>
      </c>
      <c r="H63" s="204" t="s">
        <v>497</v>
      </c>
      <c r="I63" s="204" t="s">
        <v>497</v>
      </c>
      <c r="J63" s="205" t="s">
        <v>497</v>
      </c>
      <c r="K63" s="205" t="s">
        <v>497</v>
      </c>
      <c r="L63" s="204" t="s">
        <v>497</v>
      </c>
      <c r="M63" s="204" t="s">
        <v>497</v>
      </c>
      <c r="N63" s="204"/>
      <c r="O63" s="204"/>
      <c r="P63" s="204"/>
      <c r="Q63" s="204"/>
      <c r="R63" s="204"/>
      <c r="S63" s="204"/>
      <c r="T63" s="204"/>
      <c r="U63" s="204"/>
      <c r="V63" s="204"/>
      <c r="W63" s="204"/>
      <c r="X63" s="204"/>
      <c r="Y63" s="204"/>
      <c r="Z63" s="204"/>
      <c r="AA63" s="204"/>
      <c r="AB63" s="204"/>
      <c r="AC63" s="204"/>
      <c r="AD63" s="204"/>
      <c r="AE63" s="204"/>
      <c r="AF63" s="204"/>
      <c r="AG63" s="204"/>
      <c r="AH63" s="204"/>
      <c r="AI63" s="204"/>
      <c r="AJ63" s="204"/>
      <c r="AK63" s="204"/>
      <c r="AL63" s="204"/>
      <c r="AM63" s="204"/>
      <c r="AN63" s="204"/>
      <c r="AO63" s="204"/>
      <c r="AP63" s="204"/>
      <c r="AQ63" s="204"/>
      <c r="AR63" s="204"/>
      <c r="AS63" s="204"/>
      <c r="AT63" s="204"/>
      <c r="AU63" s="206"/>
      <c r="AV63" s="202"/>
      <c r="AW63" s="202"/>
      <c r="AX63" s="202"/>
      <c r="AY63" s="202"/>
      <c r="AZ63" s="202"/>
      <c r="BA63" s="202"/>
      <c r="BB63" s="202"/>
      <c r="BC63" s="202"/>
      <c r="BD63" s="202"/>
      <c r="BE63" s="202"/>
      <c r="BF63" s="202"/>
      <c r="BG63" s="202"/>
    </row>
    <row r="64" spans="2:59" ht="15">
      <c r="B64" s="204" t="s">
        <v>497</v>
      </c>
      <c r="C64" s="204" t="s">
        <v>497</v>
      </c>
      <c r="D64" s="204" t="s">
        <v>497</v>
      </c>
      <c r="E64" s="204" t="s">
        <v>497</v>
      </c>
      <c r="F64" s="204" t="s">
        <v>497</v>
      </c>
      <c r="G64" s="204" t="s">
        <v>497</v>
      </c>
      <c r="H64" s="204" t="s">
        <v>497</v>
      </c>
      <c r="I64" s="204" t="s">
        <v>497</v>
      </c>
      <c r="J64" s="205" t="s">
        <v>497</v>
      </c>
      <c r="K64" s="205" t="s">
        <v>497</v>
      </c>
      <c r="L64" s="204" t="s">
        <v>497</v>
      </c>
      <c r="M64" s="204" t="s">
        <v>497</v>
      </c>
      <c r="N64" s="204"/>
      <c r="O64" s="204"/>
      <c r="P64" s="204"/>
      <c r="Q64" s="204"/>
      <c r="R64" s="204"/>
      <c r="S64" s="204"/>
      <c r="T64" s="204"/>
      <c r="U64" s="204"/>
      <c r="V64" s="204"/>
      <c r="W64" s="204"/>
      <c r="X64" s="204"/>
      <c r="Y64" s="204"/>
      <c r="Z64" s="204"/>
      <c r="AA64" s="204"/>
      <c r="AB64" s="204"/>
      <c r="AC64" s="204"/>
      <c r="AD64" s="204"/>
      <c r="AE64" s="204"/>
      <c r="AF64" s="204"/>
      <c r="AG64" s="204"/>
      <c r="AH64" s="204"/>
      <c r="AI64" s="204"/>
      <c r="AJ64" s="204"/>
      <c r="AK64" s="204"/>
      <c r="AL64" s="204"/>
      <c r="AM64" s="204"/>
      <c r="AN64" s="204"/>
      <c r="AO64" s="204"/>
      <c r="AP64" s="204"/>
      <c r="AQ64" s="204"/>
      <c r="AR64" s="204"/>
      <c r="AS64" s="204"/>
      <c r="AT64" s="204"/>
      <c r="AU64" s="206"/>
      <c r="AV64" s="202"/>
      <c r="AW64" s="202"/>
      <c r="AX64" s="202"/>
      <c r="AY64" s="202"/>
      <c r="AZ64" s="202"/>
      <c r="BA64" s="202"/>
      <c r="BB64" s="202"/>
      <c r="BC64" s="202"/>
      <c r="BD64" s="202"/>
      <c r="BE64" s="202"/>
      <c r="BF64" s="202"/>
      <c r="BG64" s="202"/>
    </row>
    <row r="65" spans="2:59" ht="15">
      <c r="B65" s="204" t="s">
        <v>497</v>
      </c>
      <c r="C65" s="204" t="s">
        <v>497</v>
      </c>
      <c r="D65" s="204" t="s">
        <v>497</v>
      </c>
      <c r="E65" s="204" t="s">
        <v>497</v>
      </c>
      <c r="F65" s="204" t="s">
        <v>497</v>
      </c>
      <c r="G65" s="204" t="s">
        <v>497</v>
      </c>
      <c r="H65" s="204" t="s">
        <v>497</v>
      </c>
      <c r="I65" s="204" t="s">
        <v>497</v>
      </c>
      <c r="J65" s="205" t="s">
        <v>497</v>
      </c>
      <c r="K65" s="205" t="s">
        <v>497</v>
      </c>
      <c r="L65" s="204" t="s">
        <v>497</v>
      </c>
      <c r="M65" s="204" t="s">
        <v>497</v>
      </c>
      <c r="N65" s="204"/>
      <c r="O65" s="204"/>
      <c r="P65" s="204"/>
      <c r="Q65" s="204"/>
      <c r="R65" s="204"/>
      <c r="S65" s="204"/>
      <c r="T65" s="204"/>
      <c r="U65" s="204"/>
      <c r="V65" s="204"/>
      <c r="W65" s="204"/>
      <c r="X65" s="204"/>
      <c r="Y65" s="204"/>
      <c r="Z65" s="204"/>
      <c r="AA65" s="204"/>
      <c r="AB65" s="204"/>
      <c r="AC65" s="204"/>
      <c r="AD65" s="204"/>
      <c r="AE65" s="204"/>
      <c r="AF65" s="204"/>
      <c r="AG65" s="204"/>
      <c r="AH65" s="204"/>
      <c r="AI65" s="204"/>
      <c r="AJ65" s="204"/>
      <c r="AK65" s="204"/>
      <c r="AL65" s="204"/>
      <c r="AM65" s="204"/>
      <c r="AN65" s="204"/>
      <c r="AO65" s="204"/>
      <c r="AP65" s="204"/>
      <c r="AQ65" s="204"/>
      <c r="AR65" s="204"/>
      <c r="AS65" s="204"/>
      <c r="AT65" s="204"/>
      <c r="AU65" s="206"/>
      <c r="AV65" s="202"/>
      <c r="AW65" s="202"/>
      <c r="AX65" s="202"/>
      <c r="AY65" s="202"/>
      <c r="AZ65" s="202"/>
      <c r="BA65" s="202"/>
      <c r="BB65" s="202"/>
      <c r="BC65" s="202"/>
      <c r="BD65" s="202"/>
      <c r="BE65" s="202"/>
      <c r="BF65" s="202"/>
      <c r="BG65" s="202"/>
    </row>
    <row r="66" spans="2:59" ht="15">
      <c r="B66" s="204" t="s">
        <v>497</v>
      </c>
      <c r="C66" s="204" t="s">
        <v>497</v>
      </c>
      <c r="D66" s="204" t="s">
        <v>497</v>
      </c>
      <c r="E66" s="204" t="s">
        <v>497</v>
      </c>
      <c r="F66" s="204" t="s">
        <v>497</v>
      </c>
      <c r="G66" s="204" t="s">
        <v>497</v>
      </c>
      <c r="H66" s="204" t="s">
        <v>497</v>
      </c>
      <c r="I66" s="204" t="s">
        <v>497</v>
      </c>
      <c r="J66" s="205" t="s">
        <v>497</v>
      </c>
      <c r="K66" s="205" t="s">
        <v>497</v>
      </c>
      <c r="L66" s="204" t="s">
        <v>497</v>
      </c>
      <c r="M66" s="204" t="s">
        <v>497</v>
      </c>
      <c r="N66" s="204"/>
      <c r="O66" s="204"/>
      <c r="P66" s="204"/>
      <c r="Q66" s="204"/>
      <c r="R66" s="204"/>
      <c r="S66" s="204"/>
      <c r="T66" s="204"/>
      <c r="U66" s="204"/>
      <c r="V66" s="204"/>
      <c r="W66" s="204"/>
      <c r="X66" s="204"/>
      <c r="Y66" s="204"/>
      <c r="Z66" s="204"/>
      <c r="AA66" s="204"/>
      <c r="AB66" s="204"/>
      <c r="AC66" s="204"/>
      <c r="AD66" s="204"/>
      <c r="AE66" s="204"/>
      <c r="AF66" s="204"/>
      <c r="AG66" s="204"/>
      <c r="AH66" s="204"/>
      <c r="AI66" s="204"/>
      <c r="AJ66" s="204"/>
      <c r="AK66" s="204"/>
      <c r="AL66" s="204"/>
      <c r="AM66" s="204"/>
      <c r="AN66" s="204"/>
      <c r="AO66" s="204"/>
      <c r="AP66" s="204"/>
      <c r="AQ66" s="204"/>
      <c r="AR66" s="204"/>
      <c r="AS66" s="204"/>
      <c r="AT66" s="204"/>
      <c r="AU66" s="206"/>
      <c r="AV66" s="202"/>
      <c r="AW66" s="202"/>
      <c r="AX66" s="202"/>
      <c r="AY66" s="202"/>
      <c r="AZ66" s="202"/>
      <c r="BA66" s="202"/>
      <c r="BB66" s="202"/>
      <c r="BC66" s="202"/>
      <c r="BD66" s="202"/>
      <c r="BE66" s="202"/>
      <c r="BF66" s="202"/>
      <c r="BG66" s="202"/>
    </row>
    <row r="67" spans="2:59" ht="15">
      <c r="B67" s="204" t="s">
        <v>497</v>
      </c>
      <c r="C67" s="204" t="s">
        <v>497</v>
      </c>
      <c r="D67" s="204" t="s">
        <v>497</v>
      </c>
      <c r="E67" s="204" t="s">
        <v>497</v>
      </c>
      <c r="F67" s="204" t="s">
        <v>497</v>
      </c>
      <c r="G67" s="204" t="s">
        <v>497</v>
      </c>
      <c r="H67" s="204" t="s">
        <v>497</v>
      </c>
      <c r="I67" s="204" t="s">
        <v>497</v>
      </c>
      <c r="J67" s="205" t="s">
        <v>497</v>
      </c>
      <c r="K67" s="205" t="s">
        <v>497</v>
      </c>
      <c r="L67" s="204" t="s">
        <v>497</v>
      </c>
      <c r="M67" s="204" t="s">
        <v>497</v>
      </c>
      <c r="N67" s="204"/>
      <c r="O67" s="204"/>
      <c r="P67" s="204"/>
      <c r="Q67" s="204"/>
      <c r="R67" s="204"/>
      <c r="S67" s="204"/>
      <c r="T67" s="204"/>
      <c r="U67" s="204"/>
      <c r="V67" s="204"/>
      <c r="W67" s="204"/>
      <c r="X67" s="204"/>
      <c r="Y67" s="204"/>
      <c r="Z67" s="204"/>
      <c r="AA67" s="204"/>
      <c r="AB67" s="204"/>
      <c r="AC67" s="204"/>
      <c r="AD67" s="204"/>
      <c r="AE67" s="204"/>
      <c r="AF67" s="204"/>
      <c r="AG67" s="204"/>
      <c r="AH67" s="204"/>
      <c r="AI67" s="204"/>
      <c r="AJ67" s="204"/>
      <c r="AK67" s="204"/>
      <c r="AL67" s="204"/>
      <c r="AM67" s="204"/>
      <c r="AN67" s="204"/>
      <c r="AO67" s="204"/>
      <c r="AP67" s="204"/>
      <c r="AQ67" s="204"/>
      <c r="AR67" s="204"/>
      <c r="AS67" s="204"/>
      <c r="AT67" s="204"/>
      <c r="AU67" s="206"/>
      <c r="AV67" s="202"/>
      <c r="AW67" s="202"/>
      <c r="AX67" s="202"/>
      <c r="AY67" s="202"/>
      <c r="AZ67" s="202"/>
      <c r="BA67" s="202"/>
      <c r="BB67" s="202"/>
      <c r="BC67" s="202"/>
      <c r="BD67" s="202"/>
      <c r="BE67" s="202"/>
      <c r="BF67" s="202"/>
      <c r="BG67" s="202"/>
    </row>
    <row r="68" spans="2:59" ht="15">
      <c r="B68" s="204" t="s">
        <v>497</v>
      </c>
      <c r="C68" s="204" t="s">
        <v>497</v>
      </c>
      <c r="D68" s="204" t="s">
        <v>497</v>
      </c>
      <c r="E68" s="204" t="s">
        <v>497</v>
      </c>
      <c r="F68" s="204" t="s">
        <v>497</v>
      </c>
      <c r="G68" s="204" t="s">
        <v>497</v>
      </c>
      <c r="H68" s="204" t="s">
        <v>497</v>
      </c>
      <c r="I68" s="204" t="s">
        <v>497</v>
      </c>
      <c r="J68" s="205" t="s">
        <v>497</v>
      </c>
      <c r="K68" s="205" t="s">
        <v>497</v>
      </c>
      <c r="L68" s="204" t="s">
        <v>497</v>
      </c>
      <c r="M68" s="204" t="s">
        <v>497</v>
      </c>
      <c r="N68" s="204"/>
      <c r="O68" s="204"/>
      <c r="P68" s="204"/>
      <c r="Q68" s="204"/>
      <c r="R68" s="204"/>
      <c r="S68" s="204"/>
      <c r="T68" s="204"/>
      <c r="U68" s="204"/>
      <c r="V68" s="204"/>
      <c r="W68" s="204"/>
      <c r="X68" s="204"/>
      <c r="Y68" s="204"/>
      <c r="Z68" s="204"/>
      <c r="AA68" s="204"/>
      <c r="AB68" s="204"/>
      <c r="AC68" s="204"/>
      <c r="AD68" s="204"/>
      <c r="AE68" s="204"/>
      <c r="AF68" s="204"/>
      <c r="AG68" s="204"/>
      <c r="AH68" s="204"/>
      <c r="AI68" s="204"/>
      <c r="AJ68" s="204"/>
      <c r="AK68" s="204"/>
      <c r="AL68" s="204"/>
      <c r="AM68" s="204"/>
      <c r="AN68" s="204"/>
      <c r="AO68" s="204"/>
      <c r="AP68" s="204"/>
      <c r="AQ68" s="204"/>
      <c r="AR68" s="204"/>
      <c r="AS68" s="204"/>
      <c r="AT68" s="204"/>
      <c r="AU68" s="206"/>
      <c r="AV68" s="202"/>
      <c r="AW68" s="202"/>
      <c r="AX68" s="202"/>
      <c r="AY68" s="202"/>
      <c r="AZ68" s="202"/>
      <c r="BA68" s="202"/>
      <c r="BB68" s="202"/>
      <c r="BC68" s="202"/>
      <c r="BD68" s="202"/>
      <c r="BE68" s="202"/>
      <c r="BF68" s="202"/>
      <c r="BG68" s="202"/>
    </row>
    <row r="69" spans="2:59" ht="15">
      <c r="B69" s="204" t="s">
        <v>497</v>
      </c>
      <c r="C69" s="204" t="s">
        <v>497</v>
      </c>
      <c r="D69" s="204" t="s">
        <v>497</v>
      </c>
      <c r="E69" s="204" t="s">
        <v>497</v>
      </c>
      <c r="F69" s="204" t="s">
        <v>497</v>
      </c>
      <c r="G69" s="204" t="s">
        <v>497</v>
      </c>
      <c r="H69" s="204" t="s">
        <v>497</v>
      </c>
      <c r="I69" s="204" t="s">
        <v>497</v>
      </c>
      <c r="J69" s="205" t="s">
        <v>497</v>
      </c>
      <c r="K69" s="205" t="s">
        <v>497</v>
      </c>
      <c r="L69" s="204" t="s">
        <v>497</v>
      </c>
      <c r="M69" s="204" t="s">
        <v>497</v>
      </c>
      <c r="N69" s="204"/>
      <c r="O69" s="204"/>
      <c r="P69" s="204"/>
      <c r="Q69" s="204"/>
      <c r="R69" s="204"/>
      <c r="S69" s="204"/>
      <c r="T69" s="204"/>
      <c r="U69" s="204"/>
      <c r="V69" s="204"/>
      <c r="W69" s="204"/>
      <c r="X69" s="204"/>
      <c r="Y69" s="204"/>
      <c r="Z69" s="204"/>
      <c r="AA69" s="204"/>
      <c r="AB69" s="204"/>
      <c r="AC69" s="204"/>
      <c r="AD69" s="204"/>
      <c r="AE69" s="204"/>
      <c r="AF69" s="204"/>
      <c r="AG69" s="204"/>
      <c r="AH69" s="204"/>
      <c r="AI69" s="204"/>
      <c r="AJ69" s="204"/>
      <c r="AK69" s="204"/>
      <c r="AL69" s="204"/>
      <c r="AM69" s="204"/>
      <c r="AN69" s="204"/>
      <c r="AO69" s="204"/>
      <c r="AP69" s="204"/>
      <c r="AQ69" s="204"/>
      <c r="AR69" s="204"/>
      <c r="AS69" s="204"/>
      <c r="AT69" s="204"/>
      <c r="AU69" s="206"/>
      <c r="AV69" s="202"/>
      <c r="AW69" s="202"/>
      <c r="AX69" s="202"/>
      <c r="AY69" s="202"/>
      <c r="AZ69" s="202"/>
      <c r="BA69" s="202"/>
      <c r="BB69" s="202"/>
      <c r="BC69" s="202"/>
      <c r="BD69" s="202"/>
      <c r="BE69" s="202"/>
      <c r="BF69" s="202"/>
      <c r="BG69" s="202"/>
    </row>
    <row r="70" spans="2:59" ht="15">
      <c r="B70" s="204" t="s">
        <v>497</v>
      </c>
      <c r="C70" s="204" t="s">
        <v>497</v>
      </c>
      <c r="D70" s="204" t="s">
        <v>497</v>
      </c>
      <c r="E70" s="204" t="s">
        <v>497</v>
      </c>
      <c r="F70" s="204" t="s">
        <v>497</v>
      </c>
      <c r="G70" s="204" t="s">
        <v>497</v>
      </c>
      <c r="H70" s="204" t="s">
        <v>497</v>
      </c>
      <c r="I70" s="204" t="s">
        <v>497</v>
      </c>
      <c r="J70" s="205" t="s">
        <v>497</v>
      </c>
      <c r="K70" s="205" t="s">
        <v>497</v>
      </c>
      <c r="L70" s="204" t="s">
        <v>497</v>
      </c>
      <c r="M70" s="204" t="s">
        <v>497</v>
      </c>
      <c r="N70" s="204"/>
      <c r="O70" s="204"/>
      <c r="P70" s="204"/>
      <c r="Q70" s="204"/>
      <c r="R70" s="204"/>
      <c r="S70" s="204"/>
      <c r="T70" s="204"/>
      <c r="U70" s="204"/>
      <c r="V70" s="204"/>
      <c r="W70" s="204"/>
      <c r="X70" s="204"/>
      <c r="Y70" s="204"/>
      <c r="Z70" s="204"/>
      <c r="AA70" s="204"/>
      <c r="AB70" s="204"/>
      <c r="AC70" s="204"/>
      <c r="AD70" s="204"/>
      <c r="AE70" s="204"/>
      <c r="AF70" s="204"/>
      <c r="AG70" s="204"/>
      <c r="AH70" s="204"/>
      <c r="AI70" s="204"/>
      <c r="AJ70" s="204"/>
      <c r="AK70" s="204"/>
      <c r="AL70" s="204"/>
      <c r="AM70" s="204"/>
      <c r="AN70" s="204"/>
      <c r="AO70" s="204"/>
      <c r="AP70" s="204"/>
      <c r="AQ70" s="204"/>
      <c r="AR70" s="204"/>
      <c r="AS70" s="204"/>
      <c r="AT70" s="204"/>
      <c r="AU70" s="206"/>
      <c r="AV70" s="202"/>
      <c r="AW70" s="202"/>
      <c r="AX70" s="202"/>
      <c r="AY70" s="202"/>
      <c r="AZ70" s="202"/>
      <c r="BA70" s="202"/>
      <c r="BB70" s="202"/>
      <c r="BC70" s="202"/>
      <c r="BD70" s="202"/>
      <c r="BE70" s="202"/>
      <c r="BF70" s="202"/>
      <c r="BG70" s="202"/>
    </row>
    <row r="71" spans="2:59" ht="15">
      <c r="B71" s="204" t="s">
        <v>497</v>
      </c>
      <c r="C71" s="204" t="s">
        <v>497</v>
      </c>
      <c r="D71" s="204" t="s">
        <v>497</v>
      </c>
      <c r="E71" s="204" t="s">
        <v>497</v>
      </c>
      <c r="F71" s="204" t="s">
        <v>497</v>
      </c>
      <c r="G71" s="204" t="s">
        <v>497</v>
      </c>
      <c r="H71" s="204" t="s">
        <v>497</v>
      </c>
      <c r="I71" s="204" t="s">
        <v>497</v>
      </c>
      <c r="J71" s="205" t="s">
        <v>497</v>
      </c>
      <c r="K71" s="205" t="s">
        <v>497</v>
      </c>
      <c r="L71" s="204" t="s">
        <v>497</v>
      </c>
      <c r="M71" s="204" t="s">
        <v>497</v>
      </c>
      <c r="N71" s="204"/>
      <c r="O71" s="204"/>
      <c r="P71" s="204"/>
      <c r="Q71" s="204"/>
      <c r="R71" s="204"/>
      <c r="S71" s="204"/>
      <c r="T71" s="204"/>
      <c r="U71" s="204"/>
      <c r="V71" s="204"/>
      <c r="W71" s="204"/>
      <c r="X71" s="204"/>
      <c r="Y71" s="204"/>
      <c r="Z71" s="204"/>
      <c r="AA71" s="204"/>
      <c r="AB71" s="204"/>
      <c r="AC71" s="204"/>
      <c r="AD71" s="204"/>
      <c r="AE71" s="204"/>
      <c r="AF71" s="204"/>
      <c r="AG71" s="204"/>
      <c r="AH71" s="204"/>
      <c r="AI71" s="204"/>
      <c r="AJ71" s="204"/>
      <c r="AK71" s="204"/>
      <c r="AL71" s="204"/>
      <c r="AM71" s="204"/>
      <c r="AN71" s="204"/>
      <c r="AO71" s="204"/>
      <c r="AP71" s="204"/>
      <c r="AQ71" s="204"/>
      <c r="AR71" s="204"/>
      <c r="AS71" s="204"/>
      <c r="AT71" s="204"/>
      <c r="AU71" s="206"/>
      <c r="AV71" s="202"/>
      <c r="AW71" s="202"/>
      <c r="AX71" s="202"/>
      <c r="AY71" s="202"/>
      <c r="AZ71" s="202"/>
      <c r="BA71" s="202"/>
      <c r="BB71" s="202"/>
      <c r="BC71" s="202"/>
      <c r="BD71" s="202"/>
      <c r="BE71" s="202"/>
      <c r="BF71" s="202"/>
      <c r="BG71" s="202"/>
    </row>
    <row r="72" spans="2:59" ht="15">
      <c r="B72" s="204" t="s">
        <v>497</v>
      </c>
      <c r="C72" s="204" t="s">
        <v>497</v>
      </c>
      <c r="D72" s="204" t="s">
        <v>497</v>
      </c>
      <c r="E72" s="204" t="s">
        <v>497</v>
      </c>
      <c r="F72" s="204" t="s">
        <v>497</v>
      </c>
      <c r="G72" s="204" t="s">
        <v>497</v>
      </c>
      <c r="H72" s="204" t="s">
        <v>497</v>
      </c>
      <c r="I72" s="204" t="s">
        <v>497</v>
      </c>
      <c r="J72" s="205" t="s">
        <v>497</v>
      </c>
      <c r="K72" s="205" t="s">
        <v>497</v>
      </c>
      <c r="L72" s="204" t="s">
        <v>497</v>
      </c>
      <c r="M72" s="204" t="s">
        <v>497</v>
      </c>
      <c r="N72" s="204"/>
      <c r="O72" s="204"/>
      <c r="P72" s="204"/>
      <c r="Q72" s="204"/>
      <c r="R72" s="204"/>
      <c r="S72" s="204"/>
      <c r="T72" s="204"/>
      <c r="U72" s="204"/>
      <c r="V72" s="204"/>
      <c r="W72" s="204"/>
      <c r="X72" s="204"/>
      <c r="Y72" s="204"/>
      <c r="Z72" s="204"/>
      <c r="AA72" s="204"/>
      <c r="AB72" s="204"/>
      <c r="AC72" s="204"/>
      <c r="AD72" s="204"/>
      <c r="AE72" s="204"/>
      <c r="AF72" s="204"/>
      <c r="AG72" s="204"/>
      <c r="AH72" s="204"/>
      <c r="AI72" s="204"/>
      <c r="AJ72" s="204"/>
      <c r="AK72" s="204"/>
      <c r="AL72" s="204"/>
      <c r="AM72" s="204"/>
      <c r="AN72" s="204"/>
      <c r="AO72" s="204"/>
      <c r="AP72" s="204"/>
      <c r="AQ72" s="204"/>
      <c r="AR72" s="204"/>
      <c r="AS72" s="204"/>
      <c r="AT72" s="204"/>
      <c r="AU72" s="206"/>
      <c r="AV72" s="202"/>
      <c r="AW72" s="202"/>
      <c r="AX72" s="202"/>
      <c r="AY72" s="202"/>
      <c r="AZ72" s="202"/>
      <c r="BA72" s="202"/>
      <c r="BB72" s="202"/>
      <c r="BC72" s="202"/>
      <c r="BD72" s="202"/>
      <c r="BE72" s="202"/>
      <c r="BF72" s="202"/>
      <c r="BG72" s="202"/>
    </row>
    <row r="73" spans="2:59" ht="15">
      <c r="B73" s="204" t="s">
        <v>497</v>
      </c>
      <c r="C73" s="204" t="s">
        <v>497</v>
      </c>
      <c r="D73" s="204" t="s">
        <v>497</v>
      </c>
      <c r="E73" s="204" t="s">
        <v>497</v>
      </c>
      <c r="F73" s="204" t="s">
        <v>497</v>
      </c>
      <c r="G73" s="204" t="s">
        <v>497</v>
      </c>
      <c r="H73" s="204" t="s">
        <v>497</v>
      </c>
      <c r="I73" s="204" t="s">
        <v>497</v>
      </c>
      <c r="J73" s="205" t="s">
        <v>497</v>
      </c>
      <c r="K73" s="205" t="s">
        <v>497</v>
      </c>
      <c r="L73" s="204" t="s">
        <v>497</v>
      </c>
      <c r="M73" s="204" t="s">
        <v>497</v>
      </c>
      <c r="N73" s="204"/>
      <c r="O73" s="204"/>
      <c r="P73" s="204"/>
      <c r="Q73" s="204"/>
      <c r="R73" s="204"/>
      <c r="S73" s="204"/>
      <c r="T73" s="204"/>
      <c r="U73" s="204"/>
      <c r="V73" s="204"/>
      <c r="W73" s="204"/>
      <c r="X73" s="204"/>
      <c r="Y73" s="204"/>
      <c r="Z73" s="204"/>
      <c r="AA73" s="204"/>
      <c r="AB73" s="204"/>
      <c r="AC73" s="204"/>
      <c r="AD73" s="204"/>
      <c r="AE73" s="204"/>
      <c r="AF73" s="204"/>
      <c r="AG73" s="204"/>
      <c r="AH73" s="204"/>
      <c r="AI73" s="204"/>
      <c r="AJ73" s="204"/>
      <c r="AK73" s="204"/>
      <c r="AL73" s="204"/>
      <c r="AM73" s="204"/>
      <c r="AN73" s="204"/>
      <c r="AO73" s="204"/>
      <c r="AP73" s="204"/>
      <c r="AQ73" s="204"/>
      <c r="AR73" s="204"/>
      <c r="AS73" s="204"/>
      <c r="AT73" s="204"/>
      <c r="AU73" s="206"/>
      <c r="AV73" s="202"/>
      <c r="AW73" s="202"/>
      <c r="AX73" s="202"/>
      <c r="AY73" s="202"/>
      <c r="AZ73" s="202"/>
      <c r="BA73" s="202"/>
      <c r="BB73" s="202"/>
      <c r="BC73" s="202"/>
      <c r="BD73" s="202"/>
      <c r="BE73" s="202"/>
      <c r="BF73" s="202"/>
      <c r="BG73" s="202"/>
    </row>
    <row r="74" spans="2:59" ht="15">
      <c r="B74" s="204" t="s">
        <v>497</v>
      </c>
      <c r="C74" s="204" t="s">
        <v>497</v>
      </c>
      <c r="D74" s="204" t="s">
        <v>497</v>
      </c>
      <c r="E74" s="204" t="s">
        <v>497</v>
      </c>
      <c r="F74" s="204" t="s">
        <v>497</v>
      </c>
      <c r="G74" s="204" t="s">
        <v>497</v>
      </c>
      <c r="H74" s="204" t="s">
        <v>497</v>
      </c>
      <c r="I74" s="204" t="s">
        <v>497</v>
      </c>
      <c r="J74" s="205" t="s">
        <v>497</v>
      </c>
      <c r="K74" s="205" t="s">
        <v>497</v>
      </c>
      <c r="L74" s="204" t="s">
        <v>497</v>
      </c>
      <c r="M74" s="204" t="s">
        <v>497</v>
      </c>
      <c r="N74" s="204"/>
      <c r="O74" s="204"/>
      <c r="P74" s="204"/>
      <c r="Q74" s="204"/>
      <c r="R74" s="204"/>
      <c r="S74" s="204"/>
      <c r="T74" s="204"/>
      <c r="U74" s="204"/>
      <c r="V74" s="204"/>
      <c r="W74" s="204"/>
      <c r="X74" s="204"/>
      <c r="Y74" s="204"/>
      <c r="Z74" s="204"/>
      <c r="AA74" s="204"/>
      <c r="AB74" s="204"/>
      <c r="AC74" s="204"/>
      <c r="AD74" s="204"/>
      <c r="AE74" s="204"/>
      <c r="AF74" s="204"/>
      <c r="AG74" s="204"/>
      <c r="AH74" s="204"/>
      <c r="AI74" s="204"/>
      <c r="AJ74" s="204"/>
      <c r="AK74" s="204"/>
      <c r="AL74" s="204"/>
      <c r="AM74" s="204"/>
      <c r="AN74" s="204"/>
      <c r="AO74" s="204"/>
      <c r="AP74" s="204"/>
      <c r="AQ74" s="204"/>
      <c r="AR74" s="204"/>
      <c r="AS74" s="204"/>
      <c r="AT74" s="204"/>
      <c r="AU74" s="206"/>
      <c r="AV74" s="202"/>
      <c r="AW74" s="202"/>
      <c r="AX74" s="202"/>
      <c r="AY74" s="202"/>
      <c r="AZ74" s="202"/>
      <c r="BA74" s="202"/>
      <c r="BB74" s="202"/>
      <c r="BC74" s="202"/>
      <c r="BD74" s="202"/>
      <c r="BE74" s="202"/>
      <c r="BF74" s="202"/>
      <c r="BG74" s="202"/>
    </row>
    <row r="75" spans="2:59" ht="15">
      <c r="B75" s="204" t="s">
        <v>497</v>
      </c>
      <c r="C75" s="204" t="s">
        <v>497</v>
      </c>
      <c r="D75" s="204" t="s">
        <v>497</v>
      </c>
      <c r="E75" s="204" t="s">
        <v>497</v>
      </c>
      <c r="F75" s="204" t="s">
        <v>497</v>
      </c>
      <c r="G75" s="204" t="s">
        <v>497</v>
      </c>
      <c r="H75" s="204" t="s">
        <v>497</v>
      </c>
      <c r="I75" s="204" t="s">
        <v>497</v>
      </c>
      <c r="J75" s="205" t="s">
        <v>497</v>
      </c>
      <c r="K75" s="205" t="s">
        <v>497</v>
      </c>
      <c r="L75" s="204" t="s">
        <v>497</v>
      </c>
      <c r="M75" s="204" t="s">
        <v>497</v>
      </c>
      <c r="N75" s="204"/>
      <c r="O75" s="204"/>
      <c r="P75" s="204"/>
      <c r="Q75" s="204"/>
      <c r="R75" s="204"/>
      <c r="S75" s="204"/>
      <c r="T75" s="204"/>
      <c r="U75" s="204"/>
      <c r="V75" s="204"/>
      <c r="W75" s="204"/>
      <c r="X75" s="204"/>
      <c r="Y75" s="204"/>
      <c r="Z75" s="204"/>
      <c r="AA75" s="204"/>
      <c r="AB75" s="204"/>
      <c r="AC75" s="204"/>
      <c r="AD75" s="204"/>
      <c r="AE75" s="204"/>
      <c r="AF75" s="204"/>
      <c r="AG75" s="204"/>
      <c r="AH75" s="204"/>
      <c r="AI75" s="204"/>
      <c r="AJ75" s="204"/>
      <c r="AK75" s="204"/>
      <c r="AL75" s="204"/>
      <c r="AM75" s="204"/>
      <c r="AN75" s="204"/>
      <c r="AO75" s="204"/>
      <c r="AP75" s="204"/>
      <c r="AQ75" s="204"/>
      <c r="AR75" s="204"/>
      <c r="AS75" s="204"/>
      <c r="AT75" s="204"/>
      <c r="AU75" s="206"/>
      <c r="AV75" s="202"/>
      <c r="AW75" s="202"/>
      <c r="AX75" s="202"/>
      <c r="AY75" s="202"/>
      <c r="AZ75" s="202"/>
      <c r="BA75" s="202"/>
      <c r="BB75" s="202"/>
      <c r="BC75" s="202"/>
      <c r="BD75" s="202"/>
      <c r="BE75" s="202"/>
      <c r="BF75" s="202"/>
      <c r="BG75" s="202"/>
    </row>
    <row r="76" spans="2:59" ht="15">
      <c r="B76" s="204" t="s">
        <v>497</v>
      </c>
      <c r="C76" s="204" t="s">
        <v>497</v>
      </c>
      <c r="D76" s="204" t="s">
        <v>497</v>
      </c>
      <c r="E76" s="204" t="s">
        <v>497</v>
      </c>
      <c r="F76" s="204" t="s">
        <v>497</v>
      </c>
      <c r="G76" s="204" t="s">
        <v>497</v>
      </c>
      <c r="H76" s="204" t="s">
        <v>497</v>
      </c>
      <c r="I76" s="204" t="s">
        <v>497</v>
      </c>
      <c r="J76" s="205" t="s">
        <v>497</v>
      </c>
      <c r="K76" s="205" t="s">
        <v>497</v>
      </c>
      <c r="L76" s="204" t="s">
        <v>497</v>
      </c>
      <c r="M76" s="204" t="s">
        <v>497</v>
      </c>
      <c r="N76" s="204"/>
      <c r="O76" s="204"/>
      <c r="P76" s="204"/>
      <c r="Q76" s="204"/>
      <c r="R76" s="204"/>
      <c r="S76" s="204"/>
      <c r="T76" s="204"/>
      <c r="U76" s="204"/>
      <c r="V76" s="204"/>
      <c r="W76" s="204"/>
      <c r="X76" s="204"/>
      <c r="Y76" s="204"/>
      <c r="Z76" s="204"/>
      <c r="AA76" s="204"/>
      <c r="AB76" s="204"/>
      <c r="AC76" s="204"/>
      <c r="AD76" s="204"/>
      <c r="AE76" s="204"/>
      <c r="AF76" s="204"/>
      <c r="AG76" s="204"/>
      <c r="AH76" s="204"/>
      <c r="AI76" s="204"/>
      <c r="AJ76" s="204"/>
      <c r="AK76" s="204"/>
      <c r="AL76" s="204"/>
      <c r="AM76" s="204"/>
      <c r="AN76" s="204"/>
      <c r="AO76" s="204"/>
      <c r="AP76" s="204"/>
      <c r="AQ76" s="204"/>
      <c r="AR76" s="204"/>
      <c r="AS76" s="204"/>
      <c r="AT76" s="204"/>
      <c r="AU76" s="206"/>
      <c r="AV76" s="202"/>
      <c r="AW76" s="202"/>
      <c r="AX76" s="202"/>
      <c r="AY76" s="202"/>
      <c r="AZ76" s="202"/>
      <c r="BA76" s="202"/>
      <c r="BB76" s="202"/>
      <c r="BC76" s="202"/>
      <c r="BD76" s="202"/>
      <c r="BE76" s="202"/>
      <c r="BF76" s="202"/>
      <c r="BG76" s="202"/>
    </row>
    <row r="77" spans="2:59" ht="15">
      <c r="B77" s="204" t="s">
        <v>497</v>
      </c>
      <c r="C77" s="204" t="s">
        <v>497</v>
      </c>
      <c r="D77" s="204" t="s">
        <v>497</v>
      </c>
      <c r="E77" s="204" t="s">
        <v>497</v>
      </c>
      <c r="F77" s="204" t="s">
        <v>497</v>
      </c>
      <c r="G77" s="204" t="s">
        <v>497</v>
      </c>
      <c r="H77" s="204" t="s">
        <v>497</v>
      </c>
      <c r="I77" s="204" t="s">
        <v>497</v>
      </c>
      <c r="J77" s="205" t="s">
        <v>497</v>
      </c>
      <c r="K77" s="205" t="s">
        <v>497</v>
      </c>
      <c r="L77" s="204" t="s">
        <v>497</v>
      </c>
      <c r="M77" s="204" t="s">
        <v>497</v>
      </c>
      <c r="N77" s="204"/>
      <c r="O77" s="204"/>
      <c r="P77" s="204"/>
      <c r="Q77" s="204"/>
      <c r="R77" s="204"/>
      <c r="S77" s="204"/>
      <c r="T77" s="204"/>
      <c r="U77" s="204"/>
      <c r="V77" s="204"/>
      <c r="W77" s="204"/>
      <c r="X77" s="204"/>
      <c r="Y77" s="204"/>
      <c r="Z77" s="204"/>
      <c r="AA77" s="204"/>
      <c r="AB77" s="204"/>
      <c r="AC77" s="204"/>
      <c r="AD77" s="204"/>
      <c r="AE77" s="204"/>
      <c r="AF77" s="204"/>
      <c r="AG77" s="204"/>
      <c r="AH77" s="204"/>
      <c r="AI77" s="204"/>
      <c r="AJ77" s="204"/>
      <c r="AK77" s="204"/>
      <c r="AL77" s="204"/>
      <c r="AM77" s="204"/>
      <c r="AN77" s="204"/>
      <c r="AO77" s="204"/>
      <c r="AP77" s="204"/>
      <c r="AQ77" s="204"/>
      <c r="AR77" s="204"/>
      <c r="AS77" s="204"/>
      <c r="AT77" s="204"/>
      <c r="AU77" s="206"/>
      <c r="AV77" s="202"/>
      <c r="AW77" s="202"/>
      <c r="AX77" s="202"/>
      <c r="AY77" s="202"/>
      <c r="AZ77" s="202"/>
      <c r="BA77" s="202"/>
      <c r="BB77" s="202"/>
      <c r="BC77" s="202"/>
      <c r="BD77" s="202"/>
      <c r="BE77" s="202"/>
      <c r="BF77" s="202"/>
      <c r="BG77" s="202"/>
    </row>
    <row r="78" spans="2:59" ht="15">
      <c r="B78" s="204" t="s">
        <v>497</v>
      </c>
      <c r="C78" s="204" t="s">
        <v>497</v>
      </c>
      <c r="D78" s="204" t="s">
        <v>497</v>
      </c>
      <c r="E78" s="204" t="s">
        <v>497</v>
      </c>
      <c r="F78" s="204" t="s">
        <v>497</v>
      </c>
      <c r="G78" s="204" t="s">
        <v>497</v>
      </c>
      <c r="H78" s="204" t="s">
        <v>497</v>
      </c>
      <c r="I78" s="204" t="s">
        <v>497</v>
      </c>
      <c r="J78" s="205" t="s">
        <v>497</v>
      </c>
      <c r="K78" s="205" t="s">
        <v>497</v>
      </c>
      <c r="L78" s="204" t="s">
        <v>497</v>
      </c>
      <c r="M78" s="204" t="s">
        <v>497</v>
      </c>
      <c r="N78" s="204"/>
      <c r="O78" s="204"/>
      <c r="P78" s="204"/>
      <c r="Q78" s="204"/>
      <c r="R78" s="204"/>
      <c r="S78" s="204"/>
      <c r="T78" s="204"/>
      <c r="U78" s="204"/>
      <c r="V78" s="204"/>
      <c r="W78" s="204"/>
      <c r="X78" s="204"/>
      <c r="Y78" s="204"/>
      <c r="Z78" s="204"/>
      <c r="AA78" s="204"/>
      <c r="AB78" s="204"/>
      <c r="AC78" s="204"/>
      <c r="AD78" s="204"/>
      <c r="AE78" s="204"/>
      <c r="AF78" s="204"/>
      <c r="AG78" s="204"/>
      <c r="AH78" s="204"/>
      <c r="AI78" s="204"/>
      <c r="AJ78" s="204"/>
      <c r="AK78" s="204"/>
      <c r="AL78" s="204"/>
      <c r="AM78" s="204"/>
      <c r="AN78" s="204"/>
      <c r="AO78" s="204"/>
      <c r="AP78" s="204"/>
      <c r="AQ78" s="204"/>
      <c r="AR78" s="204"/>
      <c r="AS78" s="204"/>
      <c r="AT78" s="204"/>
      <c r="AU78" s="206"/>
      <c r="AV78" s="202"/>
      <c r="AW78" s="202"/>
      <c r="AX78" s="202"/>
      <c r="AY78" s="202"/>
      <c r="AZ78" s="202"/>
      <c r="BA78" s="202"/>
      <c r="BB78" s="202"/>
      <c r="BC78" s="202"/>
      <c r="BD78" s="202"/>
      <c r="BE78" s="202"/>
      <c r="BF78" s="202"/>
      <c r="BG78" s="202"/>
    </row>
    <row r="79" spans="2:59" ht="15">
      <c r="B79" s="204" t="s">
        <v>497</v>
      </c>
      <c r="C79" s="204" t="s">
        <v>497</v>
      </c>
      <c r="D79" s="204" t="s">
        <v>497</v>
      </c>
      <c r="E79" s="204" t="s">
        <v>497</v>
      </c>
      <c r="F79" s="204" t="s">
        <v>497</v>
      </c>
      <c r="G79" s="204" t="s">
        <v>497</v>
      </c>
      <c r="H79" s="204" t="s">
        <v>497</v>
      </c>
      <c r="I79" s="204" t="s">
        <v>497</v>
      </c>
      <c r="J79" s="205" t="s">
        <v>497</v>
      </c>
      <c r="K79" s="205" t="s">
        <v>497</v>
      </c>
      <c r="L79" s="204" t="s">
        <v>497</v>
      </c>
      <c r="M79" s="204" t="s">
        <v>497</v>
      </c>
      <c r="N79" s="204"/>
      <c r="O79" s="204"/>
      <c r="P79" s="204"/>
      <c r="Q79" s="204"/>
      <c r="R79" s="204"/>
      <c r="S79" s="204"/>
      <c r="T79" s="204"/>
      <c r="U79" s="204"/>
      <c r="V79" s="204"/>
      <c r="W79" s="204"/>
      <c r="X79" s="204"/>
      <c r="Y79" s="204"/>
      <c r="Z79" s="204"/>
      <c r="AA79" s="204"/>
      <c r="AB79" s="204"/>
      <c r="AC79" s="204"/>
      <c r="AD79" s="204"/>
      <c r="AE79" s="204"/>
      <c r="AF79" s="204"/>
      <c r="AG79" s="204"/>
      <c r="AH79" s="204"/>
      <c r="AI79" s="204"/>
      <c r="AJ79" s="204"/>
      <c r="AK79" s="204"/>
      <c r="AL79" s="204"/>
      <c r="AM79" s="204"/>
      <c r="AN79" s="204"/>
      <c r="AO79" s="204"/>
      <c r="AP79" s="204"/>
      <c r="AQ79" s="204"/>
      <c r="AR79" s="204"/>
      <c r="AS79" s="204"/>
      <c r="AT79" s="204"/>
      <c r="AU79" s="206"/>
      <c r="AV79" s="202"/>
      <c r="AW79" s="202"/>
      <c r="AX79" s="202"/>
      <c r="AY79" s="202"/>
      <c r="AZ79" s="202"/>
      <c r="BA79" s="202"/>
      <c r="BB79" s="202"/>
      <c r="BC79" s="202"/>
      <c r="BD79" s="202"/>
      <c r="BE79" s="202"/>
      <c r="BF79" s="202"/>
      <c r="BG79" s="202"/>
    </row>
    <row r="80" spans="2:59" ht="15">
      <c r="B80" s="204" t="s">
        <v>497</v>
      </c>
      <c r="C80" s="204" t="s">
        <v>497</v>
      </c>
      <c r="D80" s="204" t="s">
        <v>497</v>
      </c>
      <c r="E80" s="204" t="s">
        <v>497</v>
      </c>
      <c r="F80" s="204" t="s">
        <v>497</v>
      </c>
      <c r="G80" s="204" t="s">
        <v>497</v>
      </c>
      <c r="H80" s="204" t="s">
        <v>497</v>
      </c>
      <c r="I80" s="204" t="s">
        <v>497</v>
      </c>
      <c r="J80" s="205" t="s">
        <v>497</v>
      </c>
      <c r="K80" s="205" t="s">
        <v>497</v>
      </c>
      <c r="L80" s="204" t="s">
        <v>497</v>
      </c>
      <c r="M80" s="204" t="s">
        <v>497</v>
      </c>
      <c r="N80" s="204"/>
      <c r="O80" s="204"/>
      <c r="P80" s="204"/>
      <c r="Q80" s="204"/>
      <c r="R80" s="204"/>
      <c r="S80" s="204"/>
      <c r="T80" s="204"/>
      <c r="U80" s="204"/>
      <c r="V80" s="204"/>
      <c r="W80" s="204"/>
      <c r="X80" s="204"/>
      <c r="Y80" s="204"/>
      <c r="Z80" s="204"/>
      <c r="AA80" s="204"/>
      <c r="AB80" s="204"/>
      <c r="AC80" s="204"/>
      <c r="AD80" s="204"/>
      <c r="AE80" s="204"/>
      <c r="AF80" s="204"/>
      <c r="AG80" s="204"/>
      <c r="AH80" s="204"/>
      <c r="AI80" s="204"/>
      <c r="AJ80" s="204"/>
      <c r="AK80" s="204"/>
      <c r="AL80" s="204"/>
      <c r="AM80" s="204"/>
      <c r="AN80" s="204"/>
      <c r="AO80" s="204"/>
      <c r="AP80" s="204"/>
      <c r="AQ80" s="204"/>
      <c r="AR80" s="204"/>
      <c r="AS80" s="204"/>
      <c r="AT80" s="204"/>
      <c r="AU80" s="206"/>
      <c r="AV80" s="202"/>
      <c r="AW80" s="202"/>
      <c r="AX80" s="202"/>
      <c r="AY80" s="202"/>
      <c r="AZ80" s="202"/>
      <c r="BA80" s="202"/>
      <c r="BB80" s="202"/>
      <c r="BC80" s="202"/>
      <c r="BD80" s="202"/>
      <c r="BE80" s="202"/>
      <c r="BF80" s="202"/>
      <c r="BG80" s="202"/>
    </row>
    <row r="81" spans="2:59" ht="15">
      <c r="B81" s="204" t="s">
        <v>497</v>
      </c>
      <c r="C81" s="204" t="s">
        <v>497</v>
      </c>
      <c r="D81" s="204" t="s">
        <v>497</v>
      </c>
      <c r="E81" s="204" t="s">
        <v>497</v>
      </c>
      <c r="F81" s="204" t="s">
        <v>497</v>
      </c>
      <c r="G81" s="204" t="s">
        <v>497</v>
      </c>
      <c r="H81" s="204" t="s">
        <v>497</v>
      </c>
      <c r="I81" s="204" t="s">
        <v>497</v>
      </c>
      <c r="J81" s="205" t="s">
        <v>497</v>
      </c>
      <c r="K81" s="205" t="s">
        <v>497</v>
      </c>
      <c r="L81" s="204" t="s">
        <v>497</v>
      </c>
      <c r="M81" s="204" t="s">
        <v>497</v>
      </c>
      <c r="N81" s="204"/>
      <c r="O81" s="204"/>
      <c r="P81" s="204"/>
      <c r="Q81" s="204"/>
      <c r="R81" s="204"/>
      <c r="S81" s="204"/>
      <c r="T81" s="204"/>
      <c r="U81" s="204"/>
      <c r="V81" s="204"/>
      <c r="W81" s="204"/>
      <c r="X81" s="204"/>
      <c r="Y81" s="204"/>
      <c r="Z81" s="204"/>
      <c r="AA81" s="204"/>
      <c r="AB81" s="204"/>
      <c r="AC81" s="204"/>
      <c r="AD81" s="204"/>
      <c r="AE81" s="204"/>
      <c r="AF81" s="204"/>
      <c r="AG81" s="204"/>
      <c r="AH81" s="204"/>
      <c r="AI81" s="204"/>
      <c r="AJ81" s="204"/>
      <c r="AK81" s="204"/>
      <c r="AL81" s="204"/>
      <c r="AM81" s="204"/>
      <c r="AN81" s="204"/>
      <c r="AO81" s="204"/>
      <c r="AP81" s="204"/>
      <c r="AQ81" s="204"/>
      <c r="AR81" s="204"/>
      <c r="AS81" s="204"/>
      <c r="AT81" s="204"/>
      <c r="AU81" s="206"/>
      <c r="AV81" s="202"/>
      <c r="AW81" s="202"/>
      <c r="AX81" s="202"/>
      <c r="AY81" s="202"/>
      <c r="AZ81" s="202"/>
      <c r="BA81" s="202"/>
      <c r="BB81" s="202"/>
      <c r="BC81" s="202"/>
      <c r="BD81" s="202"/>
      <c r="BE81" s="202"/>
      <c r="BF81" s="202"/>
      <c r="BG81" s="202"/>
    </row>
    <row r="82" spans="2:59" ht="15">
      <c r="B82" s="204" t="s">
        <v>497</v>
      </c>
      <c r="C82" s="204" t="s">
        <v>497</v>
      </c>
      <c r="D82" s="204" t="s">
        <v>497</v>
      </c>
      <c r="E82" s="204" t="s">
        <v>497</v>
      </c>
      <c r="F82" s="204" t="s">
        <v>497</v>
      </c>
      <c r="G82" s="204" t="s">
        <v>497</v>
      </c>
      <c r="H82" s="204" t="s">
        <v>497</v>
      </c>
      <c r="I82" s="204" t="s">
        <v>497</v>
      </c>
      <c r="J82" s="205" t="s">
        <v>497</v>
      </c>
      <c r="K82" s="205" t="s">
        <v>497</v>
      </c>
      <c r="L82" s="204" t="s">
        <v>497</v>
      </c>
      <c r="M82" s="204" t="s">
        <v>497</v>
      </c>
      <c r="N82" s="204"/>
      <c r="O82" s="204"/>
      <c r="P82" s="204"/>
      <c r="Q82" s="204"/>
      <c r="R82" s="204"/>
      <c r="S82" s="204"/>
      <c r="T82" s="204"/>
      <c r="U82" s="204"/>
      <c r="V82" s="204"/>
      <c r="W82" s="204"/>
      <c r="X82" s="204"/>
      <c r="Y82" s="204"/>
      <c r="Z82" s="204"/>
      <c r="AA82" s="204"/>
      <c r="AB82" s="204"/>
      <c r="AC82" s="204"/>
      <c r="AD82" s="204"/>
      <c r="AE82" s="204"/>
      <c r="AF82" s="204"/>
      <c r="AG82" s="204"/>
      <c r="AH82" s="204"/>
      <c r="AI82" s="204"/>
      <c r="AJ82" s="204"/>
      <c r="AK82" s="204"/>
      <c r="AL82" s="204"/>
      <c r="AM82" s="204"/>
      <c r="AN82" s="204"/>
      <c r="AO82" s="204"/>
      <c r="AP82" s="204"/>
      <c r="AQ82" s="204"/>
      <c r="AR82" s="204"/>
      <c r="AS82" s="204"/>
      <c r="AT82" s="204"/>
      <c r="AU82" s="206"/>
      <c r="AV82" s="202"/>
      <c r="AW82" s="202"/>
      <c r="AX82" s="202"/>
      <c r="AY82" s="202"/>
      <c r="AZ82" s="202"/>
      <c r="BA82" s="202"/>
      <c r="BB82" s="202"/>
      <c r="BC82" s="202"/>
      <c r="BD82" s="202"/>
      <c r="BE82" s="202"/>
      <c r="BF82" s="202"/>
      <c r="BG82" s="202"/>
    </row>
    <row r="83" spans="2:59" ht="15">
      <c r="B83" s="204" t="s">
        <v>497</v>
      </c>
      <c r="C83" s="204" t="s">
        <v>497</v>
      </c>
      <c r="D83" s="204" t="s">
        <v>497</v>
      </c>
      <c r="E83" s="204" t="s">
        <v>497</v>
      </c>
      <c r="F83" s="204" t="s">
        <v>497</v>
      </c>
      <c r="G83" s="204" t="s">
        <v>497</v>
      </c>
      <c r="H83" s="204" t="s">
        <v>497</v>
      </c>
      <c r="I83" s="204" t="s">
        <v>497</v>
      </c>
      <c r="J83" s="205" t="s">
        <v>497</v>
      </c>
      <c r="K83" s="205" t="s">
        <v>497</v>
      </c>
      <c r="L83" s="204" t="s">
        <v>497</v>
      </c>
      <c r="M83" s="204" t="s">
        <v>497</v>
      </c>
      <c r="N83" s="204"/>
      <c r="O83" s="204"/>
      <c r="P83" s="204"/>
      <c r="Q83" s="204"/>
      <c r="R83" s="204"/>
      <c r="S83" s="204"/>
      <c r="T83" s="204"/>
      <c r="U83" s="204"/>
      <c r="V83" s="204"/>
      <c r="W83" s="204"/>
      <c r="X83" s="204"/>
      <c r="Y83" s="204"/>
      <c r="Z83" s="204"/>
      <c r="AA83" s="204"/>
      <c r="AB83" s="204"/>
      <c r="AC83" s="204"/>
      <c r="AD83" s="204"/>
      <c r="AE83" s="204"/>
      <c r="AF83" s="204"/>
      <c r="AG83" s="204"/>
      <c r="AH83" s="204"/>
      <c r="AI83" s="204"/>
      <c r="AJ83" s="204"/>
      <c r="AK83" s="204"/>
      <c r="AL83" s="204"/>
      <c r="AM83" s="204"/>
      <c r="AN83" s="204"/>
      <c r="AO83" s="204"/>
      <c r="AP83" s="204"/>
      <c r="AQ83" s="204"/>
      <c r="AR83" s="204"/>
      <c r="AS83" s="204"/>
      <c r="AT83" s="204"/>
      <c r="AU83" s="206"/>
      <c r="AV83" s="202"/>
      <c r="AW83" s="202"/>
      <c r="AX83" s="202"/>
      <c r="AY83" s="202"/>
      <c r="AZ83" s="202"/>
      <c r="BA83" s="202"/>
      <c r="BB83" s="202"/>
      <c r="BC83" s="202"/>
      <c r="BD83" s="202"/>
      <c r="BE83" s="202"/>
      <c r="BF83" s="202"/>
      <c r="BG83" s="202"/>
    </row>
    <row r="84" spans="2:59" ht="15">
      <c r="B84" s="204" t="s">
        <v>497</v>
      </c>
      <c r="C84" s="204" t="s">
        <v>497</v>
      </c>
      <c r="D84" s="204" t="s">
        <v>497</v>
      </c>
      <c r="E84" s="204" t="s">
        <v>497</v>
      </c>
      <c r="F84" s="204" t="s">
        <v>497</v>
      </c>
      <c r="G84" s="204" t="s">
        <v>497</v>
      </c>
      <c r="H84" s="204" t="s">
        <v>497</v>
      </c>
      <c r="I84" s="204" t="s">
        <v>497</v>
      </c>
      <c r="J84" s="205" t="s">
        <v>497</v>
      </c>
      <c r="K84" s="205" t="s">
        <v>497</v>
      </c>
      <c r="L84" s="204" t="s">
        <v>497</v>
      </c>
      <c r="M84" s="204" t="s">
        <v>497</v>
      </c>
      <c r="N84" s="204"/>
      <c r="O84" s="204"/>
      <c r="P84" s="204"/>
      <c r="Q84" s="204"/>
      <c r="R84" s="204"/>
      <c r="S84" s="204"/>
      <c r="T84" s="204"/>
      <c r="U84" s="204"/>
      <c r="V84" s="204"/>
      <c r="W84" s="204"/>
      <c r="X84" s="204"/>
      <c r="Y84" s="204"/>
      <c r="Z84" s="204"/>
      <c r="AA84" s="204"/>
      <c r="AB84" s="204"/>
      <c r="AC84" s="204"/>
      <c r="AD84" s="204"/>
      <c r="AE84" s="204"/>
      <c r="AF84" s="204"/>
      <c r="AG84" s="204"/>
      <c r="AH84" s="204"/>
      <c r="AI84" s="204"/>
      <c r="AJ84" s="204"/>
      <c r="AK84" s="204"/>
      <c r="AL84" s="204"/>
      <c r="AM84" s="204"/>
      <c r="AN84" s="204"/>
      <c r="AO84" s="204"/>
      <c r="AP84" s="204"/>
      <c r="AQ84" s="204"/>
      <c r="AR84" s="204"/>
      <c r="AS84" s="204"/>
      <c r="AT84" s="204"/>
      <c r="AU84" s="206"/>
      <c r="AV84" s="202"/>
      <c r="AW84" s="202"/>
      <c r="AX84" s="202"/>
      <c r="AY84" s="202"/>
      <c r="AZ84" s="202"/>
      <c r="BA84" s="202"/>
      <c r="BB84" s="202"/>
      <c r="BC84" s="202"/>
      <c r="BD84" s="202"/>
      <c r="BE84" s="202"/>
      <c r="BF84" s="202"/>
      <c r="BG84" s="202"/>
    </row>
    <row r="85" spans="2:59" ht="15">
      <c r="B85" s="204" t="s">
        <v>497</v>
      </c>
      <c r="C85" s="204" t="s">
        <v>497</v>
      </c>
      <c r="D85" s="204" t="s">
        <v>497</v>
      </c>
      <c r="E85" s="204" t="s">
        <v>497</v>
      </c>
      <c r="F85" s="204" t="s">
        <v>497</v>
      </c>
      <c r="G85" s="204" t="s">
        <v>497</v>
      </c>
      <c r="H85" s="204" t="s">
        <v>497</v>
      </c>
      <c r="I85" s="204" t="s">
        <v>497</v>
      </c>
      <c r="J85" s="205" t="s">
        <v>497</v>
      </c>
      <c r="K85" s="205" t="s">
        <v>497</v>
      </c>
      <c r="L85" s="204" t="s">
        <v>497</v>
      </c>
      <c r="M85" s="204" t="s">
        <v>497</v>
      </c>
      <c r="N85" s="204"/>
      <c r="O85" s="204"/>
      <c r="P85" s="204"/>
      <c r="Q85" s="204"/>
      <c r="R85" s="204"/>
      <c r="S85" s="204"/>
      <c r="T85" s="204"/>
      <c r="U85" s="204"/>
      <c r="V85" s="204"/>
      <c r="W85" s="204"/>
      <c r="X85" s="204"/>
      <c r="Y85" s="204"/>
      <c r="Z85" s="204"/>
      <c r="AA85" s="204"/>
      <c r="AB85" s="204"/>
      <c r="AC85" s="204"/>
      <c r="AD85" s="204"/>
      <c r="AE85" s="204"/>
      <c r="AF85" s="204"/>
      <c r="AG85" s="204"/>
      <c r="AH85" s="204"/>
      <c r="AI85" s="204"/>
      <c r="AJ85" s="204"/>
      <c r="AK85" s="204"/>
      <c r="AL85" s="204"/>
      <c r="AM85" s="204"/>
      <c r="AN85" s="204"/>
      <c r="AO85" s="204"/>
      <c r="AP85" s="204"/>
      <c r="AQ85" s="204"/>
      <c r="AR85" s="204"/>
      <c r="AS85" s="204"/>
      <c r="AT85" s="204"/>
      <c r="AU85" s="206"/>
      <c r="AV85" s="202"/>
      <c r="AW85" s="202"/>
      <c r="AX85" s="202"/>
      <c r="AY85" s="202"/>
      <c r="AZ85" s="202"/>
      <c r="BA85" s="202"/>
      <c r="BB85" s="202"/>
      <c r="BC85" s="202"/>
      <c r="BD85" s="202"/>
      <c r="BE85" s="202"/>
      <c r="BF85" s="202"/>
      <c r="BG85" s="202"/>
    </row>
    <row r="86" spans="2:59" ht="15">
      <c r="B86" s="204" t="s">
        <v>497</v>
      </c>
      <c r="C86" s="204" t="s">
        <v>497</v>
      </c>
      <c r="D86" s="204" t="s">
        <v>497</v>
      </c>
      <c r="E86" s="204" t="s">
        <v>497</v>
      </c>
      <c r="F86" s="204" t="s">
        <v>497</v>
      </c>
      <c r="G86" s="204" t="s">
        <v>497</v>
      </c>
      <c r="H86" s="204" t="s">
        <v>497</v>
      </c>
      <c r="I86" s="204" t="s">
        <v>497</v>
      </c>
      <c r="J86" s="205" t="s">
        <v>497</v>
      </c>
      <c r="K86" s="205" t="s">
        <v>497</v>
      </c>
      <c r="L86" s="204" t="s">
        <v>497</v>
      </c>
      <c r="M86" s="204" t="s">
        <v>497</v>
      </c>
      <c r="N86" s="204"/>
      <c r="O86" s="204"/>
      <c r="P86" s="204"/>
      <c r="Q86" s="204"/>
      <c r="R86" s="204"/>
      <c r="S86" s="204"/>
      <c r="T86" s="204"/>
      <c r="U86" s="204"/>
      <c r="V86" s="204"/>
      <c r="W86" s="204"/>
      <c r="X86" s="204"/>
      <c r="Y86" s="204"/>
      <c r="Z86" s="204"/>
      <c r="AA86" s="204"/>
      <c r="AB86" s="204"/>
      <c r="AC86" s="204"/>
      <c r="AD86" s="204"/>
      <c r="AE86" s="204"/>
      <c r="AF86" s="204"/>
      <c r="AG86" s="204"/>
      <c r="AH86" s="204"/>
      <c r="AI86" s="204"/>
      <c r="AJ86" s="204"/>
      <c r="AK86" s="204"/>
      <c r="AL86" s="204"/>
      <c r="AM86" s="204"/>
      <c r="AN86" s="204"/>
      <c r="AO86" s="204"/>
      <c r="AP86" s="204"/>
      <c r="AQ86" s="204"/>
      <c r="AR86" s="204"/>
      <c r="AS86" s="204"/>
      <c r="AT86" s="204"/>
      <c r="AU86" s="206"/>
      <c r="AV86" s="202"/>
      <c r="AW86" s="202"/>
      <c r="AX86" s="202"/>
      <c r="AY86" s="202"/>
      <c r="AZ86" s="202"/>
      <c r="BA86" s="202"/>
      <c r="BB86" s="202"/>
      <c r="BC86" s="202"/>
      <c r="BD86" s="202"/>
      <c r="BE86" s="202"/>
      <c r="BF86" s="202"/>
      <c r="BG86" s="202"/>
    </row>
    <row r="87" spans="2:59" ht="15">
      <c r="B87" s="204" t="s">
        <v>497</v>
      </c>
      <c r="C87" s="204" t="s">
        <v>497</v>
      </c>
      <c r="D87" s="204" t="s">
        <v>497</v>
      </c>
      <c r="E87" s="204" t="s">
        <v>497</v>
      </c>
      <c r="F87" s="204" t="s">
        <v>497</v>
      </c>
      <c r="G87" s="204" t="s">
        <v>497</v>
      </c>
      <c r="H87" s="204" t="s">
        <v>497</v>
      </c>
      <c r="I87" s="204" t="s">
        <v>497</v>
      </c>
      <c r="J87" s="205" t="s">
        <v>497</v>
      </c>
      <c r="K87" s="205" t="s">
        <v>497</v>
      </c>
      <c r="L87" s="204" t="s">
        <v>497</v>
      </c>
      <c r="M87" s="204" t="s">
        <v>497</v>
      </c>
      <c r="N87" s="204"/>
      <c r="O87" s="204"/>
      <c r="P87" s="204"/>
      <c r="Q87" s="204"/>
      <c r="R87" s="204"/>
      <c r="S87" s="204"/>
      <c r="T87" s="204"/>
      <c r="U87" s="204"/>
      <c r="V87" s="204"/>
      <c r="W87" s="204"/>
      <c r="X87" s="204"/>
      <c r="Y87" s="204"/>
      <c r="Z87" s="204"/>
      <c r="AA87" s="204"/>
      <c r="AB87" s="204"/>
      <c r="AC87" s="204"/>
      <c r="AD87" s="204"/>
      <c r="AE87" s="204"/>
      <c r="AF87" s="204"/>
      <c r="AG87" s="204"/>
      <c r="AH87" s="204"/>
      <c r="AI87" s="204"/>
      <c r="AJ87" s="204"/>
      <c r="AK87" s="204"/>
      <c r="AL87" s="204"/>
      <c r="AM87" s="204"/>
      <c r="AN87" s="204"/>
      <c r="AO87" s="204"/>
      <c r="AP87" s="204"/>
      <c r="AQ87" s="204"/>
      <c r="AR87" s="204"/>
      <c r="AS87" s="204"/>
      <c r="AT87" s="204"/>
      <c r="AU87" s="206"/>
      <c r="AV87" s="202"/>
      <c r="AW87" s="202"/>
      <c r="AX87" s="202"/>
      <c r="AY87" s="202"/>
      <c r="AZ87" s="202"/>
      <c r="BA87" s="202"/>
      <c r="BB87" s="202"/>
      <c r="BC87" s="202"/>
      <c r="BD87" s="202"/>
      <c r="BE87" s="202"/>
      <c r="BF87" s="202"/>
      <c r="BG87" s="202"/>
    </row>
    <row r="88" spans="2:59" ht="15">
      <c r="B88" s="204" t="s">
        <v>497</v>
      </c>
      <c r="C88" s="204" t="s">
        <v>497</v>
      </c>
      <c r="D88" s="204" t="s">
        <v>497</v>
      </c>
      <c r="E88" s="204" t="s">
        <v>497</v>
      </c>
      <c r="F88" s="204" t="s">
        <v>497</v>
      </c>
      <c r="G88" s="204" t="s">
        <v>497</v>
      </c>
      <c r="H88" s="204" t="s">
        <v>497</v>
      </c>
      <c r="I88" s="204" t="s">
        <v>497</v>
      </c>
      <c r="J88" s="205" t="s">
        <v>497</v>
      </c>
      <c r="K88" s="205" t="s">
        <v>497</v>
      </c>
      <c r="L88" s="204" t="s">
        <v>497</v>
      </c>
      <c r="M88" s="204" t="s">
        <v>497</v>
      </c>
      <c r="N88" s="204"/>
      <c r="O88" s="204"/>
      <c r="P88" s="204"/>
      <c r="Q88" s="204"/>
      <c r="R88" s="204"/>
      <c r="S88" s="204"/>
      <c r="T88" s="204"/>
      <c r="U88" s="204"/>
      <c r="V88" s="204"/>
      <c r="W88" s="204"/>
      <c r="X88" s="204"/>
      <c r="Y88" s="204"/>
      <c r="Z88" s="204"/>
      <c r="AA88" s="204"/>
      <c r="AB88" s="204"/>
      <c r="AC88" s="204"/>
      <c r="AD88" s="204"/>
      <c r="AE88" s="204"/>
      <c r="AF88" s="204"/>
      <c r="AG88" s="204"/>
      <c r="AH88" s="204"/>
      <c r="AI88" s="204"/>
      <c r="AJ88" s="204"/>
      <c r="AK88" s="204"/>
      <c r="AL88" s="204"/>
      <c r="AM88" s="204"/>
      <c r="AN88" s="204"/>
      <c r="AO88" s="204"/>
      <c r="AP88" s="204"/>
      <c r="AQ88" s="204"/>
      <c r="AR88" s="204"/>
      <c r="AS88" s="204"/>
      <c r="AT88" s="204"/>
      <c r="AU88" s="206"/>
      <c r="AV88" s="202"/>
      <c r="AW88" s="202"/>
      <c r="AX88" s="202"/>
      <c r="AY88" s="202"/>
      <c r="AZ88" s="202"/>
      <c r="BA88" s="202"/>
      <c r="BB88" s="202"/>
      <c r="BC88" s="202"/>
      <c r="BD88" s="202"/>
      <c r="BE88" s="202"/>
      <c r="BF88" s="202"/>
      <c r="BG88" s="202"/>
    </row>
    <row r="89" spans="2:59" ht="15">
      <c r="B89" s="204" t="s">
        <v>497</v>
      </c>
      <c r="C89" s="204" t="s">
        <v>497</v>
      </c>
      <c r="D89" s="204" t="s">
        <v>497</v>
      </c>
      <c r="E89" s="204" t="s">
        <v>497</v>
      </c>
      <c r="F89" s="204" t="s">
        <v>497</v>
      </c>
      <c r="G89" s="204" t="s">
        <v>497</v>
      </c>
      <c r="H89" s="204" t="s">
        <v>497</v>
      </c>
      <c r="I89" s="204" t="s">
        <v>497</v>
      </c>
      <c r="J89" s="205" t="s">
        <v>497</v>
      </c>
      <c r="K89" s="205" t="s">
        <v>497</v>
      </c>
      <c r="L89" s="204" t="s">
        <v>497</v>
      </c>
      <c r="M89" s="204" t="s">
        <v>497</v>
      </c>
      <c r="N89" s="204"/>
      <c r="O89" s="204"/>
      <c r="P89" s="204"/>
      <c r="Q89" s="204"/>
      <c r="R89" s="204"/>
      <c r="S89" s="204"/>
      <c r="T89" s="204"/>
      <c r="U89" s="204"/>
      <c r="V89" s="204"/>
      <c r="W89" s="204"/>
      <c r="X89" s="204"/>
      <c r="Y89" s="204"/>
      <c r="Z89" s="204"/>
      <c r="AA89" s="204"/>
      <c r="AB89" s="204"/>
      <c r="AC89" s="204"/>
      <c r="AD89" s="204"/>
      <c r="AE89" s="204"/>
      <c r="AF89" s="204"/>
      <c r="AG89" s="204"/>
      <c r="AH89" s="204"/>
      <c r="AI89" s="204"/>
      <c r="AJ89" s="204"/>
      <c r="AK89" s="204"/>
      <c r="AL89" s="204"/>
      <c r="AM89" s="204"/>
      <c r="AN89" s="204"/>
      <c r="AO89" s="204"/>
      <c r="AP89" s="204"/>
      <c r="AQ89" s="204"/>
      <c r="AR89" s="204"/>
      <c r="AS89" s="204"/>
      <c r="AT89" s="204"/>
      <c r="AU89" s="206"/>
      <c r="AV89" s="202"/>
      <c r="AW89" s="202"/>
      <c r="AX89" s="202"/>
      <c r="AY89" s="202"/>
      <c r="AZ89" s="202"/>
      <c r="BA89" s="202"/>
      <c r="BB89" s="202"/>
      <c r="BC89" s="202"/>
      <c r="BD89" s="202"/>
      <c r="BE89" s="202"/>
      <c r="BF89" s="202"/>
      <c r="BG89" s="202"/>
    </row>
    <row r="90" spans="2:59" ht="15">
      <c r="B90" s="204" t="s">
        <v>497</v>
      </c>
      <c r="C90" s="204" t="s">
        <v>497</v>
      </c>
      <c r="D90" s="204" t="s">
        <v>497</v>
      </c>
      <c r="E90" s="204" t="s">
        <v>497</v>
      </c>
      <c r="F90" s="204" t="s">
        <v>497</v>
      </c>
      <c r="G90" s="204" t="s">
        <v>497</v>
      </c>
      <c r="H90" s="204" t="s">
        <v>497</v>
      </c>
      <c r="I90" s="204" t="s">
        <v>497</v>
      </c>
      <c r="J90" s="205" t="s">
        <v>497</v>
      </c>
      <c r="K90" s="205" t="s">
        <v>497</v>
      </c>
      <c r="L90" s="204" t="s">
        <v>497</v>
      </c>
      <c r="M90" s="204" t="s">
        <v>497</v>
      </c>
      <c r="N90" s="204"/>
      <c r="O90" s="204"/>
      <c r="P90" s="204"/>
      <c r="Q90" s="204"/>
      <c r="R90" s="204"/>
      <c r="S90" s="204"/>
      <c r="T90" s="204"/>
      <c r="U90" s="204"/>
      <c r="V90" s="204"/>
      <c r="W90" s="204"/>
      <c r="X90" s="204"/>
      <c r="Y90" s="204"/>
      <c r="Z90" s="204"/>
      <c r="AA90" s="204"/>
      <c r="AB90" s="204"/>
      <c r="AC90" s="204"/>
      <c r="AD90" s="204"/>
      <c r="AE90" s="204"/>
      <c r="AF90" s="204"/>
      <c r="AG90" s="204"/>
      <c r="AH90" s="204"/>
      <c r="AI90" s="204"/>
      <c r="AJ90" s="204"/>
      <c r="AK90" s="204"/>
      <c r="AL90" s="204"/>
      <c r="AM90" s="204"/>
      <c r="AN90" s="204"/>
      <c r="AO90" s="204"/>
      <c r="AP90" s="204"/>
      <c r="AQ90" s="204"/>
      <c r="AR90" s="204"/>
      <c r="AS90" s="204"/>
      <c r="AT90" s="204"/>
      <c r="AU90" s="206"/>
      <c r="AV90" s="202"/>
      <c r="AW90" s="202"/>
      <c r="AX90" s="202"/>
      <c r="AY90" s="202"/>
      <c r="AZ90" s="202"/>
      <c r="BA90" s="202"/>
      <c r="BB90" s="202"/>
      <c r="BC90" s="202"/>
      <c r="BD90" s="202"/>
      <c r="BE90" s="202"/>
      <c r="BF90" s="202"/>
      <c r="BG90" s="202"/>
    </row>
    <row r="91" spans="2:59" ht="15">
      <c r="B91" s="204" t="s">
        <v>497</v>
      </c>
      <c r="C91" s="204" t="s">
        <v>497</v>
      </c>
      <c r="D91" s="204" t="s">
        <v>497</v>
      </c>
      <c r="E91" s="204" t="s">
        <v>497</v>
      </c>
      <c r="F91" s="204" t="s">
        <v>497</v>
      </c>
      <c r="G91" s="204" t="s">
        <v>497</v>
      </c>
      <c r="H91" s="204" t="s">
        <v>497</v>
      </c>
      <c r="I91" s="204" t="s">
        <v>497</v>
      </c>
      <c r="J91" s="205" t="s">
        <v>497</v>
      </c>
      <c r="K91" s="205" t="s">
        <v>497</v>
      </c>
      <c r="L91" s="204" t="s">
        <v>497</v>
      </c>
      <c r="M91" s="204" t="s">
        <v>497</v>
      </c>
      <c r="N91" s="204"/>
      <c r="O91" s="204"/>
      <c r="P91" s="204"/>
      <c r="Q91" s="204"/>
      <c r="R91" s="204"/>
      <c r="S91" s="204"/>
      <c r="T91" s="204"/>
      <c r="U91" s="204"/>
      <c r="V91" s="204"/>
      <c r="W91" s="204"/>
      <c r="X91" s="204"/>
      <c r="Y91" s="204"/>
      <c r="Z91" s="204"/>
      <c r="AA91" s="204"/>
      <c r="AB91" s="204"/>
      <c r="AC91" s="204"/>
      <c r="AD91" s="204"/>
      <c r="AE91" s="204"/>
      <c r="AF91" s="204"/>
      <c r="AG91" s="204"/>
      <c r="AH91" s="204"/>
      <c r="AI91" s="204"/>
      <c r="AJ91" s="204"/>
      <c r="AK91" s="204"/>
      <c r="AL91" s="204"/>
      <c r="AM91" s="204"/>
      <c r="AN91" s="204"/>
      <c r="AO91" s="204"/>
      <c r="AP91" s="204"/>
      <c r="AQ91" s="204"/>
      <c r="AR91" s="204"/>
      <c r="AS91" s="204"/>
      <c r="AT91" s="204"/>
      <c r="AU91" s="206"/>
      <c r="AV91" s="202"/>
      <c r="AW91" s="202"/>
      <c r="AX91" s="202"/>
      <c r="AY91" s="202"/>
      <c r="AZ91" s="202"/>
      <c r="BA91" s="202"/>
      <c r="BB91" s="202"/>
      <c r="BC91" s="202"/>
      <c r="BD91" s="202"/>
      <c r="BE91" s="202"/>
      <c r="BF91" s="202"/>
      <c r="BG91" s="202"/>
    </row>
    <row r="92" spans="2:59" ht="15">
      <c r="B92" s="204" t="s">
        <v>497</v>
      </c>
      <c r="C92" s="204" t="s">
        <v>497</v>
      </c>
      <c r="D92" s="204" t="s">
        <v>497</v>
      </c>
      <c r="E92" s="204" t="s">
        <v>497</v>
      </c>
      <c r="F92" s="204" t="s">
        <v>497</v>
      </c>
      <c r="G92" s="204" t="s">
        <v>497</v>
      </c>
      <c r="H92" s="204" t="s">
        <v>497</v>
      </c>
      <c r="I92" s="204" t="s">
        <v>497</v>
      </c>
      <c r="J92" s="205" t="s">
        <v>497</v>
      </c>
      <c r="K92" s="205" t="s">
        <v>497</v>
      </c>
      <c r="L92" s="204" t="s">
        <v>497</v>
      </c>
      <c r="M92" s="204" t="s">
        <v>497</v>
      </c>
      <c r="N92" s="204"/>
      <c r="O92" s="204"/>
      <c r="P92" s="204"/>
      <c r="Q92" s="204"/>
      <c r="R92" s="204"/>
      <c r="S92" s="204"/>
      <c r="T92" s="204"/>
      <c r="U92" s="204"/>
      <c r="V92" s="204"/>
      <c r="W92" s="204"/>
      <c r="X92" s="204"/>
      <c r="Y92" s="204"/>
      <c r="Z92" s="204"/>
      <c r="AA92" s="204"/>
      <c r="AB92" s="204"/>
      <c r="AC92" s="204"/>
      <c r="AD92" s="204"/>
      <c r="AE92" s="204"/>
      <c r="AF92" s="204"/>
      <c r="AG92" s="204"/>
      <c r="AH92" s="204"/>
      <c r="AI92" s="204"/>
      <c r="AJ92" s="204"/>
      <c r="AK92" s="204"/>
      <c r="AL92" s="204"/>
      <c r="AM92" s="204"/>
      <c r="AN92" s="204"/>
      <c r="AO92" s="204"/>
      <c r="AP92" s="204"/>
      <c r="AQ92" s="204"/>
      <c r="AR92" s="204"/>
      <c r="AS92" s="204"/>
      <c r="AT92" s="204"/>
      <c r="AU92" s="206"/>
      <c r="AV92" s="202"/>
      <c r="AW92" s="202"/>
      <c r="AX92" s="202"/>
      <c r="AY92" s="202"/>
      <c r="AZ92" s="202"/>
      <c r="BA92" s="202"/>
      <c r="BB92" s="202"/>
      <c r="BC92" s="202"/>
      <c r="BD92" s="202"/>
      <c r="BE92" s="202"/>
      <c r="BF92" s="202"/>
      <c r="BG92" s="202"/>
    </row>
    <row r="93" spans="2:59" ht="15">
      <c r="B93" s="204" t="s">
        <v>497</v>
      </c>
      <c r="C93" s="204" t="s">
        <v>497</v>
      </c>
      <c r="D93" s="204" t="s">
        <v>497</v>
      </c>
      <c r="E93" s="204" t="s">
        <v>497</v>
      </c>
      <c r="F93" s="204" t="s">
        <v>497</v>
      </c>
      <c r="G93" s="204" t="s">
        <v>497</v>
      </c>
      <c r="H93" s="204" t="s">
        <v>497</v>
      </c>
      <c r="I93" s="204" t="s">
        <v>497</v>
      </c>
      <c r="J93" s="205" t="s">
        <v>497</v>
      </c>
      <c r="K93" s="205" t="s">
        <v>497</v>
      </c>
      <c r="L93" s="204" t="s">
        <v>497</v>
      </c>
      <c r="M93" s="204" t="s">
        <v>497</v>
      </c>
      <c r="N93" s="204"/>
      <c r="O93" s="204"/>
      <c r="P93" s="204"/>
      <c r="Q93" s="204"/>
      <c r="R93" s="204"/>
      <c r="S93" s="204"/>
      <c r="T93" s="204"/>
      <c r="U93" s="204"/>
      <c r="V93" s="204"/>
      <c r="W93" s="204"/>
      <c r="X93" s="204"/>
      <c r="Y93" s="204"/>
      <c r="Z93" s="204"/>
      <c r="AA93" s="204"/>
      <c r="AB93" s="204"/>
      <c r="AC93" s="204"/>
      <c r="AD93" s="204"/>
      <c r="AE93" s="204"/>
      <c r="AF93" s="204"/>
      <c r="AG93" s="204"/>
      <c r="AH93" s="204"/>
      <c r="AI93" s="204"/>
      <c r="AJ93" s="204"/>
      <c r="AK93" s="204"/>
      <c r="AL93" s="204"/>
      <c r="AM93" s="204"/>
      <c r="AN93" s="204"/>
      <c r="AO93" s="204"/>
      <c r="AP93" s="204"/>
      <c r="AQ93" s="204"/>
      <c r="AR93" s="204"/>
      <c r="AS93" s="204"/>
      <c r="AT93" s="204"/>
      <c r="AU93" s="206"/>
      <c r="AV93" s="202"/>
      <c r="AW93" s="202"/>
      <c r="AX93" s="202"/>
      <c r="AY93" s="202"/>
      <c r="AZ93" s="202"/>
      <c r="BA93" s="202"/>
      <c r="BB93" s="202"/>
      <c r="BC93" s="202"/>
      <c r="BD93" s="202"/>
      <c r="BE93" s="202"/>
      <c r="BF93" s="202"/>
      <c r="BG93" s="202"/>
    </row>
    <row r="94" spans="2:59" ht="15">
      <c r="B94" s="204" t="s">
        <v>497</v>
      </c>
      <c r="C94" s="204" t="s">
        <v>497</v>
      </c>
      <c r="D94" s="204" t="s">
        <v>497</v>
      </c>
      <c r="E94" s="204" t="s">
        <v>497</v>
      </c>
      <c r="F94" s="204" t="s">
        <v>497</v>
      </c>
      <c r="G94" s="204" t="s">
        <v>497</v>
      </c>
      <c r="H94" s="204" t="s">
        <v>497</v>
      </c>
      <c r="I94" s="204" t="s">
        <v>497</v>
      </c>
      <c r="J94" s="205" t="s">
        <v>497</v>
      </c>
      <c r="K94" s="205" t="s">
        <v>497</v>
      </c>
      <c r="L94" s="204" t="s">
        <v>497</v>
      </c>
      <c r="M94" s="204" t="s">
        <v>497</v>
      </c>
      <c r="N94" s="204"/>
      <c r="O94" s="204"/>
      <c r="P94" s="204"/>
      <c r="Q94" s="204"/>
      <c r="R94" s="204"/>
      <c r="S94" s="204"/>
      <c r="T94" s="204"/>
      <c r="U94" s="204"/>
      <c r="V94" s="204"/>
      <c r="W94" s="204"/>
      <c r="X94" s="204"/>
      <c r="Y94" s="204"/>
      <c r="Z94" s="204"/>
      <c r="AA94" s="204"/>
      <c r="AB94" s="204"/>
      <c r="AC94" s="204"/>
      <c r="AD94" s="204"/>
      <c r="AE94" s="204"/>
      <c r="AF94" s="204"/>
      <c r="AG94" s="204"/>
      <c r="AH94" s="204"/>
      <c r="AI94" s="204"/>
      <c r="AJ94" s="204"/>
      <c r="AK94" s="204"/>
      <c r="AL94" s="204"/>
      <c r="AM94" s="204"/>
      <c r="AN94" s="204"/>
      <c r="AO94" s="204"/>
      <c r="AP94" s="204"/>
      <c r="AQ94" s="204"/>
      <c r="AR94" s="204"/>
      <c r="AS94" s="204"/>
      <c r="AT94" s="204"/>
      <c r="AU94" s="206"/>
      <c r="AV94" s="202"/>
      <c r="AW94" s="202"/>
      <c r="AX94" s="202"/>
      <c r="AY94" s="202"/>
      <c r="AZ94" s="202"/>
      <c r="BA94" s="202"/>
      <c r="BB94" s="202"/>
      <c r="BC94" s="202"/>
      <c r="BD94" s="202"/>
      <c r="BE94" s="202"/>
      <c r="BF94" s="202"/>
      <c r="BG94" s="202"/>
    </row>
    <row r="95" spans="2:59" ht="15">
      <c r="B95" s="204" t="s">
        <v>497</v>
      </c>
      <c r="C95" s="204" t="s">
        <v>497</v>
      </c>
      <c r="D95" s="204" t="s">
        <v>497</v>
      </c>
      <c r="E95" s="204" t="s">
        <v>497</v>
      </c>
      <c r="F95" s="204" t="s">
        <v>497</v>
      </c>
      <c r="G95" s="204" t="s">
        <v>497</v>
      </c>
      <c r="H95" s="204" t="s">
        <v>497</v>
      </c>
      <c r="I95" s="204" t="s">
        <v>497</v>
      </c>
      <c r="J95" s="205" t="s">
        <v>497</v>
      </c>
      <c r="K95" s="205" t="s">
        <v>497</v>
      </c>
      <c r="L95" s="204" t="s">
        <v>497</v>
      </c>
      <c r="M95" s="204" t="s">
        <v>497</v>
      </c>
      <c r="N95" s="204"/>
      <c r="O95" s="204"/>
      <c r="P95" s="204"/>
      <c r="Q95" s="204"/>
      <c r="R95" s="204"/>
      <c r="S95" s="204"/>
      <c r="T95" s="204"/>
      <c r="U95" s="204"/>
      <c r="V95" s="204"/>
      <c r="W95" s="204"/>
      <c r="X95" s="204"/>
      <c r="Y95" s="204"/>
      <c r="Z95" s="204"/>
      <c r="AA95" s="204"/>
      <c r="AB95" s="204"/>
      <c r="AC95" s="204"/>
      <c r="AD95" s="204"/>
      <c r="AE95" s="204"/>
      <c r="AF95" s="204"/>
      <c r="AG95" s="204"/>
      <c r="AH95" s="204"/>
      <c r="AI95" s="204"/>
      <c r="AJ95" s="204"/>
      <c r="AK95" s="204"/>
      <c r="AL95" s="204"/>
      <c r="AM95" s="204"/>
      <c r="AN95" s="204"/>
      <c r="AO95" s="204"/>
      <c r="AP95" s="204"/>
      <c r="AQ95" s="204"/>
      <c r="AR95" s="204"/>
      <c r="AS95" s="204"/>
      <c r="AT95" s="204"/>
      <c r="AU95" s="206"/>
      <c r="AV95" s="202"/>
      <c r="AW95" s="202"/>
      <c r="AX95" s="202"/>
      <c r="AY95" s="202"/>
      <c r="AZ95" s="202"/>
      <c r="BA95" s="202"/>
      <c r="BB95" s="202"/>
      <c r="BC95" s="202"/>
      <c r="BD95" s="202"/>
      <c r="BE95" s="202"/>
      <c r="BF95" s="202"/>
      <c r="BG95" s="202"/>
    </row>
    <row r="96" spans="2:59" ht="15">
      <c r="B96" s="204" t="s">
        <v>497</v>
      </c>
      <c r="C96" s="204" t="s">
        <v>497</v>
      </c>
      <c r="D96" s="204" t="s">
        <v>497</v>
      </c>
      <c r="E96" s="204" t="s">
        <v>497</v>
      </c>
      <c r="F96" s="204" t="s">
        <v>497</v>
      </c>
      <c r="G96" s="204" t="s">
        <v>497</v>
      </c>
      <c r="H96" s="204" t="s">
        <v>497</v>
      </c>
      <c r="I96" s="204" t="s">
        <v>497</v>
      </c>
      <c r="J96" s="205" t="s">
        <v>497</v>
      </c>
      <c r="K96" s="205" t="s">
        <v>497</v>
      </c>
      <c r="L96" s="204" t="s">
        <v>497</v>
      </c>
      <c r="M96" s="204" t="s">
        <v>497</v>
      </c>
      <c r="N96" s="204"/>
      <c r="O96" s="204"/>
      <c r="P96" s="204"/>
      <c r="Q96" s="204"/>
      <c r="R96" s="204"/>
      <c r="S96" s="204"/>
      <c r="T96" s="204"/>
      <c r="U96" s="204"/>
      <c r="V96" s="204"/>
      <c r="W96" s="204"/>
      <c r="X96" s="204"/>
      <c r="Y96" s="204"/>
      <c r="Z96" s="204"/>
      <c r="AA96" s="204"/>
      <c r="AB96" s="204"/>
      <c r="AC96" s="204"/>
      <c r="AD96" s="204"/>
      <c r="AE96" s="204"/>
      <c r="AF96" s="204"/>
      <c r="AG96" s="204"/>
      <c r="AH96" s="204"/>
      <c r="AI96" s="204"/>
      <c r="AJ96" s="204"/>
      <c r="AK96" s="204"/>
      <c r="AL96" s="204"/>
      <c r="AM96" s="204"/>
      <c r="AN96" s="204"/>
      <c r="AO96" s="204"/>
      <c r="AP96" s="204"/>
      <c r="AQ96" s="204"/>
      <c r="AR96" s="204"/>
      <c r="AS96" s="204"/>
      <c r="AT96" s="204"/>
      <c r="AU96" s="206"/>
      <c r="AV96" s="202"/>
      <c r="AW96" s="202"/>
      <c r="AX96" s="202"/>
      <c r="AY96" s="202"/>
      <c r="AZ96" s="202"/>
      <c r="BA96" s="202"/>
      <c r="BB96" s="202"/>
      <c r="BC96" s="202"/>
      <c r="BD96" s="202"/>
      <c r="BE96" s="202"/>
      <c r="BF96" s="202"/>
      <c r="BG96" s="202"/>
    </row>
    <row r="97" spans="2:59" ht="15">
      <c r="B97" s="204" t="s">
        <v>497</v>
      </c>
      <c r="C97" s="204" t="s">
        <v>497</v>
      </c>
      <c r="D97" s="204" t="s">
        <v>497</v>
      </c>
      <c r="E97" s="204" t="s">
        <v>497</v>
      </c>
      <c r="F97" s="204" t="s">
        <v>497</v>
      </c>
      <c r="G97" s="204" t="s">
        <v>497</v>
      </c>
      <c r="H97" s="204" t="s">
        <v>497</v>
      </c>
      <c r="I97" s="204" t="s">
        <v>497</v>
      </c>
      <c r="J97" s="205" t="s">
        <v>497</v>
      </c>
      <c r="K97" s="205" t="s">
        <v>497</v>
      </c>
      <c r="L97" s="204" t="s">
        <v>497</v>
      </c>
      <c r="M97" s="204" t="s">
        <v>497</v>
      </c>
      <c r="N97" s="204"/>
      <c r="O97" s="204"/>
      <c r="P97" s="204"/>
      <c r="Q97" s="204"/>
      <c r="R97" s="204"/>
      <c r="S97" s="204"/>
      <c r="T97" s="204"/>
      <c r="U97" s="204"/>
      <c r="V97" s="204"/>
      <c r="W97" s="204"/>
      <c r="X97" s="204"/>
      <c r="Y97" s="204"/>
      <c r="Z97" s="204"/>
      <c r="AA97" s="204"/>
      <c r="AB97" s="204"/>
      <c r="AC97" s="204"/>
      <c r="AD97" s="204"/>
      <c r="AE97" s="204"/>
      <c r="AF97" s="204"/>
      <c r="AG97" s="204"/>
      <c r="AH97" s="204"/>
      <c r="AI97" s="204"/>
      <c r="AJ97" s="204"/>
      <c r="AK97" s="204"/>
      <c r="AL97" s="204"/>
      <c r="AM97" s="204"/>
      <c r="AN97" s="204"/>
      <c r="AO97" s="204"/>
      <c r="AP97" s="204"/>
      <c r="AQ97" s="204"/>
      <c r="AR97" s="204"/>
      <c r="AS97" s="204"/>
      <c r="AT97" s="204"/>
      <c r="AU97" s="206"/>
      <c r="AV97" s="202"/>
      <c r="AW97" s="202"/>
      <c r="AX97" s="202"/>
      <c r="AY97" s="202"/>
      <c r="AZ97" s="202"/>
      <c r="BA97" s="202"/>
      <c r="BB97" s="202"/>
      <c r="BC97" s="202"/>
      <c r="BD97" s="202"/>
      <c r="BE97" s="202"/>
      <c r="BF97" s="202"/>
      <c r="BG97" s="202"/>
    </row>
    <row r="98" spans="2:59" ht="15">
      <c r="B98" s="204" t="s">
        <v>497</v>
      </c>
      <c r="C98" s="204" t="s">
        <v>497</v>
      </c>
      <c r="D98" s="204" t="s">
        <v>497</v>
      </c>
      <c r="E98" s="204" t="s">
        <v>497</v>
      </c>
      <c r="F98" s="204" t="s">
        <v>497</v>
      </c>
      <c r="G98" s="204" t="s">
        <v>497</v>
      </c>
      <c r="H98" s="204" t="s">
        <v>497</v>
      </c>
      <c r="I98" s="204" t="s">
        <v>497</v>
      </c>
      <c r="J98" s="205" t="s">
        <v>497</v>
      </c>
      <c r="K98" s="205" t="s">
        <v>497</v>
      </c>
      <c r="L98" s="204" t="s">
        <v>497</v>
      </c>
      <c r="M98" s="204" t="s">
        <v>497</v>
      </c>
      <c r="N98" s="204"/>
      <c r="O98" s="204"/>
      <c r="P98" s="204"/>
      <c r="Q98" s="204"/>
      <c r="R98" s="204"/>
      <c r="S98" s="204"/>
      <c r="T98" s="204"/>
      <c r="U98" s="204"/>
      <c r="V98" s="204"/>
      <c r="W98" s="204"/>
      <c r="X98" s="204"/>
      <c r="Y98" s="204"/>
      <c r="Z98" s="204"/>
      <c r="AA98" s="204"/>
      <c r="AB98" s="204"/>
      <c r="AC98" s="204"/>
      <c r="AD98" s="204"/>
      <c r="AE98" s="204"/>
      <c r="AF98" s="204"/>
      <c r="AG98" s="204"/>
      <c r="AH98" s="204"/>
      <c r="AI98" s="204"/>
      <c r="AJ98" s="204"/>
      <c r="AK98" s="204"/>
      <c r="AL98" s="204"/>
      <c r="AM98" s="204"/>
      <c r="AN98" s="204"/>
      <c r="AO98" s="204"/>
      <c r="AP98" s="204"/>
      <c r="AQ98" s="204"/>
      <c r="AR98" s="204"/>
      <c r="AS98" s="204"/>
      <c r="AT98" s="204"/>
      <c r="AU98" s="206"/>
      <c r="AV98" s="202"/>
      <c r="AW98" s="202"/>
      <c r="AX98" s="202"/>
      <c r="AY98" s="202"/>
      <c r="AZ98" s="202"/>
      <c r="BA98" s="202"/>
      <c r="BB98" s="202"/>
      <c r="BC98" s="202"/>
      <c r="BD98" s="202"/>
      <c r="BE98" s="202"/>
      <c r="BF98" s="202"/>
      <c r="BG98" s="202"/>
    </row>
    <row r="99" spans="2:59" ht="15">
      <c r="B99" s="204" t="s">
        <v>497</v>
      </c>
      <c r="C99" s="204" t="s">
        <v>497</v>
      </c>
      <c r="D99" s="204" t="s">
        <v>497</v>
      </c>
      <c r="E99" s="204" t="s">
        <v>497</v>
      </c>
      <c r="F99" s="204" t="s">
        <v>497</v>
      </c>
      <c r="G99" s="204" t="s">
        <v>497</v>
      </c>
      <c r="H99" s="204" t="s">
        <v>497</v>
      </c>
      <c r="I99" s="204" t="s">
        <v>497</v>
      </c>
      <c r="J99" s="205" t="s">
        <v>497</v>
      </c>
      <c r="K99" s="205" t="s">
        <v>497</v>
      </c>
      <c r="L99" s="204" t="s">
        <v>497</v>
      </c>
      <c r="M99" s="204" t="s">
        <v>497</v>
      </c>
      <c r="N99" s="204"/>
      <c r="O99" s="204"/>
      <c r="P99" s="204"/>
      <c r="Q99" s="204"/>
      <c r="R99" s="204"/>
      <c r="S99" s="204"/>
      <c r="T99" s="204"/>
      <c r="U99" s="204"/>
      <c r="V99" s="204"/>
      <c r="W99" s="204"/>
      <c r="X99" s="204"/>
      <c r="Y99" s="204"/>
      <c r="Z99" s="204"/>
      <c r="AA99" s="204"/>
      <c r="AB99" s="204"/>
      <c r="AC99" s="204"/>
      <c r="AD99" s="204"/>
      <c r="AE99" s="204"/>
      <c r="AF99" s="204"/>
      <c r="AG99" s="204"/>
      <c r="AH99" s="204"/>
      <c r="AI99" s="204"/>
      <c r="AJ99" s="204"/>
      <c r="AK99" s="204"/>
      <c r="AL99" s="204"/>
      <c r="AM99" s="204"/>
      <c r="AN99" s="204"/>
      <c r="AO99" s="204"/>
      <c r="AP99" s="204"/>
      <c r="AQ99" s="204"/>
      <c r="AR99" s="204"/>
      <c r="AS99" s="204"/>
      <c r="AT99" s="204"/>
      <c r="AU99" s="206"/>
      <c r="AV99" s="202"/>
      <c r="AW99" s="202"/>
      <c r="AX99" s="202"/>
      <c r="AY99" s="202"/>
      <c r="AZ99" s="202"/>
      <c r="BA99" s="202"/>
      <c r="BB99" s="202"/>
      <c r="BC99" s="202"/>
      <c r="BD99" s="202"/>
      <c r="BE99" s="202"/>
      <c r="BF99" s="202"/>
      <c r="BG99" s="202"/>
    </row>
    <row r="100" spans="2:59" ht="15">
      <c r="B100" s="204" t="s">
        <v>497</v>
      </c>
      <c r="C100" s="204" t="s">
        <v>497</v>
      </c>
      <c r="D100" s="204" t="s">
        <v>497</v>
      </c>
      <c r="E100" s="204" t="s">
        <v>497</v>
      </c>
      <c r="F100" s="204" t="s">
        <v>497</v>
      </c>
      <c r="G100" s="204" t="s">
        <v>497</v>
      </c>
      <c r="H100" s="204" t="s">
        <v>497</v>
      </c>
      <c r="I100" s="204" t="s">
        <v>497</v>
      </c>
      <c r="J100" s="205" t="s">
        <v>497</v>
      </c>
      <c r="K100" s="205" t="s">
        <v>497</v>
      </c>
      <c r="L100" s="204" t="s">
        <v>497</v>
      </c>
      <c r="M100" s="204" t="s">
        <v>497</v>
      </c>
      <c r="N100" s="204"/>
      <c r="O100" s="204"/>
      <c r="P100" s="204"/>
      <c r="Q100" s="204"/>
      <c r="R100" s="204"/>
      <c r="S100" s="204"/>
      <c r="T100" s="204"/>
      <c r="U100" s="204"/>
      <c r="V100" s="204"/>
      <c r="W100" s="204"/>
      <c r="X100" s="204"/>
      <c r="Y100" s="204"/>
      <c r="Z100" s="204"/>
      <c r="AA100" s="204"/>
      <c r="AB100" s="204"/>
      <c r="AC100" s="204"/>
      <c r="AD100" s="204"/>
      <c r="AE100" s="204"/>
      <c r="AF100" s="204"/>
      <c r="AG100" s="204"/>
      <c r="AH100" s="204"/>
      <c r="AI100" s="204"/>
      <c r="AJ100" s="204"/>
      <c r="AK100" s="204"/>
      <c r="AL100" s="204"/>
      <c r="AM100" s="204"/>
      <c r="AN100" s="204"/>
      <c r="AO100" s="204"/>
      <c r="AP100" s="204"/>
      <c r="AQ100" s="204"/>
      <c r="AR100" s="204"/>
      <c r="AS100" s="204"/>
      <c r="AT100" s="204"/>
      <c r="AU100" s="206"/>
      <c r="AV100" s="202"/>
      <c r="AW100" s="202"/>
      <c r="AX100" s="202"/>
      <c r="AY100" s="202"/>
      <c r="AZ100" s="202"/>
      <c r="BA100" s="202"/>
      <c r="BB100" s="202"/>
      <c r="BC100" s="202"/>
      <c r="BD100" s="202"/>
      <c r="BE100" s="202"/>
      <c r="BF100" s="202"/>
      <c r="BG100" s="202"/>
    </row>
    <row r="101" spans="2:59" ht="15">
      <c r="B101" s="204" t="s">
        <v>497</v>
      </c>
      <c r="C101" s="204" t="s">
        <v>497</v>
      </c>
      <c r="D101" s="204" t="s">
        <v>497</v>
      </c>
      <c r="E101" s="204" t="s">
        <v>497</v>
      </c>
      <c r="F101" s="204" t="s">
        <v>497</v>
      </c>
      <c r="G101" s="204" t="s">
        <v>497</v>
      </c>
      <c r="H101" s="204" t="s">
        <v>497</v>
      </c>
      <c r="I101" s="204" t="s">
        <v>497</v>
      </c>
      <c r="J101" s="205" t="s">
        <v>497</v>
      </c>
      <c r="K101" s="205" t="s">
        <v>497</v>
      </c>
      <c r="L101" s="204" t="s">
        <v>497</v>
      </c>
      <c r="M101" s="204" t="s">
        <v>497</v>
      </c>
      <c r="N101" s="204"/>
      <c r="O101" s="204"/>
      <c r="P101" s="204"/>
      <c r="Q101" s="204"/>
      <c r="R101" s="204"/>
      <c r="S101" s="204"/>
      <c r="T101" s="204"/>
      <c r="U101" s="204"/>
      <c r="V101" s="204"/>
      <c r="W101" s="204"/>
      <c r="X101" s="204"/>
      <c r="Y101" s="204"/>
      <c r="Z101" s="204"/>
      <c r="AA101" s="204"/>
      <c r="AB101" s="204"/>
      <c r="AC101" s="204"/>
      <c r="AD101" s="204"/>
      <c r="AE101" s="204"/>
      <c r="AF101" s="204"/>
      <c r="AG101" s="204"/>
      <c r="AH101" s="204"/>
      <c r="AI101" s="204"/>
      <c r="AJ101" s="204"/>
      <c r="AK101" s="204"/>
      <c r="AL101" s="204"/>
      <c r="AM101" s="204"/>
      <c r="AN101" s="204"/>
      <c r="AO101" s="204"/>
      <c r="AP101" s="204"/>
      <c r="AQ101" s="204"/>
      <c r="AR101" s="204"/>
      <c r="AS101" s="204"/>
      <c r="AT101" s="204"/>
      <c r="AU101" s="206"/>
      <c r="AV101" s="202"/>
      <c r="AW101" s="202"/>
      <c r="AX101" s="202"/>
      <c r="AY101" s="202"/>
      <c r="AZ101" s="202"/>
      <c r="BA101" s="202"/>
      <c r="BB101" s="202"/>
      <c r="BC101" s="202"/>
      <c r="BD101" s="202"/>
      <c r="BE101" s="202"/>
      <c r="BF101" s="202"/>
      <c r="BG101" s="202"/>
    </row>
    <row r="102" spans="2:59" ht="15">
      <c r="B102" s="204" t="s">
        <v>497</v>
      </c>
      <c r="C102" s="204" t="s">
        <v>497</v>
      </c>
      <c r="D102" s="204" t="s">
        <v>497</v>
      </c>
      <c r="E102" s="204" t="s">
        <v>497</v>
      </c>
      <c r="F102" s="204" t="s">
        <v>497</v>
      </c>
      <c r="G102" s="204" t="s">
        <v>497</v>
      </c>
      <c r="H102" s="204" t="s">
        <v>497</v>
      </c>
      <c r="I102" s="204" t="s">
        <v>497</v>
      </c>
      <c r="J102" s="205" t="s">
        <v>497</v>
      </c>
      <c r="K102" s="205" t="s">
        <v>497</v>
      </c>
      <c r="L102" s="204" t="s">
        <v>497</v>
      </c>
      <c r="M102" s="204" t="s">
        <v>497</v>
      </c>
      <c r="N102" s="204"/>
      <c r="O102" s="204"/>
      <c r="P102" s="204"/>
      <c r="Q102" s="204"/>
      <c r="R102" s="204"/>
      <c r="S102" s="204"/>
      <c r="T102" s="204"/>
      <c r="U102" s="204"/>
      <c r="V102" s="204"/>
      <c r="W102" s="204"/>
      <c r="X102" s="204"/>
      <c r="Y102" s="204"/>
      <c r="Z102" s="204"/>
      <c r="AA102" s="204"/>
      <c r="AB102" s="204"/>
      <c r="AC102" s="204"/>
      <c r="AD102" s="204"/>
      <c r="AE102" s="204"/>
      <c r="AF102" s="204"/>
      <c r="AG102" s="204"/>
      <c r="AH102" s="204"/>
      <c r="AI102" s="204"/>
      <c r="AJ102" s="204"/>
      <c r="AK102" s="204"/>
      <c r="AL102" s="204"/>
      <c r="AM102" s="204"/>
      <c r="AN102" s="204"/>
      <c r="AO102" s="204"/>
      <c r="AP102" s="204"/>
      <c r="AQ102" s="204"/>
      <c r="AR102" s="204"/>
      <c r="AS102" s="204"/>
      <c r="AT102" s="204"/>
      <c r="AU102" s="206"/>
      <c r="AV102" s="202"/>
      <c r="AW102" s="202"/>
      <c r="AX102" s="202"/>
      <c r="AY102" s="202"/>
      <c r="AZ102" s="202"/>
      <c r="BA102" s="202"/>
      <c r="BB102" s="202"/>
      <c r="BC102" s="202"/>
      <c r="BD102" s="202"/>
      <c r="BE102" s="202"/>
      <c r="BF102" s="202"/>
      <c r="BG102" s="202"/>
    </row>
    <row r="103" spans="2:59" ht="15">
      <c r="B103" s="204" t="s">
        <v>497</v>
      </c>
      <c r="C103" s="204" t="s">
        <v>497</v>
      </c>
      <c r="D103" s="204" t="s">
        <v>497</v>
      </c>
      <c r="E103" s="204" t="s">
        <v>497</v>
      </c>
      <c r="F103" s="204" t="s">
        <v>497</v>
      </c>
      <c r="G103" s="204" t="s">
        <v>497</v>
      </c>
      <c r="H103" s="204" t="s">
        <v>497</v>
      </c>
      <c r="I103" s="204" t="s">
        <v>497</v>
      </c>
      <c r="J103" s="205" t="s">
        <v>497</v>
      </c>
      <c r="K103" s="205" t="s">
        <v>497</v>
      </c>
      <c r="L103" s="204" t="s">
        <v>497</v>
      </c>
      <c r="M103" s="204" t="s">
        <v>497</v>
      </c>
      <c r="N103" s="204"/>
      <c r="O103" s="204"/>
      <c r="P103" s="204"/>
      <c r="Q103" s="204"/>
      <c r="R103" s="204"/>
      <c r="S103" s="204"/>
      <c r="T103" s="204"/>
      <c r="U103" s="204"/>
      <c r="V103" s="204"/>
      <c r="W103" s="204"/>
      <c r="X103" s="204"/>
      <c r="Y103" s="204"/>
      <c r="Z103" s="204"/>
      <c r="AA103" s="204"/>
      <c r="AB103" s="204"/>
      <c r="AC103" s="204"/>
      <c r="AD103" s="204"/>
      <c r="AE103" s="204"/>
      <c r="AF103" s="204"/>
      <c r="AG103" s="204"/>
      <c r="AH103" s="204"/>
      <c r="AI103" s="204"/>
      <c r="AJ103" s="204"/>
      <c r="AK103" s="204"/>
      <c r="AL103" s="204"/>
      <c r="AM103" s="204"/>
      <c r="AN103" s="204"/>
      <c r="AO103" s="204"/>
      <c r="AP103" s="204"/>
      <c r="AQ103" s="204"/>
      <c r="AR103" s="204"/>
      <c r="AS103" s="204"/>
      <c r="AT103" s="204"/>
      <c r="AU103" s="206"/>
      <c r="AV103" s="202"/>
      <c r="AW103" s="202"/>
      <c r="AX103" s="202"/>
      <c r="AY103" s="202"/>
      <c r="AZ103" s="202"/>
      <c r="BA103" s="202"/>
      <c r="BB103" s="202"/>
      <c r="BC103" s="202"/>
      <c r="BD103" s="202"/>
      <c r="BE103" s="202"/>
      <c r="BF103" s="202"/>
      <c r="BG103" s="202"/>
    </row>
    <row r="104" spans="2:59" ht="15">
      <c r="B104" s="204" t="s">
        <v>497</v>
      </c>
      <c r="C104" s="204" t="s">
        <v>497</v>
      </c>
      <c r="D104" s="204" t="s">
        <v>497</v>
      </c>
      <c r="E104" s="204" t="s">
        <v>497</v>
      </c>
      <c r="F104" s="204" t="s">
        <v>497</v>
      </c>
      <c r="G104" s="204" t="s">
        <v>497</v>
      </c>
      <c r="H104" s="204" t="s">
        <v>497</v>
      </c>
      <c r="I104" s="204" t="s">
        <v>497</v>
      </c>
      <c r="J104" s="205" t="s">
        <v>497</v>
      </c>
      <c r="K104" s="205" t="s">
        <v>497</v>
      </c>
      <c r="L104" s="204" t="s">
        <v>497</v>
      </c>
      <c r="M104" s="204" t="s">
        <v>497</v>
      </c>
      <c r="N104" s="204"/>
      <c r="O104" s="204"/>
      <c r="P104" s="204"/>
      <c r="Q104" s="204"/>
      <c r="R104" s="204"/>
      <c r="S104" s="204"/>
      <c r="T104" s="204"/>
      <c r="U104" s="204"/>
      <c r="V104" s="204"/>
      <c r="W104" s="204"/>
      <c r="X104" s="204"/>
      <c r="Y104" s="204"/>
      <c r="Z104" s="204"/>
      <c r="AA104" s="204"/>
      <c r="AB104" s="204"/>
      <c r="AC104" s="204"/>
      <c r="AD104" s="204"/>
      <c r="AE104" s="204"/>
      <c r="AF104" s="204"/>
      <c r="AG104" s="204"/>
      <c r="AH104" s="204"/>
      <c r="AI104" s="204"/>
      <c r="AJ104" s="204"/>
      <c r="AK104" s="204"/>
      <c r="AL104" s="204"/>
      <c r="AM104" s="204"/>
      <c r="AN104" s="204"/>
      <c r="AO104" s="204"/>
      <c r="AP104" s="204"/>
      <c r="AQ104" s="204"/>
      <c r="AR104" s="204"/>
      <c r="AS104" s="204"/>
      <c r="AT104" s="204"/>
      <c r="AU104" s="206"/>
      <c r="AV104" s="202"/>
      <c r="AW104" s="202"/>
      <c r="AX104" s="202"/>
      <c r="AY104" s="202"/>
      <c r="AZ104" s="202"/>
      <c r="BA104" s="202"/>
      <c r="BB104" s="202"/>
      <c r="BC104" s="202"/>
      <c r="BD104" s="202"/>
      <c r="BE104" s="202"/>
      <c r="BF104" s="202"/>
      <c r="BG104" s="202"/>
    </row>
    <row r="105" spans="2:59" ht="15">
      <c r="B105" s="204" t="s">
        <v>497</v>
      </c>
      <c r="C105" s="204" t="s">
        <v>497</v>
      </c>
      <c r="D105" s="204" t="s">
        <v>497</v>
      </c>
      <c r="E105" s="204" t="s">
        <v>497</v>
      </c>
      <c r="F105" s="204" t="s">
        <v>497</v>
      </c>
      <c r="G105" s="204" t="s">
        <v>497</v>
      </c>
      <c r="H105" s="204" t="s">
        <v>497</v>
      </c>
      <c r="I105" s="204" t="s">
        <v>497</v>
      </c>
      <c r="J105" s="205" t="s">
        <v>497</v>
      </c>
      <c r="K105" s="205" t="s">
        <v>497</v>
      </c>
      <c r="L105" s="204" t="s">
        <v>497</v>
      </c>
      <c r="M105" s="204" t="s">
        <v>497</v>
      </c>
      <c r="N105" s="204"/>
      <c r="O105" s="204"/>
      <c r="P105" s="204"/>
      <c r="Q105" s="204"/>
      <c r="R105" s="204"/>
      <c r="S105" s="204"/>
      <c r="T105" s="204"/>
      <c r="U105" s="204"/>
      <c r="V105" s="204"/>
      <c r="W105" s="204"/>
      <c r="X105" s="204"/>
      <c r="Y105" s="204"/>
      <c r="Z105" s="204"/>
      <c r="AA105" s="204"/>
      <c r="AB105" s="204"/>
      <c r="AC105" s="204"/>
      <c r="AD105" s="204"/>
      <c r="AE105" s="204"/>
      <c r="AF105" s="204"/>
      <c r="AG105" s="204"/>
      <c r="AH105" s="204"/>
      <c r="AI105" s="204"/>
      <c r="AJ105" s="204"/>
      <c r="AK105" s="204"/>
      <c r="AL105" s="204"/>
      <c r="AM105" s="204"/>
      <c r="AN105" s="204"/>
      <c r="AO105" s="204"/>
      <c r="AP105" s="204"/>
      <c r="AQ105" s="204"/>
      <c r="AR105" s="204"/>
      <c r="AS105" s="204"/>
      <c r="AT105" s="204"/>
      <c r="AU105" s="206"/>
      <c r="AV105" s="202"/>
      <c r="AW105" s="202"/>
      <c r="AX105" s="202"/>
      <c r="AY105" s="202"/>
      <c r="AZ105" s="202"/>
      <c r="BA105" s="202"/>
      <c r="BB105" s="202"/>
      <c r="BC105" s="202"/>
      <c r="BD105" s="202"/>
      <c r="BE105" s="202"/>
      <c r="BF105" s="202"/>
      <c r="BG105" s="202"/>
    </row>
    <row r="106" spans="2:59" ht="15">
      <c r="B106" s="204" t="s">
        <v>497</v>
      </c>
      <c r="C106" s="204" t="s">
        <v>497</v>
      </c>
      <c r="D106" s="204" t="s">
        <v>497</v>
      </c>
      <c r="E106" s="204" t="s">
        <v>497</v>
      </c>
      <c r="F106" s="204" t="s">
        <v>497</v>
      </c>
      <c r="G106" s="204" t="s">
        <v>497</v>
      </c>
      <c r="H106" s="204" t="s">
        <v>497</v>
      </c>
      <c r="I106" s="204" t="s">
        <v>497</v>
      </c>
      <c r="J106" s="205" t="s">
        <v>497</v>
      </c>
      <c r="K106" s="205" t="s">
        <v>497</v>
      </c>
      <c r="L106" s="204" t="s">
        <v>497</v>
      </c>
      <c r="M106" s="204" t="s">
        <v>497</v>
      </c>
      <c r="N106" s="204"/>
      <c r="O106" s="204"/>
      <c r="P106" s="204"/>
      <c r="Q106" s="204"/>
      <c r="R106" s="204"/>
      <c r="S106" s="204"/>
      <c r="T106" s="204"/>
      <c r="U106" s="204"/>
      <c r="V106" s="204"/>
      <c r="W106" s="204"/>
      <c r="X106" s="204"/>
      <c r="Y106" s="204"/>
      <c r="Z106" s="204"/>
      <c r="AA106" s="204"/>
      <c r="AB106" s="204"/>
      <c r="AC106" s="204"/>
      <c r="AD106" s="204"/>
      <c r="AE106" s="204"/>
      <c r="AF106" s="204"/>
      <c r="AG106" s="204"/>
      <c r="AH106" s="204"/>
      <c r="AI106" s="204"/>
      <c r="AJ106" s="204"/>
      <c r="AK106" s="204"/>
      <c r="AL106" s="204"/>
      <c r="AM106" s="204"/>
      <c r="AN106" s="204"/>
      <c r="AO106" s="204"/>
      <c r="AP106" s="204"/>
      <c r="AQ106" s="204"/>
      <c r="AR106" s="204"/>
      <c r="AS106" s="204"/>
      <c r="AT106" s="204"/>
      <c r="AU106" s="206"/>
      <c r="AV106" s="202"/>
      <c r="AW106" s="202"/>
      <c r="AX106" s="202"/>
      <c r="AY106" s="202"/>
      <c r="AZ106" s="202"/>
      <c r="BA106" s="202"/>
      <c r="BB106" s="202"/>
      <c r="BC106" s="202"/>
      <c r="BD106" s="202"/>
      <c r="BE106" s="202"/>
      <c r="BF106" s="202"/>
      <c r="BG106" s="202"/>
    </row>
    <row r="107" spans="2:59" ht="15">
      <c r="B107" s="204" t="s">
        <v>497</v>
      </c>
      <c r="C107" s="204" t="s">
        <v>497</v>
      </c>
      <c r="D107" s="204" t="s">
        <v>497</v>
      </c>
      <c r="E107" s="204" t="s">
        <v>497</v>
      </c>
      <c r="F107" s="204" t="s">
        <v>497</v>
      </c>
      <c r="G107" s="204" t="s">
        <v>497</v>
      </c>
      <c r="H107" s="204" t="s">
        <v>497</v>
      </c>
      <c r="I107" s="204" t="s">
        <v>497</v>
      </c>
      <c r="J107" s="205" t="s">
        <v>497</v>
      </c>
      <c r="K107" s="205" t="s">
        <v>497</v>
      </c>
      <c r="L107" s="204" t="s">
        <v>497</v>
      </c>
      <c r="M107" s="204" t="s">
        <v>497</v>
      </c>
      <c r="N107" s="204"/>
      <c r="O107" s="204"/>
      <c r="P107" s="204"/>
      <c r="Q107" s="204"/>
      <c r="R107" s="204"/>
      <c r="S107" s="204"/>
      <c r="T107" s="204"/>
      <c r="U107" s="204"/>
      <c r="V107" s="204"/>
      <c r="W107" s="204"/>
      <c r="X107" s="204"/>
      <c r="Y107" s="204"/>
      <c r="Z107" s="204"/>
      <c r="AA107" s="204"/>
      <c r="AB107" s="204"/>
      <c r="AC107" s="204"/>
      <c r="AD107" s="204"/>
      <c r="AE107" s="204"/>
      <c r="AF107" s="204"/>
      <c r="AG107" s="204"/>
      <c r="AH107" s="204"/>
      <c r="AI107" s="204"/>
      <c r="AJ107" s="204"/>
      <c r="AK107" s="204"/>
      <c r="AL107" s="204"/>
      <c r="AM107" s="204"/>
      <c r="AN107" s="204"/>
      <c r="AO107" s="204"/>
      <c r="AP107" s="204"/>
      <c r="AQ107" s="204"/>
      <c r="AR107" s="204"/>
      <c r="AS107" s="204"/>
      <c r="AT107" s="204"/>
      <c r="AU107" s="206"/>
      <c r="AV107" s="202"/>
      <c r="AW107" s="202"/>
      <c r="AX107" s="202"/>
      <c r="AY107" s="202"/>
      <c r="AZ107" s="202"/>
      <c r="BA107" s="202"/>
      <c r="BB107" s="202"/>
      <c r="BC107" s="202"/>
      <c r="BD107" s="202"/>
      <c r="BE107" s="202"/>
      <c r="BF107" s="202"/>
      <c r="BG107" s="202"/>
    </row>
    <row r="108" spans="2:59" ht="15">
      <c r="B108" s="204" t="s">
        <v>497</v>
      </c>
      <c r="C108" s="204" t="s">
        <v>497</v>
      </c>
      <c r="D108" s="204" t="s">
        <v>497</v>
      </c>
      <c r="E108" s="204" t="s">
        <v>497</v>
      </c>
      <c r="F108" s="204" t="s">
        <v>497</v>
      </c>
      <c r="G108" s="204" t="s">
        <v>497</v>
      </c>
      <c r="H108" s="204" t="s">
        <v>497</v>
      </c>
      <c r="I108" s="204" t="s">
        <v>497</v>
      </c>
      <c r="J108" s="205" t="s">
        <v>497</v>
      </c>
      <c r="K108" s="205" t="s">
        <v>497</v>
      </c>
      <c r="L108" s="204" t="s">
        <v>497</v>
      </c>
      <c r="M108" s="204" t="s">
        <v>497</v>
      </c>
      <c r="N108" s="204"/>
      <c r="O108" s="204"/>
      <c r="P108" s="204"/>
      <c r="Q108" s="204"/>
      <c r="R108" s="204"/>
      <c r="S108" s="204"/>
      <c r="T108" s="204"/>
      <c r="U108" s="204"/>
      <c r="V108" s="204"/>
      <c r="W108" s="204"/>
      <c r="X108" s="204"/>
      <c r="Y108" s="204"/>
      <c r="Z108" s="204"/>
      <c r="AA108" s="204"/>
      <c r="AB108" s="204"/>
      <c r="AC108" s="204"/>
      <c r="AD108" s="204"/>
      <c r="AE108" s="204"/>
      <c r="AF108" s="204"/>
      <c r="AG108" s="204"/>
      <c r="AH108" s="204"/>
      <c r="AI108" s="204"/>
      <c r="AJ108" s="204"/>
      <c r="AK108" s="204"/>
      <c r="AL108" s="204"/>
      <c r="AM108" s="204"/>
      <c r="AN108" s="204"/>
      <c r="AO108" s="204"/>
      <c r="AP108" s="204"/>
      <c r="AQ108" s="204"/>
      <c r="AR108" s="204"/>
      <c r="AS108" s="204"/>
      <c r="AT108" s="204"/>
      <c r="AU108" s="206"/>
      <c r="AV108" s="202"/>
      <c r="AW108" s="202"/>
      <c r="AX108" s="202"/>
      <c r="AY108" s="202"/>
      <c r="AZ108" s="202"/>
      <c r="BA108" s="202"/>
      <c r="BB108" s="202"/>
      <c r="BC108" s="202"/>
      <c r="BD108" s="202"/>
      <c r="BE108" s="202"/>
      <c r="BF108" s="202"/>
      <c r="BG108" s="202"/>
    </row>
    <row r="109" spans="2:59" ht="15">
      <c r="B109" s="204" t="s">
        <v>497</v>
      </c>
      <c r="C109" s="204" t="s">
        <v>497</v>
      </c>
      <c r="D109" s="204" t="s">
        <v>497</v>
      </c>
      <c r="E109" s="204" t="s">
        <v>497</v>
      </c>
      <c r="F109" s="204" t="s">
        <v>497</v>
      </c>
      <c r="G109" s="204" t="s">
        <v>497</v>
      </c>
      <c r="H109" s="204" t="s">
        <v>497</v>
      </c>
      <c r="I109" s="204" t="s">
        <v>497</v>
      </c>
      <c r="J109" s="205" t="s">
        <v>497</v>
      </c>
      <c r="K109" s="205" t="s">
        <v>497</v>
      </c>
      <c r="L109" s="204" t="s">
        <v>497</v>
      </c>
      <c r="M109" s="204" t="s">
        <v>497</v>
      </c>
      <c r="N109" s="204"/>
      <c r="O109" s="204"/>
      <c r="P109" s="204"/>
      <c r="Q109" s="204"/>
      <c r="R109" s="204"/>
      <c r="S109" s="204"/>
      <c r="T109" s="204"/>
      <c r="U109" s="204"/>
      <c r="V109" s="204"/>
      <c r="W109" s="204"/>
      <c r="X109" s="204"/>
      <c r="Y109" s="204"/>
      <c r="Z109" s="204"/>
      <c r="AA109" s="204"/>
      <c r="AB109" s="204"/>
      <c r="AC109" s="204"/>
      <c r="AD109" s="204"/>
      <c r="AE109" s="204"/>
      <c r="AF109" s="204"/>
      <c r="AG109" s="204"/>
      <c r="AH109" s="204"/>
      <c r="AI109" s="204"/>
      <c r="AJ109" s="204"/>
      <c r="AK109" s="204"/>
      <c r="AL109" s="204"/>
      <c r="AM109" s="204"/>
      <c r="AN109" s="204"/>
      <c r="AO109" s="204"/>
      <c r="AP109" s="204"/>
      <c r="AQ109" s="204"/>
      <c r="AR109" s="204"/>
      <c r="AS109" s="204"/>
      <c r="AT109" s="204"/>
      <c r="AU109" s="206"/>
      <c r="AV109" s="202"/>
      <c r="AW109" s="202"/>
      <c r="AX109" s="202"/>
      <c r="AY109" s="202"/>
      <c r="AZ109" s="202"/>
      <c r="BA109" s="202"/>
      <c r="BB109" s="202"/>
      <c r="BC109" s="202"/>
      <c r="BD109" s="202"/>
      <c r="BE109" s="202"/>
      <c r="BF109" s="202"/>
      <c r="BG109" s="202"/>
    </row>
    <row r="110" spans="2:59" ht="15">
      <c r="B110" s="204" t="s">
        <v>497</v>
      </c>
      <c r="C110" s="204" t="s">
        <v>497</v>
      </c>
      <c r="D110" s="204" t="s">
        <v>497</v>
      </c>
      <c r="E110" s="204" t="s">
        <v>497</v>
      </c>
      <c r="F110" s="204" t="s">
        <v>497</v>
      </c>
      <c r="G110" s="204" t="s">
        <v>497</v>
      </c>
      <c r="H110" s="204" t="s">
        <v>497</v>
      </c>
      <c r="I110" s="204" t="s">
        <v>497</v>
      </c>
      <c r="J110" s="205" t="s">
        <v>497</v>
      </c>
      <c r="K110" s="205" t="s">
        <v>497</v>
      </c>
      <c r="L110" s="204" t="s">
        <v>497</v>
      </c>
      <c r="M110" s="204" t="s">
        <v>497</v>
      </c>
      <c r="N110" s="204"/>
      <c r="O110" s="204"/>
      <c r="P110" s="204"/>
      <c r="Q110" s="204"/>
      <c r="R110" s="204"/>
      <c r="S110" s="204"/>
      <c r="T110" s="204"/>
      <c r="U110" s="204"/>
      <c r="V110" s="204"/>
      <c r="W110" s="204"/>
      <c r="X110" s="204"/>
      <c r="Y110" s="204"/>
      <c r="Z110" s="204"/>
      <c r="AA110" s="204"/>
      <c r="AB110" s="204"/>
      <c r="AC110" s="204"/>
      <c r="AD110" s="204"/>
      <c r="AE110" s="204"/>
      <c r="AF110" s="204"/>
      <c r="AG110" s="204"/>
      <c r="AH110" s="204"/>
      <c r="AI110" s="204"/>
      <c r="AJ110" s="204"/>
      <c r="AK110" s="204"/>
      <c r="AL110" s="204"/>
      <c r="AM110" s="204"/>
      <c r="AN110" s="204"/>
      <c r="AO110" s="204"/>
      <c r="AP110" s="204"/>
      <c r="AQ110" s="204"/>
      <c r="AR110" s="204"/>
      <c r="AS110" s="204"/>
      <c r="AT110" s="204"/>
      <c r="AU110" s="206"/>
      <c r="AV110" s="202"/>
      <c r="AW110" s="202"/>
      <c r="AX110" s="202"/>
      <c r="AY110" s="202"/>
      <c r="AZ110" s="202"/>
      <c r="BA110" s="202"/>
      <c r="BB110" s="202"/>
      <c r="BC110" s="202"/>
      <c r="BD110" s="202"/>
      <c r="BE110" s="202"/>
      <c r="BF110" s="202"/>
      <c r="BG110" s="202"/>
    </row>
    <row r="111" spans="2:59" ht="15">
      <c r="B111" s="204" t="s">
        <v>497</v>
      </c>
      <c r="C111" s="204" t="s">
        <v>497</v>
      </c>
      <c r="D111" s="204" t="s">
        <v>497</v>
      </c>
      <c r="E111" s="204" t="s">
        <v>497</v>
      </c>
      <c r="F111" s="204" t="s">
        <v>497</v>
      </c>
      <c r="G111" s="204" t="s">
        <v>497</v>
      </c>
      <c r="H111" s="204" t="s">
        <v>497</v>
      </c>
      <c r="I111" s="204" t="s">
        <v>497</v>
      </c>
      <c r="J111" s="205" t="s">
        <v>497</v>
      </c>
      <c r="K111" s="205" t="s">
        <v>497</v>
      </c>
      <c r="L111" s="204" t="s">
        <v>497</v>
      </c>
      <c r="M111" s="204" t="s">
        <v>497</v>
      </c>
      <c r="N111" s="204"/>
      <c r="O111" s="204"/>
      <c r="P111" s="204"/>
      <c r="Q111" s="204"/>
      <c r="R111" s="204"/>
      <c r="S111" s="204"/>
      <c r="T111" s="204"/>
      <c r="U111" s="204"/>
      <c r="V111" s="204"/>
      <c r="W111" s="204"/>
      <c r="X111" s="204"/>
      <c r="Y111" s="204"/>
      <c r="Z111" s="204"/>
      <c r="AA111" s="204"/>
      <c r="AB111" s="204"/>
      <c r="AC111" s="204"/>
      <c r="AD111" s="204"/>
      <c r="AE111" s="204"/>
      <c r="AF111" s="204"/>
      <c r="AG111" s="204"/>
      <c r="AH111" s="204"/>
      <c r="AI111" s="204"/>
      <c r="AJ111" s="204"/>
      <c r="AK111" s="204"/>
      <c r="AL111" s="204"/>
      <c r="AM111" s="204"/>
      <c r="AN111" s="204"/>
      <c r="AO111" s="204"/>
      <c r="AP111" s="204"/>
      <c r="AQ111" s="204"/>
      <c r="AR111" s="204"/>
      <c r="AS111" s="204"/>
      <c r="AT111" s="204"/>
      <c r="AU111" s="206"/>
      <c r="AV111" s="202"/>
      <c r="AW111" s="202"/>
      <c r="AX111" s="202"/>
      <c r="AY111" s="202"/>
      <c r="AZ111" s="202"/>
      <c r="BA111" s="202"/>
      <c r="BB111" s="202"/>
      <c r="BC111" s="202"/>
      <c r="BD111" s="202"/>
      <c r="BE111" s="202"/>
      <c r="BF111" s="202"/>
      <c r="BG111" s="202"/>
    </row>
    <row r="112" spans="2:59" ht="15">
      <c r="B112" s="204" t="s">
        <v>497</v>
      </c>
      <c r="C112" s="204" t="s">
        <v>497</v>
      </c>
      <c r="D112" s="204" t="s">
        <v>497</v>
      </c>
      <c r="E112" s="204" t="s">
        <v>497</v>
      </c>
      <c r="F112" s="204" t="s">
        <v>497</v>
      </c>
      <c r="G112" s="204" t="s">
        <v>497</v>
      </c>
      <c r="H112" s="204" t="s">
        <v>497</v>
      </c>
      <c r="I112" s="204" t="s">
        <v>497</v>
      </c>
      <c r="J112" s="205" t="s">
        <v>497</v>
      </c>
      <c r="K112" s="205" t="s">
        <v>497</v>
      </c>
      <c r="L112" s="204" t="s">
        <v>497</v>
      </c>
      <c r="M112" s="204" t="s">
        <v>497</v>
      </c>
      <c r="N112" s="204"/>
      <c r="O112" s="204"/>
      <c r="P112" s="204"/>
      <c r="Q112" s="204"/>
      <c r="R112" s="204"/>
      <c r="S112" s="204"/>
      <c r="T112" s="204"/>
      <c r="U112" s="204"/>
      <c r="V112" s="204"/>
      <c r="W112" s="204"/>
      <c r="X112" s="204"/>
      <c r="Y112" s="204"/>
      <c r="Z112" s="204"/>
      <c r="AA112" s="204"/>
      <c r="AB112" s="204"/>
      <c r="AC112" s="204"/>
      <c r="AD112" s="204"/>
      <c r="AE112" s="204"/>
      <c r="AF112" s="204"/>
      <c r="AG112" s="204"/>
      <c r="AH112" s="204"/>
      <c r="AI112" s="204"/>
      <c r="AJ112" s="204"/>
      <c r="AK112" s="204"/>
      <c r="AL112" s="204"/>
      <c r="AM112" s="204"/>
      <c r="AN112" s="204"/>
      <c r="AO112" s="204"/>
      <c r="AP112" s="204"/>
      <c r="AQ112" s="204"/>
      <c r="AR112" s="204"/>
      <c r="AS112" s="204"/>
      <c r="AT112" s="204"/>
      <c r="AU112" s="206"/>
      <c r="AV112" s="202"/>
      <c r="AW112" s="202"/>
      <c r="AX112" s="202"/>
      <c r="AY112" s="202"/>
      <c r="AZ112" s="202"/>
      <c r="BA112" s="202"/>
      <c r="BB112" s="202"/>
      <c r="BC112" s="202"/>
      <c r="BD112" s="202"/>
      <c r="BE112" s="202"/>
      <c r="BF112" s="202"/>
      <c r="BG112" s="202"/>
    </row>
    <row r="113" spans="2:59" ht="15">
      <c r="B113" s="204" t="s">
        <v>497</v>
      </c>
      <c r="C113" s="204" t="s">
        <v>497</v>
      </c>
      <c r="D113" s="204" t="s">
        <v>497</v>
      </c>
      <c r="E113" s="204" t="s">
        <v>497</v>
      </c>
      <c r="F113" s="204" t="s">
        <v>497</v>
      </c>
      <c r="G113" s="204" t="s">
        <v>497</v>
      </c>
      <c r="H113" s="204" t="s">
        <v>497</v>
      </c>
      <c r="I113" s="204" t="s">
        <v>497</v>
      </c>
      <c r="J113" s="205" t="s">
        <v>497</v>
      </c>
      <c r="K113" s="205" t="s">
        <v>497</v>
      </c>
      <c r="L113" s="204" t="s">
        <v>497</v>
      </c>
      <c r="M113" s="204" t="s">
        <v>497</v>
      </c>
      <c r="N113" s="204"/>
      <c r="O113" s="204"/>
      <c r="P113" s="204"/>
      <c r="Q113" s="204"/>
      <c r="R113" s="204"/>
      <c r="S113" s="204"/>
      <c r="T113" s="204"/>
      <c r="U113" s="204"/>
      <c r="V113" s="204"/>
      <c r="W113" s="204"/>
      <c r="X113" s="204"/>
      <c r="Y113" s="204"/>
      <c r="Z113" s="204"/>
      <c r="AA113" s="204"/>
      <c r="AB113" s="204"/>
      <c r="AC113" s="204"/>
      <c r="AD113" s="204"/>
      <c r="AE113" s="204"/>
      <c r="AF113" s="204"/>
      <c r="AG113" s="204"/>
      <c r="AH113" s="204"/>
      <c r="AI113" s="204"/>
      <c r="AJ113" s="204"/>
      <c r="AK113" s="204"/>
      <c r="AL113" s="204"/>
      <c r="AM113" s="204"/>
      <c r="AN113" s="204"/>
      <c r="AO113" s="204"/>
      <c r="AP113" s="204"/>
      <c r="AQ113" s="204"/>
      <c r="AR113" s="204"/>
      <c r="AS113" s="204"/>
      <c r="AT113" s="204"/>
      <c r="AU113" s="206"/>
      <c r="AV113" s="202"/>
      <c r="AW113" s="202"/>
      <c r="AX113" s="202"/>
      <c r="AY113" s="202"/>
      <c r="AZ113" s="202"/>
      <c r="BA113" s="202"/>
      <c r="BB113" s="202"/>
      <c r="BC113" s="202"/>
      <c r="BD113" s="202"/>
      <c r="BE113" s="202"/>
      <c r="BF113" s="202"/>
      <c r="BG113" s="202"/>
    </row>
    <row r="114" spans="2:59" ht="15">
      <c r="B114" s="204" t="s">
        <v>497</v>
      </c>
      <c r="C114" s="204" t="s">
        <v>497</v>
      </c>
      <c r="D114" s="204" t="s">
        <v>497</v>
      </c>
      <c r="E114" s="204" t="s">
        <v>497</v>
      </c>
      <c r="F114" s="204" t="s">
        <v>497</v>
      </c>
      <c r="G114" s="204" t="s">
        <v>497</v>
      </c>
      <c r="H114" s="204" t="s">
        <v>497</v>
      </c>
      <c r="I114" s="204" t="s">
        <v>497</v>
      </c>
      <c r="J114" s="205" t="s">
        <v>497</v>
      </c>
      <c r="K114" s="205" t="s">
        <v>497</v>
      </c>
      <c r="L114" s="204" t="s">
        <v>497</v>
      </c>
      <c r="M114" s="204" t="s">
        <v>497</v>
      </c>
      <c r="N114" s="204"/>
      <c r="O114" s="204"/>
      <c r="P114" s="204"/>
      <c r="Q114" s="204"/>
      <c r="R114" s="204"/>
      <c r="S114" s="204"/>
      <c r="T114" s="204"/>
      <c r="U114" s="204"/>
      <c r="V114" s="204"/>
      <c r="W114" s="204"/>
      <c r="X114" s="204"/>
      <c r="Y114" s="204"/>
      <c r="Z114" s="204"/>
      <c r="AA114" s="204"/>
      <c r="AB114" s="204"/>
      <c r="AC114" s="204"/>
      <c r="AD114" s="204"/>
      <c r="AE114" s="204"/>
      <c r="AF114" s="204"/>
      <c r="AG114" s="204"/>
      <c r="AH114" s="204"/>
      <c r="AI114" s="204"/>
      <c r="AJ114" s="204"/>
      <c r="AK114" s="204"/>
      <c r="AL114" s="204"/>
      <c r="AM114" s="204"/>
      <c r="AN114" s="204"/>
      <c r="AO114" s="204"/>
      <c r="AP114" s="204"/>
      <c r="AQ114" s="204"/>
      <c r="AR114" s="204"/>
      <c r="AS114" s="204"/>
      <c r="AT114" s="204"/>
      <c r="AU114" s="206"/>
      <c r="AV114" s="202"/>
      <c r="AW114" s="202"/>
      <c r="AX114" s="202"/>
      <c r="AY114" s="202"/>
      <c r="AZ114" s="202"/>
      <c r="BA114" s="202"/>
      <c r="BB114" s="202"/>
      <c r="BC114" s="202"/>
      <c r="BD114" s="202"/>
      <c r="BE114" s="202"/>
      <c r="BF114" s="202"/>
      <c r="BG114" s="202"/>
    </row>
    <row r="115" spans="2:59" ht="15">
      <c r="B115" s="204" t="s">
        <v>497</v>
      </c>
      <c r="C115" s="204" t="s">
        <v>497</v>
      </c>
      <c r="D115" s="204" t="s">
        <v>497</v>
      </c>
      <c r="E115" s="204" t="s">
        <v>497</v>
      </c>
      <c r="F115" s="204" t="s">
        <v>497</v>
      </c>
      <c r="G115" s="204" t="s">
        <v>497</v>
      </c>
      <c r="H115" s="204" t="s">
        <v>497</v>
      </c>
      <c r="I115" s="204" t="s">
        <v>497</v>
      </c>
      <c r="J115" s="205" t="s">
        <v>497</v>
      </c>
      <c r="K115" s="205" t="s">
        <v>497</v>
      </c>
      <c r="L115" s="204" t="s">
        <v>497</v>
      </c>
      <c r="M115" s="204" t="s">
        <v>497</v>
      </c>
      <c r="N115" s="204"/>
      <c r="O115" s="204"/>
      <c r="P115" s="204"/>
      <c r="Q115" s="204"/>
      <c r="R115" s="204"/>
      <c r="S115" s="204"/>
      <c r="T115" s="204"/>
      <c r="U115" s="204"/>
      <c r="V115" s="204"/>
      <c r="W115" s="204"/>
      <c r="X115" s="204"/>
      <c r="Y115" s="204"/>
      <c r="Z115" s="204"/>
      <c r="AA115" s="204"/>
      <c r="AB115" s="204"/>
      <c r="AC115" s="204"/>
      <c r="AD115" s="204"/>
      <c r="AE115" s="204"/>
      <c r="AF115" s="204"/>
      <c r="AG115" s="204"/>
      <c r="AH115" s="204"/>
      <c r="AI115" s="204"/>
      <c r="AJ115" s="204"/>
      <c r="AK115" s="204"/>
      <c r="AL115" s="204"/>
      <c r="AM115" s="204"/>
      <c r="AN115" s="204"/>
      <c r="AO115" s="204"/>
      <c r="AP115" s="204"/>
      <c r="AQ115" s="204"/>
      <c r="AR115" s="204"/>
      <c r="AS115" s="204"/>
      <c r="AT115" s="204"/>
      <c r="AU115" s="206"/>
      <c r="AV115" s="202"/>
      <c r="AW115" s="202"/>
      <c r="AX115" s="202"/>
      <c r="AY115" s="202"/>
      <c r="AZ115" s="202"/>
      <c r="BA115" s="202"/>
      <c r="BB115" s="202"/>
      <c r="BC115" s="202"/>
      <c r="BD115" s="202"/>
      <c r="BE115" s="202"/>
      <c r="BF115" s="202"/>
      <c r="BG115" s="202"/>
    </row>
    <row r="116" spans="2:59" ht="15">
      <c r="B116" s="204" t="s">
        <v>497</v>
      </c>
      <c r="C116" s="204" t="s">
        <v>497</v>
      </c>
      <c r="D116" s="204" t="s">
        <v>497</v>
      </c>
      <c r="E116" s="204" t="s">
        <v>497</v>
      </c>
      <c r="F116" s="204" t="s">
        <v>497</v>
      </c>
      <c r="G116" s="204" t="s">
        <v>497</v>
      </c>
      <c r="H116" s="204" t="s">
        <v>497</v>
      </c>
      <c r="I116" s="204" t="s">
        <v>497</v>
      </c>
      <c r="J116" s="205" t="s">
        <v>497</v>
      </c>
      <c r="K116" s="205" t="s">
        <v>497</v>
      </c>
      <c r="L116" s="204" t="s">
        <v>497</v>
      </c>
      <c r="M116" s="204" t="s">
        <v>497</v>
      </c>
      <c r="N116" s="204"/>
      <c r="O116" s="204"/>
      <c r="P116" s="204"/>
      <c r="Q116" s="204"/>
      <c r="R116" s="204"/>
      <c r="S116" s="204"/>
      <c r="T116" s="204"/>
      <c r="U116" s="204"/>
      <c r="V116" s="204"/>
      <c r="W116" s="204"/>
      <c r="X116" s="204"/>
      <c r="Y116" s="204"/>
      <c r="Z116" s="204"/>
      <c r="AA116" s="204"/>
      <c r="AB116" s="204"/>
      <c r="AC116" s="204"/>
      <c r="AD116" s="204"/>
      <c r="AE116" s="204"/>
      <c r="AF116" s="204"/>
      <c r="AG116" s="204"/>
      <c r="AH116" s="204"/>
      <c r="AI116" s="204"/>
      <c r="AJ116" s="204"/>
      <c r="AK116" s="204"/>
      <c r="AL116" s="204"/>
      <c r="AM116" s="204"/>
      <c r="AN116" s="204"/>
      <c r="AO116" s="204"/>
      <c r="AP116" s="204"/>
      <c r="AQ116" s="204"/>
      <c r="AR116" s="204"/>
      <c r="AS116" s="204"/>
      <c r="AT116" s="204"/>
      <c r="AU116" s="206"/>
      <c r="AV116" s="202"/>
      <c r="AW116" s="202"/>
      <c r="AX116" s="202"/>
      <c r="AY116" s="202"/>
      <c r="AZ116" s="202"/>
      <c r="BA116" s="202"/>
      <c r="BB116" s="202"/>
      <c r="BC116" s="202"/>
      <c r="BD116" s="202"/>
      <c r="BE116" s="202"/>
      <c r="BF116" s="202"/>
      <c r="BG116" s="202"/>
    </row>
    <row r="117" spans="2:59" ht="15">
      <c r="B117" s="204" t="s">
        <v>497</v>
      </c>
      <c r="C117" s="204" t="s">
        <v>497</v>
      </c>
      <c r="D117" s="204" t="s">
        <v>497</v>
      </c>
      <c r="E117" s="204" t="s">
        <v>497</v>
      </c>
      <c r="F117" s="204" t="s">
        <v>497</v>
      </c>
      <c r="G117" s="204" t="s">
        <v>497</v>
      </c>
      <c r="H117" s="204" t="s">
        <v>497</v>
      </c>
      <c r="I117" s="204" t="s">
        <v>497</v>
      </c>
      <c r="J117" s="205" t="s">
        <v>497</v>
      </c>
      <c r="K117" s="205" t="s">
        <v>497</v>
      </c>
      <c r="L117" s="204" t="s">
        <v>497</v>
      </c>
      <c r="M117" s="204" t="s">
        <v>497</v>
      </c>
      <c r="N117" s="204"/>
      <c r="O117" s="204"/>
      <c r="P117" s="204"/>
      <c r="Q117" s="204"/>
      <c r="R117" s="204"/>
      <c r="S117" s="204"/>
      <c r="T117" s="204"/>
      <c r="U117" s="204"/>
      <c r="V117" s="204"/>
      <c r="W117" s="204"/>
      <c r="X117" s="204"/>
      <c r="Y117" s="204"/>
      <c r="Z117" s="204"/>
      <c r="AA117" s="204"/>
      <c r="AB117" s="204"/>
      <c r="AC117" s="204"/>
      <c r="AD117" s="204"/>
      <c r="AE117" s="204"/>
      <c r="AF117" s="204"/>
      <c r="AG117" s="204"/>
      <c r="AH117" s="204"/>
      <c r="AI117" s="204"/>
      <c r="AJ117" s="204"/>
      <c r="AK117" s="204"/>
      <c r="AL117" s="204"/>
      <c r="AM117" s="204"/>
      <c r="AN117" s="204"/>
      <c r="AO117" s="204"/>
      <c r="AP117" s="204"/>
      <c r="AQ117" s="204"/>
      <c r="AR117" s="204"/>
      <c r="AS117" s="204"/>
      <c r="AT117" s="204"/>
      <c r="AU117" s="206"/>
      <c r="AV117" s="202"/>
      <c r="AW117" s="202"/>
      <c r="AX117" s="202"/>
      <c r="AY117" s="202"/>
      <c r="AZ117" s="202"/>
      <c r="BA117" s="202"/>
      <c r="BB117" s="202"/>
      <c r="BC117" s="202"/>
      <c r="BD117" s="202"/>
      <c r="BE117" s="202"/>
      <c r="BF117" s="202"/>
      <c r="BG117" s="202"/>
    </row>
    <row r="118" spans="2:59" ht="15">
      <c r="B118" s="204" t="s">
        <v>497</v>
      </c>
      <c r="C118" s="204" t="s">
        <v>497</v>
      </c>
      <c r="D118" s="204" t="s">
        <v>497</v>
      </c>
      <c r="E118" s="204" t="s">
        <v>497</v>
      </c>
      <c r="F118" s="204" t="s">
        <v>497</v>
      </c>
      <c r="G118" s="204" t="s">
        <v>497</v>
      </c>
      <c r="H118" s="204" t="s">
        <v>497</v>
      </c>
      <c r="I118" s="204" t="s">
        <v>497</v>
      </c>
      <c r="J118" s="205" t="s">
        <v>497</v>
      </c>
      <c r="K118" s="205" t="s">
        <v>497</v>
      </c>
      <c r="L118" s="204" t="s">
        <v>497</v>
      </c>
      <c r="M118" s="204" t="s">
        <v>497</v>
      </c>
      <c r="N118" s="204"/>
      <c r="O118" s="204"/>
      <c r="P118" s="204"/>
      <c r="Q118" s="204"/>
      <c r="R118" s="204"/>
      <c r="S118" s="204"/>
      <c r="T118" s="204"/>
      <c r="U118" s="204"/>
      <c r="V118" s="204"/>
      <c r="W118" s="204"/>
      <c r="X118" s="204"/>
      <c r="Y118" s="204"/>
      <c r="Z118" s="204"/>
      <c r="AA118" s="204"/>
      <c r="AB118" s="204"/>
      <c r="AC118" s="204"/>
      <c r="AD118" s="204"/>
      <c r="AE118" s="204"/>
      <c r="AF118" s="204"/>
      <c r="AG118" s="204"/>
      <c r="AH118" s="204"/>
      <c r="AI118" s="204"/>
      <c r="AJ118" s="204"/>
      <c r="AK118" s="204"/>
      <c r="AL118" s="204"/>
      <c r="AM118" s="204"/>
      <c r="AN118" s="204"/>
      <c r="AO118" s="204"/>
      <c r="AP118" s="204"/>
      <c r="AQ118" s="204"/>
      <c r="AR118" s="204"/>
      <c r="AS118" s="204"/>
      <c r="AT118" s="204"/>
      <c r="AU118" s="206"/>
      <c r="AV118" s="202"/>
      <c r="AW118" s="202"/>
      <c r="AX118" s="202"/>
      <c r="AY118" s="202"/>
      <c r="AZ118" s="202"/>
      <c r="BA118" s="202"/>
      <c r="BB118" s="202"/>
      <c r="BC118" s="202"/>
      <c r="BD118" s="202"/>
      <c r="BE118" s="202"/>
      <c r="BF118" s="202"/>
      <c r="BG118" s="202"/>
    </row>
    <row r="119" spans="2:59" ht="15">
      <c r="B119" s="204" t="s">
        <v>497</v>
      </c>
      <c r="C119" s="204" t="s">
        <v>497</v>
      </c>
      <c r="D119" s="204" t="s">
        <v>497</v>
      </c>
      <c r="E119" s="204" t="s">
        <v>497</v>
      </c>
      <c r="F119" s="204" t="s">
        <v>497</v>
      </c>
      <c r="G119" s="204" t="s">
        <v>497</v>
      </c>
      <c r="H119" s="204" t="s">
        <v>497</v>
      </c>
      <c r="I119" s="204" t="s">
        <v>497</v>
      </c>
      <c r="J119" s="205" t="s">
        <v>497</v>
      </c>
      <c r="K119" s="205" t="s">
        <v>497</v>
      </c>
      <c r="L119" s="204" t="s">
        <v>497</v>
      </c>
      <c r="M119" s="204" t="s">
        <v>497</v>
      </c>
      <c r="N119" s="204"/>
      <c r="O119" s="204"/>
      <c r="P119" s="204"/>
      <c r="Q119" s="204"/>
      <c r="R119" s="204"/>
      <c r="S119" s="204"/>
      <c r="T119" s="204"/>
      <c r="U119" s="204"/>
      <c r="V119" s="204"/>
      <c r="W119" s="204"/>
      <c r="X119" s="204"/>
      <c r="Y119" s="204"/>
      <c r="Z119" s="204"/>
      <c r="AA119" s="204"/>
      <c r="AB119" s="204"/>
      <c r="AC119" s="204"/>
      <c r="AD119" s="204"/>
      <c r="AE119" s="204"/>
      <c r="AF119" s="204"/>
      <c r="AG119" s="204"/>
      <c r="AH119" s="204"/>
      <c r="AI119" s="204"/>
      <c r="AJ119" s="204"/>
      <c r="AK119" s="204"/>
      <c r="AL119" s="204"/>
      <c r="AM119" s="204"/>
      <c r="AN119" s="204"/>
      <c r="AO119" s="204"/>
      <c r="AP119" s="204"/>
      <c r="AQ119" s="204"/>
      <c r="AR119" s="204"/>
      <c r="AS119" s="204"/>
      <c r="AT119" s="204"/>
      <c r="AU119" s="206"/>
      <c r="AV119" s="202"/>
      <c r="AW119" s="202"/>
      <c r="AX119" s="202"/>
      <c r="AY119" s="202"/>
      <c r="AZ119" s="202"/>
      <c r="BA119" s="202"/>
      <c r="BB119" s="202"/>
      <c r="BC119" s="202"/>
      <c r="BD119" s="202"/>
      <c r="BE119" s="202"/>
      <c r="BF119" s="202"/>
      <c r="BG119" s="202"/>
    </row>
    <row r="120" spans="2:59" ht="15">
      <c r="B120" s="204" t="s">
        <v>497</v>
      </c>
      <c r="C120" s="204" t="s">
        <v>497</v>
      </c>
      <c r="D120" s="204" t="s">
        <v>497</v>
      </c>
      <c r="E120" s="204" t="s">
        <v>497</v>
      </c>
      <c r="F120" s="204" t="s">
        <v>497</v>
      </c>
      <c r="G120" s="204" t="s">
        <v>497</v>
      </c>
      <c r="H120" s="204" t="s">
        <v>497</v>
      </c>
      <c r="I120" s="204" t="s">
        <v>497</v>
      </c>
      <c r="J120" s="205" t="s">
        <v>497</v>
      </c>
      <c r="K120" s="205" t="s">
        <v>497</v>
      </c>
      <c r="L120" s="204" t="s">
        <v>497</v>
      </c>
      <c r="M120" s="204" t="s">
        <v>497</v>
      </c>
      <c r="N120" s="204"/>
      <c r="O120" s="204"/>
      <c r="P120" s="204"/>
      <c r="Q120" s="204"/>
      <c r="R120" s="204"/>
      <c r="S120" s="204"/>
      <c r="T120" s="204"/>
      <c r="U120" s="204"/>
      <c r="V120" s="204"/>
      <c r="W120" s="204"/>
      <c r="X120" s="204"/>
      <c r="Y120" s="204"/>
      <c r="Z120" s="204"/>
      <c r="AA120" s="204"/>
      <c r="AB120" s="204"/>
      <c r="AC120" s="204"/>
      <c r="AD120" s="204"/>
      <c r="AE120" s="204"/>
      <c r="AF120" s="204"/>
      <c r="AG120" s="204"/>
      <c r="AH120" s="204"/>
      <c r="AI120" s="204"/>
      <c r="AJ120" s="204"/>
      <c r="AK120" s="204"/>
      <c r="AL120" s="204"/>
      <c r="AM120" s="204"/>
      <c r="AN120" s="204"/>
      <c r="AO120" s="204"/>
      <c r="AP120" s="204"/>
      <c r="AQ120" s="204"/>
      <c r="AR120" s="204"/>
      <c r="AS120" s="204"/>
      <c r="AT120" s="204"/>
      <c r="AU120" s="206"/>
      <c r="AV120" s="202"/>
      <c r="AW120" s="202"/>
      <c r="AX120" s="202"/>
      <c r="AY120" s="202"/>
      <c r="AZ120" s="202"/>
      <c r="BA120" s="202"/>
      <c r="BB120" s="202"/>
      <c r="BC120" s="202"/>
      <c r="BD120" s="202"/>
      <c r="BE120" s="202"/>
      <c r="BF120" s="202"/>
      <c r="BG120" s="202"/>
    </row>
    <row r="121" spans="2:59" ht="15">
      <c r="B121" s="204" t="s">
        <v>497</v>
      </c>
      <c r="C121" s="204" t="s">
        <v>497</v>
      </c>
      <c r="D121" s="204" t="s">
        <v>497</v>
      </c>
      <c r="E121" s="204" t="s">
        <v>497</v>
      </c>
      <c r="F121" s="204" t="s">
        <v>497</v>
      </c>
      <c r="G121" s="204" t="s">
        <v>497</v>
      </c>
      <c r="H121" s="204" t="s">
        <v>497</v>
      </c>
      <c r="I121" s="204" t="s">
        <v>497</v>
      </c>
      <c r="J121" s="205" t="s">
        <v>497</v>
      </c>
      <c r="K121" s="205" t="s">
        <v>497</v>
      </c>
      <c r="L121" s="204" t="s">
        <v>497</v>
      </c>
      <c r="M121" s="204" t="s">
        <v>497</v>
      </c>
      <c r="N121" s="204"/>
      <c r="O121" s="204"/>
      <c r="P121" s="204"/>
      <c r="Q121" s="204"/>
      <c r="R121" s="204"/>
      <c r="S121" s="204"/>
      <c r="T121" s="204"/>
      <c r="U121" s="204"/>
      <c r="V121" s="204"/>
      <c r="W121" s="204"/>
      <c r="X121" s="204"/>
      <c r="Y121" s="204"/>
      <c r="Z121" s="204"/>
      <c r="AA121" s="204"/>
      <c r="AB121" s="204"/>
      <c r="AC121" s="204"/>
      <c r="AD121" s="204"/>
      <c r="AE121" s="204"/>
      <c r="AF121" s="204"/>
      <c r="AG121" s="204"/>
      <c r="AH121" s="204"/>
      <c r="AI121" s="204"/>
      <c r="AJ121" s="204"/>
      <c r="AK121" s="204"/>
      <c r="AL121" s="204"/>
      <c r="AM121" s="204"/>
      <c r="AN121" s="204"/>
      <c r="AO121" s="204"/>
      <c r="AP121" s="204"/>
      <c r="AQ121" s="204"/>
      <c r="AR121" s="204"/>
      <c r="AS121" s="204"/>
      <c r="AT121" s="204"/>
      <c r="AU121" s="206"/>
      <c r="AV121" s="202"/>
      <c r="AW121" s="202"/>
      <c r="AX121" s="202"/>
      <c r="AY121" s="202"/>
      <c r="AZ121" s="202"/>
      <c r="BA121" s="202"/>
      <c r="BB121" s="202"/>
      <c r="BC121" s="202"/>
      <c r="BD121" s="202"/>
      <c r="BE121" s="202"/>
      <c r="BF121" s="202"/>
      <c r="BG121" s="202"/>
    </row>
    <row r="122" spans="2:59" ht="15">
      <c r="B122" s="204" t="s">
        <v>497</v>
      </c>
      <c r="C122" s="204" t="s">
        <v>497</v>
      </c>
      <c r="D122" s="204" t="s">
        <v>497</v>
      </c>
      <c r="E122" s="204" t="s">
        <v>497</v>
      </c>
      <c r="F122" s="204" t="s">
        <v>497</v>
      </c>
      <c r="G122" s="204" t="s">
        <v>497</v>
      </c>
      <c r="H122" s="204" t="s">
        <v>497</v>
      </c>
      <c r="I122" s="204" t="s">
        <v>497</v>
      </c>
      <c r="J122" s="205" t="s">
        <v>497</v>
      </c>
      <c r="K122" s="205" t="s">
        <v>497</v>
      </c>
      <c r="L122" s="204" t="s">
        <v>497</v>
      </c>
      <c r="M122" s="204" t="s">
        <v>497</v>
      </c>
      <c r="N122" s="204"/>
      <c r="O122" s="204"/>
      <c r="P122" s="204"/>
      <c r="Q122" s="204"/>
      <c r="R122" s="204"/>
      <c r="S122" s="204"/>
      <c r="T122" s="204"/>
      <c r="U122" s="204"/>
      <c r="V122" s="204"/>
      <c r="W122" s="204"/>
      <c r="X122" s="204"/>
      <c r="Y122" s="204"/>
      <c r="Z122" s="204"/>
      <c r="AA122" s="204"/>
      <c r="AB122" s="204"/>
      <c r="AC122" s="204"/>
      <c r="AD122" s="204"/>
      <c r="AE122" s="204"/>
      <c r="AF122" s="204"/>
      <c r="AG122" s="204"/>
      <c r="AH122" s="204"/>
      <c r="AI122" s="204"/>
      <c r="AJ122" s="204"/>
      <c r="AK122" s="204"/>
      <c r="AL122" s="204"/>
      <c r="AM122" s="204"/>
      <c r="AN122" s="204"/>
      <c r="AO122" s="204"/>
      <c r="AP122" s="204"/>
      <c r="AQ122" s="204"/>
      <c r="AR122" s="204"/>
      <c r="AS122" s="204"/>
      <c r="AT122" s="204"/>
      <c r="AU122" s="206"/>
      <c r="AV122" s="202"/>
      <c r="AW122" s="202"/>
      <c r="AX122" s="202"/>
      <c r="AY122" s="202"/>
      <c r="AZ122" s="202"/>
      <c r="BA122" s="202"/>
      <c r="BB122" s="202"/>
      <c r="BC122" s="202"/>
      <c r="BD122" s="202"/>
      <c r="BE122" s="202"/>
      <c r="BF122" s="202"/>
      <c r="BG122" s="202"/>
    </row>
    <row r="123" spans="2:59" ht="15">
      <c r="B123" s="204" t="s">
        <v>497</v>
      </c>
      <c r="C123" s="204" t="s">
        <v>497</v>
      </c>
      <c r="D123" s="204" t="s">
        <v>497</v>
      </c>
      <c r="E123" s="204" t="s">
        <v>497</v>
      </c>
      <c r="F123" s="204" t="s">
        <v>497</v>
      </c>
      <c r="G123" s="204" t="s">
        <v>497</v>
      </c>
      <c r="H123" s="204" t="s">
        <v>497</v>
      </c>
      <c r="I123" s="204" t="s">
        <v>497</v>
      </c>
      <c r="J123" s="205" t="s">
        <v>497</v>
      </c>
      <c r="K123" s="205" t="s">
        <v>497</v>
      </c>
      <c r="L123" s="204" t="s">
        <v>497</v>
      </c>
      <c r="M123" s="204" t="s">
        <v>497</v>
      </c>
      <c r="N123" s="204"/>
      <c r="O123" s="204"/>
      <c r="P123" s="204"/>
      <c r="Q123" s="204"/>
      <c r="R123" s="204"/>
      <c r="S123" s="204"/>
      <c r="T123" s="204"/>
      <c r="U123" s="204"/>
      <c r="V123" s="204"/>
      <c r="W123" s="204"/>
      <c r="X123" s="204"/>
      <c r="Y123" s="204"/>
      <c r="Z123" s="204"/>
      <c r="AA123" s="204"/>
      <c r="AB123" s="204"/>
      <c r="AC123" s="204"/>
      <c r="AD123" s="204"/>
      <c r="AE123" s="204"/>
      <c r="AF123" s="204"/>
      <c r="AG123" s="204"/>
      <c r="AH123" s="204"/>
      <c r="AI123" s="204"/>
      <c r="AJ123" s="204"/>
      <c r="AK123" s="204"/>
      <c r="AL123" s="204"/>
      <c r="AM123" s="204"/>
      <c r="AN123" s="204"/>
      <c r="AO123" s="204"/>
      <c r="AP123" s="204"/>
      <c r="AQ123" s="204"/>
      <c r="AR123" s="204"/>
      <c r="AS123" s="204"/>
      <c r="AT123" s="204"/>
      <c r="AU123" s="206"/>
      <c r="AV123" s="202"/>
      <c r="AW123" s="202"/>
      <c r="AX123" s="202"/>
      <c r="AY123" s="202"/>
      <c r="AZ123" s="202"/>
      <c r="BA123" s="202"/>
      <c r="BB123" s="202"/>
      <c r="BC123" s="202"/>
      <c r="BD123" s="202"/>
      <c r="BE123" s="202"/>
      <c r="BF123" s="202"/>
      <c r="BG123" s="202"/>
    </row>
    <row r="124" spans="2:59" ht="15">
      <c r="B124" s="204" t="s">
        <v>497</v>
      </c>
      <c r="C124" s="204" t="s">
        <v>497</v>
      </c>
      <c r="D124" s="204" t="s">
        <v>497</v>
      </c>
      <c r="E124" s="204" t="s">
        <v>497</v>
      </c>
      <c r="F124" s="204" t="s">
        <v>497</v>
      </c>
      <c r="G124" s="204" t="s">
        <v>497</v>
      </c>
      <c r="H124" s="204" t="s">
        <v>497</v>
      </c>
      <c r="I124" s="204" t="s">
        <v>497</v>
      </c>
      <c r="J124" s="205" t="s">
        <v>497</v>
      </c>
      <c r="K124" s="205" t="s">
        <v>497</v>
      </c>
      <c r="L124" s="204" t="s">
        <v>497</v>
      </c>
      <c r="M124" s="204" t="s">
        <v>497</v>
      </c>
      <c r="N124" s="204"/>
      <c r="O124" s="204"/>
      <c r="P124" s="204"/>
      <c r="Q124" s="204"/>
      <c r="R124" s="204"/>
      <c r="S124" s="204"/>
      <c r="T124" s="204"/>
      <c r="U124" s="204"/>
      <c r="V124" s="204"/>
      <c r="W124" s="204"/>
      <c r="X124" s="204"/>
      <c r="Y124" s="204"/>
      <c r="Z124" s="204"/>
      <c r="AA124" s="204"/>
      <c r="AB124" s="204"/>
      <c r="AC124" s="204"/>
      <c r="AD124" s="204"/>
      <c r="AE124" s="204"/>
      <c r="AF124" s="204"/>
      <c r="AG124" s="204"/>
      <c r="AH124" s="204"/>
      <c r="AI124" s="204"/>
      <c r="AJ124" s="204"/>
      <c r="AK124" s="204"/>
      <c r="AL124" s="204"/>
      <c r="AM124" s="204"/>
      <c r="AN124" s="204"/>
      <c r="AO124" s="204"/>
      <c r="AP124" s="204"/>
      <c r="AQ124" s="204"/>
      <c r="AR124" s="204"/>
      <c r="AS124" s="204"/>
      <c r="AT124" s="204"/>
      <c r="AU124" s="206"/>
      <c r="AV124" s="202"/>
      <c r="AW124" s="202"/>
      <c r="AX124" s="202"/>
      <c r="AY124" s="202"/>
      <c r="AZ124" s="202"/>
      <c r="BA124" s="202"/>
      <c r="BB124" s="202"/>
      <c r="BC124" s="202"/>
      <c r="BD124" s="202"/>
      <c r="BE124" s="202"/>
      <c r="BF124" s="202"/>
      <c r="BG124" s="202"/>
    </row>
    <row r="125" spans="2:59" ht="15">
      <c r="B125" s="204" t="s">
        <v>497</v>
      </c>
      <c r="C125" s="204" t="s">
        <v>497</v>
      </c>
      <c r="D125" s="204" t="s">
        <v>497</v>
      </c>
      <c r="E125" s="204" t="s">
        <v>497</v>
      </c>
      <c r="F125" s="204" t="s">
        <v>497</v>
      </c>
      <c r="G125" s="204" t="s">
        <v>497</v>
      </c>
      <c r="H125" s="204" t="s">
        <v>497</v>
      </c>
      <c r="I125" s="204" t="s">
        <v>497</v>
      </c>
      <c r="J125" s="205" t="s">
        <v>497</v>
      </c>
      <c r="K125" s="205" t="s">
        <v>497</v>
      </c>
      <c r="L125" s="204" t="s">
        <v>497</v>
      </c>
      <c r="M125" s="204" t="s">
        <v>497</v>
      </c>
      <c r="N125" s="204"/>
      <c r="O125" s="204"/>
      <c r="P125" s="204"/>
      <c r="Q125" s="204"/>
      <c r="R125" s="204"/>
      <c r="S125" s="204"/>
      <c r="T125" s="204"/>
      <c r="U125" s="204"/>
      <c r="V125" s="204"/>
      <c r="W125" s="204"/>
      <c r="X125" s="204"/>
      <c r="Y125" s="204"/>
      <c r="Z125" s="204"/>
      <c r="AA125" s="204"/>
      <c r="AB125" s="204"/>
      <c r="AC125" s="204"/>
      <c r="AD125" s="204"/>
      <c r="AE125" s="204"/>
      <c r="AF125" s="204"/>
      <c r="AG125" s="204"/>
      <c r="AH125" s="204"/>
      <c r="AI125" s="204"/>
      <c r="AJ125" s="204"/>
      <c r="AK125" s="204"/>
      <c r="AL125" s="204"/>
      <c r="AM125" s="204"/>
      <c r="AN125" s="204"/>
      <c r="AO125" s="204"/>
      <c r="AP125" s="204"/>
      <c r="AQ125" s="204"/>
      <c r="AR125" s="204"/>
      <c r="AS125" s="204"/>
      <c r="AT125" s="204"/>
      <c r="AU125" s="206"/>
      <c r="AV125" s="202"/>
      <c r="AW125" s="202"/>
      <c r="AX125" s="202"/>
      <c r="AY125" s="202"/>
      <c r="AZ125" s="202"/>
      <c r="BA125" s="202"/>
      <c r="BB125" s="202"/>
      <c r="BC125" s="202"/>
      <c r="BD125" s="202"/>
      <c r="BE125" s="202"/>
      <c r="BF125" s="202"/>
      <c r="BG125" s="202"/>
    </row>
    <row r="126" spans="2:59" ht="15">
      <c r="B126" s="204" t="s">
        <v>497</v>
      </c>
      <c r="C126" s="204" t="s">
        <v>497</v>
      </c>
      <c r="D126" s="204" t="s">
        <v>497</v>
      </c>
      <c r="E126" s="204" t="s">
        <v>497</v>
      </c>
      <c r="F126" s="204" t="s">
        <v>497</v>
      </c>
      <c r="G126" s="204" t="s">
        <v>497</v>
      </c>
      <c r="H126" s="204" t="s">
        <v>497</v>
      </c>
      <c r="I126" s="204" t="s">
        <v>497</v>
      </c>
      <c r="J126" s="205" t="s">
        <v>497</v>
      </c>
      <c r="K126" s="205" t="s">
        <v>497</v>
      </c>
      <c r="L126" s="204" t="s">
        <v>497</v>
      </c>
      <c r="M126" s="204" t="s">
        <v>497</v>
      </c>
      <c r="N126" s="204"/>
      <c r="O126" s="204"/>
      <c r="P126" s="204"/>
      <c r="Q126" s="204"/>
      <c r="R126" s="204"/>
      <c r="S126" s="204"/>
      <c r="T126" s="204"/>
      <c r="U126" s="204"/>
      <c r="V126" s="204"/>
      <c r="W126" s="204"/>
      <c r="X126" s="204"/>
      <c r="Y126" s="204"/>
      <c r="Z126" s="204"/>
      <c r="AA126" s="204"/>
      <c r="AB126" s="204"/>
      <c r="AC126" s="204"/>
      <c r="AD126" s="204"/>
      <c r="AE126" s="204"/>
      <c r="AF126" s="204"/>
      <c r="AG126" s="204"/>
      <c r="AH126" s="204"/>
      <c r="AI126" s="204"/>
      <c r="AJ126" s="204"/>
      <c r="AK126" s="204"/>
      <c r="AL126" s="204"/>
      <c r="AM126" s="204"/>
      <c r="AN126" s="204"/>
      <c r="AO126" s="204"/>
      <c r="AP126" s="204"/>
      <c r="AQ126" s="204"/>
      <c r="AR126" s="204"/>
      <c r="AS126" s="204"/>
      <c r="AT126" s="204"/>
      <c r="AU126" s="206"/>
      <c r="AV126" s="202"/>
      <c r="AW126" s="202"/>
      <c r="AX126" s="202"/>
      <c r="AY126" s="202"/>
      <c r="AZ126" s="202"/>
      <c r="BA126" s="202"/>
      <c r="BB126" s="202"/>
      <c r="BC126" s="202"/>
      <c r="BD126" s="202"/>
      <c r="BE126" s="202"/>
      <c r="BF126" s="202"/>
      <c r="BG126" s="202"/>
    </row>
    <row r="127" spans="2:59" ht="15">
      <c r="B127" s="204" t="s">
        <v>497</v>
      </c>
      <c r="C127" s="204" t="s">
        <v>497</v>
      </c>
      <c r="D127" s="204" t="s">
        <v>497</v>
      </c>
      <c r="E127" s="204" t="s">
        <v>497</v>
      </c>
      <c r="F127" s="204" t="s">
        <v>497</v>
      </c>
      <c r="G127" s="204" t="s">
        <v>497</v>
      </c>
      <c r="H127" s="204" t="s">
        <v>497</v>
      </c>
      <c r="I127" s="204" t="s">
        <v>497</v>
      </c>
      <c r="J127" s="205" t="s">
        <v>497</v>
      </c>
      <c r="K127" s="205" t="s">
        <v>497</v>
      </c>
      <c r="L127" s="204" t="s">
        <v>497</v>
      </c>
      <c r="M127" s="204" t="s">
        <v>497</v>
      </c>
      <c r="N127" s="204"/>
      <c r="O127" s="204"/>
      <c r="P127" s="204"/>
      <c r="Q127" s="204"/>
      <c r="R127" s="204"/>
      <c r="S127" s="204"/>
      <c r="T127" s="204"/>
      <c r="U127" s="204"/>
      <c r="V127" s="204"/>
      <c r="W127" s="204"/>
      <c r="X127" s="204"/>
      <c r="Y127" s="204"/>
      <c r="Z127" s="204"/>
      <c r="AA127" s="204"/>
      <c r="AB127" s="204"/>
      <c r="AC127" s="204"/>
      <c r="AD127" s="204"/>
      <c r="AE127" s="204"/>
      <c r="AF127" s="204"/>
      <c r="AG127" s="204"/>
      <c r="AH127" s="204"/>
      <c r="AI127" s="204"/>
      <c r="AJ127" s="204"/>
      <c r="AK127" s="204"/>
      <c r="AL127" s="204"/>
      <c r="AM127" s="204"/>
      <c r="AN127" s="204"/>
      <c r="AO127" s="204"/>
      <c r="AP127" s="204"/>
      <c r="AQ127" s="204"/>
      <c r="AR127" s="204"/>
      <c r="AS127" s="204"/>
      <c r="AT127" s="204"/>
      <c r="AU127" s="206"/>
      <c r="AV127" s="202"/>
      <c r="AW127" s="202"/>
      <c r="AX127" s="202"/>
      <c r="AY127" s="202"/>
      <c r="AZ127" s="202"/>
      <c r="BA127" s="202"/>
      <c r="BB127" s="202"/>
      <c r="BC127" s="202"/>
      <c r="BD127" s="202"/>
      <c r="BE127" s="202"/>
      <c r="BF127" s="202"/>
      <c r="BG127" s="202"/>
    </row>
    <row r="128" spans="2:59" ht="15">
      <c r="B128" s="204" t="s">
        <v>497</v>
      </c>
      <c r="C128" s="204" t="s">
        <v>497</v>
      </c>
      <c r="D128" s="204" t="s">
        <v>497</v>
      </c>
      <c r="E128" s="204" t="s">
        <v>497</v>
      </c>
      <c r="F128" s="204" t="s">
        <v>497</v>
      </c>
      <c r="G128" s="204" t="s">
        <v>497</v>
      </c>
      <c r="H128" s="204" t="s">
        <v>497</v>
      </c>
      <c r="I128" s="204" t="s">
        <v>497</v>
      </c>
      <c r="J128" s="205" t="s">
        <v>497</v>
      </c>
      <c r="K128" s="205" t="s">
        <v>497</v>
      </c>
      <c r="L128" s="204" t="s">
        <v>497</v>
      </c>
      <c r="M128" s="204" t="s">
        <v>497</v>
      </c>
      <c r="N128" s="204"/>
      <c r="O128" s="204"/>
      <c r="P128" s="204"/>
      <c r="Q128" s="204"/>
      <c r="R128" s="204"/>
      <c r="S128" s="204"/>
      <c r="T128" s="204"/>
      <c r="U128" s="204"/>
      <c r="V128" s="204"/>
      <c r="W128" s="204"/>
      <c r="X128" s="204"/>
      <c r="Y128" s="204"/>
      <c r="Z128" s="204"/>
      <c r="AA128" s="204"/>
      <c r="AB128" s="204"/>
      <c r="AC128" s="204"/>
      <c r="AD128" s="204"/>
      <c r="AE128" s="204"/>
      <c r="AF128" s="204"/>
      <c r="AG128" s="204"/>
      <c r="AH128" s="204"/>
      <c r="AI128" s="204"/>
      <c r="AJ128" s="204"/>
      <c r="AK128" s="204"/>
      <c r="AL128" s="204"/>
      <c r="AM128" s="204"/>
      <c r="AN128" s="204"/>
      <c r="AO128" s="204"/>
      <c r="AP128" s="204"/>
      <c r="AQ128" s="204"/>
      <c r="AR128" s="204"/>
      <c r="AS128" s="204"/>
      <c r="AT128" s="204"/>
      <c r="AU128" s="206"/>
      <c r="AV128" s="202"/>
      <c r="AW128" s="202"/>
      <c r="AX128" s="202"/>
      <c r="AY128" s="202"/>
      <c r="AZ128" s="202"/>
      <c r="BA128" s="202"/>
      <c r="BB128" s="202"/>
      <c r="BC128" s="202"/>
      <c r="BD128" s="202"/>
      <c r="BE128" s="202"/>
      <c r="BF128" s="202"/>
      <c r="BG128" s="202"/>
    </row>
    <row r="129" spans="2:59" ht="15">
      <c r="B129" s="204" t="s">
        <v>497</v>
      </c>
      <c r="C129" s="204" t="s">
        <v>497</v>
      </c>
      <c r="D129" s="204" t="s">
        <v>497</v>
      </c>
      <c r="E129" s="204" t="s">
        <v>497</v>
      </c>
      <c r="F129" s="204" t="s">
        <v>497</v>
      </c>
      <c r="G129" s="204" t="s">
        <v>497</v>
      </c>
      <c r="H129" s="204" t="s">
        <v>497</v>
      </c>
      <c r="I129" s="204" t="s">
        <v>497</v>
      </c>
      <c r="J129" s="205" t="s">
        <v>497</v>
      </c>
      <c r="K129" s="205" t="s">
        <v>497</v>
      </c>
      <c r="L129" s="204" t="s">
        <v>497</v>
      </c>
      <c r="M129" s="204" t="s">
        <v>497</v>
      </c>
      <c r="N129" s="204"/>
      <c r="O129" s="204"/>
      <c r="P129" s="204"/>
      <c r="Q129" s="204"/>
      <c r="R129" s="204"/>
      <c r="S129" s="204"/>
      <c r="T129" s="204"/>
      <c r="U129" s="204"/>
      <c r="V129" s="204"/>
      <c r="W129" s="204"/>
      <c r="X129" s="204"/>
      <c r="Y129" s="204"/>
      <c r="Z129" s="204"/>
      <c r="AA129" s="204"/>
      <c r="AB129" s="204"/>
      <c r="AC129" s="204"/>
      <c r="AD129" s="204"/>
      <c r="AE129" s="204"/>
      <c r="AF129" s="204"/>
      <c r="AG129" s="204"/>
      <c r="AH129" s="204"/>
      <c r="AI129" s="204"/>
      <c r="AJ129" s="204"/>
      <c r="AK129" s="204"/>
      <c r="AL129" s="204"/>
      <c r="AM129" s="204"/>
      <c r="AN129" s="204"/>
      <c r="AO129" s="204"/>
      <c r="AP129" s="204"/>
      <c r="AQ129" s="204"/>
      <c r="AR129" s="204"/>
      <c r="AS129" s="204"/>
      <c r="AT129" s="204"/>
      <c r="AU129" s="206"/>
      <c r="AV129" s="202"/>
      <c r="AW129" s="202"/>
      <c r="AX129" s="202"/>
      <c r="AY129" s="202"/>
      <c r="AZ129" s="202"/>
      <c r="BA129" s="202"/>
      <c r="BB129" s="202"/>
      <c r="BC129" s="202"/>
      <c r="BD129" s="202"/>
      <c r="BE129" s="202"/>
      <c r="BF129" s="202"/>
      <c r="BG129" s="202"/>
    </row>
    <row r="130" spans="2:59" ht="15">
      <c r="B130" s="204" t="s">
        <v>497</v>
      </c>
      <c r="C130" s="204" t="s">
        <v>497</v>
      </c>
      <c r="D130" s="204" t="s">
        <v>497</v>
      </c>
      <c r="E130" s="204" t="s">
        <v>497</v>
      </c>
      <c r="F130" s="204" t="s">
        <v>497</v>
      </c>
      <c r="G130" s="204" t="s">
        <v>497</v>
      </c>
      <c r="H130" s="204" t="s">
        <v>497</v>
      </c>
      <c r="I130" s="204" t="s">
        <v>497</v>
      </c>
      <c r="J130" s="205" t="s">
        <v>497</v>
      </c>
      <c r="K130" s="205" t="s">
        <v>497</v>
      </c>
      <c r="L130" s="204" t="s">
        <v>497</v>
      </c>
      <c r="M130" s="204" t="s">
        <v>497</v>
      </c>
      <c r="N130" s="204"/>
      <c r="O130" s="204"/>
      <c r="P130" s="204"/>
      <c r="Q130" s="204"/>
      <c r="R130" s="204"/>
      <c r="S130" s="204"/>
      <c r="T130" s="204"/>
      <c r="U130" s="204"/>
      <c r="V130" s="204"/>
      <c r="W130" s="204"/>
      <c r="X130" s="204"/>
      <c r="Y130" s="204"/>
      <c r="Z130" s="204"/>
      <c r="AA130" s="204"/>
      <c r="AB130" s="204"/>
      <c r="AC130" s="204"/>
      <c r="AD130" s="204"/>
      <c r="AE130" s="204"/>
      <c r="AF130" s="204"/>
      <c r="AG130" s="204"/>
      <c r="AH130" s="204"/>
      <c r="AI130" s="204"/>
      <c r="AJ130" s="204"/>
      <c r="AK130" s="204"/>
      <c r="AL130" s="204"/>
      <c r="AM130" s="204"/>
      <c r="AN130" s="204"/>
      <c r="AO130" s="204"/>
      <c r="AP130" s="204"/>
      <c r="AQ130" s="204"/>
      <c r="AR130" s="204"/>
      <c r="AS130" s="204"/>
      <c r="AT130" s="204"/>
      <c r="AU130" s="206"/>
      <c r="AV130" s="202"/>
      <c r="AW130" s="202"/>
      <c r="AX130" s="202"/>
      <c r="AY130" s="202"/>
      <c r="AZ130" s="202"/>
      <c r="BA130" s="202"/>
      <c r="BB130" s="202"/>
      <c r="BC130" s="202"/>
      <c r="BD130" s="202"/>
      <c r="BE130" s="202"/>
      <c r="BF130" s="202"/>
      <c r="BG130" s="202"/>
    </row>
    <row r="131" spans="2:59" ht="15">
      <c r="B131" s="204" t="s">
        <v>497</v>
      </c>
      <c r="C131" s="204" t="s">
        <v>497</v>
      </c>
      <c r="D131" s="204" t="s">
        <v>497</v>
      </c>
      <c r="E131" s="204" t="s">
        <v>497</v>
      </c>
      <c r="F131" s="204" t="s">
        <v>497</v>
      </c>
      <c r="G131" s="204" t="s">
        <v>497</v>
      </c>
      <c r="H131" s="204" t="s">
        <v>497</v>
      </c>
      <c r="I131" s="204" t="s">
        <v>497</v>
      </c>
      <c r="J131" s="205" t="s">
        <v>497</v>
      </c>
      <c r="K131" s="205" t="s">
        <v>497</v>
      </c>
      <c r="L131" s="204" t="s">
        <v>497</v>
      </c>
      <c r="M131" s="204" t="s">
        <v>497</v>
      </c>
      <c r="N131" s="204"/>
      <c r="O131" s="204"/>
      <c r="P131" s="204"/>
      <c r="Q131" s="204"/>
      <c r="R131" s="204"/>
      <c r="S131" s="204"/>
      <c r="T131" s="204"/>
      <c r="U131" s="204"/>
      <c r="V131" s="204"/>
      <c r="W131" s="204"/>
      <c r="X131" s="204"/>
      <c r="Y131" s="204"/>
      <c r="Z131" s="204"/>
      <c r="AA131" s="204"/>
      <c r="AB131" s="204"/>
      <c r="AC131" s="204"/>
      <c r="AD131" s="204"/>
      <c r="AE131" s="204"/>
      <c r="AF131" s="204"/>
      <c r="AG131" s="204"/>
      <c r="AH131" s="204"/>
      <c r="AI131" s="204"/>
      <c r="AJ131" s="204"/>
      <c r="AK131" s="204"/>
      <c r="AL131" s="204"/>
      <c r="AM131" s="204"/>
      <c r="AN131" s="204"/>
      <c r="AO131" s="204"/>
      <c r="AP131" s="204"/>
      <c r="AQ131" s="204"/>
      <c r="AR131" s="204"/>
      <c r="AS131" s="204"/>
      <c r="AT131" s="204"/>
      <c r="AU131" s="206"/>
      <c r="AV131" s="202"/>
      <c r="AW131" s="202"/>
      <c r="AX131" s="202"/>
      <c r="AY131" s="202"/>
      <c r="AZ131" s="202"/>
      <c r="BA131" s="202"/>
      <c r="BB131" s="202"/>
      <c r="BC131" s="202"/>
      <c r="BD131" s="202"/>
      <c r="BE131" s="202"/>
      <c r="BF131" s="202"/>
      <c r="BG131" s="202"/>
    </row>
    <row r="132" spans="2:59" ht="15">
      <c r="B132" s="204" t="s">
        <v>497</v>
      </c>
      <c r="C132" s="204" t="s">
        <v>497</v>
      </c>
      <c r="D132" s="204" t="s">
        <v>497</v>
      </c>
      <c r="E132" s="204" t="s">
        <v>497</v>
      </c>
      <c r="F132" s="204" t="s">
        <v>497</v>
      </c>
      <c r="G132" s="204" t="s">
        <v>497</v>
      </c>
      <c r="H132" s="204" t="s">
        <v>497</v>
      </c>
      <c r="I132" s="204" t="s">
        <v>497</v>
      </c>
      <c r="J132" s="205" t="s">
        <v>497</v>
      </c>
      <c r="K132" s="205" t="s">
        <v>497</v>
      </c>
      <c r="L132" s="204" t="s">
        <v>497</v>
      </c>
      <c r="M132" s="204" t="s">
        <v>497</v>
      </c>
      <c r="N132" s="204"/>
      <c r="O132" s="204"/>
      <c r="P132" s="204"/>
      <c r="Q132" s="204"/>
      <c r="R132" s="204"/>
      <c r="S132" s="204"/>
      <c r="T132" s="204"/>
      <c r="U132" s="204"/>
      <c r="V132" s="204"/>
      <c r="W132" s="204"/>
      <c r="X132" s="204"/>
      <c r="Y132" s="204"/>
      <c r="Z132" s="204"/>
      <c r="AA132" s="204"/>
      <c r="AB132" s="204"/>
      <c r="AC132" s="204"/>
      <c r="AD132" s="204"/>
      <c r="AE132" s="204"/>
      <c r="AF132" s="204"/>
      <c r="AG132" s="204"/>
      <c r="AH132" s="204"/>
      <c r="AI132" s="204"/>
      <c r="AJ132" s="204"/>
      <c r="AK132" s="204"/>
      <c r="AL132" s="204"/>
      <c r="AM132" s="204"/>
      <c r="AN132" s="204"/>
      <c r="AO132" s="204"/>
      <c r="AP132" s="204"/>
      <c r="AQ132" s="204"/>
      <c r="AR132" s="204"/>
      <c r="AS132" s="204"/>
      <c r="AT132" s="204"/>
      <c r="AU132" s="206"/>
      <c r="AV132" s="202"/>
      <c r="AW132" s="202"/>
      <c r="AX132" s="202"/>
      <c r="AY132" s="202"/>
      <c r="AZ132" s="202"/>
      <c r="BA132" s="202"/>
      <c r="BB132" s="202"/>
      <c r="BC132" s="202"/>
      <c r="BD132" s="202"/>
      <c r="BE132" s="202"/>
      <c r="BF132" s="202"/>
      <c r="BG132" s="202"/>
    </row>
    <row r="133" spans="2:59" ht="15">
      <c r="B133" s="204" t="s">
        <v>497</v>
      </c>
      <c r="C133" s="204" t="s">
        <v>497</v>
      </c>
      <c r="D133" s="204" t="s">
        <v>497</v>
      </c>
      <c r="E133" s="204" t="s">
        <v>497</v>
      </c>
      <c r="F133" s="204" t="s">
        <v>497</v>
      </c>
      <c r="G133" s="204" t="s">
        <v>497</v>
      </c>
      <c r="H133" s="204" t="s">
        <v>497</v>
      </c>
      <c r="I133" s="204" t="s">
        <v>497</v>
      </c>
      <c r="J133" s="205" t="s">
        <v>497</v>
      </c>
      <c r="K133" s="205" t="s">
        <v>497</v>
      </c>
      <c r="L133" s="204" t="s">
        <v>497</v>
      </c>
      <c r="M133" s="204" t="s">
        <v>497</v>
      </c>
      <c r="N133" s="204"/>
      <c r="O133" s="204"/>
      <c r="P133" s="204"/>
      <c r="Q133" s="204"/>
      <c r="R133" s="204"/>
      <c r="S133" s="204"/>
      <c r="T133" s="204"/>
      <c r="U133" s="204"/>
      <c r="V133" s="204"/>
      <c r="W133" s="204"/>
      <c r="X133" s="204"/>
      <c r="Y133" s="204"/>
      <c r="Z133" s="204"/>
      <c r="AA133" s="204"/>
      <c r="AB133" s="204"/>
      <c r="AC133" s="204"/>
      <c r="AD133" s="204"/>
      <c r="AE133" s="204"/>
      <c r="AF133" s="204"/>
      <c r="AG133" s="204"/>
      <c r="AH133" s="204"/>
      <c r="AI133" s="204"/>
      <c r="AJ133" s="204"/>
      <c r="AK133" s="204"/>
      <c r="AL133" s="204"/>
      <c r="AM133" s="204"/>
      <c r="AN133" s="204"/>
      <c r="AO133" s="204"/>
      <c r="AP133" s="204"/>
      <c r="AQ133" s="204"/>
      <c r="AR133" s="204"/>
      <c r="AS133" s="204"/>
      <c r="AT133" s="204"/>
      <c r="AU133" s="206"/>
      <c r="AV133" s="202"/>
      <c r="AW133" s="202"/>
      <c r="AX133" s="202"/>
      <c r="AY133" s="202"/>
      <c r="AZ133" s="202"/>
      <c r="BA133" s="202"/>
      <c r="BB133" s="202"/>
      <c r="BC133" s="202"/>
      <c r="BD133" s="202"/>
      <c r="BE133" s="202"/>
      <c r="BF133" s="202"/>
      <c r="BG133" s="202"/>
    </row>
    <row r="134" spans="2:59" ht="15">
      <c r="B134" s="204" t="s">
        <v>497</v>
      </c>
      <c r="C134" s="204" t="s">
        <v>497</v>
      </c>
      <c r="D134" s="204" t="s">
        <v>497</v>
      </c>
      <c r="E134" s="204" t="s">
        <v>497</v>
      </c>
      <c r="F134" s="204" t="s">
        <v>497</v>
      </c>
      <c r="G134" s="204" t="s">
        <v>497</v>
      </c>
      <c r="H134" s="204" t="s">
        <v>497</v>
      </c>
      <c r="I134" s="204" t="s">
        <v>497</v>
      </c>
      <c r="J134" s="205" t="s">
        <v>497</v>
      </c>
      <c r="K134" s="205" t="s">
        <v>497</v>
      </c>
      <c r="L134" s="204" t="s">
        <v>497</v>
      </c>
      <c r="M134" s="204" t="s">
        <v>497</v>
      </c>
      <c r="N134" s="204"/>
      <c r="O134" s="204"/>
      <c r="P134" s="204"/>
      <c r="Q134" s="204"/>
      <c r="R134" s="204"/>
      <c r="S134" s="204"/>
      <c r="T134" s="204"/>
      <c r="U134" s="204"/>
      <c r="V134" s="204"/>
      <c r="W134" s="204"/>
      <c r="X134" s="204"/>
      <c r="Y134" s="204"/>
      <c r="Z134" s="204"/>
      <c r="AA134" s="204"/>
      <c r="AB134" s="204"/>
      <c r="AC134" s="204"/>
      <c r="AD134" s="204"/>
      <c r="AE134" s="204"/>
      <c r="AF134" s="204"/>
      <c r="AG134" s="204"/>
      <c r="AH134" s="204"/>
      <c r="AI134" s="204"/>
      <c r="AJ134" s="204"/>
      <c r="AK134" s="204"/>
      <c r="AL134" s="204"/>
      <c r="AM134" s="204"/>
      <c r="AN134" s="204"/>
      <c r="AO134" s="204"/>
      <c r="AP134" s="204"/>
      <c r="AQ134" s="204"/>
      <c r="AR134" s="204"/>
      <c r="AS134" s="204"/>
      <c r="AT134" s="204"/>
      <c r="AU134" s="206"/>
      <c r="AV134" s="202"/>
      <c r="AW134" s="202"/>
      <c r="AX134" s="202"/>
      <c r="AY134" s="202"/>
      <c r="AZ134" s="202"/>
      <c r="BA134" s="202"/>
      <c r="BB134" s="202"/>
      <c r="BC134" s="202"/>
      <c r="BD134" s="202"/>
      <c r="BE134" s="202"/>
      <c r="BF134" s="202"/>
      <c r="BG134" s="202"/>
    </row>
    <row r="135" spans="2:59" ht="15">
      <c r="B135" s="204" t="s">
        <v>497</v>
      </c>
      <c r="C135" s="204" t="s">
        <v>497</v>
      </c>
      <c r="D135" s="204" t="s">
        <v>497</v>
      </c>
      <c r="E135" s="204" t="s">
        <v>497</v>
      </c>
      <c r="F135" s="204" t="s">
        <v>497</v>
      </c>
      <c r="G135" s="204" t="s">
        <v>497</v>
      </c>
      <c r="H135" s="204" t="s">
        <v>497</v>
      </c>
      <c r="I135" s="204" t="s">
        <v>497</v>
      </c>
      <c r="J135" s="205" t="s">
        <v>497</v>
      </c>
      <c r="K135" s="205" t="s">
        <v>497</v>
      </c>
      <c r="L135" s="204" t="s">
        <v>497</v>
      </c>
      <c r="M135" s="204" t="s">
        <v>497</v>
      </c>
      <c r="N135" s="204"/>
      <c r="O135" s="204"/>
      <c r="P135" s="204"/>
      <c r="Q135" s="204"/>
      <c r="R135" s="204"/>
      <c r="S135" s="204"/>
      <c r="T135" s="204"/>
      <c r="U135" s="204"/>
      <c r="V135" s="204"/>
      <c r="W135" s="204"/>
      <c r="X135" s="204"/>
      <c r="Y135" s="204"/>
      <c r="Z135" s="204"/>
      <c r="AA135" s="204"/>
      <c r="AB135" s="204"/>
      <c r="AC135" s="204"/>
      <c r="AD135" s="204"/>
      <c r="AE135" s="204"/>
      <c r="AF135" s="204"/>
      <c r="AG135" s="204"/>
      <c r="AH135" s="204"/>
      <c r="AI135" s="204"/>
      <c r="AJ135" s="204"/>
      <c r="AK135" s="204"/>
      <c r="AL135" s="204"/>
      <c r="AM135" s="204"/>
      <c r="AN135" s="204"/>
      <c r="AO135" s="204"/>
      <c r="AP135" s="204"/>
      <c r="AQ135" s="204"/>
      <c r="AR135" s="204"/>
      <c r="AS135" s="204"/>
      <c r="AT135" s="204"/>
      <c r="AU135" s="206"/>
      <c r="AV135" s="202"/>
      <c r="AW135" s="202"/>
      <c r="AX135" s="202"/>
      <c r="AY135" s="202"/>
      <c r="AZ135" s="202"/>
      <c r="BA135" s="202"/>
      <c r="BB135" s="202"/>
      <c r="BC135" s="202"/>
      <c r="BD135" s="202"/>
      <c r="BE135" s="202"/>
      <c r="BF135" s="202"/>
      <c r="BG135" s="202"/>
    </row>
    <row r="136" spans="2:59" ht="15">
      <c r="B136" s="204" t="s">
        <v>497</v>
      </c>
      <c r="C136" s="204" t="s">
        <v>497</v>
      </c>
      <c r="D136" s="204" t="s">
        <v>497</v>
      </c>
      <c r="E136" s="204" t="s">
        <v>497</v>
      </c>
      <c r="F136" s="204" t="s">
        <v>497</v>
      </c>
      <c r="G136" s="204" t="s">
        <v>497</v>
      </c>
      <c r="H136" s="204" t="s">
        <v>497</v>
      </c>
      <c r="I136" s="204" t="s">
        <v>497</v>
      </c>
      <c r="J136" s="205" t="s">
        <v>497</v>
      </c>
      <c r="K136" s="205" t="s">
        <v>497</v>
      </c>
      <c r="L136" s="204" t="s">
        <v>497</v>
      </c>
      <c r="M136" s="204" t="s">
        <v>497</v>
      </c>
      <c r="N136" s="204"/>
      <c r="O136" s="204"/>
      <c r="P136" s="204"/>
      <c r="Q136" s="204"/>
      <c r="R136" s="204"/>
      <c r="S136" s="204"/>
      <c r="T136" s="204"/>
      <c r="U136" s="204"/>
      <c r="V136" s="204"/>
      <c r="W136" s="204"/>
      <c r="X136" s="204"/>
      <c r="Y136" s="204"/>
      <c r="Z136" s="204"/>
      <c r="AA136" s="204"/>
      <c r="AB136" s="204"/>
      <c r="AC136" s="204"/>
      <c r="AD136" s="204"/>
      <c r="AE136" s="204"/>
      <c r="AF136" s="204"/>
      <c r="AG136" s="204"/>
      <c r="AH136" s="204"/>
      <c r="AI136" s="204"/>
      <c r="AJ136" s="204"/>
      <c r="AK136" s="204"/>
      <c r="AL136" s="204"/>
      <c r="AM136" s="204"/>
      <c r="AN136" s="204"/>
      <c r="AO136" s="204"/>
      <c r="AP136" s="204"/>
      <c r="AQ136" s="204"/>
      <c r="AR136" s="204"/>
      <c r="AS136" s="204"/>
      <c r="AT136" s="204"/>
      <c r="AU136" s="206"/>
      <c r="AV136" s="202"/>
      <c r="AW136" s="202"/>
      <c r="AX136" s="202"/>
      <c r="AY136" s="202"/>
      <c r="AZ136" s="202"/>
      <c r="BA136" s="202"/>
      <c r="BB136" s="202"/>
      <c r="BC136" s="202"/>
      <c r="BD136" s="202"/>
      <c r="BE136" s="202"/>
      <c r="BF136" s="202"/>
      <c r="BG136" s="202"/>
    </row>
    <row r="137" spans="2:59" ht="15">
      <c r="B137" s="204" t="s">
        <v>497</v>
      </c>
      <c r="C137" s="204" t="s">
        <v>497</v>
      </c>
      <c r="D137" s="204" t="s">
        <v>497</v>
      </c>
      <c r="E137" s="204" t="s">
        <v>497</v>
      </c>
      <c r="F137" s="204" t="s">
        <v>497</v>
      </c>
      <c r="G137" s="204" t="s">
        <v>497</v>
      </c>
      <c r="H137" s="204" t="s">
        <v>497</v>
      </c>
      <c r="I137" s="204" t="s">
        <v>497</v>
      </c>
      <c r="J137" s="205" t="s">
        <v>497</v>
      </c>
      <c r="K137" s="205" t="s">
        <v>497</v>
      </c>
      <c r="L137" s="204" t="s">
        <v>497</v>
      </c>
      <c r="M137" s="204" t="s">
        <v>497</v>
      </c>
      <c r="N137" s="204"/>
      <c r="O137" s="204"/>
      <c r="P137" s="204"/>
      <c r="Q137" s="204"/>
      <c r="R137" s="204"/>
      <c r="S137" s="204"/>
      <c r="T137" s="204"/>
      <c r="U137" s="204"/>
      <c r="V137" s="204"/>
      <c r="W137" s="204"/>
      <c r="X137" s="204"/>
      <c r="Y137" s="204"/>
      <c r="Z137" s="204"/>
      <c r="AA137" s="204"/>
      <c r="AB137" s="204"/>
      <c r="AC137" s="204"/>
      <c r="AD137" s="204"/>
      <c r="AE137" s="204"/>
      <c r="AF137" s="204"/>
      <c r="AG137" s="204"/>
      <c r="AH137" s="204"/>
      <c r="AI137" s="204"/>
      <c r="AJ137" s="204"/>
      <c r="AK137" s="204"/>
      <c r="AL137" s="204"/>
      <c r="AM137" s="204"/>
      <c r="AN137" s="204"/>
      <c r="AO137" s="204"/>
      <c r="AP137" s="204"/>
      <c r="AQ137" s="204"/>
      <c r="AR137" s="204"/>
      <c r="AS137" s="204"/>
      <c r="AT137" s="204"/>
      <c r="AU137" s="206"/>
      <c r="AV137" s="202"/>
      <c r="AW137" s="202"/>
      <c r="AX137" s="202"/>
      <c r="AY137" s="202"/>
      <c r="AZ137" s="202"/>
      <c r="BA137" s="202"/>
      <c r="BB137" s="202"/>
      <c r="BC137" s="202"/>
      <c r="BD137" s="202"/>
      <c r="BE137" s="202"/>
      <c r="BF137" s="202"/>
      <c r="BG137" s="202"/>
    </row>
    <row r="138" spans="2:59" ht="15">
      <c r="B138" s="204" t="s">
        <v>497</v>
      </c>
      <c r="C138" s="204" t="s">
        <v>497</v>
      </c>
      <c r="D138" s="204" t="s">
        <v>497</v>
      </c>
      <c r="E138" s="204" t="s">
        <v>497</v>
      </c>
      <c r="F138" s="204" t="s">
        <v>497</v>
      </c>
      <c r="G138" s="204" t="s">
        <v>497</v>
      </c>
      <c r="H138" s="204" t="s">
        <v>497</v>
      </c>
      <c r="I138" s="204" t="s">
        <v>497</v>
      </c>
      <c r="J138" s="205" t="s">
        <v>497</v>
      </c>
      <c r="K138" s="205" t="s">
        <v>497</v>
      </c>
      <c r="L138" s="204" t="s">
        <v>497</v>
      </c>
      <c r="M138" s="204" t="s">
        <v>497</v>
      </c>
      <c r="N138" s="204"/>
      <c r="O138" s="204"/>
      <c r="P138" s="204"/>
      <c r="Q138" s="204"/>
      <c r="R138" s="204"/>
      <c r="S138" s="204"/>
      <c r="T138" s="204"/>
      <c r="U138" s="204"/>
      <c r="V138" s="204"/>
      <c r="W138" s="204"/>
      <c r="X138" s="204"/>
      <c r="Y138" s="204"/>
      <c r="Z138" s="204"/>
      <c r="AA138" s="204"/>
      <c r="AB138" s="204"/>
      <c r="AC138" s="204"/>
      <c r="AD138" s="204"/>
      <c r="AE138" s="204"/>
      <c r="AF138" s="204"/>
      <c r="AG138" s="204"/>
      <c r="AH138" s="204"/>
      <c r="AI138" s="204"/>
      <c r="AJ138" s="204"/>
      <c r="AK138" s="204"/>
      <c r="AL138" s="204"/>
      <c r="AM138" s="204"/>
      <c r="AN138" s="204"/>
      <c r="AO138" s="204"/>
      <c r="AP138" s="204"/>
      <c r="AQ138" s="204"/>
      <c r="AR138" s="204"/>
      <c r="AS138" s="204"/>
      <c r="AT138" s="204"/>
      <c r="AU138" s="206"/>
      <c r="AV138" s="202"/>
      <c r="AW138" s="202"/>
      <c r="AX138" s="202"/>
      <c r="AY138" s="202"/>
      <c r="AZ138" s="202"/>
      <c r="BA138" s="202"/>
      <c r="BB138" s="202"/>
      <c r="BC138" s="202"/>
      <c r="BD138" s="202"/>
      <c r="BE138" s="202"/>
      <c r="BF138" s="202"/>
      <c r="BG138" s="202"/>
    </row>
    <row r="139" spans="2:59" ht="15">
      <c r="B139" s="204" t="s">
        <v>497</v>
      </c>
      <c r="C139" s="204" t="s">
        <v>497</v>
      </c>
      <c r="D139" s="204" t="s">
        <v>497</v>
      </c>
      <c r="E139" s="204" t="s">
        <v>497</v>
      </c>
      <c r="F139" s="204" t="s">
        <v>497</v>
      </c>
      <c r="G139" s="204" t="s">
        <v>497</v>
      </c>
      <c r="H139" s="204" t="s">
        <v>497</v>
      </c>
      <c r="I139" s="204" t="s">
        <v>497</v>
      </c>
      <c r="J139" s="205" t="s">
        <v>497</v>
      </c>
      <c r="K139" s="205" t="s">
        <v>497</v>
      </c>
      <c r="L139" s="204" t="s">
        <v>497</v>
      </c>
      <c r="M139" s="204" t="s">
        <v>497</v>
      </c>
      <c r="N139" s="204"/>
      <c r="O139" s="204"/>
      <c r="P139" s="204"/>
      <c r="Q139" s="204"/>
      <c r="R139" s="204"/>
      <c r="S139" s="204"/>
      <c r="T139" s="204"/>
      <c r="U139" s="204"/>
      <c r="V139" s="204"/>
      <c r="W139" s="204"/>
      <c r="X139" s="204"/>
      <c r="Y139" s="204"/>
      <c r="Z139" s="204"/>
      <c r="AA139" s="204"/>
      <c r="AB139" s="204"/>
      <c r="AC139" s="204"/>
      <c r="AD139" s="204"/>
      <c r="AE139" s="204"/>
      <c r="AF139" s="204"/>
      <c r="AG139" s="204"/>
      <c r="AH139" s="204"/>
      <c r="AI139" s="204"/>
      <c r="AJ139" s="204"/>
      <c r="AK139" s="204"/>
      <c r="AL139" s="204"/>
      <c r="AM139" s="204"/>
      <c r="AN139" s="204"/>
      <c r="AO139" s="204"/>
      <c r="AP139" s="204"/>
      <c r="AQ139" s="204"/>
      <c r="AR139" s="204"/>
      <c r="AS139" s="204"/>
      <c r="AT139" s="204"/>
      <c r="AU139" s="206"/>
      <c r="AV139" s="202"/>
      <c r="AW139" s="202"/>
      <c r="AX139" s="202"/>
      <c r="AY139" s="202"/>
      <c r="AZ139" s="202"/>
      <c r="BA139" s="202"/>
      <c r="BB139" s="202"/>
      <c r="BC139" s="202"/>
      <c r="BD139" s="202"/>
      <c r="BE139" s="202"/>
      <c r="BF139" s="202"/>
      <c r="BG139" s="202"/>
    </row>
    <row r="140" spans="2:59" ht="15">
      <c r="B140" s="204" t="s">
        <v>497</v>
      </c>
      <c r="C140" s="204" t="s">
        <v>497</v>
      </c>
      <c r="D140" s="204" t="s">
        <v>497</v>
      </c>
      <c r="E140" s="204" t="s">
        <v>497</v>
      </c>
      <c r="F140" s="204" t="s">
        <v>497</v>
      </c>
      <c r="G140" s="204" t="s">
        <v>497</v>
      </c>
      <c r="H140" s="204" t="s">
        <v>497</v>
      </c>
      <c r="I140" s="204" t="s">
        <v>497</v>
      </c>
      <c r="J140" s="205" t="s">
        <v>497</v>
      </c>
      <c r="K140" s="205" t="s">
        <v>497</v>
      </c>
      <c r="L140" s="204" t="s">
        <v>497</v>
      </c>
      <c r="M140" s="204" t="s">
        <v>497</v>
      </c>
      <c r="N140" s="204"/>
      <c r="O140" s="204"/>
      <c r="P140" s="204"/>
      <c r="Q140" s="204"/>
      <c r="R140" s="204"/>
      <c r="S140" s="204"/>
      <c r="T140" s="204"/>
      <c r="U140" s="204"/>
      <c r="V140" s="204"/>
      <c r="W140" s="204"/>
      <c r="X140" s="204"/>
      <c r="Y140" s="204"/>
      <c r="Z140" s="204"/>
      <c r="AA140" s="204"/>
      <c r="AB140" s="204"/>
      <c r="AC140" s="204"/>
      <c r="AD140" s="204"/>
      <c r="AE140" s="204"/>
      <c r="AF140" s="204"/>
      <c r="AG140" s="204"/>
      <c r="AH140" s="204"/>
      <c r="AI140" s="204"/>
      <c r="AJ140" s="204"/>
      <c r="AK140" s="204"/>
      <c r="AL140" s="204"/>
      <c r="AM140" s="204"/>
      <c r="AN140" s="204"/>
      <c r="AO140" s="204"/>
      <c r="AP140" s="204"/>
      <c r="AQ140" s="204"/>
      <c r="AR140" s="204"/>
      <c r="AS140" s="204"/>
      <c r="AT140" s="204"/>
      <c r="AU140" s="206"/>
      <c r="AV140" s="202"/>
      <c r="AW140" s="202"/>
      <c r="AX140" s="202"/>
      <c r="AY140" s="202"/>
      <c r="AZ140" s="202"/>
      <c r="BA140" s="202"/>
      <c r="BB140" s="202"/>
      <c r="BC140" s="202"/>
      <c r="BD140" s="202"/>
      <c r="BE140" s="202"/>
      <c r="BF140" s="202"/>
      <c r="BG140" s="202"/>
    </row>
    <row r="141" spans="2:59" ht="15">
      <c r="B141" s="204" t="s">
        <v>497</v>
      </c>
      <c r="C141" s="204" t="s">
        <v>497</v>
      </c>
      <c r="D141" s="204" t="s">
        <v>497</v>
      </c>
      <c r="E141" s="204" t="s">
        <v>497</v>
      </c>
      <c r="F141" s="204" t="s">
        <v>497</v>
      </c>
      <c r="G141" s="204" t="s">
        <v>497</v>
      </c>
      <c r="H141" s="204" t="s">
        <v>497</v>
      </c>
      <c r="I141" s="204" t="s">
        <v>497</v>
      </c>
      <c r="J141" s="205" t="s">
        <v>497</v>
      </c>
      <c r="K141" s="205" t="s">
        <v>497</v>
      </c>
      <c r="L141" s="204" t="s">
        <v>497</v>
      </c>
      <c r="M141" s="204" t="s">
        <v>497</v>
      </c>
      <c r="N141" s="204"/>
      <c r="O141" s="204"/>
      <c r="P141" s="204"/>
      <c r="Q141" s="204"/>
      <c r="R141" s="204"/>
      <c r="S141" s="204"/>
      <c r="T141" s="204"/>
      <c r="U141" s="204"/>
      <c r="V141" s="204"/>
      <c r="W141" s="204"/>
      <c r="X141" s="204"/>
      <c r="Y141" s="204"/>
      <c r="Z141" s="204"/>
      <c r="AA141" s="204"/>
      <c r="AB141" s="204"/>
      <c r="AC141" s="204"/>
      <c r="AD141" s="204"/>
      <c r="AE141" s="204"/>
      <c r="AF141" s="204"/>
      <c r="AG141" s="204"/>
      <c r="AH141" s="204"/>
      <c r="AI141" s="204"/>
      <c r="AJ141" s="204"/>
      <c r="AK141" s="204"/>
      <c r="AL141" s="204"/>
      <c r="AM141" s="204"/>
      <c r="AN141" s="204"/>
      <c r="AO141" s="204"/>
      <c r="AP141" s="204"/>
      <c r="AQ141" s="204"/>
      <c r="AR141" s="204"/>
      <c r="AS141" s="204"/>
      <c r="AT141" s="204"/>
      <c r="AU141" s="206"/>
      <c r="AV141" s="202"/>
      <c r="AW141" s="202"/>
      <c r="AX141" s="202"/>
      <c r="AY141" s="202"/>
      <c r="AZ141" s="202"/>
      <c r="BA141" s="202"/>
      <c r="BB141" s="202"/>
      <c r="BC141" s="202"/>
      <c r="BD141" s="202"/>
      <c r="BE141" s="202"/>
      <c r="BF141" s="202"/>
      <c r="BG141" s="202"/>
    </row>
    <row r="142" spans="2:59" ht="15">
      <c r="B142" s="204" t="s">
        <v>497</v>
      </c>
      <c r="C142" s="204" t="s">
        <v>497</v>
      </c>
      <c r="D142" s="204" t="s">
        <v>497</v>
      </c>
      <c r="E142" s="204" t="s">
        <v>497</v>
      </c>
      <c r="F142" s="204" t="s">
        <v>497</v>
      </c>
      <c r="G142" s="204" t="s">
        <v>497</v>
      </c>
      <c r="H142" s="204" t="s">
        <v>497</v>
      </c>
      <c r="I142" s="204" t="s">
        <v>497</v>
      </c>
      <c r="J142" s="205" t="s">
        <v>497</v>
      </c>
      <c r="K142" s="205" t="s">
        <v>497</v>
      </c>
      <c r="L142" s="204" t="s">
        <v>497</v>
      </c>
      <c r="M142" s="204" t="s">
        <v>497</v>
      </c>
      <c r="N142" s="204"/>
      <c r="O142" s="204"/>
      <c r="P142" s="204"/>
      <c r="Q142" s="204"/>
      <c r="R142" s="204"/>
      <c r="S142" s="204"/>
      <c r="T142" s="204"/>
      <c r="U142" s="204"/>
      <c r="V142" s="204"/>
      <c r="W142" s="204"/>
      <c r="X142" s="204"/>
      <c r="Y142" s="204"/>
      <c r="Z142" s="204"/>
      <c r="AA142" s="204"/>
      <c r="AB142" s="204"/>
      <c r="AC142" s="204"/>
      <c r="AD142" s="204"/>
      <c r="AE142" s="204"/>
      <c r="AF142" s="204"/>
      <c r="AG142" s="204"/>
      <c r="AH142" s="204"/>
      <c r="AI142" s="204"/>
      <c r="AJ142" s="204"/>
      <c r="AK142" s="204"/>
      <c r="AL142" s="204"/>
      <c r="AM142" s="204"/>
      <c r="AN142" s="204"/>
      <c r="AO142" s="204"/>
      <c r="AP142" s="204"/>
      <c r="AQ142" s="204"/>
      <c r="AR142" s="204"/>
      <c r="AS142" s="204"/>
      <c r="AT142" s="204"/>
      <c r="AU142" s="206"/>
      <c r="AV142" s="202"/>
      <c r="AW142" s="202"/>
      <c r="AX142" s="202"/>
      <c r="AY142" s="202"/>
      <c r="AZ142" s="202"/>
      <c r="BA142" s="202"/>
      <c r="BB142" s="202"/>
      <c r="BC142" s="202"/>
      <c r="BD142" s="202"/>
      <c r="BE142" s="202"/>
      <c r="BF142" s="202"/>
      <c r="BG142" s="202"/>
    </row>
    <row r="143" spans="2:59" ht="15">
      <c r="B143" s="204" t="s">
        <v>497</v>
      </c>
      <c r="C143" s="204" t="s">
        <v>497</v>
      </c>
      <c r="D143" s="204" t="s">
        <v>497</v>
      </c>
      <c r="E143" s="204" t="s">
        <v>497</v>
      </c>
      <c r="F143" s="204" t="s">
        <v>497</v>
      </c>
      <c r="G143" s="204" t="s">
        <v>497</v>
      </c>
      <c r="H143" s="204" t="s">
        <v>497</v>
      </c>
      <c r="I143" s="204" t="s">
        <v>497</v>
      </c>
      <c r="J143" s="205" t="s">
        <v>497</v>
      </c>
      <c r="K143" s="205" t="s">
        <v>497</v>
      </c>
      <c r="L143" s="204" t="s">
        <v>497</v>
      </c>
      <c r="M143" s="204" t="s">
        <v>497</v>
      </c>
      <c r="N143" s="204"/>
      <c r="O143" s="204"/>
      <c r="P143" s="204"/>
      <c r="Q143" s="204"/>
      <c r="R143" s="204"/>
      <c r="S143" s="204"/>
      <c r="T143" s="204"/>
      <c r="U143" s="204"/>
      <c r="V143" s="204"/>
      <c r="W143" s="204"/>
      <c r="X143" s="204"/>
      <c r="Y143" s="204"/>
      <c r="Z143" s="204"/>
      <c r="AA143" s="204"/>
      <c r="AB143" s="204"/>
      <c r="AC143" s="204"/>
      <c r="AD143" s="204"/>
      <c r="AE143" s="204"/>
      <c r="AF143" s="204"/>
      <c r="AG143" s="204"/>
      <c r="AH143" s="204"/>
      <c r="AI143" s="204"/>
      <c r="AJ143" s="204"/>
      <c r="AK143" s="204"/>
      <c r="AL143" s="204"/>
      <c r="AM143" s="204"/>
      <c r="AN143" s="204"/>
      <c r="AO143" s="204"/>
      <c r="AP143" s="204"/>
      <c r="AQ143" s="204"/>
      <c r="AR143" s="204"/>
      <c r="AS143" s="204"/>
      <c r="AT143" s="204"/>
      <c r="AU143" s="206"/>
      <c r="AV143" s="202"/>
      <c r="AW143" s="202"/>
      <c r="AX143" s="202"/>
      <c r="AY143" s="202"/>
      <c r="AZ143" s="202"/>
      <c r="BA143" s="202"/>
      <c r="BB143" s="202"/>
      <c r="BC143" s="202"/>
      <c r="BD143" s="202"/>
      <c r="BE143" s="202"/>
      <c r="BF143" s="202"/>
      <c r="BG143" s="202"/>
    </row>
    <row r="144" spans="2:59" ht="15">
      <c r="B144" s="204" t="s">
        <v>497</v>
      </c>
      <c r="C144" s="204" t="s">
        <v>497</v>
      </c>
      <c r="D144" s="204" t="s">
        <v>497</v>
      </c>
      <c r="E144" s="204" t="s">
        <v>497</v>
      </c>
      <c r="F144" s="204" t="s">
        <v>497</v>
      </c>
      <c r="G144" s="204" t="s">
        <v>497</v>
      </c>
      <c r="H144" s="204" t="s">
        <v>497</v>
      </c>
      <c r="I144" s="204" t="s">
        <v>497</v>
      </c>
      <c r="J144" s="205" t="s">
        <v>497</v>
      </c>
      <c r="K144" s="205" t="s">
        <v>497</v>
      </c>
      <c r="L144" s="204" t="s">
        <v>497</v>
      </c>
      <c r="M144" s="204" t="s">
        <v>497</v>
      </c>
      <c r="N144" s="204"/>
      <c r="O144" s="204"/>
      <c r="P144" s="204"/>
      <c r="Q144" s="204"/>
      <c r="R144" s="204"/>
      <c r="S144" s="204"/>
      <c r="T144" s="204"/>
      <c r="U144" s="204"/>
      <c r="V144" s="204"/>
      <c r="W144" s="204"/>
      <c r="X144" s="204"/>
      <c r="Y144" s="204"/>
      <c r="Z144" s="204"/>
      <c r="AA144" s="204"/>
      <c r="AB144" s="204"/>
      <c r="AC144" s="204"/>
      <c r="AD144" s="204"/>
      <c r="AE144" s="204"/>
      <c r="AF144" s="204"/>
      <c r="AG144" s="204"/>
      <c r="AH144" s="204"/>
      <c r="AI144" s="204"/>
      <c r="AJ144" s="204"/>
      <c r="AK144" s="204"/>
      <c r="AL144" s="204"/>
      <c r="AM144" s="204"/>
      <c r="AN144" s="204"/>
      <c r="AO144" s="204"/>
      <c r="AP144" s="204"/>
      <c r="AQ144" s="204"/>
      <c r="AR144" s="204"/>
      <c r="AS144" s="204"/>
      <c r="AT144" s="204"/>
      <c r="AU144" s="206"/>
      <c r="AV144" s="202"/>
      <c r="AW144" s="202"/>
      <c r="AX144" s="202"/>
      <c r="AY144" s="202"/>
      <c r="AZ144" s="202"/>
      <c r="BA144" s="202"/>
      <c r="BB144" s="202"/>
      <c r="BC144" s="202"/>
      <c r="BD144" s="202"/>
      <c r="BE144" s="202"/>
      <c r="BF144" s="202"/>
      <c r="BG144" s="202"/>
    </row>
    <row r="145" spans="2:59" ht="15">
      <c r="B145" s="204" t="s">
        <v>497</v>
      </c>
      <c r="C145" s="204" t="s">
        <v>497</v>
      </c>
      <c r="D145" s="204" t="s">
        <v>497</v>
      </c>
      <c r="E145" s="204" t="s">
        <v>497</v>
      </c>
      <c r="F145" s="204" t="s">
        <v>497</v>
      </c>
      <c r="G145" s="204" t="s">
        <v>497</v>
      </c>
      <c r="H145" s="204" t="s">
        <v>497</v>
      </c>
      <c r="I145" s="204" t="s">
        <v>497</v>
      </c>
      <c r="J145" s="205" t="s">
        <v>497</v>
      </c>
      <c r="K145" s="205" t="s">
        <v>497</v>
      </c>
      <c r="L145" s="204" t="s">
        <v>497</v>
      </c>
      <c r="M145" s="204" t="s">
        <v>497</v>
      </c>
      <c r="N145" s="204"/>
      <c r="O145" s="204"/>
      <c r="P145" s="204"/>
      <c r="Q145" s="204"/>
      <c r="R145" s="204"/>
      <c r="S145" s="204"/>
      <c r="T145" s="204"/>
      <c r="U145" s="204"/>
      <c r="V145" s="204"/>
      <c r="W145" s="204"/>
      <c r="X145" s="204"/>
      <c r="Y145" s="204"/>
      <c r="Z145" s="204"/>
      <c r="AA145" s="204"/>
      <c r="AB145" s="204"/>
      <c r="AC145" s="204"/>
      <c r="AD145" s="204"/>
      <c r="AE145" s="204"/>
      <c r="AF145" s="204"/>
      <c r="AG145" s="204"/>
      <c r="AH145" s="204"/>
      <c r="AI145" s="204"/>
      <c r="AJ145" s="204"/>
      <c r="AK145" s="204"/>
      <c r="AL145" s="204"/>
      <c r="AM145" s="204"/>
      <c r="AN145" s="204"/>
      <c r="AO145" s="204"/>
      <c r="AP145" s="204"/>
      <c r="AQ145" s="204"/>
      <c r="AR145" s="204"/>
      <c r="AS145" s="204"/>
      <c r="AT145" s="204"/>
      <c r="AU145" s="206"/>
      <c r="AV145" s="202"/>
      <c r="AW145" s="202"/>
      <c r="AX145" s="202"/>
      <c r="AY145" s="202"/>
      <c r="AZ145" s="202"/>
      <c r="BA145" s="202"/>
      <c r="BB145" s="202"/>
      <c r="BC145" s="202"/>
      <c r="BD145" s="202"/>
      <c r="BE145" s="202"/>
      <c r="BF145" s="202"/>
      <c r="BG145" s="202"/>
    </row>
    <row r="146" spans="2:59" ht="15">
      <c r="B146" s="204" t="s">
        <v>497</v>
      </c>
      <c r="C146" s="204" t="s">
        <v>497</v>
      </c>
      <c r="D146" s="204" t="s">
        <v>497</v>
      </c>
      <c r="E146" s="204" t="s">
        <v>497</v>
      </c>
      <c r="F146" s="204" t="s">
        <v>497</v>
      </c>
      <c r="G146" s="204" t="s">
        <v>497</v>
      </c>
      <c r="H146" s="204" t="s">
        <v>497</v>
      </c>
      <c r="I146" s="204" t="s">
        <v>497</v>
      </c>
      <c r="J146" s="205" t="s">
        <v>497</v>
      </c>
      <c r="K146" s="205" t="s">
        <v>497</v>
      </c>
      <c r="L146" s="204" t="s">
        <v>497</v>
      </c>
      <c r="M146" s="204" t="s">
        <v>497</v>
      </c>
      <c r="N146" s="204"/>
      <c r="O146" s="204"/>
      <c r="P146" s="204"/>
      <c r="Q146" s="204"/>
      <c r="R146" s="204"/>
      <c r="S146" s="204"/>
      <c r="T146" s="204"/>
      <c r="U146" s="204"/>
      <c r="V146" s="204"/>
      <c r="W146" s="204"/>
      <c r="X146" s="204"/>
      <c r="Y146" s="204"/>
      <c r="Z146" s="204"/>
      <c r="AA146" s="204"/>
      <c r="AB146" s="204"/>
      <c r="AC146" s="204"/>
      <c r="AD146" s="204"/>
      <c r="AE146" s="204"/>
      <c r="AF146" s="204"/>
      <c r="AG146" s="204"/>
      <c r="AH146" s="204"/>
      <c r="AI146" s="204"/>
      <c r="AJ146" s="204"/>
      <c r="AK146" s="204"/>
      <c r="AL146" s="204"/>
      <c r="AM146" s="204"/>
      <c r="AN146" s="204"/>
      <c r="AO146" s="204"/>
      <c r="AP146" s="204"/>
      <c r="AQ146" s="204"/>
      <c r="AR146" s="204"/>
      <c r="AS146" s="204"/>
      <c r="AT146" s="204"/>
      <c r="AU146" s="206"/>
      <c r="AV146" s="202"/>
      <c r="AW146" s="202"/>
      <c r="AX146" s="202"/>
      <c r="AY146" s="202"/>
      <c r="AZ146" s="202"/>
      <c r="BA146" s="202"/>
      <c r="BB146" s="202"/>
      <c r="BC146" s="202"/>
      <c r="BD146" s="202"/>
      <c r="BE146" s="202"/>
      <c r="BF146" s="202"/>
      <c r="BG146" s="202"/>
    </row>
    <row r="147" spans="2:59" ht="15">
      <c r="B147" s="204" t="s">
        <v>497</v>
      </c>
      <c r="C147" s="204" t="s">
        <v>497</v>
      </c>
      <c r="D147" s="204" t="s">
        <v>497</v>
      </c>
      <c r="E147" s="204" t="s">
        <v>497</v>
      </c>
      <c r="F147" s="204" t="s">
        <v>497</v>
      </c>
      <c r="G147" s="204" t="s">
        <v>497</v>
      </c>
      <c r="H147" s="204" t="s">
        <v>497</v>
      </c>
      <c r="I147" s="204" t="s">
        <v>497</v>
      </c>
      <c r="J147" s="205" t="s">
        <v>497</v>
      </c>
      <c r="K147" s="205" t="s">
        <v>497</v>
      </c>
      <c r="L147" s="204" t="s">
        <v>497</v>
      </c>
      <c r="M147" s="204" t="s">
        <v>497</v>
      </c>
      <c r="N147" s="204"/>
      <c r="O147" s="204"/>
      <c r="P147" s="204"/>
      <c r="Q147" s="204"/>
      <c r="R147" s="204"/>
      <c r="S147" s="204"/>
      <c r="T147" s="204"/>
      <c r="U147" s="204"/>
      <c r="V147" s="204"/>
      <c r="W147" s="204"/>
      <c r="X147" s="204"/>
      <c r="Y147" s="204"/>
      <c r="Z147" s="204"/>
      <c r="AA147" s="204"/>
      <c r="AB147" s="204"/>
      <c r="AC147" s="204"/>
      <c r="AD147" s="204"/>
      <c r="AE147" s="204"/>
      <c r="AF147" s="204"/>
      <c r="AG147" s="204"/>
      <c r="AH147" s="204"/>
      <c r="AI147" s="204"/>
      <c r="AJ147" s="204"/>
      <c r="AK147" s="204"/>
      <c r="AL147" s="204"/>
      <c r="AM147" s="204"/>
      <c r="AN147" s="204"/>
      <c r="AO147" s="204"/>
      <c r="AP147" s="204"/>
      <c r="AQ147" s="204"/>
      <c r="AR147" s="204"/>
      <c r="AS147" s="204"/>
      <c r="AT147" s="204"/>
      <c r="AU147" s="206"/>
      <c r="AV147" s="202"/>
      <c r="AW147" s="202"/>
      <c r="AX147" s="202"/>
      <c r="AY147" s="202"/>
      <c r="AZ147" s="202"/>
      <c r="BA147" s="202"/>
      <c r="BB147" s="202"/>
      <c r="BC147" s="202"/>
      <c r="BD147" s="202"/>
      <c r="BE147" s="202"/>
      <c r="BF147" s="202"/>
      <c r="BG147" s="202"/>
    </row>
    <row r="148" spans="2:59" ht="15">
      <c r="B148" s="204" t="s">
        <v>497</v>
      </c>
      <c r="C148" s="204" t="s">
        <v>497</v>
      </c>
      <c r="D148" s="204" t="s">
        <v>497</v>
      </c>
      <c r="E148" s="204" t="s">
        <v>497</v>
      </c>
      <c r="F148" s="204" t="s">
        <v>497</v>
      </c>
      <c r="G148" s="204" t="s">
        <v>497</v>
      </c>
      <c r="H148" s="204" t="s">
        <v>497</v>
      </c>
      <c r="I148" s="204" t="s">
        <v>497</v>
      </c>
      <c r="J148" s="205" t="s">
        <v>497</v>
      </c>
      <c r="K148" s="205" t="s">
        <v>497</v>
      </c>
      <c r="L148" s="204" t="s">
        <v>497</v>
      </c>
      <c r="M148" s="204" t="s">
        <v>497</v>
      </c>
      <c r="N148" s="204"/>
      <c r="O148" s="204"/>
      <c r="P148" s="204"/>
      <c r="Q148" s="204"/>
      <c r="R148" s="204"/>
      <c r="S148" s="204"/>
      <c r="T148" s="204"/>
      <c r="U148" s="204"/>
      <c r="V148" s="204"/>
      <c r="W148" s="204"/>
      <c r="X148" s="204"/>
      <c r="Y148" s="204"/>
      <c r="Z148" s="204"/>
      <c r="AA148" s="204"/>
      <c r="AB148" s="204"/>
      <c r="AC148" s="204"/>
      <c r="AD148" s="204"/>
      <c r="AE148" s="204"/>
      <c r="AF148" s="204"/>
      <c r="AG148" s="204"/>
      <c r="AH148" s="204"/>
      <c r="AI148" s="204"/>
      <c r="AJ148" s="204"/>
      <c r="AK148" s="204"/>
      <c r="AL148" s="204"/>
      <c r="AM148" s="204"/>
      <c r="AN148" s="204"/>
      <c r="AO148" s="204"/>
      <c r="AP148" s="204"/>
      <c r="AQ148" s="204"/>
      <c r="AR148" s="204"/>
      <c r="AS148" s="204"/>
      <c r="AT148" s="204"/>
      <c r="AU148" s="206"/>
      <c r="AV148" s="202"/>
      <c r="AW148" s="202"/>
      <c r="AX148" s="202"/>
      <c r="AY148" s="202"/>
      <c r="AZ148" s="202"/>
      <c r="BA148" s="202"/>
      <c r="BB148" s="202"/>
      <c r="BC148" s="202"/>
      <c r="BD148" s="202"/>
      <c r="BE148" s="202"/>
      <c r="BF148" s="202"/>
      <c r="BG148" s="202"/>
    </row>
    <row r="149" spans="2:59" ht="15">
      <c r="B149" s="204" t="s">
        <v>497</v>
      </c>
      <c r="C149" s="204" t="s">
        <v>497</v>
      </c>
      <c r="D149" s="204" t="s">
        <v>497</v>
      </c>
      <c r="E149" s="204" t="s">
        <v>497</v>
      </c>
      <c r="F149" s="204" t="s">
        <v>497</v>
      </c>
      <c r="G149" s="204" t="s">
        <v>497</v>
      </c>
      <c r="H149" s="204" t="s">
        <v>497</v>
      </c>
      <c r="I149" s="204" t="s">
        <v>497</v>
      </c>
      <c r="J149" s="205" t="s">
        <v>497</v>
      </c>
      <c r="K149" s="205" t="s">
        <v>497</v>
      </c>
      <c r="L149" s="204" t="s">
        <v>497</v>
      </c>
      <c r="M149" s="204" t="s">
        <v>497</v>
      </c>
      <c r="N149" s="204"/>
      <c r="O149" s="204"/>
      <c r="P149" s="204"/>
      <c r="Q149" s="204"/>
      <c r="R149" s="204"/>
      <c r="S149" s="204"/>
      <c r="T149" s="204"/>
      <c r="U149" s="204"/>
      <c r="V149" s="204"/>
      <c r="W149" s="204"/>
      <c r="X149" s="204"/>
      <c r="Y149" s="204"/>
      <c r="Z149" s="204"/>
      <c r="AA149" s="204"/>
      <c r="AB149" s="204"/>
      <c r="AC149" s="204"/>
      <c r="AD149" s="204"/>
      <c r="AE149" s="204"/>
      <c r="AF149" s="204"/>
      <c r="AG149" s="204"/>
      <c r="AH149" s="204"/>
      <c r="AI149" s="204"/>
      <c r="AJ149" s="204"/>
      <c r="AK149" s="204"/>
      <c r="AL149" s="204"/>
      <c r="AM149" s="204"/>
      <c r="AN149" s="204"/>
      <c r="AO149" s="204"/>
      <c r="AP149" s="204"/>
      <c r="AQ149" s="204"/>
      <c r="AR149" s="204"/>
      <c r="AS149" s="204"/>
      <c r="AT149" s="204"/>
      <c r="AU149" s="206"/>
      <c r="AV149" s="202"/>
      <c r="AW149" s="202"/>
      <c r="AX149" s="202"/>
      <c r="AY149" s="202"/>
      <c r="AZ149" s="202"/>
      <c r="BA149" s="202"/>
      <c r="BB149" s="202"/>
      <c r="BC149" s="202"/>
      <c r="BD149" s="202"/>
      <c r="BE149" s="202"/>
      <c r="BF149" s="202"/>
      <c r="BG149" s="202"/>
    </row>
    <row r="150" spans="2:59" ht="15">
      <c r="B150" s="204" t="s">
        <v>497</v>
      </c>
      <c r="C150" s="204" t="s">
        <v>497</v>
      </c>
      <c r="D150" s="204" t="s">
        <v>497</v>
      </c>
      <c r="E150" s="204" t="s">
        <v>497</v>
      </c>
      <c r="F150" s="204" t="s">
        <v>497</v>
      </c>
      <c r="G150" s="204" t="s">
        <v>497</v>
      </c>
      <c r="H150" s="204" t="s">
        <v>497</v>
      </c>
      <c r="I150" s="204" t="s">
        <v>497</v>
      </c>
      <c r="J150" s="205" t="s">
        <v>497</v>
      </c>
      <c r="K150" s="205" t="s">
        <v>497</v>
      </c>
      <c r="L150" s="204" t="s">
        <v>497</v>
      </c>
      <c r="M150" s="204" t="s">
        <v>497</v>
      </c>
      <c r="N150" s="204"/>
      <c r="O150" s="204"/>
      <c r="P150" s="204"/>
      <c r="Q150" s="204"/>
      <c r="R150" s="204"/>
      <c r="S150" s="204"/>
      <c r="T150" s="204"/>
      <c r="U150" s="204"/>
      <c r="V150" s="204"/>
      <c r="W150" s="204"/>
      <c r="X150" s="204"/>
      <c r="Y150" s="204"/>
      <c r="Z150" s="204"/>
      <c r="AA150" s="204"/>
      <c r="AB150" s="204"/>
      <c r="AC150" s="204"/>
      <c r="AD150" s="204"/>
      <c r="AE150" s="204"/>
      <c r="AF150" s="204"/>
      <c r="AG150" s="204"/>
      <c r="AH150" s="204"/>
      <c r="AI150" s="204"/>
      <c r="AJ150" s="204"/>
      <c r="AK150" s="204"/>
      <c r="AL150" s="204"/>
      <c r="AM150" s="204"/>
      <c r="AN150" s="204"/>
      <c r="AO150" s="204"/>
      <c r="AP150" s="204"/>
      <c r="AQ150" s="204"/>
      <c r="AR150" s="204"/>
      <c r="AS150" s="204"/>
      <c r="AT150" s="204"/>
      <c r="AU150" s="206"/>
      <c r="AV150" s="202"/>
      <c r="AW150" s="202"/>
      <c r="AX150" s="202"/>
      <c r="AY150" s="202"/>
      <c r="AZ150" s="202"/>
      <c r="BA150" s="202"/>
      <c r="BB150" s="202"/>
      <c r="BC150" s="202"/>
      <c r="BD150" s="202"/>
      <c r="BE150" s="202"/>
      <c r="BF150" s="202"/>
      <c r="BG150" s="202"/>
    </row>
    <row r="151" spans="2:59" ht="15">
      <c r="B151" s="204" t="s">
        <v>497</v>
      </c>
      <c r="C151" s="204" t="s">
        <v>497</v>
      </c>
      <c r="D151" s="204" t="s">
        <v>497</v>
      </c>
      <c r="E151" s="204" t="s">
        <v>497</v>
      </c>
      <c r="F151" s="204" t="s">
        <v>497</v>
      </c>
      <c r="G151" s="204" t="s">
        <v>497</v>
      </c>
      <c r="H151" s="204" t="s">
        <v>497</v>
      </c>
      <c r="I151" s="204" t="s">
        <v>497</v>
      </c>
      <c r="J151" s="205" t="s">
        <v>497</v>
      </c>
      <c r="K151" s="205" t="s">
        <v>497</v>
      </c>
      <c r="L151" s="204" t="s">
        <v>497</v>
      </c>
      <c r="M151" s="204" t="s">
        <v>497</v>
      </c>
      <c r="N151" s="204"/>
      <c r="O151" s="204"/>
      <c r="P151" s="204"/>
      <c r="Q151" s="204"/>
      <c r="R151" s="204"/>
      <c r="S151" s="204"/>
      <c r="T151" s="204"/>
      <c r="U151" s="204"/>
      <c r="V151" s="204"/>
      <c r="W151" s="204"/>
      <c r="X151" s="204"/>
      <c r="Y151" s="204"/>
      <c r="Z151" s="204"/>
      <c r="AA151" s="204"/>
      <c r="AB151" s="204"/>
      <c r="AC151" s="204"/>
      <c r="AD151" s="204"/>
      <c r="AE151" s="204"/>
      <c r="AF151" s="204"/>
      <c r="AG151" s="204"/>
      <c r="AH151" s="204"/>
      <c r="AI151" s="204"/>
      <c r="AJ151" s="204"/>
      <c r="AK151" s="204"/>
      <c r="AL151" s="204"/>
      <c r="AM151" s="204"/>
      <c r="AN151" s="204"/>
      <c r="AO151" s="204"/>
      <c r="AP151" s="204"/>
      <c r="AQ151" s="204"/>
      <c r="AR151" s="204"/>
      <c r="AS151" s="204"/>
      <c r="AT151" s="204"/>
      <c r="AU151" s="206"/>
      <c r="AV151" s="202"/>
      <c r="AW151" s="202"/>
      <c r="AX151" s="202"/>
      <c r="AY151" s="202"/>
      <c r="AZ151" s="202"/>
      <c r="BA151" s="202"/>
      <c r="BB151" s="202"/>
      <c r="BC151" s="202"/>
      <c r="BD151" s="202"/>
      <c r="BE151" s="202"/>
      <c r="BF151" s="202"/>
      <c r="BG151" s="202"/>
    </row>
    <row r="152" spans="2:59" ht="15">
      <c r="B152" s="204" t="s">
        <v>497</v>
      </c>
      <c r="C152" s="204" t="s">
        <v>497</v>
      </c>
      <c r="D152" s="204" t="s">
        <v>497</v>
      </c>
      <c r="E152" s="204" t="s">
        <v>497</v>
      </c>
      <c r="F152" s="204" t="s">
        <v>497</v>
      </c>
      <c r="G152" s="204" t="s">
        <v>497</v>
      </c>
      <c r="H152" s="204" t="s">
        <v>497</v>
      </c>
      <c r="I152" s="204" t="s">
        <v>497</v>
      </c>
      <c r="J152" s="205" t="s">
        <v>497</v>
      </c>
      <c r="K152" s="205" t="s">
        <v>497</v>
      </c>
      <c r="L152" s="204" t="s">
        <v>497</v>
      </c>
      <c r="M152" s="204" t="s">
        <v>497</v>
      </c>
      <c r="N152" s="204"/>
      <c r="O152" s="204"/>
      <c r="P152" s="204"/>
      <c r="Q152" s="204"/>
      <c r="R152" s="204"/>
      <c r="S152" s="204"/>
      <c r="T152" s="204"/>
      <c r="U152" s="204"/>
      <c r="V152" s="204"/>
      <c r="W152" s="204"/>
      <c r="X152" s="204"/>
      <c r="Y152" s="204"/>
      <c r="Z152" s="204"/>
      <c r="AA152" s="204"/>
      <c r="AB152" s="204"/>
      <c r="AC152" s="204"/>
      <c r="AD152" s="204"/>
      <c r="AE152" s="204"/>
      <c r="AF152" s="204"/>
      <c r="AG152" s="204"/>
      <c r="AH152" s="204"/>
      <c r="AI152" s="204"/>
      <c r="AJ152" s="204"/>
      <c r="AK152" s="204"/>
      <c r="AL152" s="204"/>
      <c r="AM152" s="204"/>
      <c r="AN152" s="204"/>
      <c r="AO152" s="204"/>
      <c r="AP152" s="204"/>
      <c r="AQ152" s="204"/>
      <c r="AR152" s="204"/>
      <c r="AS152" s="204"/>
      <c r="AT152" s="204"/>
      <c r="AU152" s="206"/>
      <c r="AV152" s="202"/>
      <c r="AW152" s="202"/>
      <c r="AX152" s="202"/>
      <c r="AY152" s="202"/>
      <c r="AZ152" s="202"/>
      <c r="BA152" s="202"/>
      <c r="BB152" s="202"/>
      <c r="BC152" s="202"/>
      <c r="BD152" s="202"/>
      <c r="BE152" s="202"/>
      <c r="BF152" s="202"/>
      <c r="BG152" s="202"/>
    </row>
    <row r="153" spans="2:59" ht="15">
      <c r="B153" s="204" t="s">
        <v>497</v>
      </c>
      <c r="C153" s="204" t="s">
        <v>497</v>
      </c>
      <c r="D153" s="204" t="s">
        <v>497</v>
      </c>
      <c r="E153" s="204" t="s">
        <v>497</v>
      </c>
      <c r="F153" s="204" t="s">
        <v>497</v>
      </c>
      <c r="G153" s="204" t="s">
        <v>497</v>
      </c>
      <c r="H153" s="204" t="s">
        <v>497</v>
      </c>
      <c r="I153" s="204" t="s">
        <v>497</v>
      </c>
      <c r="J153" s="205" t="s">
        <v>497</v>
      </c>
      <c r="K153" s="205" t="s">
        <v>497</v>
      </c>
      <c r="L153" s="204" t="s">
        <v>497</v>
      </c>
      <c r="M153" s="204" t="s">
        <v>497</v>
      </c>
      <c r="N153" s="204"/>
      <c r="O153" s="204"/>
      <c r="P153" s="204"/>
      <c r="Q153" s="204"/>
      <c r="R153" s="204"/>
      <c r="S153" s="204"/>
      <c r="T153" s="204"/>
      <c r="U153" s="204"/>
      <c r="V153" s="204"/>
      <c r="W153" s="204"/>
      <c r="X153" s="204"/>
      <c r="Y153" s="204"/>
      <c r="Z153" s="204"/>
      <c r="AA153" s="204"/>
      <c r="AB153" s="204"/>
      <c r="AC153" s="204"/>
      <c r="AD153" s="204"/>
      <c r="AE153" s="204"/>
      <c r="AF153" s="204"/>
      <c r="AG153" s="204"/>
      <c r="AH153" s="204"/>
      <c r="AI153" s="204"/>
      <c r="AJ153" s="204"/>
      <c r="AK153" s="204"/>
      <c r="AL153" s="204"/>
      <c r="AM153" s="204"/>
      <c r="AN153" s="204"/>
      <c r="AO153" s="204"/>
      <c r="AP153" s="204"/>
      <c r="AQ153" s="204"/>
      <c r="AR153" s="204"/>
      <c r="AS153" s="204"/>
      <c r="AT153" s="204"/>
      <c r="AU153" s="206"/>
      <c r="AV153" s="202"/>
      <c r="AW153" s="202"/>
      <c r="AX153" s="202"/>
      <c r="AY153" s="202"/>
      <c r="AZ153" s="202"/>
      <c r="BA153" s="202"/>
      <c r="BB153" s="202"/>
      <c r="BC153" s="202"/>
      <c r="BD153" s="202"/>
      <c r="BE153" s="202"/>
      <c r="BF153" s="202"/>
      <c r="BG153" s="202"/>
    </row>
    <row r="154" spans="2:59" ht="15">
      <c r="B154" s="204" t="s">
        <v>497</v>
      </c>
      <c r="C154" s="204" t="s">
        <v>497</v>
      </c>
      <c r="D154" s="204" t="s">
        <v>497</v>
      </c>
      <c r="E154" s="204" t="s">
        <v>497</v>
      </c>
      <c r="F154" s="204" t="s">
        <v>497</v>
      </c>
      <c r="G154" s="204" t="s">
        <v>497</v>
      </c>
      <c r="H154" s="204" t="s">
        <v>497</v>
      </c>
      <c r="I154" s="204" t="s">
        <v>497</v>
      </c>
      <c r="J154" s="205" t="s">
        <v>497</v>
      </c>
      <c r="K154" s="205" t="s">
        <v>497</v>
      </c>
      <c r="L154" s="204" t="s">
        <v>497</v>
      </c>
      <c r="M154" s="204" t="s">
        <v>497</v>
      </c>
      <c r="N154" s="204"/>
      <c r="O154" s="204"/>
      <c r="P154" s="204"/>
      <c r="Q154" s="204"/>
      <c r="R154" s="204"/>
      <c r="S154" s="204"/>
      <c r="T154" s="204"/>
      <c r="U154" s="204"/>
      <c r="V154" s="204"/>
      <c r="W154" s="204"/>
      <c r="X154" s="204"/>
      <c r="Y154" s="204"/>
      <c r="Z154" s="204"/>
      <c r="AA154" s="204"/>
      <c r="AB154" s="204"/>
      <c r="AC154" s="204"/>
      <c r="AD154" s="204"/>
      <c r="AE154" s="204"/>
      <c r="AF154" s="204"/>
      <c r="AG154" s="204"/>
      <c r="AH154" s="204"/>
      <c r="AI154" s="204"/>
      <c r="AJ154" s="204"/>
      <c r="AK154" s="204"/>
      <c r="AL154" s="204"/>
      <c r="AM154" s="204"/>
      <c r="AN154" s="204"/>
      <c r="AO154" s="204"/>
      <c r="AP154" s="204"/>
      <c r="AQ154" s="204"/>
      <c r="AR154" s="204"/>
      <c r="AS154" s="204"/>
      <c r="AT154" s="204"/>
      <c r="AU154" s="206"/>
      <c r="AV154" s="202"/>
      <c r="AW154" s="202"/>
      <c r="AX154" s="202"/>
      <c r="AY154" s="202"/>
      <c r="AZ154" s="202"/>
      <c r="BA154" s="202"/>
      <c r="BB154" s="202"/>
      <c r="BC154" s="202"/>
      <c r="BD154" s="202"/>
      <c r="BE154" s="202"/>
      <c r="BF154" s="202"/>
      <c r="BG154" s="202"/>
    </row>
    <row r="155" spans="2:59" ht="15">
      <c r="B155" s="204" t="s">
        <v>497</v>
      </c>
      <c r="C155" s="204" t="s">
        <v>497</v>
      </c>
      <c r="D155" s="204" t="s">
        <v>497</v>
      </c>
      <c r="E155" s="204" t="s">
        <v>497</v>
      </c>
      <c r="F155" s="204" t="s">
        <v>497</v>
      </c>
      <c r="G155" s="204" t="s">
        <v>497</v>
      </c>
      <c r="H155" s="204" t="s">
        <v>497</v>
      </c>
      <c r="I155" s="204" t="s">
        <v>497</v>
      </c>
      <c r="J155" s="205" t="s">
        <v>497</v>
      </c>
      <c r="K155" s="205" t="s">
        <v>497</v>
      </c>
      <c r="L155" s="204" t="s">
        <v>497</v>
      </c>
      <c r="M155" s="204" t="s">
        <v>497</v>
      </c>
      <c r="N155" s="204"/>
      <c r="O155" s="204"/>
      <c r="P155" s="204"/>
      <c r="Q155" s="204"/>
      <c r="R155" s="204"/>
      <c r="S155" s="204"/>
      <c r="T155" s="204"/>
      <c r="U155" s="204"/>
      <c r="V155" s="204"/>
      <c r="W155" s="204"/>
      <c r="X155" s="204"/>
      <c r="Y155" s="204"/>
      <c r="Z155" s="204"/>
      <c r="AA155" s="204"/>
      <c r="AB155" s="204"/>
      <c r="AC155" s="204"/>
      <c r="AD155" s="204"/>
      <c r="AE155" s="204"/>
      <c r="AF155" s="204"/>
      <c r="AG155" s="204"/>
      <c r="AH155" s="204"/>
      <c r="AI155" s="204"/>
      <c r="AJ155" s="204"/>
      <c r="AK155" s="204"/>
      <c r="AL155" s="204"/>
      <c r="AM155" s="204"/>
      <c r="AN155" s="204"/>
      <c r="AO155" s="204"/>
      <c r="AP155" s="204"/>
      <c r="AQ155" s="204"/>
      <c r="AR155" s="204"/>
      <c r="AS155" s="204"/>
      <c r="AT155" s="204"/>
      <c r="AU155" s="206"/>
      <c r="AV155" s="202"/>
      <c r="AW155" s="202"/>
      <c r="AX155" s="202"/>
      <c r="AY155" s="202"/>
      <c r="AZ155" s="202"/>
      <c r="BA155" s="202"/>
      <c r="BB155" s="202"/>
      <c r="BC155" s="202"/>
      <c r="BD155" s="202"/>
      <c r="BE155" s="202"/>
      <c r="BF155" s="202"/>
      <c r="BG155" s="202"/>
    </row>
    <row r="156" spans="2:59" ht="15">
      <c r="B156" s="204" t="s">
        <v>497</v>
      </c>
      <c r="C156" s="204" t="s">
        <v>497</v>
      </c>
      <c r="D156" s="204" t="s">
        <v>497</v>
      </c>
      <c r="E156" s="204" t="s">
        <v>497</v>
      </c>
      <c r="F156" s="204" t="s">
        <v>497</v>
      </c>
      <c r="G156" s="204" t="s">
        <v>497</v>
      </c>
      <c r="H156" s="204" t="s">
        <v>497</v>
      </c>
      <c r="I156" s="204" t="s">
        <v>497</v>
      </c>
      <c r="J156" s="205" t="s">
        <v>497</v>
      </c>
      <c r="K156" s="205" t="s">
        <v>497</v>
      </c>
      <c r="L156" s="204" t="s">
        <v>497</v>
      </c>
      <c r="M156" s="204" t="s">
        <v>497</v>
      </c>
      <c r="N156" s="204"/>
      <c r="O156" s="204"/>
      <c r="P156" s="204"/>
      <c r="Q156" s="204"/>
      <c r="R156" s="204"/>
      <c r="S156" s="204"/>
      <c r="T156" s="204"/>
      <c r="U156" s="204"/>
      <c r="V156" s="204"/>
      <c r="W156" s="204"/>
      <c r="X156" s="204"/>
      <c r="Y156" s="204"/>
      <c r="Z156" s="204"/>
      <c r="AA156" s="204"/>
      <c r="AB156" s="204"/>
      <c r="AC156" s="204"/>
      <c r="AD156" s="204"/>
      <c r="AE156" s="204"/>
      <c r="AF156" s="204"/>
      <c r="AG156" s="204"/>
      <c r="AH156" s="204"/>
      <c r="AI156" s="204"/>
      <c r="AJ156" s="204"/>
      <c r="AK156" s="204"/>
      <c r="AL156" s="204"/>
      <c r="AM156" s="204"/>
      <c r="AN156" s="204"/>
      <c r="AO156" s="204"/>
      <c r="AP156" s="204"/>
      <c r="AQ156" s="204"/>
      <c r="AR156" s="204"/>
      <c r="AS156" s="204"/>
      <c r="AT156" s="204"/>
      <c r="AU156" s="206"/>
      <c r="AV156" s="202"/>
      <c r="AW156" s="202"/>
      <c r="AX156" s="202"/>
      <c r="AY156" s="202"/>
      <c r="AZ156" s="202"/>
      <c r="BA156" s="202"/>
      <c r="BB156" s="202"/>
      <c r="BC156" s="202"/>
      <c r="BD156" s="202"/>
      <c r="BE156" s="202"/>
      <c r="BF156" s="202"/>
      <c r="BG156" s="202"/>
    </row>
    <row r="157" spans="2:59" ht="15">
      <c r="B157" s="204" t="s">
        <v>497</v>
      </c>
      <c r="C157" s="204" t="s">
        <v>497</v>
      </c>
      <c r="D157" s="204" t="s">
        <v>497</v>
      </c>
      <c r="E157" s="204" t="s">
        <v>497</v>
      </c>
      <c r="F157" s="204" t="s">
        <v>497</v>
      </c>
      <c r="G157" s="204" t="s">
        <v>497</v>
      </c>
      <c r="H157" s="204" t="s">
        <v>497</v>
      </c>
      <c r="I157" s="204" t="s">
        <v>497</v>
      </c>
      <c r="J157" s="205" t="s">
        <v>497</v>
      </c>
      <c r="K157" s="205" t="s">
        <v>497</v>
      </c>
      <c r="L157" s="204" t="s">
        <v>497</v>
      </c>
      <c r="M157" s="204" t="s">
        <v>497</v>
      </c>
      <c r="N157" s="204"/>
      <c r="O157" s="204"/>
      <c r="P157" s="204"/>
      <c r="Q157" s="204"/>
      <c r="R157" s="204"/>
      <c r="S157" s="204"/>
      <c r="T157" s="204"/>
      <c r="U157" s="204"/>
      <c r="V157" s="204"/>
      <c r="W157" s="204"/>
      <c r="X157" s="204"/>
      <c r="Y157" s="204"/>
      <c r="Z157" s="204"/>
      <c r="AA157" s="204"/>
      <c r="AB157" s="204"/>
      <c r="AC157" s="204"/>
      <c r="AD157" s="204"/>
      <c r="AE157" s="204"/>
      <c r="AF157" s="204"/>
      <c r="AG157" s="204"/>
      <c r="AH157" s="204"/>
      <c r="AI157" s="204"/>
      <c r="AJ157" s="204"/>
      <c r="AK157" s="204"/>
      <c r="AL157" s="204"/>
      <c r="AM157" s="204"/>
      <c r="AN157" s="204"/>
      <c r="AO157" s="204"/>
      <c r="AP157" s="204"/>
      <c r="AQ157" s="204"/>
      <c r="AR157" s="204"/>
      <c r="AS157" s="204"/>
      <c r="AT157" s="204"/>
      <c r="AU157" s="206"/>
      <c r="AV157" s="202"/>
      <c r="AW157" s="202"/>
      <c r="AX157" s="202"/>
      <c r="AY157" s="202"/>
      <c r="AZ157" s="202"/>
      <c r="BA157" s="202"/>
      <c r="BB157" s="202"/>
      <c r="BC157" s="202"/>
      <c r="BD157" s="202"/>
      <c r="BE157" s="202"/>
      <c r="BF157" s="202"/>
      <c r="BG157" s="202"/>
    </row>
    <row r="158" spans="2:59" ht="15">
      <c r="B158" s="204" t="s">
        <v>497</v>
      </c>
      <c r="C158" s="204" t="s">
        <v>497</v>
      </c>
      <c r="D158" s="204" t="s">
        <v>497</v>
      </c>
      <c r="E158" s="204" t="s">
        <v>497</v>
      </c>
      <c r="F158" s="204" t="s">
        <v>497</v>
      </c>
      <c r="G158" s="204" t="s">
        <v>497</v>
      </c>
      <c r="H158" s="204" t="s">
        <v>497</v>
      </c>
      <c r="I158" s="204" t="s">
        <v>497</v>
      </c>
      <c r="J158" s="205" t="s">
        <v>497</v>
      </c>
      <c r="K158" s="205" t="s">
        <v>497</v>
      </c>
      <c r="L158" s="204" t="s">
        <v>497</v>
      </c>
      <c r="M158" s="204" t="s">
        <v>497</v>
      </c>
      <c r="N158" s="204"/>
      <c r="O158" s="204"/>
      <c r="P158" s="204"/>
      <c r="Q158" s="204"/>
      <c r="R158" s="204"/>
      <c r="S158" s="204"/>
      <c r="T158" s="204"/>
      <c r="U158" s="204"/>
      <c r="V158" s="204"/>
      <c r="W158" s="204"/>
      <c r="X158" s="204"/>
      <c r="Y158" s="204"/>
      <c r="Z158" s="204"/>
      <c r="AA158" s="204"/>
      <c r="AB158" s="204"/>
      <c r="AC158" s="204"/>
      <c r="AD158" s="204"/>
      <c r="AE158" s="204"/>
      <c r="AF158" s="204"/>
      <c r="AG158" s="204"/>
      <c r="AH158" s="204"/>
      <c r="AI158" s="204"/>
      <c r="AJ158" s="204"/>
      <c r="AK158" s="204"/>
      <c r="AL158" s="204"/>
      <c r="AM158" s="204"/>
      <c r="AN158" s="204"/>
      <c r="AO158" s="204"/>
      <c r="AP158" s="204"/>
      <c r="AQ158" s="204"/>
      <c r="AR158" s="204"/>
      <c r="AS158" s="204"/>
      <c r="AT158" s="204"/>
      <c r="AU158" s="206"/>
      <c r="AV158" s="202"/>
      <c r="AW158" s="202"/>
      <c r="AX158" s="202"/>
      <c r="AY158" s="202"/>
      <c r="AZ158" s="202"/>
      <c r="BA158" s="202"/>
      <c r="BB158" s="202"/>
      <c r="BC158" s="202"/>
      <c r="BD158" s="202"/>
      <c r="BE158" s="202"/>
      <c r="BF158" s="202"/>
      <c r="BG158" s="202"/>
    </row>
    <row r="159" spans="2:59" ht="15">
      <c r="B159" s="204" t="s">
        <v>497</v>
      </c>
      <c r="C159" s="204" t="s">
        <v>497</v>
      </c>
      <c r="D159" s="204" t="s">
        <v>497</v>
      </c>
      <c r="E159" s="204" t="s">
        <v>497</v>
      </c>
      <c r="F159" s="204" t="s">
        <v>497</v>
      </c>
      <c r="G159" s="204" t="s">
        <v>497</v>
      </c>
      <c r="H159" s="204" t="s">
        <v>497</v>
      </c>
      <c r="I159" s="204" t="s">
        <v>497</v>
      </c>
      <c r="J159" s="205" t="s">
        <v>497</v>
      </c>
      <c r="K159" s="205" t="s">
        <v>497</v>
      </c>
      <c r="L159" s="204" t="s">
        <v>497</v>
      </c>
      <c r="M159" s="204" t="s">
        <v>497</v>
      </c>
      <c r="N159" s="204"/>
      <c r="O159" s="204"/>
      <c r="P159" s="204"/>
      <c r="Q159" s="204"/>
      <c r="R159" s="204"/>
      <c r="S159" s="204"/>
      <c r="T159" s="204"/>
      <c r="U159" s="204"/>
      <c r="V159" s="204"/>
      <c r="W159" s="204"/>
      <c r="X159" s="204"/>
      <c r="Y159" s="204"/>
      <c r="Z159" s="204"/>
      <c r="AA159" s="204"/>
      <c r="AB159" s="204"/>
      <c r="AC159" s="204"/>
      <c r="AD159" s="204"/>
      <c r="AE159" s="204"/>
      <c r="AF159" s="204"/>
      <c r="AG159" s="204"/>
      <c r="AH159" s="204"/>
      <c r="AI159" s="204"/>
      <c r="AJ159" s="204"/>
      <c r="AK159" s="204"/>
      <c r="AL159" s="204"/>
      <c r="AM159" s="204"/>
      <c r="AN159" s="204"/>
      <c r="AO159" s="204"/>
      <c r="AP159" s="204"/>
      <c r="AQ159" s="204"/>
      <c r="AR159" s="204"/>
      <c r="AS159" s="204"/>
      <c r="AT159" s="204"/>
      <c r="AU159" s="206"/>
      <c r="AV159" s="202"/>
      <c r="AW159" s="202"/>
      <c r="AX159" s="202"/>
      <c r="AY159" s="202"/>
      <c r="AZ159" s="202"/>
      <c r="BA159" s="202"/>
      <c r="BB159" s="202"/>
      <c r="BC159" s="202"/>
      <c r="BD159" s="202"/>
      <c r="BE159" s="202"/>
      <c r="BF159" s="202"/>
      <c r="BG159" s="202"/>
    </row>
    <row r="160" spans="2:59" ht="15">
      <c r="B160" s="204" t="s">
        <v>497</v>
      </c>
      <c r="C160" s="204" t="s">
        <v>497</v>
      </c>
      <c r="D160" s="204" t="s">
        <v>497</v>
      </c>
      <c r="E160" s="204" t="s">
        <v>497</v>
      </c>
      <c r="F160" s="204" t="s">
        <v>497</v>
      </c>
      <c r="G160" s="204" t="s">
        <v>497</v>
      </c>
      <c r="H160" s="204" t="s">
        <v>497</v>
      </c>
      <c r="I160" s="204" t="s">
        <v>497</v>
      </c>
      <c r="J160" s="205" t="s">
        <v>497</v>
      </c>
      <c r="K160" s="205" t="s">
        <v>497</v>
      </c>
      <c r="L160" s="204" t="s">
        <v>497</v>
      </c>
      <c r="M160" s="204" t="s">
        <v>497</v>
      </c>
      <c r="N160" s="204"/>
      <c r="O160" s="204"/>
      <c r="P160" s="204"/>
      <c r="Q160" s="204"/>
      <c r="R160" s="204"/>
      <c r="S160" s="204"/>
      <c r="T160" s="204"/>
      <c r="U160" s="204"/>
      <c r="V160" s="204"/>
      <c r="W160" s="204"/>
      <c r="X160" s="204"/>
      <c r="Y160" s="204"/>
      <c r="Z160" s="204"/>
      <c r="AA160" s="204"/>
      <c r="AB160" s="204"/>
      <c r="AC160" s="204"/>
      <c r="AD160" s="204"/>
      <c r="AE160" s="204"/>
      <c r="AF160" s="204"/>
      <c r="AG160" s="204"/>
      <c r="AH160" s="204"/>
      <c r="AI160" s="204"/>
      <c r="AJ160" s="204"/>
      <c r="AK160" s="204"/>
      <c r="AL160" s="204"/>
      <c r="AM160" s="204"/>
      <c r="AN160" s="204"/>
      <c r="AO160" s="204"/>
      <c r="AP160" s="204"/>
      <c r="AQ160" s="204"/>
      <c r="AR160" s="204"/>
      <c r="AS160" s="204"/>
      <c r="AT160" s="204"/>
      <c r="AU160" s="206"/>
      <c r="AV160" s="202"/>
      <c r="AW160" s="202"/>
      <c r="AX160" s="202"/>
      <c r="AY160" s="202"/>
      <c r="AZ160" s="202"/>
      <c r="BA160" s="202"/>
      <c r="BB160" s="202"/>
      <c r="BC160" s="202"/>
      <c r="BD160" s="202"/>
      <c r="BE160" s="202"/>
      <c r="BF160" s="202"/>
      <c r="BG160" s="202"/>
    </row>
    <row r="161" spans="2:59" ht="15">
      <c r="B161" s="204" t="s">
        <v>497</v>
      </c>
      <c r="C161" s="204" t="s">
        <v>497</v>
      </c>
      <c r="D161" s="204" t="s">
        <v>497</v>
      </c>
      <c r="E161" s="204" t="s">
        <v>497</v>
      </c>
      <c r="F161" s="204" t="s">
        <v>497</v>
      </c>
      <c r="G161" s="204" t="s">
        <v>497</v>
      </c>
      <c r="H161" s="204" t="s">
        <v>497</v>
      </c>
      <c r="I161" s="204" t="s">
        <v>497</v>
      </c>
      <c r="J161" s="205" t="s">
        <v>497</v>
      </c>
      <c r="K161" s="205" t="s">
        <v>497</v>
      </c>
      <c r="L161" s="204" t="s">
        <v>497</v>
      </c>
      <c r="M161" s="204" t="s">
        <v>497</v>
      </c>
      <c r="N161" s="204"/>
      <c r="O161" s="204"/>
      <c r="P161" s="204"/>
      <c r="Q161" s="204"/>
      <c r="R161" s="204"/>
      <c r="S161" s="204"/>
      <c r="T161" s="204"/>
      <c r="U161" s="204"/>
      <c r="V161" s="204"/>
      <c r="W161" s="204"/>
      <c r="X161" s="204"/>
      <c r="Y161" s="204"/>
      <c r="Z161" s="204"/>
      <c r="AA161" s="204"/>
      <c r="AB161" s="204"/>
      <c r="AC161" s="204"/>
      <c r="AD161" s="204"/>
      <c r="AE161" s="204"/>
      <c r="AF161" s="204"/>
      <c r="AG161" s="204"/>
      <c r="AH161" s="204"/>
      <c r="AI161" s="204"/>
      <c r="AJ161" s="204"/>
      <c r="AK161" s="204"/>
      <c r="AL161" s="204"/>
      <c r="AM161" s="204"/>
      <c r="AN161" s="204"/>
      <c r="AO161" s="204"/>
      <c r="AP161" s="204"/>
      <c r="AQ161" s="204"/>
      <c r="AR161" s="204"/>
      <c r="AS161" s="204"/>
      <c r="AT161" s="204"/>
      <c r="AU161" s="206"/>
      <c r="AV161" s="202"/>
      <c r="AW161" s="202"/>
      <c r="AX161" s="202"/>
      <c r="AY161" s="202"/>
      <c r="AZ161" s="202"/>
      <c r="BA161" s="202"/>
      <c r="BB161" s="202"/>
      <c r="BC161" s="202"/>
      <c r="BD161" s="202"/>
      <c r="BE161" s="202"/>
      <c r="BF161" s="202"/>
      <c r="BG161" s="202"/>
    </row>
    <row r="162" spans="2:59" ht="15">
      <c r="B162" s="204" t="s">
        <v>497</v>
      </c>
      <c r="C162" s="204" t="s">
        <v>497</v>
      </c>
      <c r="D162" s="204" t="s">
        <v>497</v>
      </c>
      <c r="E162" s="204" t="s">
        <v>497</v>
      </c>
      <c r="F162" s="204" t="s">
        <v>497</v>
      </c>
      <c r="G162" s="204" t="s">
        <v>497</v>
      </c>
      <c r="H162" s="204" t="s">
        <v>497</v>
      </c>
      <c r="I162" s="204" t="s">
        <v>497</v>
      </c>
      <c r="J162" s="205" t="s">
        <v>497</v>
      </c>
      <c r="K162" s="205" t="s">
        <v>497</v>
      </c>
      <c r="L162" s="204" t="s">
        <v>497</v>
      </c>
      <c r="M162" s="204" t="s">
        <v>497</v>
      </c>
      <c r="N162" s="204"/>
      <c r="O162" s="204"/>
      <c r="P162" s="204"/>
      <c r="Q162" s="204"/>
      <c r="R162" s="204"/>
      <c r="S162" s="204"/>
      <c r="T162" s="204"/>
      <c r="U162" s="204"/>
      <c r="V162" s="204"/>
      <c r="W162" s="204"/>
      <c r="X162" s="204"/>
      <c r="Y162" s="204"/>
      <c r="Z162" s="204"/>
      <c r="AA162" s="204"/>
      <c r="AB162" s="204"/>
      <c r="AC162" s="204"/>
      <c r="AD162" s="204"/>
      <c r="AE162" s="204"/>
      <c r="AF162" s="204"/>
      <c r="AG162" s="204"/>
      <c r="AH162" s="204"/>
      <c r="AI162" s="204"/>
      <c r="AJ162" s="204"/>
      <c r="AK162" s="204"/>
      <c r="AL162" s="204"/>
      <c r="AM162" s="204"/>
      <c r="AN162" s="204"/>
      <c r="AO162" s="204"/>
      <c r="AP162" s="204"/>
      <c r="AQ162" s="204"/>
      <c r="AR162" s="204"/>
      <c r="AS162" s="204"/>
      <c r="AT162" s="204"/>
      <c r="AU162" s="206"/>
      <c r="AV162" s="202"/>
      <c r="AW162" s="202"/>
      <c r="AX162" s="202"/>
      <c r="AY162" s="202"/>
      <c r="AZ162" s="202"/>
      <c r="BA162" s="202"/>
      <c r="BB162" s="202"/>
      <c r="BC162" s="202"/>
      <c r="BD162" s="202"/>
      <c r="BE162" s="202"/>
      <c r="BF162" s="202"/>
      <c r="BG162" s="202"/>
    </row>
    <row r="163" spans="2:59" ht="15">
      <c r="B163" s="204" t="s">
        <v>497</v>
      </c>
      <c r="C163" s="204" t="s">
        <v>497</v>
      </c>
      <c r="D163" s="204" t="s">
        <v>497</v>
      </c>
      <c r="E163" s="204" t="s">
        <v>497</v>
      </c>
      <c r="F163" s="204" t="s">
        <v>497</v>
      </c>
      <c r="G163" s="204" t="s">
        <v>497</v>
      </c>
      <c r="H163" s="204" t="s">
        <v>497</v>
      </c>
      <c r="I163" s="204" t="s">
        <v>497</v>
      </c>
      <c r="J163" s="205" t="s">
        <v>497</v>
      </c>
      <c r="K163" s="205" t="s">
        <v>497</v>
      </c>
      <c r="L163" s="204" t="s">
        <v>497</v>
      </c>
      <c r="M163" s="204" t="s">
        <v>497</v>
      </c>
      <c r="N163" s="204"/>
      <c r="O163" s="204"/>
      <c r="P163" s="204"/>
      <c r="Q163" s="204"/>
      <c r="R163" s="204"/>
      <c r="S163" s="204"/>
      <c r="T163" s="204"/>
      <c r="U163" s="204"/>
      <c r="V163" s="204"/>
      <c r="W163" s="204"/>
      <c r="X163" s="204"/>
      <c r="Y163" s="204"/>
      <c r="Z163" s="204"/>
      <c r="AA163" s="204"/>
      <c r="AB163" s="204"/>
      <c r="AC163" s="204"/>
      <c r="AD163" s="204"/>
      <c r="AE163" s="204"/>
      <c r="AF163" s="204"/>
      <c r="AG163" s="204"/>
      <c r="AH163" s="204"/>
      <c r="AI163" s="204"/>
      <c r="AJ163" s="204"/>
      <c r="AK163" s="204"/>
      <c r="AL163" s="204"/>
      <c r="AM163" s="204"/>
      <c r="AN163" s="204"/>
      <c r="AO163" s="204"/>
      <c r="AP163" s="204"/>
      <c r="AQ163" s="204"/>
      <c r="AR163" s="204"/>
      <c r="AS163" s="204"/>
      <c r="AT163" s="204"/>
      <c r="AU163" s="206"/>
      <c r="AV163" s="202"/>
      <c r="AW163" s="202"/>
      <c r="AX163" s="202"/>
      <c r="AY163" s="202"/>
      <c r="AZ163" s="202"/>
      <c r="BA163" s="202"/>
      <c r="BB163" s="202"/>
      <c r="BC163" s="202"/>
      <c r="BD163" s="202"/>
      <c r="BE163" s="202"/>
      <c r="BF163" s="202"/>
      <c r="BG163" s="202"/>
    </row>
    <row r="164" spans="2:59" ht="15">
      <c r="B164" s="204" t="s">
        <v>497</v>
      </c>
      <c r="C164" s="204" t="s">
        <v>497</v>
      </c>
      <c r="D164" s="204" t="s">
        <v>497</v>
      </c>
      <c r="E164" s="204" t="s">
        <v>497</v>
      </c>
      <c r="F164" s="204" t="s">
        <v>497</v>
      </c>
      <c r="G164" s="204" t="s">
        <v>497</v>
      </c>
      <c r="H164" s="204" t="s">
        <v>497</v>
      </c>
      <c r="I164" s="204" t="s">
        <v>497</v>
      </c>
      <c r="J164" s="205" t="s">
        <v>497</v>
      </c>
      <c r="K164" s="205" t="s">
        <v>497</v>
      </c>
      <c r="L164" s="204" t="s">
        <v>497</v>
      </c>
      <c r="M164" s="204" t="s">
        <v>497</v>
      </c>
      <c r="N164" s="204"/>
      <c r="O164" s="204"/>
      <c r="P164" s="204"/>
      <c r="Q164" s="204"/>
      <c r="R164" s="204"/>
      <c r="S164" s="204"/>
      <c r="T164" s="204"/>
      <c r="U164" s="204"/>
      <c r="V164" s="204"/>
      <c r="W164" s="204"/>
      <c r="X164" s="204"/>
      <c r="Y164" s="204"/>
      <c r="Z164" s="204"/>
      <c r="AA164" s="204"/>
      <c r="AB164" s="204"/>
      <c r="AC164" s="204"/>
      <c r="AD164" s="204"/>
      <c r="AE164" s="204"/>
      <c r="AF164" s="204"/>
      <c r="AG164" s="204"/>
      <c r="AH164" s="204"/>
      <c r="AI164" s="204"/>
      <c r="AJ164" s="204"/>
      <c r="AK164" s="204"/>
      <c r="AL164" s="204"/>
      <c r="AM164" s="204"/>
      <c r="AN164" s="204"/>
      <c r="AO164" s="204"/>
      <c r="AP164" s="204"/>
      <c r="AQ164" s="204"/>
      <c r="AR164" s="204"/>
      <c r="AS164" s="204"/>
      <c r="AT164" s="204"/>
      <c r="AU164" s="206"/>
      <c r="AV164" s="202"/>
      <c r="AW164" s="202"/>
      <c r="AX164" s="202"/>
      <c r="AY164" s="202"/>
      <c r="AZ164" s="202"/>
      <c r="BA164" s="202"/>
      <c r="BB164" s="202"/>
      <c r="BC164" s="202"/>
      <c r="BD164" s="202"/>
      <c r="BE164" s="202"/>
      <c r="BF164" s="202"/>
      <c r="BG164" s="202"/>
    </row>
    <row r="165" spans="2:59" ht="15">
      <c r="B165" s="204" t="s">
        <v>497</v>
      </c>
      <c r="C165" s="204" t="s">
        <v>497</v>
      </c>
      <c r="D165" s="204" t="s">
        <v>497</v>
      </c>
      <c r="E165" s="204" t="s">
        <v>497</v>
      </c>
      <c r="F165" s="204" t="s">
        <v>497</v>
      </c>
      <c r="G165" s="204" t="s">
        <v>497</v>
      </c>
      <c r="H165" s="204" t="s">
        <v>497</v>
      </c>
      <c r="I165" s="204" t="s">
        <v>497</v>
      </c>
      <c r="J165" s="205" t="s">
        <v>497</v>
      </c>
      <c r="K165" s="205" t="s">
        <v>497</v>
      </c>
      <c r="L165" s="204" t="s">
        <v>497</v>
      </c>
      <c r="M165" s="204" t="s">
        <v>497</v>
      </c>
      <c r="N165" s="204"/>
      <c r="O165" s="204"/>
      <c r="P165" s="204"/>
      <c r="Q165" s="204"/>
      <c r="R165" s="204"/>
      <c r="S165" s="204"/>
      <c r="T165" s="204"/>
      <c r="U165" s="204"/>
      <c r="V165" s="204"/>
      <c r="W165" s="204"/>
      <c r="X165" s="204"/>
      <c r="Y165" s="204"/>
      <c r="Z165" s="204"/>
      <c r="AA165" s="204"/>
      <c r="AB165" s="204"/>
      <c r="AC165" s="204"/>
      <c r="AD165" s="204"/>
      <c r="AE165" s="204"/>
      <c r="AF165" s="204"/>
      <c r="AG165" s="204"/>
      <c r="AH165" s="204"/>
      <c r="AI165" s="204"/>
      <c r="AJ165" s="204"/>
      <c r="AK165" s="204"/>
      <c r="AL165" s="204"/>
      <c r="AM165" s="204"/>
      <c r="AN165" s="204"/>
      <c r="AO165" s="204"/>
      <c r="AP165" s="204"/>
      <c r="AQ165" s="204"/>
      <c r="AR165" s="204"/>
      <c r="AS165" s="204"/>
      <c r="AT165" s="204"/>
      <c r="AU165" s="206"/>
      <c r="AV165" s="202"/>
      <c r="AW165" s="202"/>
      <c r="AX165" s="202"/>
      <c r="AY165" s="202"/>
      <c r="AZ165" s="202"/>
      <c r="BA165" s="202"/>
      <c r="BB165" s="202"/>
      <c r="BC165" s="202"/>
      <c r="BD165" s="202"/>
      <c r="BE165" s="202"/>
      <c r="BF165" s="202"/>
      <c r="BG165" s="202"/>
    </row>
    <row r="166" spans="2:59" ht="15">
      <c r="B166" s="204" t="s">
        <v>497</v>
      </c>
      <c r="C166" s="204" t="s">
        <v>497</v>
      </c>
      <c r="D166" s="204" t="s">
        <v>497</v>
      </c>
      <c r="E166" s="204" t="s">
        <v>497</v>
      </c>
      <c r="F166" s="204" t="s">
        <v>497</v>
      </c>
      <c r="G166" s="204" t="s">
        <v>497</v>
      </c>
      <c r="H166" s="204" t="s">
        <v>497</v>
      </c>
      <c r="I166" s="204" t="s">
        <v>497</v>
      </c>
      <c r="J166" s="205" t="s">
        <v>497</v>
      </c>
      <c r="K166" s="205" t="s">
        <v>497</v>
      </c>
      <c r="L166" s="204" t="s">
        <v>497</v>
      </c>
      <c r="M166" s="204" t="s">
        <v>497</v>
      </c>
      <c r="N166" s="204"/>
      <c r="O166" s="204"/>
      <c r="P166" s="204"/>
      <c r="Q166" s="204"/>
      <c r="R166" s="204"/>
      <c r="S166" s="204"/>
      <c r="T166" s="204"/>
      <c r="U166" s="204"/>
      <c r="V166" s="204"/>
      <c r="W166" s="204"/>
      <c r="X166" s="204"/>
      <c r="Y166" s="204"/>
      <c r="Z166" s="204"/>
      <c r="AA166" s="204"/>
      <c r="AB166" s="204"/>
      <c r="AC166" s="204"/>
      <c r="AD166" s="204"/>
      <c r="AE166" s="204"/>
      <c r="AF166" s="204"/>
      <c r="AG166" s="204"/>
      <c r="AH166" s="204"/>
      <c r="AI166" s="204"/>
      <c r="AJ166" s="204"/>
      <c r="AK166" s="204"/>
      <c r="AL166" s="204"/>
      <c r="AM166" s="204"/>
      <c r="AN166" s="204"/>
      <c r="AO166" s="204"/>
      <c r="AP166" s="204"/>
      <c r="AQ166" s="204"/>
      <c r="AR166" s="204"/>
      <c r="AS166" s="204"/>
      <c r="AT166" s="204"/>
      <c r="AU166" s="206"/>
      <c r="AV166" s="202"/>
      <c r="AW166" s="202"/>
      <c r="AX166" s="202"/>
      <c r="AY166" s="202"/>
      <c r="AZ166" s="202"/>
      <c r="BA166" s="202"/>
      <c r="BB166" s="202"/>
      <c r="BC166" s="202"/>
      <c r="BD166" s="202"/>
      <c r="BE166" s="202"/>
      <c r="BF166" s="202"/>
      <c r="BG166" s="202"/>
    </row>
    <row r="167" spans="2:59" ht="15">
      <c r="B167" s="204" t="s">
        <v>497</v>
      </c>
      <c r="C167" s="204" t="s">
        <v>497</v>
      </c>
      <c r="D167" s="204" t="s">
        <v>497</v>
      </c>
      <c r="E167" s="204" t="s">
        <v>497</v>
      </c>
      <c r="F167" s="204" t="s">
        <v>497</v>
      </c>
      <c r="G167" s="204" t="s">
        <v>497</v>
      </c>
      <c r="H167" s="204" t="s">
        <v>497</v>
      </c>
      <c r="I167" s="204" t="s">
        <v>497</v>
      </c>
      <c r="J167" s="205" t="s">
        <v>497</v>
      </c>
      <c r="K167" s="205" t="s">
        <v>497</v>
      </c>
      <c r="L167" s="204" t="s">
        <v>497</v>
      </c>
      <c r="M167" s="204" t="s">
        <v>497</v>
      </c>
      <c r="N167" s="204"/>
      <c r="O167" s="204"/>
      <c r="P167" s="204"/>
      <c r="Q167" s="204"/>
      <c r="R167" s="204"/>
      <c r="S167" s="204"/>
      <c r="T167" s="204"/>
      <c r="U167" s="204"/>
      <c r="V167" s="204"/>
      <c r="W167" s="204"/>
      <c r="X167" s="204"/>
      <c r="Y167" s="204"/>
      <c r="Z167" s="204"/>
      <c r="AA167" s="204"/>
      <c r="AB167" s="204"/>
      <c r="AC167" s="204"/>
      <c r="AD167" s="204"/>
      <c r="AE167" s="204"/>
      <c r="AF167" s="204"/>
      <c r="AG167" s="204"/>
      <c r="AH167" s="204"/>
      <c r="AI167" s="204"/>
      <c r="AJ167" s="204"/>
      <c r="AK167" s="204"/>
      <c r="AL167" s="204"/>
      <c r="AM167" s="204"/>
      <c r="AN167" s="204"/>
      <c r="AO167" s="204"/>
      <c r="AP167" s="204"/>
      <c r="AQ167" s="204"/>
      <c r="AR167" s="204"/>
      <c r="AS167" s="204"/>
      <c r="AT167" s="204"/>
      <c r="AU167" s="206"/>
      <c r="AV167" s="202"/>
      <c r="AW167" s="202"/>
      <c r="AX167" s="202"/>
      <c r="AY167" s="202"/>
      <c r="AZ167" s="202"/>
      <c r="BA167" s="202"/>
      <c r="BB167" s="202"/>
      <c r="BC167" s="202"/>
      <c r="BD167" s="202"/>
      <c r="BE167" s="202"/>
      <c r="BF167" s="202"/>
      <c r="BG167" s="202"/>
    </row>
    <row r="168" spans="2:59" ht="15">
      <c r="B168" s="204" t="s">
        <v>497</v>
      </c>
      <c r="C168" s="204" t="s">
        <v>497</v>
      </c>
      <c r="D168" s="204" t="s">
        <v>497</v>
      </c>
      <c r="E168" s="204" t="s">
        <v>497</v>
      </c>
      <c r="F168" s="204" t="s">
        <v>497</v>
      </c>
      <c r="G168" s="204" t="s">
        <v>497</v>
      </c>
      <c r="H168" s="204" t="s">
        <v>497</v>
      </c>
      <c r="I168" s="204" t="s">
        <v>497</v>
      </c>
      <c r="J168" s="205" t="s">
        <v>497</v>
      </c>
      <c r="K168" s="205" t="s">
        <v>497</v>
      </c>
      <c r="L168" s="204" t="s">
        <v>497</v>
      </c>
      <c r="M168" s="204" t="s">
        <v>497</v>
      </c>
      <c r="N168" s="204"/>
      <c r="O168" s="204"/>
      <c r="P168" s="204"/>
      <c r="Q168" s="204"/>
      <c r="R168" s="204"/>
      <c r="S168" s="204"/>
      <c r="T168" s="204"/>
      <c r="U168" s="204"/>
      <c r="V168" s="204"/>
      <c r="W168" s="204"/>
      <c r="X168" s="204"/>
      <c r="Y168" s="204"/>
      <c r="Z168" s="204"/>
      <c r="AA168" s="204"/>
      <c r="AB168" s="204"/>
      <c r="AC168" s="204"/>
      <c r="AD168" s="204"/>
      <c r="AE168" s="204"/>
      <c r="AF168" s="204"/>
      <c r="AG168" s="204"/>
      <c r="AH168" s="204"/>
      <c r="AI168" s="204"/>
      <c r="AJ168" s="204"/>
      <c r="AK168" s="204"/>
      <c r="AL168" s="204"/>
      <c r="AM168" s="204"/>
      <c r="AN168" s="204"/>
      <c r="AO168" s="204"/>
      <c r="AP168" s="204"/>
      <c r="AQ168" s="204"/>
      <c r="AR168" s="204"/>
      <c r="AS168" s="204"/>
      <c r="AT168" s="204"/>
      <c r="AU168" s="206"/>
      <c r="AV168" s="202"/>
      <c r="AW168" s="202"/>
      <c r="AX168" s="202"/>
      <c r="AY168" s="202"/>
      <c r="AZ168" s="202"/>
      <c r="BA168" s="202"/>
      <c r="BB168" s="202"/>
      <c r="BC168" s="202"/>
      <c r="BD168" s="202"/>
      <c r="BE168" s="202"/>
      <c r="BF168" s="202"/>
      <c r="BG168" s="202"/>
    </row>
    <row r="169" spans="2:59" ht="15">
      <c r="B169" s="204" t="s">
        <v>497</v>
      </c>
      <c r="C169" s="204" t="s">
        <v>497</v>
      </c>
      <c r="D169" s="204" t="s">
        <v>497</v>
      </c>
      <c r="E169" s="204" t="s">
        <v>497</v>
      </c>
      <c r="F169" s="204" t="s">
        <v>497</v>
      </c>
      <c r="G169" s="204" t="s">
        <v>497</v>
      </c>
      <c r="H169" s="204" t="s">
        <v>497</v>
      </c>
      <c r="I169" s="204" t="s">
        <v>497</v>
      </c>
      <c r="J169" s="205" t="s">
        <v>497</v>
      </c>
      <c r="K169" s="205" t="s">
        <v>497</v>
      </c>
      <c r="L169" s="204" t="s">
        <v>497</v>
      </c>
      <c r="M169" s="204" t="s">
        <v>497</v>
      </c>
      <c r="N169" s="204"/>
      <c r="O169" s="204"/>
      <c r="P169" s="204"/>
      <c r="Q169" s="204"/>
      <c r="R169" s="204"/>
      <c r="S169" s="204"/>
      <c r="T169" s="204"/>
      <c r="U169" s="204"/>
      <c r="V169" s="204"/>
      <c r="W169" s="204"/>
      <c r="X169" s="204"/>
      <c r="Y169" s="204"/>
      <c r="Z169" s="204"/>
      <c r="AA169" s="204"/>
      <c r="AB169" s="204"/>
      <c r="AC169" s="204"/>
      <c r="AD169" s="204"/>
      <c r="AE169" s="204"/>
      <c r="AF169" s="204"/>
      <c r="AG169" s="204"/>
      <c r="AH169" s="204"/>
      <c r="AI169" s="204"/>
      <c r="AJ169" s="204"/>
      <c r="AK169" s="204"/>
      <c r="AL169" s="204"/>
      <c r="AM169" s="204"/>
      <c r="AN169" s="204"/>
      <c r="AO169" s="204"/>
      <c r="AP169" s="204"/>
      <c r="AQ169" s="204"/>
      <c r="AR169" s="204"/>
      <c r="AS169" s="204"/>
      <c r="AT169" s="204"/>
      <c r="AU169" s="206"/>
      <c r="AV169" s="202"/>
      <c r="AW169" s="202"/>
      <c r="AX169" s="202"/>
      <c r="AY169" s="202"/>
      <c r="AZ169" s="202"/>
      <c r="BA169" s="202"/>
      <c r="BB169" s="202"/>
      <c r="BC169" s="202"/>
      <c r="BD169" s="202"/>
      <c r="BE169" s="202"/>
      <c r="BF169" s="202"/>
      <c r="BG169" s="202"/>
    </row>
    <row r="170" spans="2:59" ht="15">
      <c r="B170" s="204" t="s">
        <v>497</v>
      </c>
      <c r="C170" s="204" t="s">
        <v>497</v>
      </c>
      <c r="D170" s="204" t="s">
        <v>497</v>
      </c>
      <c r="E170" s="204" t="s">
        <v>497</v>
      </c>
      <c r="F170" s="204" t="s">
        <v>497</v>
      </c>
      <c r="G170" s="204" t="s">
        <v>497</v>
      </c>
      <c r="H170" s="204" t="s">
        <v>497</v>
      </c>
      <c r="I170" s="204" t="s">
        <v>497</v>
      </c>
      <c r="J170" s="205" t="s">
        <v>497</v>
      </c>
      <c r="K170" s="205" t="s">
        <v>497</v>
      </c>
      <c r="L170" s="204" t="s">
        <v>497</v>
      </c>
      <c r="M170" s="204" t="s">
        <v>497</v>
      </c>
      <c r="N170" s="204"/>
      <c r="O170" s="204"/>
      <c r="P170" s="204"/>
      <c r="Q170" s="204"/>
      <c r="R170" s="204"/>
      <c r="S170" s="204"/>
      <c r="T170" s="204"/>
      <c r="U170" s="204"/>
      <c r="V170" s="204"/>
      <c r="W170" s="204"/>
      <c r="X170" s="204"/>
      <c r="Y170" s="204"/>
      <c r="Z170" s="204"/>
      <c r="AA170" s="204"/>
      <c r="AB170" s="204"/>
      <c r="AC170" s="204"/>
      <c r="AD170" s="204"/>
      <c r="AE170" s="204"/>
      <c r="AF170" s="204"/>
      <c r="AG170" s="204"/>
      <c r="AH170" s="204"/>
      <c r="AI170" s="204"/>
      <c r="AJ170" s="204"/>
      <c r="AK170" s="204"/>
      <c r="AL170" s="204"/>
      <c r="AM170" s="204"/>
      <c r="AN170" s="204"/>
      <c r="AO170" s="204"/>
      <c r="AP170" s="204"/>
      <c r="AQ170" s="204"/>
      <c r="AR170" s="204"/>
      <c r="AS170" s="204"/>
      <c r="AT170" s="204"/>
      <c r="AU170" s="206"/>
      <c r="AV170" s="202"/>
      <c r="AW170" s="202"/>
      <c r="AX170" s="202"/>
      <c r="AY170" s="202"/>
      <c r="AZ170" s="202"/>
      <c r="BA170" s="202"/>
      <c r="BB170" s="202"/>
      <c r="BC170" s="202"/>
      <c r="BD170" s="202"/>
      <c r="BE170" s="202"/>
      <c r="BF170" s="202"/>
      <c r="BG170" s="202"/>
    </row>
    <row r="171" spans="2:59" ht="15">
      <c r="B171" s="204" t="s">
        <v>497</v>
      </c>
      <c r="C171" s="204" t="s">
        <v>497</v>
      </c>
      <c r="D171" s="204" t="s">
        <v>497</v>
      </c>
      <c r="E171" s="204" t="s">
        <v>497</v>
      </c>
      <c r="F171" s="204" t="s">
        <v>497</v>
      </c>
      <c r="G171" s="204" t="s">
        <v>497</v>
      </c>
      <c r="H171" s="204" t="s">
        <v>497</v>
      </c>
      <c r="I171" s="204" t="s">
        <v>497</v>
      </c>
      <c r="J171" s="205" t="s">
        <v>497</v>
      </c>
      <c r="K171" s="205" t="s">
        <v>497</v>
      </c>
      <c r="L171" s="204" t="s">
        <v>497</v>
      </c>
      <c r="M171" s="204" t="s">
        <v>497</v>
      </c>
      <c r="N171" s="204"/>
      <c r="O171" s="204"/>
      <c r="P171" s="204"/>
      <c r="Q171" s="204"/>
      <c r="R171" s="204"/>
      <c r="S171" s="204"/>
      <c r="T171" s="204"/>
      <c r="U171" s="204"/>
      <c r="V171" s="204"/>
      <c r="W171" s="204"/>
      <c r="X171" s="204"/>
      <c r="Y171" s="204"/>
      <c r="Z171" s="204"/>
      <c r="AA171" s="204"/>
      <c r="AB171" s="204"/>
      <c r="AC171" s="204"/>
      <c r="AD171" s="204"/>
      <c r="AE171" s="204"/>
      <c r="AF171" s="204"/>
      <c r="AG171" s="204"/>
      <c r="AH171" s="204"/>
      <c r="AI171" s="204"/>
      <c r="AJ171" s="204"/>
      <c r="AK171" s="204"/>
      <c r="AL171" s="204"/>
      <c r="AM171" s="204"/>
      <c r="AN171" s="204"/>
      <c r="AO171" s="204"/>
      <c r="AP171" s="204"/>
      <c r="AQ171" s="204"/>
      <c r="AR171" s="204"/>
      <c r="AS171" s="204"/>
      <c r="AT171" s="204"/>
      <c r="AU171" s="206"/>
      <c r="AV171" s="202"/>
      <c r="AW171" s="202"/>
      <c r="AX171" s="202"/>
      <c r="AY171" s="202"/>
      <c r="AZ171" s="202"/>
      <c r="BA171" s="202"/>
      <c r="BB171" s="202"/>
      <c r="BC171" s="202"/>
      <c r="BD171" s="202"/>
      <c r="BE171" s="202"/>
      <c r="BF171" s="202"/>
      <c r="BG171" s="202"/>
    </row>
    <row r="172" spans="2:59" ht="15">
      <c r="B172" s="204" t="s">
        <v>497</v>
      </c>
      <c r="C172" s="204" t="s">
        <v>497</v>
      </c>
      <c r="D172" s="204" t="s">
        <v>497</v>
      </c>
      <c r="E172" s="204" t="s">
        <v>497</v>
      </c>
      <c r="F172" s="204" t="s">
        <v>497</v>
      </c>
      <c r="G172" s="204" t="s">
        <v>497</v>
      </c>
      <c r="H172" s="204" t="s">
        <v>497</v>
      </c>
      <c r="I172" s="204" t="s">
        <v>497</v>
      </c>
      <c r="J172" s="205" t="s">
        <v>497</v>
      </c>
      <c r="K172" s="205" t="s">
        <v>497</v>
      </c>
      <c r="L172" s="204" t="s">
        <v>497</v>
      </c>
      <c r="M172" s="204" t="s">
        <v>497</v>
      </c>
      <c r="N172" s="204"/>
      <c r="O172" s="204"/>
      <c r="P172" s="204"/>
      <c r="Q172" s="204"/>
      <c r="R172" s="204"/>
      <c r="S172" s="204"/>
      <c r="T172" s="204"/>
      <c r="U172" s="204"/>
      <c r="V172" s="204"/>
      <c r="W172" s="204"/>
      <c r="X172" s="204"/>
      <c r="Y172" s="204"/>
      <c r="Z172" s="204"/>
      <c r="AA172" s="204"/>
      <c r="AB172" s="204"/>
      <c r="AC172" s="204"/>
      <c r="AD172" s="204"/>
      <c r="AE172" s="204"/>
      <c r="AF172" s="204"/>
      <c r="AG172" s="204"/>
      <c r="AH172" s="204"/>
      <c r="AI172" s="204"/>
      <c r="AJ172" s="204"/>
      <c r="AK172" s="204"/>
      <c r="AL172" s="204"/>
      <c r="AM172" s="204"/>
      <c r="AN172" s="204"/>
      <c r="AO172" s="204"/>
      <c r="AP172" s="204"/>
      <c r="AQ172" s="204"/>
      <c r="AR172" s="204"/>
      <c r="AS172" s="204"/>
      <c r="AT172" s="204"/>
      <c r="AU172" s="206"/>
      <c r="AV172" s="202"/>
      <c r="AW172" s="202"/>
      <c r="AX172" s="202"/>
      <c r="AY172" s="202"/>
      <c r="AZ172" s="202"/>
      <c r="BA172" s="202"/>
      <c r="BB172" s="202"/>
      <c r="BC172" s="202"/>
      <c r="BD172" s="202"/>
      <c r="BE172" s="202"/>
      <c r="BF172" s="202"/>
      <c r="BG172" s="202"/>
    </row>
    <row r="173" spans="2:59" ht="15">
      <c r="B173" s="204" t="s">
        <v>497</v>
      </c>
      <c r="C173" s="204" t="s">
        <v>497</v>
      </c>
      <c r="D173" s="204" t="s">
        <v>497</v>
      </c>
      <c r="E173" s="204" t="s">
        <v>497</v>
      </c>
      <c r="F173" s="204" t="s">
        <v>497</v>
      </c>
      <c r="G173" s="204" t="s">
        <v>497</v>
      </c>
      <c r="H173" s="204" t="s">
        <v>497</v>
      </c>
      <c r="I173" s="204" t="s">
        <v>497</v>
      </c>
      <c r="J173" s="205" t="s">
        <v>497</v>
      </c>
      <c r="K173" s="205" t="s">
        <v>497</v>
      </c>
      <c r="L173" s="204" t="s">
        <v>497</v>
      </c>
      <c r="M173" s="204" t="s">
        <v>497</v>
      </c>
      <c r="N173" s="204"/>
      <c r="O173" s="204"/>
      <c r="P173" s="204"/>
      <c r="Q173" s="204"/>
      <c r="R173" s="204"/>
      <c r="S173" s="204"/>
      <c r="T173" s="204"/>
      <c r="U173" s="204"/>
      <c r="V173" s="204"/>
      <c r="W173" s="204"/>
      <c r="X173" s="204"/>
      <c r="Y173" s="204"/>
      <c r="Z173" s="204"/>
      <c r="AA173" s="204"/>
      <c r="AB173" s="204"/>
      <c r="AC173" s="204"/>
      <c r="AD173" s="204"/>
      <c r="AE173" s="204"/>
      <c r="AF173" s="204"/>
      <c r="AG173" s="204"/>
      <c r="AH173" s="204"/>
      <c r="AI173" s="204"/>
      <c r="AJ173" s="204"/>
      <c r="AK173" s="204"/>
      <c r="AL173" s="204"/>
      <c r="AM173" s="204"/>
      <c r="AN173" s="204"/>
      <c r="AO173" s="204"/>
      <c r="AP173" s="204"/>
      <c r="AQ173" s="204"/>
      <c r="AR173" s="204"/>
      <c r="AS173" s="204"/>
      <c r="AT173" s="204"/>
      <c r="AU173" s="206"/>
      <c r="AV173" s="202"/>
      <c r="AW173" s="202"/>
      <c r="AX173" s="202"/>
      <c r="AY173" s="202"/>
      <c r="AZ173" s="202"/>
      <c r="BA173" s="202"/>
      <c r="BB173" s="202"/>
      <c r="BC173" s="202"/>
      <c r="BD173" s="202"/>
      <c r="BE173" s="202"/>
      <c r="BF173" s="202"/>
      <c r="BG173" s="202"/>
    </row>
    <row r="174" spans="2:59" ht="15">
      <c r="B174" s="204" t="s">
        <v>497</v>
      </c>
      <c r="C174" s="204" t="s">
        <v>497</v>
      </c>
      <c r="D174" s="204" t="s">
        <v>497</v>
      </c>
      <c r="E174" s="204" t="s">
        <v>497</v>
      </c>
      <c r="F174" s="204" t="s">
        <v>497</v>
      </c>
      <c r="G174" s="204" t="s">
        <v>497</v>
      </c>
      <c r="H174" s="204" t="s">
        <v>497</v>
      </c>
      <c r="I174" s="204" t="s">
        <v>497</v>
      </c>
      <c r="J174" s="205" t="s">
        <v>497</v>
      </c>
      <c r="K174" s="205" t="s">
        <v>497</v>
      </c>
      <c r="L174" s="204" t="s">
        <v>497</v>
      </c>
      <c r="M174" s="204" t="s">
        <v>497</v>
      </c>
      <c r="N174" s="204"/>
      <c r="O174" s="204"/>
      <c r="P174" s="204"/>
      <c r="Q174" s="204"/>
      <c r="R174" s="204"/>
      <c r="S174" s="204"/>
      <c r="T174" s="204"/>
      <c r="U174" s="204"/>
      <c r="V174" s="204"/>
      <c r="W174" s="204"/>
      <c r="X174" s="204"/>
      <c r="Y174" s="204"/>
      <c r="Z174" s="204"/>
      <c r="AA174" s="204"/>
      <c r="AB174" s="204"/>
      <c r="AC174" s="204"/>
      <c r="AD174" s="204"/>
      <c r="AE174" s="204"/>
      <c r="AF174" s="204"/>
      <c r="AG174" s="204"/>
      <c r="AH174" s="204"/>
      <c r="AI174" s="204"/>
      <c r="AJ174" s="204"/>
      <c r="AK174" s="204"/>
      <c r="AL174" s="204"/>
      <c r="AM174" s="204"/>
      <c r="AN174" s="204"/>
      <c r="AO174" s="204"/>
      <c r="AP174" s="204"/>
      <c r="AQ174" s="204"/>
      <c r="AR174" s="204"/>
      <c r="AS174" s="204"/>
      <c r="AT174" s="204"/>
      <c r="AU174" s="206"/>
      <c r="AV174" s="202"/>
      <c r="AW174" s="202"/>
      <c r="AX174" s="202"/>
      <c r="AY174" s="202"/>
      <c r="AZ174" s="202"/>
      <c r="BA174" s="202"/>
      <c r="BB174" s="202"/>
      <c r="BC174" s="202"/>
      <c r="BD174" s="202"/>
      <c r="BE174" s="202"/>
      <c r="BF174" s="202"/>
      <c r="BG174" s="202"/>
    </row>
    <row r="175" spans="2:59" ht="15">
      <c r="B175" s="204" t="s">
        <v>497</v>
      </c>
      <c r="C175" s="204" t="s">
        <v>497</v>
      </c>
      <c r="D175" s="204" t="s">
        <v>497</v>
      </c>
      <c r="E175" s="204" t="s">
        <v>497</v>
      </c>
      <c r="F175" s="204" t="s">
        <v>497</v>
      </c>
      <c r="G175" s="204" t="s">
        <v>497</v>
      </c>
      <c r="H175" s="204" t="s">
        <v>497</v>
      </c>
      <c r="I175" s="204" t="s">
        <v>497</v>
      </c>
      <c r="J175" s="205" t="s">
        <v>497</v>
      </c>
      <c r="K175" s="205" t="s">
        <v>497</v>
      </c>
      <c r="L175" s="204" t="s">
        <v>497</v>
      </c>
      <c r="M175" s="204" t="s">
        <v>497</v>
      </c>
      <c r="N175" s="204"/>
      <c r="O175" s="204"/>
      <c r="P175" s="204"/>
      <c r="Q175" s="204"/>
      <c r="R175" s="204"/>
      <c r="S175" s="204"/>
      <c r="T175" s="204"/>
      <c r="U175" s="204"/>
      <c r="V175" s="204"/>
      <c r="W175" s="204"/>
      <c r="X175" s="204"/>
      <c r="Y175" s="204"/>
      <c r="Z175" s="204"/>
      <c r="AA175" s="204"/>
      <c r="AB175" s="204"/>
      <c r="AC175" s="204"/>
      <c r="AD175" s="204"/>
      <c r="AE175" s="204"/>
      <c r="AF175" s="204"/>
      <c r="AG175" s="204"/>
      <c r="AH175" s="204"/>
      <c r="AI175" s="204"/>
      <c r="AJ175" s="204"/>
      <c r="AK175" s="204"/>
      <c r="AL175" s="204"/>
      <c r="AM175" s="204"/>
      <c r="AN175" s="204"/>
      <c r="AO175" s="204"/>
      <c r="AP175" s="204"/>
      <c r="AQ175" s="204"/>
      <c r="AR175" s="204"/>
      <c r="AS175" s="204"/>
      <c r="AT175" s="204"/>
      <c r="AU175" s="206"/>
      <c r="AV175" s="202"/>
      <c r="AW175" s="202"/>
      <c r="AX175" s="202"/>
      <c r="AY175" s="202"/>
      <c r="AZ175" s="202"/>
      <c r="BA175" s="202"/>
      <c r="BB175" s="202"/>
      <c r="BC175" s="202"/>
      <c r="BD175" s="202"/>
      <c r="BE175" s="202"/>
      <c r="BF175" s="202"/>
      <c r="BG175" s="202"/>
    </row>
    <row r="176" spans="2:59" ht="15">
      <c r="B176" s="204" t="s">
        <v>497</v>
      </c>
      <c r="C176" s="204" t="s">
        <v>497</v>
      </c>
      <c r="D176" s="204" t="s">
        <v>497</v>
      </c>
      <c r="E176" s="204" t="s">
        <v>497</v>
      </c>
      <c r="F176" s="204" t="s">
        <v>497</v>
      </c>
      <c r="G176" s="204" t="s">
        <v>497</v>
      </c>
      <c r="H176" s="204" t="s">
        <v>497</v>
      </c>
      <c r="I176" s="204" t="s">
        <v>497</v>
      </c>
      <c r="J176" s="205" t="s">
        <v>497</v>
      </c>
      <c r="K176" s="205" t="s">
        <v>497</v>
      </c>
      <c r="L176" s="204" t="s">
        <v>497</v>
      </c>
      <c r="M176" s="204" t="s">
        <v>497</v>
      </c>
      <c r="N176" s="204"/>
      <c r="O176" s="204"/>
      <c r="P176" s="204"/>
      <c r="Q176" s="204"/>
      <c r="R176" s="204"/>
      <c r="S176" s="204"/>
      <c r="T176" s="204"/>
      <c r="U176" s="204"/>
      <c r="V176" s="204"/>
      <c r="W176" s="204"/>
      <c r="X176" s="204"/>
      <c r="Y176" s="204"/>
      <c r="Z176" s="204"/>
      <c r="AA176" s="204"/>
      <c r="AB176" s="204"/>
      <c r="AC176" s="204"/>
      <c r="AD176" s="204"/>
      <c r="AE176" s="204"/>
      <c r="AF176" s="204"/>
      <c r="AG176" s="204"/>
      <c r="AH176" s="204"/>
      <c r="AI176" s="204"/>
      <c r="AJ176" s="204"/>
      <c r="AK176" s="204"/>
      <c r="AL176" s="204"/>
      <c r="AM176" s="204"/>
      <c r="AN176" s="204"/>
      <c r="AO176" s="204"/>
      <c r="AP176" s="204"/>
      <c r="AQ176" s="204"/>
      <c r="AR176" s="204"/>
      <c r="AS176" s="204"/>
      <c r="AT176" s="204"/>
      <c r="AU176" s="206"/>
      <c r="AV176" s="202"/>
      <c r="AW176" s="202"/>
      <c r="AX176" s="202"/>
      <c r="AY176" s="202"/>
      <c r="AZ176" s="202"/>
      <c r="BA176" s="202"/>
      <c r="BB176" s="202"/>
      <c r="BC176" s="202"/>
      <c r="BD176" s="202"/>
      <c r="BE176" s="202"/>
      <c r="BF176" s="202"/>
      <c r="BG176" s="202"/>
    </row>
    <row r="177" spans="2:59" ht="15">
      <c r="B177" s="204" t="s">
        <v>497</v>
      </c>
      <c r="C177" s="204" t="s">
        <v>497</v>
      </c>
      <c r="D177" s="204" t="s">
        <v>497</v>
      </c>
      <c r="E177" s="204" t="s">
        <v>497</v>
      </c>
      <c r="F177" s="204" t="s">
        <v>497</v>
      </c>
      <c r="G177" s="204" t="s">
        <v>497</v>
      </c>
      <c r="H177" s="204" t="s">
        <v>497</v>
      </c>
      <c r="I177" s="204" t="s">
        <v>497</v>
      </c>
      <c r="J177" s="205" t="s">
        <v>497</v>
      </c>
      <c r="K177" s="205" t="s">
        <v>497</v>
      </c>
      <c r="L177" s="204" t="s">
        <v>497</v>
      </c>
      <c r="M177" s="204" t="s">
        <v>497</v>
      </c>
      <c r="N177" s="204"/>
      <c r="O177" s="204"/>
      <c r="P177" s="204"/>
      <c r="Q177" s="204"/>
      <c r="R177" s="204"/>
      <c r="S177" s="204"/>
      <c r="T177" s="204"/>
      <c r="U177" s="204"/>
      <c r="V177" s="204"/>
      <c r="W177" s="204"/>
      <c r="X177" s="204"/>
      <c r="Y177" s="204"/>
      <c r="Z177" s="204"/>
      <c r="AA177" s="204"/>
      <c r="AB177" s="204"/>
      <c r="AC177" s="204"/>
      <c r="AD177" s="204"/>
      <c r="AE177" s="204"/>
      <c r="AF177" s="204"/>
      <c r="AG177" s="204"/>
      <c r="AH177" s="204"/>
      <c r="AI177" s="204"/>
      <c r="AJ177" s="204"/>
      <c r="AK177" s="204"/>
      <c r="AL177" s="204"/>
      <c r="AM177" s="204"/>
      <c r="AN177" s="204"/>
      <c r="AO177" s="204"/>
      <c r="AP177" s="204"/>
      <c r="AQ177" s="204"/>
      <c r="AR177" s="204"/>
      <c r="AS177" s="204"/>
      <c r="AT177" s="204"/>
      <c r="AU177" s="206"/>
      <c r="AV177" s="202"/>
      <c r="AW177" s="202"/>
      <c r="AX177" s="202"/>
      <c r="AY177" s="202"/>
      <c r="AZ177" s="202"/>
      <c r="BA177" s="202"/>
      <c r="BB177" s="202"/>
      <c r="BC177" s="202"/>
      <c r="BD177" s="202"/>
      <c r="BE177" s="202"/>
      <c r="BF177" s="202"/>
      <c r="BG177" s="202"/>
    </row>
    <row r="178" spans="2:59" ht="15">
      <c r="B178" s="204" t="s">
        <v>497</v>
      </c>
      <c r="C178" s="204" t="s">
        <v>497</v>
      </c>
      <c r="D178" s="204" t="s">
        <v>497</v>
      </c>
      <c r="E178" s="204" t="s">
        <v>497</v>
      </c>
      <c r="F178" s="204" t="s">
        <v>497</v>
      </c>
      <c r="G178" s="204" t="s">
        <v>497</v>
      </c>
      <c r="H178" s="204" t="s">
        <v>497</v>
      </c>
      <c r="I178" s="204" t="s">
        <v>497</v>
      </c>
      <c r="J178" s="205" t="s">
        <v>497</v>
      </c>
      <c r="K178" s="205" t="s">
        <v>497</v>
      </c>
      <c r="L178" s="204" t="s">
        <v>497</v>
      </c>
      <c r="M178" s="204" t="s">
        <v>497</v>
      </c>
      <c r="N178" s="204"/>
      <c r="O178" s="204"/>
      <c r="P178" s="204"/>
      <c r="Q178" s="204"/>
      <c r="R178" s="204"/>
      <c r="S178" s="204"/>
      <c r="T178" s="204"/>
      <c r="U178" s="204"/>
      <c r="V178" s="204"/>
      <c r="W178" s="204"/>
      <c r="X178" s="204"/>
      <c r="Y178" s="204"/>
      <c r="Z178" s="204"/>
      <c r="AA178" s="204"/>
      <c r="AB178" s="204"/>
      <c r="AC178" s="204"/>
      <c r="AD178" s="204"/>
      <c r="AE178" s="204"/>
      <c r="AF178" s="204"/>
      <c r="AG178" s="204"/>
      <c r="AH178" s="204"/>
      <c r="AI178" s="204"/>
      <c r="AJ178" s="204"/>
      <c r="AK178" s="204"/>
      <c r="AL178" s="204"/>
      <c r="AM178" s="204"/>
      <c r="AN178" s="204"/>
      <c r="AO178" s="204"/>
      <c r="AP178" s="204"/>
      <c r="AQ178" s="204"/>
      <c r="AR178" s="204"/>
      <c r="AS178" s="204"/>
      <c r="AT178" s="204"/>
      <c r="AU178" s="206"/>
      <c r="AV178" s="202"/>
      <c r="AW178" s="202"/>
      <c r="AX178" s="202"/>
      <c r="AY178" s="202"/>
      <c r="AZ178" s="202"/>
      <c r="BA178" s="202"/>
      <c r="BB178" s="202"/>
      <c r="BC178" s="202"/>
      <c r="BD178" s="202"/>
      <c r="BE178" s="202"/>
      <c r="BF178" s="202"/>
      <c r="BG178" s="202"/>
    </row>
    <row r="179" spans="2:59" ht="15">
      <c r="B179" s="204" t="s">
        <v>497</v>
      </c>
      <c r="C179" s="204" t="s">
        <v>497</v>
      </c>
      <c r="D179" s="204" t="s">
        <v>497</v>
      </c>
      <c r="E179" s="204" t="s">
        <v>497</v>
      </c>
      <c r="F179" s="204" t="s">
        <v>497</v>
      </c>
      <c r="G179" s="204" t="s">
        <v>497</v>
      </c>
      <c r="H179" s="204" t="s">
        <v>497</v>
      </c>
      <c r="I179" s="204" t="s">
        <v>497</v>
      </c>
      <c r="J179" s="205" t="s">
        <v>497</v>
      </c>
      <c r="K179" s="205" t="s">
        <v>497</v>
      </c>
      <c r="L179" s="204" t="s">
        <v>497</v>
      </c>
      <c r="M179" s="204" t="s">
        <v>497</v>
      </c>
      <c r="N179" s="204"/>
      <c r="O179" s="204"/>
      <c r="P179" s="204"/>
      <c r="Q179" s="204"/>
      <c r="R179" s="204"/>
      <c r="S179" s="204"/>
      <c r="T179" s="204"/>
      <c r="U179" s="204"/>
      <c r="V179" s="204"/>
      <c r="W179" s="204"/>
      <c r="X179" s="204"/>
      <c r="Y179" s="204"/>
      <c r="Z179" s="204"/>
      <c r="AA179" s="204"/>
      <c r="AB179" s="204"/>
      <c r="AC179" s="204"/>
      <c r="AD179" s="204"/>
      <c r="AE179" s="204"/>
      <c r="AF179" s="204"/>
      <c r="AG179" s="204"/>
      <c r="AH179" s="204"/>
      <c r="AI179" s="204"/>
      <c r="AJ179" s="204"/>
      <c r="AK179" s="204"/>
      <c r="AL179" s="204"/>
      <c r="AM179" s="204"/>
      <c r="AN179" s="204"/>
      <c r="AO179" s="204"/>
      <c r="AP179" s="204"/>
      <c r="AQ179" s="204"/>
      <c r="AR179" s="204"/>
      <c r="AS179" s="204"/>
      <c r="AT179" s="204"/>
      <c r="AU179" s="206"/>
      <c r="AV179" s="202"/>
      <c r="AW179" s="202"/>
      <c r="AX179" s="202"/>
      <c r="AY179" s="202"/>
      <c r="AZ179" s="202"/>
      <c r="BA179" s="202"/>
      <c r="BB179" s="202"/>
      <c r="BC179" s="202"/>
      <c r="BD179" s="202"/>
      <c r="BE179" s="202"/>
      <c r="BF179" s="202"/>
      <c r="BG179" s="202"/>
    </row>
    <row r="180" spans="2:59" ht="15">
      <c r="B180" s="204" t="s">
        <v>497</v>
      </c>
      <c r="C180" s="204" t="s">
        <v>497</v>
      </c>
      <c r="D180" s="204" t="s">
        <v>497</v>
      </c>
      <c r="E180" s="204" t="s">
        <v>497</v>
      </c>
      <c r="F180" s="204" t="s">
        <v>497</v>
      </c>
      <c r="G180" s="204" t="s">
        <v>497</v>
      </c>
      <c r="H180" s="204" t="s">
        <v>497</v>
      </c>
      <c r="I180" s="204" t="s">
        <v>497</v>
      </c>
      <c r="J180" s="205" t="s">
        <v>497</v>
      </c>
      <c r="K180" s="205" t="s">
        <v>497</v>
      </c>
      <c r="L180" s="204" t="s">
        <v>497</v>
      </c>
      <c r="M180" s="204" t="s">
        <v>497</v>
      </c>
      <c r="N180" s="204"/>
      <c r="O180" s="204"/>
      <c r="P180" s="204"/>
      <c r="Q180" s="204"/>
      <c r="R180" s="204"/>
      <c r="S180" s="204"/>
      <c r="T180" s="204"/>
      <c r="U180" s="204"/>
      <c r="V180" s="204"/>
      <c r="W180" s="204"/>
      <c r="X180" s="204"/>
      <c r="Y180" s="204"/>
      <c r="Z180" s="204"/>
      <c r="AA180" s="204"/>
      <c r="AB180" s="204"/>
      <c r="AC180" s="204"/>
      <c r="AD180" s="204"/>
      <c r="AE180" s="204"/>
      <c r="AF180" s="204"/>
      <c r="AG180" s="204"/>
      <c r="AH180" s="204"/>
      <c r="AI180" s="204"/>
      <c r="AJ180" s="204"/>
      <c r="AK180" s="204"/>
      <c r="AL180" s="204"/>
      <c r="AM180" s="204"/>
      <c r="AN180" s="204"/>
      <c r="AO180" s="204"/>
      <c r="AP180" s="204"/>
      <c r="AQ180" s="204"/>
      <c r="AR180" s="204"/>
      <c r="AS180" s="204"/>
      <c r="AT180" s="204"/>
      <c r="AU180" s="206"/>
      <c r="AV180" s="202"/>
      <c r="AW180" s="202"/>
      <c r="AX180" s="202"/>
      <c r="AY180" s="202"/>
      <c r="AZ180" s="202"/>
      <c r="BA180" s="202"/>
      <c r="BB180" s="202"/>
      <c r="BC180" s="202"/>
      <c r="BD180" s="202"/>
      <c r="BE180" s="202"/>
      <c r="BF180" s="202"/>
      <c r="BG180" s="202"/>
    </row>
    <row r="181" spans="2:59" ht="15">
      <c r="B181" s="204" t="s">
        <v>497</v>
      </c>
      <c r="C181" s="204" t="s">
        <v>497</v>
      </c>
      <c r="D181" s="204" t="s">
        <v>497</v>
      </c>
      <c r="E181" s="204" t="s">
        <v>497</v>
      </c>
      <c r="F181" s="204" t="s">
        <v>497</v>
      </c>
      <c r="G181" s="204" t="s">
        <v>497</v>
      </c>
      <c r="H181" s="204" t="s">
        <v>497</v>
      </c>
      <c r="I181" s="204" t="s">
        <v>497</v>
      </c>
      <c r="J181" s="205" t="s">
        <v>497</v>
      </c>
      <c r="K181" s="205" t="s">
        <v>497</v>
      </c>
      <c r="L181" s="204" t="s">
        <v>497</v>
      </c>
      <c r="M181" s="204" t="s">
        <v>497</v>
      </c>
      <c r="N181" s="204"/>
      <c r="O181" s="204"/>
      <c r="P181" s="204"/>
      <c r="Q181" s="204"/>
      <c r="R181" s="204"/>
      <c r="S181" s="204"/>
      <c r="T181" s="204"/>
      <c r="U181" s="204"/>
      <c r="V181" s="204"/>
      <c r="W181" s="204"/>
      <c r="X181" s="204"/>
      <c r="Y181" s="204"/>
      <c r="Z181" s="204"/>
      <c r="AA181" s="204"/>
      <c r="AB181" s="204"/>
      <c r="AC181" s="204"/>
      <c r="AD181" s="204"/>
      <c r="AE181" s="204"/>
      <c r="AF181" s="204"/>
      <c r="AG181" s="204"/>
      <c r="AH181" s="204"/>
      <c r="AI181" s="204"/>
      <c r="AJ181" s="204"/>
      <c r="AK181" s="204"/>
      <c r="AL181" s="204"/>
      <c r="AM181" s="204"/>
      <c r="AN181" s="204"/>
      <c r="AO181" s="204"/>
      <c r="AP181" s="204"/>
      <c r="AQ181" s="204"/>
      <c r="AR181" s="204"/>
      <c r="AS181" s="204"/>
      <c r="AT181" s="204"/>
      <c r="AU181" s="206"/>
      <c r="AV181" s="202"/>
      <c r="AW181" s="202"/>
      <c r="AX181" s="202"/>
      <c r="AY181" s="202"/>
      <c r="AZ181" s="202"/>
      <c r="BA181" s="202"/>
      <c r="BB181" s="202"/>
      <c r="BC181" s="202"/>
      <c r="BD181" s="202"/>
      <c r="BE181" s="202"/>
      <c r="BF181" s="202"/>
      <c r="BG181" s="202"/>
    </row>
    <row r="182" spans="2:59" ht="15">
      <c r="B182" s="204" t="s">
        <v>497</v>
      </c>
      <c r="C182" s="204" t="s">
        <v>497</v>
      </c>
      <c r="D182" s="204" t="s">
        <v>497</v>
      </c>
      <c r="E182" s="204" t="s">
        <v>497</v>
      </c>
      <c r="F182" s="204" t="s">
        <v>497</v>
      </c>
      <c r="G182" s="204" t="s">
        <v>497</v>
      </c>
      <c r="H182" s="204" t="s">
        <v>497</v>
      </c>
      <c r="I182" s="204" t="s">
        <v>497</v>
      </c>
      <c r="J182" s="205" t="s">
        <v>497</v>
      </c>
      <c r="K182" s="205" t="s">
        <v>497</v>
      </c>
      <c r="L182" s="204" t="s">
        <v>497</v>
      </c>
      <c r="M182" s="204" t="s">
        <v>497</v>
      </c>
      <c r="N182" s="204"/>
      <c r="O182" s="204"/>
      <c r="P182" s="204"/>
      <c r="Q182" s="204"/>
      <c r="R182" s="204"/>
      <c r="S182" s="204"/>
      <c r="T182" s="204"/>
      <c r="U182" s="204"/>
      <c r="V182" s="204"/>
      <c r="W182" s="204"/>
      <c r="X182" s="204"/>
      <c r="Y182" s="204"/>
      <c r="Z182" s="204"/>
      <c r="AA182" s="204"/>
      <c r="AB182" s="204"/>
      <c r="AC182" s="204"/>
      <c r="AD182" s="204"/>
      <c r="AE182" s="204"/>
      <c r="AF182" s="204"/>
      <c r="AG182" s="204"/>
      <c r="AH182" s="204"/>
      <c r="AI182" s="204"/>
      <c r="AJ182" s="204"/>
      <c r="AK182" s="204"/>
      <c r="AL182" s="204"/>
      <c r="AM182" s="204"/>
      <c r="AN182" s="204"/>
      <c r="AO182" s="204"/>
      <c r="AP182" s="204"/>
      <c r="AQ182" s="204"/>
      <c r="AR182" s="204"/>
      <c r="AS182" s="204"/>
      <c r="AT182" s="204"/>
      <c r="AU182" s="206"/>
      <c r="AV182" s="202"/>
      <c r="AW182" s="202"/>
      <c r="AX182" s="202"/>
      <c r="AY182" s="202"/>
      <c r="AZ182" s="202"/>
      <c r="BA182" s="202"/>
      <c r="BB182" s="202"/>
      <c r="BC182" s="202"/>
      <c r="BD182" s="202"/>
      <c r="BE182" s="202"/>
      <c r="BF182" s="202"/>
      <c r="BG182" s="202"/>
    </row>
    <row r="183" spans="2:59" ht="15">
      <c r="B183" s="204" t="s">
        <v>497</v>
      </c>
      <c r="C183" s="204" t="s">
        <v>497</v>
      </c>
      <c r="D183" s="204" t="s">
        <v>497</v>
      </c>
      <c r="E183" s="204" t="s">
        <v>497</v>
      </c>
      <c r="F183" s="204" t="s">
        <v>497</v>
      </c>
      <c r="G183" s="204" t="s">
        <v>497</v>
      </c>
      <c r="H183" s="204" t="s">
        <v>497</v>
      </c>
      <c r="I183" s="204" t="s">
        <v>497</v>
      </c>
      <c r="J183" s="205" t="s">
        <v>497</v>
      </c>
      <c r="K183" s="205" t="s">
        <v>497</v>
      </c>
      <c r="L183" s="204" t="s">
        <v>497</v>
      </c>
      <c r="M183" s="204" t="s">
        <v>497</v>
      </c>
      <c r="N183" s="204"/>
      <c r="O183" s="204"/>
      <c r="P183" s="204"/>
      <c r="Q183" s="204"/>
      <c r="R183" s="204"/>
      <c r="S183" s="204"/>
      <c r="T183" s="204"/>
      <c r="U183" s="204"/>
      <c r="V183" s="204"/>
      <c r="W183" s="204"/>
      <c r="X183" s="204"/>
      <c r="Y183" s="204"/>
      <c r="Z183" s="204"/>
      <c r="AA183" s="204"/>
      <c r="AB183" s="204"/>
      <c r="AC183" s="204"/>
      <c r="AD183" s="204"/>
      <c r="AE183" s="204"/>
      <c r="AF183" s="204"/>
      <c r="AG183" s="204"/>
      <c r="AH183" s="204"/>
      <c r="AI183" s="204"/>
      <c r="AJ183" s="204"/>
      <c r="AK183" s="204"/>
      <c r="AL183" s="204"/>
      <c r="AM183" s="204"/>
      <c r="AN183" s="204"/>
      <c r="AO183" s="204"/>
      <c r="AP183" s="204"/>
      <c r="AQ183" s="204"/>
      <c r="AR183" s="204"/>
      <c r="AS183" s="204"/>
      <c r="AT183" s="204"/>
      <c r="AU183" s="206"/>
      <c r="AV183" s="202"/>
      <c r="AW183" s="202"/>
      <c r="AX183" s="202"/>
      <c r="AY183" s="202"/>
      <c r="AZ183" s="202"/>
      <c r="BA183" s="202"/>
      <c r="BB183" s="202"/>
      <c r="BC183" s="202"/>
      <c r="BD183" s="202"/>
      <c r="BE183" s="202"/>
      <c r="BF183" s="202"/>
      <c r="BG183" s="202"/>
    </row>
    <row r="184" spans="2:59" ht="15">
      <c r="B184" s="204" t="s">
        <v>497</v>
      </c>
      <c r="C184" s="204" t="s">
        <v>497</v>
      </c>
      <c r="D184" s="204" t="s">
        <v>497</v>
      </c>
      <c r="E184" s="204" t="s">
        <v>497</v>
      </c>
      <c r="F184" s="204" t="s">
        <v>497</v>
      </c>
      <c r="G184" s="204" t="s">
        <v>497</v>
      </c>
      <c r="H184" s="204" t="s">
        <v>497</v>
      </c>
      <c r="I184" s="204" t="s">
        <v>497</v>
      </c>
      <c r="J184" s="205" t="s">
        <v>497</v>
      </c>
      <c r="K184" s="205" t="s">
        <v>497</v>
      </c>
      <c r="L184" s="204" t="s">
        <v>497</v>
      </c>
      <c r="M184" s="204" t="s">
        <v>497</v>
      </c>
      <c r="N184" s="204"/>
      <c r="O184" s="204"/>
      <c r="P184" s="204"/>
      <c r="Q184" s="204"/>
      <c r="R184" s="204"/>
      <c r="S184" s="204"/>
      <c r="T184" s="204"/>
      <c r="U184" s="204"/>
      <c r="V184" s="204"/>
      <c r="W184" s="204"/>
      <c r="X184" s="204"/>
      <c r="Y184" s="204"/>
      <c r="Z184" s="204"/>
      <c r="AA184" s="204"/>
      <c r="AB184" s="204"/>
      <c r="AC184" s="204"/>
      <c r="AD184" s="204"/>
      <c r="AE184" s="204"/>
      <c r="AF184" s="204"/>
      <c r="AG184" s="204"/>
      <c r="AH184" s="204"/>
      <c r="AI184" s="204"/>
      <c r="AJ184" s="204"/>
      <c r="AK184" s="204"/>
      <c r="AL184" s="204"/>
      <c r="AM184" s="204"/>
      <c r="AN184" s="204"/>
      <c r="AO184" s="204"/>
      <c r="AP184" s="204"/>
      <c r="AQ184" s="204"/>
      <c r="AR184" s="204"/>
      <c r="AS184" s="204"/>
      <c r="AT184" s="204"/>
      <c r="AU184" s="206"/>
      <c r="AV184" s="202"/>
      <c r="AW184" s="202"/>
      <c r="AX184" s="202"/>
      <c r="AY184" s="202"/>
      <c r="AZ184" s="202"/>
      <c r="BA184" s="202"/>
      <c r="BB184" s="202"/>
      <c r="BC184" s="202"/>
      <c r="BD184" s="202"/>
      <c r="BE184" s="202"/>
      <c r="BF184" s="202"/>
      <c r="BG184" s="202"/>
    </row>
    <row r="185" spans="2:59" ht="15">
      <c r="B185" s="204" t="s">
        <v>497</v>
      </c>
      <c r="C185" s="204" t="s">
        <v>497</v>
      </c>
      <c r="D185" s="204" t="s">
        <v>497</v>
      </c>
      <c r="E185" s="204" t="s">
        <v>497</v>
      </c>
      <c r="F185" s="204" t="s">
        <v>497</v>
      </c>
      <c r="G185" s="204" t="s">
        <v>497</v>
      </c>
      <c r="H185" s="204" t="s">
        <v>497</v>
      </c>
      <c r="I185" s="204" t="s">
        <v>497</v>
      </c>
      <c r="J185" s="205" t="s">
        <v>497</v>
      </c>
      <c r="K185" s="205" t="s">
        <v>497</v>
      </c>
      <c r="L185" s="204" t="s">
        <v>497</v>
      </c>
      <c r="M185" s="204" t="s">
        <v>497</v>
      </c>
      <c r="N185" s="204"/>
      <c r="O185" s="204"/>
      <c r="P185" s="204"/>
      <c r="Q185" s="204"/>
      <c r="R185" s="204"/>
      <c r="S185" s="204"/>
      <c r="T185" s="204"/>
      <c r="U185" s="204"/>
      <c r="V185" s="204"/>
      <c r="W185" s="204"/>
      <c r="X185" s="204"/>
      <c r="Y185" s="204"/>
      <c r="Z185" s="204"/>
      <c r="AA185" s="204"/>
      <c r="AB185" s="204"/>
      <c r="AC185" s="204"/>
      <c r="AD185" s="204"/>
      <c r="AE185" s="204"/>
      <c r="AF185" s="204"/>
      <c r="AG185" s="204"/>
      <c r="AH185" s="204"/>
      <c r="AI185" s="204"/>
      <c r="AJ185" s="204"/>
      <c r="AK185" s="204"/>
      <c r="AL185" s="204"/>
      <c r="AM185" s="204"/>
      <c r="AN185" s="204"/>
      <c r="AO185" s="204"/>
      <c r="AP185" s="204"/>
      <c r="AQ185" s="204"/>
      <c r="AR185" s="204"/>
      <c r="AS185" s="204"/>
      <c r="AT185" s="204"/>
      <c r="AU185" s="206"/>
      <c r="AV185" s="202"/>
      <c r="AW185" s="202"/>
      <c r="AX185" s="202"/>
      <c r="AY185" s="202"/>
      <c r="AZ185" s="202"/>
      <c r="BA185" s="202"/>
      <c r="BB185" s="202"/>
      <c r="BC185" s="202"/>
      <c r="BD185" s="202"/>
      <c r="BE185" s="202"/>
      <c r="BF185" s="202"/>
      <c r="BG185" s="202"/>
    </row>
    <row r="186" spans="2:59" ht="15">
      <c r="B186" s="204" t="s">
        <v>497</v>
      </c>
      <c r="C186" s="204" t="s">
        <v>497</v>
      </c>
      <c r="D186" s="204" t="s">
        <v>497</v>
      </c>
      <c r="E186" s="204" t="s">
        <v>497</v>
      </c>
      <c r="F186" s="204" t="s">
        <v>497</v>
      </c>
      <c r="G186" s="204" t="s">
        <v>497</v>
      </c>
      <c r="H186" s="204" t="s">
        <v>497</v>
      </c>
      <c r="I186" s="204" t="s">
        <v>497</v>
      </c>
      <c r="J186" s="205" t="s">
        <v>497</v>
      </c>
      <c r="K186" s="205" t="s">
        <v>497</v>
      </c>
      <c r="L186" s="204" t="s">
        <v>497</v>
      </c>
      <c r="M186" s="204" t="s">
        <v>497</v>
      </c>
      <c r="N186" s="204"/>
      <c r="O186" s="204"/>
      <c r="P186" s="204"/>
      <c r="Q186" s="204"/>
      <c r="R186" s="204"/>
      <c r="S186" s="204"/>
      <c r="T186" s="204"/>
      <c r="U186" s="204"/>
      <c r="V186" s="204"/>
      <c r="W186" s="204"/>
      <c r="X186" s="204"/>
      <c r="Y186" s="204"/>
      <c r="Z186" s="204"/>
      <c r="AA186" s="204"/>
      <c r="AB186" s="204"/>
      <c r="AC186" s="204"/>
      <c r="AD186" s="204"/>
      <c r="AE186" s="204"/>
      <c r="AF186" s="204"/>
      <c r="AG186" s="204"/>
      <c r="AH186" s="204"/>
      <c r="AI186" s="204"/>
      <c r="AJ186" s="204"/>
      <c r="AK186" s="204"/>
      <c r="AL186" s="204"/>
      <c r="AM186" s="204"/>
      <c r="AN186" s="204"/>
      <c r="AO186" s="204"/>
      <c r="AP186" s="204"/>
      <c r="AQ186" s="204"/>
      <c r="AR186" s="204"/>
      <c r="AS186" s="204"/>
      <c r="AT186" s="204"/>
      <c r="AU186" s="206"/>
      <c r="AV186" s="202"/>
      <c r="AW186" s="202"/>
      <c r="AX186" s="202"/>
      <c r="AY186" s="202"/>
      <c r="AZ186" s="202"/>
      <c r="BA186" s="202"/>
      <c r="BB186" s="202"/>
      <c r="BC186" s="202"/>
      <c r="BD186" s="202"/>
      <c r="BE186" s="202"/>
      <c r="BF186" s="202"/>
      <c r="BG186" s="202"/>
    </row>
    <row r="187" spans="2:59" ht="15">
      <c r="B187" s="204" t="s">
        <v>497</v>
      </c>
      <c r="C187" s="204" t="s">
        <v>497</v>
      </c>
      <c r="D187" s="204" t="s">
        <v>497</v>
      </c>
      <c r="E187" s="204" t="s">
        <v>497</v>
      </c>
      <c r="F187" s="204" t="s">
        <v>497</v>
      </c>
      <c r="G187" s="204" t="s">
        <v>497</v>
      </c>
      <c r="H187" s="204" t="s">
        <v>497</v>
      </c>
      <c r="I187" s="204" t="s">
        <v>497</v>
      </c>
      <c r="J187" s="205" t="s">
        <v>497</v>
      </c>
      <c r="K187" s="205" t="s">
        <v>497</v>
      </c>
      <c r="L187" s="204" t="s">
        <v>497</v>
      </c>
      <c r="M187" s="204" t="s">
        <v>497</v>
      </c>
      <c r="N187" s="204"/>
      <c r="O187" s="204"/>
      <c r="P187" s="204"/>
      <c r="Q187" s="204"/>
      <c r="R187" s="204"/>
      <c r="S187" s="204"/>
      <c r="T187" s="204"/>
      <c r="U187" s="204"/>
      <c r="V187" s="204"/>
      <c r="W187" s="204"/>
      <c r="X187" s="204"/>
      <c r="Y187" s="204"/>
      <c r="Z187" s="204"/>
      <c r="AA187" s="204"/>
      <c r="AB187" s="204"/>
      <c r="AC187" s="204"/>
      <c r="AD187" s="204"/>
      <c r="AE187" s="204"/>
      <c r="AF187" s="204"/>
      <c r="AG187" s="204"/>
      <c r="AH187" s="204"/>
      <c r="AI187" s="204"/>
      <c r="AJ187" s="204"/>
      <c r="AK187" s="204"/>
      <c r="AL187" s="204"/>
      <c r="AM187" s="204"/>
      <c r="AN187" s="204"/>
      <c r="AO187" s="204"/>
      <c r="AP187" s="204"/>
      <c r="AQ187" s="204"/>
      <c r="AR187" s="204"/>
      <c r="AS187" s="204"/>
      <c r="AT187" s="204"/>
      <c r="AU187" s="206"/>
      <c r="AV187" s="202"/>
      <c r="AW187" s="202"/>
      <c r="AX187" s="202"/>
      <c r="AY187" s="202"/>
      <c r="AZ187" s="202"/>
      <c r="BA187" s="202"/>
      <c r="BB187" s="202"/>
      <c r="BC187" s="202"/>
      <c r="BD187" s="202"/>
      <c r="BE187" s="202"/>
      <c r="BF187" s="202"/>
      <c r="BG187" s="202"/>
    </row>
    <row r="188" spans="2:59" ht="15">
      <c r="B188" s="204" t="s">
        <v>497</v>
      </c>
      <c r="C188" s="204" t="s">
        <v>497</v>
      </c>
      <c r="D188" s="204" t="s">
        <v>497</v>
      </c>
      <c r="E188" s="204" t="s">
        <v>497</v>
      </c>
      <c r="F188" s="204" t="s">
        <v>497</v>
      </c>
      <c r="G188" s="204" t="s">
        <v>497</v>
      </c>
      <c r="H188" s="204" t="s">
        <v>497</v>
      </c>
      <c r="I188" s="204" t="s">
        <v>497</v>
      </c>
      <c r="J188" s="205" t="s">
        <v>497</v>
      </c>
      <c r="K188" s="205" t="s">
        <v>497</v>
      </c>
      <c r="L188" s="204" t="s">
        <v>497</v>
      </c>
      <c r="M188" s="204" t="s">
        <v>497</v>
      </c>
      <c r="N188" s="204"/>
      <c r="O188" s="204"/>
      <c r="P188" s="204"/>
      <c r="Q188" s="204"/>
      <c r="R188" s="204"/>
      <c r="S188" s="204"/>
      <c r="T188" s="204"/>
      <c r="U188" s="204"/>
      <c r="V188" s="204"/>
      <c r="W188" s="204"/>
      <c r="X188" s="204"/>
      <c r="Y188" s="204"/>
      <c r="Z188" s="204"/>
      <c r="AA188" s="204"/>
      <c r="AB188" s="204"/>
      <c r="AC188" s="204"/>
      <c r="AD188" s="204"/>
      <c r="AE188" s="204"/>
      <c r="AF188" s="204"/>
      <c r="AG188" s="204"/>
      <c r="AH188" s="204"/>
      <c r="AI188" s="204"/>
      <c r="AJ188" s="204"/>
      <c r="AK188" s="204"/>
      <c r="AL188" s="204"/>
      <c r="AM188" s="204"/>
      <c r="AN188" s="204"/>
      <c r="AO188" s="204"/>
      <c r="AP188" s="204"/>
      <c r="AQ188" s="204"/>
      <c r="AR188" s="204"/>
      <c r="AS188" s="204"/>
      <c r="AT188" s="204"/>
      <c r="AU188" s="206"/>
      <c r="AV188" s="202"/>
      <c r="AW188" s="202"/>
      <c r="AX188" s="202"/>
      <c r="AY188" s="202"/>
      <c r="AZ188" s="202"/>
      <c r="BA188" s="202"/>
      <c r="BB188" s="202"/>
      <c r="BC188" s="202"/>
      <c r="BD188" s="202"/>
      <c r="BE188" s="202"/>
      <c r="BF188" s="202"/>
      <c r="BG188" s="202"/>
    </row>
    <row r="189" spans="2:59" ht="15">
      <c r="B189" s="204" t="s">
        <v>497</v>
      </c>
      <c r="C189" s="204" t="s">
        <v>497</v>
      </c>
      <c r="D189" s="204" t="s">
        <v>497</v>
      </c>
      <c r="E189" s="204" t="s">
        <v>497</v>
      </c>
      <c r="F189" s="204" t="s">
        <v>497</v>
      </c>
      <c r="G189" s="204" t="s">
        <v>497</v>
      </c>
      <c r="H189" s="204" t="s">
        <v>497</v>
      </c>
      <c r="I189" s="204" t="s">
        <v>497</v>
      </c>
      <c r="J189" s="205" t="s">
        <v>497</v>
      </c>
      <c r="K189" s="205" t="s">
        <v>497</v>
      </c>
      <c r="L189" s="204" t="s">
        <v>497</v>
      </c>
      <c r="M189" s="204" t="s">
        <v>497</v>
      </c>
      <c r="N189" s="204"/>
      <c r="O189" s="204"/>
      <c r="P189" s="204"/>
      <c r="Q189" s="204"/>
      <c r="R189" s="204"/>
      <c r="S189" s="204"/>
      <c r="T189" s="204"/>
      <c r="U189" s="204"/>
      <c r="V189" s="204"/>
      <c r="W189" s="204"/>
      <c r="X189" s="204"/>
      <c r="Y189" s="204"/>
      <c r="Z189" s="204"/>
      <c r="AA189" s="204"/>
      <c r="AB189" s="204"/>
      <c r="AC189" s="204"/>
      <c r="AD189" s="204"/>
      <c r="AE189" s="204"/>
      <c r="AF189" s="204"/>
      <c r="AG189" s="204"/>
      <c r="AH189" s="204"/>
      <c r="AI189" s="204"/>
      <c r="AJ189" s="204"/>
      <c r="AK189" s="204"/>
      <c r="AL189" s="204"/>
      <c r="AM189" s="204"/>
      <c r="AN189" s="204"/>
      <c r="AO189" s="204"/>
      <c r="AP189" s="204"/>
      <c r="AQ189" s="204"/>
      <c r="AR189" s="204"/>
      <c r="AS189" s="204"/>
      <c r="AT189" s="204"/>
      <c r="AU189" s="206"/>
      <c r="AV189" s="202"/>
      <c r="AW189" s="202"/>
      <c r="AX189" s="202"/>
      <c r="AY189" s="202"/>
      <c r="AZ189" s="202"/>
      <c r="BA189" s="202"/>
      <c r="BB189" s="202"/>
      <c r="BC189" s="202"/>
      <c r="BD189" s="202"/>
      <c r="BE189" s="202"/>
      <c r="BF189" s="202"/>
      <c r="BG189" s="202"/>
    </row>
    <row r="190" spans="2:59" ht="15">
      <c r="B190" s="204" t="s">
        <v>497</v>
      </c>
      <c r="C190" s="204" t="s">
        <v>497</v>
      </c>
      <c r="D190" s="204" t="s">
        <v>497</v>
      </c>
      <c r="E190" s="204" t="s">
        <v>497</v>
      </c>
      <c r="F190" s="204" t="s">
        <v>497</v>
      </c>
      <c r="G190" s="204" t="s">
        <v>497</v>
      </c>
      <c r="H190" s="204" t="s">
        <v>497</v>
      </c>
      <c r="I190" s="204" t="s">
        <v>497</v>
      </c>
      <c r="J190" s="205" t="s">
        <v>497</v>
      </c>
      <c r="K190" s="205" t="s">
        <v>497</v>
      </c>
      <c r="L190" s="204" t="s">
        <v>497</v>
      </c>
      <c r="M190" s="204" t="s">
        <v>497</v>
      </c>
      <c r="N190" s="204"/>
      <c r="O190" s="204"/>
      <c r="P190" s="204"/>
      <c r="Q190" s="204"/>
      <c r="R190" s="204"/>
      <c r="S190" s="204"/>
      <c r="T190" s="204"/>
      <c r="U190" s="204"/>
      <c r="V190" s="204"/>
      <c r="W190" s="204"/>
      <c r="X190" s="204"/>
      <c r="Y190" s="204"/>
      <c r="Z190" s="204"/>
      <c r="AA190" s="204"/>
      <c r="AB190" s="204"/>
      <c r="AC190" s="204"/>
      <c r="AD190" s="204"/>
      <c r="AE190" s="204"/>
      <c r="AF190" s="204"/>
      <c r="AG190" s="204"/>
      <c r="AH190" s="204"/>
      <c r="AI190" s="204"/>
      <c r="AJ190" s="204"/>
      <c r="AK190" s="204"/>
      <c r="AL190" s="204"/>
      <c r="AM190" s="204"/>
      <c r="AN190" s="204"/>
      <c r="AO190" s="204"/>
      <c r="AP190" s="204"/>
      <c r="AQ190" s="204"/>
      <c r="AR190" s="204"/>
      <c r="AS190" s="204"/>
      <c r="AT190" s="204"/>
      <c r="AU190" s="206"/>
      <c r="AV190" s="202"/>
      <c r="AW190" s="202"/>
      <c r="AX190" s="202"/>
      <c r="AY190" s="202"/>
      <c r="AZ190" s="202"/>
      <c r="BA190" s="202"/>
      <c r="BB190" s="202"/>
      <c r="BC190" s="202"/>
      <c r="BD190" s="202"/>
      <c r="BE190" s="202"/>
      <c r="BF190" s="202"/>
      <c r="BG190" s="202"/>
    </row>
    <row r="191" spans="2:59" ht="15">
      <c r="B191" s="204" t="s">
        <v>497</v>
      </c>
      <c r="C191" s="204" t="s">
        <v>497</v>
      </c>
      <c r="D191" s="204" t="s">
        <v>497</v>
      </c>
      <c r="E191" s="204" t="s">
        <v>497</v>
      </c>
      <c r="F191" s="204" t="s">
        <v>497</v>
      </c>
      <c r="G191" s="204" t="s">
        <v>497</v>
      </c>
      <c r="H191" s="204" t="s">
        <v>497</v>
      </c>
      <c r="I191" s="204" t="s">
        <v>497</v>
      </c>
      <c r="J191" s="205" t="s">
        <v>497</v>
      </c>
      <c r="K191" s="205" t="s">
        <v>497</v>
      </c>
      <c r="L191" s="204" t="s">
        <v>497</v>
      </c>
      <c r="M191" s="204" t="s">
        <v>497</v>
      </c>
      <c r="N191" s="204"/>
      <c r="O191" s="204"/>
      <c r="P191" s="204"/>
      <c r="Q191" s="204"/>
      <c r="R191" s="204"/>
      <c r="S191" s="204"/>
      <c r="T191" s="204"/>
      <c r="U191" s="204"/>
      <c r="V191" s="204"/>
      <c r="W191" s="204"/>
      <c r="X191" s="204"/>
      <c r="Y191" s="204"/>
      <c r="Z191" s="204"/>
      <c r="AA191" s="204"/>
      <c r="AB191" s="204"/>
      <c r="AC191" s="204"/>
      <c r="AD191" s="204"/>
      <c r="AE191" s="204"/>
      <c r="AF191" s="204"/>
      <c r="AG191" s="204"/>
      <c r="AH191" s="204"/>
      <c r="AI191" s="204"/>
      <c r="AJ191" s="204"/>
      <c r="AK191" s="204"/>
      <c r="AL191" s="204"/>
      <c r="AM191" s="204"/>
      <c r="AN191" s="204"/>
      <c r="AO191" s="204"/>
      <c r="AP191" s="204"/>
      <c r="AQ191" s="204"/>
      <c r="AR191" s="204"/>
      <c r="AS191" s="204"/>
      <c r="AT191" s="204"/>
      <c r="AU191" s="206"/>
      <c r="AV191" s="202"/>
      <c r="AW191" s="202"/>
      <c r="AX191" s="202"/>
      <c r="AY191" s="202"/>
      <c r="AZ191" s="202"/>
      <c r="BA191" s="202"/>
      <c r="BB191" s="202"/>
      <c r="BC191" s="202"/>
      <c r="BD191" s="202"/>
      <c r="BE191" s="202"/>
      <c r="BF191" s="202"/>
      <c r="BG191" s="202"/>
    </row>
    <row r="192" spans="2:59" ht="15">
      <c r="B192" s="204" t="s">
        <v>497</v>
      </c>
      <c r="C192" s="204" t="s">
        <v>497</v>
      </c>
      <c r="D192" s="204" t="s">
        <v>497</v>
      </c>
      <c r="E192" s="204" t="s">
        <v>497</v>
      </c>
      <c r="F192" s="204" t="s">
        <v>497</v>
      </c>
      <c r="G192" s="204" t="s">
        <v>497</v>
      </c>
      <c r="H192" s="204" t="s">
        <v>497</v>
      </c>
      <c r="I192" s="204" t="s">
        <v>497</v>
      </c>
      <c r="J192" s="205" t="s">
        <v>497</v>
      </c>
      <c r="K192" s="205" t="s">
        <v>497</v>
      </c>
      <c r="L192" s="204" t="s">
        <v>497</v>
      </c>
      <c r="M192" s="204" t="s">
        <v>497</v>
      </c>
      <c r="N192" s="204"/>
      <c r="O192" s="204"/>
      <c r="P192" s="204"/>
      <c r="Q192" s="204"/>
      <c r="R192" s="204"/>
      <c r="S192" s="204"/>
      <c r="T192" s="204"/>
      <c r="U192" s="204"/>
      <c r="V192" s="204"/>
      <c r="W192" s="204"/>
      <c r="X192" s="204"/>
      <c r="Y192" s="204"/>
      <c r="Z192" s="204"/>
      <c r="AA192" s="204"/>
      <c r="AB192" s="204"/>
      <c r="AC192" s="204"/>
      <c r="AD192" s="204"/>
      <c r="AE192" s="204"/>
      <c r="AF192" s="204"/>
      <c r="AG192" s="204"/>
      <c r="AH192" s="204"/>
      <c r="AI192" s="204"/>
      <c r="AJ192" s="204"/>
      <c r="AK192" s="204"/>
      <c r="AL192" s="204"/>
      <c r="AM192" s="204"/>
      <c r="AN192" s="204"/>
      <c r="AO192" s="204"/>
      <c r="AP192" s="204"/>
      <c r="AQ192" s="204"/>
      <c r="AR192" s="204"/>
      <c r="AS192" s="204"/>
      <c r="AT192" s="204"/>
      <c r="AU192" s="206"/>
      <c r="AV192" s="202"/>
      <c r="AW192" s="202"/>
      <c r="AX192" s="202"/>
      <c r="AY192" s="202"/>
      <c r="AZ192" s="202"/>
      <c r="BA192" s="202"/>
      <c r="BB192" s="202"/>
      <c r="BC192" s="202"/>
      <c r="BD192" s="202"/>
      <c r="BE192" s="202"/>
      <c r="BF192" s="202"/>
      <c r="BG192" s="202"/>
    </row>
    <row r="193" spans="2:59" ht="15">
      <c r="B193" s="204" t="s">
        <v>497</v>
      </c>
      <c r="C193" s="204" t="s">
        <v>497</v>
      </c>
      <c r="D193" s="204" t="s">
        <v>497</v>
      </c>
      <c r="E193" s="204" t="s">
        <v>497</v>
      </c>
      <c r="F193" s="204" t="s">
        <v>497</v>
      </c>
      <c r="G193" s="204" t="s">
        <v>497</v>
      </c>
      <c r="H193" s="204" t="s">
        <v>497</v>
      </c>
      <c r="I193" s="204" t="s">
        <v>497</v>
      </c>
      <c r="J193" s="205" t="s">
        <v>497</v>
      </c>
      <c r="K193" s="205" t="s">
        <v>497</v>
      </c>
      <c r="L193" s="204" t="s">
        <v>497</v>
      </c>
      <c r="M193" s="204" t="s">
        <v>497</v>
      </c>
      <c r="N193" s="204"/>
      <c r="O193" s="204"/>
      <c r="P193" s="204"/>
      <c r="Q193" s="204"/>
      <c r="R193" s="204"/>
      <c r="S193" s="204"/>
      <c r="T193" s="204"/>
      <c r="U193" s="204"/>
      <c r="V193" s="204"/>
      <c r="W193" s="204"/>
      <c r="X193" s="204"/>
      <c r="Y193" s="204"/>
      <c r="Z193" s="204"/>
      <c r="AA193" s="204"/>
      <c r="AB193" s="204"/>
      <c r="AC193" s="204"/>
      <c r="AD193" s="204"/>
      <c r="AE193" s="204"/>
      <c r="AF193" s="204"/>
      <c r="AG193" s="204"/>
      <c r="AH193" s="204"/>
      <c r="AI193" s="204"/>
      <c r="AJ193" s="204"/>
      <c r="AK193" s="204"/>
      <c r="AL193" s="204"/>
      <c r="AM193" s="204"/>
      <c r="AN193" s="204"/>
      <c r="AO193" s="204"/>
      <c r="AP193" s="204"/>
      <c r="AQ193" s="204"/>
      <c r="AR193" s="204"/>
      <c r="AS193" s="204"/>
      <c r="AT193" s="204"/>
      <c r="AU193" s="206"/>
      <c r="AV193" s="202"/>
      <c r="AW193" s="202"/>
      <c r="AX193" s="202"/>
      <c r="AY193" s="202"/>
      <c r="AZ193" s="202"/>
      <c r="BA193" s="202"/>
      <c r="BB193" s="202"/>
      <c r="BC193" s="202"/>
      <c r="BD193" s="202"/>
      <c r="BE193" s="202"/>
      <c r="BF193" s="202"/>
      <c r="BG193" s="202"/>
    </row>
    <row r="194" spans="2:59" ht="15">
      <c r="B194" s="204" t="s">
        <v>497</v>
      </c>
      <c r="C194" s="204" t="s">
        <v>497</v>
      </c>
      <c r="D194" s="204" t="s">
        <v>497</v>
      </c>
      <c r="E194" s="204" t="s">
        <v>497</v>
      </c>
      <c r="F194" s="204" t="s">
        <v>497</v>
      </c>
      <c r="G194" s="204" t="s">
        <v>497</v>
      </c>
      <c r="H194" s="204" t="s">
        <v>497</v>
      </c>
      <c r="I194" s="204" t="s">
        <v>497</v>
      </c>
      <c r="J194" s="205" t="s">
        <v>497</v>
      </c>
      <c r="K194" s="205" t="s">
        <v>497</v>
      </c>
      <c r="L194" s="204" t="s">
        <v>497</v>
      </c>
      <c r="M194" s="204" t="s">
        <v>497</v>
      </c>
      <c r="N194" s="204"/>
      <c r="O194" s="204"/>
      <c r="P194" s="204"/>
      <c r="Q194" s="204"/>
      <c r="R194" s="204"/>
      <c r="S194" s="204"/>
      <c r="T194" s="204"/>
      <c r="U194" s="204"/>
      <c r="V194" s="204"/>
      <c r="W194" s="204"/>
      <c r="X194" s="204"/>
      <c r="Y194" s="204"/>
      <c r="Z194" s="204"/>
      <c r="AA194" s="204"/>
      <c r="AB194" s="204"/>
      <c r="AC194" s="204"/>
      <c r="AD194" s="204"/>
      <c r="AE194" s="204"/>
      <c r="AF194" s="204"/>
      <c r="AG194" s="204"/>
      <c r="AH194" s="204"/>
      <c r="AI194" s="204"/>
      <c r="AJ194" s="204"/>
      <c r="AK194" s="204"/>
      <c r="AL194" s="204"/>
      <c r="AM194" s="204"/>
      <c r="AN194" s="204"/>
      <c r="AO194" s="204"/>
      <c r="AP194" s="204"/>
      <c r="AQ194" s="204"/>
      <c r="AR194" s="204"/>
      <c r="AS194" s="204"/>
      <c r="AT194" s="204"/>
      <c r="AU194" s="206"/>
      <c r="AV194" s="202"/>
      <c r="AW194" s="202"/>
      <c r="AX194" s="202"/>
      <c r="AY194" s="202"/>
      <c r="AZ194" s="202"/>
      <c r="BA194" s="202"/>
      <c r="BB194" s="202"/>
      <c r="BC194" s="202"/>
      <c r="BD194" s="202"/>
      <c r="BE194" s="202"/>
      <c r="BF194" s="202"/>
      <c r="BG194" s="202"/>
    </row>
    <row r="195" spans="2:59" ht="15">
      <c r="B195" s="204" t="s">
        <v>497</v>
      </c>
      <c r="C195" s="204" t="s">
        <v>497</v>
      </c>
      <c r="D195" s="204" t="s">
        <v>497</v>
      </c>
      <c r="E195" s="204" t="s">
        <v>497</v>
      </c>
      <c r="F195" s="204" t="s">
        <v>497</v>
      </c>
      <c r="G195" s="204" t="s">
        <v>497</v>
      </c>
      <c r="H195" s="204" t="s">
        <v>497</v>
      </c>
      <c r="I195" s="204" t="s">
        <v>497</v>
      </c>
      <c r="J195" s="205" t="s">
        <v>497</v>
      </c>
      <c r="K195" s="205" t="s">
        <v>497</v>
      </c>
      <c r="L195" s="204" t="s">
        <v>497</v>
      </c>
      <c r="M195" s="204" t="s">
        <v>497</v>
      </c>
      <c r="N195" s="204"/>
      <c r="O195" s="204"/>
      <c r="P195" s="204"/>
      <c r="Q195" s="204"/>
      <c r="R195" s="204"/>
      <c r="S195" s="204"/>
      <c r="T195" s="204"/>
      <c r="U195" s="204"/>
      <c r="V195" s="204"/>
      <c r="W195" s="204"/>
      <c r="X195" s="204"/>
      <c r="Y195" s="204"/>
      <c r="Z195" s="204"/>
      <c r="AA195" s="204"/>
      <c r="AB195" s="204"/>
      <c r="AC195" s="204"/>
      <c r="AD195" s="204"/>
      <c r="AE195" s="204"/>
      <c r="AF195" s="204"/>
      <c r="AG195" s="204"/>
      <c r="AH195" s="204"/>
      <c r="AI195" s="204"/>
      <c r="AJ195" s="204"/>
      <c r="AK195" s="204"/>
      <c r="AL195" s="204"/>
      <c r="AM195" s="204"/>
      <c r="AN195" s="204"/>
      <c r="AO195" s="204"/>
      <c r="AP195" s="204"/>
      <c r="AQ195" s="204"/>
      <c r="AR195" s="204"/>
      <c r="AS195" s="204"/>
      <c r="AT195" s="204"/>
      <c r="AU195" s="206"/>
      <c r="AV195" s="202"/>
      <c r="AW195" s="202"/>
      <c r="AX195" s="202"/>
      <c r="AY195" s="202"/>
      <c r="AZ195" s="202"/>
      <c r="BA195" s="202"/>
      <c r="BB195" s="202"/>
      <c r="BC195" s="202"/>
      <c r="BD195" s="202"/>
      <c r="BE195" s="202"/>
      <c r="BF195" s="202"/>
      <c r="BG195" s="202"/>
    </row>
    <row r="196" spans="2:59" ht="15">
      <c r="B196" s="204" t="s">
        <v>497</v>
      </c>
      <c r="C196" s="204" t="s">
        <v>497</v>
      </c>
      <c r="D196" s="204" t="s">
        <v>497</v>
      </c>
      <c r="E196" s="204" t="s">
        <v>497</v>
      </c>
      <c r="F196" s="204" t="s">
        <v>497</v>
      </c>
      <c r="G196" s="204" t="s">
        <v>497</v>
      </c>
      <c r="H196" s="204" t="s">
        <v>497</v>
      </c>
      <c r="I196" s="204" t="s">
        <v>497</v>
      </c>
      <c r="J196" s="205" t="s">
        <v>497</v>
      </c>
      <c r="K196" s="205" t="s">
        <v>497</v>
      </c>
      <c r="L196" s="204" t="s">
        <v>497</v>
      </c>
      <c r="M196" s="204" t="s">
        <v>497</v>
      </c>
      <c r="N196" s="204"/>
      <c r="O196" s="204"/>
      <c r="P196" s="204"/>
      <c r="Q196" s="204"/>
      <c r="R196" s="204"/>
      <c r="S196" s="204"/>
      <c r="T196" s="204"/>
      <c r="U196" s="204"/>
      <c r="V196" s="204"/>
      <c r="W196" s="204"/>
      <c r="X196" s="204"/>
      <c r="Y196" s="204"/>
      <c r="Z196" s="204"/>
      <c r="AA196" s="204"/>
      <c r="AB196" s="204"/>
      <c r="AC196" s="204"/>
      <c r="AD196" s="204"/>
      <c r="AE196" s="204"/>
      <c r="AF196" s="204"/>
      <c r="AG196" s="204"/>
      <c r="AH196" s="204"/>
      <c r="AI196" s="204"/>
      <c r="AJ196" s="204"/>
      <c r="AK196" s="204"/>
      <c r="AL196" s="204"/>
      <c r="AM196" s="204"/>
      <c r="AN196" s="204"/>
      <c r="AO196" s="204"/>
      <c r="AP196" s="204"/>
      <c r="AQ196" s="204"/>
      <c r="AR196" s="204"/>
      <c r="AS196" s="204"/>
      <c r="AT196" s="204"/>
      <c r="AU196" s="206"/>
      <c r="AV196" s="202"/>
      <c r="AW196" s="202"/>
      <c r="AX196" s="202"/>
      <c r="AY196" s="202"/>
      <c r="AZ196" s="202"/>
      <c r="BA196" s="202"/>
      <c r="BB196" s="202"/>
      <c r="BC196" s="202"/>
      <c r="BD196" s="202"/>
      <c r="BE196" s="202"/>
      <c r="BF196" s="202"/>
      <c r="BG196" s="202"/>
    </row>
    <row r="197" spans="2:59" ht="15">
      <c r="B197" s="204" t="s">
        <v>497</v>
      </c>
      <c r="C197" s="204" t="s">
        <v>497</v>
      </c>
      <c r="D197" s="204" t="s">
        <v>497</v>
      </c>
      <c r="E197" s="204" t="s">
        <v>497</v>
      </c>
      <c r="F197" s="204" t="s">
        <v>497</v>
      </c>
      <c r="G197" s="204" t="s">
        <v>497</v>
      </c>
      <c r="H197" s="204" t="s">
        <v>497</v>
      </c>
      <c r="I197" s="204" t="s">
        <v>497</v>
      </c>
      <c r="J197" s="205" t="s">
        <v>497</v>
      </c>
      <c r="K197" s="205" t="s">
        <v>497</v>
      </c>
      <c r="L197" s="204" t="s">
        <v>497</v>
      </c>
      <c r="M197" s="204" t="s">
        <v>497</v>
      </c>
      <c r="N197" s="204"/>
      <c r="O197" s="204"/>
      <c r="P197" s="204"/>
      <c r="Q197" s="204"/>
      <c r="R197" s="204"/>
      <c r="S197" s="204"/>
      <c r="T197" s="204"/>
      <c r="U197" s="204"/>
      <c r="V197" s="204"/>
      <c r="W197" s="204"/>
      <c r="X197" s="204"/>
      <c r="Y197" s="204"/>
      <c r="Z197" s="204"/>
      <c r="AA197" s="204"/>
      <c r="AB197" s="204"/>
      <c r="AC197" s="204"/>
      <c r="AD197" s="204"/>
      <c r="AE197" s="204"/>
      <c r="AF197" s="204"/>
      <c r="AG197" s="204"/>
      <c r="AH197" s="204"/>
      <c r="AI197" s="204"/>
      <c r="AJ197" s="204"/>
      <c r="AK197" s="204"/>
      <c r="AL197" s="204"/>
      <c r="AM197" s="204"/>
      <c r="AN197" s="204"/>
      <c r="AO197" s="204"/>
      <c r="AP197" s="204"/>
      <c r="AQ197" s="204"/>
      <c r="AR197" s="204"/>
      <c r="AS197" s="204"/>
      <c r="AT197" s="204"/>
      <c r="AU197" s="206"/>
      <c r="AV197" s="202"/>
      <c r="AW197" s="202"/>
      <c r="AX197" s="202"/>
      <c r="AY197" s="202"/>
      <c r="AZ197" s="202"/>
      <c r="BA197" s="202"/>
      <c r="BB197" s="202"/>
      <c r="BC197" s="202"/>
      <c r="BD197" s="202"/>
      <c r="BE197" s="202"/>
      <c r="BF197" s="202"/>
      <c r="BG197" s="202"/>
    </row>
    <row r="198" spans="2:59" ht="15">
      <c r="B198" s="204" t="s">
        <v>497</v>
      </c>
      <c r="C198" s="204" t="s">
        <v>497</v>
      </c>
      <c r="D198" s="204" t="s">
        <v>497</v>
      </c>
      <c r="E198" s="204" t="s">
        <v>497</v>
      </c>
      <c r="F198" s="204" t="s">
        <v>497</v>
      </c>
      <c r="G198" s="204" t="s">
        <v>497</v>
      </c>
      <c r="H198" s="204" t="s">
        <v>497</v>
      </c>
      <c r="I198" s="204" t="s">
        <v>497</v>
      </c>
      <c r="J198" s="205" t="s">
        <v>497</v>
      </c>
      <c r="K198" s="205" t="s">
        <v>497</v>
      </c>
      <c r="L198" s="204" t="s">
        <v>497</v>
      </c>
      <c r="M198" s="204" t="s">
        <v>497</v>
      </c>
      <c r="N198" s="204"/>
      <c r="O198" s="204"/>
      <c r="P198" s="204"/>
      <c r="Q198" s="204"/>
      <c r="R198" s="204"/>
      <c r="S198" s="204"/>
      <c r="T198" s="204"/>
      <c r="U198" s="204"/>
      <c r="V198" s="204"/>
      <c r="W198" s="204"/>
      <c r="X198" s="204"/>
      <c r="Y198" s="204"/>
      <c r="Z198" s="204"/>
      <c r="AA198" s="204"/>
      <c r="AB198" s="204"/>
      <c r="AC198" s="204"/>
      <c r="AD198" s="204"/>
      <c r="AE198" s="204"/>
      <c r="AF198" s="204"/>
      <c r="AG198" s="204"/>
      <c r="AH198" s="204"/>
      <c r="AI198" s="204"/>
      <c r="AJ198" s="204"/>
      <c r="AK198" s="204"/>
      <c r="AL198" s="204"/>
      <c r="AM198" s="204"/>
      <c r="AN198" s="204"/>
      <c r="AO198" s="204"/>
      <c r="AP198" s="204"/>
      <c r="AQ198" s="204"/>
      <c r="AR198" s="204"/>
      <c r="AS198" s="204"/>
      <c r="AT198" s="204"/>
      <c r="AU198" s="206"/>
      <c r="AV198" s="202"/>
      <c r="AW198" s="202"/>
      <c r="AX198" s="202"/>
      <c r="AY198" s="202"/>
      <c r="AZ198" s="202"/>
      <c r="BA198" s="202"/>
      <c r="BB198" s="202"/>
      <c r="BC198" s="202"/>
      <c r="BD198" s="202"/>
      <c r="BE198" s="202"/>
      <c r="BF198" s="202"/>
      <c r="BG198" s="202"/>
    </row>
    <row r="199" spans="2:59" ht="15">
      <c r="B199" s="204" t="s">
        <v>497</v>
      </c>
      <c r="C199" s="204" t="s">
        <v>497</v>
      </c>
      <c r="D199" s="204" t="s">
        <v>497</v>
      </c>
      <c r="E199" s="204" t="s">
        <v>497</v>
      </c>
      <c r="F199" s="204" t="s">
        <v>497</v>
      </c>
      <c r="G199" s="204" t="s">
        <v>497</v>
      </c>
      <c r="H199" s="204" t="s">
        <v>497</v>
      </c>
      <c r="I199" s="204" t="s">
        <v>497</v>
      </c>
      <c r="J199" s="205" t="s">
        <v>497</v>
      </c>
      <c r="K199" s="205" t="s">
        <v>497</v>
      </c>
      <c r="L199" s="204" t="s">
        <v>497</v>
      </c>
      <c r="M199" s="204" t="s">
        <v>497</v>
      </c>
      <c r="N199" s="204"/>
      <c r="O199" s="204"/>
      <c r="P199" s="204"/>
      <c r="Q199" s="204"/>
      <c r="R199" s="204"/>
      <c r="S199" s="204"/>
      <c r="T199" s="204"/>
      <c r="U199" s="204"/>
      <c r="V199" s="204"/>
      <c r="W199" s="204"/>
      <c r="X199" s="204"/>
      <c r="Y199" s="204"/>
      <c r="Z199" s="204"/>
      <c r="AA199" s="204"/>
      <c r="AB199" s="204"/>
      <c r="AC199" s="204"/>
      <c r="AD199" s="204"/>
      <c r="AE199" s="204"/>
      <c r="AF199" s="204"/>
      <c r="AG199" s="204"/>
      <c r="AH199" s="204"/>
      <c r="AI199" s="204"/>
      <c r="AJ199" s="204"/>
      <c r="AK199" s="204"/>
      <c r="AL199" s="204"/>
      <c r="AM199" s="204"/>
      <c r="AN199" s="204"/>
      <c r="AO199" s="204"/>
      <c r="AP199" s="204"/>
      <c r="AQ199" s="204"/>
      <c r="AR199" s="204"/>
      <c r="AS199" s="204"/>
      <c r="AT199" s="204"/>
      <c r="AU199" s="206"/>
      <c r="AV199" s="202"/>
      <c r="AW199" s="202"/>
      <c r="AX199" s="202"/>
      <c r="AY199" s="202"/>
      <c r="AZ199" s="202"/>
      <c r="BA199" s="202"/>
      <c r="BB199" s="202"/>
      <c r="BC199" s="202"/>
      <c r="BD199" s="202"/>
      <c r="BE199" s="202"/>
      <c r="BF199" s="202"/>
      <c r="BG199" s="202"/>
    </row>
    <row r="200" spans="2:59" ht="15">
      <c r="B200" s="204" t="s">
        <v>497</v>
      </c>
      <c r="C200" s="204" t="s">
        <v>497</v>
      </c>
      <c r="D200" s="204" t="s">
        <v>497</v>
      </c>
      <c r="E200" s="204" t="s">
        <v>497</v>
      </c>
      <c r="F200" s="204" t="s">
        <v>497</v>
      </c>
      <c r="G200" s="204" t="s">
        <v>497</v>
      </c>
      <c r="H200" s="204" t="s">
        <v>497</v>
      </c>
      <c r="I200" s="204" t="s">
        <v>497</v>
      </c>
      <c r="J200" s="205" t="s">
        <v>497</v>
      </c>
      <c r="K200" s="205" t="s">
        <v>497</v>
      </c>
      <c r="L200" s="204" t="s">
        <v>497</v>
      </c>
      <c r="M200" s="204" t="s">
        <v>497</v>
      </c>
      <c r="N200" s="204"/>
      <c r="O200" s="204"/>
      <c r="P200" s="204"/>
      <c r="Q200" s="204"/>
      <c r="R200" s="204"/>
      <c r="S200" s="204"/>
      <c r="T200" s="204"/>
      <c r="U200" s="204"/>
      <c r="V200" s="204"/>
      <c r="W200" s="204"/>
      <c r="X200" s="204"/>
      <c r="Y200" s="204"/>
      <c r="Z200" s="204"/>
      <c r="AA200" s="204"/>
      <c r="AB200" s="204"/>
      <c r="AC200" s="204"/>
      <c r="AD200" s="204"/>
      <c r="AE200" s="204"/>
      <c r="AF200" s="204"/>
      <c r="AG200" s="204"/>
      <c r="AH200" s="204"/>
      <c r="AI200" s="204"/>
      <c r="AJ200" s="204"/>
      <c r="AK200" s="204"/>
      <c r="AL200" s="204"/>
      <c r="AM200" s="204"/>
      <c r="AN200" s="204"/>
      <c r="AO200" s="204"/>
      <c r="AP200" s="204"/>
      <c r="AQ200" s="204"/>
      <c r="AR200" s="204"/>
      <c r="AS200" s="204"/>
      <c r="AT200" s="204"/>
      <c r="AU200" s="206"/>
      <c r="AV200" s="202"/>
      <c r="AW200" s="202"/>
      <c r="AX200" s="202"/>
      <c r="AY200" s="202"/>
      <c r="AZ200" s="202"/>
      <c r="BA200" s="202"/>
      <c r="BB200" s="202"/>
      <c r="BC200" s="202"/>
      <c r="BD200" s="202"/>
      <c r="BE200" s="202"/>
      <c r="BF200" s="202"/>
      <c r="BG200" s="202"/>
    </row>
    <row r="201" spans="2:59" ht="15">
      <c r="B201" s="204" t="s">
        <v>497</v>
      </c>
      <c r="C201" s="204" t="s">
        <v>497</v>
      </c>
      <c r="D201" s="204" t="s">
        <v>497</v>
      </c>
      <c r="E201" s="204" t="s">
        <v>497</v>
      </c>
      <c r="F201" s="204" t="s">
        <v>497</v>
      </c>
      <c r="G201" s="204" t="s">
        <v>497</v>
      </c>
      <c r="H201" s="204" t="s">
        <v>497</v>
      </c>
      <c r="I201" s="204" t="s">
        <v>497</v>
      </c>
      <c r="J201" s="205" t="s">
        <v>497</v>
      </c>
      <c r="K201" s="205" t="s">
        <v>497</v>
      </c>
      <c r="L201" s="204" t="s">
        <v>497</v>
      </c>
      <c r="M201" s="204" t="s">
        <v>497</v>
      </c>
      <c r="N201" s="204"/>
      <c r="O201" s="204"/>
      <c r="P201" s="204"/>
      <c r="Q201" s="204"/>
      <c r="R201" s="204"/>
      <c r="S201" s="204"/>
      <c r="T201" s="204"/>
      <c r="U201" s="204"/>
      <c r="V201" s="204"/>
      <c r="W201" s="204"/>
      <c r="X201" s="204"/>
      <c r="Y201" s="204"/>
      <c r="Z201" s="204"/>
      <c r="AA201" s="204"/>
      <c r="AB201" s="204"/>
      <c r="AC201" s="204"/>
      <c r="AD201" s="204"/>
      <c r="AE201" s="204"/>
      <c r="AF201" s="204"/>
      <c r="AG201" s="204"/>
      <c r="AH201" s="204"/>
      <c r="AI201" s="204"/>
      <c r="AJ201" s="204"/>
      <c r="AK201" s="204"/>
      <c r="AL201" s="204"/>
      <c r="AM201" s="204"/>
      <c r="AN201" s="204"/>
      <c r="AO201" s="204"/>
      <c r="AP201" s="204"/>
      <c r="AQ201" s="204"/>
      <c r="AR201" s="204"/>
      <c r="AS201" s="204"/>
      <c r="AT201" s="204"/>
      <c r="AU201" s="206"/>
      <c r="AV201" s="202"/>
      <c r="AW201" s="202"/>
      <c r="AX201" s="202"/>
      <c r="AY201" s="202"/>
      <c r="AZ201" s="202"/>
      <c r="BA201" s="202"/>
      <c r="BB201" s="202"/>
      <c r="BC201" s="202"/>
      <c r="BD201" s="202"/>
      <c r="BE201" s="202"/>
      <c r="BF201" s="202"/>
      <c r="BG201" s="202"/>
    </row>
    <row r="202" spans="2:59" ht="15">
      <c r="B202" s="204" t="s">
        <v>497</v>
      </c>
      <c r="C202" s="204" t="s">
        <v>497</v>
      </c>
      <c r="D202" s="204" t="s">
        <v>497</v>
      </c>
      <c r="E202" s="204" t="s">
        <v>497</v>
      </c>
      <c r="F202" s="204" t="s">
        <v>497</v>
      </c>
      <c r="G202" s="204" t="s">
        <v>497</v>
      </c>
      <c r="H202" s="204" t="s">
        <v>497</v>
      </c>
      <c r="I202" s="204" t="s">
        <v>497</v>
      </c>
      <c r="J202" s="205" t="s">
        <v>497</v>
      </c>
      <c r="K202" s="205" t="s">
        <v>497</v>
      </c>
      <c r="L202" s="204" t="s">
        <v>497</v>
      </c>
      <c r="M202" s="204" t="s">
        <v>497</v>
      </c>
      <c r="N202" s="204"/>
      <c r="O202" s="204"/>
      <c r="P202" s="204"/>
      <c r="Q202" s="204"/>
      <c r="R202" s="204"/>
      <c r="S202" s="204"/>
      <c r="T202" s="204"/>
      <c r="U202" s="204"/>
      <c r="V202" s="204"/>
      <c r="W202" s="204"/>
      <c r="X202" s="204"/>
      <c r="Y202" s="204"/>
      <c r="Z202" s="204"/>
      <c r="AA202" s="204"/>
      <c r="AB202" s="204"/>
      <c r="AC202" s="204"/>
      <c r="AD202" s="204"/>
      <c r="AE202" s="204"/>
      <c r="AF202" s="204"/>
      <c r="AG202" s="204"/>
      <c r="AH202" s="204"/>
      <c r="AI202" s="204"/>
      <c r="AJ202" s="204"/>
      <c r="AK202" s="204"/>
      <c r="AL202" s="204"/>
      <c r="AM202" s="204"/>
      <c r="AN202" s="204"/>
      <c r="AO202" s="204"/>
      <c r="AP202" s="204"/>
      <c r="AQ202" s="204"/>
      <c r="AR202" s="204"/>
      <c r="AS202" s="204"/>
      <c r="AT202" s="204"/>
      <c r="AU202" s="206"/>
      <c r="AV202" s="202"/>
      <c r="AW202" s="202"/>
      <c r="AX202" s="202"/>
      <c r="AY202" s="202"/>
      <c r="AZ202" s="202"/>
      <c r="BA202" s="202"/>
      <c r="BB202" s="202"/>
      <c r="BC202" s="202"/>
      <c r="BD202" s="202"/>
      <c r="BE202" s="202"/>
      <c r="BF202" s="202"/>
      <c r="BG202" s="202"/>
    </row>
    <row r="203" spans="2:59" ht="15">
      <c r="B203" s="204" t="s">
        <v>497</v>
      </c>
      <c r="C203" s="204" t="s">
        <v>497</v>
      </c>
      <c r="D203" s="204" t="s">
        <v>497</v>
      </c>
      <c r="E203" s="204" t="s">
        <v>497</v>
      </c>
      <c r="F203" s="204" t="s">
        <v>497</v>
      </c>
      <c r="G203" s="204" t="s">
        <v>497</v>
      </c>
      <c r="H203" s="204" t="s">
        <v>497</v>
      </c>
      <c r="I203" s="204" t="s">
        <v>497</v>
      </c>
      <c r="J203" s="205" t="s">
        <v>497</v>
      </c>
      <c r="K203" s="205" t="s">
        <v>497</v>
      </c>
      <c r="L203" s="204" t="s">
        <v>497</v>
      </c>
      <c r="M203" s="204" t="s">
        <v>497</v>
      </c>
      <c r="N203" s="204"/>
      <c r="O203" s="204"/>
      <c r="P203" s="204"/>
      <c r="Q203" s="204"/>
      <c r="R203" s="204"/>
      <c r="S203" s="204"/>
      <c r="T203" s="204"/>
      <c r="U203" s="204"/>
      <c r="V203" s="204"/>
      <c r="W203" s="204"/>
      <c r="X203" s="204"/>
      <c r="Y203" s="204"/>
      <c r="Z203" s="204"/>
      <c r="AA203" s="204"/>
      <c r="AB203" s="204"/>
      <c r="AC203" s="204"/>
      <c r="AD203" s="204"/>
      <c r="AE203" s="204"/>
      <c r="AF203" s="204"/>
      <c r="AG203" s="204"/>
      <c r="AH203" s="204"/>
      <c r="AI203" s="204"/>
      <c r="AJ203" s="204"/>
      <c r="AK203" s="204"/>
      <c r="AL203" s="204"/>
      <c r="AM203" s="204"/>
      <c r="AN203" s="204"/>
      <c r="AO203" s="204"/>
      <c r="AP203" s="204"/>
      <c r="AQ203" s="204"/>
      <c r="AR203" s="204"/>
      <c r="AS203" s="204"/>
      <c r="AT203" s="204"/>
      <c r="AU203" s="206"/>
      <c r="AV203" s="202"/>
      <c r="AW203" s="202"/>
      <c r="AX203" s="202"/>
      <c r="AY203" s="202"/>
      <c r="AZ203" s="202"/>
      <c r="BA203" s="202"/>
      <c r="BB203" s="202"/>
      <c r="BC203" s="202"/>
      <c r="BD203" s="202"/>
      <c r="BE203" s="202"/>
      <c r="BF203" s="202"/>
      <c r="BG203" s="202"/>
    </row>
    <row r="204" spans="2:59" ht="15">
      <c r="B204" s="204" t="s">
        <v>497</v>
      </c>
      <c r="C204" s="204" t="s">
        <v>497</v>
      </c>
      <c r="D204" s="204" t="s">
        <v>497</v>
      </c>
      <c r="E204" s="204" t="s">
        <v>497</v>
      </c>
      <c r="F204" s="204" t="s">
        <v>497</v>
      </c>
      <c r="G204" s="204" t="s">
        <v>497</v>
      </c>
      <c r="H204" s="204" t="s">
        <v>497</v>
      </c>
      <c r="I204" s="204" t="s">
        <v>497</v>
      </c>
      <c r="J204" s="205" t="s">
        <v>497</v>
      </c>
      <c r="K204" s="205" t="s">
        <v>497</v>
      </c>
      <c r="L204" s="204" t="s">
        <v>497</v>
      </c>
      <c r="M204" s="204" t="s">
        <v>497</v>
      </c>
      <c r="N204" s="204"/>
      <c r="O204" s="204"/>
      <c r="P204" s="204"/>
      <c r="Q204" s="204"/>
      <c r="R204" s="204"/>
      <c r="S204" s="204"/>
      <c r="T204" s="204"/>
      <c r="U204" s="204"/>
      <c r="V204" s="204"/>
      <c r="W204" s="204"/>
      <c r="X204" s="204"/>
      <c r="Y204" s="204"/>
      <c r="Z204" s="204"/>
      <c r="AA204" s="204"/>
      <c r="AB204" s="204"/>
      <c r="AC204" s="204"/>
      <c r="AD204" s="204"/>
      <c r="AE204" s="204"/>
      <c r="AF204" s="204"/>
      <c r="AG204" s="204"/>
      <c r="AH204" s="204"/>
      <c r="AI204" s="204"/>
      <c r="AJ204" s="204"/>
      <c r="AK204" s="204"/>
      <c r="AL204" s="204"/>
      <c r="AM204" s="204"/>
      <c r="AN204" s="204"/>
      <c r="AO204" s="204"/>
      <c r="AP204" s="204"/>
      <c r="AQ204" s="204"/>
      <c r="AR204" s="204"/>
      <c r="AS204" s="204"/>
      <c r="AT204" s="204"/>
      <c r="AU204" s="206"/>
      <c r="AV204" s="202"/>
      <c r="AW204" s="202"/>
      <c r="AX204" s="202"/>
      <c r="AY204" s="202"/>
      <c r="AZ204" s="202"/>
      <c r="BA204" s="202"/>
      <c r="BB204" s="202"/>
      <c r="BC204" s="202"/>
      <c r="BD204" s="202"/>
      <c r="BE204" s="202"/>
      <c r="BF204" s="202"/>
      <c r="BG204" s="202"/>
    </row>
    <row r="205" spans="2:59" ht="15">
      <c r="B205" s="204" t="s">
        <v>497</v>
      </c>
      <c r="C205" s="204" t="s">
        <v>497</v>
      </c>
      <c r="D205" s="204" t="s">
        <v>497</v>
      </c>
      <c r="E205" s="204" t="s">
        <v>497</v>
      </c>
      <c r="F205" s="204" t="s">
        <v>497</v>
      </c>
      <c r="G205" s="204" t="s">
        <v>497</v>
      </c>
      <c r="H205" s="204" t="s">
        <v>497</v>
      </c>
      <c r="I205" s="204" t="s">
        <v>497</v>
      </c>
      <c r="J205" s="205" t="s">
        <v>497</v>
      </c>
      <c r="K205" s="205" t="s">
        <v>497</v>
      </c>
      <c r="L205" s="204" t="s">
        <v>497</v>
      </c>
      <c r="M205" s="204" t="s">
        <v>497</v>
      </c>
      <c r="N205" s="204"/>
      <c r="O205" s="204"/>
      <c r="P205" s="204"/>
      <c r="Q205" s="204"/>
      <c r="R205" s="204"/>
      <c r="S205" s="204"/>
      <c r="T205" s="204"/>
      <c r="U205" s="204"/>
      <c r="V205" s="204"/>
      <c r="W205" s="204"/>
      <c r="X205" s="204"/>
      <c r="Y205" s="204"/>
      <c r="Z205" s="204"/>
      <c r="AA205" s="204"/>
      <c r="AB205" s="204"/>
      <c r="AC205" s="204"/>
      <c r="AD205" s="204"/>
      <c r="AE205" s="204"/>
      <c r="AF205" s="204"/>
      <c r="AG205" s="204"/>
      <c r="AH205" s="204"/>
      <c r="AI205" s="204"/>
      <c r="AJ205" s="204"/>
      <c r="AK205" s="204"/>
      <c r="AL205" s="204"/>
      <c r="AM205" s="204"/>
      <c r="AN205" s="204"/>
      <c r="AO205" s="204"/>
      <c r="AP205" s="204"/>
      <c r="AQ205" s="204"/>
      <c r="AR205" s="204"/>
      <c r="AS205" s="204"/>
      <c r="AT205" s="204"/>
      <c r="AU205" s="206"/>
      <c r="AV205" s="202"/>
      <c r="AW205" s="202"/>
      <c r="AX205" s="202"/>
      <c r="AY205" s="202"/>
      <c r="AZ205" s="202"/>
      <c r="BA205" s="202"/>
      <c r="BB205" s="202"/>
      <c r="BC205" s="202"/>
      <c r="BD205" s="202"/>
      <c r="BE205" s="202"/>
      <c r="BF205" s="202"/>
      <c r="BG205" s="202"/>
    </row>
    <row r="206" spans="2:59" ht="15">
      <c r="B206" s="204" t="s">
        <v>497</v>
      </c>
      <c r="C206" s="204" t="s">
        <v>497</v>
      </c>
      <c r="D206" s="204" t="s">
        <v>497</v>
      </c>
      <c r="E206" s="204" t="s">
        <v>497</v>
      </c>
      <c r="F206" s="204" t="s">
        <v>497</v>
      </c>
      <c r="G206" s="204" t="s">
        <v>497</v>
      </c>
      <c r="H206" s="204" t="s">
        <v>497</v>
      </c>
      <c r="I206" s="204" t="s">
        <v>497</v>
      </c>
      <c r="J206" s="205" t="s">
        <v>497</v>
      </c>
      <c r="K206" s="205" t="s">
        <v>497</v>
      </c>
      <c r="L206" s="204" t="s">
        <v>497</v>
      </c>
      <c r="M206" s="204" t="s">
        <v>497</v>
      </c>
      <c r="N206" s="204"/>
      <c r="O206" s="204"/>
      <c r="P206" s="204"/>
      <c r="Q206" s="204"/>
      <c r="R206" s="204"/>
      <c r="S206" s="204"/>
      <c r="T206" s="204"/>
      <c r="U206" s="204"/>
      <c r="V206" s="204"/>
      <c r="W206" s="204"/>
      <c r="X206" s="204"/>
      <c r="Y206" s="204"/>
      <c r="Z206" s="204"/>
      <c r="AA206" s="204"/>
      <c r="AB206" s="204"/>
      <c r="AC206" s="204"/>
      <c r="AD206" s="204"/>
      <c r="AE206" s="204"/>
      <c r="AF206" s="204"/>
      <c r="AG206" s="204"/>
      <c r="AH206" s="204"/>
      <c r="AI206" s="204"/>
      <c r="AJ206" s="204"/>
      <c r="AK206" s="204"/>
      <c r="AL206" s="204"/>
      <c r="AM206" s="204"/>
      <c r="AN206" s="204"/>
      <c r="AO206" s="204"/>
      <c r="AP206" s="204"/>
      <c r="AQ206" s="204"/>
      <c r="AR206" s="204"/>
      <c r="AS206" s="204"/>
      <c r="AT206" s="204"/>
      <c r="AU206" s="206"/>
      <c r="AV206" s="202"/>
      <c r="AW206" s="202"/>
      <c r="AX206" s="202"/>
      <c r="AY206" s="202"/>
      <c r="AZ206" s="202"/>
      <c r="BA206" s="202"/>
      <c r="BB206" s="202"/>
      <c r="BC206" s="202"/>
      <c r="BD206" s="202"/>
      <c r="BE206" s="202"/>
      <c r="BF206" s="202"/>
      <c r="BG206" s="202"/>
    </row>
    <row r="207" spans="2:59" ht="15">
      <c r="B207" s="204" t="s">
        <v>497</v>
      </c>
      <c r="C207" s="204" t="s">
        <v>497</v>
      </c>
      <c r="D207" s="204" t="s">
        <v>497</v>
      </c>
      <c r="E207" s="204" t="s">
        <v>497</v>
      </c>
      <c r="F207" s="204" t="s">
        <v>497</v>
      </c>
      <c r="G207" s="204" t="s">
        <v>497</v>
      </c>
      <c r="H207" s="204" t="s">
        <v>497</v>
      </c>
      <c r="I207" s="204" t="s">
        <v>497</v>
      </c>
      <c r="J207" s="205" t="s">
        <v>497</v>
      </c>
      <c r="K207" s="205" t="s">
        <v>497</v>
      </c>
      <c r="L207" s="204" t="s">
        <v>497</v>
      </c>
      <c r="M207" s="204" t="s">
        <v>497</v>
      </c>
      <c r="N207" s="204"/>
      <c r="O207" s="204"/>
      <c r="P207" s="204"/>
      <c r="Q207" s="204"/>
      <c r="R207" s="204"/>
      <c r="S207" s="204"/>
      <c r="T207" s="204"/>
      <c r="U207" s="204"/>
      <c r="V207" s="204"/>
      <c r="W207" s="204"/>
      <c r="X207" s="204"/>
      <c r="Y207" s="204"/>
      <c r="Z207" s="204"/>
      <c r="AA207" s="204"/>
      <c r="AB207" s="204"/>
      <c r="AC207" s="204"/>
      <c r="AD207" s="204"/>
      <c r="AE207" s="204"/>
      <c r="AF207" s="204"/>
      <c r="AG207" s="204"/>
      <c r="AH207" s="204"/>
      <c r="AI207" s="204"/>
      <c r="AJ207" s="204"/>
      <c r="AK207" s="204"/>
      <c r="AL207" s="204"/>
      <c r="AM207" s="204"/>
      <c r="AN207" s="204"/>
      <c r="AO207" s="204"/>
      <c r="AP207" s="204"/>
      <c r="AQ207" s="204"/>
      <c r="AR207" s="204"/>
      <c r="AS207" s="204"/>
      <c r="AT207" s="204"/>
      <c r="AU207" s="206"/>
      <c r="AV207" s="202"/>
      <c r="AW207" s="202"/>
      <c r="AX207" s="202"/>
      <c r="AY207" s="202"/>
      <c r="AZ207" s="202"/>
      <c r="BA207" s="202"/>
      <c r="BB207" s="202"/>
      <c r="BC207" s="202"/>
      <c r="BD207" s="202"/>
      <c r="BE207" s="202"/>
      <c r="BF207" s="202"/>
      <c r="BG207" s="202"/>
    </row>
    <row r="208" spans="2:59" ht="15">
      <c r="B208" s="204" t="s">
        <v>497</v>
      </c>
      <c r="C208" s="204" t="s">
        <v>497</v>
      </c>
      <c r="D208" s="204" t="s">
        <v>497</v>
      </c>
      <c r="E208" s="204" t="s">
        <v>497</v>
      </c>
      <c r="F208" s="204" t="s">
        <v>497</v>
      </c>
      <c r="G208" s="204" t="s">
        <v>497</v>
      </c>
      <c r="H208" s="204" t="s">
        <v>497</v>
      </c>
      <c r="I208" s="204" t="s">
        <v>497</v>
      </c>
      <c r="J208" s="205" t="s">
        <v>497</v>
      </c>
      <c r="K208" s="205" t="s">
        <v>497</v>
      </c>
      <c r="L208" s="204" t="s">
        <v>497</v>
      </c>
      <c r="M208" s="204" t="s">
        <v>497</v>
      </c>
      <c r="N208" s="204"/>
      <c r="O208" s="204"/>
      <c r="P208" s="204"/>
      <c r="Q208" s="204"/>
      <c r="R208" s="204"/>
      <c r="S208" s="204"/>
      <c r="T208" s="204"/>
      <c r="U208" s="204"/>
      <c r="V208" s="204"/>
      <c r="W208" s="204"/>
      <c r="X208" s="204"/>
      <c r="Y208" s="204"/>
      <c r="Z208" s="204"/>
      <c r="AA208" s="204"/>
      <c r="AB208" s="204"/>
      <c r="AC208" s="204"/>
      <c r="AD208" s="204"/>
      <c r="AE208" s="204"/>
      <c r="AF208" s="204"/>
      <c r="AG208" s="204"/>
      <c r="AH208" s="204"/>
      <c r="AI208" s="204"/>
      <c r="AJ208" s="204"/>
      <c r="AK208" s="204"/>
      <c r="AL208" s="204"/>
      <c r="AM208" s="204"/>
      <c r="AN208" s="204"/>
      <c r="AO208" s="204"/>
      <c r="AP208" s="204"/>
      <c r="AQ208" s="204"/>
      <c r="AR208" s="204"/>
      <c r="AS208" s="204"/>
      <c r="AT208" s="204"/>
      <c r="AU208" s="206"/>
      <c r="AV208" s="202"/>
      <c r="AW208" s="202"/>
      <c r="AX208" s="202"/>
      <c r="AY208" s="202"/>
      <c r="AZ208" s="202"/>
      <c r="BA208" s="202"/>
      <c r="BB208" s="202"/>
      <c r="BC208" s="202"/>
      <c r="BD208" s="202"/>
      <c r="BE208" s="202"/>
      <c r="BF208" s="202"/>
      <c r="BG208" s="202"/>
    </row>
    <row r="209" spans="2:59" ht="15">
      <c r="B209" s="204" t="s">
        <v>497</v>
      </c>
      <c r="C209" s="204" t="s">
        <v>497</v>
      </c>
      <c r="D209" s="204" t="s">
        <v>497</v>
      </c>
      <c r="E209" s="204" t="s">
        <v>497</v>
      </c>
      <c r="F209" s="204" t="s">
        <v>497</v>
      </c>
      <c r="G209" s="204" t="s">
        <v>497</v>
      </c>
      <c r="H209" s="204" t="s">
        <v>497</v>
      </c>
      <c r="I209" s="204" t="s">
        <v>497</v>
      </c>
      <c r="J209" s="205" t="s">
        <v>497</v>
      </c>
      <c r="K209" s="205" t="s">
        <v>497</v>
      </c>
      <c r="L209" s="204" t="s">
        <v>497</v>
      </c>
      <c r="M209" s="204" t="s">
        <v>497</v>
      </c>
      <c r="N209" s="204"/>
      <c r="O209" s="204"/>
      <c r="P209" s="204"/>
      <c r="Q209" s="204"/>
      <c r="R209" s="204"/>
      <c r="S209" s="204"/>
      <c r="T209" s="204"/>
      <c r="U209" s="204"/>
      <c r="V209" s="204"/>
      <c r="W209" s="204"/>
      <c r="X209" s="204"/>
      <c r="Y209" s="204"/>
      <c r="Z209" s="204"/>
      <c r="AA209" s="204"/>
      <c r="AB209" s="204"/>
      <c r="AC209" s="204"/>
      <c r="AD209" s="204"/>
      <c r="AE209" s="204"/>
      <c r="AF209" s="204"/>
      <c r="AG209" s="204"/>
      <c r="AH209" s="204"/>
      <c r="AI209" s="204"/>
      <c r="AJ209" s="204"/>
      <c r="AK209" s="204"/>
      <c r="AL209" s="204"/>
      <c r="AM209" s="204"/>
      <c r="AN209" s="204"/>
      <c r="AO209" s="204"/>
      <c r="AP209" s="204"/>
      <c r="AQ209" s="204"/>
      <c r="AR209" s="204"/>
      <c r="AS209" s="204"/>
      <c r="AT209" s="204"/>
      <c r="AU209" s="206"/>
      <c r="AV209" s="202"/>
      <c r="AW209" s="202"/>
      <c r="AX209" s="202"/>
      <c r="AY209" s="202"/>
      <c r="AZ209" s="202"/>
      <c r="BA209" s="202"/>
      <c r="BB209" s="202"/>
      <c r="BC209" s="202"/>
      <c r="BD209" s="202"/>
      <c r="BE209" s="202"/>
      <c r="BF209" s="202"/>
      <c r="BG209" s="202"/>
    </row>
    <row r="210" spans="2:59" ht="15">
      <c r="B210" s="204" t="s">
        <v>497</v>
      </c>
      <c r="C210" s="204" t="s">
        <v>497</v>
      </c>
      <c r="D210" s="204" t="s">
        <v>497</v>
      </c>
      <c r="E210" s="204" t="s">
        <v>497</v>
      </c>
      <c r="F210" s="204" t="s">
        <v>497</v>
      </c>
      <c r="G210" s="204" t="s">
        <v>497</v>
      </c>
      <c r="H210" s="204" t="s">
        <v>497</v>
      </c>
      <c r="I210" s="204" t="s">
        <v>497</v>
      </c>
      <c r="J210" s="205" t="s">
        <v>497</v>
      </c>
      <c r="K210" s="205" t="s">
        <v>497</v>
      </c>
      <c r="L210" s="204" t="s">
        <v>497</v>
      </c>
      <c r="M210" s="204" t="s">
        <v>497</v>
      </c>
      <c r="N210" s="204"/>
      <c r="O210" s="204"/>
      <c r="P210" s="204"/>
      <c r="Q210" s="204"/>
      <c r="R210" s="204"/>
      <c r="S210" s="204"/>
      <c r="T210" s="204"/>
      <c r="U210" s="204"/>
      <c r="V210" s="204"/>
      <c r="W210" s="204"/>
      <c r="X210" s="204"/>
      <c r="Y210" s="204"/>
      <c r="Z210" s="204"/>
      <c r="AA210" s="204"/>
      <c r="AB210" s="204"/>
      <c r="AC210" s="204"/>
      <c r="AD210" s="204"/>
      <c r="AE210" s="204"/>
      <c r="AF210" s="204"/>
      <c r="AG210" s="204"/>
      <c r="AH210" s="204"/>
      <c r="AI210" s="204"/>
      <c r="AJ210" s="204"/>
      <c r="AK210" s="204"/>
      <c r="AL210" s="204"/>
      <c r="AM210" s="204"/>
      <c r="AN210" s="204"/>
      <c r="AO210" s="204"/>
      <c r="AP210" s="204"/>
      <c r="AQ210" s="204"/>
      <c r="AR210" s="204"/>
      <c r="AS210" s="204"/>
      <c r="AT210" s="204"/>
      <c r="AU210" s="206"/>
      <c r="AV210" s="202"/>
      <c r="AW210" s="202"/>
      <c r="AX210" s="202"/>
      <c r="AY210" s="202"/>
      <c r="AZ210" s="202"/>
      <c r="BA210" s="202"/>
      <c r="BB210" s="202"/>
      <c r="BC210" s="202"/>
      <c r="BD210" s="202"/>
      <c r="BE210" s="202"/>
      <c r="BF210" s="202"/>
      <c r="BG210" s="202"/>
    </row>
    <row r="211" spans="2:59" ht="15">
      <c r="B211" s="204" t="s">
        <v>497</v>
      </c>
      <c r="C211" s="204" t="s">
        <v>497</v>
      </c>
      <c r="D211" s="204" t="s">
        <v>497</v>
      </c>
      <c r="E211" s="204" t="s">
        <v>497</v>
      </c>
      <c r="F211" s="204" t="s">
        <v>497</v>
      </c>
      <c r="G211" s="204" t="s">
        <v>497</v>
      </c>
      <c r="H211" s="204" t="s">
        <v>497</v>
      </c>
      <c r="I211" s="204" t="s">
        <v>497</v>
      </c>
      <c r="J211" s="205" t="s">
        <v>497</v>
      </c>
      <c r="K211" s="205" t="s">
        <v>497</v>
      </c>
      <c r="L211" s="204" t="s">
        <v>497</v>
      </c>
      <c r="M211" s="204" t="s">
        <v>497</v>
      </c>
      <c r="N211" s="204"/>
      <c r="O211" s="204"/>
      <c r="P211" s="204"/>
      <c r="Q211" s="204"/>
      <c r="R211" s="204"/>
      <c r="S211" s="204"/>
      <c r="T211" s="204"/>
      <c r="U211" s="204"/>
      <c r="V211" s="204"/>
      <c r="W211" s="204"/>
      <c r="X211" s="204"/>
      <c r="Y211" s="204"/>
      <c r="Z211" s="204"/>
      <c r="AA211" s="204"/>
      <c r="AB211" s="204"/>
      <c r="AC211" s="204"/>
      <c r="AD211" s="204"/>
      <c r="AE211" s="204"/>
      <c r="AF211" s="204"/>
      <c r="AG211" s="204"/>
      <c r="AH211" s="204"/>
      <c r="AI211" s="204"/>
      <c r="AJ211" s="204"/>
      <c r="AK211" s="204"/>
      <c r="AL211" s="204"/>
      <c r="AM211" s="204"/>
      <c r="AN211" s="204"/>
      <c r="AO211" s="204"/>
      <c r="AP211" s="204"/>
      <c r="AQ211" s="204"/>
      <c r="AR211" s="204"/>
      <c r="AS211" s="204"/>
      <c r="AT211" s="204"/>
      <c r="AU211" s="206"/>
      <c r="AV211" s="202"/>
      <c r="AW211" s="202"/>
      <c r="AX211" s="202"/>
      <c r="AY211" s="202"/>
      <c r="AZ211" s="202"/>
      <c r="BA211" s="202"/>
      <c r="BB211" s="202"/>
      <c r="BC211" s="202"/>
      <c r="BD211" s="202"/>
      <c r="BE211" s="202"/>
      <c r="BF211" s="202"/>
      <c r="BG211" s="202"/>
    </row>
    <row r="212" spans="2:59" ht="15">
      <c r="B212" s="204" t="s">
        <v>497</v>
      </c>
      <c r="C212" s="204" t="s">
        <v>497</v>
      </c>
      <c r="D212" s="204" t="s">
        <v>497</v>
      </c>
      <c r="E212" s="204" t="s">
        <v>497</v>
      </c>
      <c r="F212" s="204" t="s">
        <v>497</v>
      </c>
      <c r="G212" s="204" t="s">
        <v>497</v>
      </c>
      <c r="H212" s="204" t="s">
        <v>497</v>
      </c>
      <c r="I212" s="204" t="s">
        <v>497</v>
      </c>
      <c r="J212" s="205" t="s">
        <v>497</v>
      </c>
      <c r="K212" s="205" t="s">
        <v>497</v>
      </c>
      <c r="L212" s="204" t="s">
        <v>497</v>
      </c>
      <c r="M212" s="204" t="s">
        <v>497</v>
      </c>
      <c r="N212" s="204"/>
      <c r="O212" s="204"/>
      <c r="P212" s="204"/>
      <c r="Q212" s="204"/>
      <c r="R212" s="204"/>
      <c r="S212" s="204"/>
      <c r="T212" s="204"/>
      <c r="U212" s="204"/>
      <c r="V212" s="204"/>
      <c r="W212" s="204"/>
      <c r="X212" s="204"/>
      <c r="Y212" s="204"/>
      <c r="Z212" s="204"/>
      <c r="AA212" s="204"/>
      <c r="AB212" s="204"/>
      <c r="AC212" s="204"/>
      <c r="AD212" s="204"/>
      <c r="AE212" s="204"/>
      <c r="AF212" s="204"/>
      <c r="AG212" s="204"/>
      <c r="AH212" s="204"/>
      <c r="AI212" s="204"/>
      <c r="AJ212" s="204"/>
      <c r="AK212" s="204"/>
      <c r="AL212" s="204"/>
      <c r="AM212" s="204"/>
      <c r="AN212" s="204"/>
      <c r="AO212" s="204"/>
      <c r="AP212" s="204"/>
      <c r="AQ212" s="204"/>
      <c r="AR212" s="204"/>
      <c r="AS212" s="204"/>
      <c r="AT212" s="204"/>
      <c r="AU212" s="206"/>
      <c r="AV212" s="202"/>
      <c r="AW212" s="202"/>
      <c r="AX212" s="202"/>
      <c r="AY212" s="202"/>
      <c r="AZ212" s="202"/>
      <c r="BA212" s="202"/>
      <c r="BB212" s="202"/>
      <c r="BC212" s="202"/>
      <c r="BD212" s="202"/>
      <c r="BE212" s="202"/>
      <c r="BF212" s="202"/>
      <c r="BG212" s="202"/>
    </row>
    <row r="213" spans="2:59" ht="15">
      <c r="B213" s="204" t="s">
        <v>497</v>
      </c>
      <c r="C213" s="204" t="s">
        <v>497</v>
      </c>
      <c r="D213" s="204" t="s">
        <v>497</v>
      </c>
      <c r="E213" s="204" t="s">
        <v>497</v>
      </c>
      <c r="F213" s="204" t="s">
        <v>497</v>
      </c>
      <c r="G213" s="204" t="s">
        <v>497</v>
      </c>
      <c r="H213" s="204" t="s">
        <v>497</v>
      </c>
      <c r="I213" s="204" t="s">
        <v>497</v>
      </c>
      <c r="J213" s="205" t="s">
        <v>497</v>
      </c>
      <c r="K213" s="205" t="s">
        <v>497</v>
      </c>
      <c r="L213" s="204" t="s">
        <v>497</v>
      </c>
      <c r="M213" s="204" t="s">
        <v>497</v>
      </c>
      <c r="N213" s="204"/>
      <c r="O213" s="204"/>
      <c r="P213" s="204"/>
      <c r="Q213" s="204"/>
      <c r="R213" s="204"/>
      <c r="S213" s="204"/>
      <c r="T213" s="204"/>
      <c r="U213" s="204"/>
      <c r="V213" s="204"/>
      <c r="W213" s="204"/>
      <c r="X213" s="204"/>
      <c r="Y213" s="204"/>
      <c r="Z213" s="204"/>
      <c r="AA213" s="204"/>
      <c r="AB213" s="204"/>
      <c r="AC213" s="204"/>
      <c r="AD213" s="204"/>
      <c r="AE213" s="204"/>
      <c r="AF213" s="204"/>
      <c r="AG213" s="204"/>
      <c r="AH213" s="204"/>
      <c r="AI213" s="204"/>
      <c r="AJ213" s="204"/>
      <c r="AK213" s="204"/>
      <c r="AL213" s="204"/>
      <c r="AM213" s="204"/>
      <c r="AN213" s="204"/>
      <c r="AO213" s="204"/>
      <c r="AP213" s="204"/>
      <c r="AQ213" s="204"/>
      <c r="AR213" s="204"/>
      <c r="AS213" s="204"/>
      <c r="AT213" s="204"/>
      <c r="AU213" s="206"/>
      <c r="AV213" s="202"/>
      <c r="AW213" s="202"/>
      <c r="AX213" s="202"/>
      <c r="AY213" s="202"/>
      <c r="AZ213" s="202"/>
      <c r="BA213" s="202"/>
      <c r="BB213" s="202"/>
      <c r="BC213" s="202"/>
      <c r="BD213" s="202"/>
      <c r="BE213" s="202"/>
      <c r="BF213" s="202"/>
      <c r="BG213" s="202"/>
    </row>
    <row r="214" spans="2:59" ht="15">
      <c r="B214" s="204" t="s">
        <v>497</v>
      </c>
      <c r="C214" s="204" t="s">
        <v>497</v>
      </c>
      <c r="D214" s="204" t="s">
        <v>497</v>
      </c>
      <c r="E214" s="204" t="s">
        <v>497</v>
      </c>
      <c r="F214" s="204" t="s">
        <v>497</v>
      </c>
      <c r="G214" s="204" t="s">
        <v>497</v>
      </c>
      <c r="H214" s="204" t="s">
        <v>497</v>
      </c>
      <c r="I214" s="204" t="s">
        <v>497</v>
      </c>
      <c r="J214" s="205" t="s">
        <v>497</v>
      </c>
      <c r="K214" s="205" t="s">
        <v>497</v>
      </c>
      <c r="L214" s="204" t="s">
        <v>497</v>
      </c>
      <c r="M214" s="204" t="s">
        <v>497</v>
      </c>
      <c r="N214" s="204"/>
      <c r="O214" s="204"/>
      <c r="P214" s="204"/>
      <c r="Q214" s="204"/>
      <c r="R214" s="204"/>
      <c r="S214" s="204"/>
      <c r="T214" s="204"/>
      <c r="U214" s="204"/>
      <c r="V214" s="204"/>
      <c r="W214" s="204"/>
      <c r="X214" s="204"/>
      <c r="Y214" s="204"/>
      <c r="Z214" s="204"/>
      <c r="AA214" s="204"/>
      <c r="AB214" s="204"/>
      <c r="AC214" s="204"/>
      <c r="AD214" s="204"/>
      <c r="AE214" s="204"/>
      <c r="AF214" s="204"/>
      <c r="AG214" s="204"/>
      <c r="AH214" s="204"/>
      <c r="AI214" s="204"/>
      <c r="AJ214" s="204"/>
      <c r="AK214" s="204"/>
      <c r="AL214" s="204"/>
      <c r="AM214" s="204"/>
      <c r="AN214" s="204"/>
      <c r="AO214" s="204"/>
      <c r="AP214" s="204"/>
      <c r="AQ214" s="204"/>
      <c r="AR214" s="204"/>
      <c r="AS214" s="204"/>
      <c r="AT214" s="204"/>
      <c r="AU214" s="206"/>
      <c r="AV214" s="202"/>
      <c r="AW214" s="202"/>
      <c r="AX214" s="202"/>
      <c r="AY214" s="202"/>
      <c r="AZ214" s="202"/>
      <c r="BA214" s="202"/>
      <c r="BB214" s="202"/>
      <c r="BC214" s="202"/>
      <c r="BD214" s="202"/>
      <c r="BE214" s="202"/>
      <c r="BF214" s="202"/>
      <c r="BG214" s="202"/>
    </row>
    <row r="215" spans="2:59" ht="15">
      <c r="B215" s="204" t="s">
        <v>497</v>
      </c>
      <c r="C215" s="204" t="s">
        <v>497</v>
      </c>
      <c r="D215" s="204" t="s">
        <v>497</v>
      </c>
      <c r="E215" s="204" t="s">
        <v>497</v>
      </c>
      <c r="F215" s="204" t="s">
        <v>497</v>
      </c>
      <c r="G215" s="204" t="s">
        <v>497</v>
      </c>
      <c r="H215" s="204" t="s">
        <v>497</v>
      </c>
      <c r="I215" s="204" t="s">
        <v>497</v>
      </c>
      <c r="J215" s="205" t="s">
        <v>497</v>
      </c>
      <c r="K215" s="205" t="s">
        <v>497</v>
      </c>
      <c r="L215" s="204" t="s">
        <v>497</v>
      </c>
      <c r="M215" s="204" t="s">
        <v>497</v>
      </c>
      <c r="N215" s="204"/>
      <c r="O215" s="204"/>
      <c r="P215" s="204"/>
      <c r="Q215" s="204"/>
      <c r="R215" s="204"/>
      <c r="S215" s="204"/>
      <c r="T215" s="204"/>
      <c r="U215" s="204"/>
      <c r="V215" s="204"/>
      <c r="W215" s="204"/>
      <c r="X215" s="204"/>
      <c r="Y215" s="204"/>
      <c r="Z215" s="204"/>
      <c r="AA215" s="204"/>
      <c r="AB215" s="204"/>
      <c r="AC215" s="204"/>
      <c r="AD215" s="204"/>
      <c r="AE215" s="204"/>
      <c r="AF215" s="204"/>
      <c r="AG215" s="204"/>
      <c r="AH215" s="204"/>
      <c r="AI215" s="204"/>
      <c r="AJ215" s="204"/>
      <c r="AK215" s="204"/>
      <c r="AL215" s="204"/>
      <c r="AM215" s="204"/>
      <c r="AN215" s="204"/>
      <c r="AO215" s="204"/>
      <c r="AP215" s="204"/>
      <c r="AQ215" s="204"/>
      <c r="AR215" s="204"/>
      <c r="AS215" s="204"/>
      <c r="AT215" s="204"/>
      <c r="AU215" s="206"/>
      <c r="AV215" s="202"/>
      <c r="AW215" s="202"/>
      <c r="AX215" s="202"/>
      <c r="AY215" s="202"/>
      <c r="AZ215" s="202"/>
      <c r="BA215" s="202"/>
      <c r="BB215" s="202"/>
      <c r="BC215" s="202"/>
      <c r="BD215" s="202"/>
      <c r="BE215" s="202"/>
      <c r="BF215" s="202"/>
      <c r="BG215" s="202"/>
    </row>
    <row r="216" spans="2:59" ht="15">
      <c r="B216" s="204" t="s">
        <v>497</v>
      </c>
      <c r="C216" s="204" t="s">
        <v>497</v>
      </c>
      <c r="D216" s="204" t="s">
        <v>497</v>
      </c>
      <c r="E216" s="204" t="s">
        <v>497</v>
      </c>
      <c r="F216" s="204" t="s">
        <v>497</v>
      </c>
      <c r="G216" s="204" t="s">
        <v>497</v>
      </c>
      <c r="H216" s="204" t="s">
        <v>497</v>
      </c>
      <c r="I216" s="204" t="s">
        <v>497</v>
      </c>
      <c r="J216" s="205" t="s">
        <v>497</v>
      </c>
      <c r="K216" s="205" t="s">
        <v>497</v>
      </c>
      <c r="L216" s="204" t="s">
        <v>497</v>
      </c>
      <c r="M216" s="204" t="s">
        <v>497</v>
      </c>
      <c r="N216" s="204"/>
      <c r="O216" s="204"/>
      <c r="P216" s="204"/>
      <c r="Q216" s="204"/>
      <c r="R216" s="204"/>
      <c r="S216" s="204"/>
      <c r="T216" s="204"/>
      <c r="U216" s="204"/>
      <c r="V216" s="204"/>
      <c r="W216" s="204"/>
      <c r="X216" s="204"/>
      <c r="Y216" s="204"/>
      <c r="Z216" s="204"/>
      <c r="AA216" s="204"/>
      <c r="AB216" s="204"/>
      <c r="AC216" s="204"/>
      <c r="AD216" s="204"/>
      <c r="AE216" s="204"/>
      <c r="AF216" s="204"/>
      <c r="AG216" s="204"/>
      <c r="AH216" s="204"/>
      <c r="AI216" s="204"/>
      <c r="AJ216" s="204"/>
      <c r="AK216" s="204"/>
      <c r="AL216" s="204"/>
      <c r="AM216" s="204"/>
      <c r="AN216" s="204"/>
      <c r="AO216" s="204"/>
      <c r="AP216" s="204"/>
      <c r="AQ216" s="204"/>
      <c r="AR216" s="204"/>
      <c r="AS216" s="204"/>
      <c r="AT216" s="204"/>
      <c r="AU216" s="206"/>
      <c r="AV216" s="202"/>
      <c r="AW216" s="202"/>
      <c r="AX216" s="202"/>
      <c r="AY216" s="202"/>
      <c r="AZ216" s="202"/>
      <c r="BA216" s="202"/>
      <c r="BB216" s="202"/>
      <c r="BC216" s="202"/>
      <c r="BD216" s="202"/>
      <c r="BE216" s="202"/>
      <c r="BF216" s="202"/>
      <c r="BG216" s="202"/>
    </row>
    <row r="217" spans="2:59" ht="15">
      <c r="B217" s="204" t="s">
        <v>497</v>
      </c>
      <c r="C217" s="204" t="s">
        <v>497</v>
      </c>
      <c r="D217" s="204" t="s">
        <v>497</v>
      </c>
      <c r="E217" s="204" t="s">
        <v>497</v>
      </c>
      <c r="F217" s="204" t="s">
        <v>497</v>
      </c>
      <c r="G217" s="204" t="s">
        <v>497</v>
      </c>
      <c r="H217" s="204" t="s">
        <v>497</v>
      </c>
      <c r="I217" s="204" t="s">
        <v>497</v>
      </c>
      <c r="J217" s="205" t="s">
        <v>497</v>
      </c>
      <c r="K217" s="205" t="s">
        <v>497</v>
      </c>
      <c r="L217" s="204" t="s">
        <v>497</v>
      </c>
      <c r="M217" s="204" t="s">
        <v>497</v>
      </c>
      <c r="N217" s="204"/>
      <c r="O217" s="204"/>
      <c r="P217" s="204"/>
      <c r="Q217" s="204"/>
      <c r="R217" s="204"/>
      <c r="S217" s="204"/>
      <c r="T217" s="204"/>
      <c r="U217" s="204"/>
      <c r="V217" s="204"/>
      <c r="W217" s="204"/>
      <c r="X217" s="204"/>
      <c r="Y217" s="204"/>
      <c r="Z217" s="204"/>
      <c r="AA217" s="204"/>
      <c r="AB217" s="204"/>
      <c r="AC217" s="204"/>
      <c r="AD217" s="204"/>
      <c r="AE217" s="204"/>
      <c r="AF217" s="204"/>
      <c r="AG217" s="204"/>
      <c r="AH217" s="204"/>
      <c r="AI217" s="204"/>
      <c r="AJ217" s="204"/>
      <c r="AK217" s="204"/>
      <c r="AL217" s="204"/>
      <c r="AM217" s="204"/>
      <c r="AN217" s="204"/>
      <c r="AO217" s="204"/>
      <c r="AP217" s="204"/>
      <c r="AQ217" s="204"/>
      <c r="AR217" s="204"/>
      <c r="AS217" s="204"/>
      <c r="AT217" s="204"/>
      <c r="AU217" s="206"/>
      <c r="AV217" s="202"/>
      <c r="AW217" s="202"/>
      <c r="AX217" s="202"/>
      <c r="AY217" s="202"/>
      <c r="AZ217" s="202"/>
      <c r="BA217" s="202"/>
      <c r="BB217" s="202"/>
      <c r="BC217" s="202"/>
      <c r="BD217" s="202"/>
      <c r="BE217" s="202"/>
      <c r="BF217" s="202"/>
      <c r="BG217" s="202"/>
    </row>
    <row r="218" spans="2:59" ht="15">
      <c r="B218" s="204" t="s">
        <v>497</v>
      </c>
      <c r="C218" s="204" t="s">
        <v>497</v>
      </c>
      <c r="D218" s="204" t="s">
        <v>497</v>
      </c>
      <c r="E218" s="204" t="s">
        <v>497</v>
      </c>
      <c r="F218" s="204" t="s">
        <v>497</v>
      </c>
      <c r="G218" s="204" t="s">
        <v>497</v>
      </c>
      <c r="H218" s="204" t="s">
        <v>497</v>
      </c>
      <c r="I218" s="204" t="s">
        <v>497</v>
      </c>
      <c r="J218" s="205" t="s">
        <v>497</v>
      </c>
      <c r="K218" s="205" t="s">
        <v>497</v>
      </c>
      <c r="L218" s="204" t="s">
        <v>497</v>
      </c>
      <c r="M218" s="204" t="s">
        <v>497</v>
      </c>
      <c r="N218" s="204"/>
      <c r="O218" s="204"/>
      <c r="P218" s="204"/>
      <c r="Q218" s="204"/>
      <c r="R218" s="204"/>
      <c r="S218" s="204"/>
      <c r="T218" s="204"/>
      <c r="U218" s="204"/>
      <c r="V218" s="204"/>
      <c r="W218" s="204"/>
      <c r="X218" s="204"/>
      <c r="Y218" s="204"/>
      <c r="Z218" s="204"/>
      <c r="AA218" s="204"/>
      <c r="AB218" s="204"/>
      <c r="AC218" s="204"/>
      <c r="AD218" s="204"/>
      <c r="AE218" s="204"/>
      <c r="AF218" s="204"/>
      <c r="AG218" s="204"/>
      <c r="AH218" s="204"/>
      <c r="AI218" s="204"/>
      <c r="AJ218" s="204"/>
      <c r="AK218" s="204"/>
      <c r="AL218" s="204"/>
      <c r="AM218" s="204"/>
      <c r="AN218" s="204"/>
      <c r="AO218" s="204"/>
      <c r="AP218" s="204"/>
      <c r="AQ218" s="204"/>
      <c r="AR218" s="204"/>
      <c r="AS218" s="204"/>
      <c r="AT218" s="204"/>
      <c r="AU218" s="206"/>
      <c r="AV218" s="202"/>
      <c r="AW218" s="202"/>
      <c r="AX218" s="202"/>
      <c r="AY218" s="202"/>
      <c r="AZ218" s="202"/>
      <c r="BA218" s="202"/>
      <c r="BB218" s="202"/>
      <c r="BC218" s="202"/>
      <c r="BD218" s="202"/>
      <c r="BE218" s="202"/>
      <c r="BF218" s="202"/>
      <c r="BG218" s="202"/>
    </row>
    <row r="219" spans="2:59" ht="15">
      <c r="B219" s="204" t="s">
        <v>497</v>
      </c>
      <c r="C219" s="204" t="s">
        <v>497</v>
      </c>
      <c r="D219" s="204" t="s">
        <v>497</v>
      </c>
      <c r="E219" s="204" t="s">
        <v>497</v>
      </c>
      <c r="F219" s="204" t="s">
        <v>497</v>
      </c>
      <c r="G219" s="204" t="s">
        <v>497</v>
      </c>
      <c r="H219" s="204" t="s">
        <v>497</v>
      </c>
      <c r="I219" s="204" t="s">
        <v>497</v>
      </c>
      <c r="J219" s="205" t="s">
        <v>497</v>
      </c>
      <c r="K219" s="205" t="s">
        <v>497</v>
      </c>
      <c r="L219" s="204" t="s">
        <v>497</v>
      </c>
      <c r="M219" s="204" t="s">
        <v>497</v>
      </c>
      <c r="N219" s="204"/>
      <c r="O219" s="204"/>
      <c r="P219" s="204"/>
      <c r="Q219" s="204"/>
      <c r="R219" s="204"/>
      <c r="S219" s="204"/>
      <c r="T219" s="204"/>
      <c r="U219" s="204"/>
      <c r="V219" s="204"/>
      <c r="W219" s="204"/>
      <c r="X219" s="204"/>
      <c r="Y219" s="204"/>
      <c r="Z219" s="204"/>
      <c r="AA219" s="204"/>
      <c r="AB219" s="204"/>
      <c r="AC219" s="204"/>
      <c r="AD219" s="204"/>
      <c r="AE219" s="204"/>
      <c r="AF219" s="204"/>
      <c r="AG219" s="204"/>
      <c r="AH219" s="204"/>
      <c r="AI219" s="204"/>
      <c r="AJ219" s="204"/>
      <c r="AK219" s="204"/>
      <c r="AL219" s="204"/>
      <c r="AM219" s="204"/>
      <c r="AN219" s="204"/>
      <c r="AO219" s="204"/>
      <c r="AP219" s="204"/>
      <c r="AQ219" s="204"/>
      <c r="AR219" s="204"/>
      <c r="AS219" s="204"/>
      <c r="AT219" s="204"/>
      <c r="AU219" s="206"/>
      <c r="AV219" s="202"/>
      <c r="AW219" s="202"/>
      <c r="AX219" s="202"/>
      <c r="AY219" s="202"/>
      <c r="AZ219" s="202"/>
      <c r="BA219" s="202"/>
      <c r="BB219" s="202"/>
      <c r="BC219" s="202"/>
      <c r="BD219" s="202"/>
      <c r="BE219" s="202"/>
      <c r="BF219" s="202"/>
      <c r="BG219" s="202"/>
    </row>
    <row r="220" spans="2:59" ht="15">
      <c r="B220" s="204" t="s">
        <v>497</v>
      </c>
      <c r="C220" s="204" t="s">
        <v>497</v>
      </c>
      <c r="D220" s="204" t="s">
        <v>497</v>
      </c>
      <c r="E220" s="204" t="s">
        <v>497</v>
      </c>
      <c r="F220" s="204" t="s">
        <v>497</v>
      </c>
      <c r="G220" s="204" t="s">
        <v>497</v>
      </c>
      <c r="H220" s="204" t="s">
        <v>497</v>
      </c>
      <c r="I220" s="204" t="s">
        <v>497</v>
      </c>
      <c r="J220" s="205" t="s">
        <v>497</v>
      </c>
      <c r="K220" s="205" t="s">
        <v>497</v>
      </c>
      <c r="L220" s="204" t="s">
        <v>497</v>
      </c>
      <c r="M220" s="204" t="s">
        <v>497</v>
      </c>
      <c r="N220" s="204"/>
      <c r="O220" s="204"/>
      <c r="P220" s="204"/>
      <c r="Q220" s="204"/>
      <c r="R220" s="204"/>
      <c r="S220" s="204"/>
      <c r="T220" s="204"/>
      <c r="U220" s="204"/>
      <c r="V220" s="204"/>
      <c r="W220" s="204"/>
      <c r="X220" s="204"/>
      <c r="Y220" s="204"/>
      <c r="Z220" s="204"/>
      <c r="AA220" s="204"/>
      <c r="AB220" s="204"/>
      <c r="AC220" s="204"/>
      <c r="AD220" s="204"/>
      <c r="AE220" s="204"/>
      <c r="AF220" s="204"/>
      <c r="AG220" s="204"/>
      <c r="AH220" s="204"/>
      <c r="AI220" s="204"/>
      <c r="AJ220" s="204"/>
      <c r="AK220" s="204"/>
      <c r="AL220" s="204"/>
      <c r="AM220" s="204"/>
      <c r="AN220" s="204"/>
      <c r="AO220" s="204"/>
      <c r="AP220" s="204"/>
      <c r="AQ220" s="204"/>
      <c r="AR220" s="204"/>
      <c r="AS220" s="204"/>
      <c r="AT220" s="204"/>
      <c r="AU220" s="206"/>
      <c r="AV220" s="202"/>
      <c r="AW220" s="202"/>
      <c r="AX220" s="202"/>
      <c r="AY220" s="202"/>
      <c r="AZ220" s="202"/>
      <c r="BA220" s="202"/>
      <c r="BB220" s="202"/>
      <c r="BC220" s="202"/>
      <c r="BD220" s="202"/>
      <c r="BE220" s="202"/>
      <c r="BF220" s="202"/>
      <c r="BG220" s="202"/>
    </row>
    <row r="221" spans="2:59" ht="15">
      <c r="B221" s="204" t="s">
        <v>497</v>
      </c>
      <c r="C221" s="204" t="s">
        <v>497</v>
      </c>
      <c r="D221" s="204" t="s">
        <v>497</v>
      </c>
      <c r="E221" s="204" t="s">
        <v>497</v>
      </c>
      <c r="F221" s="204" t="s">
        <v>497</v>
      </c>
      <c r="G221" s="204" t="s">
        <v>497</v>
      </c>
      <c r="H221" s="204" t="s">
        <v>497</v>
      </c>
      <c r="I221" s="204" t="s">
        <v>497</v>
      </c>
      <c r="J221" s="205" t="s">
        <v>497</v>
      </c>
      <c r="K221" s="205" t="s">
        <v>497</v>
      </c>
      <c r="L221" s="204" t="s">
        <v>497</v>
      </c>
      <c r="M221" s="204" t="s">
        <v>497</v>
      </c>
      <c r="N221" s="204"/>
      <c r="O221" s="204"/>
      <c r="P221" s="204"/>
      <c r="Q221" s="204"/>
      <c r="R221" s="204"/>
      <c r="S221" s="204"/>
      <c r="T221" s="204"/>
      <c r="U221" s="204"/>
      <c r="V221" s="204"/>
      <c r="W221" s="204"/>
      <c r="X221" s="204"/>
      <c r="Y221" s="204"/>
      <c r="Z221" s="204"/>
      <c r="AA221" s="204"/>
      <c r="AB221" s="204"/>
      <c r="AC221" s="204"/>
      <c r="AD221" s="204"/>
      <c r="AE221" s="204"/>
      <c r="AF221" s="204"/>
      <c r="AG221" s="204"/>
      <c r="AH221" s="204"/>
      <c r="AI221" s="204"/>
      <c r="AJ221" s="204"/>
      <c r="AK221" s="204"/>
      <c r="AL221" s="204"/>
      <c r="AM221" s="204"/>
      <c r="AN221" s="204"/>
      <c r="AO221" s="204"/>
      <c r="AP221" s="204"/>
      <c r="AQ221" s="204"/>
      <c r="AR221" s="204"/>
      <c r="AS221" s="204"/>
      <c r="AT221" s="204"/>
      <c r="AU221" s="206"/>
      <c r="AV221" s="202"/>
      <c r="AW221" s="202"/>
      <c r="AX221" s="202"/>
      <c r="AY221" s="202"/>
      <c r="AZ221" s="202"/>
      <c r="BA221" s="202"/>
      <c r="BB221" s="202"/>
      <c r="BC221" s="202"/>
      <c r="BD221" s="202"/>
      <c r="BE221" s="202"/>
      <c r="BF221" s="202"/>
      <c r="BG221" s="202"/>
    </row>
    <row r="222" spans="2:59" ht="15">
      <c r="B222" s="204" t="s">
        <v>497</v>
      </c>
      <c r="C222" s="204" t="s">
        <v>497</v>
      </c>
      <c r="D222" s="204" t="s">
        <v>497</v>
      </c>
      <c r="E222" s="204" t="s">
        <v>497</v>
      </c>
      <c r="F222" s="204" t="s">
        <v>497</v>
      </c>
      <c r="G222" s="204" t="s">
        <v>497</v>
      </c>
      <c r="H222" s="204" t="s">
        <v>497</v>
      </c>
      <c r="I222" s="204" t="s">
        <v>497</v>
      </c>
      <c r="J222" s="205" t="s">
        <v>497</v>
      </c>
      <c r="K222" s="205" t="s">
        <v>497</v>
      </c>
      <c r="L222" s="204" t="s">
        <v>497</v>
      </c>
      <c r="M222" s="204" t="s">
        <v>497</v>
      </c>
      <c r="N222" s="204"/>
      <c r="O222" s="204"/>
      <c r="P222" s="204"/>
      <c r="Q222" s="204"/>
      <c r="R222" s="204"/>
      <c r="S222" s="204"/>
      <c r="T222" s="204"/>
      <c r="U222" s="204"/>
      <c r="V222" s="204"/>
      <c r="W222" s="204"/>
      <c r="X222" s="204"/>
      <c r="Y222" s="204"/>
      <c r="Z222" s="204"/>
      <c r="AA222" s="204"/>
      <c r="AB222" s="204"/>
      <c r="AC222" s="204"/>
      <c r="AD222" s="204"/>
      <c r="AE222" s="204"/>
      <c r="AF222" s="204"/>
      <c r="AG222" s="204"/>
      <c r="AH222" s="204"/>
      <c r="AI222" s="204"/>
      <c r="AJ222" s="204"/>
      <c r="AK222" s="204"/>
      <c r="AL222" s="204"/>
      <c r="AM222" s="204"/>
      <c r="AN222" s="204"/>
      <c r="AO222" s="204"/>
      <c r="AP222" s="204"/>
      <c r="AQ222" s="204"/>
      <c r="AR222" s="204"/>
      <c r="AS222" s="204"/>
      <c r="AT222" s="204"/>
      <c r="AU222" s="206"/>
      <c r="AV222" s="202"/>
      <c r="AW222" s="202"/>
      <c r="AX222" s="202"/>
      <c r="AY222" s="202"/>
      <c r="AZ222" s="202"/>
      <c r="BA222" s="202"/>
      <c r="BB222" s="202"/>
      <c r="BC222" s="202"/>
      <c r="BD222" s="202"/>
      <c r="BE222" s="202"/>
      <c r="BF222" s="202"/>
      <c r="BG222" s="202"/>
    </row>
    <row r="223" spans="2:59" ht="15">
      <c r="B223" s="204" t="s">
        <v>497</v>
      </c>
      <c r="C223" s="204" t="s">
        <v>497</v>
      </c>
      <c r="D223" s="204" t="s">
        <v>497</v>
      </c>
      <c r="E223" s="204" t="s">
        <v>497</v>
      </c>
      <c r="F223" s="204" t="s">
        <v>497</v>
      </c>
      <c r="G223" s="204" t="s">
        <v>497</v>
      </c>
      <c r="H223" s="204" t="s">
        <v>497</v>
      </c>
      <c r="I223" s="204" t="s">
        <v>497</v>
      </c>
      <c r="J223" s="205" t="s">
        <v>497</v>
      </c>
      <c r="K223" s="205" t="s">
        <v>497</v>
      </c>
      <c r="L223" s="204" t="s">
        <v>497</v>
      </c>
      <c r="M223" s="204" t="s">
        <v>497</v>
      </c>
      <c r="N223" s="204"/>
      <c r="O223" s="204"/>
      <c r="P223" s="204"/>
      <c r="Q223" s="204"/>
      <c r="R223" s="204"/>
      <c r="S223" s="204"/>
      <c r="T223" s="204"/>
      <c r="U223" s="204"/>
      <c r="V223" s="204"/>
      <c r="W223" s="204"/>
      <c r="X223" s="204"/>
      <c r="Y223" s="204"/>
      <c r="Z223" s="204"/>
      <c r="AA223" s="204"/>
      <c r="AB223" s="204"/>
      <c r="AC223" s="204"/>
      <c r="AD223" s="204"/>
      <c r="AE223" s="204"/>
      <c r="AF223" s="204"/>
      <c r="AG223" s="204"/>
      <c r="AH223" s="204"/>
      <c r="AI223" s="204"/>
      <c r="AJ223" s="204"/>
      <c r="AK223" s="204"/>
      <c r="AL223" s="204"/>
      <c r="AM223" s="204"/>
      <c r="AN223" s="204"/>
      <c r="AO223" s="204"/>
      <c r="AP223" s="204"/>
      <c r="AQ223" s="204"/>
      <c r="AR223" s="204"/>
      <c r="AS223" s="204"/>
      <c r="AT223" s="204"/>
      <c r="AU223" s="206"/>
      <c r="AV223" s="202"/>
      <c r="AW223" s="202"/>
      <c r="AX223" s="202"/>
      <c r="AY223" s="202"/>
      <c r="AZ223" s="202"/>
      <c r="BA223" s="202"/>
      <c r="BB223" s="202"/>
      <c r="BC223" s="202"/>
      <c r="BD223" s="202"/>
      <c r="BE223" s="202"/>
      <c r="BF223" s="202"/>
      <c r="BG223" s="202"/>
    </row>
    <row r="224" spans="2:59" ht="15">
      <c r="B224" s="204" t="s">
        <v>497</v>
      </c>
      <c r="C224" s="204" t="s">
        <v>497</v>
      </c>
      <c r="D224" s="204" t="s">
        <v>497</v>
      </c>
      <c r="E224" s="204" t="s">
        <v>497</v>
      </c>
      <c r="F224" s="204" t="s">
        <v>497</v>
      </c>
      <c r="G224" s="204" t="s">
        <v>497</v>
      </c>
      <c r="H224" s="204" t="s">
        <v>497</v>
      </c>
      <c r="I224" s="204" t="s">
        <v>497</v>
      </c>
      <c r="J224" s="205" t="s">
        <v>497</v>
      </c>
      <c r="K224" s="205" t="s">
        <v>497</v>
      </c>
      <c r="L224" s="204" t="s">
        <v>497</v>
      </c>
      <c r="M224" s="204" t="s">
        <v>497</v>
      </c>
      <c r="N224" s="204"/>
      <c r="O224" s="204"/>
      <c r="P224" s="204"/>
      <c r="Q224" s="204"/>
      <c r="R224" s="204"/>
      <c r="S224" s="204"/>
      <c r="T224" s="204"/>
      <c r="U224" s="204"/>
      <c r="V224" s="204"/>
      <c r="W224" s="204"/>
      <c r="X224" s="204"/>
      <c r="Y224" s="204"/>
      <c r="Z224" s="204"/>
      <c r="AA224" s="204"/>
      <c r="AB224" s="204"/>
      <c r="AC224" s="204"/>
      <c r="AD224" s="204"/>
      <c r="AE224" s="204"/>
      <c r="AF224" s="204"/>
      <c r="AG224" s="204"/>
      <c r="AH224" s="204"/>
      <c r="AI224" s="204"/>
      <c r="AJ224" s="204"/>
      <c r="AK224" s="204"/>
      <c r="AL224" s="204"/>
      <c r="AM224" s="204"/>
      <c r="AN224" s="204"/>
      <c r="AO224" s="204"/>
      <c r="AP224" s="204"/>
      <c r="AQ224" s="204"/>
      <c r="AR224" s="204"/>
      <c r="AS224" s="204"/>
      <c r="AT224" s="204"/>
      <c r="AU224" s="206"/>
      <c r="AV224" s="202"/>
      <c r="AW224" s="202"/>
      <c r="AX224" s="202"/>
      <c r="AY224" s="202"/>
      <c r="AZ224" s="202"/>
      <c r="BA224" s="202"/>
      <c r="BB224" s="202"/>
      <c r="BC224" s="202"/>
      <c r="BD224" s="202"/>
      <c r="BE224" s="202"/>
      <c r="BF224" s="202"/>
      <c r="BG224" s="202"/>
    </row>
    <row r="225" spans="2:59" ht="15">
      <c r="B225" s="204" t="s">
        <v>497</v>
      </c>
      <c r="C225" s="204" t="s">
        <v>497</v>
      </c>
      <c r="D225" s="204" t="s">
        <v>497</v>
      </c>
      <c r="E225" s="204" t="s">
        <v>497</v>
      </c>
      <c r="F225" s="204" t="s">
        <v>497</v>
      </c>
      <c r="G225" s="204" t="s">
        <v>497</v>
      </c>
      <c r="H225" s="204" t="s">
        <v>497</v>
      </c>
      <c r="I225" s="204" t="s">
        <v>497</v>
      </c>
      <c r="J225" s="205" t="s">
        <v>497</v>
      </c>
      <c r="K225" s="205" t="s">
        <v>497</v>
      </c>
      <c r="L225" s="204" t="s">
        <v>497</v>
      </c>
      <c r="M225" s="204" t="s">
        <v>497</v>
      </c>
      <c r="N225" s="204"/>
      <c r="O225" s="204"/>
      <c r="P225" s="204"/>
      <c r="Q225" s="204"/>
      <c r="R225" s="204"/>
      <c r="S225" s="204"/>
      <c r="T225" s="204"/>
      <c r="U225" s="204"/>
      <c r="V225" s="204"/>
      <c r="W225" s="204"/>
      <c r="X225" s="204"/>
      <c r="Y225" s="204"/>
      <c r="Z225" s="204"/>
      <c r="AA225" s="204"/>
      <c r="AB225" s="204"/>
      <c r="AC225" s="204"/>
      <c r="AD225" s="204"/>
      <c r="AE225" s="204"/>
      <c r="AF225" s="204"/>
      <c r="AG225" s="204"/>
      <c r="AH225" s="204"/>
      <c r="AI225" s="204"/>
      <c r="AJ225" s="204"/>
      <c r="AK225" s="204"/>
      <c r="AL225" s="204"/>
      <c r="AM225" s="204"/>
      <c r="AN225" s="204"/>
      <c r="AO225" s="204"/>
      <c r="AP225" s="204"/>
      <c r="AQ225" s="204"/>
      <c r="AR225" s="204"/>
      <c r="AS225" s="204"/>
      <c r="AT225" s="204"/>
      <c r="AU225" s="206"/>
      <c r="AV225" s="202"/>
      <c r="AW225" s="202"/>
      <c r="AX225" s="202"/>
      <c r="AY225" s="202"/>
      <c r="AZ225" s="202"/>
      <c r="BA225" s="202"/>
      <c r="BB225" s="202"/>
      <c r="BC225" s="202"/>
      <c r="BD225" s="202"/>
      <c r="BE225" s="202"/>
      <c r="BF225" s="202"/>
      <c r="BG225" s="202"/>
    </row>
    <row r="226" spans="2:59" ht="15">
      <c r="B226" s="204" t="s">
        <v>497</v>
      </c>
      <c r="C226" s="204" t="s">
        <v>497</v>
      </c>
      <c r="D226" s="204" t="s">
        <v>497</v>
      </c>
      <c r="E226" s="204" t="s">
        <v>497</v>
      </c>
      <c r="F226" s="204" t="s">
        <v>497</v>
      </c>
      <c r="G226" s="204" t="s">
        <v>497</v>
      </c>
      <c r="H226" s="204" t="s">
        <v>497</v>
      </c>
      <c r="I226" s="204" t="s">
        <v>497</v>
      </c>
      <c r="J226" s="205" t="s">
        <v>497</v>
      </c>
      <c r="K226" s="205" t="s">
        <v>497</v>
      </c>
      <c r="L226" s="204" t="s">
        <v>497</v>
      </c>
      <c r="M226" s="204" t="s">
        <v>497</v>
      </c>
      <c r="N226" s="204"/>
      <c r="O226" s="204"/>
      <c r="P226" s="204"/>
      <c r="Q226" s="204"/>
      <c r="R226" s="204"/>
      <c r="S226" s="204"/>
      <c r="T226" s="204"/>
      <c r="U226" s="204"/>
      <c r="V226" s="204"/>
      <c r="W226" s="204"/>
      <c r="X226" s="204"/>
      <c r="Y226" s="204"/>
      <c r="Z226" s="204"/>
      <c r="AA226" s="204"/>
      <c r="AB226" s="204"/>
      <c r="AC226" s="204"/>
      <c r="AD226" s="204"/>
      <c r="AE226" s="204"/>
      <c r="AF226" s="204"/>
      <c r="AG226" s="204"/>
      <c r="AH226" s="204"/>
      <c r="AI226" s="204"/>
      <c r="AJ226" s="204"/>
      <c r="AK226" s="204"/>
      <c r="AL226" s="204"/>
      <c r="AM226" s="204"/>
      <c r="AN226" s="204"/>
      <c r="AO226" s="204"/>
      <c r="AP226" s="204"/>
      <c r="AQ226" s="204"/>
      <c r="AR226" s="204"/>
      <c r="AS226" s="204"/>
      <c r="AT226" s="204"/>
      <c r="AU226" s="206"/>
      <c r="AV226" s="202"/>
      <c r="AW226" s="202"/>
      <c r="AX226" s="202"/>
      <c r="AY226" s="202"/>
      <c r="AZ226" s="202"/>
      <c r="BA226" s="202"/>
      <c r="BB226" s="202"/>
      <c r="BC226" s="202"/>
      <c r="BD226" s="202"/>
      <c r="BE226" s="202"/>
      <c r="BF226" s="202"/>
      <c r="BG226" s="202"/>
    </row>
    <row r="227" spans="2:59" ht="15">
      <c r="B227" s="204" t="s">
        <v>497</v>
      </c>
      <c r="C227" s="204" t="s">
        <v>497</v>
      </c>
      <c r="D227" s="204" t="s">
        <v>497</v>
      </c>
      <c r="E227" s="204" t="s">
        <v>497</v>
      </c>
      <c r="F227" s="204" t="s">
        <v>497</v>
      </c>
      <c r="G227" s="204" t="s">
        <v>497</v>
      </c>
      <c r="H227" s="204" t="s">
        <v>497</v>
      </c>
      <c r="I227" s="204" t="s">
        <v>497</v>
      </c>
      <c r="J227" s="205" t="s">
        <v>497</v>
      </c>
      <c r="K227" s="205" t="s">
        <v>497</v>
      </c>
      <c r="L227" s="204" t="s">
        <v>497</v>
      </c>
      <c r="M227" s="204" t="s">
        <v>497</v>
      </c>
      <c r="N227" s="204"/>
      <c r="O227" s="204"/>
      <c r="P227" s="204"/>
      <c r="Q227" s="204"/>
      <c r="R227" s="204"/>
      <c r="S227" s="204"/>
      <c r="T227" s="204"/>
      <c r="U227" s="204"/>
      <c r="V227" s="204"/>
      <c r="W227" s="204"/>
      <c r="X227" s="204"/>
      <c r="Y227" s="204"/>
      <c r="Z227" s="204"/>
      <c r="AA227" s="204"/>
      <c r="AB227" s="204"/>
      <c r="AC227" s="204"/>
      <c r="AD227" s="204"/>
      <c r="AE227" s="204"/>
      <c r="AF227" s="204"/>
      <c r="AG227" s="204"/>
      <c r="AH227" s="204"/>
      <c r="AI227" s="204"/>
      <c r="AJ227" s="204"/>
      <c r="AK227" s="204"/>
      <c r="AL227" s="204"/>
      <c r="AM227" s="204"/>
      <c r="AN227" s="204"/>
      <c r="AO227" s="204"/>
      <c r="AP227" s="204"/>
      <c r="AQ227" s="204"/>
      <c r="AR227" s="204"/>
      <c r="AS227" s="204"/>
      <c r="AT227" s="204"/>
      <c r="AU227" s="206"/>
      <c r="AV227" s="202"/>
      <c r="AW227" s="202"/>
      <c r="AX227" s="202"/>
      <c r="AY227" s="202"/>
      <c r="AZ227" s="202"/>
      <c r="BA227" s="202"/>
      <c r="BB227" s="202"/>
      <c r="BC227" s="202"/>
      <c r="BD227" s="202"/>
      <c r="BE227" s="202"/>
      <c r="BF227" s="202"/>
      <c r="BG227" s="202"/>
    </row>
    <row r="228" spans="2:59" ht="15">
      <c r="B228" s="204" t="s">
        <v>497</v>
      </c>
      <c r="C228" s="204" t="s">
        <v>497</v>
      </c>
      <c r="D228" s="204" t="s">
        <v>497</v>
      </c>
      <c r="E228" s="204" t="s">
        <v>497</v>
      </c>
      <c r="F228" s="204" t="s">
        <v>497</v>
      </c>
      <c r="G228" s="204" t="s">
        <v>497</v>
      </c>
      <c r="H228" s="204" t="s">
        <v>497</v>
      </c>
      <c r="I228" s="204" t="s">
        <v>497</v>
      </c>
      <c r="J228" s="205" t="s">
        <v>497</v>
      </c>
      <c r="K228" s="205" t="s">
        <v>497</v>
      </c>
      <c r="L228" s="204" t="s">
        <v>497</v>
      </c>
      <c r="M228" s="204" t="s">
        <v>497</v>
      </c>
      <c r="N228" s="204"/>
      <c r="O228" s="204"/>
      <c r="P228" s="204"/>
      <c r="Q228" s="204"/>
      <c r="R228" s="204"/>
      <c r="S228" s="204"/>
      <c r="T228" s="204"/>
      <c r="U228" s="204"/>
      <c r="V228" s="204"/>
      <c r="W228" s="204"/>
      <c r="X228" s="204"/>
      <c r="Y228" s="204"/>
      <c r="Z228" s="204"/>
      <c r="AA228" s="204"/>
      <c r="AB228" s="204"/>
      <c r="AC228" s="204"/>
      <c r="AD228" s="204"/>
      <c r="AE228" s="204"/>
      <c r="AF228" s="204"/>
      <c r="AG228" s="204"/>
      <c r="AH228" s="204"/>
      <c r="AI228" s="204"/>
      <c r="AJ228" s="204"/>
      <c r="AK228" s="204"/>
      <c r="AL228" s="204"/>
      <c r="AM228" s="204"/>
      <c r="AN228" s="204"/>
      <c r="AO228" s="204"/>
      <c r="AP228" s="204"/>
      <c r="AQ228" s="204"/>
      <c r="AR228" s="204"/>
      <c r="AS228" s="204"/>
      <c r="AT228" s="204"/>
      <c r="AU228" s="206"/>
      <c r="AV228" s="202"/>
      <c r="AW228" s="202"/>
      <c r="AX228" s="202"/>
      <c r="AY228" s="202"/>
      <c r="AZ228" s="202"/>
      <c r="BA228" s="202"/>
      <c r="BB228" s="202"/>
      <c r="BC228" s="202"/>
      <c r="BD228" s="202"/>
      <c r="BE228" s="202"/>
      <c r="BF228" s="202"/>
      <c r="BG228" s="202"/>
    </row>
    <row r="229" spans="2:59" ht="15">
      <c r="B229" s="204" t="s">
        <v>497</v>
      </c>
      <c r="C229" s="204" t="s">
        <v>497</v>
      </c>
      <c r="D229" s="204" t="s">
        <v>497</v>
      </c>
      <c r="E229" s="204" t="s">
        <v>497</v>
      </c>
      <c r="F229" s="204" t="s">
        <v>497</v>
      </c>
      <c r="G229" s="204" t="s">
        <v>497</v>
      </c>
      <c r="H229" s="204" t="s">
        <v>497</v>
      </c>
      <c r="I229" s="204" t="s">
        <v>497</v>
      </c>
      <c r="J229" s="205" t="s">
        <v>497</v>
      </c>
      <c r="K229" s="205" t="s">
        <v>497</v>
      </c>
      <c r="L229" s="204" t="s">
        <v>497</v>
      </c>
      <c r="M229" s="204" t="s">
        <v>497</v>
      </c>
      <c r="N229" s="204"/>
      <c r="O229" s="204"/>
      <c r="P229" s="204"/>
      <c r="Q229" s="204"/>
      <c r="R229" s="204"/>
      <c r="S229" s="204"/>
      <c r="T229" s="204"/>
      <c r="U229" s="204"/>
      <c r="V229" s="204"/>
      <c r="W229" s="204"/>
      <c r="X229" s="204"/>
      <c r="Y229" s="204"/>
      <c r="Z229" s="204"/>
      <c r="AA229" s="204"/>
      <c r="AB229" s="204"/>
      <c r="AC229" s="204"/>
      <c r="AD229" s="204"/>
      <c r="AE229" s="204"/>
      <c r="AF229" s="204"/>
      <c r="AG229" s="204"/>
      <c r="AH229" s="204"/>
      <c r="AI229" s="204"/>
      <c r="AJ229" s="204"/>
      <c r="AK229" s="204"/>
      <c r="AL229" s="204"/>
      <c r="AM229" s="204"/>
      <c r="AN229" s="204"/>
      <c r="AO229" s="204"/>
      <c r="AP229" s="204"/>
      <c r="AQ229" s="204"/>
      <c r="AR229" s="204"/>
      <c r="AS229" s="204"/>
      <c r="AT229" s="204"/>
      <c r="AU229" s="206"/>
      <c r="AV229" s="202"/>
      <c r="AW229" s="202"/>
      <c r="AX229" s="202"/>
      <c r="AY229" s="202"/>
      <c r="AZ229" s="202"/>
      <c r="BA229" s="202"/>
      <c r="BB229" s="202"/>
      <c r="BC229" s="202"/>
      <c r="BD229" s="202"/>
      <c r="BE229" s="202"/>
      <c r="BF229" s="202"/>
      <c r="BG229" s="202"/>
    </row>
    <row r="230" spans="2:59" ht="15">
      <c r="B230" s="204" t="s">
        <v>497</v>
      </c>
      <c r="C230" s="204" t="s">
        <v>497</v>
      </c>
      <c r="D230" s="204" t="s">
        <v>497</v>
      </c>
      <c r="E230" s="204" t="s">
        <v>497</v>
      </c>
      <c r="F230" s="204" t="s">
        <v>497</v>
      </c>
      <c r="G230" s="204" t="s">
        <v>497</v>
      </c>
      <c r="H230" s="204" t="s">
        <v>497</v>
      </c>
      <c r="I230" s="204" t="s">
        <v>497</v>
      </c>
      <c r="J230" s="205" t="s">
        <v>497</v>
      </c>
      <c r="K230" s="205" t="s">
        <v>497</v>
      </c>
      <c r="L230" s="204" t="s">
        <v>497</v>
      </c>
      <c r="M230" s="204" t="s">
        <v>497</v>
      </c>
      <c r="N230" s="204"/>
      <c r="O230" s="204"/>
      <c r="P230" s="204"/>
      <c r="Q230" s="204"/>
      <c r="R230" s="204"/>
      <c r="S230" s="204"/>
      <c r="T230" s="204"/>
      <c r="U230" s="204"/>
      <c r="V230" s="204"/>
      <c r="W230" s="204"/>
      <c r="X230" s="204"/>
      <c r="Y230" s="204"/>
      <c r="Z230" s="204"/>
      <c r="AA230" s="204"/>
      <c r="AB230" s="204"/>
      <c r="AC230" s="204"/>
      <c r="AD230" s="204"/>
      <c r="AE230" s="204"/>
      <c r="AF230" s="204"/>
      <c r="AG230" s="204"/>
      <c r="AH230" s="204"/>
      <c r="AI230" s="204"/>
      <c r="AJ230" s="204"/>
      <c r="AK230" s="204"/>
      <c r="AL230" s="204"/>
      <c r="AM230" s="204"/>
      <c r="AN230" s="204"/>
      <c r="AO230" s="204"/>
      <c r="AP230" s="204"/>
      <c r="AQ230" s="204"/>
      <c r="AR230" s="204"/>
      <c r="AS230" s="204"/>
      <c r="AT230" s="204"/>
      <c r="AU230" s="206"/>
      <c r="AV230" s="202"/>
      <c r="AW230" s="202"/>
      <c r="AX230" s="202"/>
      <c r="AY230" s="202"/>
      <c r="AZ230" s="202"/>
      <c r="BA230" s="202"/>
      <c r="BB230" s="202"/>
      <c r="BC230" s="202"/>
      <c r="BD230" s="202"/>
      <c r="BE230" s="202"/>
      <c r="BF230" s="202"/>
      <c r="BG230" s="202"/>
    </row>
    <row r="231" spans="2:59" ht="15">
      <c r="B231" s="204" t="s">
        <v>497</v>
      </c>
      <c r="C231" s="204" t="s">
        <v>497</v>
      </c>
      <c r="D231" s="204" t="s">
        <v>497</v>
      </c>
      <c r="E231" s="204" t="s">
        <v>497</v>
      </c>
      <c r="F231" s="204" t="s">
        <v>497</v>
      </c>
      <c r="G231" s="204" t="s">
        <v>497</v>
      </c>
      <c r="H231" s="204" t="s">
        <v>497</v>
      </c>
      <c r="I231" s="204" t="s">
        <v>497</v>
      </c>
      <c r="J231" s="205" t="s">
        <v>497</v>
      </c>
      <c r="K231" s="205" t="s">
        <v>497</v>
      </c>
      <c r="L231" s="204" t="s">
        <v>497</v>
      </c>
      <c r="M231" s="204" t="s">
        <v>497</v>
      </c>
      <c r="N231" s="204"/>
      <c r="O231" s="204"/>
      <c r="P231" s="204"/>
      <c r="Q231" s="204"/>
      <c r="R231" s="204"/>
      <c r="S231" s="204"/>
      <c r="T231" s="204"/>
      <c r="U231" s="204"/>
      <c r="V231" s="204"/>
      <c r="W231" s="204"/>
      <c r="X231" s="204"/>
      <c r="Y231" s="204"/>
      <c r="Z231" s="204"/>
      <c r="AA231" s="204"/>
      <c r="AB231" s="204"/>
      <c r="AC231" s="204"/>
      <c r="AD231" s="204"/>
      <c r="AE231" s="204"/>
      <c r="AF231" s="204"/>
      <c r="AG231" s="204"/>
      <c r="AH231" s="204"/>
      <c r="AI231" s="204"/>
      <c r="AJ231" s="204"/>
      <c r="AK231" s="204"/>
      <c r="AL231" s="204"/>
      <c r="AM231" s="204"/>
      <c r="AN231" s="204"/>
      <c r="AO231" s="204"/>
      <c r="AP231" s="204"/>
      <c r="AQ231" s="204"/>
      <c r="AR231" s="204"/>
      <c r="AS231" s="204"/>
      <c r="AT231" s="204"/>
      <c r="AU231" s="206"/>
      <c r="AV231" s="202"/>
      <c r="AW231" s="202"/>
      <c r="AX231" s="202"/>
      <c r="AY231" s="202"/>
      <c r="AZ231" s="202"/>
      <c r="BA231" s="202"/>
      <c r="BB231" s="202"/>
      <c r="BC231" s="202"/>
      <c r="BD231" s="202"/>
      <c r="BE231" s="202"/>
      <c r="BF231" s="202"/>
      <c r="BG231" s="202"/>
    </row>
    <row r="232" spans="2:59" ht="15">
      <c r="B232" s="204" t="s">
        <v>497</v>
      </c>
      <c r="C232" s="204" t="s">
        <v>497</v>
      </c>
      <c r="D232" s="204" t="s">
        <v>497</v>
      </c>
      <c r="E232" s="204" t="s">
        <v>497</v>
      </c>
      <c r="F232" s="204" t="s">
        <v>497</v>
      </c>
      <c r="G232" s="204" t="s">
        <v>497</v>
      </c>
      <c r="H232" s="204" t="s">
        <v>497</v>
      </c>
      <c r="I232" s="204" t="s">
        <v>497</v>
      </c>
      <c r="J232" s="205" t="s">
        <v>497</v>
      </c>
      <c r="K232" s="205" t="s">
        <v>497</v>
      </c>
      <c r="L232" s="204" t="s">
        <v>497</v>
      </c>
      <c r="M232" s="204" t="s">
        <v>497</v>
      </c>
      <c r="N232" s="204"/>
      <c r="O232" s="204"/>
      <c r="P232" s="204"/>
      <c r="Q232" s="204"/>
      <c r="R232" s="204"/>
      <c r="S232" s="204"/>
      <c r="T232" s="204"/>
      <c r="U232" s="204"/>
      <c r="V232" s="204"/>
      <c r="W232" s="204"/>
      <c r="X232" s="204"/>
      <c r="Y232" s="204"/>
      <c r="Z232" s="204"/>
      <c r="AA232" s="204"/>
      <c r="AB232" s="204"/>
      <c r="AC232" s="204"/>
      <c r="AD232" s="204"/>
      <c r="AE232" s="204"/>
      <c r="AF232" s="204"/>
      <c r="AG232" s="204"/>
      <c r="AH232" s="204"/>
      <c r="AI232" s="204"/>
      <c r="AJ232" s="204"/>
      <c r="AK232" s="204"/>
      <c r="AL232" s="204"/>
      <c r="AM232" s="204"/>
      <c r="AN232" s="204"/>
      <c r="AO232" s="204"/>
      <c r="AP232" s="204"/>
      <c r="AQ232" s="204"/>
      <c r="AR232" s="204"/>
      <c r="AS232" s="204"/>
      <c r="AT232" s="204"/>
      <c r="AU232" s="206"/>
      <c r="AV232" s="202"/>
      <c r="AW232" s="202"/>
      <c r="AX232" s="202"/>
      <c r="AY232" s="202"/>
      <c r="AZ232" s="202"/>
      <c r="BA232" s="202"/>
      <c r="BB232" s="202"/>
      <c r="BC232" s="202"/>
      <c r="BD232" s="202"/>
      <c r="BE232" s="202"/>
      <c r="BF232" s="202"/>
      <c r="BG232" s="202"/>
    </row>
    <row r="233" spans="2:59" ht="15">
      <c r="B233" s="204" t="s">
        <v>497</v>
      </c>
      <c r="C233" s="204" t="s">
        <v>497</v>
      </c>
      <c r="D233" s="204" t="s">
        <v>497</v>
      </c>
      <c r="E233" s="204" t="s">
        <v>497</v>
      </c>
      <c r="F233" s="204" t="s">
        <v>497</v>
      </c>
      <c r="G233" s="204" t="s">
        <v>497</v>
      </c>
      <c r="H233" s="204" t="s">
        <v>497</v>
      </c>
      <c r="I233" s="204" t="s">
        <v>497</v>
      </c>
      <c r="J233" s="205" t="s">
        <v>497</v>
      </c>
      <c r="K233" s="205" t="s">
        <v>497</v>
      </c>
      <c r="L233" s="204" t="s">
        <v>497</v>
      </c>
      <c r="M233" s="204" t="s">
        <v>497</v>
      </c>
      <c r="N233" s="204"/>
      <c r="O233" s="204"/>
      <c r="P233" s="204"/>
      <c r="Q233" s="204"/>
      <c r="R233" s="204"/>
      <c r="S233" s="204"/>
      <c r="T233" s="204"/>
      <c r="U233" s="204"/>
      <c r="V233" s="204"/>
      <c r="W233" s="204"/>
      <c r="X233" s="204"/>
      <c r="Y233" s="204"/>
      <c r="Z233" s="204"/>
      <c r="AA233" s="204"/>
      <c r="AB233" s="204"/>
      <c r="AC233" s="204"/>
      <c r="AD233" s="204"/>
      <c r="AE233" s="204"/>
      <c r="AF233" s="204"/>
      <c r="AG233" s="204"/>
      <c r="AH233" s="204"/>
      <c r="AI233" s="204"/>
      <c r="AJ233" s="204"/>
      <c r="AK233" s="204"/>
      <c r="AL233" s="204"/>
      <c r="AM233" s="204"/>
      <c r="AN233" s="204"/>
      <c r="AO233" s="204"/>
      <c r="AP233" s="204"/>
      <c r="AQ233" s="204"/>
      <c r="AR233" s="204"/>
      <c r="AS233" s="204"/>
      <c r="AT233" s="204"/>
      <c r="AU233" s="206"/>
      <c r="AV233" s="202"/>
      <c r="AW233" s="202"/>
      <c r="AX233" s="202"/>
      <c r="AY233" s="202"/>
      <c r="AZ233" s="202"/>
      <c r="BA233" s="202"/>
      <c r="BB233" s="202"/>
      <c r="BC233" s="202"/>
      <c r="BD233" s="202"/>
      <c r="BE233" s="202"/>
      <c r="BF233" s="202"/>
      <c r="BG233" s="202"/>
    </row>
    <row r="234" spans="2:59" ht="15">
      <c r="B234" s="204" t="s">
        <v>497</v>
      </c>
      <c r="C234" s="204" t="s">
        <v>497</v>
      </c>
      <c r="D234" s="204" t="s">
        <v>497</v>
      </c>
      <c r="E234" s="204" t="s">
        <v>497</v>
      </c>
      <c r="F234" s="204" t="s">
        <v>497</v>
      </c>
      <c r="G234" s="204" t="s">
        <v>497</v>
      </c>
      <c r="H234" s="204" t="s">
        <v>497</v>
      </c>
      <c r="I234" s="204" t="s">
        <v>497</v>
      </c>
      <c r="J234" s="205" t="s">
        <v>497</v>
      </c>
      <c r="K234" s="205" t="s">
        <v>497</v>
      </c>
      <c r="L234" s="204" t="s">
        <v>497</v>
      </c>
      <c r="M234" s="204" t="s">
        <v>497</v>
      </c>
      <c r="N234" s="204"/>
      <c r="O234" s="204"/>
      <c r="P234" s="204"/>
      <c r="Q234" s="204"/>
      <c r="R234" s="204"/>
      <c r="S234" s="204"/>
      <c r="T234" s="204"/>
      <c r="U234" s="204"/>
      <c r="V234" s="204"/>
      <c r="W234" s="204"/>
      <c r="X234" s="204"/>
      <c r="Y234" s="204"/>
      <c r="Z234" s="204"/>
      <c r="AA234" s="204"/>
      <c r="AB234" s="204"/>
      <c r="AC234" s="204"/>
      <c r="AD234" s="204"/>
      <c r="AE234" s="204"/>
      <c r="AF234" s="204"/>
      <c r="AG234" s="204"/>
      <c r="AH234" s="204"/>
      <c r="AI234" s="204"/>
      <c r="AJ234" s="204"/>
      <c r="AK234" s="204"/>
      <c r="AL234" s="204"/>
      <c r="AM234" s="204"/>
      <c r="AN234" s="204"/>
      <c r="AO234" s="204"/>
      <c r="AP234" s="204"/>
      <c r="AQ234" s="204"/>
      <c r="AR234" s="204"/>
      <c r="AS234" s="204"/>
      <c r="AT234" s="204"/>
      <c r="AU234" s="206"/>
      <c r="AV234" s="202"/>
      <c r="AW234" s="202"/>
      <c r="AX234" s="202"/>
      <c r="AY234" s="202"/>
      <c r="AZ234" s="202"/>
      <c r="BA234" s="202"/>
      <c r="BB234" s="202"/>
      <c r="BC234" s="202"/>
      <c r="BD234" s="202"/>
      <c r="BE234" s="202"/>
      <c r="BF234" s="202"/>
      <c r="BG234" s="202"/>
    </row>
    <row r="235" spans="2:59" ht="15">
      <c r="B235" s="204" t="s">
        <v>497</v>
      </c>
      <c r="C235" s="204" t="s">
        <v>497</v>
      </c>
      <c r="D235" s="204" t="s">
        <v>497</v>
      </c>
      <c r="E235" s="204" t="s">
        <v>497</v>
      </c>
      <c r="F235" s="204" t="s">
        <v>497</v>
      </c>
      <c r="G235" s="204" t="s">
        <v>497</v>
      </c>
      <c r="H235" s="204" t="s">
        <v>497</v>
      </c>
      <c r="I235" s="204" t="s">
        <v>497</v>
      </c>
      <c r="J235" s="205" t="s">
        <v>497</v>
      </c>
      <c r="K235" s="205" t="s">
        <v>497</v>
      </c>
      <c r="L235" s="204" t="s">
        <v>497</v>
      </c>
      <c r="M235" s="204" t="s">
        <v>497</v>
      </c>
      <c r="N235" s="204"/>
      <c r="O235" s="204"/>
      <c r="P235" s="204"/>
      <c r="Q235" s="204"/>
      <c r="R235" s="204"/>
      <c r="S235" s="204"/>
      <c r="T235" s="204"/>
      <c r="U235" s="204"/>
      <c r="V235" s="204"/>
      <c r="W235" s="204"/>
      <c r="X235" s="204"/>
      <c r="Y235" s="204"/>
      <c r="Z235" s="204"/>
      <c r="AA235" s="204"/>
      <c r="AB235" s="204"/>
      <c r="AC235" s="204"/>
      <c r="AD235" s="204"/>
      <c r="AE235" s="204"/>
      <c r="AF235" s="204"/>
      <c r="AG235" s="204"/>
      <c r="AH235" s="204"/>
      <c r="AI235" s="204"/>
      <c r="AJ235" s="204"/>
      <c r="AK235" s="204"/>
      <c r="AL235" s="204"/>
      <c r="AM235" s="204"/>
      <c r="AN235" s="204"/>
      <c r="AO235" s="204"/>
      <c r="AP235" s="204"/>
      <c r="AQ235" s="204"/>
      <c r="AR235" s="204"/>
      <c r="AS235" s="204"/>
      <c r="AT235" s="204"/>
      <c r="AU235" s="206"/>
      <c r="AV235" s="202"/>
      <c r="AW235" s="202"/>
      <c r="AX235" s="202"/>
      <c r="AY235" s="202"/>
      <c r="AZ235" s="202"/>
      <c r="BA235" s="202"/>
      <c r="BB235" s="202"/>
      <c r="BC235" s="202"/>
      <c r="BD235" s="202"/>
      <c r="BE235" s="202"/>
      <c r="BF235" s="202"/>
      <c r="BG235" s="202"/>
    </row>
    <row r="236" spans="2:59" ht="15">
      <c r="B236" s="204" t="s">
        <v>497</v>
      </c>
      <c r="C236" s="204" t="s">
        <v>497</v>
      </c>
      <c r="D236" s="204" t="s">
        <v>497</v>
      </c>
      <c r="E236" s="204" t="s">
        <v>497</v>
      </c>
      <c r="F236" s="204" t="s">
        <v>497</v>
      </c>
      <c r="G236" s="204" t="s">
        <v>497</v>
      </c>
      <c r="H236" s="204" t="s">
        <v>497</v>
      </c>
      <c r="I236" s="204" t="s">
        <v>497</v>
      </c>
      <c r="J236" s="205" t="s">
        <v>497</v>
      </c>
      <c r="K236" s="205" t="s">
        <v>497</v>
      </c>
      <c r="L236" s="204" t="s">
        <v>497</v>
      </c>
      <c r="M236" s="204" t="s">
        <v>497</v>
      </c>
      <c r="N236" s="204"/>
      <c r="O236" s="204"/>
      <c r="P236" s="204"/>
      <c r="Q236" s="204"/>
      <c r="R236" s="204"/>
      <c r="S236" s="204"/>
      <c r="T236" s="204"/>
      <c r="U236" s="204"/>
      <c r="V236" s="204"/>
      <c r="W236" s="204"/>
      <c r="X236" s="204"/>
      <c r="Y236" s="204"/>
      <c r="Z236" s="204"/>
      <c r="AA236" s="204"/>
      <c r="AB236" s="204"/>
      <c r="AC236" s="204"/>
      <c r="AD236" s="204"/>
      <c r="AE236" s="204"/>
      <c r="AF236" s="204"/>
      <c r="AG236" s="204"/>
      <c r="AH236" s="204"/>
      <c r="AI236" s="204"/>
      <c r="AJ236" s="204"/>
      <c r="AK236" s="204"/>
      <c r="AL236" s="204"/>
      <c r="AM236" s="204"/>
      <c r="AN236" s="204"/>
      <c r="AO236" s="204"/>
      <c r="AP236" s="204"/>
      <c r="AQ236" s="204"/>
      <c r="AR236" s="204"/>
      <c r="AS236" s="204"/>
      <c r="AT236" s="204"/>
      <c r="AU236" s="206"/>
      <c r="AV236" s="202"/>
      <c r="AW236" s="202"/>
      <c r="AX236" s="202"/>
      <c r="AY236" s="202"/>
      <c r="AZ236" s="202"/>
      <c r="BA236" s="202"/>
      <c r="BB236" s="202"/>
      <c r="BC236" s="202"/>
      <c r="BD236" s="202"/>
      <c r="BE236" s="202"/>
      <c r="BF236" s="202"/>
      <c r="BG236" s="202"/>
    </row>
    <row r="237" spans="2:59" ht="15">
      <c r="B237" s="204" t="s">
        <v>497</v>
      </c>
      <c r="C237" s="204" t="s">
        <v>497</v>
      </c>
      <c r="D237" s="204" t="s">
        <v>497</v>
      </c>
      <c r="E237" s="204" t="s">
        <v>497</v>
      </c>
      <c r="F237" s="204" t="s">
        <v>497</v>
      </c>
      <c r="G237" s="204" t="s">
        <v>497</v>
      </c>
      <c r="H237" s="204" t="s">
        <v>497</v>
      </c>
      <c r="I237" s="204" t="s">
        <v>497</v>
      </c>
      <c r="J237" s="205" t="s">
        <v>497</v>
      </c>
      <c r="K237" s="205" t="s">
        <v>497</v>
      </c>
      <c r="L237" s="204" t="s">
        <v>497</v>
      </c>
      <c r="M237" s="204" t="s">
        <v>497</v>
      </c>
      <c r="N237" s="204"/>
      <c r="O237" s="204"/>
      <c r="P237" s="204"/>
      <c r="Q237" s="204"/>
      <c r="R237" s="204"/>
      <c r="S237" s="204"/>
      <c r="T237" s="204"/>
      <c r="U237" s="204"/>
      <c r="V237" s="204"/>
      <c r="W237" s="204"/>
      <c r="X237" s="204"/>
      <c r="Y237" s="204"/>
      <c r="Z237" s="204"/>
      <c r="AA237" s="204"/>
      <c r="AB237" s="204"/>
      <c r="AC237" s="204"/>
      <c r="AD237" s="204"/>
      <c r="AE237" s="204"/>
      <c r="AF237" s="204"/>
      <c r="AG237" s="204"/>
      <c r="AH237" s="204"/>
      <c r="AI237" s="204"/>
      <c r="AJ237" s="204"/>
      <c r="AK237" s="204"/>
      <c r="AL237" s="204"/>
      <c r="AM237" s="204"/>
      <c r="AN237" s="204"/>
      <c r="AO237" s="204"/>
      <c r="AP237" s="204"/>
      <c r="AQ237" s="204"/>
      <c r="AR237" s="204"/>
      <c r="AS237" s="204"/>
      <c r="AT237" s="204"/>
      <c r="AU237" s="206"/>
      <c r="AV237" s="202"/>
      <c r="AW237" s="202"/>
      <c r="AX237" s="202"/>
      <c r="AY237" s="202"/>
      <c r="AZ237" s="202"/>
      <c r="BA237" s="202"/>
      <c r="BB237" s="202"/>
      <c r="BC237" s="202"/>
      <c r="BD237" s="202"/>
      <c r="BE237" s="202"/>
      <c r="BF237" s="202"/>
      <c r="BG237" s="202"/>
    </row>
    <row r="238" spans="2:59" ht="15">
      <c r="B238" s="204" t="s">
        <v>497</v>
      </c>
      <c r="C238" s="204" t="s">
        <v>497</v>
      </c>
      <c r="D238" s="204" t="s">
        <v>497</v>
      </c>
      <c r="E238" s="204" t="s">
        <v>497</v>
      </c>
      <c r="F238" s="204" t="s">
        <v>497</v>
      </c>
      <c r="G238" s="204" t="s">
        <v>497</v>
      </c>
      <c r="H238" s="204" t="s">
        <v>497</v>
      </c>
      <c r="I238" s="204" t="s">
        <v>497</v>
      </c>
      <c r="J238" s="205" t="s">
        <v>497</v>
      </c>
      <c r="K238" s="205" t="s">
        <v>497</v>
      </c>
      <c r="L238" s="204" t="s">
        <v>497</v>
      </c>
      <c r="M238" s="204" t="s">
        <v>497</v>
      </c>
      <c r="N238" s="204"/>
      <c r="O238" s="204"/>
      <c r="P238" s="204"/>
      <c r="Q238" s="204"/>
      <c r="R238" s="204"/>
      <c r="S238" s="204"/>
      <c r="T238" s="204"/>
      <c r="U238" s="204"/>
      <c r="V238" s="204"/>
      <c r="W238" s="204"/>
      <c r="X238" s="204"/>
      <c r="Y238" s="204"/>
      <c r="Z238" s="204"/>
      <c r="AA238" s="204"/>
      <c r="AB238" s="204"/>
      <c r="AC238" s="204"/>
      <c r="AD238" s="204"/>
      <c r="AE238" s="204"/>
      <c r="AF238" s="204"/>
      <c r="AG238" s="204"/>
      <c r="AH238" s="204"/>
      <c r="AI238" s="204"/>
      <c r="AJ238" s="204"/>
      <c r="AK238" s="204"/>
      <c r="AL238" s="204"/>
      <c r="AM238" s="204"/>
      <c r="AN238" s="204"/>
      <c r="AO238" s="204"/>
      <c r="AP238" s="204"/>
      <c r="AQ238" s="204"/>
      <c r="AR238" s="204"/>
      <c r="AS238" s="204"/>
      <c r="AT238" s="204"/>
      <c r="AU238" s="206"/>
      <c r="AV238" s="202"/>
      <c r="AW238" s="202"/>
      <c r="AX238" s="202"/>
      <c r="AY238" s="202"/>
      <c r="AZ238" s="202"/>
      <c r="BA238" s="202"/>
      <c r="BB238" s="202"/>
      <c r="BC238" s="202"/>
      <c r="BD238" s="202"/>
      <c r="BE238" s="202"/>
      <c r="BF238" s="202"/>
      <c r="BG238" s="202"/>
    </row>
    <row r="239" spans="2:59" ht="15">
      <c r="B239" s="204" t="s">
        <v>497</v>
      </c>
      <c r="C239" s="204" t="s">
        <v>497</v>
      </c>
      <c r="D239" s="204" t="s">
        <v>497</v>
      </c>
      <c r="E239" s="204" t="s">
        <v>497</v>
      </c>
      <c r="F239" s="204" t="s">
        <v>497</v>
      </c>
      <c r="G239" s="204" t="s">
        <v>497</v>
      </c>
      <c r="H239" s="204" t="s">
        <v>497</v>
      </c>
      <c r="I239" s="204" t="s">
        <v>497</v>
      </c>
      <c r="J239" s="205" t="s">
        <v>497</v>
      </c>
      <c r="K239" s="205" t="s">
        <v>497</v>
      </c>
      <c r="L239" s="204" t="s">
        <v>497</v>
      </c>
      <c r="M239" s="204" t="s">
        <v>497</v>
      </c>
      <c r="N239" s="204"/>
      <c r="O239" s="204"/>
      <c r="P239" s="204"/>
      <c r="Q239" s="204"/>
      <c r="R239" s="204"/>
      <c r="S239" s="204"/>
      <c r="T239" s="204"/>
      <c r="U239" s="204"/>
      <c r="V239" s="204"/>
      <c r="W239" s="204"/>
      <c r="X239" s="204"/>
      <c r="Y239" s="204"/>
      <c r="Z239" s="204"/>
      <c r="AA239" s="204"/>
      <c r="AB239" s="204"/>
      <c r="AC239" s="204"/>
      <c r="AD239" s="204"/>
      <c r="AE239" s="204"/>
      <c r="AF239" s="204"/>
      <c r="AG239" s="204"/>
      <c r="AH239" s="204"/>
      <c r="AI239" s="204"/>
      <c r="AJ239" s="204"/>
      <c r="AK239" s="204"/>
      <c r="AL239" s="204"/>
      <c r="AM239" s="204"/>
      <c r="AN239" s="204"/>
      <c r="AO239" s="204"/>
      <c r="AP239" s="204"/>
      <c r="AQ239" s="204"/>
      <c r="AR239" s="204"/>
      <c r="AS239" s="204"/>
      <c r="AT239" s="204"/>
      <c r="AU239" s="206"/>
      <c r="AV239" s="202"/>
      <c r="AW239" s="202"/>
      <c r="AX239" s="202"/>
      <c r="AY239" s="202"/>
      <c r="AZ239" s="202"/>
      <c r="BA239" s="202"/>
      <c r="BB239" s="202"/>
      <c r="BC239" s="202"/>
      <c r="BD239" s="202"/>
      <c r="BE239" s="202"/>
      <c r="BF239" s="202"/>
      <c r="BG239" s="202"/>
    </row>
    <row r="240" spans="2:59" ht="15">
      <c r="B240" s="204" t="s">
        <v>497</v>
      </c>
      <c r="C240" s="204" t="s">
        <v>497</v>
      </c>
      <c r="D240" s="204" t="s">
        <v>497</v>
      </c>
      <c r="E240" s="204" t="s">
        <v>497</v>
      </c>
      <c r="F240" s="204" t="s">
        <v>497</v>
      </c>
      <c r="G240" s="204" t="s">
        <v>497</v>
      </c>
      <c r="H240" s="204" t="s">
        <v>497</v>
      </c>
      <c r="I240" s="204" t="s">
        <v>497</v>
      </c>
      <c r="J240" s="205" t="s">
        <v>497</v>
      </c>
      <c r="K240" s="205" t="s">
        <v>497</v>
      </c>
      <c r="L240" s="204" t="s">
        <v>497</v>
      </c>
      <c r="M240" s="204" t="s">
        <v>497</v>
      </c>
      <c r="N240" s="204"/>
      <c r="O240" s="204"/>
      <c r="P240" s="204"/>
      <c r="Q240" s="204"/>
      <c r="R240" s="204"/>
      <c r="S240" s="204"/>
      <c r="T240" s="204"/>
      <c r="U240" s="204"/>
      <c r="V240" s="204"/>
      <c r="W240" s="204"/>
      <c r="X240" s="204"/>
      <c r="Y240" s="204"/>
      <c r="Z240" s="204"/>
      <c r="AA240" s="204"/>
      <c r="AB240" s="204"/>
      <c r="AC240" s="204"/>
      <c r="AD240" s="204"/>
      <c r="AE240" s="204"/>
      <c r="AF240" s="204"/>
      <c r="AG240" s="204"/>
      <c r="AH240" s="204"/>
      <c r="AI240" s="204"/>
      <c r="AJ240" s="204"/>
      <c r="AK240" s="204"/>
      <c r="AL240" s="204"/>
      <c r="AM240" s="204"/>
      <c r="AN240" s="204"/>
      <c r="AO240" s="204"/>
      <c r="AP240" s="204"/>
      <c r="AQ240" s="204"/>
      <c r="AR240" s="204"/>
      <c r="AS240" s="204"/>
      <c r="AT240" s="204"/>
      <c r="AU240" s="206"/>
      <c r="AV240" s="202"/>
      <c r="AW240" s="202"/>
      <c r="AX240" s="202"/>
      <c r="AY240" s="202"/>
      <c r="AZ240" s="202"/>
      <c r="BA240" s="202"/>
      <c r="BB240" s="202"/>
      <c r="BC240" s="202"/>
      <c r="BD240" s="202"/>
      <c r="BE240" s="202"/>
      <c r="BF240" s="202"/>
      <c r="BG240" s="202"/>
    </row>
    <row r="241" spans="2:59" ht="15">
      <c r="B241" s="204" t="s">
        <v>497</v>
      </c>
      <c r="C241" s="204" t="s">
        <v>497</v>
      </c>
      <c r="D241" s="204" t="s">
        <v>497</v>
      </c>
      <c r="E241" s="204" t="s">
        <v>497</v>
      </c>
      <c r="F241" s="204" t="s">
        <v>497</v>
      </c>
      <c r="G241" s="204" t="s">
        <v>497</v>
      </c>
      <c r="H241" s="204" t="s">
        <v>497</v>
      </c>
      <c r="I241" s="204" t="s">
        <v>497</v>
      </c>
      <c r="J241" s="205" t="s">
        <v>497</v>
      </c>
      <c r="K241" s="205" t="s">
        <v>497</v>
      </c>
      <c r="L241" s="204" t="s">
        <v>497</v>
      </c>
      <c r="M241" s="204" t="s">
        <v>497</v>
      </c>
      <c r="N241" s="204"/>
      <c r="O241" s="204"/>
      <c r="P241" s="204"/>
      <c r="Q241" s="204"/>
      <c r="R241" s="204"/>
      <c r="S241" s="204"/>
      <c r="T241" s="204"/>
      <c r="U241" s="204"/>
      <c r="V241" s="204"/>
      <c r="W241" s="204"/>
      <c r="X241" s="204"/>
      <c r="Y241" s="204"/>
      <c r="Z241" s="204"/>
      <c r="AA241" s="204"/>
      <c r="AB241" s="204"/>
      <c r="AC241" s="204"/>
      <c r="AD241" s="204"/>
      <c r="AE241" s="204"/>
      <c r="AF241" s="204"/>
      <c r="AG241" s="204"/>
      <c r="AH241" s="204"/>
      <c r="AI241" s="204"/>
      <c r="AJ241" s="204"/>
      <c r="AK241" s="204"/>
      <c r="AL241" s="204"/>
      <c r="AM241" s="204"/>
      <c r="AN241" s="204"/>
      <c r="AO241" s="204"/>
      <c r="AP241" s="204"/>
      <c r="AQ241" s="204"/>
      <c r="AR241" s="204"/>
      <c r="AS241" s="204"/>
      <c r="AT241" s="204"/>
      <c r="AU241" s="206"/>
      <c r="AV241" s="202"/>
      <c r="AW241" s="202"/>
      <c r="AX241" s="202"/>
      <c r="AY241" s="202"/>
      <c r="AZ241" s="202"/>
      <c r="BA241" s="202"/>
      <c r="BB241" s="202"/>
      <c r="BC241" s="202"/>
      <c r="BD241" s="202"/>
      <c r="BE241" s="202"/>
      <c r="BF241" s="202"/>
      <c r="BG241" s="202"/>
    </row>
    <row r="242" spans="2:59" ht="15">
      <c r="B242" s="204" t="s">
        <v>497</v>
      </c>
      <c r="C242" s="204" t="s">
        <v>497</v>
      </c>
      <c r="D242" s="204" t="s">
        <v>497</v>
      </c>
      <c r="E242" s="204" t="s">
        <v>497</v>
      </c>
      <c r="F242" s="204" t="s">
        <v>497</v>
      </c>
      <c r="G242" s="204" t="s">
        <v>497</v>
      </c>
      <c r="H242" s="204" t="s">
        <v>497</v>
      </c>
      <c r="I242" s="204" t="s">
        <v>497</v>
      </c>
      <c r="J242" s="205" t="s">
        <v>497</v>
      </c>
      <c r="K242" s="205" t="s">
        <v>497</v>
      </c>
      <c r="L242" s="204" t="s">
        <v>497</v>
      </c>
      <c r="M242" s="204" t="s">
        <v>497</v>
      </c>
      <c r="N242" s="204"/>
      <c r="O242" s="204"/>
      <c r="P242" s="204"/>
      <c r="Q242" s="204"/>
      <c r="R242" s="204"/>
      <c r="S242" s="204"/>
      <c r="T242" s="204"/>
      <c r="U242" s="204"/>
      <c r="V242" s="204"/>
      <c r="W242" s="204"/>
      <c r="X242" s="204"/>
      <c r="Y242" s="204"/>
      <c r="Z242" s="204"/>
      <c r="AA242" s="204"/>
      <c r="AB242" s="204"/>
      <c r="AC242" s="204"/>
      <c r="AD242" s="204"/>
      <c r="AE242" s="204"/>
      <c r="AF242" s="204"/>
      <c r="AG242" s="204"/>
      <c r="AH242" s="204"/>
      <c r="AI242" s="204"/>
      <c r="AJ242" s="204"/>
      <c r="AK242" s="204"/>
      <c r="AL242" s="204"/>
      <c r="AM242" s="204"/>
      <c r="AN242" s="204"/>
      <c r="AO242" s="204"/>
      <c r="AP242" s="204"/>
      <c r="AQ242" s="204"/>
      <c r="AR242" s="204"/>
      <c r="AS242" s="204"/>
      <c r="AT242" s="204"/>
      <c r="AU242" s="206"/>
      <c r="AV242" s="202"/>
      <c r="AW242" s="202"/>
      <c r="AX242" s="202"/>
      <c r="AY242" s="202"/>
      <c r="AZ242" s="202"/>
      <c r="BA242" s="202"/>
      <c r="BB242" s="202"/>
      <c r="BC242" s="202"/>
      <c r="BD242" s="202"/>
      <c r="BE242" s="202"/>
      <c r="BF242" s="202"/>
      <c r="BG242" s="202"/>
    </row>
    <row r="243" spans="2:59" ht="15">
      <c r="B243" s="204" t="s">
        <v>497</v>
      </c>
      <c r="C243" s="204" t="s">
        <v>497</v>
      </c>
      <c r="D243" s="204" t="s">
        <v>497</v>
      </c>
      <c r="E243" s="204" t="s">
        <v>497</v>
      </c>
      <c r="F243" s="204" t="s">
        <v>497</v>
      </c>
      <c r="G243" s="204" t="s">
        <v>497</v>
      </c>
      <c r="H243" s="204" t="s">
        <v>497</v>
      </c>
      <c r="I243" s="204" t="s">
        <v>497</v>
      </c>
      <c r="J243" s="205" t="s">
        <v>497</v>
      </c>
      <c r="K243" s="205" t="s">
        <v>497</v>
      </c>
      <c r="L243" s="204" t="s">
        <v>497</v>
      </c>
      <c r="M243" s="204" t="s">
        <v>497</v>
      </c>
      <c r="N243" s="204"/>
      <c r="O243" s="204"/>
      <c r="P243" s="204"/>
      <c r="Q243" s="204"/>
      <c r="R243" s="204"/>
      <c r="S243" s="204"/>
      <c r="T243" s="204"/>
      <c r="U243" s="204"/>
      <c r="V243" s="204"/>
      <c r="W243" s="204"/>
      <c r="X243" s="204"/>
      <c r="Y243" s="204"/>
      <c r="Z243" s="204"/>
      <c r="AA243" s="204"/>
      <c r="AB243" s="204"/>
      <c r="AC243" s="204"/>
      <c r="AD243" s="204"/>
      <c r="AE243" s="204"/>
      <c r="AF243" s="204"/>
      <c r="AG243" s="204"/>
      <c r="AH243" s="204"/>
      <c r="AI243" s="204"/>
      <c r="AJ243" s="204"/>
      <c r="AK243" s="204"/>
      <c r="AL243" s="204"/>
      <c r="AM243" s="204"/>
      <c r="AN243" s="204"/>
      <c r="AO243" s="204"/>
      <c r="AP243" s="204"/>
      <c r="AQ243" s="204"/>
      <c r="AR243" s="204"/>
      <c r="AS243" s="204"/>
      <c r="AT243" s="204"/>
      <c r="AU243" s="206"/>
      <c r="AV243" s="202"/>
      <c r="AW243" s="202"/>
      <c r="AX243" s="202"/>
      <c r="AY243" s="202"/>
      <c r="AZ243" s="202"/>
      <c r="BA243" s="202"/>
      <c r="BB243" s="202"/>
      <c r="BC243" s="202"/>
      <c r="BD243" s="202"/>
      <c r="BE243" s="202"/>
      <c r="BF243" s="202"/>
      <c r="BG243" s="202"/>
    </row>
    <row r="244" spans="2:59" ht="15">
      <c r="B244" s="204" t="s">
        <v>497</v>
      </c>
      <c r="C244" s="204" t="s">
        <v>497</v>
      </c>
      <c r="D244" s="204" t="s">
        <v>497</v>
      </c>
      <c r="E244" s="204" t="s">
        <v>497</v>
      </c>
      <c r="F244" s="204" t="s">
        <v>497</v>
      </c>
      <c r="G244" s="204" t="s">
        <v>497</v>
      </c>
      <c r="H244" s="204" t="s">
        <v>497</v>
      </c>
      <c r="I244" s="204" t="s">
        <v>497</v>
      </c>
      <c r="J244" s="205" t="s">
        <v>497</v>
      </c>
      <c r="K244" s="205" t="s">
        <v>497</v>
      </c>
      <c r="L244" s="204" t="s">
        <v>497</v>
      </c>
      <c r="M244" s="204" t="s">
        <v>497</v>
      </c>
      <c r="N244" s="204"/>
      <c r="O244" s="204"/>
      <c r="P244" s="204"/>
      <c r="Q244" s="204"/>
      <c r="R244" s="204"/>
      <c r="S244" s="204"/>
      <c r="T244" s="204"/>
      <c r="U244" s="204"/>
      <c r="V244" s="204"/>
      <c r="W244" s="204"/>
      <c r="X244" s="204"/>
      <c r="Y244" s="204"/>
      <c r="Z244" s="204"/>
      <c r="AA244" s="204"/>
      <c r="AB244" s="204"/>
      <c r="AC244" s="204"/>
      <c r="AD244" s="204"/>
      <c r="AE244" s="204"/>
      <c r="AF244" s="204"/>
      <c r="AG244" s="204"/>
      <c r="AH244" s="204"/>
      <c r="AI244" s="204"/>
      <c r="AJ244" s="204"/>
      <c r="AK244" s="204"/>
      <c r="AL244" s="204"/>
      <c r="AM244" s="204"/>
      <c r="AN244" s="204"/>
      <c r="AO244" s="204"/>
      <c r="AP244" s="204"/>
      <c r="AQ244" s="204"/>
      <c r="AR244" s="204"/>
      <c r="AS244" s="204"/>
      <c r="AT244" s="204"/>
      <c r="AU244" s="206"/>
      <c r="AV244" s="202"/>
      <c r="AW244" s="202"/>
      <c r="AX244" s="202"/>
      <c r="AY244" s="202"/>
      <c r="AZ244" s="202"/>
      <c r="BA244" s="202"/>
      <c r="BB244" s="202"/>
      <c r="BC244" s="202"/>
      <c r="BD244" s="202"/>
      <c r="BE244" s="202"/>
      <c r="BF244" s="202"/>
      <c r="BG244" s="202"/>
    </row>
    <row r="245" spans="2:59" ht="15">
      <c r="B245" s="204" t="s">
        <v>497</v>
      </c>
      <c r="C245" s="204" t="s">
        <v>497</v>
      </c>
      <c r="D245" s="204" t="s">
        <v>497</v>
      </c>
      <c r="E245" s="204" t="s">
        <v>497</v>
      </c>
      <c r="F245" s="204" t="s">
        <v>497</v>
      </c>
      <c r="G245" s="204" t="s">
        <v>497</v>
      </c>
      <c r="H245" s="204" t="s">
        <v>497</v>
      </c>
      <c r="I245" s="204" t="s">
        <v>497</v>
      </c>
      <c r="J245" s="205" t="s">
        <v>497</v>
      </c>
      <c r="K245" s="205" t="s">
        <v>497</v>
      </c>
      <c r="L245" s="204" t="s">
        <v>497</v>
      </c>
      <c r="M245" s="204" t="s">
        <v>497</v>
      </c>
      <c r="N245" s="204"/>
      <c r="O245" s="204"/>
      <c r="P245" s="204"/>
      <c r="Q245" s="204"/>
      <c r="R245" s="204"/>
      <c r="S245" s="204"/>
      <c r="T245" s="204"/>
      <c r="U245" s="204"/>
      <c r="V245" s="204"/>
      <c r="W245" s="204"/>
      <c r="X245" s="204"/>
      <c r="Y245" s="204"/>
      <c r="Z245" s="204"/>
      <c r="AA245" s="204"/>
      <c r="AB245" s="204"/>
      <c r="AC245" s="204"/>
      <c r="AD245" s="204"/>
      <c r="AE245" s="204"/>
      <c r="AF245" s="204"/>
      <c r="AG245" s="204"/>
      <c r="AH245" s="204"/>
      <c r="AI245" s="204"/>
      <c r="AJ245" s="204"/>
      <c r="AK245" s="204"/>
      <c r="AL245" s="204"/>
      <c r="AM245" s="204"/>
      <c r="AN245" s="204"/>
      <c r="AO245" s="204"/>
      <c r="AP245" s="204"/>
      <c r="AQ245" s="204"/>
      <c r="AR245" s="204"/>
      <c r="AS245" s="204"/>
      <c r="AT245" s="204"/>
      <c r="AU245" s="206"/>
      <c r="AV245" s="202"/>
      <c r="AW245" s="202"/>
      <c r="AX245" s="202"/>
      <c r="AY245" s="202"/>
      <c r="AZ245" s="202"/>
      <c r="BA245" s="202"/>
      <c r="BB245" s="202"/>
      <c r="BC245" s="202"/>
      <c r="BD245" s="202"/>
      <c r="BE245" s="202"/>
      <c r="BF245" s="202"/>
      <c r="BG245" s="202"/>
    </row>
    <row r="246" spans="2:59" ht="15">
      <c r="B246" s="204" t="s">
        <v>497</v>
      </c>
      <c r="C246" s="204" t="s">
        <v>497</v>
      </c>
      <c r="D246" s="204" t="s">
        <v>497</v>
      </c>
      <c r="E246" s="204" t="s">
        <v>497</v>
      </c>
      <c r="F246" s="204" t="s">
        <v>497</v>
      </c>
      <c r="G246" s="204" t="s">
        <v>497</v>
      </c>
      <c r="H246" s="204" t="s">
        <v>497</v>
      </c>
      <c r="I246" s="204" t="s">
        <v>497</v>
      </c>
      <c r="J246" s="205" t="s">
        <v>497</v>
      </c>
      <c r="K246" s="205" t="s">
        <v>497</v>
      </c>
      <c r="L246" s="204" t="s">
        <v>497</v>
      </c>
      <c r="M246" s="204" t="s">
        <v>497</v>
      </c>
      <c r="N246" s="204"/>
      <c r="O246" s="204"/>
      <c r="P246" s="204"/>
      <c r="Q246" s="204"/>
      <c r="R246" s="204"/>
      <c r="S246" s="204"/>
      <c r="T246" s="204"/>
      <c r="U246" s="204"/>
      <c r="V246" s="204"/>
      <c r="W246" s="204"/>
      <c r="X246" s="204"/>
      <c r="Y246" s="204"/>
      <c r="Z246" s="204"/>
      <c r="AA246" s="204"/>
      <c r="AB246" s="204"/>
      <c r="AC246" s="204"/>
      <c r="AD246" s="204"/>
      <c r="AE246" s="204"/>
      <c r="AF246" s="204"/>
      <c r="AG246" s="204"/>
      <c r="AH246" s="204"/>
      <c r="AI246" s="204"/>
      <c r="AJ246" s="204"/>
      <c r="AK246" s="204"/>
      <c r="AL246" s="204"/>
      <c r="AM246" s="204"/>
      <c r="AN246" s="204"/>
      <c r="AO246" s="204"/>
      <c r="AP246" s="204"/>
      <c r="AQ246" s="204"/>
      <c r="AR246" s="204"/>
      <c r="AS246" s="204"/>
      <c r="AT246" s="204"/>
      <c r="AU246" s="206"/>
      <c r="AV246" s="202"/>
      <c r="AW246" s="202"/>
      <c r="AX246" s="202"/>
      <c r="AY246" s="202"/>
      <c r="AZ246" s="202"/>
      <c r="BA246" s="202"/>
      <c r="BB246" s="202"/>
      <c r="BC246" s="202"/>
      <c r="BD246" s="202"/>
      <c r="BE246" s="202"/>
      <c r="BF246" s="202"/>
      <c r="BG246" s="202"/>
    </row>
    <row r="247" spans="2:59" ht="15">
      <c r="B247" s="204" t="s">
        <v>497</v>
      </c>
      <c r="C247" s="204" t="s">
        <v>497</v>
      </c>
      <c r="D247" s="204" t="s">
        <v>497</v>
      </c>
      <c r="E247" s="204" t="s">
        <v>497</v>
      </c>
      <c r="F247" s="204" t="s">
        <v>497</v>
      </c>
      <c r="G247" s="204" t="s">
        <v>497</v>
      </c>
      <c r="H247" s="204" t="s">
        <v>497</v>
      </c>
      <c r="I247" s="204" t="s">
        <v>497</v>
      </c>
      <c r="J247" s="205" t="s">
        <v>497</v>
      </c>
      <c r="K247" s="205" t="s">
        <v>497</v>
      </c>
      <c r="L247" s="204" t="s">
        <v>497</v>
      </c>
      <c r="M247" s="204" t="s">
        <v>497</v>
      </c>
      <c r="N247" s="204"/>
      <c r="O247" s="204"/>
      <c r="P247" s="204"/>
      <c r="Q247" s="204"/>
      <c r="R247" s="204"/>
      <c r="S247" s="204"/>
      <c r="T247" s="204"/>
      <c r="U247" s="204"/>
      <c r="V247" s="204"/>
      <c r="W247" s="204"/>
      <c r="X247" s="204"/>
      <c r="Y247" s="204"/>
      <c r="Z247" s="204"/>
      <c r="AA247" s="204"/>
      <c r="AB247" s="204"/>
      <c r="AC247" s="204"/>
      <c r="AD247" s="204"/>
      <c r="AE247" s="204"/>
      <c r="AF247" s="204"/>
      <c r="AG247" s="204"/>
      <c r="AH247" s="204"/>
      <c r="AI247" s="204"/>
      <c r="AJ247" s="204"/>
      <c r="AK247" s="204"/>
      <c r="AL247" s="204"/>
      <c r="AM247" s="204"/>
      <c r="AN247" s="204"/>
      <c r="AO247" s="204"/>
      <c r="AP247" s="204"/>
      <c r="AQ247" s="204"/>
      <c r="AR247" s="204"/>
      <c r="AS247" s="204"/>
      <c r="AT247" s="204"/>
      <c r="AU247" s="206"/>
      <c r="AV247" s="202"/>
      <c r="AW247" s="202"/>
      <c r="AX247" s="202"/>
      <c r="AY247" s="202"/>
      <c r="AZ247" s="202"/>
      <c r="BA247" s="202"/>
      <c r="BB247" s="202"/>
      <c r="BC247" s="202"/>
      <c r="BD247" s="202"/>
      <c r="BE247" s="202"/>
      <c r="BF247" s="202"/>
      <c r="BG247" s="202"/>
    </row>
    <row r="248" spans="2:59" ht="15">
      <c r="B248" s="204" t="s">
        <v>497</v>
      </c>
      <c r="C248" s="204" t="s">
        <v>497</v>
      </c>
      <c r="D248" s="204" t="s">
        <v>497</v>
      </c>
      <c r="E248" s="204" t="s">
        <v>497</v>
      </c>
      <c r="F248" s="204" t="s">
        <v>497</v>
      </c>
      <c r="G248" s="204" t="s">
        <v>497</v>
      </c>
      <c r="H248" s="204" t="s">
        <v>497</v>
      </c>
      <c r="I248" s="204" t="s">
        <v>497</v>
      </c>
      <c r="J248" s="205" t="s">
        <v>497</v>
      </c>
      <c r="K248" s="205" t="s">
        <v>497</v>
      </c>
      <c r="L248" s="204" t="s">
        <v>497</v>
      </c>
      <c r="M248" s="204" t="s">
        <v>497</v>
      </c>
      <c r="N248" s="204"/>
      <c r="O248" s="204"/>
      <c r="P248" s="204"/>
      <c r="Q248" s="204"/>
      <c r="R248" s="204"/>
      <c r="S248" s="204"/>
      <c r="T248" s="204"/>
      <c r="U248" s="204"/>
      <c r="V248" s="204"/>
      <c r="W248" s="204"/>
      <c r="X248" s="204"/>
      <c r="Y248" s="204"/>
      <c r="Z248" s="204"/>
      <c r="AA248" s="204"/>
      <c r="AB248" s="204"/>
      <c r="AC248" s="204"/>
      <c r="AD248" s="204"/>
      <c r="AE248" s="204"/>
      <c r="AF248" s="204"/>
      <c r="AG248" s="204"/>
      <c r="AH248" s="204"/>
      <c r="AI248" s="204"/>
      <c r="AJ248" s="204"/>
      <c r="AK248" s="204"/>
      <c r="AL248" s="204"/>
      <c r="AM248" s="204"/>
      <c r="AN248" s="204"/>
      <c r="AO248" s="204"/>
      <c r="AP248" s="204"/>
      <c r="AQ248" s="204"/>
      <c r="AR248" s="204"/>
      <c r="AS248" s="204"/>
      <c r="AT248" s="204"/>
      <c r="AU248" s="206"/>
      <c r="AV248" s="202"/>
      <c r="AW248" s="202"/>
      <c r="AX248" s="202"/>
      <c r="AY248" s="202"/>
      <c r="AZ248" s="202"/>
      <c r="BA248" s="202"/>
      <c r="BB248" s="202"/>
      <c r="BC248" s="202"/>
      <c r="BD248" s="202"/>
      <c r="BE248" s="202"/>
      <c r="BF248" s="202"/>
      <c r="BG248" s="202"/>
    </row>
    <row r="249" spans="2:59" ht="15">
      <c r="B249" s="204" t="s">
        <v>497</v>
      </c>
      <c r="C249" s="204" t="s">
        <v>497</v>
      </c>
      <c r="D249" s="204" t="s">
        <v>497</v>
      </c>
      <c r="E249" s="204" t="s">
        <v>497</v>
      </c>
      <c r="F249" s="204" t="s">
        <v>497</v>
      </c>
      <c r="G249" s="204" t="s">
        <v>497</v>
      </c>
      <c r="H249" s="204" t="s">
        <v>497</v>
      </c>
      <c r="I249" s="204" t="s">
        <v>497</v>
      </c>
      <c r="J249" s="205" t="s">
        <v>497</v>
      </c>
      <c r="K249" s="205" t="s">
        <v>497</v>
      </c>
      <c r="L249" s="204" t="s">
        <v>497</v>
      </c>
      <c r="M249" s="204" t="s">
        <v>497</v>
      </c>
      <c r="N249" s="204"/>
      <c r="O249" s="204"/>
      <c r="P249" s="204"/>
      <c r="Q249" s="204"/>
      <c r="R249" s="204"/>
      <c r="S249" s="204"/>
      <c r="T249" s="204"/>
      <c r="U249" s="204"/>
      <c r="V249" s="204"/>
      <c r="W249" s="204"/>
      <c r="X249" s="204"/>
      <c r="Y249" s="204"/>
      <c r="Z249" s="204"/>
      <c r="AA249" s="204"/>
      <c r="AB249" s="204"/>
      <c r="AC249" s="204"/>
      <c r="AD249" s="204"/>
      <c r="AE249" s="204"/>
      <c r="AF249" s="204"/>
      <c r="AG249" s="204"/>
      <c r="AH249" s="204"/>
      <c r="AI249" s="204"/>
      <c r="AJ249" s="204"/>
      <c r="AK249" s="204"/>
      <c r="AL249" s="204"/>
      <c r="AM249" s="204"/>
      <c r="AN249" s="204"/>
      <c r="AO249" s="204"/>
      <c r="AP249" s="204"/>
      <c r="AQ249" s="204"/>
      <c r="AR249" s="204"/>
      <c r="AS249" s="204"/>
      <c r="AT249" s="204"/>
      <c r="AU249" s="206"/>
      <c r="AV249" s="202"/>
      <c r="AW249" s="202"/>
      <c r="AX249" s="202"/>
      <c r="AY249" s="202"/>
      <c r="AZ249" s="202"/>
      <c r="BA249" s="202"/>
      <c r="BB249" s="202"/>
      <c r="BC249" s="202"/>
      <c r="BD249" s="202"/>
      <c r="BE249" s="202"/>
      <c r="BF249" s="202"/>
      <c r="BG249" s="202"/>
    </row>
    <row r="250" spans="2:59" ht="15">
      <c r="B250" s="204" t="s">
        <v>497</v>
      </c>
      <c r="C250" s="204" t="s">
        <v>497</v>
      </c>
      <c r="D250" s="204" t="s">
        <v>497</v>
      </c>
      <c r="E250" s="204" t="s">
        <v>497</v>
      </c>
      <c r="F250" s="204" t="s">
        <v>497</v>
      </c>
      <c r="G250" s="204" t="s">
        <v>497</v>
      </c>
      <c r="H250" s="204" t="s">
        <v>497</v>
      </c>
      <c r="I250" s="204" t="s">
        <v>497</v>
      </c>
      <c r="J250" s="205" t="s">
        <v>497</v>
      </c>
      <c r="K250" s="205" t="s">
        <v>497</v>
      </c>
      <c r="L250" s="204" t="s">
        <v>497</v>
      </c>
      <c r="M250" s="204" t="s">
        <v>497</v>
      </c>
      <c r="N250" s="204"/>
      <c r="O250" s="204"/>
      <c r="P250" s="204"/>
      <c r="Q250" s="204"/>
      <c r="R250" s="204"/>
      <c r="S250" s="204"/>
      <c r="T250" s="204"/>
      <c r="U250" s="204"/>
      <c r="V250" s="204"/>
      <c r="W250" s="204"/>
      <c r="X250" s="204"/>
      <c r="Y250" s="204"/>
      <c r="Z250" s="204"/>
      <c r="AA250" s="204"/>
      <c r="AB250" s="204"/>
      <c r="AC250" s="204"/>
      <c r="AD250" s="204"/>
      <c r="AE250" s="204"/>
      <c r="AF250" s="204"/>
      <c r="AG250" s="204"/>
      <c r="AH250" s="204"/>
      <c r="AI250" s="204"/>
      <c r="AJ250" s="204"/>
      <c r="AK250" s="204"/>
      <c r="AL250" s="204"/>
      <c r="AM250" s="204"/>
      <c r="AN250" s="204"/>
      <c r="AO250" s="204"/>
      <c r="AP250" s="204"/>
      <c r="AQ250" s="204"/>
      <c r="AR250" s="204"/>
      <c r="AS250" s="204"/>
      <c r="AT250" s="204"/>
      <c r="AU250" s="206"/>
      <c r="AV250" s="202"/>
      <c r="AW250" s="202"/>
      <c r="AX250" s="202"/>
      <c r="AY250" s="202"/>
      <c r="AZ250" s="202"/>
      <c r="BA250" s="202"/>
      <c r="BB250" s="202"/>
      <c r="BC250" s="202"/>
      <c r="BD250" s="202"/>
      <c r="BE250" s="202"/>
      <c r="BF250" s="202"/>
      <c r="BG250" s="202"/>
    </row>
    <row r="251" spans="2:59" ht="15">
      <c r="B251" s="204" t="s">
        <v>497</v>
      </c>
      <c r="C251" s="204" t="s">
        <v>497</v>
      </c>
      <c r="D251" s="204" t="s">
        <v>497</v>
      </c>
      <c r="E251" s="204" t="s">
        <v>497</v>
      </c>
      <c r="F251" s="204" t="s">
        <v>497</v>
      </c>
      <c r="G251" s="204" t="s">
        <v>497</v>
      </c>
      <c r="H251" s="204" t="s">
        <v>497</v>
      </c>
      <c r="I251" s="204" t="s">
        <v>497</v>
      </c>
      <c r="J251" s="205" t="s">
        <v>497</v>
      </c>
      <c r="K251" s="205" t="s">
        <v>497</v>
      </c>
      <c r="L251" s="204" t="s">
        <v>497</v>
      </c>
      <c r="M251" s="204" t="s">
        <v>497</v>
      </c>
      <c r="N251" s="204"/>
      <c r="O251" s="204"/>
      <c r="P251" s="204"/>
      <c r="Q251" s="204"/>
      <c r="R251" s="204"/>
      <c r="S251" s="204"/>
      <c r="T251" s="204"/>
      <c r="U251" s="204"/>
      <c r="V251" s="204"/>
      <c r="W251" s="204"/>
      <c r="X251" s="204"/>
      <c r="Y251" s="204"/>
      <c r="Z251" s="204"/>
      <c r="AA251" s="204"/>
      <c r="AB251" s="204"/>
      <c r="AC251" s="204"/>
      <c r="AD251" s="204"/>
      <c r="AE251" s="204"/>
      <c r="AF251" s="204"/>
      <c r="AG251" s="204"/>
      <c r="AH251" s="204"/>
      <c r="AI251" s="204"/>
      <c r="AJ251" s="204"/>
      <c r="AK251" s="204"/>
      <c r="AL251" s="204"/>
      <c r="AM251" s="204"/>
      <c r="AN251" s="204"/>
      <c r="AO251" s="204"/>
      <c r="AP251" s="204"/>
      <c r="AQ251" s="204"/>
      <c r="AR251" s="204"/>
      <c r="AS251" s="204"/>
      <c r="AT251" s="204"/>
      <c r="AU251" s="206"/>
      <c r="AV251" s="202"/>
      <c r="AW251" s="202"/>
      <c r="AX251" s="202"/>
      <c r="AY251" s="202"/>
      <c r="AZ251" s="202"/>
      <c r="BA251" s="202"/>
      <c r="BB251" s="202"/>
      <c r="BC251" s="202"/>
      <c r="BD251" s="202"/>
      <c r="BE251" s="202"/>
      <c r="BF251" s="202"/>
      <c r="BG251" s="202"/>
    </row>
    <row r="252" spans="2:59" ht="15">
      <c r="B252" s="204" t="s">
        <v>497</v>
      </c>
      <c r="C252" s="204" t="s">
        <v>497</v>
      </c>
      <c r="D252" s="204" t="s">
        <v>497</v>
      </c>
      <c r="E252" s="204" t="s">
        <v>497</v>
      </c>
      <c r="F252" s="204" t="s">
        <v>497</v>
      </c>
      <c r="G252" s="204" t="s">
        <v>497</v>
      </c>
      <c r="H252" s="204" t="s">
        <v>497</v>
      </c>
      <c r="I252" s="204" t="s">
        <v>497</v>
      </c>
      <c r="J252" s="205" t="s">
        <v>497</v>
      </c>
      <c r="K252" s="205" t="s">
        <v>497</v>
      </c>
      <c r="L252" s="204" t="s">
        <v>497</v>
      </c>
      <c r="M252" s="204" t="s">
        <v>497</v>
      </c>
      <c r="N252" s="204"/>
      <c r="O252" s="204"/>
      <c r="P252" s="204"/>
      <c r="Q252" s="204"/>
      <c r="R252" s="204"/>
      <c r="S252" s="204"/>
      <c r="T252" s="204"/>
      <c r="U252" s="204"/>
      <c r="V252" s="204"/>
      <c r="W252" s="204"/>
      <c r="X252" s="204"/>
      <c r="Y252" s="204"/>
      <c r="Z252" s="204"/>
      <c r="AA252" s="204"/>
      <c r="AB252" s="204"/>
      <c r="AC252" s="204"/>
      <c r="AD252" s="204"/>
      <c r="AE252" s="204"/>
      <c r="AF252" s="204"/>
      <c r="AG252" s="204"/>
      <c r="AH252" s="204"/>
      <c r="AI252" s="204"/>
      <c r="AJ252" s="204"/>
      <c r="AK252" s="204"/>
      <c r="AL252" s="204"/>
      <c r="AM252" s="204"/>
      <c r="AN252" s="204"/>
      <c r="AO252" s="204"/>
      <c r="AP252" s="204"/>
      <c r="AQ252" s="204"/>
      <c r="AR252" s="204"/>
      <c r="AS252" s="204"/>
      <c r="AT252" s="204"/>
      <c r="AU252" s="206"/>
      <c r="AV252" s="202"/>
      <c r="AW252" s="202"/>
      <c r="AX252" s="202"/>
      <c r="AY252" s="202"/>
      <c r="AZ252" s="202"/>
      <c r="BA252" s="202"/>
      <c r="BB252" s="202"/>
      <c r="BC252" s="202"/>
      <c r="BD252" s="202"/>
      <c r="BE252" s="202"/>
      <c r="BF252" s="202"/>
      <c r="BG252" s="202"/>
    </row>
    <row r="253" spans="2:59" ht="15">
      <c r="B253" s="204" t="s">
        <v>497</v>
      </c>
      <c r="C253" s="204" t="s">
        <v>497</v>
      </c>
      <c r="D253" s="204" t="s">
        <v>497</v>
      </c>
      <c r="E253" s="204" t="s">
        <v>497</v>
      </c>
      <c r="F253" s="204" t="s">
        <v>497</v>
      </c>
      <c r="G253" s="204" t="s">
        <v>497</v>
      </c>
      <c r="H253" s="204" t="s">
        <v>497</v>
      </c>
      <c r="I253" s="204" t="s">
        <v>497</v>
      </c>
      <c r="J253" s="205" t="s">
        <v>497</v>
      </c>
      <c r="K253" s="205" t="s">
        <v>497</v>
      </c>
      <c r="L253" s="204" t="s">
        <v>497</v>
      </c>
      <c r="M253" s="204" t="s">
        <v>497</v>
      </c>
      <c r="N253" s="204"/>
      <c r="O253" s="204"/>
      <c r="P253" s="204"/>
      <c r="Q253" s="204"/>
      <c r="R253" s="204"/>
      <c r="S253" s="204"/>
      <c r="T253" s="204"/>
      <c r="U253" s="204"/>
      <c r="V253" s="204"/>
      <c r="W253" s="204"/>
      <c r="X253" s="204"/>
      <c r="Y253" s="204"/>
      <c r="Z253" s="204"/>
      <c r="AA253" s="204"/>
      <c r="AB253" s="204"/>
      <c r="AC253" s="204"/>
      <c r="AD253" s="204"/>
      <c r="AE253" s="204"/>
      <c r="AF253" s="204"/>
      <c r="AG253" s="204"/>
      <c r="AH253" s="204"/>
      <c r="AI253" s="204"/>
      <c r="AJ253" s="204"/>
      <c r="AK253" s="204"/>
      <c r="AL253" s="204"/>
      <c r="AM253" s="204"/>
      <c r="AN253" s="204"/>
      <c r="AO253" s="204"/>
      <c r="AP253" s="204"/>
      <c r="AQ253" s="204"/>
      <c r="AR253" s="204"/>
      <c r="AS253" s="204"/>
      <c r="AT253" s="204"/>
      <c r="AU253" s="206"/>
      <c r="AV253" s="202"/>
      <c r="AW253" s="202"/>
      <c r="AX253" s="202"/>
      <c r="AY253" s="202"/>
      <c r="AZ253" s="202"/>
      <c r="BA253" s="202"/>
      <c r="BB253" s="202"/>
      <c r="BC253" s="202"/>
      <c r="BD253" s="202"/>
      <c r="BE253" s="202"/>
      <c r="BF253" s="202"/>
      <c r="BG253" s="202"/>
    </row>
    <row r="254" spans="2:59" ht="15">
      <c r="B254" s="204" t="s">
        <v>497</v>
      </c>
      <c r="C254" s="204" t="s">
        <v>497</v>
      </c>
      <c r="D254" s="204" t="s">
        <v>497</v>
      </c>
      <c r="E254" s="204" t="s">
        <v>497</v>
      </c>
      <c r="F254" s="204" t="s">
        <v>497</v>
      </c>
      <c r="G254" s="204" t="s">
        <v>497</v>
      </c>
      <c r="H254" s="204" t="s">
        <v>497</v>
      </c>
      <c r="I254" s="204" t="s">
        <v>497</v>
      </c>
      <c r="J254" s="205" t="s">
        <v>497</v>
      </c>
      <c r="K254" s="205" t="s">
        <v>497</v>
      </c>
      <c r="L254" s="204" t="s">
        <v>497</v>
      </c>
      <c r="M254" s="204" t="s">
        <v>497</v>
      </c>
      <c r="N254" s="204"/>
      <c r="O254" s="204"/>
      <c r="P254" s="204"/>
      <c r="Q254" s="204"/>
      <c r="R254" s="204"/>
      <c r="S254" s="204"/>
      <c r="T254" s="204"/>
      <c r="U254" s="204"/>
      <c r="V254" s="204"/>
      <c r="W254" s="204"/>
      <c r="X254" s="204"/>
      <c r="Y254" s="204"/>
      <c r="Z254" s="204"/>
      <c r="AA254" s="204"/>
      <c r="AB254" s="204"/>
      <c r="AC254" s="204"/>
      <c r="AD254" s="204"/>
      <c r="AE254" s="204"/>
      <c r="AF254" s="204"/>
      <c r="AG254" s="204"/>
      <c r="AH254" s="204"/>
      <c r="AI254" s="204"/>
      <c r="AJ254" s="204"/>
      <c r="AK254" s="204"/>
      <c r="AL254" s="204"/>
      <c r="AM254" s="204"/>
      <c r="AN254" s="204"/>
      <c r="AO254" s="204"/>
      <c r="AP254" s="204"/>
      <c r="AQ254" s="204"/>
      <c r="AR254" s="204"/>
      <c r="AS254" s="204"/>
      <c r="AT254" s="204"/>
      <c r="AU254" s="206"/>
      <c r="AV254" s="202"/>
      <c r="AW254" s="202"/>
      <c r="AX254" s="202"/>
      <c r="AY254" s="202"/>
      <c r="AZ254" s="202"/>
      <c r="BA254" s="202"/>
      <c r="BB254" s="202"/>
      <c r="BC254" s="202"/>
      <c r="BD254" s="202"/>
      <c r="BE254" s="202"/>
      <c r="BF254" s="202"/>
      <c r="BG254" s="202"/>
    </row>
    <row r="255" spans="2:59" ht="15">
      <c r="B255" s="204" t="s">
        <v>497</v>
      </c>
      <c r="C255" s="204" t="s">
        <v>497</v>
      </c>
      <c r="D255" s="204" t="s">
        <v>497</v>
      </c>
      <c r="E255" s="204" t="s">
        <v>497</v>
      </c>
      <c r="F255" s="204" t="s">
        <v>497</v>
      </c>
      <c r="G255" s="204" t="s">
        <v>497</v>
      </c>
      <c r="H255" s="204" t="s">
        <v>497</v>
      </c>
      <c r="I255" s="204" t="s">
        <v>497</v>
      </c>
      <c r="J255" s="205" t="s">
        <v>497</v>
      </c>
      <c r="K255" s="205" t="s">
        <v>497</v>
      </c>
      <c r="L255" s="204" t="s">
        <v>497</v>
      </c>
      <c r="M255" s="204" t="s">
        <v>497</v>
      </c>
      <c r="N255" s="204"/>
      <c r="O255" s="204"/>
      <c r="P255" s="204"/>
      <c r="Q255" s="204"/>
      <c r="R255" s="204"/>
      <c r="S255" s="204"/>
      <c r="T255" s="204"/>
      <c r="U255" s="204"/>
      <c r="V255" s="204"/>
      <c r="W255" s="204"/>
      <c r="X255" s="204"/>
      <c r="Y255" s="204"/>
      <c r="Z255" s="204"/>
      <c r="AA255" s="204"/>
      <c r="AB255" s="204"/>
      <c r="AC255" s="204"/>
      <c r="AD255" s="204"/>
      <c r="AE255" s="204"/>
      <c r="AF255" s="204"/>
      <c r="AG255" s="204"/>
      <c r="AH255" s="204"/>
      <c r="AI255" s="204"/>
      <c r="AJ255" s="204"/>
      <c r="AK255" s="204"/>
      <c r="AL255" s="204"/>
      <c r="AM255" s="204"/>
      <c r="AN255" s="204"/>
      <c r="AO255" s="204"/>
      <c r="AP255" s="204"/>
      <c r="AQ255" s="204"/>
      <c r="AR255" s="204"/>
      <c r="AS255" s="204"/>
      <c r="AT255" s="204"/>
      <c r="AU255" s="206"/>
      <c r="AV255" s="202"/>
      <c r="AW255" s="202"/>
      <c r="AX255" s="202"/>
      <c r="AY255" s="202"/>
      <c r="AZ255" s="202"/>
      <c r="BA255" s="202"/>
      <c r="BB255" s="202"/>
      <c r="BC255" s="202"/>
      <c r="BD255" s="202"/>
      <c r="BE255" s="202"/>
      <c r="BF255" s="202"/>
      <c r="BG255" s="202"/>
    </row>
    <row r="256" spans="2:59" ht="15">
      <c r="B256" s="204" t="s">
        <v>497</v>
      </c>
      <c r="C256" s="204" t="s">
        <v>497</v>
      </c>
      <c r="D256" s="204" t="s">
        <v>497</v>
      </c>
      <c r="E256" s="204" t="s">
        <v>497</v>
      </c>
      <c r="F256" s="204" t="s">
        <v>497</v>
      </c>
      <c r="G256" s="204" t="s">
        <v>497</v>
      </c>
      <c r="H256" s="204" t="s">
        <v>497</v>
      </c>
      <c r="I256" s="204" t="s">
        <v>497</v>
      </c>
      <c r="J256" s="205" t="s">
        <v>497</v>
      </c>
      <c r="K256" s="205" t="s">
        <v>497</v>
      </c>
      <c r="L256" s="204" t="s">
        <v>497</v>
      </c>
      <c r="M256" s="204" t="s">
        <v>497</v>
      </c>
      <c r="N256" s="204"/>
      <c r="O256" s="204"/>
      <c r="P256" s="204"/>
      <c r="Q256" s="204"/>
      <c r="R256" s="204"/>
      <c r="S256" s="204"/>
      <c r="T256" s="204"/>
      <c r="U256" s="204"/>
      <c r="V256" s="204"/>
      <c r="W256" s="204"/>
      <c r="X256" s="204"/>
      <c r="Y256" s="204"/>
      <c r="Z256" s="204"/>
      <c r="AA256" s="204"/>
      <c r="AB256" s="204"/>
      <c r="AC256" s="204"/>
      <c r="AD256" s="204"/>
      <c r="AE256" s="204"/>
      <c r="AF256" s="204"/>
      <c r="AG256" s="204"/>
      <c r="AH256" s="204"/>
      <c r="AI256" s="204"/>
      <c r="AJ256" s="204"/>
      <c r="AK256" s="204"/>
      <c r="AL256" s="204"/>
      <c r="AM256" s="204"/>
      <c r="AN256" s="204"/>
      <c r="AO256" s="204"/>
      <c r="AP256" s="204"/>
      <c r="AQ256" s="204"/>
      <c r="AR256" s="204"/>
      <c r="AS256" s="204"/>
      <c r="AT256" s="204"/>
      <c r="AU256" s="206"/>
      <c r="AV256" s="202"/>
      <c r="AW256" s="202"/>
      <c r="AX256" s="202"/>
      <c r="AY256" s="202"/>
      <c r="AZ256" s="202"/>
      <c r="BA256" s="202"/>
      <c r="BB256" s="202"/>
      <c r="BC256" s="202"/>
      <c r="BD256" s="202"/>
      <c r="BE256" s="202"/>
      <c r="BF256" s="202"/>
      <c r="BG256" s="202"/>
    </row>
    <row r="257" spans="2:59" ht="15">
      <c r="B257" s="204" t="s">
        <v>497</v>
      </c>
      <c r="C257" s="204" t="s">
        <v>497</v>
      </c>
      <c r="D257" s="204" t="s">
        <v>497</v>
      </c>
      <c r="E257" s="204" t="s">
        <v>497</v>
      </c>
      <c r="F257" s="204" t="s">
        <v>497</v>
      </c>
      <c r="G257" s="204" t="s">
        <v>497</v>
      </c>
      <c r="H257" s="204" t="s">
        <v>497</v>
      </c>
      <c r="I257" s="204" t="s">
        <v>497</v>
      </c>
      <c r="J257" s="205" t="s">
        <v>497</v>
      </c>
      <c r="K257" s="205" t="s">
        <v>497</v>
      </c>
      <c r="L257" s="204" t="s">
        <v>497</v>
      </c>
      <c r="M257" s="204" t="s">
        <v>497</v>
      </c>
      <c r="N257" s="204"/>
      <c r="O257" s="204"/>
      <c r="P257" s="204"/>
      <c r="Q257" s="204"/>
      <c r="R257" s="204"/>
      <c r="S257" s="204"/>
      <c r="T257" s="204"/>
      <c r="U257" s="204"/>
      <c r="V257" s="204"/>
      <c r="W257" s="204"/>
      <c r="X257" s="204"/>
      <c r="Y257" s="204"/>
      <c r="Z257" s="204"/>
      <c r="AA257" s="204"/>
      <c r="AB257" s="204"/>
      <c r="AC257" s="204"/>
      <c r="AD257" s="204"/>
      <c r="AE257" s="204"/>
      <c r="AF257" s="204"/>
      <c r="AG257" s="204"/>
      <c r="AH257" s="204"/>
      <c r="AI257" s="204"/>
      <c r="AJ257" s="204"/>
      <c r="AK257" s="204"/>
      <c r="AL257" s="204"/>
      <c r="AM257" s="204"/>
      <c r="AN257" s="204"/>
      <c r="AO257" s="204"/>
      <c r="AP257" s="204"/>
      <c r="AQ257" s="204"/>
      <c r="AR257" s="204"/>
      <c r="AS257" s="204"/>
      <c r="AT257" s="204"/>
      <c r="AU257" s="206"/>
      <c r="AV257" s="202"/>
      <c r="AW257" s="202"/>
      <c r="AX257" s="202"/>
      <c r="AY257" s="202"/>
      <c r="AZ257" s="202"/>
      <c r="BA257" s="202"/>
      <c r="BB257" s="202"/>
      <c r="BC257" s="202"/>
      <c r="BD257" s="202"/>
      <c r="BE257" s="202"/>
      <c r="BF257" s="202"/>
      <c r="BG257" s="202"/>
    </row>
    <row r="258" spans="2:59" ht="15">
      <c r="B258" s="204" t="s">
        <v>497</v>
      </c>
      <c r="C258" s="204" t="s">
        <v>497</v>
      </c>
      <c r="D258" s="204" t="s">
        <v>497</v>
      </c>
      <c r="E258" s="204" t="s">
        <v>497</v>
      </c>
      <c r="F258" s="204" t="s">
        <v>497</v>
      </c>
      <c r="G258" s="204" t="s">
        <v>497</v>
      </c>
      <c r="H258" s="204" t="s">
        <v>497</v>
      </c>
      <c r="I258" s="204" t="s">
        <v>497</v>
      </c>
      <c r="J258" s="205" t="s">
        <v>497</v>
      </c>
      <c r="K258" s="205" t="s">
        <v>497</v>
      </c>
      <c r="L258" s="204" t="s">
        <v>497</v>
      </c>
      <c r="M258" s="204" t="s">
        <v>497</v>
      </c>
      <c r="N258" s="204"/>
      <c r="O258" s="204"/>
      <c r="P258" s="204"/>
      <c r="Q258" s="204"/>
      <c r="R258" s="204"/>
      <c r="S258" s="204"/>
      <c r="T258" s="204"/>
      <c r="U258" s="204"/>
      <c r="V258" s="204"/>
      <c r="W258" s="204"/>
      <c r="X258" s="204"/>
      <c r="Y258" s="204"/>
      <c r="Z258" s="204"/>
      <c r="AA258" s="204"/>
      <c r="AB258" s="204"/>
      <c r="AC258" s="204"/>
      <c r="AD258" s="204"/>
      <c r="AE258" s="204"/>
      <c r="AF258" s="204"/>
      <c r="AG258" s="204"/>
      <c r="AH258" s="204"/>
      <c r="AI258" s="204"/>
      <c r="AJ258" s="204"/>
      <c r="AK258" s="204"/>
      <c r="AL258" s="204"/>
      <c r="AM258" s="204"/>
      <c r="AN258" s="204"/>
      <c r="AO258" s="204"/>
      <c r="AP258" s="204"/>
      <c r="AQ258" s="204"/>
      <c r="AR258" s="204"/>
      <c r="AS258" s="204"/>
      <c r="AT258" s="204"/>
      <c r="AU258" s="206"/>
      <c r="AV258" s="202"/>
      <c r="AW258" s="202"/>
      <c r="AX258" s="202"/>
      <c r="AY258" s="202"/>
      <c r="AZ258" s="202"/>
      <c r="BA258" s="202"/>
      <c r="BB258" s="202"/>
      <c r="BC258" s="202"/>
      <c r="BD258" s="202"/>
      <c r="BE258" s="202"/>
      <c r="BF258" s="202"/>
      <c r="BG258" s="202"/>
    </row>
    <row r="259" spans="2:59" ht="15">
      <c r="B259" s="204" t="s">
        <v>497</v>
      </c>
      <c r="C259" s="204" t="s">
        <v>497</v>
      </c>
      <c r="D259" s="204" t="s">
        <v>497</v>
      </c>
      <c r="E259" s="204" t="s">
        <v>497</v>
      </c>
      <c r="F259" s="204" t="s">
        <v>497</v>
      </c>
      <c r="G259" s="204" t="s">
        <v>497</v>
      </c>
      <c r="H259" s="204" t="s">
        <v>497</v>
      </c>
      <c r="I259" s="204" t="s">
        <v>497</v>
      </c>
      <c r="J259" s="205" t="s">
        <v>497</v>
      </c>
      <c r="K259" s="205" t="s">
        <v>497</v>
      </c>
      <c r="L259" s="204" t="s">
        <v>497</v>
      </c>
      <c r="M259" s="204" t="s">
        <v>497</v>
      </c>
      <c r="N259" s="204"/>
      <c r="O259" s="204"/>
      <c r="P259" s="204"/>
      <c r="Q259" s="204"/>
      <c r="R259" s="204"/>
      <c r="S259" s="204"/>
      <c r="T259" s="204"/>
      <c r="U259" s="204"/>
      <c r="V259" s="204"/>
      <c r="W259" s="204"/>
      <c r="X259" s="204"/>
      <c r="Y259" s="204"/>
      <c r="Z259" s="204"/>
      <c r="AA259" s="204"/>
      <c r="AB259" s="204"/>
      <c r="AC259" s="204"/>
      <c r="AD259" s="204"/>
      <c r="AE259" s="204"/>
      <c r="AF259" s="204"/>
      <c r="AG259" s="204"/>
      <c r="AH259" s="204"/>
      <c r="AI259" s="204"/>
      <c r="AJ259" s="204"/>
      <c r="AK259" s="204"/>
      <c r="AL259" s="204"/>
      <c r="AM259" s="204"/>
      <c r="AN259" s="204"/>
      <c r="AO259" s="204"/>
      <c r="AP259" s="204"/>
      <c r="AQ259" s="204"/>
      <c r="AR259" s="204"/>
      <c r="AS259" s="204"/>
      <c r="AT259" s="204"/>
      <c r="AU259" s="206"/>
      <c r="AV259" s="202"/>
      <c r="AW259" s="202"/>
      <c r="AX259" s="202"/>
      <c r="AY259" s="202"/>
      <c r="AZ259" s="202"/>
      <c r="BA259" s="202"/>
      <c r="BB259" s="202"/>
      <c r="BC259" s="202"/>
      <c r="BD259" s="202"/>
      <c r="BE259" s="202"/>
      <c r="BF259" s="202"/>
      <c r="BG259" s="202"/>
    </row>
    <row r="260" spans="2:59" ht="15">
      <c r="B260" s="204" t="s">
        <v>497</v>
      </c>
      <c r="C260" s="204" t="s">
        <v>497</v>
      </c>
      <c r="D260" s="204" t="s">
        <v>497</v>
      </c>
      <c r="E260" s="204" t="s">
        <v>497</v>
      </c>
      <c r="F260" s="204" t="s">
        <v>497</v>
      </c>
      <c r="G260" s="204" t="s">
        <v>497</v>
      </c>
      <c r="H260" s="204" t="s">
        <v>497</v>
      </c>
      <c r="I260" s="204" t="s">
        <v>497</v>
      </c>
      <c r="J260" s="205" t="s">
        <v>497</v>
      </c>
      <c r="K260" s="205" t="s">
        <v>497</v>
      </c>
      <c r="L260" s="204" t="s">
        <v>497</v>
      </c>
      <c r="M260" s="204" t="s">
        <v>497</v>
      </c>
      <c r="N260" s="204"/>
      <c r="O260" s="204"/>
      <c r="P260" s="204"/>
      <c r="Q260" s="204"/>
      <c r="R260" s="204"/>
      <c r="S260" s="204"/>
      <c r="T260" s="204"/>
      <c r="U260" s="204"/>
      <c r="V260" s="204"/>
      <c r="W260" s="204"/>
      <c r="X260" s="204"/>
      <c r="Y260" s="204"/>
      <c r="Z260" s="204"/>
      <c r="AA260" s="204"/>
      <c r="AB260" s="204"/>
      <c r="AC260" s="204"/>
      <c r="AD260" s="204"/>
      <c r="AE260" s="204"/>
      <c r="AF260" s="204"/>
      <c r="AG260" s="204"/>
      <c r="AH260" s="204"/>
      <c r="AI260" s="204"/>
      <c r="AJ260" s="204"/>
      <c r="AK260" s="204"/>
      <c r="AL260" s="204"/>
      <c r="AM260" s="204"/>
      <c r="AN260" s="204"/>
      <c r="AO260" s="204"/>
      <c r="AP260" s="204"/>
      <c r="AQ260" s="204"/>
      <c r="AR260" s="204"/>
      <c r="AS260" s="204"/>
      <c r="AT260" s="204"/>
      <c r="AU260" s="206"/>
      <c r="AV260" s="202"/>
      <c r="AW260" s="202"/>
      <c r="AX260" s="202"/>
      <c r="AY260" s="202"/>
      <c r="AZ260" s="202"/>
      <c r="BA260" s="202"/>
      <c r="BB260" s="202"/>
      <c r="BC260" s="202"/>
      <c r="BD260" s="202"/>
      <c r="BE260" s="202"/>
      <c r="BF260" s="202"/>
      <c r="BG260" s="202"/>
    </row>
    <row r="261" spans="2:59" ht="15">
      <c r="B261" s="204" t="s">
        <v>497</v>
      </c>
      <c r="C261" s="204" t="s">
        <v>497</v>
      </c>
      <c r="D261" s="204" t="s">
        <v>497</v>
      </c>
      <c r="E261" s="204" t="s">
        <v>497</v>
      </c>
      <c r="F261" s="204" t="s">
        <v>497</v>
      </c>
      <c r="G261" s="204" t="s">
        <v>497</v>
      </c>
      <c r="H261" s="204" t="s">
        <v>497</v>
      </c>
      <c r="I261" s="204" t="s">
        <v>497</v>
      </c>
      <c r="J261" s="205" t="s">
        <v>497</v>
      </c>
      <c r="K261" s="205" t="s">
        <v>497</v>
      </c>
      <c r="L261" s="204" t="s">
        <v>497</v>
      </c>
      <c r="M261" s="204" t="s">
        <v>497</v>
      </c>
      <c r="N261" s="204"/>
      <c r="O261" s="204"/>
      <c r="P261" s="204"/>
      <c r="Q261" s="204"/>
      <c r="R261" s="204"/>
      <c r="S261" s="204"/>
      <c r="T261" s="204"/>
      <c r="U261" s="204"/>
      <c r="V261" s="204"/>
      <c r="W261" s="204"/>
      <c r="X261" s="204"/>
      <c r="Y261" s="204"/>
      <c r="Z261" s="204"/>
      <c r="AA261" s="204"/>
      <c r="AB261" s="204"/>
      <c r="AC261" s="204"/>
      <c r="AD261" s="204"/>
      <c r="AE261" s="204"/>
      <c r="AF261" s="204"/>
      <c r="AG261" s="204"/>
      <c r="AH261" s="204"/>
      <c r="AI261" s="204"/>
      <c r="AJ261" s="204"/>
      <c r="AK261" s="204"/>
      <c r="AL261" s="204"/>
      <c r="AM261" s="204"/>
      <c r="AN261" s="204"/>
      <c r="AO261" s="204"/>
      <c r="AP261" s="204"/>
      <c r="AQ261" s="204"/>
      <c r="AR261" s="204"/>
      <c r="AS261" s="204"/>
      <c r="AT261" s="204"/>
      <c r="AU261" s="206"/>
      <c r="AV261" s="202"/>
      <c r="AW261" s="202"/>
      <c r="AX261" s="202"/>
      <c r="AY261" s="202"/>
      <c r="AZ261" s="202"/>
      <c r="BA261" s="202"/>
      <c r="BB261" s="202"/>
      <c r="BC261" s="202"/>
      <c r="BD261" s="202"/>
      <c r="BE261" s="202"/>
      <c r="BF261" s="202"/>
      <c r="BG261" s="202"/>
    </row>
    <row r="262" spans="2:59" ht="15">
      <c r="B262" s="204" t="s">
        <v>497</v>
      </c>
      <c r="C262" s="204" t="s">
        <v>497</v>
      </c>
      <c r="D262" s="204" t="s">
        <v>497</v>
      </c>
      <c r="E262" s="204" t="s">
        <v>497</v>
      </c>
      <c r="F262" s="204" t="s">
        <v>497</v>
      </c>
      <c r="G262" s="204" t="s">
        <v>497</v>
      </c>
      <c r="H262" s="204" t="s">
        <v>497</v>
      </c>
      <c r="I262" s="204" t="s">
        <v>497</v>
      </c>
      <c r="J262" s="205" t="s">
        <v>497</v>
      </c>
      <c r="K262" s="205" t="s">
        <v>497</v>
      </c>
      <c r="L262" s="204" t="s">
        <v>497</v>
      </c>
      <c r="M262" s="204" t="s">
        <v>497</v>
      </c>
      <c r="N262" s="204"/>
      <c r="O262" s="204"/>
      <c r="P262" s="204"/>
      <c r="Q262" s="204"/>
      <c r="R262" s="204"/>
      <c r="S262" s="204"/>
      <c r="T262" s="204"/>
      <c r="U262" s="204"/>
      <c r="V262" s="204"/>
      <c r="W262" s="204"/>
      <c r="X262" s="204"/>
      <c r="Y262" s="204"/>
      <c r="Z262" s="204"/>
      <c r="AA262" s="204"/>
      <c r="AB262" s="204"/>
      <c r="AC262" s="204"/>
      <c r="AD262" s="204"/>
      <c r="AE262" s="204"/>
      <c r="AF262" s="204"/>
      <c r="AG262" s="204"/>
      <c r="AH262" s="204"/>
      <c r="AI262" s="204"/>
      <c r="AJ262" s="204"/>
      <c r="AK262" s="204"/>
      <c r="AL262" s="204"/>
      <c r="AM262" s="204"/>
      <c r="AN262" s="204"/>
      <c r="AO262" s="204"/>
      <c r="AP262" s="204"/>
      <c r="AQ262" s="204"/>
      <c r="AR262" s="204"/>
      <c r="AS262" s="204"/>
      <c r="AT262" s="204"/>
      <c r="AU262" s="206"/>
      <c r="AV262" s="202"/>
      <c r="AW262" s="202"/>
      <c r="AX262" s="202"/>
      <c r="AY262" s="202"/>
      <c r="AZ262" s="202"/>
      <c r="BA262" s="202"/>
      <c r="BB262" s="202"/>
      <c r="BC262" s="202"/>
      <c r="BD262" s="202"/>
      <c r="BE262" s="202"/>
      <c r="BF262" s="202"/>
      <c r="BG262" s="202"/>
    </row>
    <row r="263" spans="2:59" ht="15">
      <c r="B263" s="204" t="s">
        <v>497</v>
      </c>
      <c r="C263" s="204" t="s">
        <v>497</v>
      </c>
      <c r="D263" s="204" t="s">
        <v>497</v>
      </c>
      <c r="E263" s="204" t="s">
        <v>497</v>
      </c>
      <c r="F263" s="204" t="s">
        <v>497</v>
      </c>
      <c r="G263" s="204" t="s">
        <v>497</v>
      </c>
      <c r="H263" s="204" t="s">
        <v>497</v>
      </c>
      <c r="I263" s="204" t="s">
        <v>497</v>
      </c>
      <c r="J263" s="205" t="s">
        <v>497</v>
      </c>
      <c r="K263" s="205" t="s">
        <v>497</v>
      </c>
      <c r="L263" s="204" t="s">
        <v>497</v>
      </c>
      <c r="M263" s="204" t="s">
        <v>497</v>
      </c>
      <c r="N263" s="204"/>
      <c r="O263" s="204"/>
      <c r="P263" s="204"/>
      <c r="Q263" s="204"/>
      <c r="R263" s="204"/>
      <c r="S263" s="204"/>
      <c r="T263" s="204"/>
      <c r="U263" s="204"/>
      <c r="V263" s="204"/>
      <c r="W263" s="204"/>
      <c r="X263" s="204"/>
      <c r="Y263" s="204"/>
      <c r="Z263" s="204"/>
      <c r="AA263" s="204"/>
      <c r="AB263" s="204"/>
      <c r="AC263" s="204"/>
      <c r="AD263" s="204"/>
      <c r="AE263" s="204"/>
      <c r="AF263" s="204"/>
      <c r="AG263" s="204"/>
      <c r="AH263" s="204"/>
      <c r="AI263" s="204"/>
      <c r="AJ263" s="204"/>
      <c r="AK263" s="204"/>
      <c r="AL263" s="204"/>
      <c r="AM263" s="204"/>
      <c r="AN263" s="204"/>
      <c r="AO263" s="204"/>
      <c r="AP263" s="204"/>
      <c r="AQ263" s="204"/>
      <c r="AR263" s="204"/>
      <c r="AS263" s="204"/>
      <c r="AT263" s="204"/>
      <c r="AU263" s="206"/>
      <c r="AV263" s="202"/>
      <c r="AW263" s="202"/>
      <c r="AX263" s="202"/>
      <c r="AY263" s="202"/>
      <c r="AZ263" s="202"/>
      <c r="BA263" s="202"/>
      <c r="BB263" s="202"/>
      <c r="BC263" s="202"/>
      <c r="BD263" s="202"/>
      <c r="BE263" s="202"/>
      <c r="BF263" s="202"/>
      <c r="BG263" s="202"/>
    </row>
    <row r="264" spans="2:59" ht="15">
      <c r="B264" s="204" t="s">
        <v>497</v>
      </c>
      <c r="C264" s="204" t="s">
        <v>497</v>
      </c>
      <c r="D264" s="204" t="s">
        <v>497</v>
      </c>
      <c r="E264" s="204" t="s">
        <v>497</v>
      </c>
      <c r="F264" s="204" t="s">
        <v>497</v>
      </c>
      <c r="G264" s="204" t="s">
        <v>497</v>
      </c>
      <c r="H264" s="204" t="s">
        <v>497</v>
      </c>
      <c r="I264" s="204" t="s">
        <v>497</v>
      </c>
      <c r="J264" s="205" t="s">
        <v>497</v>
      </c>
      <c r="K264" s="205" t="s">
        <v>497</v>
      </c>
      <c r="L264" s="204" t="s">
        <v>497</v>
      </c>
      <c r="M264" s="204" t="s">
        <v>497</v>
      </c>
      <c r="N264" s="204"/>
      <c r="O264" s="204"/>
      <c r="P264" s="204"/>
      <c r="Q264" s="204"/>
      <c r="R264" s="204"/>
      <c r="S264" s="204"/>
      <c r="T264" s="204"/>
      <c r="U264" s="204"/>
      <c r="V264" s="204"/>
      <c r="W264" s="204"/>
      <c r="X264" s="204"/>
      <c r="Y264" s="204"/>
      <c r="Z264" s="204"/>
      <c r="AA264" s="204"/>
      <c r="AB264" s="204"/>
      <c r="AC264" s="204"/>
      <c r="AD264" s="204"/>
      <c r="AE264" s="204"/>
      <c r="AF264" s="204"/>
      <c r="AG264" s="204"/>
      <c r="AH264" s="204"/>
      <c r="AI264" s="204"/>
      <c r="AJ264" s="204"/>
      <c r="AK264" s="204"/>
      <c r="AL264" s="204"/>
      <c r="AM264" s="204"/>
      <c r="AN264" s="204"/>
      <c r="AO264" s="204"/>
      <c r="AP264" s="204"/>
      <c r="AQ264" s="204"/>
      <c r="AR264" s="204"/>
      <c r="AS264" s="204"/>
      <c r="AT264" s="204"/>
      <c r="AU264" s="206"/>
      <c r="AV264" s="202"/>
      <c r="AW264" s="202"/>
      <c r="AX264" s="202"/>
      <c r="AY264" s="202"/>
      <c r="AZ264" s="202"/>
      <c r="BA264" s="202"/>
      <c r="BB264" s="202"/>
      <c r="BC264" s="202"/>
      <c r="BD264" s="202"/>
      <c r="BE264" s="202"/>
      <c r="BF264" s="202"/>
      <c r="BG264" s="202"/>
    </row>
    <row r="265" spans="2:59" ht="15">
      <c r="B265" s="204" t="s">
        <v>497</v>
      </c>
      <c r="C265" s="204" t="s">
        <v>497</v>
      </c>
      <c r="D265" s="204" t="s">
        <v>497</v>
      </c>
      <c r="E265" s="204" t="s">
        <v>497</v>
      </c>
      <c r="F265" s="204" t="s">
        <v>497</v>
      </c>
      <c r="G265" s="204" t="s">
        <v>497</v>
      </c>
      <c r="H265" s="204" t="s">
        <v>497</v>
      </c>
      <c r="I265" s="204" t="s">
        <v>497</v>
      </c>
      <c r="J265" s="205" t="s">
        <v>497</v>
      </c>
      <c r="K265" s="205" t="s">
        <v>497</v>
      </c>
      <c r="L265" s="204" t="s">
        <v>497</v>
      </c>
      <c r="M265" s="204" t="s">
        <v>497</v>
      </c>
      <c r="N265" s="204"/>
      <c r="O265" s="204"/>
      <c r="P265" s="204"/>
      <c r="Q265" s="204"/>
      <c r="R265" s="204"/>
      <c r="S265" s="204"/>
      <c r="T265" s="204"/>
      <c r="U265" s="204"/>
      <c r="V265" s="204"/>
      <c r="W265" s="204"/>
      <c r="X265" s="204"/>
      <c r="Y265" s="204"/>
      <c r="Z265" s="204"/>
      <c r="AA265" s="204"/>
      <c r="AB265" s="204"/>
      <c r="AC265" s="204"/>
      <c r="AD265" s="204"/>
      <c r="AE265" s="204"/>
      <c r="AF265" s="204"/>
      <c r="AG265" s="204"/>
      <c r="AH265" s="204"/>
      <c r="AI265" s="204"/>
      <c r="AJ265" s="204"/>
      <c r="AK265" s="204"/>
      <c r="AL265" s="204"/>
      <c r="AM265" s="204"/>
      <c r="AN265" s="204"/>
      <c r="AO265" s="204"/>
      <c r="AP265" s="204"/>
      <c r="AQ265" s="204"/>
      <c r="AR265" s="204"/>
      <c r="AS265" s="204"/>
      <c r="AT265" s="204"/>
      <c r="AU265" s="206"/>
      <c r="AV265" s="202"/>
      <c r="AW265" s="202"/>
      <c r="AX265" s="202"/>
      <c r="AY265" s="202"/>
      <c r="AZ265" s="202"/>
      <c r="BA265" s="202"/>
      <c r="BB265" s="202"/>
      <c r="BC265" s="202"/>
      <c r="BD265" s="202"/>
      <c r="BE265" s="202"/>
      <c r="BF265" s="202"/>
      <c r="BG265" s="202"/>
    </row>
    <row r="266" spans="2:59" ht="15">
      <c r="B266" s="204" t="s">
        <v>497</v>
      </c>
      <c r="C266" s="204" t="s">
        <v>497</v>
      </c>
      <c r="D266" s="204" t="s">
        <v>497</v>
      </c>
      <c r="E266" s="204" t="s">
        <v>497</v>
      </c>
      <c r="F266" s="204" t="s">
        <v>497</v>
      </c>
      <c r="G266" s="204" t="s">
        <v>497</v>
      </c>
      <c r="H266" s="204" t="s">
        <v>497</v>
      </c>
      <c r="I266" s="204" t="s">
        <v>497</v>
      </c>
      <c r="J266" s="205" t="s">
        <v>497</v>
      </c>
      <c r="K266" s="205" t="s">
        <v>497</v>
      </c>
      <c r="L266" s="204" t="s">
        <v>497</v>
      </c>
      <c r="M266" s="204" t="s">
        <v>497</v>
      </c>
      <c r="N266" s="204"/>
      <c r="O266" s="204"/>
      <c r="P266" s="204"/>
      <c r="Q266" s="204"/>
      <c r="R266" s="204"/>
      <c r="S266" s="204"/>
      <c r="T266" s="204"/>
      <c r="U266" s="204"/>
      <c r="V266" s="204"/>
      <c r="W266" s="204"/>
      <c r="X266" s="204"/>
      <c r="Y266" s="204"/>
      <c r="Z266" s="204"/>
      <c r="AA266" s="204"/>
      <c r="AB266" s="204"/>
      <c r="AC266" s="204"/>
      <c r="AD266" s="204"/>
      <c r="AE266" s="204"/>
      <c r="AF266" s="204"/>
      <c r="AG266" s="204"/>
      <c r="AH266" s="204"/>
      <c r="AI266" s="204"/>
      <c r="AJ266" s="204"/>
      <c r="AK266" s="204"/>
      <c r="AL266" s="204"/>
      <c r="AM266" s="204"/>
      <c r="AN266" s="204"/>
      <c r="AO266" s="204"/>
      <c r="AP266" s="204"/>
      <c r="AQ266" s="204"/>
      <c r="AR266" s="204"/>
      <c r="AS266" s="204"/>
      <c r="AT266" s="204"/>
      <c r="AU266" s="206"/>
      <c r="AV266" s="202"/>
      <c r="AW266" s="202"/>
      <c r="AX266" s="202"/>
      <c r="AY266" s="202"/>
      <c r="AZ266" s="202"/>
      <c r="BA266" s="202"/>
      <c r="BB266" s="202"/>
      <c r="BC266" s="202"/>
      <c r="BD266" s="202"/>
      <c r="BE266" s="202"/>
      <c r="BF266" s="202"/>
      <c r="BG266" s="202"/>
    </row>
    <row r="267" spans="2:59" ht="15">
      <c r="B267" s="204" t="s">
        <v>497</v>
      </c>
      <c r="C267" s="204" t="s">
        <v>497</v>
      </c>
      <c r="D267" s="204" t="s">
        <v>497</v>
      </c>
      <c r="E267" s="204" t="s">
        <v>497</v>
      </c>
      <c r="F267" s="204" t="s">
        <v>497</v>
      </c>
      <c r="G267" s="204" t="s">
        <v>497</v>
      </c>
      <c r="H267" s="204" t="s">
        <v>497</v>
      </c>
      <c r="I267" s="204" t="s">
        <v>497</v>
      </c>
      <c r="J267" s="205" t="s">
        <v>497</v>
      </c>
      <c r="K267" s="205" t="s">
        <v>497</v>
      </c>
      <c r="L267" s="204" t="s">
        <v>497</v>
      </c>
      <c r="M267" s="204" t="s">
        <v>497</v>
      </c>
      <c r="N267" s="204"/>
      <c r="O267" s="204"/>
      <c r="P267" s="204"/>
      <c r="Q267" s="204"/>
      <c r="R267" s="204"/>
      <c r="S267" s="204"/>
      <c r="T267" s="204"/>
      <c r="U267" s="204"/>
      <c r="V267" s="204"/>
      <c r="W267" s="204"/>
      <c r="X267" s="204"/>
      <c r="Y267" s="204"/>
      <c r="Z267" s="204"/>
      <c r="AA267" s="204"/>
      <c r="AB267" s="204"/>
      <c r="AC267" s="204"/>
      <c r="AD267" s="204"/>
      <c r="AE267" s="204"/>
      <c r="AF267" s="204"/>
      <c r="AG267" s="204"/>
      <c r="AH267" s="204"/>
      <c r="AI267" s="204"/>
      <c r="AJ267" s="204"/>
      <c r="AK267" s="204"/>
      <c r="AL267" s="204"/>
      <c r="AM267" s="204"/>
      <c r="AN267" s="204"/>
      <c r="AO267" s="204"/>
      <c r="AP267" s="204"/>
      <c r="AQ267" s="204"/>
      <c r="AR267" s="204"/>
      <c r="AS267" s="204"/>
      <c r="AT267" s="204"/>
      <c r="AU267" s="206"/>
      <c r="AV267" s="202"/>
      <c r="AW267" s="202"/>
      <c r="AX267" s="202"/>
      <c r="AY267" s="202"/>
      <c r="AZ267" s="202"/>
      <c r="BA267" s="202"/>
      <c r="BB267" s="202"/>
      <c r="BC267" s="202"/>
      <c r="BD267" s="202"/>
      <c r="BE267" s="202"/>
      <c r="BF267" s="202"/>
      <c r="BG267" s="202"/>
    </row>
    <row r="268" spans="2:59" ht="15">
      <c r="B268" s="204" t="s">
        <v>497</v>
      </c>
      <c r="C268" s="204" t="s">
        <v>497</v>
      </c>
      <c r="D268" s="204" t="s">
        <v>497</v>
      </c>
      <c r="E268" s="204" t="s">
        <v>497</v>
      </c>
      <c r="F268" s="204" t="s">
        <v>497</v>
      </c>
      <c r="G268" s="204" t="s">
        <v>497</v>
      </c>
      <c r="H268" s="204" t="s">
        <v>497</v>
      </c>
      <c r="I268" s="204" t="s">
        <v>497</v>
      </c>
      <c r="J268" s="205" t="s">
        <v>497</v>
      </c>
      <c r="K268" s="205" t="s">
        <v>497</v>
      </c>
      <c r="L268" s="204" t="s">
        <v>497</v>
      </c>
      <c r="M268" s="204" t="s">
        <v>497</v>
      </c>
      <c r="N268" s="204"/>
      <c r="O268" s="204"/>
      <c r="P268" s="204"/>
      <c r="Q268" s="204"/>
      <c r="R268" s="204"/>
      <c r="S268" s="204"/>
      <c r="T268" s="204"/>
      <c r="U268" s="204"/>
      <c r="V268" s="204"/>
      <c r="W268" s="204"/>
      <c r="X268" s="204"/>
      <c r="Y268" s="204"/>
      <c r="Z268" s="204"/>
      <c r="AA268" s="204"/>
      <c r="AB268" s="204"/>
      <c r="AC268" s="204"/>
      <c r="AD268" s="204"/>
      <c r="AE268" s="204"/>
      <c r="AF268" s="204"/>
      <c r="AG268" s="204"/>
      <c r="AH268" s="204"/>
      <c r="AI268" s="204"/>
      <c r="AJ268" s="204"/>
      <c r="AK268" s="204"/>
      <c r="AL268" s="204"/>
      <c r="AM268" s="204"/>
      <c r="AN268" s="204"/>
      <c r="AO268" s="204"/>
      <c r="AP268" s="204"/>
      <c r="AQ268" s="204"/>
      <c r="AR268" s="204"/>
      <c r="AS268" s="204"/>
      <c r="AT268" s="204"/>
      <c r="AU268" s="206"/>
      <c r="AV268" s="202"/>
      <c r="AW268" s="202"/>
      <c r="AX268" s="202"/>
      <c r="AY268" s="202"/>
      <c r="AZ268" s="202"/>
      <c r="BA268" s="202"/>
      <c r="BB268" s="202"/>
      <c r="BC268" s="202"/>
      <c r="BD268" s="202"/>
      <c r="BE268" s="202"/>
      <c r="BF268" s="202"/>
      <c r="BG268" s="202"/>
    </row>
    <row r="269" spans="2:59" ht="15">
      <c r="B269" s="204" t="s">
        <v>497</v>
      </c>
      <c r="C269" s="204" t="s">
        <v>497</v>
      </c>
      <c r="D269" s="204" t="s">
        <v>497</v>
      </c>
      <c r="E269" s="204" t="s">
        <v>497</v>
      </c>
      <c r="F269" s="204" t="s">
        <v>497</v>
      </c>
      <c r="G269" s="204" t="s">
        <v>497</v>
      </c>
      <c r="H269" s="204" t="s">
        <v>497</v>
      </c>
      <c r="I269" s="204" t="s">
        <v>497</v>
      </c>
      <c r="J269" s="205" t="s">
        <v>497</v>
      </c>
      <c r="K269" s="205" t="s">
        <v>497</v>
      </c>
      <c r="L269" s="204" t="s">
        <v>497</v>
      </c>
      <c r="M269" s="204" t="s">
        <v>497</v>
      </c>
      <c r="N269" s="204"/>
      <c r="O269" s="204"/>
      <c r="P269" s="204"/>
      <c r="Q269" s="204"/>
      <c r="R269" s="204"/>
      <c r="S269" s="204"/>
      <c r="T269" s="204"/>
      <c r="U269" s="204"/>
      <c r="V269" s="204"/>
      <c r="W269" s="204"/>
      <c r="X269" s="204"/>
      <c r="Y269" s="204"/>
      <c r="Z269" s="204"/>
      <c r="AA269" s="204"/>
      <c r="AB269" s="204"/>
      <c r="AC269" s="204"/>
      <c r="AD269" s="204"/>
      <c r="AE269" s="204"/>
      <c r="AF269" s="204"/>
      <c r="AG269" s="204"/>
      <c r="AH269" s="204"/>
      <c r="AI269" s="204"/>
      <c r="AJ269" s="204"/>
      <c r="AK269" s="204"/>
      <c r="AL269" s="204"/>
      <c r="AM269" s="204"/>
      <c r="AN269" s="204"/>
      <c r="AO269" s="204"/>
      <c r="AP269" s="204"/>
      <c r="AQ269" s="204"/>
      <c r="AR269" s="204"/>
      <c r="AS269" s="204"/>
      <c r="AT269" s="204"/>
      <c r="AU269" s="206"/>
      <c r="AV269" s="202"/>
      <c r="AW269" s="202"/>
      <c r="AX269" s="202"/>
      <c r="AY269" s="202"/>
      <c r="AZ269" s="202"/>
      <c r="BA269" s="202"/>
      <c r="BB269" s="202"/>
      <c r="BC269" s="202"/>
      <c r="BD269" s="202"/>
      <c r="BE269" s="202"/>
      <c r="BF269" s="202"/>
      <c r="BG269" s="202"/>
    </row>
    <row r="270" spans="2:59" ht="15">
      <c r="B270" s="204" t="s">
        <v>497</v>
      </c>
      <c r="C270" s="204" t="s">
        <v>497</v>
      </c>
      <c r="D270" s="204" t="s">
        <v>497</v>
      </c>
      <c r="E270" s="204" t="s">
        <v>497</v>
      </c>
      <c r="F270" s="204" t="s">
        <v>497</v>
      </c>
      <c r="G270" s="204" t="s">
        <v>497</v>
      </c>
      <c r="H270" s="204" t="s">
        <v>497</v>
      </c>
      <c r="I270" s="204" t="s">
        <v>497</v>
      </c>
      <c r="J270" s="205" t="s">
        <v>497</v>
      </c>
      <c r="K270" s="205" t="s">
        <v>497</v>
      </c>
      <c r="L270" s="204" t="s">
        <v>497</v>
      </c>
      <c r="M270" s="204" t="s">
        <v>497</v>
      </c>
      <c r="N270" s="204"/>
      <c r="O270" s="204"/>
      <c r="P270" s="204"/>
      <c r="Q270" s="204"/>
      <c r="R270" s="204"/>
      <c r="S270" s="204"/>
      <c r="T270" s="204"/>
      <c r="U270" s="204"/>
      <c r="V270" s="204"/>
      <c r="W270" s="204"/>
      <c r="X270" s="204"/>
      <c r="Y270" s="204"/>
      <c r="Z270" s="204"/>
      <c r="AA270" s="204"/>
      <c r="AB270" s="204"/>
      <c r="AC270" s="204"/>
      <c r="AD270" s="204"/>
      <c r="AE270" s="204"/>
      <c r="AF270" s="204"/>
      <c r="AG270" s="204"/>
      <c r="AH270" s="204"/>
      <c r="AI270" s="204"/>
      <c r="AJ270" s="204"/>
      <c r="AK270" s="204"/>
      <c r="AL270" s="204"/>
      <c r="AM270" s="204"/>
      <c r="AN270" s="204"/>
      <c r="AO270" s="204"/>
      <c r="AP270" s="204"/>
      <c r="AQ270" s="204"/>
      <c r="AR270" s="204"/>
      <c r="AS270" s="204"/>
      <c r="AT270" s="204"/>
      <c r="AU270" s="206"/>
      <c r="AV270" s="202"/>
      <c r="AW270" s="202"/>
      <c r="AX270" s="202"/>
      <c r="AY270" s="202"/>
      <c r="AZ270" s="202"/>
      <c r="BA270" s="202"/>
      <c r="BB270" s="202"/>
      <c r="BC270" s="202"/>
      <c r="BD270" s="202"/>
      <c r="BE270" s="202"/>
      <c r="BF270" s="202"/>
      <c r="BG270" s="202"/>
    </row>
    <row r="271" spans="2:59" ht="15">
      <c r="B271" s="204" t="s">
        <v>497</v>
      </c>
      <c r="C271" s="204" t="s">
        <v>497</v>
      </c>
      <c r="D271" s="204" t="s">
        <v>497</v>
      </c>
      <c r="E271" s="204" t="s">
        <v>497</v>
      </c>
      <c r="F271" s="204" t="s">
        <v>497</v>
      </c>
      <c r="G271" s="204" t="s">
        <v>497</v>
      </c>
      <c r="H271" s="204" t="s">
        <v>497</v>
      </c>
      <c r="I271" s="204" t="s">
        <v>497</v>
      </c>
      <c r="J271" s="205" t="s">
        <v>497</v>
      </c>
      <c r="K271" s="205" t="s">
        <v>497</v>
      </c>
      <c r="L271" s="204" t="s">
        <v>497</v>
      </c>
      <c r="M271" s="204" t="s">
        <v>497</v>
      </c>
      <c r="N271" s="204"/>
      <c r="O271" s="204"/>
      <c r="P271" s="204"/>
      <c r="Q271" s="204"/>
      <c r="R271" s="204"/>
      <c r="S271" s="204"/>
      <c r="T271" s="204"/>
      <c r="U271" s="204"/>
      <c r="V271" s="204"/>
      <c r="W271" s="204"/>
      <c r="X271" s="204"/>
      <c r="Y271" s="204"/>
      <c r="Z271" s="204"/>
      <c r="AA271" s="204"/>
      <c r="AB271" s="204"/>
      <c r="AC271" s="204"/>
      <c r="AD271" s="204"/>
      <c r="AE271" s="204"/>
      <c r="AF271" s="204"/>
      <c r="AG271" s="204"/>
      <c r="AH271" s="204"/>
      <c r="AI271" s="204"/>
      <c r="AJ271" s="204"/>
      <c r="AK271" s="204"/>
      <c r="AL271" s="204"/>
      <c r="AM271" s="204"/>
      <c r="AN271" s="204"/>
      <c r="AO271" s="204"/>
      <c r="AP271" s="204"/>
      <c r="AQ271" s="204"/>
      <c r="AR271" s="204"/>
      <c r="AS271" s="204"/>
      <c r="AT271" s="204"/>
      <c r="AU271" s="206"/>
      <c r="AV271" s="202"/>
      <c r="AW271" s="202"/>
      <c r="AX271" s="202"/>
      <c r="AY271" s="202"/>
      <c r="AZ271" s="202"/>
      <c r="BA271" s="202"/>
      <c r="BB271" s="202"/>
      <c r="BC271" s="202"/>
      <c r="BD271" s="202"/>
      <c r="BE271" s="202"/>
      <c r="BF271" s="202"/>
      <c r="BG271" s="202"/>
    </row>
    <row r="272" spans="2:59" ht="15">
      <c r="B272" s="204" t="s">
        <v>497</v>
      </c>
      <c r="C272" s="204" t="s">
        <v>497</v>
      </c>
      <c r="D272" s="204" t="s">
        <v>497</v>
      </c>
      <c r="E272" s="204" t="s">
        <v>497</v>
      </c>
      <c r="F272" s="204" t="s">
        <v>497</v>
      </c>
      <c r="G272" s="204" t="s">
        <v>497</v>
      </c>
      <c r="H272" s="204" t="s">
        <v>497</v>
      </c>
      <c r="I272" s="204" t="s">
        <v>497</v>
      </c>
      <c r="J272" s="205" t="s">
        <v>497</v>
      </c>
      <c r="K272" s="205" t="s">
        <v>497</v>
      </c>
      <c r="L272" s="204" t="s">
        <v>497</v>
      </c>
      <c r="M272" s="204" t="s">
        <v>497</v>
      </c>
      <c r="N272" s="204"/>
      <c r="O272" s="204"/>
      <c r="P272" s="204"/>
      <c r="Q272" s="204"/>
      <c r="R272" s="204"/>
      <c r="S272" s="204"/>
      <c r="T272" s="204"/>
      <c r="U272" s="204"/>
      <c r="V272" s="204"/>
      <c r="W272" s="204"/>
      <c r="X272" s="204"/>
      <c r="Y272" s="204"/>
      <c r="Z272" s="204"/>
      <c r="AA272" s="204"/>
      <c r="AB272" s="204"/>
      <c r="AC272" s="204"/>
      <c r="AD272" s="204"/>
      <c r="AE272" s="204"/>
      <c r="AF272" s="204"/>
      <c r="AG272" s="204"/>
      <c r="AH272" s="204"/>
      <c r="AI272" s="204"/>
      <c r="AJ272" s="204"/>
      <c r="AK272" s="204"/>
      <c r="AL272" s="204"/>
      <c r="AM272" s="204"/>
      <c r="AN272" s="204"/>
      <c r="AO272" s="204"/>
      <c r="AP272" s="204"/>
      <c r="AQ272" s="204"/>
      <c r="AR272" s="204"/>
      <c r="AS272" s="204"/>
      <c r="AT272" s="204"/>
      <c r="AU272" s="206"/>
      <c r="AV272" s="202"/>
      <c r="AW272" s="202"/>
      <c r="AX272" s="202"/>
      <c r="AY272" s="202"/>
      <c r="AZ272" s="202"/>
      <c r="BA272" s="202"/>
      <c r="BB272" s="202"/>
      <c r="BC272" s="202"/>
      <c r="BD272" s="202"/>
      <c r="BE272" s="202"/>
      <c r="BF272" s="202"/>
      <c r="BG272" s="202"/>
    </row>
    <row r="273" spans="2:59" ht="15">
      <c r="B273" s="204" t="s">
        <v>497</v>
      </c>
      <c r="C273" s="204" t="s">
        <v>497</v>
      </c>
      <c r="D273" s="204" t="s">
        <v>497</v>
      </c>
      <c r="E273" s="204" t="s">
        <v>497</v>
      </c>
      <c r="F273" s="204" t="s">
        <v>497</v>
      </c>
      <c r="G273" s="204" t="s">
        <v>497</v>
      </c>
      <c r="H273" s="204" t="s">
        <v>497</v>
      </c>
      <c r="I273" s="204" t="s">
        <v>497</v>
      </c>
      <c r="J273" s="205" t="s">
        <v>497</v>
      </c>
      <c r="K273" s="205" t="s">
        <v>497</v>
      </c>
      <c r="L273" s="204" t="s">
        <v>497</v>
      </c>
      <c r="M273" s="204" t="s">
        <v>497</v>
      </c>
      <c r="N273" s="204"/>
      <c r="O273" s="204"/>
      <c r="P273" s="204"/>
      <c r="Q273" s="204"/>
      <c r="R273" s="204"/>
      <c r="S273" s="204"/>
      <c r="T273" s="204"/>
      <c r="U273" s="204"/>
      <c r="V273" s="204"/>
      <c r="W273" s="204"/>
      <c r="X273" s="204"/>
      <c r="Y273" s="204"/>
      <c r="Z273" s="204"/>
      <c r="AA273" s="204"/>
      <c r="AB273" s="204"/>
      <c r="AC273" s="204"/>
      <c r="AD273" s="204"/>
      <c r="AE273" s="204"/>
      <c r="AF273" s="204"/>
      <c r="AG273" s="204"/>
      <c r="AH273" s="204"/>
      <c r="AI273" s="204"/>
      <c r="AJ273" s="204"/>
      <c r="AK273" s="204"/>
      <c r="AL273" s="204"/>
      <c r="AM273" s="204"/>
      <c r="AN273" s="204"/>
      <c r="AO273" s="204"/>
      <c r="AP273" s="204"/>
      <c r="AQ273" s="204"/>
      <c r="AR273" s="204"/>
      <c r="AS273" s="204"/>
      <c r="AT273" s="204"/>
      <c r="AU273" s="206"/>
      <c r="AV273" s="202"/>
      <c r="AW273" s="202"/>
      <c r="AX273" s="202"/>
      <c r="AY273" s="202"/>
      <c r="AZ273" s="202"/>
      <c r="BA273" s="202"/>
      <c r="BB273" s="202"/>
      <c r="BC273" s="202"/>
      <c r="BD273" s="202"/>
      <c r="BE273" s="202"/>
      <c r="BF273" s="202"/>
      <c r="BG273" s="202"/>
    </row>
    <row r="274" spans="2:59" ht="15">
      <c r="B274" s="204" t="s">
        <v>497</v>
      </c>
      <c r="C274" s="204" t="s">
        <v>497</v>
      </c>
      <c r="D274" s="204" t="s">
        <v>497</v>
      </c>
      <c r="E274" s="204" t="s">
        <v>497</v>
      </c>
      <c r="F274" s="204" t="s">
        <v>497</v>
      </c>
      <c r="G274" s="204" t="s">
        <v>497</v>
      </c>
      <c r="H274" s="204" t="s">
        <v>497</v>
      </c>
      <c r="I274" s="204" t="s">
        <v>497</v>
      </c>
      <c r="J274" s="205" t="s">
        <v>497</v>
      </c>
      <c r="K274" s="205" t="s">
        <v>497</v>
      </c>
      <c r="L274" s="204" t="s">
        <v>497</v>
      </c>
      <c r="M274" s="204" t="s">
        <v>497</v>
      </c>
      <c r="N274" s="204"/>
      <c r="O274" s="204"/>
      <c r="P274" s="204"/>
      <c r="Q274" s="204"/>
      <c r="R274" s="204"/>
      <c r="S274" s="204"/>
      <c r="T274" s="204"/>
      <c r="U274" s="204"/>
      <c r="V274" s="204"/>
      <c r="W274" s="204"/>
      <c r="X274" s="204"/>
      <c r="Y274" s="204"/>
      <c r="Z274" s="204"/>
      <c r="AA274" s="204"/>
      <c r="AB274" s="204"/>
      <c r="AC274" s="204"/>
      <c r="AD274" s="204"/>
      <c r="AE274" s="204"/>
      <c r="AF274" s="204"/>
      <c r="AG274" s="204"/>
      <c r="AH274" s="204"/>
      <c r="AI274" s="204"/>
      <c r="AJ274" s="204"/>
      <c r="AK274" s="204"/>
      <c r="AL274" s="204"/>
      <c r="AM274" s="204"/>
      <c r="AN274" s="204"/>
      <c r="AO274" s="204"/>
      <c r="AP274" s="204"/>
      <c r="AQ274" s="204"/>
      <c r="AR274" s="204"/>
      <c r="AS274" s="204"/>
      <c r="AT274" s="204"/>
      <c r="AU274" s="206"/>
      <c r="AV274" s="202"/>
      <c r="AW274" s="202"/>
      <c r="AX274" s="202"/>
      <c r="AY274" s="202"/>
      <c r="AZ274" s="202"/>
      <c r="BA274" s="202"/>
      <c r="BB274" s="202"/>
      <c r="BC274" s="202"/>
      <c r="BD274" s="202"/>
      <c r="BE274" s="202"/>
      <c r="BF274" s="202"/>
      <c r="BG274" s="202"/>
    </row>
    <row r="275" spans="2:59" ht="15">
      <c r="B275" s="204" t="s">
        <v>497</v>
      </c>
      <c r="C275" s="204" t="s">
        <v>497</v>
      </c>
      <c r="D275" s="204" t="s">
        <v>497</v>
      </c>
      <c r="E275" s="204" t="s">
        <v>497</v>
      </c>
      <c r="F275" s="204" t="s">
        <v>497</v>
      </c>
      <c r="G275" s="204" t="s">
        <v>497</v>
      </c>
      <c r="H275" s="204" t="s">
        <v>497</v>
      </c>
      <c r="I275" s="204" t="s">
        <v>497</v>
      </c>
      <c r="J275" s="205" t="s">
        <v>497</v>
      </c>
      <c r="K275" s="205" t="s">
        <v>497</v>
      </c>
      <c r="L275" s="204" t="s">
        <v>497</v>
      </c>
      <c r="M275" s="204" t="s">
        <v>497</v>
      </c>
      <c r="N275" s="204"/>
      <c r="O275" s="204"/>
      <c r="P275" s="204"/>
      <c r="Q275" s="204"/>
      <c r="R275" s="204"/>
      <c r="S275" s="204"/>
      <c r="T275" s="204"/>
      <c r="U275" s="204"/>
      <c r="V275" s="204"/>
      <c r="W275" s="204"/>
      <c r="X275" s="204"/>
      <c r="Y275" s="204"/>
      <c r="Z275" s="204"/>
      <c r="AA275" s="204"/>
      <c r="AB275" s="204"/>
      <c r="AC275" s="204"/>
      <c r="AD275" s="204"/>
      <c r="AE275" s="204"/>
      <c r="AF275" s="204"/>
      <c r="AG275" s="204"/>
      <c r="AH275" s="204"/>
      <c r="AI275" s="204"/>
      <c r="AJ275" s="204"/>
      <c r="AK275" s="204"/>
      <c r="AL275" s="204"/>
      <c r="AM275" s="204"/>
      <c r="AN275" s="204"/>
      <c r="AO275" s="204"/>
      <c r="AP275" s="204"/>
      <c r="AQ275" s="204"/>
      <c r="AR275" s="204"/>
      <c r="AS275" s="204"/>
      <c r="AT275" s="204"/>
      <c r="AU275" s="206"/>
      <c r="AV275" s="202"/>
      <c r="AW275" s="202"/>
      <c r="AX275" s="202"/>
      <c r="AY275" s="202"/>
      <c r="AZ275" s="202"/>
      <c r="BA275" s="202"/>
      <c r="BB275" s="202"/>
      <c r="BC275" s="202"/>
      <c r="BD275" s="202"/>
      <c r="BE275" s="202"/>
      <c r="BF275" s="202"/>
      <c r="BG275" s="202"/>
    </row>
    <row r="276" spans="2:59" ht="15">
      <c r="B276" s="204" t="s">
        <v>497</v>
      </c>
      <c r="C276" s="204" t="s">
        <v>497</v>
      </c>
      <c r="D276" s="204" t="s">
        <v>497</v>
      </c>
      <c r="E276" s="204" t="s">
        <v>497</v>
      </c>
      <c r="F276" s="204" t="s">
        <v>497</v>
      </c>
      <c r="G276" s="204" t="s">
        <v>497</v>
      </c>
      <c r="H276" s="204" t="s">
        <v>497</v>
      </c>
      <c r="I276" s="204" t="s">
        <v>497</v>
      </c>
      <c r="J276" s="205" t="s">
        <v>497</v>
      </c>
      <c r="K276" s="205" t="s">
        <v>497</v>
      </c>
      <c r="L276" s="204" t="s">
        <v>497</v>
      </c>
      <c r="M276" s="204" t="s">
        <v>497</v>
      </c>
      <c r="N276" s="204"/>
      <c r="O276" s="204"/>
      <c r="P276" s="204"/>
      <c r="Q276" s="204"/>
      <c r="R276" s="204"/>
      <c r="S276" s="204"/>
      <c r="T276" s="204"/>
      <c r="U276" s="204"/>
      <c r="V276" s="204"/>
      <c r="W276" s="204"/>
      <c r="X276" s="204"/>
      <c r="Y276" s="204"/>
      <c r="Z276" s="204"/>
      <c r="AA276" s="204"/>
      <c r="AB276" s="204"/>
      <c r="AC276" s="204"/>
      <c r="AD276" s="204"/>
      <c r="AE276" s="204"/>
      <c r="AF276" s="204"/>
      <c r="AG276" s="204"/>
      <c r="AH276" s="204"/>
      <c r="AI276" s="204"/>
      <c r="AJ276" s="204"/>
      <c r="AK276" s="204"/>
      <c r="AL276" s="204"/>
      <c r="AM276" s="204"/>
      <c r="AN276" s="204"/>
      <c r="AO276" s="204"/>
      <c r="AP276" s="204"/>
      <c r="AQ276" s="204"/>
      <c r="AR276" s="204"/>
      <c r="AS276" s="204"/>
      <c r="AT276" s="204"/>
      <c r="AU276" s="206"/>
      <c r="AV276" s="202"/>
      <c r="AW276" s="202"/>
      <c r="AX276" s="202"/>
      <c r="AY276" s="202"/>
      <c r="AZ276" s="202"/>
      <c r="BA276" s="202"/>
      <c r="BB276" s="202"/>
      <c r="BC276" s="202"/>
      <c r="BD276" s="202"/>
      <c r="BE276" s="202"/>
      <c r="BF276" s="202"/>
      <c r="BG276" s="202"/>
    </row>
    <row r="277" spans="2:59" ht="15">
      <c r="B277" s="204" t="s">
        <v>497</v>
      </c>
      <c r="C277" s="204" t="s">
        <v>497</v>
      </c>
      <c r="D277" s="204" t="s">
        <v>497</v>
      </c>
      <c r="E277" s="204" t="s">
        <v>497</v>
      </c>
      <c r="F277" s="204" t="s">
        <v>497</v>
      </c>
      <c r="G277" s="204" t="s">
        <v>497</v>
      </c>
      <c r="H277" s="204" t="s">
        <v>497</v>
      </c>
      <c r="I277" s="204" t="s">
        <v>497</v>
      </c>
      <c r="J277" s="205" t="s">
        <v>497</v>
      </c>
      <c r="K277" s="205" t="s">
        <v>497</v>
      </c>
      <c r="L277" s="204" t="s">
        <v>497</v>
      </c>
      <c r="M277" s="204" t="s">
        <v>497</v>
      </c>
      <c r="N277" s="204"/>
      <c r="O277" s="204"/>
      <c r="P277" s="204"/>
      <c r="Q277" s="204"/>
      <c r="R277" s="204"/>
      <c r="S277" s="204"/>
      <c r="T277" s="204"/>
      <c r="U277" s="204"/>
      <c r="V277" s="204"/>
      <c r="W277" s="204"/>
      <c r="X277" s="204"/>
      <c r="Y277" s="204"/>
      <c r="Z277" s="204"/>
      <c r="AA277" s="204"/>
      <c r="AB277" s="204"/>
      <c r="AC277" s="204"/>
      <c r="AD277" s="204"/>
      <c r="AE277" s="204"/>
      <c r="AF277" s="204"/>
      <c r="AG277" s="204"/>
      <c r="AH277" s="204"/>
      <c r="AI277" s="204"/>
      <c r="AJ277" s="204"/>
      <c r="AK277" s="204"/>
      <c r="AL277" s="204"/>
      <c r="AM277" s="204"/>
      <c r="AN277" s="204"/>
      <c r="AO277" s="204"/>
      <c r="AP277" s="204"/>
      <c r="AQ277" s="204"/>
      <c r="AR277" s="204"/>
      <c r="AS277" s="204"/>
      <c r="AT277" s="204"/>
      <c r="AU277" s="206"/>
      <c r="AV277" s="202"/>
      <c r="AW277" s="202"/>
      <c r="AX277" s="202"/>
      <c r="AY277" s="202"/>
      <c r="AZ277" s="202"/>
      <c r="BA277" s="202"/>
      <c r="BB277" s="202"/>
      <c r="BC277" s="202"/>
      <c r="BD277" s="202"/>
      <c r="BE277" s="202"/>
      <c r="BF277" s="202"/>
      <c r="BG277" s="202"/>
    </row>
    <row r="278" spans="2:59" ht="15">
      <c r="B278" s="204" t="s">
        <v>497</v>
      </c>
      <c r="C278" s="204" t="s">
        <v>497</v>
      </c>
      <c r="D278" s="204" t="s">
        <v>497</v>
      </c>
      <c r="E278" s="204" t="s">
        <v>497</v>
      </c>
      <c r="F278" s="204" t="s">
        <v>497</v>
      </c>
      <c r="G278" s="204" t="s">
        <v>497</v>
      </c>
      <c r="H278" s="204" t="s">
        <v>497</v>
      </c>
      <c r="I278" s="204" t="s">
        <v>497</v>
      </c>
      <c r="J278" s="205" t="s">
        <v>497</v>
      </c>
      <c r="K278" s="205" t="s">
        <v>497</v>
      </c>
      <c r="L278" s="204" t="s">
        <v>497</v>
      </c>
      <c r="M278" s="204" t="s">
        <v>497</v>
      </c>
      <c r="N278" s="204"/>
      <c r="O278" s="204"/>
      <c r="P278" s="204"/>
      <c r="Q278" s="204"/>
      <c r="R278" s="204"/>
      <c r="S278" s="204"/>
      <c r="T278" s="204"/>
      <c r="U278" s="204"/>
      <c r="V278" s="204"/>
      <c r="W278" s="204"/>
      <c r="X278" s="204"/>
      <c r="Y278" s="204"/>
      <c r="Z278" s="204"/>
      <c r="AA278" s="204"/>
      <c r="AB278" s="204"/>
      <c r="AC278" s="204"/>
      <c r="AD278" s="204"/>
      <c r="AE278" s="204"/>
      <c r="AF278" s="204"/>
      <c r="AG278" s="204"/>
      <c r="AH278" s="204"/>
      <c r="AI278" s="204"/>
      <c r="AJ278" s="204"/>
      <c r="AK278" s="204"/>
      <c r="AL278" s="204"/>
      <c r="AM278" s="204"/>
      <c r="AN278" s="204"/>
      <c r="AO278" s="204"/>
      <c r="AP278" s="204"/>
      <c r="AQ278" s="204"/>
      <c r="AR278" s="204"/>
      <c r="AS278" s="204"/>
      <c r="AT278" s="204"/>
      <c r="AU278" s="206"/>
      <c r="AV278" s="202"/>
      <c r="AW278" s="202"/>
      <c r="AX278" s="202"/>
      <c r="AY278" s="202"/>
      <c r="AZ278" s="202"/>
      <c r="BA278" s="202"/>
      <c r="BB278" s="202"/>
      <c r="BC278" s="202"/>
      <c r="BD278" s="202"/>
      <c r="BE278" s="202"/>
      <c r="BF278" s="202"/>
      <c r="BG278" s="202"/>
    </row>
    <row r="279" spans="2:59" ht="15">
      <c r="B279" s="204" t="s">
        <v>497</v>
      </c>
      <c r="C279" s="204" t="s">
        <v>497</v>
      </c>
      <c r="D279" s="204" t="s">
        <v>497</v>
      </c>
      <c r="E279" s="204" t="s">
        <v>497</v>
      </c>
      <c r="F279" s="204" t="s">
        <v>497</v>
      </c>
      <c r="G279" s="204" t="s">
        <v>497</v>
      </c>
      <c r="H279" s="204" t="s">
        <v>497</v>
      </c>
      <c r="I279" s="204" t="s">
        <v>497</v>
      </c>
      <c r="J279" s="205" t="s">
        <v>497</v>
      </c>
      <c r="K279" s="205" t="s">
        <v>497</v>
      </c>
      <c r="L279" s="204" t="s">
        <v>497</v>
      </c>
      <c r="M279" s="204" t="s">
        <v>497</v>
      </c>
      <c r="N279" s="204"/>
      <c r="O279" s="204"/>
      <c r="P279" s="204"/>
      <c r="Q279" s="204"/>
      <c r="R279" s="204"/>
      <c r="S279" s="204"/>
      <c r="T279" s="204"/>
      <c r="U279" s="204"/>
      <c r="V279" s="204"/>
      <c r="W279" s="204"/>
      <c r="X279" s="204"/>
      <c r="Y279" s="204"/>
      <c r="Z279" s="204"/>
      <c r="AA279" s="204"/>
      <c r="AB279" s="204"/>
      <c r="AC279" s="204"/>
      <c r="AD279" s="204"/>
      <c r="AE279" s="204"/>
      <c r="AF279" s="204"/>
      <c r="AG279" s="204"/>
      <c r="AH279" s="204"/>
      <c r="AI279" s="204"/>
      <c r="AJ279" s="204"/>
      <c r="AK279" s="204"/>
      <c r="AL279" s="204"/>
      <c r="AM279" s="204"/>
      <c r="AN279" s="204"/>
      <c r="AO279" s="204"/>
      <c r="AP279" s="204"/>
      <c r="AQ279" s="204"/>
      <c r="AR279" s="204"/>
      <c r="AS279" s="204"/>
      <c r="AT279" s="204"/>
      <c r="AU279" s="206"/>
      <c r="AV279" s="202"/>
      <c r="AW279" s="202"/>
      <c r="AX279" s="202"/>
      <c r="AY279" s="202"/>
      <c r="AZ279" s="202"/>
      <c r="BA279" s="202"/>
      <c r="BB279" s="202"/>
      <c r="BC279" s="202"/>
      <c r="BD279" s="202"/>
      <c r="BE279" s="202"/>
      <c r="BF279" s="202"/>
      <c r="BG279" s="202"/>
    </row>
    <row r="280" spans="2:59" ht="15">
      <c r="B280" s="204" t="s">
        <v>497</v>
      </c>
      <c r="C280" s="204" t="s">
        <v>497</v>
      </c>
      <c r="D280" s="204" t="s">
        <v>497</v>
      </c>
      <c r="E280" s="204" t="s">
        <v>497</v>
      </c>
      <c r="F280" s="204" t="s">
        <v>497</v>
      </c>
      <c r="G280" s="204" t="s">
        <v>497</v>
      </c>
      <c r="H280" s="204" t="s">
        <v>497</v>
      </c>
      <c r="I280" s="204" t="s">
        <v>497</v>
      </c>
      <c r="J280" s="205" t="s">
        <v>497</v>
      </c>
      <c r="K280" s="205" t="s">
        <v>497</v>
      </c>
      <c r="L280" s="204" t="s">
        <v>497</v>
      </c>
      <c r="M280" s="204" t="s">
        <v>497</v>
      </c>
      <c r="N280" s="204"/>
      <c r="O280" s="204"/>
      <c r="P280" s="204"/>
      <c r="Q280" s="204"/>
      <c r="R280" s="204"/>
      <c r="S280" s="204"/>
      <c r="T280" s="204"/>
      <c r="U280" s="204"/>
      <c r="V280" s="204"/>
      <c r="W280" s="204"/>
      <c r="X280" s="204"/>
      <c r="Y280" s="204"/>
      <c r="Z280" s="204"/>
      <c r="AA280" s="204"/>
      <c r="AB280" s="204"/>
      <c r="AC280" s="204"/>
      <c r="AD280" s="204"/>
      <c r="AE280" s="204"/>
      <c r="AF280" s="204"/>
      <c r="AG280" s="204"/>
      <c r="AH280" s="204"/>
      <c r="AI280" s="204"/>
      <c r="AJ280" s="204"/>
      <c r="AK280" s="204"/>
      <c r="AL280" s="204"/>
      <c r="AM280" s="204"/>
      <c r="AN280" s="204"/>
      <c r="AO280" s="204"/>
      <c r="AP280" s="204"/>
      <c r="AQ280" s="204"/>
      <c r="AR280" s="204"/>
      <c r="AS280" s="204"/>
      <c r="AT280" s="204"/>
      <c r="AU280" s="206"/>
      <c r="AV280" s="202"/>
      <c r="AW280" s="202"/>
      <c r="AX280" s="202"/>
      <c r="AY280" s="202"/>
      <c r="AZ280" s="202"/>
      <c r="BA280" s="202"/>
      <c r="BB280" s="202"/>
      <c r="BC280" s="202"/>
      <c r="BD280" s="202"/>
      <c r="BE280" s="202"/>
      <c r="BF280" s="202"/>
      <c r="BG280" s="202"/>
    </row>
    <row r="281" spans="2:59" ht="15">
      <c r="B281" s="204" t="s">
        <v>497</v>
      </c>
      <c r="C281" s="204" t="s">
        <v>497</v>
      </c>
      <c r="D281" s="204" t="s">
        <v>497</v>
      </c>
      <c r="E281" s="204" t="s">
        <v>497</v>
      </c>
      <c r="F281" s="204" t="s">
        <v>497</v>
      </c>
      <c r="G281" s="204" t="s">
        <v>497</v>
      </c>
      <c r="H281" s="204" t="s">
        <v>497</v>
      </c>
      <c r="I281" s="204" t="s">
        <v>497</v>
      </c>
      <c r="J281" s="205" t="s">
        <v>497</v>
      </c>
      <c r="K281" s="205" t="s">
        <v>497</v>
      </c>
      <c r="L281" s="204" t="s">
        <v>497</v>
      </c>
      <c r="M281" s="204" t="s">
        <v>497</v>
      </c>
      <c r="N281" s="204"/>
      <c r="O281" s="204"/>
      <c r="P281" s="204"/>
      <c r="Q281" s="204"/>
      <c r="R281" s="204"/>
      <c r="S281" s="204"/>
      <c r="T281" s="204"/>
      <c r="U281" s="204"/>
      <c r="V281" s="204"/>
      <c r="W281" s="204"/>
      <c r="X281" s="204"/>
      <c r="Y281" s="204"/>
      <c r="Z281" s="204"/>
      <c r="AA281" s="204"/>
      <c r="AB281" s="204"/>
      <c r="AC281" s="204"/>
      <c r="AD281" s="204"/>
      <c r="AE281" s="204"/>
      <c r="AF281" s="204"/>
      <c r="AG281" s="204"/>
      <c r="AH281" s="204"/>
      <c r="AI281" s="204"/>
      <c r="AJ281" s="204"/>
      <c r="AK281" s="204"/>
      <c r="AL281" s="204"/>
      <c r="AM281" s="204"/>
      <c r="AN281" s="204"/>
      <c r="AO281" s="204"/>
      <c r="AP281" s="204"/>
      <c r="AQ281" s="204"/>
      <c r="AR281" s="204"/>
      <c r="AS281" s="204"/>
      <c r="AT281" s="204"/>
      <c r="AU281" s="206"/>
      <c r="AV281" s="202"/>
      <c r="AW281" s="202"/>
      <c r="AX281" s="202"/>
      <c r="AY281" s="202"/>
      <c r="AZ281" s="202"/>
      <c r="BA281" s="202"/>
      <c r="BB281" s="202"/>
      <c r="BC281" s="202"/>
      <c r="BD281" s="202"/>
      <c r="BE281" s="202"/>
      <c r="BF281" s="202"/>
      <c r="BG281" s="202"/>
    </row>
    <row r="282" spans="2:59" ht="15">
      <c r="B282" s="204" t="s">
        <v>497</v>
      </c>
      <c r="C282" s="204" t="s">
        <v>497</v>
      </c>
      <c r="D282" s="204" t="s">
        <v>497</v>
      </c>
      <c r="E282" s="204" t="s">
        <v>497</v>
      </c>
      <c r="F282" s="204" t="s">
        <v>497</v>
      </c>
      <c r="G282" s="204" t="s">
        <v>497</v>
      </c>
      <c r="H282" s="204" t="s">
        <v>497</v>
      </c>
      <c r="I282" s="204" t="s">
        <v>497</v>
      </c>
      <c r="J282" s="205" t="s">
        <v>497</v>
      </c>
      <c r="K282" s="205" t="s">
        <v>497</v>
      </c>
      <c r="L282" s="204" t="s">
        <v>497</v>
      </c>
      <c r="M282" s="204" t="s">
        <v>497</v>
      </c>
      <c r="N282" s="204"/>
      <c r="O282" s="204"/>
      <c r="P282" s="204"/>
      <c r="Q282" s="204"/>
      <c r="R282" s="204"/>
      <c r="S282" s="204"/>
      <c r="T282" s="204"/>
      <c r="U282" s="204"/>
      <c r="V282" s="204"/>
      <c r="W282" s="204"/>
      <c r="X282" s="204"/>
      <c r="Y282" s="204"/>
      <c r="Z282" s="204"/>
      <c r="AA282" s="204"/>
      <c r="AB282" s="204"/>
      <c r="AC282" s="204"/>
      <c r="AD282" s="204"/>
      <c r="AE282" s="204"/>
      <c r="AF282" s="204"/>
      <c r="AG282" s="204"/>
      <c r="AH282" s="204"/>
      <c r="AI282" s="204"/>
      <c r="AJ282" s="204"/>
      <c r="AK282" s="204"/>
      <c r="AL282" s="204"/>
      <c r="AM282" s="204"/>
      <c r="AN282" s="204"/>
      <c r="AO282" s="204"/>
      <c r="AP282" s="204"/>
      <c r="AQ282" s="204"/>
      <c r="AR282" s="204"/>
      <c r="AS282" s="204"/>
      <c r="AT282" s="204"/>
      <c r="AU282" s="206"/>
      <c r="AV282" s="202"/>
      <c r="AW282" s="202"/>
      <c r="AX282" s="202"/>
      <c r="AY282" s="202"/>
      <c r="AZ282" s="202"/>
      <c r="BA282" s="202"/>
      <c r="BB282" s="202"/>
      <c r="BC282" s="202"/>
      <c r="BD282" s="202"/>
      <c r="BE282" s="202"/>
      <c r="BF282" s="202"/>
      <c r="BG282" s="202"/>
    </row>
    <row r="283" spans="2:59" ht="15">
      <c r="B283" s="204" t="s">
        <v>497</v>
      </c>
      <c r="C283" s="204" t="s">
        <v>497</v>
      </c>
      <c r="D283" s="204" t="s">
        <v>497</v>
      </c>
      <c r="E283" s="204" t="s">
        <v>497</v>
      </c>
      <c r="F283" s="204" t="s">
        <v>497</v>
      </c>
      <c r="G283" s="204" t="s">
        <v>497</v>
      </c>
      <c r="H283" s="204" t="s">
        <v>497</v>
      </c>
      <c r="I283" s="204" t="s">
        <v>497</v>
      </c>
      <c r="J283" s="205" t="s">
        <v>497</v>
      </c>
      <c r="K283" s="205" t="s">
        <v>497</v>
      </c>
      <c r="L283" s="204" t="s">
        <v>497</v>
      </c>
      <c r="M283" s="204" t="s">
        <v>497</v>
      </c>
      <c r="N283" s="204"/>
      <c r="O283" s="204"/>
      <c r="P283" s="204"/>
      <c r="Q283" s="204"/>
      <c r="R283" s="204"/>
      <c r="S283" s="204"/>
      <c r="T283" s="204"/>
      <c r="U283" s="204"/>
      <c r="V283" s="204"/>
      <c r="W283" s="204"/>
      <c r="X283" s="204"/>
      <c r="Y283" s="204"/>
      <c r="Z283" s="204"/>
      <c r="AA283" s="204"/>
      <c r="AB283" s="204"/>
      <c r="AC283" s="204"/>
      <c r="AD283" s="204"/>
      <c r="AE283" s="204"/>
      <c r="AF283" s="204"/>
      <c r="AG283" s="204"/>
      <c r="AH283" s="204"/>
      <c r="AI283" s="204"/>
      <c r="AJ283" s="204"/>
      <c r="AK283" s="204"/>
      <c r="AL283" s="204"/>
      <c r="AM283" s="204"/>
      <c r="AN283" s="204"/>
      <c r="AO283" s="204"/>
      <c r="AP283" s="204"/>
      <c r="AQ283" s="204"/>
      <c r="AR283" s="204"/>
      <c r="AS283" s="204"/>
      <c r="AT283" s="204"/>
      <c r="AU283" s="206"/>
      <c r="AV283" s="202"/>
      <c r="AW283" s="202"/>
      <c r="AX283" s="202"/>
      <c r="AY283" s="202"/>
      <c r="AZ283" s="202"/>
      <c r="BA283" s="202"/>
      <c r="BB283" s="202"/>
      <c r="BC283" s="202"/>
      <c r="BD283" s="202"/>
      <c r="BE283" s="202"/>
      <c r="BF283" s="202"/>
      <c r="BG283" s="202"/>
    </row>
    <row r="284" spans="2:59" ht="15">
      <c r="B284" s="204" t="s">
        <v>497</v>
      </c>
      <c r="C284" s="204" t="s">
        <v>497</v>
      </c>
      <c r="D284" s="204" t="s">
        <v>497</v>
      </c>
      <c r="E284" s="204" t="s">
        <v>497</v>
      </c>
      <c r="F284" s="204" t="s">
        <v>497</v>
      </c>
      <c r="G284" s="204" t="s">
        <v>497</v>
      </c>
      <c r="H284" s="204" t="s">
        <v>497</v>
      </c>
      <c r="I284" s="204" t="s">
        <v>497</v>
      </c>
      <c r="J284" s="205" t="s">
        <v>497</v>
      </c>
      <c r="K284" s="205" t="s">
        <v>497</v>
      </c>
      <c r="L284" s="204" t="s">
        <v>497</v>
      </c>
      <c r="M284" s="204" t="s">
        <v>497</v>
      </c>
      <c r="N284" s="204"/>
      <c r="O284" s="204"/>
      <c r="P284" s="204"/>
      <c r="Q284" s="204"/>
      <c r="R284" s="204"/>
      <c r="S284" s="204"/>
      <c r="T284" s="204"/>
      <c r="U284" s="204"/>
      <c r="V284" s="204"/>
      <c r="W284" s="204"/>
      <c r="X284" s="204"/>
      <c r="Y284" s="204"/>
      <c r="Z284" s="204"/>
      <c r="AA284" s="204"/>
      <c r="AB284" s="204"/>
      <c r="AC284" s="204"/>
      <c r="AD284" s="204"/>
      <c r="AE284" s="204"/>
      <c r="AF284" s="204"/>
      <c r="AG284" s="204"/>
      <c r="AH284" s="204"/>
      <c r="AI284" s="204"/>
      <c r="AJ284" s="204"/>
      <c r="AK284" s="204"/>
      <c r="AL284" s="204"/>
      <c r="AM284" s="204"/>
      <c r="AN284" s="204"/>
      <c r="AO284" s="204"/>
      <c r="AP284" s="204"/>
      <c r="AQ284" s="204"/>
      <c r="AR284" s="204"/>
      <c r="AS284" s="204"/>
      <c r="AT284" s="204"/>
      <c r="AU284" s="206"/>
      <c r="AV284" s="202"/>
      <c r="AW284" s="202"/>
      <c r="AX284" s="202"/>
      <c r="AY284" s="202"/>
      <c r="AZ284" s="202"/>
      <c r="BA284" s="202"/>
      <c r="BB284" s="202"/>
      <c r="BC284" s="202"/>
      <c r="BD284" s="202"/>
      <c r="BE284" s="202"/>
      <c r="BF284" s="202"/>
      <c r="BG284" s="202"/>
    </row>
    <row r="285" spans="2:59" ht="15">
      <c r="B285" s="204" t="s">
        <v>497</v>
      </c>
      <c r="C285" s="204" t="s">
        <v>497</v>
      </c>
      <c r="D285" s="204" t="s">
        <v>497</v>
      </c>
      <c r="E285" s="204" t="s">
        <v>497</v>
      </c>
      <c r="F285" s="204" t="s">
        <v>497</v>
      </c>
      <c r="G285" s="204" t="s">
        <v>497</v>
      </c>
      <c r="H285" s="204" t="s">
        <v>497</v>
      </c>
      <c r="I285" s="204" t="s">
        <v>497</v>
      </c>
      <c r="J285" s="205" t="s">
        <v>497</v>
      </c>
      <c r="K285" s="205" t="s">
        <v>497</v>
      </c>
      <c r="L285" s="204" t="s">
        <v>497</v>
      </c>
      <c r="M285" s="204" t="s">
        <v>497</v>
      </c>
      <c r="N285" s="204"/>
      <c r="O285" s="204"/>
      <c r="P285" s="204"/>
      <c r="Q285" s="204"/>
      <c r="R285" s="204"/>
      <c r="S285" s="204"/>
      <c r="T285" s="204"/>
      <c r="U285" s="204"/>
      <c r="V285" s="204"/>
      <c r="W285" s="204"/>
      <c r="X285" s="204"/>
      <c r="Y285" s="204"/>
      <c r="Z285" s="204"/>
      <c r="AA285" s="204"/>
      <c r="AB285" s="204"/>
      <c r="AC285" s="204"/>
      <c r="AD285" s="204"/>
      <c r="AE285" s="204"/>
      <c r="AF285" s="204"/>
      <c r="AG285" s="204"/>
      <c r="AH285" s="204"/>
      <c r="AI285" s="204"/>
      <c r="AJ285" s="204"/>
      <c r="AK285" s="204"/>
      <c r="AL285" s="204"/>
      <c r="AM285" s="204"/>
      <c r="AN285" s="204"/>
      <c r="AO285" s="204"/>
      <c r="AP285" s="204"/>
      <c r="AQ285" s="204"/>
      <c r="AR285" s="204"/>
      <c r="AS285" s="204"/>
      <c r="AT285" s="204"/>
      <c r="AU285" s="206"/>
      <c r="AV285" s="202"/>
      <c r="AW285" s="202"/>
      <c r="AX285" s="202"/>
      <c r="AY285" s="202"/>
      <c r="AZ285" s="202"/>
      <c r="BA285" s="202"/>
      <c r="BB285" s="202"/>
      <c r="BC285" s="202"/>
      <c r="BD285" s="202"/>
      <c r="BE285" s="202"/>
      <c r="BF285" s="202"/>
      <c r="BG285" s="202"/>
    </row>
    <row r="286" spans="2:59" ht="15">
      <c r="B286" s="204" t="s">
        <v>497</v>
      </c>
      <c r="C286" s="204" t="s">
        <v>497</v>
      </c>
      <c r="D286" s="204" t="s">
        <v>497</v>
      </c>
      <c r="E286" s="204" t="s">
        <v>497</v>
      </c>
      <c r="F286" s="204" t="s">
        <v>497</v>
      </c>
      <c r="G286" s="204" t="s">
        <v>497</v>
      </c>
      <c r="H286" s="204" t="s">
        <v>497</v>
      </c>
      <c r="I286" s="204" t="s">
        <v>497</v>
      </c>
      <c r="J286" s="205" t="s">
        <v>497</v>
      </c>
      <c r="K286" s="205" t="s">
        <v>497</v>
      </c>
      <c r="L286" s="204" t="s">
        <v>497</v>
      </c>
      <c r="M286" s="204" t="s">
        <v>497</v>
      </c>
      <c r="N286" s="204"/>
      <c r="O286" s="204"/>
      <c r="P286" s="204"/>
      <c r="Q286" s="204"/>
      <c r="R286" s="204"/>
      <c r="S286" s="204"/>
      <c r="T286" s="204"/>
      <c r="U286" s="204"/>
      <c r="V286" s="204"/>
      <c r="W286" s="204"/>
      <c r="X286" s="204"/>
      <c r="Y286" s="204"/>
      <c r="Z286" s="204"/>
      <c r="AA286" s="204"/>
      <c r="AB286" s="204"/>
      <c r="AC286" s="204"/>
      <c r="AD286" s="204"/>
      <c r="AE286" s="204"/>
      <c r="AF286" s="204"/>
      <c r="AG286" s="204"/>
      <c r="AH286" s="204"/>
      <c r="AI286" s="204"/>
      <c r="AJ286" s="204"/>
      <c r="AK286" s="204"/>
      <c r="AL286" s="204"/>
      <c r="AM286" s="204"/>
      <c r="AN286" s="204"/>
      <c r="AO286" s="204"/>
      <c r="AP286" s="204"/>
      <c r="AQ286" s="204"/>
      <c r="AR286" s="204"/>
      <c r="AS286" s="204"/>
      <c r="AT286" s="204"/>
      <c r="AU286" s="206"/>
      <c r="AV286" s="202"/>
      <c r="AW286" s="202"/>
      <c r="AX286" s="202"/>
      <c r="AY286" s="202"/>
      <c r="AZ286" s="202"/>
      <c r="BA286" s="202"/>
      <c r="BB286" s="202"/>
      <c r="BC286" s="202"/>
      <c r="BD286" s="202"/>
      <c r="BE286" s="202"/>
      <c r="BF286" s="202"/>
      <c r="BG286" s="202"/>
    </row>
    <row r="287" spans="2:59" ht="15">
      <c r="B287" s="204" t="s">
        <v>497</v>
      </c>
      <c r="C287" s="204" t="s">
        <v>497</v>
      </c>
      <c r="D287" s="204" t="s">
        <v>497</v>
      </c>
      <c r="E287" s="204" t="s">
        <v>497</v>
      </c>
      <c r="F287" s="204" t="s">
        <v>497</v>
      </c>
      <c r="G287" s="204" t="s">
        <v>497</v>
      </c>
      <c r="H287" s="204" t="s">
        <v>497</v>
      </c>
      <c r="I287" s="204" t="s">
        <v>497</v>
      </c>
      <c r="J287" s="205" t="s">
        <v>497</v>
      </c>
      <c r="K287" s="205" t="s">
        <v>497</v>
      </c>
      <c r="L287" s="204" t="s">
        <v>497</v>
      </c>
      <c r="M287" s="204" t="s">
        <v>497</v>
      </c>
      <c r="N287" s="204"/>
      <c r="O287" s="204"/>
      <c r="P287" s="204"/>
      <c r="Q287" s="204"/>
      <c r="R287" s="204"/>
      <c r="S287" s="204"/>
      <c r="T287" s="204"/>
      <c r="U287" s="204"/>
      <c r="V287" s="204"/>
      <c r="W287" s="204"/>
      <c r="X287" s="204"/>
      <c r="Y287" s="204"/>
      <c r="Z287" s="204"/>
      <c r="AA287" s="204"/>
      <c r="AB287" s="204"/>
      <c r="AC287" s="204"/>
      <c r="AD287" s="204"/>
      <c r="AE287" s="204"/>
      <c r="AF287" s="204"/>
      <c r="AG287" s="204"/>
      <c r="AH287" s="204"/>
      <c r="AI287" s="204"/>
      <c r="AJ287" s="204"/>
      <c r="AK287" s="204"/>
      <c r="AL287" s="204"/>
      <c r="AM287" s="204"/>
      <c r="AN287" s="204"/>
      <c r="AO287" s="204"/>
      <c r="AP287" s="204"/>
      <c r="AQ287" s="204"/>
      <c r="AR287" s="204"/>
      <c r="AS287" s="204"/>
      <c r="AT287" s="204"/>
      <c r="AU287" s="206"/>
      <c r="AV287" s="202"/>
      <c r="AW287" s="202"/>
      <c r="AX287" s="202"/>
      <c r="AY287" s="202"/>
      <c r="AZ287" s="202"/>
      <c r="BA287" s="202"/>
      <c r="BB287" s="202"/>
      <c r="BC287" s="202"/>
      <c r="BD287" s="202"/>
      <c r="BE287" s="202"/>
      <c r="BF287" s="202"/>
      <c r="BG287" s="202"/>
    </row>
    <row r="288" spans="2:59" ht="15">
      <c r="B288" s="204" t="s">
        <v>497</v>
      </c>
      <c r="C288" s="204" t="s">
        <v>497</v>
      </c>
      <c r="D288" s="204" t="s">
        <v>497</v>
      </c>
      <c r="E288" s="204" t="s">
        <v>497</v>
      </c>
      <c r="F288" s="204" t="s">
        <v>497</v>
      </c>
      <c r="G288" s="204" t="s">
        <v>497</v>
      </c>
      <c r="H288" s="204" t="s">
        <v>497</v>
      </c>
      <c r="I288" s="204" t="s">
        <v>497</v>
      </c>
      <c r="J288" s="205" t="s">
        <v>497</v>
      </c>
      <c r="K288" s="205" t="s">
        <v>497</v>
      </c>
      <c r="L288" s="204" t="s">
        <v>497</v>
      </c>
      <c r="M288" s="204" t="s">
        <v>497</v>
      </c>
      <c r="N288" s="204"/>
      <c r="O288" s="204"/>
      <c r="P288" s="204"/>
      <c r="Q288" s="204"/>
      <c r="R288" s="204"/>
      <c r="S288" s="204"/>
      <c r="T288" s="204"/>
      <c r="U288" s="204"/>
      <c r="V288" s="204"/>
      <c r="W288" s="204"/>
      <c r="X288" s="204"/>
      <c r="Y288" s="204"/>
      <c r="Z288" s="204"/>
      <c r="AA288" s="204"/>
      <c r="AB288" s="204"/>
      <c r="AC288" s="204"/>
      <c r="AD288" s="204"/>
      <c r="AE288" s="204"/>
      <c r="AF288" s="204"/>
      <c r="AG288" s="204"/>
      <c r="AH288" s="204"/>
      <c r="AI288" s="204"/>
      <c r="AJ288" s="204"/>
      <c r="AK288" s="204"/>
      <c r="AL288" s="204"/>
      <c r="AM288" s="204"/>
      <c r="AN288" s="204"/>
      <c r="AO288" s="204"/>
      <c r="AP288" s="204"/>
      <c r="AQ288" s="204"/>
      <c r="AR288" s="204"/>
      <c r="AS288" s="204"/>
      <c r="AT288" s="204"/>
      <c r="AU288" s="206"/>
      <c r="AV288" s="202"/>
      <c r="AW288" s="202"/>
      <c r="AX288" s="202"/>
      <c r="AY288" s="202"/>
      <c r="AZ288" s="202"/>
      <c r="BA288" s="202"/>
      <c r="BB288" s="202"/>
      <c r="BC288" s="202"/>
      <c r="BD288" s="202"/>
      <c r="BE288" s="202"/>
      <c r="BF288" s="202"/>
      <c r="BG288" s="202"/>
    </row>
    <row r="289" spans="2:59" ht="15">
      <c r="B289" s="204" t="s">
        <v>497</v>
      </c>
      <c r="C289" s="204" t="s">
        <v>497</v>
      </c>
      <c r="D289" s="204" t="s">
        <v>497</v>
      </c>
      <c r="E289" s="204" t="s">
        <v>497</v>
      </c>
      <c r="F289" s="204" t="s">
        <v>497</v>
      </c>
      <c r="G289" s="204" t="s">
        <v>497</v>
      </c>
      <c r="H289" s="204" t="s">
        <v>497</v>
      </c>
      <c r="I289" s="204" t="s">
        <v>497</v>
      </c>
      <c r="J289" s="205" t="s">
        <v>497</v>
      </c>
      <c r="K289" s="205" t="s">
        <v>497</v>
      </c>
      <c r="L289" s="204" t="s">
        <v>497</v>
      </c>
      <c r="M289" s="204" t="s">
        <v>497</v>
      </c>
      <c r="N289" s="204"/>
      <c r="O289" s="204"/>
      <c r="P289" s="204"/>
      <c r="Q289" s="204"/>
      <c r="R289" s="204"/>
      <c r="S289" s="204"/>
      <c r="T289" s="204"/>
      <c r="U289" s="204"/>
      <c r="V289" s="204"/>
      <c r="W289" s="204"/>
      <c r="X289" s="204"/>
      <c r="Y289" s="204"/>
      <c r="Z289" s="204"/>
      <c r="AA289" s="204"/>
      <c r="AB289" s="204"/>
      <c r="AC289" s="204"/>
      <c r="AD289" s="204"/>
      <c r="AE289" s="204"/>
      <c r="AF289" s="204"/>
      <c r="AG289" s="204"/>
      <c r="AH289" s="204"/>
      <c r="AI289" s="204"/>
      <c r="AJ289" s="204"/>
      <c r="AK289" s="204"/>
      <c r="AL289" s="204"/>
      <c r="AM289" s="204"/>
      <c r="AN289" s="204"/>
      <c r="AO289" s="204"/>
      <c r="AP289" s="204"/>
      <c r="AQ289" s="204"/>
      <c r="AR289" s="204"/>
      <c r="AS289" s="204"/>
      <c r="AT289" s="204"/>
      <c r="AU289" s="206"/>
      <c r="AV289" s="202"/>
      <c r="AW289" s="202"/>
      <c r="AX289" s="202"/>
      <c r="AY289" s="202"/>
      <c r="AZ289" s="202"/>
      <c r="BA289" s="202"/>
      <c r="BB289" s="202"/>
      <c r="BC289" s="202"/>
      <c r="BD289" s="202"/>
      <c r="BE289" s="202"/>
      <c r="BF289" s="202"/>
      <c r="BG289" s="202"/>
    </row>
    <row r="290" spans="2:59" ht="15">
      <c r="B290" s="204" t="s">
        <v>497</v>
      </c>
      <c r="C290" s="204" t="s">
        <v>497</v>
      </c>
      <c r="D290" s="204" t="s">
        <v>497</v>
      </c>
      <c r="E290" s="204" t="s">
        <v>497</v>
      </c>
      <c r="F290" s="204" t="s">
        <v>497</v>
      </c>
      <c r="G290" s="204" t="s">
        <v>497</v>
      </c>
      <c r="H290" s="204" t="s">
        <v>497</v>
      </c>
      <c r="I290" s="204" t="s">
        <v>497</v>
      </c>
      <c r="J290" s="205" t="s">
        <v>497</v>
      </c>
      <c r="K290" s="205" t="s">
        <v>497</v>
      </c>
      <c r="L290" s="204" t="s">
        <v>497</v>
      </c>
      <c r="M290" s="204" t="s">
        <v>497</v>
      </c>
      <c r="N290" s="204"/>
      <c r="O290" s="204"/>
      <c r="P290" s="204"/>
      <c r="Q290" s="204"/>
      <c r="R290" s="204"/>
      <c r="S290" s="204"/>
      <c r="T290" s="204"/>
      <c r="U290" s="204"/>
      <c r="V290" s="204"/>
      <c r="W290" s="204"/>
      <c r="X290" s="204"/>
      <c r="Y290" s="204"/>
      <c r="Z290" s="204"/>
      <c r="AA290" s="204"/>
      <c r="AB290" s="204"/>
      <c r="AC290" s="204"/>
      <c r="AD290" s="204"/>
      <c r="AE290" s="204"/>
      <c r="AF290" s="204"/>
      <c r="AG290" s="204"/>
      <c r="AH290" s="204"/>
      <c r="AI290" s="204"/>
      <c r="AJ290" s="204"/>
      <c r="AK290" s="204"/>
      <c r="AL290" s="204"/>
      <c r="AM290" s="204"/>
      <c r="AN290" s="204"/>
      <c r="AO290" s="204"/>
      <c r="AP290" s="204"/>
      <c r="AQ290" s="204"/>
      <c r="AR290" s="204"/>
      <c r="AS290" s="204"/>
      <c r="AT290" s="204"/>
      <c r="AU290" s="206"/>
      <c r="AV290" s="202"/>
      <c r="AW290" s="202"/>
      <c r="AX290" s="202"/>
      <c r="AY290" s="202"/>
      <c r="AZ290" s="202"/>
      <c r="BA290" s="202"/>
      <c r="BB290" s="202"/>
      <c r="BC290" s="202"/>
      <c r="BD290" s="202"/>
      <c r="BE290" s="202"/>
      <c r="BF290" s="202"/>
      <c r="BG290" s="202"/>
    </row>
    <row r="291" spans="2:59" ht="15">
      <c r="B291" s="204" t="s">
        <v>497</v>
      </c>
      <c r="C291" s="204" t="s">
        <v>497</v>
      </c>
      <c r="D291" s="204" t="s">
        <v>497</v>
      </c>
      <c r="E291" s="204" t="s">
        <v>497</v>
      </c>
      <c r="F291" s="204" t="s">
        <v>497</v>
      </c>
      <c r="G291" s="204" t="s">
        <v>497</v>
      </c>
      <c r="H291" s="204" t="s">
        <v>497</v>
      </c>
      <c r="I291" s="204" t="s">
        <v>497</v>
      </c>
      <c r="J291" s="205" t="s">
        <v>497</v>
      </c>
      <c r="K291" s="205" t="s">
        <v>497</v>
      </c>
      <c r="L291" s="204" t="s">
        <v>497</v>
      </c>
      <c r="M291" s="204" t="s">
        <v>497</v>
      </c>
      <c r="N291" s="204"/>
      <c r="O291" s="204"/>
      <c r="P291" s="204"/>
      <c r="Q291" s="204"/>
      <c r="R291" s="204"/>
      <c r="S291" s="204"/>
      <c r="T291" s="204"/>
      <c r="U291" s="204"/>
      <c r="V291" s="204"/>
      <c r="W291" s="204"/>
      <c r="X291" s="204"/>
      <c r="Y291" s="204"/>
      <c r="Z291" s="204"/>
      <c r="AA291" s="204"/>
      <c r="AB291" s="204"/>
      <c r="AC291" s="204"/>
      <c r="AD291" s="204"/>
      <c r="AE291" s="204"/>
      <c r="AF291" s="204"/>
      <c r="AG291" s="204"/>
      <c r="AH291" s="204"/>
      <c r="AI291" s="204"/>
      <c r="AJ291" s="204"/>
      <c r="AK291" s="204"/>
      <c r="AL291" s="204"/>
      <c r="AM291" s="204"/>
      <c r="AN291" s="204"/>
      <c r="AO291" s="204"/>
      <c r="AP291" s="204"/>
      <c r="AQ291" s="204"/>
      <c r="AR291" s="204"/>
      <c r="AS291" s="204"/>
      <c r="AT291" s="204"/>
      <c r="AU291" s="206"/>
      <c r="AV291" s="202"/>
      <c r="AW291" s="202"/>
      <c r="AX291" s="202"/>
      <c r="AY291" s="202"/>
      <c r="AZ291" s="202"/>
      <c r="BA291" s="202"/>
      <c r="BB291" s="202"/>
      <c r="BC291" s="202"/>
      <c r="BD291" s="202"/>
      <c r="BE291" s="202"/>
      <c r="BF291" s="202"/>
      <c r="BG291" s="202"/>
    </row>
    <row r="292" spans="2:59" ht="15">
      <c r="B292" s="204" t="s">
        <v>497</v>
      </c>
      <c r="C292" s="204" t="s">
        <v>497</v>
      </c>
      <c r="D292" s="204" t="s">
        <v>497</v>
      </c>
      <c r="E292" s="204" t="s">
        <v>497</v>
      </c>
      <c r="F292" s="204" t="s">
        <v>497</v>
      </c>
      <c r="G292" s="204" t="s">
        <v>497</v>
      </c>
      <c r="H292" s="204" t="s">
        <v>497</v>
      </c>
      <c r="I292" s="204" t="s">
        <v>497</v>
      </c>
      <c r="J292" s="205" t="s">
        <v>497</v>
      </c>
      <c r="K292" s="205" t="s">
        <v>497</v>
      </c>
      <c r="L292" s="204" t="s">
        <v>497</v>
      </c>
      <c r="M292" s="204" t="s">
        <v>497</v>
      </c>
      <c r="N292" s="204"/>
      <c r="O292" s="204"/>
      <c r="P292" s="204"/>
      <c r="Q292" s="204"/>
      <c r="R292" s="204"/>
      <c r="S292" s="204"/>
      <c r="T292" s="204"/>
      <c r="U292" s="204"/>
      <c r="V292" s="204"/>
      <c r="W292" s="204"/>
      <c r="X292" s="204"/>
      <c r="Y292" s="204"/>
      <c r="Z292" s="204"/>
      <c r="AA292" s="204"/>
      <c r="AB292" s="204"/>
      <c r="AC292" s="204"/>
      <c r="AD292" s="204"/>
      <c r="AE292" s="204"/>
      <c r="AF292" s="204"/>
      <c r="AG292" s="204"/>
      <c r="AH292" s="204"/>
      <c r="AI292" s="204"/>
      <c r="AJ292" s="204"/>
      <c r="AK292" s="204"/>
      <c r="AL292" s="204"/>
      <c r="AM292" s="204"/>
      <c r="AN292" s="204"/>
      <c r="AO292" s="204"/>
      <c r="AP292" s="204"/>
      <c r="AQ292" s="204"/>
      <c r="AR292" s="204"/>
      <c r="AS292" s="204"/>
      <c r="AT292" s="204"/>
      <c r="AU292" s="206"/>
      <c r="AV292" s="202"/>
      <c r="AW292" s="202"/>
      <c r="AX292" s="202"/>
      <c r="AY292" s="202"/>
      <c r="AZ292" s="202"/>
      <c r="BA292" s="202"/>
      <c r="BB292" s="202"/>
      <c r="BC292" s="202"/>
      <c r="BD292" s="202"/>
      <c r="BE292" s="202"/>
      <c r="BF292" s="202"/>
      <c r="BG292" s="202"/>
    </row>
    <row r="293" spans="2:59" ht="15">
      <c r="B293" s="204" t="s">
        <v>497</v>
      </c>
      <c r="C293" s="204" t="s">
        <v>497</v>
      </c>
      <c r="D293" s="204" t="s">
        <v>497</v>
      </c>
      <c r="E293" s="204" t="s">
        <v>497</v>
      </c>
      <c r="F293" s="204" t="s">
        <v>497</v>
      </c>
      <c r="G293" s="204" t="s">
        <v>497</v>
      </c>
      <c r="H293" s="204" t="s">
        <v>497</v>
      </c>
      <c r="I293" s="204" t="s">
        <v>497</v>
      </c>
      <c r="J293" s="205" t="s">
        <v>497</v>
      </c>
      <c r="K293" s="205" t="s">
        <v>497</v>
      </c>
      <c r="L293" s="204" t="s">
        <v>497</v>
      </c>
      <c r="M293" s="204" t="s">
        <v>497</v>
      </c>
      <c r="N293" s="204"/>
      <c r="O293" s="204"/>
      <c r="P293" s="204"/>
      <c r="Q293" s="204"/>
      <c r="R293" s="204"/>
      <c r="S293" s="204"/>
      <c r="T293" s="204"/>
      <c r="U293" s="204"/>
      <c r="V293" s="204"/>
      <c r="W293" s="204"/>
      <c r="X293" s="204"/>
      <c r="Y293" s="204"/>
      <c r="Z293" s="204"/>
      <c r="AA293" s="204"/>
      <c r="AB293" s="204"/>
      <c r="AC293" s="204"/>
      <c r="AD293" s="204"/>
      <c r="AE293" s="204"/>
      <c r="AF293" s="204"/>
      <c r="AG293" s="204"/>
      <c r="AH293" s="204"/>
      <c r="AI293" s="204"/>
      <c r="AJ293" s="204"/>
      <c r="AK293" s="204"/>
      <c r="AL293" s="204"/>
      <c r="AM293" s="204"/>
      <c r="AN293" s="204"/>
      <c r="AO293" s="204"/>
      <c r="AP293" s="204"/>
      <c r="AQ293" s="204"/>
      <c r="AR293" s="204"/>
      <c r="AS293" s="204"/>
      <c r="AT293" s="204"/>
      <c r="AU293" s="206"/>
      <c r="AV293" s="202"/>
      <c r="AW293" s="202"/>
      <c r="AX293" s="202"/>
      <c r="AY293" s="202"/>
      <c r="AZ293" s="202"/>
      <c r="BA293" s="202"/>
      <c r="BB293" s="202"/>
      <c r="BC293" s="202"/>
      <c r="BD293" s="202"/>
      <c r="BE293" s="202"/>
      <c r="BF293" s="202"/>
      <c r="BG293" s="202"/>
    </row>
    <row r="294" spans="2:59" ht="15">
      <c r="B294" s="204" t="s">
        <v>497</v>
      </c>
      <c r="C294" s="204" t="s">
        <v>497</v>
      </c>
      <c r="D294" s="204" t="s">
        <v>497</v>
      </c>
      <c r="E294" s="204" t="s">
        <v>497</v>
      </c>
      <c r="F294" s="204" t="s">
        <v>497</v>
      </c>
      <c r="G294" s="204" t="s">
        <v>497</v>
      </c>
      <c r="H294" s="204" t="s">
        <v>497</v>
      </c>
      <c r="I294" s="204" t="s">
        <v>497</v>
      </c>
      <c r="J294" s="205" t="s">
        <v>497</v>
      </c>
      <c r="K294" s="205" t="s">
        <v>497</v>
      </c>
      <c r="L294" s="204" t="s">
        <v>497</v>
      </c>
      <c r="M294" s="204" t="s">
        <v>497</v>
      </c>
      <c r="N294" s="204"/>
      <c r="O294" s="204"/>
      <c r="P294" s="204"/>
      <c r="Q294" s="204"/>
      <c r="R294" s="204"/>
      <c r="S294" s="204"/>
      <c r="T294" s="204"/>
      <c r="U294" s="204"/>
      <c r="V294" s="204"/>
      <c r="W294" s="204"/>
      <c r="X294" s="204"/>
      <c r="Y294" s="204"/>
      <c r="Z294" s="204"/>
      <c r="AA294" s="204"/>
      <c r="AB294" s="204"/>
      <c r="AC294" s="204"/>
      <c r="AD294" s="204"/>
      <c r="AE294" s="204"/>
      <c r="AF294" s="204"/>
      <c r="AG294" s="204"/>
      <c r="AH294" s="204"/>
      <c r="AI294" s="204"/>
      <c r="AJ294" s="204"/>
      <c r="AK294" s="204"/>
      <c r="AL294" s="204"/>
      <c r="AM294" s="204"/>
      <c r="AN294" s="204"/>
      <c r="AO294" s="204"/>
      <c r="AP294" s="204"/>
      <c r="AQ294" s="204"/>
      <c r="AR294" s="204"/>
      <c r="AS294" s="204"/>
      <c r="AT294" s="204"/>
      <c r="AU294" s="206"/>
      <c r="AV294" s="202"/>
      <c r="AW294" s="202"/>
      <c r="AX294" s="202"/>
      <c r="AY294" s="202"/>
      <c r="AZ294" s="202"/>
      <c r="BA294" s="202"/>
      <c r="BB294" s="202"/>
      <c r="BC294" s="202"/>
      <c r="BD294" s="202"/>
      <c r="BE294" s="202"/>
      <c r="BF294" s="202"/>
      <c r="BG294" s="202"/>
    </row>
    <row r="295" spans="2:59" ht="15">
      <c r="B295" s="204" t="s">
        <v>497</v>
      </c>
      <c r="C295" s="204" t="s">
        <v>497</v>
      </c>
      <c r="D295" s="204" t="s">
        <v>497</v>
      </c>
      <c r="E295" s="204" t="s">
        <v>497</v>
      </c>
      <c r="F295" s="204" t="s">
        <v>497</v>
      </c>
      <c r="G295" s="204" t="s">
        <v>497</v>
      </c>
      <c r="H295" s="204" t="s">
        <v>497</v>
      </c>
      <c r="I295" s="204" t="s">
        <v>497</v>
      </c>
      <c r="J295" s="205" t="s">
        <v>497</v>
      </c>
      <c r="K295" s="205" t="s">
        <v>497</v>
      </c>
      <c r="L295" s="204" t="s">
        <v>497</v>
      </c>
      <c r="M295" s="204" t="s">
        <v>497</v>
      </c>
      <c r="N295" s="204"/>
      <c r="O295" s="204"/>
      <c r="P295" s="204"/>
      <c r="Q295" s="204"/>
      <c r="R295" s="204"/>
      <c r="S295" s="204"/>
      <c r="T295" s="204"/>
      <c r="U295" s="204"/>
      <c r="V295" s="204"/>
      <c r="W295" s="204"/>
      <c r="X295" s="204"/>
      <c r="Y295" s="204"/>
      <c r="Z295" s="204"/>
      <c r="AA295" s="204"/>
      <c r="AB295" s="204"/>
      <c r="AC295" s="204"/>
      <c r="AD295" s="204"/>
      <c r="AE295" s="204"/>
      <c r="AF295" s="204"/>
      <c r="AG295" s="204"/>
      <c r="AH295" s="204"/>
      <c r="AI295" s="204"/>
      <c r="AJ295" s="204"/>
      <c r="AK295" s="204"/>
      <c r="AL295" s="204"/>
      <c r="AM295" s="204"/>
      <c r="AN295" s="204"/>
      <c r="AO295" s="204"/>
      <c r="AP295" s="204"/>
      <c r="AQ295" s="204"/>
      <c r="AR295" s="204"/>
      <c r="AS295" s="204"/>
      <c r="AT295" s="204"/>
      <c r="AU295" s="206"/>
      <c r="AV295" s="202"/>
      <c r="AW295" s="202"/>
      <c r="AX295" s="202"/>
      <c r="AY295" s="202"/>
      <c r="AZ295" s="202"/>
      <c r="BA295" s="202"/>
      <c r="BB295" s="202"/>
      <c r="BC295" s="202"/>
      <c r="BD295" s="202"/>
      <c r="BE295" s="202"/>
      <c r="BF295" s="202"/>
      <c r="BG295" s="202"/>
    </row>
    <row r="296" spans="2:59" ht="15">
      <c r="B296" s="204" t="s">
        <v>497</v>
      </c>
      <c r="C296" s="204" t="s">
        <v>497</v>
      </c>
      <c r="D296" s="204" t="s">
        <v>497</v>
      </c>
      <c r="E296" s="204" t="s">
        <v>497</v>
      </c>
      <c r="F296" s="204" t="s">
        <v>497</v>
      </c>
      <c r="G296" s="204" t="s">
        <v>497</v>
      </c>
      <c r="H296" s="204" t="s">
        <v>497</v>
      </c>
      <c r="I296" s="204" t="s">
        <v>497</v>
      </c>
      <c r="J296" s="205" t="s">
        <v>497</v>
      </c>
      <c r="K296" s="205" t="s">
        <v>497</v>
      </c>
      <c r="L296" s="204" t="s">
        <v>497</v>
      </c>
      <c r="M296" s="204" t="s">
        <v>497</v>
      </c>
      <c r="N296" s="204"/>
      <c r="O296" s="204"/>
      <c r="P296" s="204"/>
      <c r="Q296" s="204"/>
      <c r="R296" s="204"/>
      <c r="S296" s="204"/>
      <c r="T296" s="204"/>
      <c r="U296" s="204"/>
      <c r="V296" s="204"/>
      <c r="W296" s="204"/>
      <c r="X296" s="204"/>
      <c r="Y296" s="204"/>
      <c r="Z296" s="204"/>
      <c r="AA296" s="204"/>
      <c r="AB296" s="204"/>
      <c r="AC296" s="204"/>
      <c r="AD296" s="204"/>
      <c r="AE296" s="204"/>
      <c r="AF296" s="204"/>
      <c r="AG296" s="204"/>
      <c r="AH296" s="204"/>
      <c r="AI296" s="204"/>
      <c r="AJ296" s="204"/>
      <c r="AK296" s="204"/>
      <c r="AL296" s="204"/>
      <c r="AM296" s="204"/>
      <c r="AN296" s="204"/>
      <c r="AO296" s="204"/>
      <c r="AP296" s="204"/>
      <c r="AQ296" s="204"/>
      <c r="AR296" s="204"/>
      <c r="AS296" s="204"/>
      <c r="AT296" s="204"/>
      <c r="AU296" s="206"/>
      <c r="AV296" s="202"/>
      <c r="AW296" s="202"/>
      <c r="AX296" s="202"/>
      <c r="AY296" s="202"/>
      <c r="AZ296" s="202"/>
      <c r="BA296" s="202"/>
      <c r="BB296" s="202"/>
      <c r="BC296" s="202"/>
      <c r="BD296" s="202"/>
      <c r="BE296" s="202"/>
      <c r="BF296" s="202"/>
      <c r="BG296" s="202"/>
    </row>
    <row r="297" spans="2:59" ht="15">
      <c r="B297" s="204" t="s">
        <v>497</v>
      </c>
      <c r="C297" s="204" t="s">
        <v>497</v>
      </c>
      <c r="D297" s="204" t="s">
        <v>497</v>
      </c>
      <c r="E297" s="204" t="s">
        <v>497</v>
      </c>
      <c r="F297" s="204" t="s">
        <v>497</v>
      </c>
      <c r="G297" s="204" t="s">
        <v>497</v>
      </c>
      <c r="H297" s="204" t="s">
        <v>497</v>
      </c>
      <c r="I297" s="204" t="s">
        <v>497</v>
      </c>
      <c r="J297" s="205" t="s">
        <v>497</v>
      </c>
      <c r="K297" s="205" t="s">
        <v>497</v>
      </c>
      <c r="L297" s="204" t="s">
        <v>497</v>
      </c>
      <c r="M297" s="204" t="s">
        <v>497</v>
      </c>
      <c r="N297" s="204"/>
      <c r="O297" s="204"/>
      <c r="P297" s="204"/>
      <c r="Q297" s="204"/>
      <c r="R297" s="204"/>
      <c r="S297" s="204"/>
      <c r="T297" s="204"/>
      <c r="U297" s="204"/>
      <c r="V297" s="204"/>
      <c r="W297" s="204"/>
      <c r="X297" s="204"/>
      <c r="Y297" s="204"/>
      <c r="Z297" s="204"/>
      <c r="AA297" s="204"/>
      <c r="AB297" s="204"/>
      <c r="AC297" s="204"/>
      <c r="AD297" s="204"/>
      <c r="AE297" s="204"/>
      <c r="AF297" s="204"/>
      <c r="AG297" s="204"/>
      <c r="AH297" s="204"/>
      <c r="AI297" s="204"/>
      <c r="AJ297" s="204"/>
      <c r="AK297" s="204"/>
      <c r="AL297" s="204"/>
      <c r="AM297" s="204"/>
      <c r="AN297" s="204"/>
      <c r="AO297" s="204"/>
      <c r="AP297" s="204"/>
      <c r="AQ297" s="204"/>
      <c r="AR297" s="204"/>
      <c r="AS297" s="204"/>
      <c r="AT297" s="204"/>
      <c r="AU297" s="206"/>
      <c r="AV297" s="202"/>
      <c r="AW297" s="202"/>
      <c r="AX297" s="202"/>
      <c r="AY297" s="202"/>
      <c r="AZ297" s="202"/>
      <c r="BA297" s="202"/>
      <c r="BB297" s="202"/>
      <c r="BC297" s="202"/>
      <c r="BD297" s="202"/>
      <c r="BE297" s="202"/>
      <c r="BF297" s="202"/>
      <c r="BG297" s="202"/>
    </row>
    <row r="298" spans="2:59" ht="15">
      <c r="B298" s="204" t="s">
        <v>497</v>
      </c>
      <c r="C298" s="204" t="s">
        <v>497</v>
      </c>
      <c r="D298" s="204" t="s">
        <v>497</v>
      </c>
      <c r="E298" s="204" t="s">
        <v>497</v>
      </c>
      <c r="F298" s="204" t="s">
        <v>497</v>
      </c>
      <c r="G298" s="204" t="s">
        <v>497</v>
      </c>
      <c r="H298" s="204" t="s">
        <v>497</v>
      </c>
      <c r="I298" s="204" t="s">
        <v>497</v>
      </c>
      <c r="J298" s="205" t="s">
        <v>497</v>
      </c>
      <c r="K298" s="205" t="s">
        <v>497</v>
      </c>
      <c r="L298" s="204" t="s">
        <v>497</v>
      </c>
      <c r="M298" s="204" t="s">
        <v>497</v>
      </c>
      <c r="N298" s="204"/>
      <c r="O298" s="204"/>
      <c r="P298" s="204"/>
      <c r="Q298" s="204"/>
      <c r="R298" s="204"/>
      <c r="S298" s="204"/>
      <c r="T298" s="204"/>
      <c r="U298" s="204"/>
      <c r="V298" s="204"/>
      <c r="W298" s="204"/>
      <c r="X298" s="204"/>
      <c r="Y298" s="204"/>
      <c r="Z298" s="204"/>
      <c r="AA298" s="204"/>
      <c r="AB298" s="204"/>
      <c r="AC298" s="204"/>
      <c r="AD298" s="204"/>
      <c r="AE298" s="204"/>
      <c r="AF298" s="204"/>
      <c r="AG298" s="204"/>
      <c r="AH298" s="204"/>
      <c r="AI298" s="204"/>
      <c r="AJ298" s="204"/>
      <c r="AK298" s="204"/>
      <c r="AL298" s="204"/>
      <c r="AM298" s="204"/>
      <c r="AN298" s="204"/>
      <c r="AO298" s="204"/>
      <c r="AP298" s="204"/>
      <c r="AQ298" s="204"/>
      <c r="AR298" s="204"/>
      <c r="AS298" s="204"/>
      <c r="AT298" s="204"/>
      <c r="AU298" s="206"/>
      <c r="AV298" s="202"/>
      <c r="AW298" s="202"/>
      <c r="AX298" s="202"/>
      <c r="AY298" s="202"/>
      <c r="AZ298" s="202"/>
      <c r="BA298" s="202"/>
      <c r="BB298" s="202"/>
      <c r="BC298" s="202"/>
      <c r="BD298" s="202"/>
      <c r="BE298" s="202"/>
      <c r="BF298" s="202"/>
      <c r="BG298" s="202"/>
    </row>
    <row r="299" spans="2:59" ht="15">
      <c r="B299" s="204" t="s">
        <v>497</v>
      </c>
      <c r="C299" s="204" t="s">
        <v>497</v>
      </c>
      <c r="D299" s="204" t="s">
        <v>497</v>
      </c>
      <c r="E299" s="204" t="s">
        <v>497</v>
      </c>
      <c r="F299" s="204" t="s">
        <v>497</v>
      </c>
      <c r="G299" s="204" t="s">
        <v>497</v>
      </c>
      <c r="H299" s="204" t="s">
        <v>497</v>
      </c>
      <c r="I299" s="204" t="s">
        <v>497</v>
      </c>
      <c r="J299" s="205" t="s">
        <v>497</v>
      </c>
      <c r="K299" s="205" t="s">
        <v>497</v>
      </c>
      <c r="L299" s="204" t="s">
        <v>497</v>
      </c>
      <c r="M299" s="204" t="s">
        <v>497</v>
      </c>
      <c r="N299" s="204"/>
      <c r="O299" s="204"/>
      <c r="P299" s="204"/>
      <c r="Q299" s="204"/>
      <c r="R299" s="204"/>
      <c r="S299" s="204"/>
      <c r="T299" s="204"/>
      <c r="U299" s="204"/>
      <c r="V299" s="204"/>
      <c r="W299" s="204"/>
      <c r="X299" s="204"/>
      <c r="Y299" s="204"/>
      <c r="Z299" s="204"/>
      <c r="AA299" s="204"/>
      <c r="AB299" s="204"/>
      <c r="AC299" s="204"/>
      <c r="AD299" s="204"/>
      <c r="AE299" s="204"/>
      <c r="AF299" s="204"/>
      <c r="AG299" s="204"/>
      <c r="AH299" s="204"/>
      <c r="AI299" s="204"/>
      <c r="AJ299" s="204"/>
      <c r="AK299" s="204"/>
      <c r="AL299" s="204"/>
      <c r="AM299" s="204"/>
      <c r="AN299" s="204"/>
      <c r="AO299" s="204"/>
      <c r="AP299" s="204"/>
      <c r="AQ299" s="204"/>
      <c r="AR299" s="204"/>
      <c r="AS299" s="204"/>
      <c r="AT299" s="204"/>
      <c r="AU299" s="206"/>
      <c r="AV299" s="202"/>
      <c r="AW299" s="202"/>
      <c r="AX299" s="202"/>
      <c r="AY299" s="202"/>
      <c r="AZ299" s="202"/>
      <c r="BA299" s="202"/>
      <c r="BB299" s="202"/>
      <c r="BC299" s="202"/>
      <c r="BD299" s="202"/>
      <c r="BE299" s="202"/>
      <c r="BF299" s="202"/>
      <c r="BG299" s="202"/>
    </row>
    <row r="300" spans="2:59" ht="15">
      <c r="B300" s="204" t="s">
        <v>497</v>
      </c>
      <c r="C300" s="204" t="s">
        <v>497</v>
      </c>
      <c r="D300" s="204" t="s">
        <v>497</v>
      </c>
      <c r="E300" s="204" t="s">
        <v>497</v>
      </c>
      <c r="F300" s="204" t="s">
        <v>497</v>
      </c>
      <c r="G300" s="204" t="s">
        <v>497</v>
      </c>
      <c r="H300" s="204" t="s">
        <v>497</v>
      </c>
      <c r="I300" s="204" t="s">
        <v>497</v>
      </c>
      <c r="J300" s="205" t="s">
        <v>497</v>
      </c>
      <c r="K300" s="205" t="s">
        <v>497</v>
      </c>
      <c r="L300" s="204" t="s">
        <v>497</v>
      </c>
      <c r="M300" s="204" t="s">
        <v>497</v>
      </c>
      <c r="N300" s="204"/>
      <c r="O300" s="204"/>
      <c r="P300" s="204"/>
      <c r="Q300" s="204"/>
      <c r="R300" s="204"/>
      <c r="S300" s="204"/>
      <c r="T300" s="204"/>
      <c r="U300" s="204"/>
      <c r="V300" s="204"/>
      <c r="W300" s="204"/>
      <c r="X300" s="204"/>
      <c r="Y300" s="204"/>
      <c r="Z300" s="204"/>
      <c r="AA300" s="204"/>
      <c r="AB300" s="204"/>
      <c r="AC300" s="204"/>
      <c r="AD300" s="204"/>
      <c r="AE300" s="204"/>
      <c r="AF300" s="204"/>
      <c r="AG300" s="204"/>
      <c r="AH300" s="204"/>
      <c r="AI300" s="204"/>
      <c r="AJ300" s="204"/>
      <c r="AK300" s="204"/>
      <c r="AL300" s="204"/>
      <c r="AM300" s="204"/>
      <c r="AN300" s="204"/>
      <c r="AO300" s="204"/>
      <c r="AP300" s="204"/>
      <c r="AQ300" s="204"/>
      <c r="AR300" s="204"/>
      <c r="AS300" s="204"/>
      <c r="AT300" s="204"/>
      <c r="AU300" s="206"/>
      <c r="AV300" s="202"/>
      <c r="AW300" s="202"/>
      <c r="AX300" s="202"/>
      <c r="AY300" s="202"/>
      <c r="AZ300" s="202"/>
      <c r="BA300" s="202"/>
      <c r="BB300" s="202"/>
      <c r="BC300" s="202"/>
      <c r="BD300" s="202"/>
      <c r="BE300" s="202"/>
      <c r="BF300" s="202"/>
      <c r="BG300" s="202"/>
    </row>
    <row r="301" spans="2:59" ht="15">
      <c r="B301" s="204" t="s">
        <v>497</v>
      </c>
      <c r="C301" s="204" t="s">
        <v>497</v>
      </c>
      <c r="D301" s="204" t="s">
        <v>497</v>
      </c>
      <c r="E301" s="204" t="s">
        <v>497</v>
      </c>
      <c r="F301" s="204" t="s">
        <v>497</v>
      </c>
      <c r="G301" s="204" t="s">
        <v>497</v>
      </c>
      <c r="H301" s="204" t="s">
        <v>497</v>
      </c>
      <c r="I301" s="204" t="s">
        <v>497</v>
      </c>
      <c r="J301" s="205" t="s">
        <v>497</v>
      </c>
      <c r="K301" s="205" t="s">
        <v>497</v>
      </c>
      <c r="L301" s="204" t="s">
        <v>497</v>
      </c>
      <c r="M301" s="204" t="s">
        <v>497</v>
      </c>
      <c r="N301" s="204"/>
      <c r="O301" s="204"/>
      <c r="P301" s="204"/>
      <c r="Q301" s="204"/>
      <c r="R301" s="204"/>
      <c r="S301" s="204"/>
      <c r="T301" s="204"/>
      <c r="U301" s="204"/>
      <c r="V301" s="204"/>
      <c r="W301" s="204"/>
      <c r="X301" s="204"/>
      <c r="Y301" s="204"/>
      <c r="Z301" s="204"/>
      <c r="AA301" s="204"/>
      <c r="AB301" s="204"/>
      <c r="AC301" s="204"/>
      <c r="AD301" s="204"/>
      <c r="AE301" s="204"/>
      <c r="AF301" s="204"/>
      <c r="AG301" s="204"/>
      <c r="AH301" s="204"/>
      <c r="AI301" s="204"/>
      <c r="AJ301" s="204"/>
      <c r="AK301" s="204"/>
      <c r="AL301" s="204"/>
      <c r="AM301" s="204"/>
      <c r="AN301" s="204"/>
      <c r="AO301" s="204"/>
      <c r="AP301" s="204"/>
      <c r="AQ301" s="204"/>
      <c r="AR301" s="204"/>
      <c r="AS301" s="204"/>
      <c r="AT301" s="204"/>
      <c r="AU301" s="206"/>
      <c r="AV301" s="202"/>
      <c r="AW301" s="202"/>
      <c r="AX301" s="202"/>
      <c r="AY301" s="202"/>
      <c r="AZ301" s="202"/>
      <c r="BA301" s="202"/>
      <c r="BB301" s="202"/>
      <c r="BC301" s="202"/>
      <c r="BD301" s="202"/>
      <c r="BE301" s="202"/>
      <c r="BF301" s="202"/>
      <c r="BG301" s="202"/>
    </row>
    <row r="302" spans="2:59" ht="15">
      <c r="B302" s="204" t="s">
        <v>497</v>
      </c>
      <c r="C302" s="204" t="s">
        <v>497</v>
      </c>
      <c r="D302" s="204" t="s">
        <v>497</v>
      </c>
      <c r="E302" s="204" t="s">
        <v>497</v>
      </c>
      <c r="F302" s="204" t="s">
        <v>497</v>
      </c>
      <c r="G302" s="204" t="s">
        <v>497</v>
      </c>
      <c r="H302" s="204" t="s">
        <v>497</v>
      </c>
      <c r="I302" s="204" t="s">
        <v>497</v>
      </c>
      <c r="J302" s="205" t="s">
        <v>497</v>
      </c>
      <c r="K302" s="205" t="s">
        <v>497</v>
      </c>
      <c r="L302" s="204" t="s">
        <v>497</v>
      </c>
      <c r="M302" s="204" t="s">
        <v>497</v>
      </c>
      <c r="N302" s="204"/>
      <c r="O302" s="204"/>
      <c r="P302" s="204"/>
      <c r="Q302" s="204"/>
      <c r="R302" s="204"/>
      <c r="S302" s="204"/>
      <c r="T302" s="204"/>
      <c r="U302" s="204"/>
      <c r="V302" s="204"/>
      <c r="W302" s="204"/>
      <c r="X302" s="204"/>
      <c r="Y302" s="204"/>
      <c r="Z302" s="204"/>
      <c r="AA302" s="204"/>
      <c r="AB302" s="204"/>
      <c r="AC302" s="204"/>
      <c r="AD302" s="204"/>
      <c r="AE302" s="204"/>
      <c r="AF302" s="204"/>
      <c r="AG302" s="204"/>
      <c r="AH302" s="204"/>
      <c r="AI302" s="204"/>
      <c r="AJ302" s="204"/>
      <c r="AK302" s="204"/>
      <c r="AL302" s="204"/>
      <c r="AM302" s="204"/>
      <c r="AN302" s="204"/>
      <c r="AO302" s="204"/>
      <c r="AP302" s="204"/>
      <c r="AQ302" s="204"/>
      <c r="AR302" s="204"/>
      <c r="AS302" s="204"/>
      <c r="AT302" s="204"/>
      <c r="AU302" s="206"/>
      <c r="AV302" s="202"/>
      <c r="AW302" s="202"/>
      <c r="AX302" s="202"/>
      <c r="AY302" s="202"/>
      <c r="AZ302" s="202"/>
      <c r="BA302" s="202"/>
      <c r="BB302" s="202"/>
      <c r="BC302" s="202"/>
      <c r="BD302" s="202"/>
      <c r="BE302" s="202"/>
      <c r="BF302" s="202"/>
      <c r="BG302" s="202"/>
    </row>
    <row r="303" spans="2:59" ht="15">
      <c r="B303" s="204" t="s">
        <v>497</v>
      </c>
      <c r="C303" s="204" t="s">
        <v>497</v>
      </c>
      <c r="D303" s="204" t="s">
        <v>497</v>
      </c>
      <c r="E303" s="204" t="s">
        <v>497</v>
      </c>
      <c r="F303" s="204" t="s">
        <v>497</v>
      </c>
      <c r="G303" s="204" t="s">
        <v>497</v>
      </c>
      <c r="H303" s="204" t="s">
        <v>497</v>
      </c>
      <c r="I303" s="204" t="s">
        <v>497</v>
      </c>
      <c r="J303" s="205" t="s">
        <v>497</v>
      </c>
      <c r="K303" s="205" t="s">
        <v>497</v>
      </c>
      <c r="L303" s="204" t="s">
        <v>497</v>
      </c>
      <c r="M303" s="204" t="s">
        <v>497</v>
      </c>
      <c r="N303" s="204"/>
      <c r="O303" s="204"/>
      <c r="P303" s="204"/>
      <c r="Q303" s="204"/>
      <c r="R303" s="204"/>
      <c r="S303" s="204"/>
      <c r="T303" s="204"/>
      <c r="U303" s="204"/>
      <c r="V303" s="204"/>
      <c r="W303" s="204"/>
      <c r="X303" s="204"/>
      <c r="Y303" s="204"/>
      <c r="Z303" s="204"/>
      <c r="AA303" s="204"/>
      <c r="AB303" s="204"/>
      <c r="AC303" s="204"/>
      <c r="AD303" s="204"/>
      <c r="AE303" s="204"/>
      <c r="AF303" s="204"/>
      <c r="AG303" s="204"/>
      <c r="AH303" s="204"/>
      <c r="AI303" s="204"/>
      <c r="AJ303" s="204"/>
      <c r="AK303" s="204"/>
      <c r="AL303" s="204"/>
      <c r="AM303" s="204"/>
      <c r="AN303" s="204"/>
      <c r="AO303" s="204"/>
      <c r="AP303" s="204"/>
      <c r="AQ303" s="204"/>
      <c r="AR303" s="204"/>
      <c r="AS303" s="204"/>
      <c r="AT303" s="204"/>
      <c r="AU303" s="206"/>
      <c r="AV303" s="202"/>
      <c r="AW303" s="202"/>
      <c r="AX303" s="202"/>
      <c r="AY303" s="202"/>
      <c r="AZ303" s="202"/>
      <c r="BA303" s="202"/>
      <c r="BB303" s="202"/>
      <c r="BC303" s="202"/>
      <c r="BD303" s="202"/>
      <c r="BE303" s="202"/>
      <c r="BF303" s="202"/>
      <c r="BG303" s="202"/>
    </row>
    <row r="304" spans="2:59" ht="15">
      <c r="B304" s="204" t="s">
        <v>497</v>
      </c>
      <c r="C304" s="204" t="s">
        <v>497</v>
      </c>
      <c r="D304" s="204" t="s">
        <v>497</v>
      </c>
      <c r="E304" s="204" t="s">
        <v>497</v>
      </c>
      <c r="F304" s="204" t="s">
        <v>497</v>
      </c>
      <c r="G304" s="204" t="s">
        <v>497</v>
      </c>
      <c r="H304" s="204" t="s">
        <v>497</v>
      </c>
      <c r="I304" s="204" t="s">
        <v>497</v>
      </c>
      <c r="J304" s="205" t="s">
        <v>497</v>
      </c>
      <c r="K304" s="205" t="s">
        <v>497</v>
      </c>
      <c r="L304" s="204" t="s">
        <v>497</v>
      </c>
      <c r="M304" s="204" t="s">
        <v>497</v>
      </c>
      <c r="N304" s="204"/>
      <c r="O304" s="204"/>
      <c r="P304" s="204"/>
      <c r="Q304" s="204"/>
      <c r="R304" s="204"/>
      <c r="S304" s="204"/>
      <c r="T304" s="204"/>
      <c r="U304" s="204"/>
      <c r="V304" s="204"/>
      <c r="W304" s="204"/>
      <c r="X304" s="204"/>
      <c r="Y304" s="204"/>
      <c r="Z304" s="204"/>
      <c r="AA304" s="204"/>
      <c r="AB304" s="204"/>
      <c r="AC304" s="204"/>
      <c r="AD304" s="204"/>
      <c r="AE304" s="204"/>
      <c r="AF304" s="204"/>
      <c r="AG304" s="204"/>
      <c r="AH304" s="204"/>
      <c r="AI304" s="204"/>
      <c r="AJ304" s="204"/>
      <c r="AK304" s="204"/>
      <c r="AL304" s="204"/>
      <c r="AM304" s="204"/>
      <c r="AN304" s="204"/>
      <c r="AO304" s="204"/>
      <c r="AP304" s="204"/>
      <c r="AQ304" s="204"/>
      <c r="AR304" s="204"/>
      <c r="AS304" s="204"/>
      <c r="AT304" s="204"/>
      <c r="AU304" s="206"/>
      <c r="AV304" s="202"/>
      <c r="AW304" s="202"/>
      <c r="AX304" s="202"/>
      <c r="AY304" s="202"/>
      <c r="AZ304" s="202"/>
      <c r="BA304" s="202"/>
      <c r="BB304" s="202"/>
      <c r="BC304" s="202"/>
      <c r="BD304" s="202"/>
      <c r="BE304" s="202"/>
      <c r="BF304" s="202"/>
      <c r="BG304" s="202"/>
    </row>
    <row r="305" spans="2:59" ht="15">
      <c r="B305" s="204" t="s">
        <v>497</v>
      </c>
      <c r="C305" s="204" t="s">
        <v>497</v>
      </c>
      <c r="D305" s="204" t="s">
        <v>497</v>
      </c>
      <c r="E305" s="204" t="s">
        <v>497</v>
      </c>
      <c r="F305" s="204" t="s">
        <v>497</v>
      </c>
      <c r="G305" s="204" t="s">
        <v>497</v>
      </c>
      <c r="H305" s="204" t="s">
        <v>497</v>
      </c>
      <c r="I305" s="204" t="s">
        <v>497</v>
      </c>
      <c r="J305" s="205" t="s">
        <v>497</v>
      </c>
      <c r="K305" s="205" t="s">
        <v>497</v>
      </c>
      <c r="L305" s="204" t="s">
        <v>497</v>
      </c>
      <c r="M305" s="204" t="s">
        <v>497</v>
      </c>
      <c r="N305" s="204"/>
      <c r="O305" s="204"/>
      <c r="P305" s="204"/>
      <c r="Q305" s="204"/>
      <c r="R305" s="204"/>
      <c r="S305" s="204"/>
      <c r="T305" s="204"/>
      <c r="U305" s="204"/>
      <c r="V305" s="204"/>
      <c r="W305" s="204"/>
      <c r="X305" s="204"/>
      <c r="Y305" s="204"/>
      <c r="Z305" s="204"/>
      <c r="AA305" s="204"/>
      <c r="AB305" s="204"/>
      <c r="AC305" s="204"/>
      <c r="AD305" s="204"/>
      <c r="AE305" s="204"/>
      <c r="AF305" s="204"/>
      <c r="AG305" s="204"/>
      <c r="AH305" s="204"/>
      <c r="AI305" s="204"/>
      <c r="AJ305" s="204"/>
      <c r="AK305" s="204"/>
      <c r="AL305" s="204"/>
      <c r="AM305" s="204"/>
      <c r="AN305" s="204"/>
      <c r="AO305" s="204"/>
      <c r="AP305" s="204"/>
      <c r="AQ305" s="204"/>
      <c r="AR305" s="204"/>
      <c r="AS305" s="204"/>
      <c r="AT305" s="204"/>
      <c r="AU305" s="206"/>
      <c r="AV305" s="202"/>
      <c r="AW305" s="202"/>
      <c r="AX305" s="202"/>
      <c r="AY305" s="202"/>
      <c r="AZ305" s="202"/>
      <c r="BA305" s="202"/>
      <c r="BB305" s="202"/>
      <c r="BC305" s="202"/>
      <c r="BD305" s="202"/>
      <c r="BE305" s="202"/>
      <c r="BF305" s="202"/>
      <c r="BG305" s="202"/>
    </row>
    <row r="306" spans="2:59" ht="15">
      <c r="B306" s="204" t="s">
        <v>497</v>
      </c>
      <c r="C306" s="204" t="s">
        <v>497</v>
      </c>
      <c r="D306" s="204" t="s">
        <v>497</v>
      </c>
      <c r="E306" s="204" t="s">
        <v>497</v>
      </c>
      <c r="F306" s="204" t="s">
        <v>497</v>
      </c>
      <c r="G306" s="204" t="s">
        <v>497</v>
      </c>
      <c r="H306" s="204" t="s">
        <v>497</v>
      </c>
      <c r="I306" s="204" t="s">
        <v>497</v>
      </c>
      <c r="J306" s="205" t="s">
        <v>497</v>
      </c>
      <c r="K306" s="205" t="s">
        <v>497</v>
      </c>
      <c r="L306" s="204" t="s">
        <v>497</v>
      </c>
      <c r="M306" s="204" t="s">
        <v>497</v>
      </c>
      <c r="N306" s="204"/>
      <c r="O306" s="204"/>
      <c r="P306" s="204"/>
      <c r="Q306" s="204"/>
      <c r="R306" s="204"/>
      <c r="S306" s="204"/>
      <c r="T306" s="204"/>
      <c r="U306" s="204"/>
      <c r="V306" s="204"/>
      <c r="W306" s="204"/>
      <c r="X306" s="204"/>
      <c r="Y306" s="204"/>
      <c r="Z306" s="204"/>
      <c r="AA306" s="204"/>
      <c r="AB306" s="204"/>
      <c r="AC306" s="204"/>
      <c r="AD306" s="204"/>
      <c r="AE306" s="204"/>
      <c r="AF306" s="204"/>
      <c r="AG306" s="204"/>
      <c r="AH306" s="204"/>
      <c r="AI306" s="204"/>
      <c r="AJ306" s="204"/>
      <c r="AK306" s="204"/>
      <c r="AL306" s="204"/>
      <c r="AM306" s="204"/>
      <c r="AN306" s="204"/>
      <c r="AO306" s="204"/>
      <c r="AP306" s="204"/>
      <c r="AQ306" s="204"/>
      <c r="AR306" s="204"/>
      <c r="AS306" s="204"/>
      <c r="AT306" s="204"/>
      <c r="AU306" s="206"/>
      <c r="AV306" s="202"/>
      <c r="AW306" s="202"/>
      <c r="AX306" s="202"/>
      <c r="AY306" s="202"/>
      <c r="AZ306" s="202"/>
      <c r="BA306" s="202"/>
      <c r="BB306" s="202"/>
      <c r="BC306" s="202"/>
      <c r="BD306" s="202"/>
      <c r="BE306" s="202"/>
      <c r="BF306" s="202"/>
      <c r="BG306" s="202"/>
    </row>
    <row r="307" spans="2:59" ht="15">
      <c r="B307" s="204" t="s">
        <v>497</v>
      </c>
      <c r="C307" s="204" t="s">
        <v>497</v>
      </c>
      <c r="D307" s="204" t="s">
        <v>497</v>
      </c>
      <c r="E307" s="204" t="s">
        <v>497</v>
      </c>
      <c r="F307" s="204" t="s">
        <v>497</v>
      </c>
      <c r="G307" s="204" t="s">
        <v>497</v>
      </c>
      <c r="H307" s="204" t="s">
        <v>497</v>
      </c>
      <c r="I307" s="204" t="s">
        <v>497</v>
      </c>
      <c r="J307" s="205" t="s">
        <v>497</v>
      </c>
      <c r="K307" s="205" t="s">
        <v>497</v>
      </c>
      <c r="L307" s="204" t="s">
        <v>497</v>
      </c>
      <c r="M307" s="204" t="s">
        <v>497</v>
      </c>
      <c r="N307" s="204"/>
      <c r="O307" s="204"/>
      <c r="P307" s="204"/>
      <c r="Q307" s="204"/>
      <c r="R307" s="204"/>
      <c r="S307" s="204"/>
      <c r="T307" s="204"/>
      <c r="U307" s="204"/>
      <c r="V307" s="204"/>
      <c r="W307" s="204"/>
      <c r="X307" s="204"/>
      <c r="Y307" s="204"/>
      <c r="Z307" s="204"/>
      <c r="AA307" s="204"/>
      <c r="AB307" s="204"/>
      <c r="AC307" s="204"/>
      <c r="AD307" s="204"/>
      <c r="AE307" s="204"/>
      <c r="AF307" s="204"/>
      <c r="AG307" s="204"/>
      <c r="AH307" s="204"/>
      <c r="AI307" s="204"/>
      <c r="AJ307" s="204"/>
      <c r="AK307" s="204"/>
      <c r="AL307" s="204"/>
      <c r="AM307" s="204"/>
      <c r="AN307" s="204"/>
      <c r="AO307" s="204"/>
      <c r="AP307" s="204"/>
      <c r="AQ307" s="204"/>
      <c r="AR307" s="204"/>
      <c r="AS307" s="204"/>
      <c r="AT307" s="204"/>
      <c r="AU307" s="206"/>
      <c r="AV307" s="202"/>
      <c r="AW307" s="202"/>
      <c r="AX307" s="202"/>
      <c r="AY307" s="202"/>
      <c r="AZ307" s="202"/>
      <c r="BA307" s="202"/>
      <c r="BB307" s="202"/>
      <c r="BC307" s="202"/>
      <c r="BD307" s="202"/>
      <c r="BE307" s="202"/>
      <c r="BF307" s="202"/>
      <c r="BG307" s="202"/>
    </row>
    <row r="308" spans="2:59" ht="15">
      <c r="B308" s="204" t="s">
        <v>497</v>
      </c>
      <c r="C308" s="204" t="s">
        <v>497</v>
      </c>
      <c r="D308" s="204" t="s">
        <v>497</v>
      </c>
      <c r="E308" s="204" t="s">
        <v>497</v>
      </c>
      <c r="F308" s="204" t="s">
        <v>497</v>
      </c>
      <c r="G308" s="204" t="s">
        <v>497</v>
      </c>
      <c r="H308" s="204" t="s">
        <v>497</v>
      </c>
      <c r="I308" s="204" t="s">
        <v>497</v>
      </c>
      <c r="J308" s="205" t="s">
        <v>497</v>
      </c>
      <c r="K308" s="205" t="s">
        <v>497</v>
      </c>
      <c r="L308" s="204" t="s">
        <v>497</v>
      </c>
      <c r="M308" s="204" t="s">
        <v>497</v>
      </c>
      <c r="N308" s="204"/>
      <c r="O308" s="204"/>
      <c r="P308" s="204"/>
      <c r="Q308" s="204"/>
      <c r="R308" s="204"/>
      <c r="S308" s="204"/>
      <c r="T308" s="204"/>
      <c r="U308" s="204"/>
      <c r="V308" s="204"/>
      <c r="W308" s="204"/>
      <c r="X308" s="204"/>
      <c r="Y308" s="204"/>
      <c r="Z308" s="204"/>
      <c r="AA308" s="204"/>
      <c r="AB308" s="204"/>
      <c r="AC308" s="204"/>
      <c r="AD308" s="204"/>
      <c r="AE308" s="204"/>
      <c r="AF308" s="204"/>
      <c r="AG308" s="204"/>
      <c r="AH308" s="204"/>
      <c r="AI308" s="204"/>
      <c r="AJ308" s="204"/>
      <c r="AK308" s="204"/>
      <c r="AL308" s="204"/>
      <c r="AM308" s="204"/>
      <c r="AN308" s="204"/>
      <c r="AO308" s="204"/>
      <c r="AP308" s="204"/>
      <c r="AQ308" s="204"/>
      <c r="AR308" s="204"/>
      <c r="AS308" s="204"/>
      <c r="AT308" s="204"/>
      <c r="AU308" s="206"/>
      <c r="AV308" s="202"/>
      <c r="AW308" s="202"/>
      <c r="AX308" s="202"/>
      <c r="AY308" s="202"/>
      <c r="AZ308" s="202"/>
      <c r="BA308" s="202"/>
      <c r="BB308" s="202"/>
      <c r="BC308" s="202"/>
      <c r="BD308" s="202"/>
      <c r="BE308" s="202"/>
      <c r="BF308" s="202"/>
      <c r="BG308" s="202"/>
    </row>
    <row r="309" spans="2:59" ht="15">
      <c r="B309" s="204" t="s">
        <v>497</v>
      </c>
      <c r="C309" s="204" t="s">
        <v>497</v>
      </c>
      <c r="D309" s="204" t="s">
        <v>497</v>
      </c>
      <c r="E309" s="204" t="s">
        <v>497</v>
      </c>
      <c r="F309" s="204" t="s">
        <v>497</v>
      </c>
      <c r="G309" s="204" t="s">
        <v>497</v>
      </c>
      <c r="H309" s="204" t="s">
        <v>497</v>
      </c>
      <c r="I309" s="204" t="s">
        <v>497</v>
      </c>
      <c r="J309" s="205" t="s">
        <v>497</v>
      </c>
      <c r="K309" s="205" t="s">
        <v>497</v>
      </c>
      <c r="L309" s="204" t="s">
        <v>497</v>
      </c>
      <c r="M309" s="204" t="s">
        <v>497</v>
      </c>
      <c r="N309" s="204"/>
      <c r="O309" s="204"/>
      <c r="P309" s="204"/>
      <c r="Q309" s="204"/>
      <c r="R309" s="204"/>
      <c r="S309" s="204"/>
      <c r="T309" s="204"/>
      <c r="U309" s="204"/>
      <c r="V309" s="204"/>
      <c r="W309" s="204"/>
      <c r="X309" s="204"/>
      <c r="Y309" s="204"/>
      <c r="Z309" s="204"/>
      <c r="AA309" s="204"/>
      <c r="AB309" s="204"/>
      <c r="AC309" s="204"/>
      <c r="AD309" s="204"/>
      <c r="AE309" s="204"/>
      <c r="AF309" s="204"/>
      <c r="AG309" s="204"/>
      <c r="AH309" s="204"/>
      <c r="AI309" s="204"/>
      <c r="AJ309" s="204"/>
      <c r="AK309" s="204"/>
      <c r="AL309" s="204"/>
      <c r="AM309" s="204"/>
      <c r="AN309" s="204"/>
      <c r="AO309" s="204"/>
      <c r="AP309" s="204"/>
      <c r="AQ309" s="204"/>
      <c r="AR309" s="204"/>
      <c r="AS309" s="204"/>
      <c r="AT309" s="204"/>
      <c r="AU309" s="206"/>
      <c r="AV309" s="202"/>
      <c r="AW309" s="202"/>
      <c r="AX309" s="202"/>
      <c r="AY309" s="202"/>
      <c r="AZ309" s="202"/>
      <c r="BA309" s="202"/>
      <c r="BB309" s="202"/>
      <c r="BC309" s="202"/>
      <c r="BD309" s="202"/>
      <c r="BE309" s="202"/>
      <c r="BF309" s="202"/>
      <c r="BG309" s="202"/>
    </row>
    <row r="310" spans="2:59" ht="15">
      <c r="B310" s="204" t="s">
        <v>497</v>
      </c>
      <c r="C310" s="204" t="s">
        <v>497</v>
      </c>
      <c r="D310" s="204" t="s">
        <v>497</v>
      </c>
      <c r="E310" s="204" t="s">
        <v>497</v>
      </c>
      <c r="F310" s="204" t="s">
        <v>497</v>
      </c>
      <c r="G310" s="204" t="s">
        <v>497</v>
      </c>
      <c r="H310" s="204" t="s">
        <v>497</v>
      </c>
      <c r="I310" s="204" t="s">
        <v>497</v>
      </c>
      <c r="J310" s="205" t="s">
        <v>497</v>
      </c>
      <c r="K310" s="205" t="s">
        <v>497</v>
      </c>
      <c r="L310" s="204" t="s">
        <v>497</v>
      </c>
      <c r="M310" s="204" t="s">
        <v>497</v>
      </c>
      <c r="N310" s="204"/>
      <c r="O310" s="204"/>
      <c r="P310" s="204"/>
      <c r="Q310" s="204"/>
      <c r="R310" s="204"/>
      <c r="S310" s="204"/>
      <c r="T310" s="204"/>
      <c r="U310" s="204"/>
      <c r="V310" s="204"/>
      <c r="W310" s="204"/>
      <c r="X310" s="204"/>
      <c r="Y310" s="204"/>
      <c r="Z310" s="204"/>
      <c r="AA310" s="204"/>
      <c r="AB310" s="204"/>
      <c r="AC310" s="204"/>
      <c r="AD310" s="204"/>
      <c r="AE310" s="204"/>
      <c r="AF310" s="204"/>
      <c r="AG310" s="204"/>
      <c r="AH310" s="204"/>
      <c r="AI310" s="204"/>
      <c r="AJ310" s="204"/>
      <c r="AK310" s="204"/>
      <c r="AL310" s="204"/>
      <c r="AM310" s="204"/>
      <c r="AN310" s="204"/>
      <c r="AO310" s="204"/>
      <c r="AP310" s="204"/>
      <c r="AQ310" s="204"/>
      <c r="AR310" s="204"/>
      <c r="AS310" s="204"/>
      <c r="AT310" s="204"/>
      <c r="AU310" s="206"/>
      <c r="AV310" s="202"/>
      <c r="AW310" s="202"/>
      <c r="AX310" s="202"/>
      <c r="AY310" s="202"/>
      <c r="AZ310" s="202"/>
      <c r="BA310" s="202"/>
      <c r="BB310" s="202"/>
      <c r="BC310" s="202"/>
      <c r="BD310" s="202"/>
      <c r="BE310" s="202"/>
      <c r="BF310" s="202"/>
      <c r="BG310" s="202"/>
    </row>
    <row r="311" spans="2:59" ht="15">
      <c r="B311" s="204" t="s">
        <v>497</v>
      </c>
      <c r="C311" s="204" t="s">
        <v>497</v>
      </c>
      <c r="D311" s="204" t="s">
        <v>497</v>
      </c>
      <c r="E311" s="204" t="s">
        <v>497</v>
      </c>
      <c r="F311" s="204" t="s">
        <v>497</v>
      </c>
      <c r="G311" s="204" t="s">
        <v>497</v>
      </c>
      <c r="H311" s="204" t="s">
        <v>497</v>
      </c>
      <c r="I311" s="204" t="s">
        <v>497</v>
      </c>
      <c r="J311" s="205" t="s">
        <v>497</v>
      </c>
      <c r="K311" s="205" t="s">
        <v>497</v>
      </c>
      <c r="L311" s="204" t="s">
        <v>497</v>
      </c>
      <c r="M311" s="204" t="s">
        <v>497</v>
      </c>
      <c r="N311" s="204"/>
      <c r="O311" s="204"/>
      <c r="P311" s="204"/>
      <c r="Q311" s="204"/>
      <c r="R311" s="204"/>
      <c r="S311" s="204"/>
      <c r="T311" s="204"/>
      <c r="U311" s="204"/>
      <c r="V311" s="204"/>
      <c r="W311" s="204"/>
      <c r="X311" s="204"/>
      <c r="Y311" s="204"/>
      <c r="Z311" s="204"/>
      <c r="AA311" s="204"/>
      <c r="AB311" s="204"/>
      <c r="AC311" s="204"/>
      <c r="AD311" s="204"/>
      <c r="AE311" s="204"/>
      <c r="AF311" s="204"/>
      <c r="AG311" s="204"/>
      <c r="AH311" s="204"/>
      <c r="AI311" s="204"/>
      <c r="AJ311" s="204"/>
      <c r="AK311" s="204"/>
      <c r="AL311" s="204"/>
      <c r="AM311" s="204"/>
      <c r="AN311" s="204"/>
      <c r="AO311" s="204"/>
      <c r="AP311" s="204"/>
      <c r="AQ311" s="204"/>
      <c r="AR311" s="204"/>
      <c r="AS311" s="204"/>
      <c r="AT311" s="204"/>
      <c r="AU311" s="206"/>
      <c r="AV311" s="202"/>
      <c r="AW311" s="202"/>
      <c r="AX311" s="202"/>
      <c r="AY311" s="202"/>
      <c r="AZ311" s="202"/>
      <c r="BA311" s="202"/>
      <c r="BB311" s="202"/>
      <c r="BC311" s="202"/>
      <c r="BD311" s="202"/>
      <c r="BE311" s="202"/>
      <c r="BF311" s="202"/>
      <c r="BG311" s="202"/>
    </row>
    <row r="312" spans="2:59" ht="15">
      <c r="B312" s="204" t="s">
        <v>497</v>
      </c>
      <c r="C312" s="204" t="s">
        <v>497</v>
      </c>
      <c r="D312" s="204" t="s">
        <v>497</v>
      </c>
      <c r="E312" s="204" t="s">
        <v>497</v>
      </c>
      <c r="F312" s="204" t="s">
        <v>497</v>
      </c>
      <c r="G312" s="204" t="s">
        <v>497</v>
      </c>
      <c r="H312" s="204" t="s">
        <v>497</v>
      </c>
      <c r="I312" s="204" t="s">
        <v>497</v>
      </c>
      <c r="J312" s="205" t="s">
        <v>497</v>
      </c>
      <c r="K312" s="205" t="s">
        <v>497</v>
      </c>
      <c r="L312" s="204" t="s">
        <v>497</v>
      </c>
      <c r="M312" s="204" t="s">
        <v>497</v>
      </c>
      <c r="N312" s="204"/>
      <c r="O312" s="204"/>
      <c r="P312" s="204"/>
      <c r="Q312" s="204"/>
      <c r="R312" s="204"/>
      <c r="S312" s="204"/>
      <c r="T312" s="204"/>
      <c r="U312" s="204"/>
      <c r="V312" s="204"/>
      <c r="W312" s="204"/>
      <c r="X312" s="204"/>
      <c r="Y312" s="204"/>
      <c r="Z312" s="204"/>
      <c r="AA312" s="204"/>
      <c r="AB312" s="204"/>
      <c r="AC312" s="204"/>
      <c r="AD312" s="204"/>
      <c r="AE312" s="204"/>
      <c r="AF312" s="204"/>
      <c r="AG312" s="204"/>
      <c r="AH312" s="204"/>
      <c r="AI312" s="204"/>
      <c r="AJ312" s="204"/>
      <c r="AK312" s="204"/>
      <c r="AL312" s="204"/>
      <c r="AM312" s="204"/>
      <c r="AN312" s="204"/>
      <c r="AO312" s="204"/>
      <c r="AP312" s="204"/>
      <c r="AQ312" s="204"/>
      <c r="AR312" s="204"/>
      <c r="AS312" s="204"/>
      <c r="AT312" s="204"/>
      <c r="AU312" s="206"/>
      <c r="AV312" s="202"/>
      <c r="AW312" s="202"/>
      <c r="AX312" s="202"/>
      <c r="AY312" s="202"/>
      <c r="AZ312" s="202"/>
      <c r="BA312" s="202"/>
      <c r="BB312" s="202"/>
      <c r="BC312" s="202"/>
      <c r="BD312" s="202"/>
      <c r="BE312" s="202"/>
      <c r="BF312" s="202"/>
      <c r="BG312" s="202"/>
    </row>
    <row r="313" spans="2:59" ht="15">
      <c r="B313" s="204" t="s">
        <v>497</v>
      </c>
      <c r="C313" s="204" t="s">
        <v>497</v>
      </c>
      <c r="D313" s="204" t="s">
        <v>497</v>
      </c>
      <c r="E313" s="204" t="s">
        <v>497</v>
      </c>
      <c r="F313" s="204" t="s">
        <v>497</v>
      </c>
      <c r="G313" s="204" t="s">
        <v>497</v>
      </c>
      <c r="H313" s="204" t="s">
        <v>497</v>
      </c>
      <c r="I313" s="204" t="s">
        <v>497</v>
      </c>
      <c r="J313" s="205" t="s">
        <v>497</v>
      </c>
      <c r="K313" s="205" t="s">
        <v>497</v>
      </c>
      <c r="L313" s="204" t="s">
        <v>497</v>
      </c>
      <c r="M313" s="204" t="s">
        <v>497</v>
      </c>
      <c r="N313" s="204"/>
      <c r="O313" s="204"/>
      <c r="P313" s="204"/>
      <c r="Q313" s="204"/>
      <c r="R313" s="204"/>
      <c r="S313" s="204"/>
      <c r="T313" s="204"/>
      <c r="U313" s="204"/>
      <c r="V313" s="204"/>
      <c r="W313" s="204"/>
      <c r="X313" s="204"/>
      <c r="Y313" s="204"/>
      <c r="Z313" s="204"/>
      <c r="AA313" s="204"/>
      <c r="AB313" s="204"/>
      <c r="AC313" s="204"/>
      <c r="AD313" s="204"/>
      <c r="AE313" s="204"/>
      <c r="AF313" s="204"/>
      <c r="AG313" s="204"/>
      <c r="AH313" s="204"/>
      <c r="AI313" s="204"/>
      <c r="AJ313" s="204"/>
      <c r="AK313" s="204"/>
      <c r="AL313" s="204"/>
      <c r="AM313" s="204"/>
      <c r="AN313" s="204"/>
      <c r="AO313" s="204"/>
      <c r="AP313" s="204"/>
      <c r="AQ313" s="204"/>
      <c r="AR313" s="204"/>
      <c r="AS313" s="204"/>
      <c r="AT313" s="204"/>
      <c r="AU313" s="206"/>
      <c r="AV313" s="202"/>
      <c r="AW313" s="202"/>
      <c r="AX313" s="202"/>
      <c r="AY313" s="202"/>
      <c r="AZ313" s="202"/>
      <c r="BA313" s="202"/>
      <c r="BB313" s="202"/>
      <c r="BC313" s="202"/>
      <c r="BD313" s="202"/>
      <c r="BE313" s="202"/>
      <c r="BF313" s="202"/>
      <c r="BG313" s="202"/>
    </row>
    <row r="314" spans="2:59" ht="15">
      <c r="B314" s="204" t="s">
        <v>497</v>
      </c>
      <c r="C314" s="204" t="s">
        <v>497</v>
      </c>
      <c r="D314" s="204" t="s">
        <v>497</v>
      </c>
      <c r="E314" s="204" t="s">
        <v>497</v>
      </c>
      <c r="F314" s="204" t="s">
        <v>497</v>
      </c>
      <c r="G314" s="204" t="s">
        <v>497</v>
      </c>
      <c r="H314" s="204" t="s">
        <v>497</v>
      </c>
      <c r="I314" s="204" t="s">
        <v>497</v>
      </c>
      <c r="J314" s="205" t="s">
        <v>497</v>
      </c>
      <c r="K314" s="205" t="s">
        <v>497</v>
      </c>
      <c r="L314" s="204" t="s">
        <v>497</v>
      </c>
      <c r="M314" s="204" t="s">
        <v>497</v>
      </c>
      <c r="N314" s="204"/>
      <c r="O314" s="204"/>
      <c r="P314" s="204"/>
      <c r="Q314" s="204"/>
      <c r="R314" s="204"/>
      <c r="S314" s="204"/>
      <c r="T314" s="204"/>
      <c r="U314" s="204"/>
      <c r="V314" s="204"/>
      <c r="W314" s="204"/>
      <c r="X314" s="204"/>
      <c r="Y314" s="204"/>
      <c r="Z314" s="204"/>
      <c r="AA314" s="204"/>
      <c r="AB314" s="204"/>
      <c r="AC314" s="204"/>
      <c r="AD314" s="204"/>
      <c r="AE314" s="204"/>
      <c r="AF314" s="204"/>
      <c r="AG314" s="204"/>
      <c r="AH314" s="204"/>
      <c r="AI314" s="204"/>
      <c r="AJ314" s="204"/>
      <c r="AK314" s="204"/>
      <c r="AL314" s="204"/>
      <c r="AM314" s="204"/>
      <c r="AN314" s="204"/>
      <c r="AO314" s="204"/>
      <c r="AP314" s="204"/>
      <c r="AQ314" s="204"/>
      <c r="AR314" s="204"/>
      <c r="AS314" s="204"/>
      <c r="AT314" s="204"/>
      <c r="AU314" s="206"/>
      <c r="AV314" s="202"/>
      <c r="AW314" s="202"/>
      <c r="AX314" s="202"/>
      <c r="AY314" s="202"/>
      <c r="AZ314" s="202"/>
      <c r="BA314" s="202"/>
      <c r="BB314" s="202"/>
      <c r="BC314" s="202"/>
      <c r="BD314" s="202"/>
      <c r="BE314" s="202"/>
      <c r="BF314" s="202"/>
      <c r="BG314" s="202"/>
    </row>
    <row r="315" spans="2:59" ht="15">
      <c r="B315" s="204" t="s">
        <v>497</v>
      </c>
      <c r="C315" s="204" t="s">
        <v>497</v>
      </c>
      <c r="D315" s="204" t="s">
        <v>497</v>
      </c>
      <c r="E315" s="204" t="s">
        <v>497</v>
      </c>
      <c r="F315" s="204" t="s">
        <v>497</v>
      </c>
      <c r="G315" s="204" t="s">
        <v>497</v>
      </c>
      <c r="H315" s="204" t="s">
        <v>497</v>
      </c>
      <c r="I315" s="204" t="s">
        <v>497</v>
      </c>
      <c r="J315" s="205" t="s">
        <v>497</v>
      </c>
      <c r="K315" s="205" t="s">
        <v>497</v>
      </c>
      <c r="L315" s="204" t="s">
        <v>497</v>
      </c>
      <c r="M315" s="204" t="s">
        <v>497</v>
      </c>
      <c r="N315" s="204"/>
      <c r="O315" s="204"/>
      <c r="P315" s="204"/>
      <c r="Q315" s="204"/>
      <c r="R315" s="204"/>
      <c r="S315" s="204"/>
      <c r="T315" s="204"/>
      <c r="U315" s="204"/>
      <c r="V315" s="204"/>
      <c r="W315" s="204"/>
      <c r="X315" s="204"/>
      <c r="Y315" s="204"/>
      <c r="Z315" s="204"/>
      <c r="AA315" s="204"/>
      <c r="AB315" s="204"/>
      <c r="AC315" s="204"/>
      <c r="AD315" s="204"/>
      <c r="AE315" s="204"/>
      <c r="AF315" s="204"/>
      <c r="AG315" s="204"/>
      <c r="AH315" s="204"/>
      <c r="AI315" s="204"/>
      <c r="AJ315" s="204"/>
      <c r="AK315" s="204"/>
      <c r="AL315" s="204"/>
      <c r="AM315" s="204"/>
      <c r="AN315" s="204"/>
      <c r="AO315" s="204"/>
      <c r="AP315" s="204"/>
      <c r="AQ315" s="204"/>
      <c r="AR315" s="204"/>
      <c r="AS315" s="204"/>
      <c r="AT315" s="204"/>
      <c r="AU315" s="206"/>
      <c r="AV315" s="202"/>
      <c r="AW315" s="202"/>
      <c r="AX315" s="202"/>
      <c r="AY315" s="202"/>
      <c r="AZ315" s="202"/>
      <c r="BA315" s="202"/>
      <c r="BB315" s="202"/>
      <c r="BC315" s="202"/>
      <c r="BD315" s="202"/>
      <c r="BE315" s="202"/>
      <c r="BF315" s="202"/>
      <c r="BG315" s="202"/>
    </row>
    <row r="316" spans="2:59" ht="15">
      <c r="B316" s="204" t="s">
        <v>497</v>
      </c>
      <c r="C316" s="204" t="s">
        <v>497</v>
      </c>
      <c r="D316" s="204" t="s">
        <v>497</v>
      </c>
      <c r="E316" s="204" t="s">
        <v>497</v>
      </c>
      <c r="F316" s="204" t="s">
        <v>497</v>
      </c>
      <c r="G316" s="204" t="s">
        <v>497</v>
      </c>
      <c r="H316" s="204" t="s">
        <v>497</v>
      </c>
      <c r="I316" s="204" t="s">
        <v>497</v>
      </c>
      <c r="J316" s="205" t="s">
        <v>497</v>
      </c>
      <c r="K316" s="205" t="s">
        <v>497</v>
      </c>
      <c r="L316" s="204" t="s">
        <v>497</v>
      </c>
      <c r="M316" s="204" t="s">
        <v>497</v>
      </c>
      <c r="N316" s="204"/>
      <c r="O316" s="204"/>
      <c r="P316" s="204"/>
      <c r="Q316" s="204"/>
      <c r="R316" s="204"/>
      <c r="S316" s="204"/>
      <c r="T316" s="204"/>
      <c r="U316" s="204"/>
      <c r="V316" s="204"/>
      <c r="W316" s="204"/>
      <c r="X316" s="204"/>
      <c r="Y316" s="204"/>
      <c r="Z316" s="204"/>
      <c r="AA316" s="204"/>
      <c r="AB316" s="204"/>
      <c r="AC316" s="204"/>
      <c r="AD316" s="204"/>
      <c r="AE316" s="204"/>
      <c r="AF316" s="204"/>
      <c r="AG316" s="204"/>
      <c r="AH316" s="204"/>
      <c r="AI316" s="204"/>
      <c r="AJ316" s="204"/>
      <c r="AK316" s="204"/>
      <c r="AL316" s="204"/>
      <c r="AM316" s="204"/>
      <c r="AN316" s="204"/>
      <c r="AO316" s="204"/>
      <c r="AP316" s="204"/>
      <c r="AQ316" s="204"/>
      <c r="AR316" s="204"/>
      <c r="AS316" s="204"/>
      <c r="AT316" s="204"/>
      <c r="AU316" s="206"/>
      <c r="AV316" s="202"/>
      <c r="AW316" s="202"/>
      <c r="AX316" s="202"/>
      <c r="AY316" s="202"/>
      <c r="AZ316" s="202"/>
      <c r="BA316" s="202"/>
      <c r="BB316" s="202"/>
      <c r="BC316" s="202"/>
      <c r="BD316" s="202"/>
      <c r="BE316" s="202"/>
      <c r="BF316" s="202"/>
      <c r="BG316" s="202"/>
    </row>
    <row r="317" spans="2:59" ht="15">
      <c r="B317" s="204" t="s">
        <v>497</v>
      </c>
      <c r="C317" s="204" t="s">
        <v>497</v>
      </c>
      <c r="D317" s="204" t="s">
        <v>497</v>
      </c>
      <c r="E317" s="204" t="s">
        <v>497</v>
      </c>
      <c r="F317" s="204" t="s">
        <v>497</v>
      </c>
      <c r="G317" s="204" t="s">
        <v>497</v>
      </c>
      <c r="H317" s="204" t="s">
        <v>497</v>
      </c>
      <c r="I317" s="204" t="s">
        <v>497</v>
      </c>
      <c r="J317" s="205" t="s">
        <v>497</v>
      </c>
      <c r="K317" s="205" t="s">
        <v>497</v>
      </c>
      <c r="L317" s="204" t="s">
        <v>497</v>
      </c>
      <c r="M317" s="204" t="s">
        <v>497</v>
      </c>
      <c r="N317" s="204"/>
      <c r="O317" s="204"/>
      <c r="P317" s="204"/>
      <c r="Q317" s="204"/>
      <c r="R317" s="204"/>
      <c r="S317" s="204"/>
      <c r="T317" s="204"/>
      <c r="U317" s="204"/>
      <c r="V317" s="204"/>
      <c r="W317" s="204"/>
      <c r="X317" s="204"/>
      <c r="Y317" s="204"/>
      <c r="Z317" s="204"/>
      <c r="AA317" s="204"/>
      <c r="AB317" s="204"/>
      <c r="AC317" s="204"/>
      <c r="AD317" s="204"/>
      <c r="AE317" s="204"/>
      <c r="AF317" s="204"/>
      <c r="AG317" s="204"/>
      <c r="AH317" s="204"/>
      <c r="AI317" s="204"/>
      <c r="AJ317" s="204"/>
      <c r="AK317" s="204"/>
      <c r="AL317" s="204"/>
      <c r="AM317" s="204"/>
      <c r="AN317" s="204"/>
      <c r="AO317" s="204"/>
      <c r="AP317" s="204"/>
      <c r="AQ317" s="204"/>
      <c r="AR317" s="204"/>
      <c r="AS317" s="204"/>
      <c r="AT317" s="204"/>
      <c r="AU317" s="206"/>
      <c r="AV317" s="202"/>
      <c r="AW317" s="202"/>
      <c r="AX317" s="202"/>
      <c r="AY317" s="202"/>
      <c r="AZ317" s="202"/>
      <c r="BA317" s="202"/>
      <c r="BB317" s="202"/>
      <c r="BC317" s="202"/>
      <c r="BD317" s="202"/>
      <c r="BE317" s="202"/>
      <c r="BF317" s="202"/>
      <c r="BG317" s="202"/>
    </row>
    <row r="318" spans="2:59" ht="15">
      <c r="B318" s="204" t="s">
        <v>497</v>
      </c>
      <c r="C318" s="204" t="s">
        <v>497</v>
      </c>
      <c r="D318" s="204" t="s">
        <v>497</v>
      </c>
      <c r="E318" s="204" t="s">
        <v>497</v>
      </c>
      <c r="F318" s="204" t="s">
        <v>497</v>
      </c>
      <c r="G318" s="204" t="s">
        <v>497</v>
      </c>
      <c r="H318" s="204" t="s">
        <v>497</v>
      </c>
      <c r="I318" s="204" t="s">
        <v>497</v>
      </c>
      <c r="J318" s="205" t="s">
        <v>497</v>
      </c>
      <c r="K318" s="205" t="s">
        <v>497</v>
      </c>
      <c r="L318" s="204" t="s">
        <v>497</v>
      </c>
      <c r="M318" s="204" t="s">
        <v>497</v>
      </c>
      <c r="N318" s="204"/>
      <c r="O318" s="204"/>
      <c r="P318" s="204"/>
      <c r="Q318" s="204"/>
      <c r="R318" s="204"/>
      <c r="S318" s="204"/>
      <c r="T318" s="204"/>
      <c r="U318" s="204"/>
      <c r="V318" s="204"/>
      <c r="W318" s="204"/>
      <c r="X318" s="204"/>
      <c r="Y318" s="204"/>
      <c r="Z318" s="204"/>
      <c r="AA318" s="204"/>
      <c r="AB318" s="204"/>
      <c r="AC318" s="204"/>
      <c r="AD318" s="204"/>
      <c r="AE318" s="204"/>
      <c r="AF318" s="204"/>
      <c r="AG318" s="204"/>
      <c r="AH318" s="204"/>
      <c r="AI318" s="204"/>
      <c r="AJ318" s="204"/>
      <c r="AK318" s="204"/>
      <c r="AL318" s="204"/>
      <c r="AM318" s="204"/>
      <c r="AN318" s="204"/>
      <c r="AO318" s="204"/>
      <c r="AP318" s="204"/>
      <c r="AQ318" s="204"/>
      <c r="AR318" s="204"/>
      <c r="AS318" s="204"/>
      <c r="AT318" s="204"/>
      <c r="AU318" s="206"/>
      <c r="AV318" s="202"/>
      <c r="AW318" s="202"/>
      <c r="AX318" s="202"/>
      <c r="AY318" s="202"/>
      <c r="AZ318" s="202"/>
      <c r="BA318" s="202"/>
      <c r="BB318" s="202"/>
      <c r="BC318" s="202"/>
      <c r="BD318" s="202"/>
      <c r="BE318" s="202"/>
      <c r="BF318" s="202"/>
      <c r="BG318" s="202"/>
    </row>
    <row r="319" spans="2:59" ht="15">
      <c r="B319" s="204" t="s">
        <v>497</v>
      </c>
      <c r="C319" s="204" t="s">
        <v>497</v>
      </c>
      <c r="D319" s="204" t="s">
        <v>497</v>
      </c>
      <c r="E319" s="204" t="s">
        <v>497</v>
      </c>
      <c r="F319" s="204" t="s">
        <v>497</v>
      </c>
      <c r="G319" s="204" t="s">
        <v>497</v>
      </c>
      <c r="H319" s="204" t="s">
        <v>497</v>
      </c>
      <c r="I319" s="204" t="s">
        <v>497</v>
      </c>
      <c r="J319" s="205" t="s">
        <v>497</v>
      </c>
      <c r="K319" s="205" t="s">
        <v>497</v>
      </c>
      <c r="L319" s="204" t="s">
        <v>497</v>
      </c>
      <c r="M319" s="204" t="s">
        <v>497</v>
      </c>
      <c r="N319" s="204"/>
      <c r="O319" s="204"/>
      <c r="P319" s="204"/>
      <c r="Q319" s="204"/>
      <c r="R319" s="204"/>
      <c r="S319" s="204"/>
      <c r="T319" s="204"/>
      <c r="U319" s="204"/>
      <c r="V319" s="204"/>
      <c r="W319" s="204"/>
      <c r="X319" s="204"/>
      <c r="Y319" s="204"/>
      <c r="Z319" s="204"/>
      <c r="AA319" s="204"/>
      <c r="AB319" s="204"/>
      <c r="AC319" s="204"/>
      <c r="AD319" s="204"/>
      <c r="AE319" s="204"/>
      <c r="AF319" s="204"/>
      <c r="AG319" s="204"/>
      <c r="AH319" s="204"/>
      <c r="AI319" s="204"/>
      <c r="AJ319" s="204"/>
      <c r="AK319" s="204"/>
      <c r="AL319" s="204"/>
      <c r="AM319" s="204"/>
      <c r="AN319" s="204"/>
      <c r="AO319" s="204"/>
      <c r="AP319" s="204"/>
      <c r="AQ319" s="204"/>
      <c r="AR319" s="204"/>
      <c r="AS319" s="204"/>
      <c r="AT319" s="204"/>
      <c r="AU319" s="206"/>
      <c r="AV319" s="202"/>
      <c r="AW319" s="202"/>
      <c r="AX319" s="202"/>
      <c r="AY319" s="202"/>
      <c r="AZ319" s="202"/>
      <c r="BA319" s="202"/>
      <c r="BB319" s="202"/>
      <c r="BC319" s="202"/>
      <c r="BD319" s="202"/>
      <c r="BE319" s="202"/>
      <c r="BF319" s="202"/>
      <c r="BG319" s="202"/>
    </row>
    <row r="320" spans="2:59" ht="15">
      <c r="B320" s="204" t="s">
        <v>497</v>
      </c>
      <c r="C320" s="204" t="s">
        <v>497</v>
      </c>
      <c r="D320" s="204" t="s">
        <v>497</v>
      </c>
      <c r="E320" s="204" t="s">
        <v>497</v>
      </c>
      <c r="F320" s="204" t="s">
        <v>497</v>
      </c>
      <c r="G320" s="204" t="s">
        <v>497</v>
      </c>
      <c r="H320" s="204" t="s">
        <v>497</v>
      </c>
      <c r="I320" s="204" t="s">
        <v>497</v>
      </c>
      <c r="J320" s="205" t="s">
        <v>497</v>
      </c>
      <c r="K320" s="205" t="s">
        <v>497</v>
      </c>
      <c r="L320" s="204" t="s">
        <v>497</v>
      </c>
      <c r="M320" s="204" t="s">
        <v>497</v>
      </c>
      <c r="N320" s="204"/>
      <c r="O320" s="204"/>
      <c r="P320" s="204"/>
      <c r="Q320" s="204"/>
      <c r="R320" s="204"/>
      <c r="S320" s="204"/>
      <c r="T320" s="204"/>
      <c r="U320" s="204"/>
      <c r="V320" s="204"/>
      <c r="W320" s="204"/>
      <c r="X320" s="204"/>
      <c r="Y320" s="204"/>
      <c r="Z320" s="204"/>
      <c r="AA320" s="204"/>
      <c r="AB320" s="204"/>
      <c r="AC320" s="204"/>
      <c r="AD320" s="204"/>
      <c r="AE320" s="204"/>
      <c r="AF320" s="204"/>
      <c r="AG320" s="204"/>
      <c r="AH320" s="204"/>
      <c r="AI320" s="204"/>
      <c r="AJ320" s="204"/>
      <c r="AK320" s="204"/>
      <c r="AL320" s="204"/>
      <c r="AM320" s="204"/>
      <c r="AN320" s="204"/>
      <c r="AO320" s="204"/>
      <c r="AP320" s="204"/>
      <c r="AQ320" s="204"/>
      <c r="AR320" s="204"/>
      <c r="AS320" s="204"/>
      <c r="AT320" s="204"/>
      <c r="AU320" s="206"/>
      <c r="AV320" s="202"/>
      <c r="AW320" s="202"/>
      <c r="AX320" s="202"/>
      <c r="AY320" s="202"/>
      <c r="AZ320" s="202"/>
      <c r="BA320" s="202"/>
      <c r="BB320" s="202"/>
      <c r="BC320" s="202"/>
      <c r="BD320" s="202"/>
      <c r="BE320" s="202"/>
      <c r="BF320" s="202"/>
      <c r="BG320" s="202"/>
    </row>
    <row r="321" spans="2:59" ht="15">
      <c r="B321" s="204" t="s">
        <v>497</v>
      </c>
      <c r="C321" s="204" t="s">
        <v>497</v>
      </c>
      <c r="D321" s="204" t="s">
        <v>497</v>
      </c>
      <c r="E321" s="204" t="s">
        <v>497</v>
      </c>
      <c r="F321" s="204" t="s">
        <v>497</v>
      </c>
      <c r="G321" s="204" t="s">
        <v>497</v>
      </c>
      <c r="H321" s="204" t="s">
        <v>497</v>
      </c>
      <c r="I321" s="204" t="s">
        <v>497</v>
      </c>
      <c r="J321" s="205" t="s">
        <v>497</v>
      </c>
      <c r="K321" s="205" t="s">
        <v>497</v>
      </c>
      <c r="L321" s="204" t="s">
        <v>497</v>
      </c>
      <c r="M321" s="204" t="s">
        <v>497</v>
      </c>
      <c r="N321" s="204"/>
      <c r="O321" s="204"/>
      <c r="P321" s="204"/>
      <c r="Q321" s="204"/>
      <c r="R321" s="204"/>
      <c r="S321" s="204"/>
      <c r="T321" s="204"/>
      <c r="U321" s="204"/>
      <c r="V321" s="204"/>
      <c r="W321" s="204"/>
      <c r="X321" s="204"/>
      <c r="Y321" s="204"/>
      <c r="Z321" s="204"/>
      <c r="AA321" s="204"/>
      <c r="AB321" s="204"/>
      <c r="AC321" s="204"/>
      <c r="AD321" s="204"/>
      <c r="AE321" s="204"/>
      <c r="AF321" s="204"/>
      <c r="AG321" s="204"/>
      <c r="AH321" s="204"/>
      <c r="AI321" s="204"/>
      <c r="AJ321" s="204"/>
      <c r="AK321" s="204"/>
      <c r="AL321" s="204"/>
      <c r="AM321" s="204"/>
      <c r="AN321" s="204"/>
      <c r="AO321" s="204"/>
      <c r="AP321" s="204"/>
      <c r="AQ321" s="204"/>
      <c r="AR321" s="204"/>
      <c r="AS321" s="204"/>
      <c r="AT321" s="204"/>
      <c r="AU321" s="206"/>
      <c r="AV321" s="202"/>
      <c r="AW321" s="202"/>
      <c r="AX321" s="202"/>
      <c r="AY321" s="202"/>
      <c r="AZ321" s="202"/>
      <c r="BA321" s="202"/>
      <c r="BB321" s="202"/>
      <c r="BC321" s="202"/>
      <c r="BD321" s="202"/>
      <c r="BE321" s="202"/>
      <c r="BF321" s="202"/>
      <c r="BG321" s="202"/>
    </row>
    <row r="322" spans="2:59" ht="15">
      <c r="B322" s="204" t="s">
        <v>497</v>
      </c>
      <c r="C322" s="204" t="s">
        <v>497</v>
      </c>
      <c r="D322" s="204" t="s">
        <v>497</v>
      </c>
      <c r="E322" s="204" t="s">
        <v>497</v>
      </c>
      <c r="F322" s="204" t="s">
        <v>497</v>
      </c>
      <c r="G322" s="204" t="s">
        <v>497</v>
      </c>
      <c r="H322" s="204" t="s">
        <v>497</v>
      </c>
      <c r="I322" s="204" t="s">
        <v>497</v>
      </c>
      <c r="J322" s="205" t="s">
        <v>497</v>
      </c>
      <c r="K322" s="205" t="s">
        <v>497</v>
      </c>
      <c r="L322" s="204" t="s">
        <v>497</v>
      </c>
      <c r="M322" s="204" t="s">
        <v>497</v>
      </c>
      <c r="N322" s="204"/>
      <c r="O322" s="204"/>
      <c r="P322" s="204"/>
      <c r="Q322" s="204"/>
      <c r="R322" s="204"/>
      <c r="S322" s="204"/>
      <c r="T322" s="204"/>
      <c r="U322" s="204"/>
      <c r="V322" s="204"/>
      <c r="W322" s="204"/>
      <c r="X322" s="204"/>
      <c r="Y322" s="204"/>
      <c r="Z322" s="204"/>
      <c r="AA322" s="204"/>
      <c r="AB322" s="204"/>
      <c r="AC322" s="204"/>
      <c r="AD322" s="204"/>
      <c r="AE322" s="204"/>
      <c r="AF322" s="204"/>
      <c r="AG322" s="204"/>
      <c r="AH322" s="204"/>
      <c r="AI322" s="204"/>
      <c r="AJ322" s="204"/>
      <c r="AK322" s="204"/>
      <c r="AL322" s="204"/>
      <c r="AM322" s="204"/>
      <c r="AN322" s="204"/>
      <c r="AO322" s="204"/>
      <c r="AP322" s="204"/>
      <c r="AQ322" s="204"/>
      <c r="AR322" s="204"/>
      <c r="AS322" s="204"/>
      <c r="AT322" s="204"/>
      <c r="AU322" s="206"/>
      <c r="AV322" s="202"/>
      <c r="AW322" s="202"/>
      <c r="AX322" s="202"/>
      <c r="AY322" s="202"/>
      <c r="AZ322" s="202"/>
      <c r="BA322" s="202"/>
      <c r="BB322" s="202"/>
      <c r="BC322" s="202"/>
      <c r="BD322" s="202"/>
      <c r="BE322" s="202"/>
      <c r="BF322" s="202"/>
      <c r="BG322" s="202"/>
    </row>
    <row r="323" spans="2:59" ht="15">
      <c r="B323" s="204" t="s">
        <v>497</v>
      </c>
      <c r="C323" s="204" t="s">
        <v>497</v>
      </c>
      <c r="D323" s="204" t="s">
        <v>497</v>
      </c>
      <c r="E323" s="204" t="s">
        <v>497</v>
      </c>
      <c r="F323" s="204" t="s">
        <v>497</v>
      </c>
      <c r="G323" s="204" t="s">
        <v>497</v>
      </c>
      <c r="H323" s="204" t="s">
        <v>497</v>
      </c>
      <c r="I323" s="204" t="s">
        <v>497</v>
      </c>
      <c r="J323" s="205" t="s">
        <v>497</v>
      </c>
      <c r="K323" s="205" t="s">
        <v>497</v>
      </c>
      <c r="L323" s="204" t="s">
        <v>497</v>
      </c>
      <c r="M323" s="204" t="s">
        <v>497</v>
      </c>
      <c r="N323" s="204"/>
      <c r="O323" s="204"/>
      <c r="P323" s="204"/>
      <c r="Q323" s="204"/>
      <c r="R323" s="204"/>
      <c r="S323" s="204"/>
      <c r="T323" s="204"/>
      <c r="U323" s="204"/>
      <c r="V323" s="204"/>
      <c r="W323" s="204"/>
      <c r="X323" s="204"/>
      <c r="Y323" s="204"/>
      <c r="Z323" s="204"/>
      <c r="AA323" s="204"/>
      <c r="AB323" s="204"/>
      <c r="AC323" s="204"/>
      <c r="AD323" s="204"/>
      <c r="AE323" s="204"/>
      <c r="AF323" s="204"/>
      <c r="AG323" s="204"/>
      <c r="AH323" s="204"/>
      <c r="AI323" s="204"/>
      <c r="AJ323" s="204"/>
      <c r="AK323" s="204"/>
      <c r="AL323" s="204"/>
      <c r="AM323" s="204"/>
      <c r="AN323" s="204"/>
      <c r="AO323" s="204"/>
      <c r="AP323" s="204"/>
      <c r="AQ323" s="204"/>
      <c r="AR323" s="204"/>
      <c r="AS323" s="204"/>
      <c r="AT323" s="204"/>
      <c r="AU323" s="206"/>
      <c r="AV323" s="202"/>
      <c r="AW323" s="202"/>
      <c r="AX323" s="202"/>
      <c r="AY323" s="202"/>
      <c r="AZ323" s="202"/>
      <c r="BA323" s="202"/>
      <c r="BB323" s="202"/>
      <c r="BC323" s="202"/>
      <c r="BD323" s="202"/>
      <c r="BE323" s="202"/>
      <c r="BF323" s="202"/>
      <c r="BG323" s="202"/>
    </row>
    <row r="324" spans="2:59" ht="15">
      <c r="B324" s="204" t="s">
        <v>497</v>
      </c>
      <c r="C324" s="204" t="s">
        <v>497</v>
      </c>
      <c r="D324" s="204" t="s">
        <v>497</v>
      </c>
      <c r="E324" s="204" t="s">
        <v>497</v>
      </c>
      <c r="F324" s="204" t="s">
        <v>497</v>
      </c>
      <c r="G324" s="204" t="s">
        <v>497</v>
      </c>
      <c r="H324" s="204" t="s">
        <v>497</v>
      </c>
      <c r="I324" s="204" t="s">
        <v>497</v>
      </c>
      <c r="J324" s="205" t="s">
        <v>497</v>
      </c>
      <c r="K324" s="205" t="s">
        <v>497</v>
      </c>
      <c r="L324" s="204" t="s">
        <v>497</v>
      </c>
      <c r="M324" s="204" t="s">
        <v>497</v>
      </c>
      <c r="N324" s="204"/>
      <c r="O324" s="204"/>
      <c r="P324" s="204"/>
      <c r="Q324" s="204"/>
      <c r="R324" s="204"/>
      <c r="S324" s="204"/>
      <c r="T324" s="204"/>
      <c r="U324" s="204"/>
      <c r="V324" s="204"/>
      <c r="W324" s="204"/>
      <c r="X324" s="204"/>
      <c r="Y324" s="204"/>
      <c r="Z324" s="204"/>
      <c r="AA324" s="204"/>
      <c r="AB324" s="204"/>
      <c r="AC324" s="204"/>
      <c r="AD324" s="204"/>
      <c r="AE324" s="204"/>
      <c r="AF324" s="204"/>
      <c r="AG324" s="204"/>
      <c r="AH324" s="204"/>
      <c r="AI324" s="204"/>
      <c r="AJ324" s="204"/>
      <c r="AK324" s="204"/>
      <c r="AL324" s="204"/>
      <c r="AM324" s="204"/>
      <c r="AN324" s="204"/>
      <c r="AO324" s="204"/>
      <c r="AP324" s="204"/>
      <c r="AQ324" s="204"/>
      <c r="AR324" s="204"/>
      <c r="AS324" s="204"/>
      <c r="AT324" s="204"/>
      <c r="AU324" s="206"/>
      <c r="AV324" s="202"/>
      <c r="AW324" s="202"/>
      <c r="AX324" s="202"/>
      <c r="AY324" s="202"/>
      <c r="AZ324" s="202"/>
      <c r="BA324" s="202"/>
      <c r="BB324" s="202"/>
      <c r="BC324" s="202"/>
      <c r="BD324" s="202"/>
      <c r="BE324" s="202"/>
      <c r="BF324" s="202"/>
      <c r="BG324" s="202"/>
    </row>
    <row r="325" spans="2:59" ht="15">
      <c r="B325" s="204" t="s">
        <v>497</v>
      </c>
      <c r="C325" s="204" t="s">
        <v>497</v>
      </c>
      <c r="D325" s="204" t="s">
        <v>497</v>
      </c>
      <c r="E325" s="204" t="s">
        <v>497</v>
      </c>
      <c r="F325" s="204" t="s">
        <v>497</v>
      </c>
      <c r="G325" s="204" t="s">
        <v>497</v>
      </c>
      <c r="H325" s="204" t="s">
        <v>497</v>
      </c>
      <c r="I325" s="204" t="s">
        <v>497</v>
      </c>
      <c r="J325" s="205" t="s">
        <v>497</v>
      </c>
      <c r="K325" s="205" t="s">
        <v>497</v>
      </c>
      <c r="L325" s="204" t="s">
        <v>497</v>
      </c>
      <c r="M325" s="204" t="s">
        <v>497</v>
      </c>
      <c r="N325" s="204"/>
      <c r="O325" s="204"/>
      <c r="P325" s="204"/>
      <c r="Q325" s="204"/>
      <c r="R325" s="204"/>
      <c r="S325" s="204"/>
      <c r="T325" s="204"/>
      <c r="U325" s="204"/>
      <c r="V325" s="204"/>
      <c r="W325" s="204"/>
      <c r="X325" s="204"/>
      <c r="Y325" s="204"/>
      <c r="Z325" s="204"/>
      <c r="AA325" s="204"/>
      <c r="AB325" s="204"/>
      <c r="AC325" s="204"/>
      <c r="AD325" s="204"/>
      <c r="AE325" s="204"/>
      <c r="AF325" s="204"/>
      <c r="AG325" s="204"/>
      <c r="AH325" s="204"/>
      <c r="AI325" s="204"/>
      <c r="AJ325" s="204"/>
      <c r="AK325" s="204"/>
      <c r="AL325" s="204"/>
      <c r="AM325" s="204"/>
      <c r="AN325" s="204"/>
      <c r="AO325" s="204"/>
      <c r="AP325" s="204"/>
      <c r="AQ325" s="204"/>
      <c r="AR325" s="204"/>
      <c r="AS325" s="204"/>
      <c r="AT325" s="204"/>
      <c r="AU325" s="206"/>
      <c r="AV325" s="202"/>
      <c r="AW325" s="202"/>
      <c r="AX325" s="202"/>
      <c r="AY325" s="202"/>
      <c r="AZ325" s="202"/>
      <c r="BA325" s="202"/>
      <c r="BB325" s="202"/>
      <c r="BC325" s="202"/>
      <c r="BD325" s="202"/>
      <c r="BE325" s="202"/>
      <c r="BF325" s="202"/>
      <c r="BG325" s="202"/>
    </row>
    <row r="326" spans="2:59" ht="15">
      <c r="B326" s="204" t="s">
        <v>497</v>
      </c>
      <c r="C326" s="204" t="s">
        <v>497</v>
      </c>
      <c r="D326" s="204" t="s">
        <v>497</v>
      </c>
      <c r="E326" s="204" t="s">
        <v>497</v>
      </c>
      <c r="F326" s="204" t="s">
        <v>497</v>
      </c>
      <c r="G326" s="204" t="s">
        <v>497</v>
      </c>
      <c r="H326" s="204" t="s">
        <v>497</v>
      </c>
      <c r="I326" s="204" t="s">
        <v>497</v>
      </c>
      <c r="J326" s="205" t="s">
        <v>497</v>
      </c>
      <c r="K326" s="205" t="s">
        <v>497</v>
      </c>
      <c r="L326" s="204" t="s">
        <v>497</v>
      </c>
      <c r="M326" s="204" t="s">
        <v>497</v>
      </c>
      <c r="N326" s="204"/>
      <c r="O326" s="204"/>
      <c r="P326" s="204"/>
      <c r="Q326" s="204"/>
      <c r="R326" s="204"/>
      <c r="S326" s="204"/>
      <c r="T326" s="204"/>
      <c r="U326" s="204"/>
      <c r="V326" s="204"/>
      <c r="W326" s="204"/>
      <c r="X326" s="204"/>
      <c r="Y326" s="204"/>
      <c r="Z326" s="204"/>
      <c r="AA326" s="204"/>
      <c r="AB326" s="204"/>
      <c r="AC326" s="204"/>
      <c r="AD326" s="204"/>
      <c r="AE326" s="204"/>
      <c r="AF326" s="204"/>
      <c r="AG326" s="204"/>
      <c r="AH326" s="204"/>
      <c r="AI326" s="204"/>
      <c r="AJ326" s="204"/>
      <c r="AK326" s="204"/>
      <c r="AL326" s="204"/>
      <c r="AM326" s="204"/>
      <c r="AN326" s="204"/>
      <c r="AO326" s="204"/>
      <c r="AP326" s="204"/>
      <c r="AQ326" s="204"/>
      <c r="AR326" s="204"/>
      <c r="AS326" s="204"/>
      <c r="AT326" s="204"/>
      <c r="AU326" s="206"/>
      <c r="AV326" s="202"/>
      <c r="AW326" s="202"/>
      <c r="AX326" s="202"/>
      <c r="AY326" s="202"/>
      <c r="AZ326" s="202"/>
      <c r="BA326" s="202"/>
      <c r="BB326" s="202"/>
      <c r="BC326" s="202"/>
      <c r="BD326" s="202"/>
      <c r="BE326" s="202"/>
      <c r="BF326" s="202"/>
      <c r="BG326" s="202"/>
    </row>
    <row r="327" spans="2:59" ht="15">
      <c r="B327" s="204" t="s">
        <v>497</v>
      </c>
      <c r="C327" s="204" t="s">
        <v>497</v>
      </c>
      <c r="D327" s="204" t="s">
        <v>497</v>
      </c>
      <c r="E327" s="204" t="s">
        <v>497</v>
      </c>
      <c r="F327" s="204" t="s">
        <v>497</v>
      </c>
      <c r="G327" s="204" t="s">
        <v>497</v>
      </c>
      <c r="H327" s="204" t="s">
        <v>497</v>
      </c>
      <c r="I327" s="204" t="s">
        <v>497</v>
      </c>
      <c r="J327" s="205" t="s">
        <v>497</v>
      </c>
      <c r="K327" s="205" t="s">
        <v>497</v>
      </c>
      <c r="L327" s="204" t="s">
        <v>497</v>
      </c>
      <c r="M327" s="204" t="s">
        <v>497</v>
      </c>
      <c r="N327" s="204"/>
      <c r="O327" s="204"/>
      <c r="P327" s="204"/>
      <c r="Q327" s="204"/>
      <c r="R327" s="204"/>
      <c r="S327" s="204"/>
      <c r="T327" s="204"/>
      <c r="U327" s="204"/>
      <c r="V327" s="204"/>
      <c r="W327" s="204"/>
      <c r="X327" s="204"/>
      <c r="Y327" s="204"/>
      <c r="Z327" s="204"/>
      <c r="AA327" s="204"/>
      <c r="AB327" s="204"/>
      <c r="AC327" s="204"/>
      <c r="AD327" s="204"/>
      <c r="AE327" s="204"/>
      <c r="AF327" s="204"/>
      <c r="AG327" s="204"/>
      <c r="AH327" s="204"/>
      <c r="AI327" s="204"/>
      <c r="AJ327" s="204"/>
      <c r="AK327" s="204"/>
      <c r="AL327" s="204"/>
      <c r="AM327" s="204"/>
      <c r="AN327" s="204"/>
      <c r="AO327" s="204"/>
      <c r="AP327" s="204"/>
      <c r="AQ327" s="204"/>
      <c r="AR327" s="204"/>
      <c r="AS327" s="204"/>
      <c r="AT327" s="204"/>
      <c r="AU327" s="206"/>
      <c r="AV327" s="202"/>
      <c r="AW327" s="202"/>
      <c r="AX327" s="202"/>
      <c r="AY327" s="202"/>
      <c r="AZ327" s="202"/>
      <c r="BA327" s="202"/>
      <c r="BB327" s="202"/>
      <c r="BC327" s="202"/>
      <c r="BD327" s="202"/>
      <c r="BE327" s="202"/>
      <c r="BF327" s="202"/>
      <c r="BG327" s="202"/>
    </row>
    <row r="328" spans="2:59" ht="15">
      <c r="B328" s="204" t="s">
        <v>497</v>
      </c>
      <c r="C328" s="204" t="s">
        <v>497</v>
      </c>
      <c r="D328" s="204" t="s">
        <v>497</v>
      </c>
      <c r="E328" s="204" t="s">
        <v>497</v>
      </c>
      <c r="F328" s="204" t="s">
        <v>497</v>
      </c>
      <c r="G328" s="204" t="s">
        <v>497</v>
      </c>
      <c r="H328" s="204" t="s">
        <v>497</v>
      </c>
      <c r="I328" s="204" t="s">
        <v>497</v>
      </c>
      <c r="J328" s="205" t="s">
        <v>497</v>
      </c>
      <c r="K328" s="205" t="s">
        <v>497</v>
      </c>
      <c r="L328" s="204" t="s">
        <v>497</v>
      </c>
      <c r="M328" s="204" t="s">
        <v>497</v>
      </c>
      <c r="N328" s="204"/>
      <c r="O328" s="204"/>
      <c r="P328" s="204"/>
      <c r="Q328" s="204"/>
      <c r="R328" s="204"/>
      <c r="S328" s="204"/>
      <c r="T328" s="204"/>
      <c r="U328" s="204"/>
      <c r="V328" s="204"/>
      <c r="W328" s="204"/>
      <c r="X328" s="204"/>
      <c r="Y328" s="204"/>
      <c r="Z328" s="204"/>
      <c r="AA328" s="204"/>
      <c r="AB328" s="204"/>
      <c r="AC328" s="204"/>
      <c r="AD328" s="204"/>
      <c r="AE328" s="204"/>
      <c r="AF328" s="204"/>
      <c r="AG328" s="204"/>
      <c r="AH328" s="204"/>
      <c r="AI328" s="204"/>
      <c r="AJ328" s="204"/>
      <c r="AK328" s="204"/>
      <c r="AL328" s="204"/>
      <c r="AM328" s="204"/>
      <c r="AN328" s="204"/>
      <c r="AO328" s="204"/>
      <c r="AP328" s="204"/>
      <c r="AQ328" s="204"/>
      <c r="AR328" s="204"/>
      <c r="AS328" s="204"/>
      <c r="AT328" s="204"/>
      <c r="AU328" s="206"/>
      <c r="AV328" s="202"/>
      <c r="AW328" s="202"/>
      <c r="AX328" s="202"/>
      <c r="AY328" s="202"/>
      <c r="AZ328" s="202"/>
      <c r="BA328" s="202"/>
      <c r="BB328" s="202"/>
      <c r="BC328" s="202"/>
      <c r="BD328" s="202"/>
      <c r="BE328" s="202"/>
      <c r="BF328" s="202"/>
      <c r="BG328" s="202"/>
    </row>
    <row r="329" spans="2:59" ht="15">
      <c r="B329" s="204" t="s">
        <v>497</v>
      </c>
      <c r="C329" s="204" t="s">
        <v>497</v>
      </c>
      <c r="D329" s="204" t="s">
        <v>497</v>
      </c>
      <c r="E329" s="204" t="s">
        <v>497</v>
      </c>
      <c r="F329" s="204" t="s">
        <v>497</v>
      </c>
      <c r="G329" s="204" t="s">
        <v>497</v>
      </c>
      <c r="H329" s="204" t="s">
        <v>497</v>
      </c>
      <c r="I329" s="204" t="s">
        <v>497</v>
      </c>
      <c r="J329" s="205" t="s">
        <v>497</v>
      </c>
      <c r="K329" s="205" t="s">
        <v>497</v>
      </c>
      <c r="L329" s="204" t="s">
        <v>497</v>
      </c>
      <c r="M329" s="204" t="s">
        <v>497</v>
      </c>
      <c r="N329" s="204"/>
      <c r="O329" s="204"/>
      <c r="P329" s="204"/>
      <c r="Q329" s="204"/>
      <c r="R329" s="204"/>
      <c r="S329" s="204"/>
      <c r="T329" s="204"/>
      <c r="U329" s="204"/>
      <c r="V329" s="204"/>
      <c r="W329" s="204"/>
      <c r="X329" s="204"/>
      <c r="Y329" s="204"/>
      <c r="Z329" s="204"/>
      <c r="AA329" s="204"/>
      <c r="AB329" s="204"/>
      <c r="AC329" s="204"/>
      <c r="AD329" s="204"/>
      <c r="AE329" s="204"/>
      <c r="AF329" s="204"/>
      <c r="AG329" s="204"/>
      <c r="AH329" s="204"/>
      <c r="AI329" s="204"/>
      <c r="AJ329" s="204"/>
      <c r="AK329" s="204"/>
      <c r="AL329" s="204"/>
      <c r="AM329" s="204"/>
      <c r="AN329" s="204"/>
      <c r="AO329" s="204"/>
      <c r="AP329" s="204"/>
      <c r="AQ329" s="204"/>
      <c r="AR329" s="204"/>
      <c r="AS329" s="204"/>
      <c r="AT329" s="204"/>
      <c r="AU329" s="206"/>
      <c r="AV329" s="202"/>
      <c r="AW329" s="202"/>
      <c r="AX329" s="202"/>
      <c r="AY329" s="202"/>
      <c r="AZ329" s="202"/>
      <c r="BA329" s="202"/>
      <c r="BB329" s="202"/>
      <c r="BC329" s="202"/>
      <c r="BD329" s="202"/>
      <c r="BE329" s="202"/>
      <c r="BF329" s="202"/>
      <c r="BG329" s="202"/>
    </row>
    <row r="330" spans="2:59" ht="15">
      <c r="B330" s="204" t="s">
        <v>497</v>
      </c>
      <c r="C330" s="204" t="s">
        <v>497</v>
      </c>
      <c r="D330" s="204" t="s">
        <v>497</v>
      </c>
      <c r="E330" s="204" t="s">
        <v>497</v>
      </c>
      <c r="F330" s="204" t="s">
        <v>497</v>
      </c>
      <c r="G330" s="204" t="s">
        <v>497</v>
      </c>
      <c r="H330" s="204" t="s">
        <v>497</v>
      </c>
      <c r="I330" s="204" t="s">
        <v>497</v>
      </c>
      <c r="J330" s="205" t="s">
        <v>497</v>
      </c>
      <c r="K330" s="205" t="s">
        <v>497</v>
      </c>
      <c r="L330" s="204" t="s">
        <v>497</v>
      </c>
      <c r="M330" s="204" t="s">
        <v>497</v>
      </c>
      <c r="N330" s="204"/>
      <c r="O330" s="204"/>
      <c r="P330" s="204"/>
      <c r="Q330" s="204"/>
      <c r="R330" s="204"/>
      <c r="S330" s="204"/>
      <c r="T330" s="204"/>
      <c r="U330" s="204"/>
      <c r="V330" s="204"/>
      <c r="W330" s="204"/>
      <c r="X330" s="204"/>
      <c r="Y330" s="204"/>
      <c r="Z330" s="204"/>
      <c r="AA330" s="204"/>
      <c r="AB330" s="204"/>
      <c r="AC330" s="204"/>
      <c r="AD330" s="204"/>
      <c r="AE330" s="204"/>
      <c r="AF330" s="204"/>
      <c r="AG330" s="204"/>
      <c r="AH330" s="204"/>
      <c r="AI330" s="204"/>
      <c r="AJ330" s="204"/>
      <c r="AK330" s="204"/>
      <c r="AL330" s="204"/>
      <c r="AM330" s="204"/>
      <c r="AN330" s="204"/>
      <c r="AO330" s="204"/>
      <c r="AP330" s="204"/>
      <c r="AQ330" s="204"/>
      <c r="AR330" s="204"/>
      <c r="AS330" s="204"/>
      <c r="AT330" s="204"/>
      <c r="AU330" s="206"/>
      <c r="AV330" s="202"/>
      <c r="AW330" s="202"/>
      <c r="AX330" s="202"/>
      <c r="AY330" s="202"/>
      <c r="AZ330" s="202"/>
      <c r="BA330" s="202"/>
      <c r="BB330" s="202"/>
      <c r="BC330" s="202"/>
      <c r="BD330" s="202"/>
      <c r="BE330" s="202"/>
      <c r="BF330" s="202"/>
      <c r="BG330" s="202"/>
    </row>
    <row r="331" spans="2:59" ht="15">
      <c r="B331" s="204" t="s">
        <v>497</v>
      </c>
      <c r="C331" s="204" t="s">
        <v>497</v>
      </c>
      <c r="D331" s="204" t="s">
        <v>497</v>
      </c>
      <c r="E331" s="204" t="s">
        <v>497</v>
      </c>
      <c r="F331" s="204" t="s">
        <v>497</v>
      </c>
      <c r="G331" s="204" t="s">
        <v>497</v>
      </c>
      <c r="H331" s="204" t="s">
        <v>497</v>
      </c>
      <c r="I331" s="204" t="s">
        <v>497</v>
      </c>
      <c r="J331" s="205" t="s">
        <v>497</v>
      </c>
      <c r="K331" s="205" t="s">
        <v>497</v>
      </c>
      <c r="L331" s="204" t="s">
        <v>497</v>
      </c>
      <c r="M331" s="204" t="s">
        <v>497</v>
      </c>
      <c r="N331" s="204"/>
      <c r="O331" s="204"/>
      <c r="P331" s="204"/>
      <c r="Q331" s="204"/>
      <c r="R331" s="204"/>
      <c r="S331" s="204"/>
      <c r="T331" s="204"/>
      <c r="U331" s="204"/>
      <c r="V331" s="204"/>
      <c r="W331" s="204"/>
      <c r="X331" s="204"/>
      <c r="Y331" s="204"/>
      <c r="Z331" s="204"/>
      <c r="AA331" s="204"/>
      <c r="AB331" s="204"/>
      <c r="AC331" s="204"/>
      <c r="AD331" s="204"/>
      <c r="AE331" s="204"/>
      <c r="AF331" s="204"/>
      <c r="AG331" s="204"/>
      <c r="AH331" s="204"/>
      <c r="AI331" s="204"/>
      <c r="AJ331" s="204"/>
      <c r="AK331" s="204"/>
      <c r="AL331" s="204"/>
      <c r="AM331" s="204"/>
      <c r="AN331" s="204"/>
      <c r="AO331" s="204"/>
      <c r="AP331" s="204"/>
      <c r="AQ331" s="204"/>
      <c r="AR331" s="204"/>
      <c r="AS331" s="204"/>
      <c r="AT331" s="204"/>
      <c r="AU331" s="206"/>
      <c r="AV331" s="202"/>
      <c r="AW331" s="202"/>
      <c r="AX331" s="202"/>
      <c r="AY331" s="202"/>
      <c r="AZ331" s="202"/>
      <c r="BA331" s="202"/>
      <c r="BB331" s="202"/>
      <c r="BC331" s="202"/>
      <c r="BD331" s="202"/>
      <c r="BE331" s="202"/>
      <c r="BF331" s="202"/>
      <c r="BG331" s="202"/>
    </row>
    <row r="332" spans="2:59" ht="15">
      <c r="B332" s="204" t="s">
        <v>497</v>
      </c>
      <c r="C332" s="204" t="s">
        <v>497</v>
      </c>
      <c r="D332" s="204" t="s">
        <v>497</v>
      </c>
      <c r="E332" s="204" t="s">
        <v>497</v>
      </c>
      <c r="F332" s="204" t="s">
        <v>497</v>
      </c>
      <c r="G332" s="204" t="s">
        <v>497</v>
      </c>
      <c r="H332" s="204" t="s">
        <v>497</v>
      </c>
      <c r="I332" s="204" t="s">
        <v>497</v>
      </c>
      <c r="J332" s="205" t="s">
        <v>497</v>
      </c>
      <c r="K332" s="205" t="s">
        <v>497</v>
      </c>
      <c r="L332" s="204" t="s">
        <v>497</v>
      </c>
      <c r="M332" s="204" t="s">
        <v>497</v>
      </c>
      <c r="N332" s="204"/>
      <c r="O332" s="204"/>
      <c r="P332" s="204"/>
      <c r="Q332" s="204"/>
      <c r="R332" s="204"/>
      <c r="S332" s="204"/>
      <c r="T332" s="204"/>
      <c r="U332" s="204"/>
      <c r="V332" s="204"/>
      <c r="W332" s="204"/>
      <c r="X332" s="204"/>
      <c r="Y332" s="204"/>
      <c r="Z332" s="204"/>
      <c r="AA332" s="204"/>
      <c r="AB332" s="204"/>
      <c r="AC332" s="204"/>
      <c r="AD332" s="204"/>
      <c r="AE332" s="204"/>
      <c r="AF332" s="204"/>
      <c r="AG332" s="204"/>
      <c r="AH332" s="204"/>
      <c r="AI332" s="204"/>
      <c r="AJ332" s="204"/>
      <c r="AK332" s="204"/>
      <c r="AL332" s="204"/>
      <c r="AM332" s="204"/>
      <c r="AN332" s="204"/>
      <c r="AO332" s="204"/>
      <c r="AP332" s="204"/>
      <c r="AQ332" s="204"/>
      <c r="AR332" s="204"/>
      <c r="AS332" s="204"/>
      <c r="AT332" s="204"/>
      <c r="AU332" s="206"/>
      <c r="AV332" s="202"/>
      <c r="AW332" s="202"/>
      <c r="AX332" s="202"/>
      <c r="AY332" s="202"/>
      <c r="AZ332" s="202"/>
      <c r="BA332" s="202"/>
      <c r="BB332" s="202"/>
      <c r="BC332" s="202"/>
      <c r="BD332" s="202"/>
      <c r="BE332" s="202"/>
      <c r="BF332" s="202"/>
      <c r="BG332" s="202"/>
    </row>
    <row r="333" spans="2:59" ht="15">
      <c r="B333" s="204" t="s">
        <v>497</v>
      </c>
      <c r="C333" s="204" t="s">
        <v>497</v>
      </c>
      <c r="D333" s="204" t="s">
        <v>497</v>
      </c>
      <c r="E333" s="204" t="s">
        <v>497</v>
      </c>
      <c r="F333" s="204" t="s">
        <v>497</v>
      </c>
      <c r="G333" s="204" t="s">
        <v>497</v>
      </c>
      <c r="H333" s="204" t="s">
        <v>497</v>
      </c>
      <c r="I333" s="204" t="s">
        <v>497</v>
      </c>
      <c r="J333" s="205" t="s">
        <v>497</v>
      </c>
      <c r="K333" s="205" t="s">
        <v>497</v>
      </c>
      <c r="L333" s="204" t="s">
        <v>497</v>
      </c>
      <c r="M333" s="204" t="s">
        <v>497</v>
      </c>
      <c r="N333" s="204"/>
      <c r="O333" s="204"/>
      <c r="P333" s="204"/>
      <c r="Q333" s="204"/>
      <c r="R333" s="204"/>
      <c r="S333" s="204"/>
      <c r="T333" s="204"/>
      <c r="U333" s="204"/>
      <c r="V333" s="204"/>
      <c r="W333" s="204"/>
      <c r="X333" s="204"/>
      <c r="Y333" s="204"/>
      <c r="Z333" s="204"/>
      <c r="AA333" s="204"/>
      <c r="AB333" s="204"/>
      <c r="AC333" s="204"/>
      <c r="AD333" s="204"/>
      <c r="AE333" s="204"/>
      <c r="AF333" s="204"/>
      <c r="AG333" s="204"/>
      <c r="AH333" s="204"/>
      <c r="AI333" s="204"/>
      <c r="AJ333" s="204"/>
      <c r="AK333" s="204"/>
      <c r="AL333" s="204"/>
      <c r="AM333" s="204"/>
      <c r="AN333" s="204"/>
      <c r="AO333" s="204"/>
      <c r="AP333" s="204"/>
      <c r="AQ333" s="204"/>
      <c r="AR333" s="204"/>
      <c r="AS333" s="204"/>
      <c r="AT333" s="204"/>
      <c r="AU333" s="206"/>
      <c r="AV333" s="202"/>
      <c r="AW333" s="202"/>
      <c r="AX333" s="202"/>
      <c r="AY333" s="202"/>
      <c r="AZ333" s="202"/>
      <c r="BA333" s="202"/>
      <c r="BB333" s="202"/>
      <c r="BC333" s="202"/>
      <c r="BD333" s="202"/>
      <c r="BE333" s="202"/>
      <c r="BF333" s="202"/>
      <c r="BG333" s="202"/>
    </row>
    <row r="334" spans="2:59" ht="15">
      <c r="B334" s="204" t="s">
        <v>497</v>
      </c>
      <c r="C334" s="204" t="s">
        <v>497</v>
      </c>
      <c r="D334" s="204" t="s">
        <v>497</v>
      </c>
      <c r="E334" s="204" t="s">
        <v>497</v>
      </c>
      <c r="F334" s="204" t="s">
        <v>497</v>
      </c>
      <c r="G334" s="204" t="s">
        <v>497</v>
      </c>
      <c r="H334" s="204" t="s">
        <v>497</v>
      </c>
      <c r="I334" s="204" t="s">
        <v>497</v>
      </c>
      <c r="J334" s="205" t="s">
        <v>497</v>
      </c>
      <c r="K334" s="205" t="s">
        <v>497</v>
      </c>
      <c r="L334" s="204" t="s">
        <v>497</v>
      </c>
      <c r="M334" s="204" t="s">
        <v>497</v>
      </c>
      <c r="N334" s="204"/>
      <c r="O334" s="204"/>
      <c r="P334" s="204"/>
      <c r="Q334" s="204"/>
      <c r="R334" s="204"/>
      <c r="S334" s="204"/>
      <c r="T334" s="204"/>
      <c r="U334" s="204"/>
      <c r="V334" s="204"/>
      <c r="W334" s="204"/>
      <c r="X334" s="204"/>
      <c r="Y334" s="204"/>
      <c r="Z334" s="204"/>
      <c r="AA334" s="204"/>
      <c r="AB334" s="204"/>
      <c r="AC334" s="204"/>
      <c r="AD334" s="204"/>
      <c r="AE334" s="204"/>
      <c r="AF334" s="204"/>
      <c r="AG334" s="204"/>
      <c r="AH334" s="204"/>
      <c r="AI334" s="204"/>
      <c r="AJ334" s="204"/>
      <c r="AK334" s="204"/>
      <c r="AL334" s="204"/>
      <c r="AM334" s="204"/>
      <c r="AN334" s="204"/>
      <c r="AO334" s="204"/>
      <c r="AP334" s="204"/>
      <c r="AQ334" s="204"/>
      <c r="AR334" s="204"/>
      <c r="AS334" s="204"/>
      <c r="AT334" s="204"/>
      <c r="AU334" s="206"/>
      <c r="AV334" s="202"/>
      <c r="AW334" s="202"/>
      <c r="AX334" s="202"/>
      <c r="AY334" s="202"/>
      <c r="AZ334" s="202"/>
      <c r="BA334" s="202"/>
      <c r="BB334" s="202"/>
      <c r="BC334" s="202"/>
      <c r="BD334" s="202"/>
      <c r="BE334" s="202"/>
      <c r="BF334" s="202"/>
      <c r="BG334" s="202"/>
    </row>
    <row r="335" spans="2:59" ht="15">
      <c r="B335" s="204" t="s">
        <v>497</v>
      </c>
      <c r="C335" s="204" t="s">
        <v>497</v>
      </c>
      <c r="D335" s="204" t="s">
        <v>497</v>
      </c>
      <c r="E335" s="204" t="s">
        <v>497</v>
      </c>
      <c r="F335" s="204" t="s">
        <v>497</v>
      </c>
      <c r="G335" s="204" t="s">
        <v>497</v>
      </c>
      <c r="H335" s="204" t="s">
        <v>497</v>
      </c>
      <c r="I335" s="204" t="s">
        <v>497</v>
      </c>
      <c r="J335" s="205" t="s">
        <v>497</v>
      </c>
      <c r="K335" s="205" t="s">
        <v>497</v>
      </c>
      <c r="L335" s="204" t="s">
        <v>497</v>
      </c>
      <c r="M335" s="204" t="s">
        <v>497</v>
      </c>
      <c r="N335" s="204"/>
      <c r="O335" s="204"/>
      <c r="P335" s="204"/>
      <c r="Q335" s="204"/>
      <c r="R335" s="204"/>
      <c r="S335" s="204"/>
      <c r="T335" s="204"/>
      <c r="U335" s="204"/>
      <c r="V335" s="204"/>
      <c r="W335" s="204"/>
      <c r="X335" s="204"/>
      <c r="Y335" s="204"/>
      <c r="Z335" s="204"/>
      <c r="AA335" s="204"/>
      <c r="AB335" s="204"/>
      <c r="AC335" s="204"/>
      <c r="AD335" s="204"/>
      <c r="AE335" s="204"/>
      <c r="AF335" s="204"/>
      <c r="AG335" s="204"/>
      <c r="AH335" s="204"/>
      <c r="AI335" s="204"/>
      <c r="AJ335" s="204"/>
      <c r="AK335" s="204"/>
      <c r="AL335" s="204"/>
      <c r="AM335" s="204"/>
      <c r="AN335" s="204"/>
      <c r="AO335" s="204"/>
      <c r="AP335" s="204"/>
      <c r="AQ335" s="204"/>
      <c r="AR335" s="204"/>
      <c r="AS335" s="204"/>
      <c r="AT335" s="204"/>
      <c r="AU335" s="206"/>
      <c r="AV335" s="202"/>
      <c r="AW335" s="202"/>
      <c r="AX335" s="202"/>
      <c r="AY335" s="202"/>
      <c r="AZ335" s="202"/>
      <c r="BA335" s="202"/>
      <c r="BB335" s="202"/>
      <c r="BC335" s="202"/>
      <c r="BD335" s="202"/>
      <c r="BE335" s="202"/>
      <c r="BF335" s="202"/>
      <c r="BG335" s="202"/>
    </row>
    <row r="336" spans="2:59" ht="15">
      <c r="B336" s="204" t="s">
        <v>497</v>
      </c>
      <c r="C336" s="204" t="s">
        <v>497</v>
      </c>
      <c r="D336" s="204" t="s">
        <v>497</v>
      </c>
      <c r="E336" s="204" t="s">
        <v>497</v>
      </c>
      <c r="F336" s="204" t="s">
        <v>497</v>
      </c>
      <c r="G336" s="204" t="s">
        <v>497</v>
      </c>
      <c r="H336" s="204" t="s">
        <v>497</v>
      </c>
      <c r="I336" s="204" t="s">
        <v>497</v>
      </c>
      <c r="J336" s="205" t="s">
        <v>497</v>
      </c>
      <c r="K336" s="205" t="s">
        <v>497</v>
      </c>
      <c r="L336" s="204" t="s">
        <v>497</v>
      </c>
      <c r="M336" s="204" t="s">
        <v>497</v>
      </c>
      <c r="N336" s="204"/>
      <c r="O336" s="204"/>
      <c r="P336" s="204"/>
      <c r="Q336" s="204"/>
      <c r="R336" s="204"/>
      <c r="S336" s="204"/>
      <c r="T336" s="204"/>
      <c r="U336" s="204"/>
      <c r="V336" s="204"/>
      <c r="W336" s="204"/>
      <c r="X336" s="204"/>
      <c r="Y336" s="204"/>
      <c r="Z336" s="204"/>
      <c r="AA336" s="204"/>
      <c r="AB336" s="204"/>
      <c r="AC336" s="204"/>
      <c r="AD336" s="204"/>
      <c r="AE336" s="204"/>
      <c r="AF336" s="204"/>
      <c r="AG336" s="204"/>
      <c r="AH336" s="204"/>
      <c r="AI336" s="204"/>
      <c r="AJ336" s="204"/>
      <c r="AK336" s="204"/>
      <c r="AL336" s="204"/>
      <c r="AM336" s="204"/>
      <c r="AN336" s="204"/>
      <c r="AO336" s="204"/>
      <c r="AP336" s="204"/>
      <c r="AQ336" s="204"/>
      <c r="AR336" s="204"/>
      <c r="AS336" s="204"/>
      <c r="AT336" s="204"/>
      <c r="AU336" s="206"/>
      <c r="AV336" s="202"/>
      <c r="AW336" s="202"/>
      <c r="AX336" s="202"/>
      <c r="AY336" s="202"/>
      <c r="AZ336" s="202"/>
      <c r="BA336" s="202"/>
      <c r="BB336" s="202"/>
      <c r="BC336" s="202"/>
      <c r="BD336" s="202"/>
      <c r="BE336" s="202"/>
      <c r="BF336" s="202"/>
      <c r="BG336" s="202"/>
    </row>
    <row r="337" spans="2:59" ht="15">
      <c r="B337" s="204" t="s">
        <v>497</v>
      </c>
      <c r="C337" s="204" t="s">
        <v>497</v>
      </c>
      <c r="D337" s="204" t="s">
        <v>497</v>
      </c>
      <c r="E337" s="204" t="s">
        <v>497</v>
      </c>
      <c r="F337" s="204" t="s">
        <v>497</v>
      </c>
      <c r="G337" s="204" t="s">
        <v>497</v>
      </c>
      <c r="H337" s="204" t="s">
        <v>497</v>
      </c>
      <c r="I337" s="204" t="s">
        <v>497</v>
      </c>
      <c r="J337" s="205" t="s">
        <v>497</v>
      </c>
      <c r="K337" s="205" t="s">
        <v>497</v>
      </c>
      <c r="L337" s="204" t="s">
        <v>497</v>
      </c>
      <c r="M337" s="204" t="s">
        <v>497</v>
      </c>
      <c r="N337" s="204"/>
      <c r="O337" s="204"/>
      <c r="P337" s="204"/>
      <c r="Q337" s="204"/>
      <c r="R337" s="204"/>
      <c r="S337" s="204"/>
      <c r="T337" s="204"/>
      <c r="U337" s="204"/>
      <c r="V337" s="204"/>
      <c r="W337" s="204"/>
      <c r="X337" s="204"/>
      <c r="Y337" s="204"/>
      <c r="Z337" s="204"/>
      <c r="AA337" s="204"/>
      <c r="AB337" s="204"/>
      <c r="AC337" s="204"/>
      <c r="AD337" s="204"/>
      <c r="AE337" s="204"/>
      <c r="AF337" s="204"/>
      <c r="AG337" s="204"/>
      <c r="AH337" s="204"/>
      <c r="AI337" s="204"/>
      <c r="AJ337" s="204"/>
      <c r="AK337" s="204"/>
      <c r="AL337" s="204"/>
      <c r="AM337" s="204"/>
      <c r="AN337" s="204"/>
      <c r="AO337" s="204"/>
      <c r="AP337" s="204"/>
      <c r="AQ337" s="204"/>
      <c r="AR337" s="204"/>
      <c r="AS337" s="204"/>
      <c r="AT337" s="204"/>
      <c r="AU337" s="206"/>
      <c r="AV337" s="202"/>
      <c r="AW337" s="202"/>
      <c r="AX337" s="202"/>
      <c r="AY337" s="202"/>
      <c r="AZ337" s="202"/>
      <c r="BA337" s="202"/>
      <c r="BB337" s="202"/>
      <c r="BC337" s="202"/>
      <c r="BD337" s="202"/>
      <c r="BE337" s="202"/>
      <c r="BF337" s="202"/>
      <c r="BG337" s="202"/>
    </row>
    <row r="338" spans="2:59" ht="15">
      <c r="B338" s="204" t="s">
        <v>497</v>
      </c>
      <c r="C338" s="204" t="s">
        <v>497</v>
      </c>
      <c r="D338" s="204" t="s">
        <v>497</v>
      </c>
      <c r="E338" s="204" t="s">
        <v>497</v>
      </c>
      <c r="F338" s="204" t="s">
        <v>497</v>
      </c>
      <c r="G338" s="204" t="s">
        <v>497</v>
      </c>
      <c r="H338" s="204" t="s">
        <v>497</v>
      </c>
      <c r="I338" s="204" t="s">
        <v>497</v>
      </c>
      <c r="J338" s="205" t="s">
        <v>497</v>
      </c>
      <c r="K338" s="205" t="s">
        <v>497</v>
      </c>
      <c r="L338" s="204" t="s">
        <v>497</v>
      </c>
      <c r="M338" s="204" t="s">
        <v>497</v>
      </c>
      <c r="N338" s="204"/>
      <c r="O338" s="204"/>
      <c r="P338" s="204"/>
      <c r="Q338" s="204"/>
      <c r="R338" s="204"/>
      <c r="S338" s="204"/>
      <c r="T338" s="204"/>
      <c r="U338" s="204"/>
      <c r="V338" s="204"/>
      <c r="W338" s="204"/>
      <c r="X338" s="204"/>
      <c r="Y338" s="204"/>
      <c r="Z338" s="204"/>
      <c r="AA338" s="204"/>
      <c r="AB338" s="204"/>
      <c r="AC338" s="204"/>
      <c r="AD338" s="204"/>
      <c r="AE338" s="204"/>
      <c r="AF338" s="204"/>
      <c r="AG338" s="204"/>
      <c r="AH338" s="204"/>
      <c r="AI338" s="204"/>
      <c r="AJ338" s="204"/>
      <c r="AK338" s="204"/>
      <c r="AL338" s="204"/>
      <c r="AM338" s="204"/>
      <c r="AN338" s="204"/>
      <c r="AO338" s="204"/>
      <c r="AP338" s="204"/>
      <c r="AQ338" s="204"/>
      <c r="AR338" s="204"/>
      <c r="AS338" s="204"/>
      <c r="AT338" s="204"/>
      <c r="AU338" s="206"/>
      <c r="AV338" s="202"/>
      <c r="AW338" s="202"/>
      <c r="AX338" s="202"/>
      <c r="AY338" s="202"/>
      <c r="AZ338" s="202"/>
      <c r="BA338" s="202"/>
      <c r="BB338" s="202"/>
      <c r="BC338" s="202"/>
      <c r="BD338" s="202"/>
      <c r="BE338" s="202"/>
      <c r="BF338" s="202"/>
      <c r="BG338" s="202"/>
    </row>
    <row r="339" spans="2:59" ht="15">
      <c r="B339" s="204" t="s">
        <v>497</v>
      </c>
      <c r="C339" s="204" t="s">
        <v>497</v>
      </c>
      <c r="D339" s="204" t="s">
        <v>497</v>
      </c>
      <c r="E339" s="204" t="s">
        <v>497</v>
      </c>
      <c r="F339" s="204" t="s">
        <v>497</v>
      </c>
      <c r="G339" s="204" t="s">
        <v>497</v>
      </c>
      <c r="H339" s="204" t="s">
        <v>497</v>
      </c>
      <c r="I339" s="204" t="s">
        <v>497</v>
      </c>
      <c r="J339" s="205" t="s">
        <v>497</v>
      </c>
      <c r="K339" s="205" t="s">
        <v>497</v>
      </c>
      <c r="L339" s="204" t="s">
        <v>497</v>
      </c>
      <c r="M339" s="204" t="s">
        <v>497</v>
      </c>
      <c r="N339" s="204"/>
      <c r="O339" s="204"/>
      <c r="P339" s="204"/>
      <c r="Q339" s="204"/>
      <c r="R339" s="204"/>
      <c r="S339" s="204"/>
      <c r="T339" s="204"/>
      <c r="U339" s="204"/>
      <c r="V339" s="204"/>
      <c r="W339" s="204"/>
      <c r="X339" s="204"/>
      <c r="Y339" s="204"/>
      <c r="Z339" s="204"/>
      <c r="AA339" s="204"/>
      <c r="AB339" s="204"/>
      <c r="AC339" s="204"/>
      <c r="AD339" s="204"/>
      <c r="AE339" s="204"/>
      <c r="AF339" s="204"/>
      <c r="AG339" s="204"/>
      <c r="AH339" s="204"/>
      <c r="AI339" s="204"/>
      <c r="AJ339" s="204"/>
      <c r="AK339" s="204"/>
      <c r="AL339" s="204"/>
      <c r="AM339" s="204"/>
      <c r="AN339" s="204"/>
      <c r="AO339" s="204"/>
      <c r="AP339" s="204"/>
      <c r="AQ339" s="204"/>
      <c r="AR339" s="204"/>
      <c r="AS339" s="204"/>
      <c r="AT339" s="204"/>
      <c r="AU339" s="206"/>
      <c r="AV339" s="202"/>
      <c r="AW339" s="202"/>
      <c r="AX339" s="202"/>
      <c r="AY339" s="202"/>
      <c r="AZ339" s="202"/>
      <c r="BA339" s="202"/>
      <c r="BB339" s="202"/>
      <c r="BC339" s="202"/>
      <c r="BD339" s="202"/>
      <c r="BE339" s="202"/>
      <c r="BF339" s="202"/>
      <c r="BG339" s="202"/>
    </row>
    <row r="340" spans="2:59" ht="15">
      <c r="B340" s="204" t="s">
        <v>497</v>
      </c>
      <c r="C340" s="204" t="s">
        <v>497</v>
      </c>
      <c r="D340" s="204" t="s">
        <v>497</v>
      </c>
      <c r="E340" s="204" t="s">
        <v>497</v>
      </c>
      <c r="F340" s="204" t="s">
        <v>497</v>
      </c>
      <c r="G340" s="204" t="s">
        <v>497</v>
      </c>
      <c r="H340" s="204" t="s">
        <v>497</v>
      </c>
      <c r="I340" s="204" t="s">
        <v>497</v>
      </c>
      <c r="J340" s="205" t="s">
        <v>497</v>
      </c>
      <c r="K340" s="205" t="s">
        <v>497</v>
      </c>
      <c r="L340" s="204" t="s">
        <v>497</v>
      </c>
      <c r="M340" s="204" t="s">
        <v>497</v>
      </c>
      <c r="N340" s="204"/>
      <c r="O340" s="204"/>
      <c r="P340" s="204"/>
      <c r="Q340" s="204"/>
      <c r="R340" s="204"/>
      <c r="S340" s="204"/>
      <c r="T340" s="204"/>
      <c r="U340" s="204"/>
      <c r="V340" s="204"/>
      <c r="W340" s="204"/>
      <c r="X340" s="204"/>
      <c r="Y340" s="204"/>
      <c r="Z340" s="204"/>
      <c r="AA340" s="204"/>
      <c r="AB340" s="204"/>
      <c r="AC340" s="204"/>
      <c r="AD340" s="204"/>
      <c r="AE340" s="204"/>
      <c r="AF340" s="204"/>
      <c r="AG340" s="204"/>
      <c r="AH340" s="204"/>
      <c r="AI340" s="204"/>
      <c r="AJ340" s="204"/>
      <c r="AK340" s="204"/>
      <c r="AL340" s="204"/>
      <c r="AM340" s="204"/>
      <c r="AN340" s="204"/>
      <c r="AO340" s="204"/>
      <c r="AP340" s="204"/>
      <c r="AQ340" s="204"/>
      <c r="AR340" s="204"/>
      <c r="AS340" s="204"/>
      <c r="AT340" s="204"/>
      <c r="AU340" s="206"/>
      <c r="AV340" s="202"/>
      <c r="AW340" s="202"/>
      <c r="AX340" s="202"/>
      <c r="AY340" s="202"/>
      <c r="AZ340" s="202"/>
      <c r="BA340" s="202"/>
      <c r="BB340" s="202"/>
      <c r="BC340" s="202"/>
      <c r="BD340" s="202"/>
      <c r="BE340" s="202"/>
      <c r="BF340" s="202"/>
      <c r="BG340" s="202"/>
    </row>
    <row r="341" spans="2:59" ht="15">
      <c r="B341" s="204" t="s">
        <v>497</v>
      </c>
      <c r="C341" s="204" t="s">
        <v>497</v>
      </c>
      <c r="D341" s="204" t="s">
        <v>497</v>
      </c>
      <c r="E341" s="204" t="s">
        <v>497</v>
      </c>
      <c r="F341" s="204" t="s">
        <v>497</v>
      </c>
      <c r="G341" s="204" t="s">
        <v>497</v>
      </c>
      <c r="H341" s="204" t="s">
        <v>497</v>
      </c>
      <c r="I341" s="204" t="s">
        <v>497</v>
      </c>
      <c r="J341" s="205" t="s">
        <v>497</v>
      </c>
      <c r="K341" s="205" t="s">
        <v>497</v>
      </c>
      <c r="L341" s="204" t="s">
        <v>497</v>
      </c>
      <c r="M341" s="204" t="s">
        <v>497</v>
      </c>
      <c r="N341" s="204"/>
      <c r="O341" s="204"/>
      <c r="P341" s="204"/>
      <c r="Q341" s="204"/>
      <c r="R341" s="204"/>
      <c r="S341" s="204"/>
      <c r="T341" s="204"/>
      <c r="U341" s="204"/>
      <c r="V341" s="204"/>
      <c r="W341" s="204"/>
      <c r="X341" s="204"/>
      <c r="Y341" s="204"/>
      <c r="Z341" s="204"/>
      <c r="AA341" s="204"/>
      <c r="AB341" s="204"/>
      <c r="AC341" s="204"/>
      <c r="AD341" s="204"/>
      <c r="AE341" s="204"/>
      <c r="AF341" s="204"/>
      <c r="AG341" s="204"/>
      <c r="AH341" s="204"/>
      <c r="AI341" s="204"/>
      <c r="AJ341" s="204"/>
      <c r="AK341" s="204"/>
      <c r="AL341" s="204"/>
      <c r="AM341" s="204"/>
      <c r="AN341" s="204"/>
      <c r="AO341" s="204"/>
      <c r="AP341" s="204"/>
      <c r="AQ341" s="204"/>
      <c r="AR341" s="204"/>
      <c r="AS341" s="204"/>
      <c r="AT341" s="204"/>
      <c r="AU341" s="206"/>
      <c r="AV341" s="202"/>
      <c r="AW341" s="202"/>
      <c r="AX341" s="202"/>
      <c r="AY341" s="202"/>
      <c r="AZ341" s="202"/>
      <c r="BA341" s="202"/>
      <c r="BB341" s="202"/>
      <c r="BC341" s="202"/>
      <c r="BD341" s="202"/>
      <c r="BE341" s="202"/>
      <c r="BF341" s="202"/>
      <c r="BG341" s="202"/>
    </row>
    <row r="342" spans="2:59" ht="15">
      <c r="B342" s="204" t="s">
        <v>497</v>
      </c>
      <c r="C342" s="204" t="s">
        <v>497</v>
      </c>
      <c r="D342" s="204" t="s">
        <v>497</v>
      </c>
      <c r="E342" s="204" t="s">
        <v>497</v>
      </c>
      <c r="F342" s="204" t="s">
        <v>497</v>
      </c>
      <c r="G342" s="204" t="s">
        <v>497</v>
      </c>
      <c r="H342" s="204" t="s">
        <v>497</v>
      </c>
      <c r="I342" s="204" t="s">
        <v>497</v>
      </c>
      <c r="J342" s="205" t="s">
        <v>497</v>
      </c>
      <c r="K342" s="205" t="s">
        <v>497</v>
      </c>
      <c r="L342" s="204" t="s">
        <v>497</v>
      </c>
      <c r="M342" s="204" t="s">
        <v>497</v>
      </c>
      <c r="N342" s="204"/>
      <c r="O342" s="204"/>
      <c r="P342" s="204"/>
      <c r="Q342" s="204"/>
      <c r="R342" s="204"/>
      <c r="S342" s="204"/>
      <c r="T342" s="204"/>
      <c r="U342" s="204"/>
      <c r="V342" s="204"/>
      <c r="W342" s="204"/>
      <c r="X342" s="204"/>
      <c r="Y342" s="204"/>
      <c r="Z342" s="204"/>
      <c r="AA342" s="204"/>
      <c r="AB342" s="204"/>
      <c r="AC342" s="204"/>
      <c r="AD342" s="204"/>
      <c r="AE342" s="204"/>
      <c r="AF342" s="204"/>
      <c r="AG342" s="204"/>
      <c r="AH342" s="204"/>
      <c r="AI342" s="204"/>
      <c r="AJ342" s="204"/>
      <c r="AK342" s="204"/>
      <c r="AL342" s="204"/>
      <c r="AM342" s="204"/>
      <c r="AN342" s="204"/>
      <c r="AO342" s="204"/>
      <c r="AP342" s="204"/>
      <c r="AQ342" s="204"/>
      <c r="AR342" s="204"/>
      <c r="AS342" s="204"/>
      <c r="AT342" s="204"/>
      <c r="AU342" s="206"/>
      <c r="AV342" s="202"/>
      <c r="AW342" s="202"/>
      <c r="AX342" s="202"/>
      <c r="AY342" s="202"/>
      <c r="AZ342" s="202"/>
      <c r="BA342" s="202"/>
      <c r="BB342" s="202"/>
      <c r="BC342" s="202"/>
      <c r="BD342" s="202"/>
      <c r="BE342" s="202"/>
      <c r="BF342" s="202"/>
      <c r="BG342" s="202"/>
    </row>
    <row r="343" spans="2:59" ht="15">
      <c r="B343" s="204" t="s">
        <v>497</v>
      </c>
      <c r="C343" s="204" t="s">
        <v>497</v>
      </c>
      <c r="D343" s="204" t="s">
        <v>497</v>
      </c>
      <c r="E343" s="204" t="s">
        <v>497</v>
      </c>
      <c r="F343" s="204" t="s">
        <v>497</v>
      </c>
      <c r="G343" s="204" t="s">
        <v>497</v>
      </c>
      <c r="H343" s="204" t="s">
        <v>497</v>
      </c>
      <c r="I343" s="204" t="s">
        <v>497</v>
      </c>
      <c r="J343" s="205" t="s">
        <v>497</v>
      </c>
      <c r="K343" s="205" t="s">
        <v>497</v>
      </c>
      <c r="L343" s="204" t="s">
        <v>497</v>
      </c>
      <c r="M343" s="204" t="s">
        <v>497</v>
      </c>
      <c r="N343" s="204"/>
      <c r="O343" s="204"/>
      <c r="P343" s="204"/>
      <c r="Q343" s="204"/>
      <c r="R343" s="204"/>
      <c r="S343" s="204"/>
      <c r="T343" s="204"/>
      <c r="U343" s="204"/>
      <c r="V343" s="204"/>
      <c r="W343" s="204"/>
      <c r="X343" s="204"/>
      <c r="Y343" s="204"/>
      <c r="Z343" s="204"/>
      <c r="AA343" s="204"/>
      <c r="AB343" s="204"/>
      <c r="AC343" s="204"/>
      <c r="AD343" s="204"/>
      <c r="AE343" s="204"/>
      <c r="AF343" s="204"/>
      <c r="AG343" s="204"/>
      <c r="AH343" s="204"/>
      <c r="AI343" s="204"/>
      <c r="AJ343" s="204"/>
      <c r="AK343" s="204"/>
      <c r="AL343" s="204"/>
      <c r="AM343" s="204"/>
      <c r="AN343" s="204"/>
      <c r="AO343" s="204"/>
      <c r="AP343" s="204"/>
      <c r="AQ343" s="204"/>
      <c r="AR343" s="204"/>
      <c r="AS343" s="204"/>
      <c r="AT343" s="204"/>
      <c r="AU343" s="206"/>
      <c r="AV343" s="202"/>
      <c r="AW343" s="202"/>
      <c r="AX343" s="202"/>
      <c r="AY343" s="202"/>
      <c r="AZ343" s="202"/>
      <c r="BA343" s="202"/>
      <c r="BB343" s="202"/>
      <c r="BC343" s="202"/>
      <c r="BD343" s="202"/>
      <c r="BE343" s="202"/>
      <c r="BF343" s="202"/>
      <c r="BG343" s="202"/>
    </row>
    <row r="344" spans="2:59" ht="15">
      <c r="B344" s="204" t="s">
        <v>497</v>
      </c>
      <c r="C344" s="204" t="s">
        <v>497</v>
      </c>
      <c r="D344" s="204" t="s">
        <v>497</v>
      </c>
      <c r="E344" s="204" t="s">
        <v>497</v>
      </c>
      <c r="F344" s="204" t="s">
        <v>497</v>
      </c>
      <c r="G344" s="204" t="s">
        <v>497</v>
      </c>
      <c r="H344" s="204" t="s">
        <v>497</v>
      </c>
      <c r="I344" s="204" t="s">
        <v>497</v>
      </c>
      <c r="J344" s="205" t="s">
        <v>497</v>
      </c>
      <c r="K344" s="205" t="s">
        <v>497</v>
      </c>
      <c r="L344" s="204" t="s">
        <v>497</v>
      </c>
      <c r="M344" s="204" t="s">
        <v>497</v>
      </c>
      <c r="N344" s="204"/>
      <c r="O344" s="204"/>
      <c r="P344" s="204"/>
      <c r="Q344" s="204"/>
      <c r="R344" s="204"/>
      <c r="S344" s="204"/>
      <c r="T344" s="204"/>
      <c r="U344" s="204"/>
      <c r="V344" s="204"/>
      <c r="W344" s="204"/>
      <c r="X344" s="204"/>
      <c r="Y344" s="204"/>
      <c r="Z344" s="204"/>
      <c r="AA344" s="204"/>
      <c r="AB344" s="204"/>
      <c r="AC344" s="204"/>
      <c r="AD344" s="204"/>
      <c r="AE344" s="204"/>
      <c r="AF344" s="204"/>
      <c r="AG344" s="204"/>
      <c r="AH344" s="204"/>
      <c r="AI344" s="204"/>
      <c r="AJ344" s="204"/>
      <c r="AK344" s="204"/>
      <c r="AL344" s="204"/>
      <c r="AM344" s="204"/>
      <c r="AN344" s="204"/>
      <c r="AO344" s="204"/>
      <c r="AP344" s="204"/>
      <c r="AQ344" s="204"/>
      <c r="AR344" s="204"/>
      <c r="AS344" s="204"/>
      <c r="AT344" s="204"/>
      <c r="AU344" s="206"/>
      <c r="AV344" s="202"/>
      <c r="AW344" s="202"/>
      <c r="AX344" s="202"/>
      <c r="AY344" s="202"/>
      <c r="AZ344" s="202"/>
      <c r="BA344" s="202"/>
      <c r="BB344" s="202"/>
      <c r="BC344" s="202"/>
      <c r="BD344" s="202"/>
      <c r="BE344" s="202"/>
      <c r="BF344" s="202"/>
      <c r="BG344" s="202"/>
    </row>
    <row r="345" spans="2:59" ht="15">
      <c r="B345" s="204" t="s">
        <v>497</v>
      </c>
      <c r="C345" s="204" t="s">
        <v>497</v>
      </c>
      <c r="D345" s="204" t="s">
        <v>497</v>
      </c>
      <c r="E345" s="204" t="s">
        <v>497</v>
      </c>
      <c r="F345" s="204" t="s">
        <v>497</v>
      </c>
      <c r="G345" s="204" t="s">
        <v>497</v>
      </c>
      <c r="H345" s="204" t="s">
        <v>497</v>
      </c>
      <c r="I345" s="204" t="s">
        <v>497</v>
      </c>
      <c r="J345" s="205" t="s">
        <v>497</v>
      </c>
      <c r="K345" s="205" t="s">
        <v>497</v>
      </c>
      <c r="L345" s="204" t="s">
        <v>497</v>
      </c>
      <c r="M345" s="204" t="s">
        <v>497</v>
      </c>
      <c r="N345" s="204"/>
      <c r="O345" s="204"/>
      <c r="P345" s="204"/>
      <c r="Q345" s="204"/>
      <c r="R345" s="204"/>
      <c r="S345" s="204"/>
      <c r="T345" s="204"/>
      <c r="U345" s="204"/>
      <c r="V345" s="204"/>
      <c r="W345" s="204"/>
      <c r="X345" s="204"/>
      <c r="Y345" s="204"/>
      <c r="Z345" s="204"/>
      <c r="AA345" s="204"/>
      <c r="AB345" s="204"/>
      <c r="AC345" s="204"/>
      <c r="AD345" s="204"/>
      <c r="AE345" s="204"/>
      <c r="AF345" s="204"/>
      <c r="AG345" s="204"/>
      <c r="AH345" s="204"/>
      <c r="AI345" s="204"/>
      <c r="AJ345" s="204"/>
      <c r="AK345" s="204"/>
      <c r="AL345" s="204"/>
      <c r="AM345" s="204"/>
      <c r="AN345" s="204"/>
      <c r="AO345" s="204"/>
      <c r="AP345" s="204"/>
      <c r="AQ345" s="204"/>
      <c r="AR345" s="204"/>
      <c r="AS345" s="204"/>
      <c r="AT345" s="204"/>
      <c r="AU345" s="206"/>
      <c r="AV345" s="202"/>
      <c r="AW345" s="202"/>
      <c r="AX345" s="202"/>
      <c r="AY345" s="202"/>
      <c r="AZ345" s="202"/>
      <c r="BA345" s="202"/>
      <c r="BB345" s="202"/>
      <c r="BC345" s="202"/>
      <c r="BD345" s="202"/>
      <c r="BE345" s="202"/>
      <c r="BF345" s="202"/>
      <c r="BG345" s="202"/>
    </row>
    <row r="346" spans="2:59" ht="15">
      <c r="B346" s="204" t="s">
        <v>497</v>
      </c>
      <c r="C346" s="204" t="s">
        <v>497</v>
      </c>
      <c r="D346" s="204" t="s">
        <v>497</v>
      </c>
      <c r="E346" s="204" t="s">
        <v>497</v>
      </c>
      <c r="F346" s="204" t="s">
        <v>497</v>
      </c>
      <c r="G346" s="204" t="s">
        <v>497</v>
      </c>
      <c r="H346" s="204" t="s">
        <v>497</v>
      </c>
      <c r="I346" s="204" t="s">
        <v>497</v>
      </c>
      <c r="J346" s="205" t="s">
        <v>497</v>
      </c>
      <c r="K346" s="205" t="s">
        <v>497</v>
      </c>
      <c r="L346" s="204" t="s">
        <v>497</v>
      </c>
      <c r="M346" s="204" t="s">
        <v>497</v>
      </c>
      <c r="N346" s="204"/>
      <c r="O346" s="204"/>
      <c r="P346" s="204"/>
      <c r="Q346" s="204"/>
      <c r="R346" s="204"/>
      <c r="S346" s="204"/>
      <c r="T346" s="204"/>
      <c r="U346" s="204"/>
      <c r="V346" s="204"/>
      <c r="W346" s="204"/>
      <c r="X346" s="204"/>
      <c r="Y346" s="204"/>
      <c r="Z346" s="204"/>
      <c r="AA346" s="204"/>
      <c r="AB346" s="204"/>
      <c r="AC346" s="204"/>
      <c r="AD346" s="204"/>
      <c r="AE346" s="204"/>
      <c r="AF346" s="204"/>
      <c r="AG346" s="204"/>
      <c r="AH346" s="204"/>
      <c r="AI346" s="204"/>
      <c r="AJ346" s="204"/>
      <c r="AK346" s="204"/>
      <c r="AL346" s="204"/>
      <c r="AM346" s="204"/>
      <c r="AN346" s="204"/>
      <c r="AO346" s="204"/>
      <c r="AP346" s="204"/>
      <c r="AQ346" s="204"/>
      <c r="AR346" s="204"/>
      <c r="AS346" s="204"/>
      <c r="AT346" s="204"/>
      <c r="AU346" s="206"/>
      <c r="AV346" s="202"/>
      <c r="AW346" s="202"/>
      <c r="AX346" s="202"/>
      <c r="AY346" s="202"/>
      <c r="AZ346" s="202"/>
      <c r="BA346" s="202"/>
      <c r="BB346" s="202"/>
      <c r="BC346" s="202"/>
      <c r="BD346" s="202"/>
      <c r="BE346" s="202"/>
      <c r="BF346" s="202"/>
      <c r="BG346" s="202"/>
    </row>
    <row r="347" spans="2:59" ht="15">
      <c r="B347" s="204" t="s">
        <v>497</v>
      </c>
      <c r="C347" s="204" t="s">
        <v>497</v>
      </c>
      <c r="D347" s="204" t="s">
        <v>497</v>
      </c>
      <c r="E347" s="204" t="s">
        <v>497</v>
      </c>
      <c r="F347" s="204" t="s">
        <v>497</v>
      </c>
      <c r="G347" s="204" t="s">
        <v>497</v>
      </c>
      <c r="H347" s="204" t="s">
        <v>497</v>
      </c>
      <c r="I347" s="204" t="s">
        <v>497</v>
      </c>
      <c r="J347" s="205" t="s">
        <v>497</v>
      </c>
      <c r="K347" s="205" t="s">
        <v>497</v>
      </c>
      <c r="L347" s="204" t="s">
        <v>497</v>
      </c>
      <c r="M347" s="204" t="s">
        <v>497</v>
      </c>
      <c r="N347" s="204"/>
      <c r="O347" s="204"/>
      <c r="P347" s="204"/>
      <c r="Q347" s="204"/>
      <c r="R347" s="204"/>
      <c r="S347" s="204"/>
      <c r="T347" s="204"/>
      <c r="U347" s="204"/>
      <c r="V347" s="204"/>
      <c r="W347" s="204"/>
      <c r="X347" s="204"/>
      <c r="Y347" s="204"/>
      <c r="Z347" s="204"/>
      <c r="AA347" s="204"/>
      <c r="AB347" s="204"/>
      <c r="AC347" s="204"/>
      <c r="AD347" s="204"/>
      <c r="AE347" s="204"/>
      <c r="AF347" s="204"/>
      <c r="AG347" s="204"/>
      <c r="AH347" s="204"/>
      <c r="AI347" s="204"/>
      <c r="AJ347" s="204"/>
      <c r="AK347" s="204"/>
      <c r="AL347" s="204"/>
      <c r="AM347" s="204"/>
      <c r="AN347" s="204"/>
      <c r="AO347" s="204"/>
      <c r="AP347" s="204"/>
      <c r="AQ347" s="204"/>
      <c r="AR347" s="204"/>
      <c r="AS347" s="204"/>
      <c r="AT347" s="204"/>
      <c r="AU347" s="206"/>
      <c r="AV347" s="202"/>
      <c r="AW347" s="202"/>
      <c r="AX347" s="202"/>
      <c r="AY347" s="202"/>
      <c r="AZ347" s="202"/>
      <c r="BA347" s="202"/>
      <c r="BB347" s="202"/>
      <c r="BC347" s="202"/>
      <c r="BD347" s="202"/>
      <c r="BE347" s="202"/>
      <c r="BF347" s="202"/>
      <c r="BG347" s="202"/>
    </row>
    <row r="348" spans="2:59" ht="15">
      <c r="B348" s="204" t="s">
        <v>497</v>
      </c>
      <c r="C348" s="204" t="s">
        <v>497</v>
      </c>
      <c r="D348" s="204" t="s">
        <v>497</v>
      </c>
      <c r="E348" s="204" t="s">
        <v>497</v>
      </c>
      <c r="F348" s="204" t="s">
        <v>497</v>
      </c>
      <c r="G348" s="204" t="s">
        <v>497</v>
      </c>
      <c r="H348" s="204" t="s">
        <v>497</v>
      </c>
      <c r="I348" s="204" t="s">
        <v>497</v>
      </c>
      <c r="J348" s="205" t="s">
        <v>497</v>
      </c>
      <c r="K348" s="205" t="s">
        <v>497</v>
      </c>
      <c r="L348" s="204" t="s">
        <v>497</v>
      </c>
      <c r="M348" s="204" t="s">
        <v>497</v>
      </c>
      <c r="N348" s="204"/>
      <c r="O348" s="204"/>
      <c r="P348" s="204"/>
      <c r="Q348" s="204"/>
      <c r="R348" s="204"/>
      <c r="S348" s="204"/>
      <c r="T348" s="204"/>
      <c r="U348" s="204"/>
      <c r="V348" s="204"/>
      <c r="W348" s="204"/>
      <c r="X348" s="204"/>
      <c r="Y348" s="204"/>
      <c r="Z348" s="204"/>
      <c r="AA348" s="204"/>
      <c r="AB348" s="204"/>
      <c r="AC348" s="204"/>
      <c r="AD348" s="204"/>
      <c r="AE348" s="204"/>
      <c r="AF348" s="204"/>
      <c r="AG348" s="204"/>
      <c r="AH348" s="204"/>
      <c r="AI348" s="204"/>
      <c r="AJ348" s="204"/>
      <c r="AK348" s="204"/>
      <c r="AL348" s="204"/>
      <c r="AM348" s="204"/>
      <c r="AN348" s="204"/>
      <c r="AO348" s="204"/>
      <c r="AP348" s="204"/>
      <c r="AQ348" s="204"/>
      <c r="AR348" s="204"/>
      <c r="AS348" s="204"/>
      <c r="AT348" s="204"/>
      <c r="AU348" s="206"/>
      <c r="AV348" s="202"/>
      <c r="AW348" s="202"/>
      <c r="AX348" s="202"/>
      <c r="AY348" s="202"/>
      <c r="AZ348" s="202"/>
      <c r="BA348" s="202"/>
      <c r="BB348" s="202"/>
      <c r="BC348" s="202"/>
      <c r="BD348" s="202"/>
      <c r="BE348" s="202"/>
      <c r="BF348" s="202"/>
      <c r="BG348" s="202"/>
    </row>
    <row r="349" spans="2:59" ht="15">
      <c r="B349" s="204" t="s">
        <v>497</v>
      </c>
      <c r="C349" s="204" t="s">
        <v>497</v>
      </c>
      <c r="D349" s="204" t="s">
        <v>497</v>
      </c>
      <c r="E349" s="204" t="s">
        <v>497</v>
      </c>
      <c r="F349" s="204" t="s">
        <v>497</v>
      </c>
      <c r="G349" s="204" t="s">
        <v>497</v>
      </c>
      <c r="H349" s="204" t="s">
        <v>497</v>
      </c>
      <c r="I349" s="204" t="s">
        <v>497</v>
      </c>
      <c r="J349" s="205" t="s">
        <v>497</v>
      </c>
      <c r="K349" s="205" t="s">
        <v>497</v>
      </c>
      <c r="L349" s="204" t="s">
        <v>497</v>
      </c>
      <c r="M349" s="204" t="s">
        <v>497</v>
      </c>
      <c r="N349" s="204"/>
      <c r="O349" s="204"/>
      <c r="P349" s="204"/>
      <c r="Q349" s="204"/>
      <c r="R349" s="204"/>
      <c r="S349" s="204"/>
      <c r="T349" s="204"/>
      <c r="U349" s="204"/>
      <c r="V349" s="204"/>
      <c r="W349" s="204"/>
      <c r="X349" s="204"/>
      <c r="Y349" s="204"/>
      <c r="Z349" s="204"/>
      <c r="AA349" s="204"/>
      <c r="AB349" s="204"/>
      <c r="AC349" s="204"/>
      <c r="AD349" s="204"/>
      <c r="AE349" s="204"/>
      <c r="AF349" s="204"/>
      <c r="AG349" s="204"/>
      <c r="AH349" s="204"/>
      <c r="AI349" s="204"/>
      <c r="AJ349" s="204"/>
      <c r="AK349" s="204"/>
      <c r="AL349" s="204"/>
      <c r="AM349" s="204"/>
      <c r="AN349" s="204"/>
      <c r="AO349" s="204"/>
      <c r="AP349" s="204"/>
      <c r="AQ349" s="204"/>
      <c r="AR349" s="204"/>
      <c r="AS349" s="204"/>
      <c r="AT349" s="204"/>
      <c r="AU349" s="206"/>
      <c r="AV349" s="202"/>
      <c r="AW349" s="202"/>
      <c r="AX349" s="202"/>
      <c r="AY349" s="202"/>
      <c r="AZ349" s="202"/>
      <c r="BA349" s="202"/>
      <c r="BB349" s="202"/>
      <c r="BC349" s="202"/>
      <c r="BD349" s="202"/>
      <c r="BE349" s="202"/>
      <c r="BF349" s="202"/>
      <c r="BG349" s="202"/>
    </row>
    <row r="350" spans="2:59" ht="15">
      <c r="B350" s="204" t="s">
        <v>497</v>
      </c>
      <c r="C350" s="204" t="s">
        <v>497</v>
      </c>
      <c r="D350" s="204" t="s">
        <v>497</v>
      </c>
      <c r="E350" s="204" t="s">
        <v>497</v>
      </c>
      <c r="F350" s="204" t="s">
        <v>497</v>
      </c>
      <c r="G350" s="204" t="s">
        <v>497</v>
      </c>
      <c r="H350" s="204" t="s">
        <v>497</v>
      </c>
      <c r="I350" s="204" t="s">
        <v>497</v>
      </c>
      <c r="J350" s="205" t="s">
        <v>497</v>
      </c>
      <c r="K350" s="205" t="s">
        <v>497</v>
      </c>
      <c r="L350" s="204" t="s">
        <v>497</v>
      </c>
      <c r="M350" s="204" t="s">
        <v>497</v>
      </c>
      <c r="N350" s="204"/>
      <c r="O350" s="204"/>
      <c r="P350" s="204"/>
      <c r="Q350" s="204"/>
      <c r="R350" s="204"/>
      <c r="S350" s="204"/>
      <c r="T350" s="204"/>
      <c r="U350" s="204"/>
      <c r="V350" s="204"/>
      <c r="W350" s="204"/>
      <c r="X350" s="204"/>
      <c r="Y350" s="204"/>
      <c r="Z350" s="204"/>
      <c r="AA350" s="204"/>
      <c r="AB350" s="204"/>
      <c r="AC350" s="204"/>
      <c r="AD350" s="204"/>
      <c r="AE350" s="204"/>
      <c r="AF350" s="204"/>
      <c r="AG350" s="204"/>
      <c r="AH350" s="204"/>
      <c r="AI350" s="204"/>
      <c r="AJ350" s="204"/>
      <c r="AK350" s="204"/>
      <c r="AL350" s="204"/>
      <c r="AM350" s="204"/>
      <c r="AN350" s="204"/>
      <c r="AO350" s="204"/>
      <c r="AP350" s="204"/>
      <c r="AQ350" s="204"/>
      <c r="AR350" s="204"/>
      <c r="AS350" s="204"/>
      <c r="AT350" s="204"/>
      <c r="AU350" s="206"/>
      <c r="AV350" s="202"/>
      <c r="AW350" s="202"/>
      <c r="AX350" s="202"/>
      <c r="AY350" s="202"/>
      <c r="AZ350" s="202"/>
      <c r="BA350" s="202"/>
      <c r="BB350" s="202"/>
      <c r="BC350" s="202"/>
      <c r="BD350" s="202"/>
      <c r="BE350" s="202"/>
      <c r="BF350" s="202"/>
      <c r="BG350" s="202"/>
    </row>
    <row r="351" spans="2:59" ht="15">
      <c r="B351" s="204" t="s">
        <v>497</v>
      </c>
      <c r="C351" s="204" t="s">
        <v>497</v>
      </c>
      <c r="D351" s="204" t="s">
        <v>497</v>
      </c>
      <c r="E351" s="204" t="s">
        <v>497</v>
      </c>
      <c r="F351" s="204" t="s">
        <v>497</v>
      </c>
      <c r="G351" s="204" t="s">
        <v>497</v>
      </c>
      <c r="H351" s="204" t="s">
        <v>497</v>
      </c>
      <c r="I351" s="204" t="s">
        <v>497</v>
      </c>
      <c r="J351" s="205" t="s">
        <v>497</v>
      </c>
      <c r="K351" s="205" t="s">
        <v>497</v>
      </c>
      <c r="L351" s="204" t="s">
        <v>497</v>
      </c>
      <c r="M351" s="204" t="s">
        <v>497</v>
      </c>
      <c r="N351" s="204"/>
      <c r="O351" s="204"/>
      <c r="P351" s="204"/>
      <c r="Q351" s="204"/>
      <c r="R351" s="204"/>
      <c r="S351" s="204"/>
      <c r="T351" s="204"/>
      <c r="U351" s="204"/>
      <c r="V351" s="204"/>
      <c r="W351" s="204"/>
      <c r="X351" s="204"/>
      <c r="Y351" s="204"/>
      <c r="Z351" s="204"/>
      <c r="AA351" s="204"/>
      <c r="AB351" s="204"/>
      <c r="AC351" s="204"/>
      <c r="AD351" s="204"/>
      <c r="AE351" s="204"/>
      <c r="AF351" s="204"/>
      <c r="AG351" s="204"/>
      <c r="AH351" s="204"/>
      <c r="AI351" s="204"/>
      <c r="AJ351" s="204"/>
      <c r="AK351" s="204"/>
      <c r="AL351" s="204"/>
      <c r="AM351" s="204"/>
      <c r="AN351" s="204"/>
      <c r="AO351" s="204"/>
      <c r="AP351" s="204"/>
      <c r="AQ351" s="204"/>
      <c r="AR351" s="204"/>
      <c r="AS351" s="204"/>
      <c r="AT351" s="204"/>
      <c r="AU351" s="206"/>
      <c r="AV351" s="202"/>
      <c r="AW351" s="202"/>
      <c r="AX351" s="202"/>
      <c r="AY351" s="202"/>
      <c r="AZ351" s="202"/>
      <c r="BA351" s="202"/>
      <c r="BB351" s="202"/>
      <c r="BC351" s="202"/>
      <c r="BD351" s="202"/>
      <c r="BE351" s="202"/>
      <c r="BF351" s="202"/>
      <c r="BG351" s="202"/>
    </row>
    <row r="352" spans="2:59" ht="15">
      <c r="B352" s="204" t="s">
        <v>497</v>
      </c>
      <c r="C352" s="204" t="s">
        <v>497</v>
      </c>
      <c r="D352" s="204" t="s">
        <v>497</v>
      </c>
      <c r="E352" s="204" t="s">
        <v>497</v>
      </c>
      <c r="F352" s="204" t="s">
        <v>497</v>
      </c>
      <c r="G352" s="204" t="s">
        <v>497</v>
      </c>
      <c r="H352" s="204" t="s">
        <v>497</v>
      </c>
      <c r="I352" s="204" t="s">
        <v>497</v>
      </c>
      <c r="J352" s="205" t="s">
        <v>497</v>
      </c>
      <c r="K352" s="205" t="s">
        <v>497</v>
      </c>
      <c r="L352" s="204" t="s">
        <v>497</v>
      </c>
      <c r="M352" s="204" t="s">
        <v>497</v>
      </c>
      <c r="N352" s="204"/>
      <c r="O352" s="204"/>
      <c r="P352" s="204"/>
      <c r="Q352" s="204"/>
      <c r="R352" s="204"/>
      <c r="S352" s="204"/>
      <c r="T352" s="204"/>
      <c r="U352" s="204"/>
      <c r="V352" s="204"/>
      <c r="W352" s="204"/>
      <c r="X352" s="204"/>
      <c r="Y352" s="204"/>
      <c r="Z352" s="204"/>
      <c r="AA352" s="204"/>
      <c r="AB352" s="204"/>
      <c r="AC352" s="204"/>
      <c r="AD352" s="204"/>
      <c r="AE352" s="204"/>
      <c r="AF352" s="204"/>
      <c r="AG352" s="204"/>
      <c r="AH352" s="204"/>
      <c r="AI352" s="204"/>
      <c r="AJ352" s="204"/>
      <c r="AK352" s="204"/>
      <c r="AL352" s="204"/>
      <c r="AM352" s="204"/>
      <c r="AN352" s="204"/>
      <c r="AO352" s="204"/>
      <c r="AP352" s="204"/>
      <c r="AQ352" s="204"/>
      <c r="AR352" s="204"/>
      <c r="AS352" s="204"/>
      <c r="AT352" s="204"/>
      <c r="AU352" s="206"/>
      <c r="AV352" s="202"/>
      <c r="AW352" s="202"/>
      <c r="AX352" s="202"/>
      <c r="AY352" s="202"/>
      <c r="AZ352" s="202"/>
      <c r="BA352" s="202"/>
      <c r="BB352" s="202"/>
      <c r="BC352" s="202"/>
      <c r="BD352" s="202"/>
      <c r="BE352" s="202"/>
      <c r="BF352" s="202"/>
      <c r="BG352" s="202"/>
    </row>
    <row r="353" spans="2:59" ht="15">
      <c r="B353" s="204" t="s">
        <v>497</v>
      </c>
      <c r="C353" s="204" t="s">
        <v>497</v>
      </c>
      <c r="D353" s="204" t="s">
        <v>497</v>
      </c>
      <c r="E353" s="204" t="s">
        <v>497</v>
      </c>
      <c r="F353" s="204" t="s">
        <v>497</v>
      </c>
      <c r="G353" s="204" t="s">
        <v>497</v>
      </c>
      <c r="H353" s="204" t="s">
        <v>497</v>
      </c>
      <c r="I353" s="204" t="s">
        <v>497</v>
      </c>
      <c r="J353" s="205" t="s">
        <v>497</v>
      </c>
      <c r="K353" s="205" t="s">
        <v>497</v>
      </c>
      <c r="L353" s="204" t="s">
        <v>497</v>
      </c>
      <c r="M353" s="204" t="s">
        <v>497</v>
      </c>
      <c r="N353" s="204"/>
      <c r="O353" s="204"/>
      <c r="P353" s="204"/>
      <c r="Q353" s="204"/>
      <c r="R353" s="204"/>
      <c r="S353" s="204"/>
      <c r="T353" s="204"/>
      <c r="U353" s="204"/>
      <c r="V353" s="204"/>
      <c r="W353" s="204"/>
      <c r="X353" s="204"/>
      <c r="Y353" s="204"/>
      <c r="Z353" s="204"/>
      <c r="AA353" s="204"/>
      <c r="AB353" s="204"/>
      <c r="AC353" s="204"/>
      <c r="AD353" s="204"/>
      <c r="AE353" s="204"/>
      <c r="AF353" s="204"/>
      <c r="AG353" s="204"/>
      <c r="AH353" s="204"/>
      <c r="AI353" s="204"/>
      <c r="AJ353" s="204"/>
      <c r="AK353" s="204"/>
      <c r="AL353" s="204"/>
      <c r="AM353" s="204"/>
      <c r="AN353" s="204"/>
      <c r="AO353" s="204"/>
      <c r="AP353" s="204"/>
      <c r="AQ353" s="204"/>
      <c r="AR353" s="204"/>
      <c r="AS353" s="204"/>
      <c r="AT353" s="204"/>
      <c r="AU353" s="206"/>
      <c r="AV353" s="202"/>
      <c r="AW353" s="202"/>
      <c r="AX353" s="202"/>
      <c r="AY353" s="202"/>
      <c r="AZ353" s="202"/>
      <c r="BA353" s="202"/>
      <c r="BB353" s="202"/>
      <c r="BC353" s="202"/>
      <c r="BD353" s="202"/>
      <c r="BE353" s="202"/>
      <c r="BF353" s="202"/>
      <c r="BG353" s="202"/>
    </row>
    <row r="354" spans="2:59" ht="15">
      <c r="B354" s="204" t="s">
        <v>497</v>
      </c>
      <c r="C354" s="204" t="s">
        <v>497</v>
      </c>
      <c r="D354" s="204" t="s">
        <v>497</v>
      </c>
      <c r="E354" s="204" t="s">
        <v>497</v>
      </c>
      <c r="F354" s="204" t="s">
        <v>497</v>
      </c>
      <c r="G354" s="204" t="s">
        <v>497</v>
      </c>
      <c r="H354" s="204" t="s">
        <v>497</v>
      </c>
      <c r="I354" s="204" t="s">
        <v>497</v>
      </c>
      <c r="J354" s="205" t="s">
        <v>497</v>
      </c>
      <c r="K354" s="205" t="s">
        <v>497</v>
      </c>
      <c r="L354" s="204" t="s">
        <v>497</v>
      </c>
      <c r="M354" s="204" t="s">
        <v>497</v>
      </c>
      <c r="N354" s="204"/>
      <c r="O354" s="204"/>
      <c r="P354" s="204"/>
      <c r="Q354" s="204"/>
      <c r="R354" s="204"/>
      <c r="S354" s="204"/>
      <c r="T354" s="204"/>
      <c r="U354" s="204"/>
      <c r="V354" s="204"/>
      <c r="W354" s="204"/>
      <c r="X354" s="204"/>
      <c r="Y354" s="204"/>
      <c r="Z354" s="204"/>
      <c r="AA354" s="204"/>
      <c r="AB354" s="204"/>
      <c r="AC354" s="204"/>
      <c r="AD354" s="204"/>
      <c r="AE354" s="204"/>
      <c r="AF354" s="204"/>
      <c r="AG354" s="204"/>
      <c r="AH354" s="204"/>
      <c r="AI354" s="204"/>
      <c r="AJ354" s="204"/>
      <c r="AK354" s="204"/>
      <c r="AL354" s="204"/>
      <c r="AM354" s="204"/>
      <c r="AN354" s="204"/>
      <c r="AO354" s="204"/>
      <c r="AP354" s="204"/>
      <c r="AQ354" s="204"/>
      <c r="AR354" s="204"/>
      <c r="AS354" s="204"/>
      <c r="AT354" s="204"/>
      <c r="AU354" s="206"/>
      <c r="AV354" s="202"/>
      <c r="AW354" s="202"/>
      <c r="AX354" s="202"/>
      <c r="AY354" s="202"/>
      <c r="AZ354" s="202"/>
      <c r="BA354" s="202"/>
      <c r="BB354" s="202"/>
      <c r="BC354" s="202"/>
      <c r="BD354" s="202"/>
      <c r="BE354" s="202"/>
      <c r="BF354" s="202"/>
      <c r="BG354" s="202"/>
    </row>
    <row r="355" spans="2:59" ht="15">
      <c r="B355" s="204" t="s">
        <v>497</v>
      </c>
      <c r="C355" s="204" t="s">
        <v>497</v>
      </c>
      <c r="D355" s="204" t="s">
        <v>497</v>
      </c>
      <c r="E355" s="204" t="s">
        <v>497</v>
      </c>
      <c r="F355" s="204" t="s">
        <v>497</v>
      </c>
      <c r="G355" s="204" t="s">
        <v>497</v>
      </c>
      <c r="H355" s="204" t="s">
        <v>497</v>
      </c>
      <c r="I355" s="204" t="s">
        <v>497</v>
      </c>
      <c r="J355" s="205" t="s">
        <v>497</v>
      </c>
      <c r="K355" s="205" t="s">
        <v>497</v>
      </c>
      <c r="L355" s="204" t="s">
        <v>497</v>
      </c>
      <c r="M355" s="204" t="s">
        <v>497</v>
      </c>
      <c r="N355" s="204"/>
      <c r="O355" s="204"/>
      <c r="P355" s="204"/>
      <c r="Q355" s="204"/>
      <c r="R355" s="204"/>
      <c r="S355" s="204"/>
      <c r="T355" s="204"/>
      <c r="U355" s="204"/>
      <c r="V355" s="204"/>
      <c r="W355" s="204"/>
      <c r="X355" s="204"/>
      <c r="Y355" s="204"/>
      <c r="Z355" s="204"/>
      <c r="AA355" s="204"/>
      <c r="AB355" s="204"/>
      <c r="AC355" s="204"/>
      <c r="AD355" s="204"/>
      <c r="AE355" s="204"/>
      <c r="AF355" s="204"/>
      <c r="AG355" s="204"/>
      <c r="AH355" s="204"/>
      <c r="AI355" s="204"/>
      <c r="AJ355" s="204"/>
      <c r="AK355" s="204"/>
      <c r="AL355" s="204"/>
      <c r="AM355" s="204"/>
      <c r="AN355" s="204"/>
      <c r="AO355" s="204"/>
      <c r="AP355" s="204"/>
      <c r="AQ355" s="204"/>
      <c r="AR355" s="204"/>
      <c r="AS355" s="204"/>
      <c r="AT355" s="204"/>
      <c r="AU355" s="206"/>
      <c r="AV355" s="202"/>
      <c r="AW355" s="202"/>
      <c r="AX355" s="202"/>
      <c r="AY355" s="202"/>
      <c r="AZ355" s="202"/>
      <c r="BA355" s="202"/>
      <c r="BB355" s="202"/>
      <c r="BC355" s="202"/>
      <c r="BD355" s="202"/>
      <c r="BE355" s="202"/>
      <c r="BF355" s="202"/>
      <c r="BG355" s="202"/>
    </row>
    <row r="356" spans="2:59" ht="15">
      <c r="B356" s="204" t="s">
        <v>497</v>
      </c>
      <c r="C356" s="204" t="s">
        <v>497</v>
      </c>
      <c r="D356" s="204" t="s">
        <v>497</v>
      </c>
      <c r="E356" s="204" t="s">
        <v>497</v>
      </c>
      <c r="F356" s="204" t="s">
        <v>497</v>
      </c>
      <c r="G356" s="204" t="s">
        <v>497</v>
      </c>
      <c r="H356" s="204" t="s">
        <v>497</v>
      </c>
      <c r="I356" s="204" t="s">
        <v>497</v>
      </c>
      <c r="J356" s="205" t="s">
        <v>497</v>
      </c>
      <c r="K356" s="205" t="s">
        <v>497</v>
      </c>
      <c r="L356" s="204" t="s">
        <v>497</v>
      </c>
      <c r="M356" s="204" t="s">
        <v>497</v>
      </c>
      <c r="N356" s="204"/>
      <c r="O356" s="204"/>
      <c r="P356" s="204"/>
      <c r="Q356" s="204"/>
      <c r="R356" s="204"/>
      <c r="S356" s="204"/>
      <c r="T356" s="204"/>
      <c r="U356" s="204"/>
      <c r="V356" s="204"/>
      <c r="W356" s="204"/>
      <c r="X356" s="204"/>
      <c r="Y356" s="204"/>
      <c r="Z356" s="204"/>
      <c r="AA356" s="204"/>
      <c r="AB356" s="204"/>
      <c r="AC356" s="204"/>
      <c r="AD356" s="204"/>
      <c r="AE356" s="204"/>
      <c r="AF356" s="204"/>
      <c r="AG356" s="204"/>
      <c r="AH356" s="204"/>
      <c r="AI356" s="204"/>
      <c r="AJ356" s="204"/>
      <c r="AK356" s="204"/>
      <c r="AL356" s="204"/>
      <c r="AM356" s="204"/>
      <c r="AN356" s="204"/>
      <c r="AO356" s="204"/>
      <c r="AP356" s="204"/>
      <c r="AQ356" s="204"/>
      <c r="AR356" s="204"/>
      <c r="AS356" s="204"/>
      <c r="AT356" s="204"/>
      <c r="AU356" s="206"/>
      <c r="AV356" s="202"/>
      <c r="AW356" s="202"/>
      <c r="AX356" s="202"/>
      <c r="AY356" s="202"/>
      <c r="AZ356" s="202"/>
      <c r="BA356" s="202"/>
      <c r="BB356" s="202"/>
      <c r="BC356" s="202"/>
      <c r="BD356" s="202"/>
      <c r="BE356" s="202"/>
      <c r="BF356" s="202"/>
      <c r="BG356" s="202"/>
    </row>
    <row r="357" spans="2:59" ht="15">
      <c r="B357" s="204" t="s">
        <v>497</v>
      </c>
      <c r="C357" s="204" t="s">
        <v>497</v>
      </c>
      <c r="D357" s="204" t="s">
        <v>497</v>
      </c>
      <c r="E357" s="204" t="s">
        <v>497</v>
      </c>
      <c r="F357" s="204" t="s">
        <v>497</v>
      </c>
      <c r="G357" s="204" t="s">
        <v>497</v>
      </c>
      <c r="H357" s="204" t="s">
        <v>497</v>
      </c>
      <c r="I357" s="204" t="s">
        <v>497</v>
      </c>
      <c r="J357" s="205" t="s">
        <v>497</v>
      </c>
      <c r="K357" s="205" t="s">
        <v>497</v>
      </c>
      <c r="L357" s="204" t="s">
        <v>497</v>
      </c>
      <c r="M357" s="204" t="s">
        <v>497</v>
      </c>
      <c r="N357" s="204"/>
      <c r="O357" s="204"/>
      <c r="P357" s="204"/>
      <c r="Q357" s="204"/>
      <c r="R357" s="204"/>
      <c r="S357" s="204"/>
      <c r="T357" s="204"/>
      <c r="U357" s="204"/>
      <c r="V357" s="204"/>
      <c r="W357" s="204"/>
      <c r="X357" s="204"/>
      <c r="Y357" s="204"/>
      <c r="Z357" s="204"/>
      <c r="AA357" s="204"/>
      <c r="AB357" s="204"/>
      <c r="AC357" s="204"/>
      <c r="AD357" s="204"/>
      <c r="AE357" s="204"/>
      <c r="AF357" s="204"/>
      <c r="AG357" s="204"/>
      <c r="AH357" s="204"/>
      <c r="AI357" s="204"/>
      <c r="AJ357" s="204"/>
      <c r="AK357" s="204"/>
      <c r="AL357" s="204"/>
      <c r="AM357" s="204"/>
      <c r="AN357" s="204"/>
      <c r="AO357" s="204"/>
      <c r="AP357" s="204"/>
      <c r="AQ357" s="204"/>
      <c r="AR357" s="204"/>
      <c r="AS357" s="204"/>
      <c r="AT357" s="204"/>
      <c r="AU357" s="206"/>
      <c r="AV357" s="202"/>
      <c r="AW357" s="202"/>
      <c r="AX357" s="202"/>
      <c r="AY357" s="202"/>
      <c r="AZ357" s="202"/>
      <c r="BA357" s="202"/>
      <c r="BB357" s="202"/>
      <c r="BC357" s="202"/>
      <c r="BD357" s="202"/>
      <c r="BE357" s="202"/>
      <c r="BF357" s="202"/>
      <c r="BG357" s="202"/>
    </row>
    <row r="358" spans="2:59" ht="15">
      <c r="B358" s="204" t="s">
        <v>497</v>
      </c>
      <c r="C358" s="204" t="s">
        <v>497</v>
      </c>
      <c r="D358" s="204" t="s">
        <v>497</v>
      </c>
      <c r="E358" s="204" t="s">
        <v>497</v>
      </c>
      <c r="F358" s="204" t="s">
        <v>497</v>
      </c>
      <c r="G358" s="204" t="s">
        <v>497</v>
      </c>
      <c r="H358" s="204" t="s">
        <v>497</v>
      </c>
      <c r="I358" s="204" t="s">
        <v>497</v>
      </c>
      <c r="J358" s="205" t="s">
        <v>497</v>
      </c>
      <c r="K358" s="205" t="s">
        <v>497</v>
      </c>
      <c r="L358" s="204" t="s">
        <v>497</v>
      </c>
      <c r="M358" s="204" t="s">
        <v>497</v>
      </c>
      <c r="N358" s="204"/>
      <c r="O358" s="204"/>
      <c r="P358" s="204"/>
      <c r="Q358" s="204"/>
      <c r="R358" s="204"/>
      <c r="S358" s="204"/>
      <c r="T358" s="204"/>
      <c r="U358" s="204"/>
      <c r="V358" s="204"/>
      <c r="W358" s="204"/>
      <c r="X358" s="204"/>
      <c r="Y358" s="204"/>
      <c r="Z358" s="204"/>
      <c r="AA358" s="204"/>
      <c r="AB358" s="204"/>
      <c r="AC358" s="204"/>
      <c r="AD358" s="204"/>
      <c r="AE358" s="204"/>
      <c r="AF358" s="204"/>
      <c r="AG358" s="204"/>
      <c r="AH358" s="204"/>
      <c r="AI358" s="204"/>
      <c r="AJ358" s="204"/>
      <c r="AK358" s="204"/>
      <c r="AL358" s="204"/>
      <c r="AM358" s="204"/>
      <c r="AN358" s="204"/>
      <c r="AO358" s="204"/>
      <c r="AP358" s="204"/>
      <c r="AQ358" s="204"/>
      <c r="AR358" s="204"/>
      <c r="AS358" s="204"/>
      <c r="AT358" s="204"/>
      <c r="AU358" s="206"/>
      <c r="AV358" s="202"/>
      <c r="AW358" s="202"/>
      <c r="AX358" s="202"/>
      <c r="AY358" s="202"/>
      <c r="AZ358" s="202"/>
      <c r="BA358" s="202"/>
      <c r="BB358" s="202"/>
      <c r="BC358" s="202"/>
      <c r="BD358" s="202"/>
      <c r="BE358" s="202"/>
      <c r="BF358" s="202"/>
      <c r="BG358" s="202"/>
    </row>
    <row r="359" spans="2:59" ht="15">
      <c r="B359" s="204" t="s">
        <v>497</v>
      </c>
      <c r="C359" s="204" t="s">
        <v>497</v>
      </c>
      <c r="D359" s="204" t="s">
        <v>497</v>
      </c>
      <c r="E359" s="204" t="s">
        <v>497</v>
      </c>
      <c r="F359" s="204" t="s">
        <v>497</v>
      </c>
      <c r="G359" s="204" t="s">
        <v>497</v>
      </c>
      <c r="H359" s="204" t="s">
        <v>497</v>
      </c>
      <c r="I359" s="204" t="s">
        <v>497</v>
      </c>
      <c r="J359" s="205" t="s">
        <v>497</v>
      </c>
      <c r="K359" s="205" t="s">
        <v>497</v>
      </c>
      <c r="L359" s="204" t="s">
        <v>497</v>
      </c>
      <c r="M359" s="204" t="s">
        <v>497</v>
      </c>
      <c r="N359" s="204"/>
      <c r="O359" s="204"/>
      <c r="P359" s="204"/>
      <c r="Q359" s="204"/>
      <c r="R359" s="204"/>
      <c r="S359" s="204"/>
      <c r="T359" s="204"/>
      <c r="U359" s="204"/>
      <c r="V359" s="204"/>
      <c r="W359" s="204"/>
      <c r="X359" s="204"/>
      <c r="Y359" s="204"/>
      <c r="Z359" s="204"/>
      <c r="AA359" s="204"/>
      <c r="AB359" s="204"/>
      <c r="AC359" s="204"/>
      <c r="AD359" s="204"/>
      <c r="AE359" s="204"/>
      <c r="AF359" s="204"/>
      <c r="AG359" s="204"/>
      <c r="AH359" s="204"/>
      <c r="AI359" s="204"/>
      <c r="AJ359" s="204"/>
      <c r="AK359" s="204"/>
      <c r="AL359" s="204"/>
      <c r="AM359" s="204"/>
      <c r="AN359" s="204"/>
      <c r="AO359" s="204"/>
      <c r="AP359" s="204"/>
      <c r="AQ359" s="204"/>
      <c r="AR359" s="204"/>
      <c r="AS359" s="204"/>
      <c r="AT359" s="204"/>
      <c r="AU359" s="206"/>
      <c r="AV359" s="202"/>
      <c r="AW359" s="202"/>
      <c r="AX359" s="202"/>
      <c r="AY359" s="202"/>
      <c r="AZ359" s="202"/>
      <c r="BA359" s="202"/>
      <c r="BB359" s="202"/>
      <c r="BC359" s="202"/>
      <c r="BD359" s="202"/>
      <c r="BE359" s="202"/>
      <c r="BF359" s="202"/>
      <c r="BG359" s="202"/>
    </row>
    <row r="360" spans="2:59" ht="15">
      <c r="B360" s="204" t="s">
        <v>497</v>
      </c>
      <c r="C360" s="204" t="s">
        <v>497</v>
      </c>
      <c r="D360" s="204" t="s">
        <v>497</v>
      </c>
      <c r="E360" s="204" t="s">
        <v>497</v>
      </c>
      <c r="F360" s="204" t="s">
        <v>497</v>
      </c>
      <c r="G360" s="204" t="s">
        <v>497</v>
      </c>
      <c r="H360" s="204" t="s">
        <v>497</v>
      </c>
      <c r="I360" s="204" t="s">
        <v>497</v>
      </c>
      <c r="J360" s="205" t="s">
        <v>497</v>
      </c>
      <c r="K360" s="205" t="s">
        <v>497</v>
      </c>
      <c r="L360" s="204" t="s">
        <v>497</v>
      </c>
      <c r="M360" s="204" t="s">
        <v>497</v>
      </c>
      <c r="N360" s="204"/>
      <c r="O360" s="204"/>
      <c r="P360" s="204"/>
      <c r="Q360" s="204"/>
      <c r="R360" s="204"/>
      <c r="S360" s="204"/>
      <c r="T360" s="204"/>
      <c r="U360" s="204"/>
      <c r="V360" s="204"/>
      <c r="W360" s="204"/>
      <c r="X360" s="204"/>
      <c r="Y360" s="204"/>
      <c r="Z360" s="204"/>
      <c r="AA360" s="204"/>
      <c r="AB360" s="204"/>
      <c r="AC360" s="204"/>
      <c r="AD360" s="204"/>
      <c r="AE360" s="204"/>
      <c r="AF360" s="204"/>
      <c r="AG360" s="204"/>
      <c r="AH360" s="204"/>
      <c r="AI360" s="204"/>
      <c r="AJ360" s="204"/>
      <c r="AK360" s="204"/>
      <c r="AL360" s="204"/>
      <c r="AM360" s="204"/>
      <c r="AN360" s="204"/>
      <c r="AO360" s="204"/>
      <c r="AP360" s="204"/>
      <c r="AQ360" s="204"/>
      <c r="AR360" s="204"/>
      <c r="AS360" s="204"/>
      <c r="AT360" s="204"/>
      <c r="AU360" s="206"/>
      <c r="AV360" s="202"/>
      <c r="AW360" s="202"/>
      <c r="AX360" s="202"/>
      <c r="AY360" s="202"/>
      <c r="AZ360" s="202"/>
      <c r="BA360" s="202"/>
      <c r="BB360" s="202"/>
      <c r="BC360" s="202"/>
      <c r="BD360" s="202"/>
      <c r="BE360" s="202"/>
      <c r="BF360" s="202"/>
      <c r="BG360" s="202"/>
    </row>
    <row r="361" spans="2:59" ht="15">
      <c r="B361" s="204" t="s">
        <v>497</v>
      </c>
      <c r="C361" s="204" t="s">
        <v>497</v>
      </c>
      <c r="D361" s="204" t="s">
        <v>497</v>
      </c>
      <c r="E361" s="204" t="s">
        <v>497</v>
      </c>
      <c r="F361" s="204" t="s">
        <v>497</v>
      </c>
      <c r="G361" s="204" t="s">
        <v>497</v>
      </c>
      <c r="H361" s="204" t="s">
        <v>497</v>
      </c>
      <c r="I361" s="204" t="s">
        <v>497</v>
      </c>
      <c r="J361" s="205" t="s">
        <v>497</v>
      </c>
      <c r="K361" s="205" t="s">
        <v>497</v>
      </c>
      <c r="L361" s="204" t="s">
        <v>497</v>
      </c>
      <c r="M361" s="204" t="s">
        <v>497</v>
      </c>
      <c r="N361" s="204"/>
      <c r="O361" s="204"/>
      <c r="P361" s="204"/>
      <c r="Q361" s="204"/>
      <c r="R361" s="204"/>
      <c r="S361" s="204"/>
      <c r="T361" s="204"/>
      <c r="U361" s="204"/>
      <c r="V361" s="204"/>
      <c r="W361" s="204"/>
      <c r="X361" s="204"/>
      <c r="Y361" s="204"/>
      <c r="Z361" s="204"/>
      <c r="AA361" s="204"/>
      <c r="AB361" s="204"/>
      <c r="AC361" s="204"/>
      <c r="AD361" s="204"/>
      <c r="AE361" s="204"/>
      <c r="AF361" s="204"/>
      <c r="AG361" s="204"/>
      <c r="AH361" s="204"/>
      <c r="AI361" s="204"/>
      <c r="AJ361" s="204"/>
      <c r="AK361" s="204"/>
      <c r="AL361" s="204"/>
      <c r="AM361" s="204"/>
      <c r="AN361" s="204"/>
      <c r="AO361" s="204"/>
      <c r="AP361" s="204"/>
      <c r="AQ361" s="204"/>
      <c r="AR361" s="204"/>
      <c r="AS361" s="204"/>
      <c r="AT361" s="204"/>
      <c r="AU361" s="206"/>
      <c r="AV361" s="202"/>
      <c r="AW361" s="202"/>
      <c r="AX361" s="202"/>
      <c r="AY361" s="202"/>
      <c r="AZ361" s="202"/>
      <c r="BA361" s="202"/>
      <c r="BB361" s="202"/>
      <c r="BC361" s="202"/>
      <c r="BD361" s="202"/>
      <c r="BE361" s="202"/>
      <c r="BF361" s="202"/>
      <c r="BG361" s="202"/>
    </row>
    <row r="362" spans="2:59" ht="15">
      <c r="B362" s="204" t="s">
        <v>497</v>
      </c>
      <c r="C362" s="204" t="s">
        <v>497</v>
      </c>
      <c r="D362" s="204" t="s">
        <v>497</v>
      </c>
      <c r="E362" s="204" t="s">
        <v>497</v>
      </c>
      <c r="F362" s="204" t="s">
        <v>497</v>
      </c>
      <c r="G362" s="204" t="s">
        <v>497</v>
      </c>
      <c r="H362" s="204" t="s">
        <v>497</v>
      </c>
      <c r="I362" s="204" t="s">
        <v>497</v>
      </c>
      <c r="J362" s="205" t="s">
        <v>497</v>
      </c>
      <c r="K362" s="205" t="s">
        <v>497</v>
      </c>
      <c r="L362" s="204" t="s">
        <v>497</v>
      </c>
      <c r="M362" s="204" t="s">
        <v>497</v>
      </c>
      <c r="N362" s="204"/>
      <c r="O362" s="204"/>
      <c r="P362" s="204"/>
      <c r="Q362" s="204"/>
      <c r="R362" s="204"/>
      <c r="S362" s="204"/>
      <c r="T362" s="204"/>
      <c r="U362" s="204"/>
      <c r="V362" s="204"/>
      <c r="W362" s="204"/>
      <c r="X362" s="204"/>
      <c r="Y362" s="204"/>
      <c r="Z362" s="204"/>
      <c r="AA362" s="204"/>
      <c r="AB362" s="204"/>
      <c r="AC362" s="204"/>
      <c r="AD362" s="204"/>
      <c r="AE362" s="204"/>
      <c r="AF362" s="204"/>
      <c r="AG362" s="204"/>
      <c r="AH362" s="204"/>
      <c r="AI362" s="204"/>
      <c r="AJ362" s="204"/>
      <c r="AK362" s="204"/>
      <c r="AL362" s="204"/>
      <c r="AM362" s="204"/>
      <c r="AN362" s="204"/>
      <c r="AO362" s="204"/>
      <c r="AP362" s="204"/>
      <c r="AQ362" s="204"/>
      <c r="AR362" s="204"/>
      <c r="AS362" s="204"/>
      <c r="AT362" s="204"/>
      <c r="AU362" s="206"/>
      <c r="AV362" s="202"/>
      <c r="AW362" s="202"/>
      <c r="AX362" s="202"/>
      <c r="AY362" s="202"/>
      <c r="AZ362" s="202"/>
      <c r="BA362" s="202"/>
      <c r="BB362" s="202"/>
      <c r="BC362" s="202"/>
      <c r="BD362" s="202"/>
      <c r="BE362" s="202"/>
      <c r="BF362" s="202"/>
      <c r="BG362" s="202"/>
    </row>
    <row r="363" spans="2:59" ht="15">
      <c r="B363" s="204" t="s">
        <v>497</v>
      </c>
      <c r="C363" s="204" t="s">
        <v>497</v>
      </c>
      <c r="D363" s="204" t="s">
        <v>497</v>
      </c>
      <c r="E363" s="204" t="s">
        <v>497</v>
      </c>
      <c r="F363" s="204" t="s">
        <v>497</v>
      </c>
      <c r="G363" s="204" t="s">
        <v>497</v>
      </c>
      <c r="H363" s="204" t="s">
        <v>497</v>
      </c>
      <c r="I363" s="204" t="s">
        <v>497</v>
      </c>
      <c r="J363" s="205" t="s">
        <v>497</v>
      </c>
      <c r="K363" s="205" t="s">
        <v>497</v>
      </c>
      <c r="L363" s="204" t="s">
        <v>497</v>
      </c>
      <c r="M363" s="204" t="s">
        <v>497</v>
      </c>
      <c r="N363" s="204"/>
      <c r="O363" s="204"/>
      <c r="P363" s="204"/>
      <c r="Q363" s="204"/>
      <c r="R363" s="204"/>
      <c r="S363" s="204"/>
      <c r="T363" s="204"/>
      <c r="U363" s="204"/>
      <c r="V363" s="204"/>
      <c r="W363" s="204"/>
      <c r="X363" s="204"/>
      <c r="Y363" s="204"/>
      <c r="Z363" s="204"/>
      <c r="AA363" s="204"/>
      <c r="AB363" s="204"/>
      <c r="AC363" s="204"/>
      <c r="AD363" s="204"/>
      <c r="AE363" s="204"/>
      <c r="AF363" s="204"/>
      <c r="AG363" s="204"/>
      <c r="AH363" s="204"/>
      <c r="AI363" s="204"/>
      <c r="AJ363" s="204"/>
      <c r="AK363" s="204"/>
      <c r="AL363" s="204"/>
      <c r="AM363" s="204"/>
      <c r="AN363" s="204"/>
      <c r="AO363" s="204"/>
      <c r="AP363" s="204"/>
      <c r="AQ363" s="204"/>
      <c r="AR363" s="204"/>
      <c r="AS363" s="204"/>
      <c r="AT363" s="204"/>
      <c r="AU363" s="206"/>
      <c r="AV363" s="202"/>
      <c r="AW363" s="202"/>
      <c r="AX363" s="202"/>
      <c r="AY363" s="202"/>
      <c r="AZ363" s="202"/>
      <c r="BA363" s="202"/>
      <c r="BB363" s="202"/>
      <c r="BC363" s="202"/>
      <c r="BD363" s="202"/>
      <c r="BE363" s="202"/>
      <c r="BF363" s="202"/>
      <c r="BG363" s="202"/>
    </row>
    <row r="364" spans="2:59" ht="15">
      <c r="B364" s="204" t="s">
        <v>497</v>
      </c>
      <c r="C364" s="204" t="s">
        <v>497</v>
      </c>
      <c r="D364" s="204" t="s">
        <v>497</v>
      </c>
      <c r="E364" s="204" t="s">
        <v>497</v>
      </c>
      <c r="F364" s="204" t="s">
        <v>497</v>
      </c>
      <c r="G364" s="204" t="s">
        <v>497</v>
      </c>
      <c r="H364" s="204" t="s">
        <v>497</v>
      </c>
      <c r="I364" s="204" t="s">
        <v>497</v>
      </c>
      <c r="J364" s="205" t="s">
        <v>497</v>
      </c>
      <c r="K364" s="205" t="s">
        <v>497</v>
      </c>
      <c r="L364" s="204" t="s">
        <v>497</v>
      </c>
      <c r="M364" s="204" t="s">
        <v>497</v>
      </c>
      <c r="N364" s="204"/>
      <c r="O364" s="204"/>
      <c r="P364" s="204"/>
      <c r="Q364" s="204"/>
      <c r="R364" s="204"/>
      <c r="S364" s="204"/>
      <c r="T364" s="204"/>
      <c r="U364" s="204"/>
      <c r="V364" s="204"/>
      <c r="W364" s="204"/>
      <c r="X364" s="204"/>
      <c r="Y364" s="204"/>
      <c r="Z364" s="204"/>
      <c r="AA364" s="204"/>
      <c r="AB364" s="204"/>
      <c r="AC364" s="204"/>
      <c r="AD364" s="204"/>
      <c r="AE364" s="204"/>
      <c r="AF364" s="204"/>
      <c r="AG364" s="204"/>
      <c r="AH364" s="204"/>
      <c r="AI364" s="204"/>
      <c r="AJ364" s="204"/>
      <c r="AK364" s="204"/>
      <c r="AL364" s="204"/>
      <c r="AM364" s="204"/>
      <c r="AN364" s="204"/>
      <c r="AO364" s="204"/>
      <c r="AP364" s="204"/>
      <c r="AQ364" s="204"/>
      <c r="AR364" s="204"/>
      <c r="AS364" s="204"/>
      <c r="AT364" s="204"/>
      <c r="AU364" s="206"/>
      <c r="AV364" s="202"/>
      <c r="AW364" s="202"/>
      <c r="AX364" s="202"/>
      <c r="AY364" s="202"/>
      <c r="AZ364" s="202"/>
      <c r="BA364" s="202"/>
      <c r="BB364" s="202"/>
      <c r="BC364" s="202"/>
      <c r="BD364" s="202"/>
      <c r="BE364" s="202"/>
      <c r="BF364" s="202"/>
      <c r="BG364" s="202"/>
    </row>
    <row r="365" spans="2:59" ht="15">
      <c r="B365" s="204" t="s">
        <v>497</v>
      </c>
      <c r="C365" s="204" t="s">
        <v>497</v>
      </c>
      <c r="D365" s="204" t="s">
        <v>497</v>
      </c>
      <c r="E365" s="204" t="s">
        <v>497</v>
      </c>
      <c r="F365" s="204" t="s">
        <v>497</v>
      </c>
      <c r="G365" s="204" t="s">
        <v>497</v>
      </c>
      <c r="H365" s="204" t="s">
        <v>497</v>
      </c>
      <c r="I365" s="204" t="s">
        <v>497</v>
      </c>
      <c r="J365" s="205" t="s">
        <v>497</v>
      </c>
      <c r="K365" s="205" t="s">
        <v>497</v>
      </c>
      <c r="L365" s="204" t="s">
        <v>497</v>
      </c>
      <c r="M365" s="204" t="s">
        <v>497</v>
      </c>
      <c r="N365" s="204"/>
      <c r="O365" s="204"/>
      <c r="P365" s="204"/>
      <c r="Q365" s="204"/>
      <c r="R365" s="204"/>
      <c r="S365" s="204"/>
      <c r="T365" s="204"/>
      <c r="U365" s="204"/>
      <c r="V365" s="204"/>
      <c r="W365" s="204"/>
      <c r="X365" s="204"/>
      <c r="Y365" s="204"/>
      <c r="Z365" s="204"/>
      <c r="AA365" s="204"/>
      <c r="AB365" s="204"/>
      <c r="AC365" s="204"/>
      <c r="AD365" s="204"/>
      <c r="AE365" s="204"/>
      <c r="AF365" s="204"/>
      <c r="AG365" s="204"/>
      <c r="AH365" s="204"/>
      <c r="AI365" s="204"/>
      <c r="AJ365" s="204"/>
      <c r="AK365" s="204"/>
      <c r="AL365" s="204"/>
      <c r="AM365" s="204"/>
      <c r="AN365" s="204"/>
      <c r="AO365" s="204"/>
      <c r="AP365" s="204"/>
      <c r="AQ365" s="204"/>
      <c r="AR365" s="204"/>
      <c r="AS365" s="204"/>
      <c r="AT365" s="204"/>
      <c r="AU365" s="206"/>
      <c r="AV365" s="202"/>
      <c r="AW365" s="202"/>
      <c r="AX365" s="202"/>
      <c r="AY365" s="202"/>
      <c r="AZ365" s="202"/>
      <c r="BA365" s="202"/>
      <c r="BB365" s="202"/>
      <c r="BC365" s="202"/>
      <c r="BD365" s="202"/>
      <c r="BE365" s="202"/>
      <c r="BF365" s="202"/>
      <c r="BG365" s="202"/>
    </row>
    <row r="366" spans="2:59" ht="15">
      <c r="B366" s="204" t="s">
        <v>497</v>
      </c>
      <c r="C366" s="204" t="s">
        <v>497</v>
      </c>
      <c r="D366" s="204" t="s">
        <v>497</v>
      </c>
      <c r="E366" s="204" t="s">
        <v>497</v>
      </c>
      <c r="F366" s="204" t="s">
        <v>497</v>
      </c>
      <c r="G366" s="204" t="s">
        <v>497</v>
      </c>
      <c r="H366" s="204" t="s">
        <v>497</v>
      </c>
      <c r="I366" s="204" t="s">
        <v>497</v>
      </c>
      <c r="J366" s="205" t="s">
        <v>497</v>
      </c>
      <c r="K366" s="205" t="s">
        <v>497</v>
      </c>
      <c r="L366" s="204" t="s">
        <v>497</v>
      </c>
      <c r="M366" s="204" t="s">
        <v>497</v>
      </c>
      <c r="N366" s="204"/>
      <c r="O366" s="204"/>
      <c r="P366" s="204"/>
      <c r="Q366" s="204"/>
      <c r="R366" s="204"/>
      <c r="S366" s="204"/>
      <c r="T366" s="204"/>
      <c r="U366" s="204"/>
      <c r="V366" s="204"/>
      <c r="W366" s="204"/>
      <c r="X366" s="204"/>
      <c r="Y366" s="204"/>
      <c r="Z366" s="204"/>
      <c r="AA366" s="204"/>
      <c r="AB366" s="204"/>
      <c r="AC366" s="204"/>
      <c r="AD366" s="204"/>
      <c r="AE366" s="204"/>
      <c r="AF366" s="204"/>
      <c r="AG366" s="204"/>
      <c r="AH366" s="204"/>
      <c r="AI366" s="204"/>
      <c r="AJ366" s="204"/>
      <c r="AK366" s="204"/>
      <c r="AL366" s="204"/>
      <c r="AM366" s="204"/>
      <c r="AN366" s="204"/>
      <c r="AO366" s="204"/>
      <c r="AP366" s="204"/>
      <c r="AQ366" s="204"/>
      <c r="AR366" s="204"/>
      <c r="AS366" s="204"/>
      <c r="AT366" s="204"/>
      <c r="AU366" s="206"/>
      <c r="AV366" s="202"/>
      <c r="AW366" s="202"/>
      <c r="AX366" s="202"/>
      <c r="AY366" s="202"/>
      <c r="AZ366" s="202"/>
      <c r="BA366" s="202"/>
      <c r="BB366" s="202"/>
      <c r="BC366" s="202"/>
      <c r="BD366" s="202"/>
      <c r="BE366" s="202"/>
      <c r="BF366" s="202"/>
      <c r="BG366" s="202"/>
    </row>
    <row r="367" spans="2:59" ht="15">
      <c r="B367" s="204" t="s">
        <v>497</v>
      </c>
      <c r="C367" s="204" t="s">
        <v>497</v>
      </c>
      <c r="D367" s="204" t="s">
        <v>497</v>
      </c>
      <c r="E367" s="204" t="s">
        <v>497</v>
      </c>
      <c r="F367" s="204" t="s">
        <v>497</v>
      </c>
      <c r="G367" s="204" t="s">
        <v>497</v>
      </c>
      <c r="H367" s="204" t="s">
        <v>497</v>
      </c>
      <c r="I367" s="204" t="s">
        <v>497</v>
      </c>
      <c r="J367" s="205" t="s">
        <v>497</v>
      </c>
      <c r="K367" s="205" t="s">
        <v>497</v>
      </c>
      <c r="L367" s="204" t="s">
        <v>497</v>
      </c>
      <c r="M367" s="204" t="s">
        <v>497</v>
      </c>
      <c r="N367" s="204"/>
      <c r="O367" s="204"/>
      <c r="P367" s="204"/>
      <c r="Q367" s="204"/>
      <c r="R367" s="204"/>
      <c r="S367" s="204"/>
      <c r="T367" s="204"/>
      <c r="U367" s="204"/>
      <c r="V367" s="204"/>
      <c r="W367" s="204"/>
      <c r="X367" s="204"/>
      <c r="Y367" s="204"/>
      <c r="Z367" s="204"/>
      <c r="AA367" s="204"/>
      <c r="AB367" s="204"/>
      <c r="AC367" s="204"/>
      <c r="AD367" s="204"/>
      <c r="AE367" s="204"/>
      <c r="AF367" s="204"/>
      <c r="AG367" s="204"/>
      <c r="AH367" s="204"/>
      <c r="AI367" s="204"/>
      <c r="AJ367" s="204"/>
      <c r="AK367" s="204"/>
      <c r="AL367" s="204"/>
      <c r="AM367" s="204"/>
      <c r="AN367" s="204"/>
      <c r="AO367" s="204"/>
      <c r="AP367" s="204"/>
      <c r="AQ367" s="204"/>
      <c r="AR367" s="204"/>
      <c r="AS367" s="204"/>
      <c r="AT367" s="204"/>
      <c r="AU367" s="206"/>
      <c r="AV367" s="202"/>
      <c r="AW367" s="202"/>
      <c r="AX367" s="202"/>
      <c r="AY367" s="202"/>
      <c r="AZ367" s="202"/>
      <c r="BA367" s="202"/>
      <c r="BB367" s="202"/>
      <c r="BC367" s="202"/>
      <c r="BD367" s="202"/>
      <c r="BE367" s="202"/>
      <c r="BF367" s="202"/>
      <c r="BG367" s="202"/>
    </row>
    <row r="368" spans="2:59" ht="15">
      <c r="B368" s="204" t="s">
        <v>497</v>
      </c>
      <c r="C368" s="204" t="s">
        <v>497</v>
      </c>
      <c r="D368" s="204" t="s">
        <v>497</v>
      </c>
      <c r="E368" s="204" t="s">
        <v>497</v>
      </c>
      <c r="F368" s="204" t="s">
        <v>497</v>
      </c>
      <c r="G368" s="204" t="s">
        <v>497</v>
      </c>
      <c r="H368" s="204" t="s">
        <v>497</v>
      </c>
      <c r="I368" s="204" t="s">
        <v>497</v>
      </c>
      <c r="J368" s="205" t="s">
        <v>497</v>
      </c>
      <c r="K368" s="205" t="s">
        <v>497</v>
      </c>
      <c r="L368" s="204" t="s">
        <v>497</v>
      </c>
      <c r="M368" s="204" t="s">
        <v>497</v>
      </c>
      <c r="N368" s="204"/>
      <c r="O368" s="204"/>
      <c r="P368" s="204"/>
      <c r="Q368" s="204"/>
      <c r="R368" s="204"/>
      <c r="S368" s="204"/>
      <c r="T368" s="204"/>
      <c r="U368" s="204"/>
      <c r="V368" s="204"/>
      <c r="W368" s="204"/>
      <c r="X368" s="204"/>
      <c r="Y368" s="204"/>
      <c r="Z368" s="204"/>
      <c r="AA368" s="204"/>
      <c r="AB368" s="204"/>
      <c r="AC368" s="204"/>
      <c r="AD368" s="204"/>
      <c r="AE368" s="204"/>
      <c r="AF368" s="204"/>
      <c r="AG368" s="204"/>
      <c r="AH368" s="204"/>
      <c r="AI368" s="204"/>
      <c r="AJ368" s="204"/>
      <c r="AK368" s="204"/>
      <c r="AL368" s="204"/>
      <c r="AM368" s="204"/>
      <c r="AN368" s="204"/>
      <c r="AO368" s="204"/>
      <c r="AP368" s="204"/>
      <c r="AQ368" s="204"/>
      <c r="AR368" s="204"/>
      <c r="AS368" s="204"/>
      <c r="AT368" s="204"/>
      <c r="AU368" s="206"/>
      <c r="AV368" s="202"/>
      <c r="AW368" s="202"/>
      <c r="AX368" s="202"/>
      <c r="AY368" s="202"/>
      <c r="AZ368" s="202"/>
      <c r="BA368" s="202"/>
      <c r="BB368" s="202"/>
      <c r="BC368" s="202"/>
      <c r="BD368" s="202"/>
      <c r="BE368" s="202"/>
      <c r="BF368" s="202"/>
      <c r="BG368" s="202"/>
    </row>
    <row r="369" spans="2:59" ht="15">
      <c r="B369" s="204" t="s">
        <v>497</v>
      </c>
      <c r="C369" s="204" t="s">
        <v>497</v>
      </c>
      <c r="D369" s="204" t="s">
        <v>497</v>
      </c>
      <c r="E369" s="204" t="s">
        <v>497</v>
      </c>
      <c r="F369" s="204" t="s">
        <v>497</v>
      </c>
      <c r="G369" s="204" t="s">
        <v>497</v>
      </c>
      <c r="H369" s="204" t="s">
        <v>497</v>
      </c>
      <c r="I369" s="204" t="s">
        <v>497</v>
      </c>
      <c r="J369" s="205" t="s">
        <v>497</v>
      </c>
      <c r="K369" s="205" t="s">
        <v>497</v>
      </c>
      <c r="L369" s="204" t="s">
        <v>497</v>
      </c>
      <c r="M369" s="204" t="s">
        <v>497</v>
      </c>
      <c r="N369" s="204"/>
      <c r="O369" s="204"/>
      <c r="P369" s="204"/>
      <c r="Q369" s="204"/>
      <c r="R369" s="204"/>
      <c r="S369" s="204"/>
      <c r="T369" s="204"/>
      <c r="U369" s="204"/>
      <c r="V369" s="204"/>
      <c r="W369" s="204"/>
      <c r="X369" s="204"/>
      <c r="Y369" s="204"/>
      <c r="Z369" s="204"/>
      <c r="AA369" s="204"/>
      <c r="AB369" s="204"/>
      <c r="AC369" s="204"/>
      <c r="AD369" s="204"/>
      <c r="AE369" s="204"/>
      <c r="AF369" s="204"/>
      <c r="AG369" s="204"/>
      <c r="AH369" s="204"/>
      <c r="AI369" s="204"/>
      <c r="AJ369" s="204"/>
      <c r="AK369" s="204"/>
      <c r="AL369" s="204"/>
      <c r="AM369" s="204"/>
      <c r="AN369" s="204"/>
      <c r="AO369" s="204"/>
      <c r="AP369" s="204"/>
      <c r="AQ369" s="204"/>
      <c r="AR369" s="204"/>
      <c r="AS369" s="204"/>
      <c r="AT369" s="204"/>
      <c r="AU369" s="206"/>
      <c r="AV369" s="202"/>
      <c r="AW369" s="202"/>
      <c r="AX369" s="202"/>
      <c r="AY369" s="202"/>
      <c r="AZ369" s="202"/>
      <c r="BA369" s="202"/>
      <c r="BB369" s="202"/>
      <c r="BC369" s="202"/>
      <c r="BD369" s="202"/>
      <c r="BE369" s="202"/>
      <c r="BF369" s="202"/>
      <c r="BG369" s="202"/>
    </row>
    <row r="370" spans="2:59" ht="15">
      <c r="B370" s="204" t="s">
        <v>497</v>
      </c>
      <c r="C370" s="204" t="s">
        <v>497</v>
      </c>
      <c r="D370" s="204" t="s">
        <v>497</v>
      </c>
      <c r="E370" s="204" t="s">
        <v>497</v>
      </c>
      <c r="F370" s="204" t="s">
        <v>497</v>
      </c>
      <c r="G370" s="204" t="s">
        <v>497</v>
      </c>
      <c r="H370" s="204" t="s">
        <v>497</v>
      </c>
      <c r="I370" s="204" t="s">
        <v>497</v>
      </c>
      <c r="J370" s="205" t="s">
        <v>497</v>
      </c>
      <c r="K370" s="205" t="s">
        <v>497</v>
      </c>
      <c r="L370" s="204" t="s">
        <v>497</v>
      </c>
      <c r="M370" s="204" t="s">
        <v>497</v>
      </c>
      <c r="N370" s="204"/>
      <c r="O370" s="204"/>
      <c r="P370" s="204"/>
      <c r="Q370" s="204"/>
      <c r="R370" s="204"/>
      <c r="S370" s="204"/>
      <c r="T370" s="204"/>
      <c r="U370" s="204"/>
      <c r="V370" s="204"/>
      <c r="W370" s="204"/>
      <c r="X370" s="204"/>
      <c r="Y370" s="204"/>
      <c r="Z370" s="204"/>
      <c r="AA370" s="204"/>
      <c r="AB370" s="204"/>
      <c r="AC370" s="204"/>
      <c r="AD370" s="204"/>
      <c r="AE370" s="204"/>
      <c r="AF370" s="204"/>
      <c r="AG370" s="204"/>
      <c r="AH370" s="204"/>
      <c r="AI370" s="204"/>
      <c r="AJ370" s="204"/>
      <c r="AK370" s="204"/>
      <c r="AL370" s="204"/>
      <c r="AM370" s="204"/>
      <c r="AN370" s="204"/>
      <c r="AO370" s="204"/>
      <c r="AP370" s="204"/>
      <c r="AQ370" s="204"/>
      <c r="AR370" s="204"/>
      <c r="AS370" s="204"/>
      <c r="AT370" s="204"/>
      <c r="AU370" s="206"/>
      <c r="AV370" s="202"/>
      <c r="AW370" s="202"/>
      <c r="AX370" s="202"/>
      <c r="AY370" s="202"/>
      <c r="AZ370" s="202"/>
      <c r="BA370" s="202"/>
      <c r="BB370" s="202"/>
      <c r="BC370" s="202"/>
      <c r="BD370" s="202"/>
      <c r="BE370" s="202"/>
      <c r="BF370" s="202"/>
      <c r="BG370" s="202"/>
    </row>
    <row r="371" spans="2:59" ht="15">
      <c r="B371" s="204" t="s">
        <v>497</v>
      </c>
      <c r="C371" s="204" t="s">
        <v>497</v>
      </c>
      <c r="D371" s="204" t="s">
        <v>497</v>
      </c>
      <c r="E371" s="204" t="s">
        <v>497</v>
      </c>
      <c r="F371" s="204" t="s">
        <v>497</v>
      </c>
      <c r="G371" s="204" t="s">
        <v>497</v>
      </c>
      <c r="H371" s="204" t="s">
        <v>497</v>
      </c>
      <c r="I371" s="204" t="s">
        <v>497</v>
      </c>
      <c r="J371" s="205" t="s">
        <v>497</v>
      </c>
      <c r="K371" s="205" t="s">
        <v>497</v>
      </c>
      <c r="L371" s="204" t="s">
        <v>497</v>
      </c>
      <c r="M371" s="204" t="s">
        <v>497</v>
      </c>
      <c r="N371" s="204"/>
      <c r="O371" s="204"/>
      <c r="P371" s="204"/>
      <c r="Q371" s="204"/>
      <c r="R371" s="204"/>
      <c r="S371" s="204"/>
      <c r="T371" s="204"/>
      <c r="U371" s="204"/>
      <c r="V371" s="204"/>
      <c r="W371" s="204"/>
      <c r="X371" s="204"/>
      <c r="Y371" s="204"/>
      <c r="Z371" s="204"/>
      <c r="AA371" s="204"/>
      <c r="AB371" s="204"/>
      <c r="AC371" s="204"/>
      <c r="AD371" s="204"/>
      <c r="AE371" s="204"/>
      <c r="AF371" s="204"/>
      <c r="AG371" s="204"/>
      <c r="AH371" s="204"/>
      <c r="AI371" s="204"/>
      <c r="AJ371" s="204"/>
      <c r="AK371" s="204"/>
      <c r="AL371" s="204"/>
      <c r="AM371" s="204"/>
      <c r="AN371" s="204"/>
      <c r="AO371" s="204"/>
      <c r="AP371" s="204"/>
      <c r="AQ371" s="204"/>
      <c r="AR371" s="204"/>
      <c r="AS371" s="204"/>
      <c r="AT371" s="204"/>
      <c r="AU371" s="206"/>
      <c r="AV371" s="202"/>
      <c r="AW371" s="202"/>
      <c r="AX371" s="202"/>
      <c r="AY371" s="202"/>
      <c r="AZ371" s="202"/>
      <c r="BA371" s="202"/>
      <c r="BB371" s="202"/>
      <c r="BC371" s="202"/>
      <c r="BD371" s="202"/>
      <c r="BE371" s="202"/>
      <c r="BF371" s="202"/>
      <c r="BG371" s="202"/>
    </row>
    <row r="372" spans="2:59" ht="15">
      <c r="B372" s="204" t="s">
        <v>497</v>
      </c>
      <c r="C372" s="204" t="s">
        <v>497</v>
      </c>
      <c r="D372" s="204" t="s">
        <v>497</v>
      </c>
      <c r="E372" s="204" t="s">
        <v>497</v>
      </c>
      <c r="F372" s="204" t="s">
        <v>497</v>
      </c>
      <c r="G372" s="204" t="s">
        <v>497</v>
      </c>
      <c r="H372" s="204" t="s">
        <v>497</v>
      </c>
      <c r="I372" s="204" t="s">
        <v>497</v>
      </c>
      <c r="J372" s="205" t="s">
        <v>497</v>
      </c>
      <c r="K372" s="205" t="s">
        <v>497</v>
      </c>
      <c r="L372" s="204" t="s">
        <v>497</v>
      </c>
      <c r="M372" s="204" t="s">
        <v>497</v>
      </c>
      <c r="N372" s="204"/>
      <c r="O372" s="204"/>
      <c r="P372" s="204"/>
      <c r="Q372" s="204"/>
      <c r="R372" s="204"/>
      <c r="S372" s="204"/>
      <c r="T372" s="204"/>
      <c r="U372" s="204"/>
      <c r="V372" s="204"/>
      <c r="W372" s="204"/>
      <c r="X372" s="204"/>
      <c r="Y372" s="204"/>
      <c r="Z372" s="204"/>
      <c r="AA372" s="204"/>
      <c r="AB372" s="204"/>
      <c r="AC372" s="204"/>
      <c r="AD372" s="204"/>
      <c r="AE372" s="204"/>
      <c r="AF372" s="204"/>
      <c r="AG372" s="204"/>
      <c r="AH372" s="204"/>
      <c r="AI372" s="204"/>
      <c r="AJ372" s="204"/>
      <c r="AK372" s="204"/>
      <c r="AL372" s="204"/>
      <c r="AM372" s="204"/>
      <c r="AN372" s="204"/>
      <c r="AO372" s="204"/>
      <c r="AP372" s="204"/>
      <c r="AQ372" s="204"/>
      <c r="AR372" s="204"/>
      <c r="AS372" s="204"/>
      <c r="AT372" s="204"/>
      <c r="AU372" s="206"/>
      <c r="AV372" s="202"/>
      <c r="AW372" s="202"/>
      <c r="AX372" s="202"/>
      <c r="AY372" s="202"/>
      <c r="AZ372" s="202"/>
      <c r="BA372" s="202"/>
      <c r="BB372" s="202"/>
      <c r="BC372" s="202"/>
      <c r="BD372" s="202"/>
      <c r="BE372" s="202"/>
      <c r="BF372" s="202"/>
      <c r="BG372" s="202"/>
    </row>
    <row r="373" spans="2:59" ht="15">
      <c r="B373" s="204" t="s">
        <v>497</v>
      </c>
      <c r="C373" s="204" t="s">
        <v>497</v>
      </c>
      <c r="D373" s="204" t="s">
        <v>497</v>
      </c>
      <c r="E373" s="204" t="s">
        <v>497</v>
      </c>
      <c r="F373" s="204" t="s">
        <v>497</v>
      </c>
      <c r="G373" s="204" t="s">
        <v>497</v>
      </c>
      <c r="H373" s="204" t="s">
        <v>497</v>
      </c>
      <c r="I373" s="204" t="s">
        <v>497</v>
      </c>
      <c r="J373" s="205" t="s">
        <v>497</v>
      </c>
      <c r="K373" s="205" t="s">
        <v>497</v>
      </c>
      <c r="L373" s="204" t="s">
        <v>497</v>
      </c>
      <c r="M373" s="204" t="s">
        <v>497</v>
      </c>
      <c r="N373" s="204"/>
      <c r="O373" s="204"/>
      <c r="P373" s="204"/>
      <c r="Q373" s="204"/>
      <c r="R373" s="204"/>
      <c r="S373" s="204"/>
      <c r="T373" s="204"/>
      <c r="U373" s="204"/>
      <c r="V373" s="204"/>
      <c r="W373" s="204"/>
      <c r="X373" s="204"/>
      <c r="Y373" s="204"/>
      <c r="Z373" s="204"/>
      <c r="AA373" s="204"/>
      <c r="AB373" s="204"/>
      <c r="AC373" s="204"/>
      <c r="AD373" s="204"/>
      <c r="AE373" s="204"/>
      <c r="AF373" s="204"/>
      <c r="AG373" s="204"/>
      <c r="AH373" s="204"/>
      <c r="AI373" s="204"/>
      <c r="AJ373" s="204"/>
      <c r="AK373" s="204"/>
      <c r="AL373" s="204"/>
      <c r="AM373" s="204"/>
      <c r="AN373" s="204"/>
      <c r="AO373" s="204"/>
      <c r="AP373" s="204"/>
      <c r="AQ373" s="204"/>
      <c r="AR373" s="204"/>
      <c r="AS373" s="204"/>
      <c r="AT373" s="204"/>
      <c r="AU373" s="206"/>
      <c r="AV373" s="202"/>
      <c r="AW373" s="202"/>
      <c r="AX373" s="202"/>
      <c r="AY373" s="202"/>
      <c r="AZ373" s="202"/>
      <c r="BA373" s="202"/>
      <c r="BB373" s="202"/>
      <c r="BC373" s="202"/>
      <c r="BD373" s="202"/>
      <c r="BE373" s="202"/>
      <c r="BF373" s="202"/>
      <c r="BG373" s="202"/>
    </row>
    <row r="374" spans="2:59" ht="15">
      <c r="B374" s="204" t="s">
        <v>497</v>
      </c>
      <c r="C374" s="204" t="s">
        <v>497</v>
      </c>
      <c r="D374" s="204" t="s">
        <v>497</v>
      </c>
      <c r="E374" s="204" t="s">
        <v>497</v>
      </c>
      <c r="F374" s="204" t="s">
        <v>497</v>
      </c>
      <c r="G374" s="204" t="s">
        <v>497</v>
      </c>
      <c r="H374" s="204" t="s">
        <v>497</v>
      </c>
      <c r="I374" s="204" t="s">
        <v>497</v>
      </c>
      <c r="J374" s="205" t="s">
        <v>497</v>
      </c>
      <c r="K374" s="205" t="s">
        <v>497</v>
      </c>
      <c r="L374" s="204" t="s">
        <v>497</v>
      </c>
      <c r="M374" s="204" t="s">
        <v>497</v>
      </c>
      <c r="N374" s="204"/>
      <c r="O374" s="204"/>
      <c r="P374" s="204"/>
      <c r="Q374" s="204"/>
      <c r="R374" s="204"/>
      <c r="S374" s="204"/>
      <c r="T374" s="204"/>
      <c r="U374" s="204"/>
      <c r="V374" s="204"/>
      <c r="W374" s="204"/>
      <c r="X374" s="204"/>
      <c r="Y374" s="204"/>
      <c r="Z374" s="204"/>
      <c r="AA374" s="204"/>
      <c r="AB374" s="204"/>
      <c r="AC374" s="204"/>
      <c r="AD374" s="204"/>
      <c r="AE374" s="204"/>
      <c r="AF374" s="204"/>
      <c r="AG374" s="204"/>
      <c r="AH374" s="204"/>
      <c r="AI374" s="204"/>
      <c r="AJ374" s="204"/>
      <c r="AK374" s="204"/>
      <c r="AL374" s="204"/>
      <c r="AM374" s="204"/>
      <c r="AN374" s="204"/>
      <c r="AO374" s="204"/>
      <c r="AP374" s="204"/>
      <c r="AQ374" s="204"/>
      <c r="AR374" s="204"/>
      <c r="AS374" s="204"/>
      <c r="AT374" s="204"/>
      <c r="AU374" s="206"/>
      <c r="AV374" s="202"/>
      <c r="AW374" s="202"/>
      <c r="AX374" s="202"/>
      <c r="AY374" s="202"/>
      <c r="AZ374" s="202"/>
      <c r="BA374" s="202"/>
      <c r="BB374" s="202"/>
      <c r="BC374" s="202"/>
      <c r="BD374" s="202"/>
      <c r="BE374" s="202"/>
      <c r="BF374" s="202"/>
      <c r="BG374" s="202"/>
    </row>
    <row r="375" spans="2:59" ht="15">
      <c r="B375" s="204" t="s">
        <v>497</v>
      </c>
      <c r="C375" s="204" t="s">
        <v>497</v>
      </c>
      <c r="D375" s="204" t="s">
        <v>497</v>
      </c>
      <c r="E375" s="204" t="s">
        <v>497</v>
      </c>
      <c r="F375" s="204" t="s">
        <v>497</v>
      </c>
      <c r="G375" s="204" t="s">
        <v>497</v>
      </c>
      <c r="H375" s="204" t="s">
        <v>497</v>
      </c>
      <c r="I375" s="204" t="s">
        <v>497</v>
      </c>
      <c r="J375" s="205" t="s">
        <v>497</v>
      </c>
      <c r="K375" s="205" t="s">
        <v>497</v>
      </c>
      <c r="L375" s="204" t="s">
        <v>497</v>
      </c>
      <c r="M375" s="204" t="s">
        <v>497</v>
      </c>
      <c r="N375" s="204"/>
      <c r="O375" s="204"/>
      <c r="P375" s="204"/>
      <c r="Q375" s="204"/>
      <c r="R375" s="204"/>
      <c r="S375" s="204"/>
      <c r="T375" s="204"/>
      <c r="U375" s="204"/>
      <c r="V375" s="204"/>
      <c r="W375" s="204"/>
      <c r="X375" s="204"/>
      <c r="Y375" s="204"/>
      <c r="Z375" s="204"/>
      <c r="AA375" s="204"/>
      <c r="AB375" s="204"/>
      <c r="AC375" s="204"/>
      <c r="AD375" s="204"/>
      <c r="AE375" s="204"/>
      <c r="AF375" s="204"/>
      <c r="AG375" s="204"/>
      <c r="AH375" s="204"/>
      <c r="AI375" s="204"/>
      <c r="AJ375" s="204"/>
      <c r="AK375" s="204"/>
      <c r="AL375" s="204"/>
      <c r="AM375" s="204"/>
      <c r="AN375" s="204"/>
      <c r="AO375" s="204"/>
      <c r="AP375" s="204"/>
      <c r="AQ375" s="204"/>
      <c r="AR375" s="204"/>
      <c r="AS375" s="204"/>
      <c r="AT375" s="204"/>
      <c r="AU375" s="206"/>
      <c r="AV375" s="202"/>
      <c r="AW375" s="202"/>
      <c r="AX375" s="202"/>
      <c r="AY375" s="202"/>
      <c r="AZ375" s="202"/>
      <c r="BA375" s="202"/>
      <c r="BB375" s="202"/>
      <c r="BC375" s="202"/>
      <c r="BD375" s="202"/>
      <c r="BE375" s="202"/>
      <c r="BF375" s="202"/>
      <c r="BG375" s="202"/>
    </row>
    <row r="376" spans="2:59" ht="15">
      <c r="B376" s="204" t="s">
        <v>497</v>
      </c>
      <c r="C376" s="204" t="s">
        <v>497</v>
      </c>
      <c r="D376" s="204" t="s">
        <v>497</v>
      </c>
      <c r="E376" s="204" t="s">
        <v>497</v>
      </c>
      <c r="F376" s="204" t="s">
        <v>497</v>
      </c>
      <c r="G376" s="204" t="s">
        <v>497</v>
      </c>
      <c r="H376" s="204" t="s">
        <v>497</v>
      </c>
      <c r="I376" s="204" t="s">
        <v>497</v>
      </c>
      <c r="J376" s="205" t="s">
        <v>497</v>
      </c>
      <c r="K376" s="205" t="s">
        <v>497</v>
      </c>
      <c r="L376" s="204" t="s">
        <v>497</v>
      </c>
      <c r="M376" s="204" t="s">
        <v>497</v>
      </c>
      <c r="N376" s="204"/>
      <c r="O376" s="204"/>
      <c r="P376" s="204"/>
      <c r="Q376" s="204"/>
      <c r="R376" s="204"/>
      <c r="S376" s="204"/>
      <c r="T376" s="204"/>
      <c r="U376" s="204"/>
      <c r="V376" s="204"/>
      <c r="W376" s="204"/>
      <c r="X376" s="204"/>
      <c r="Y376" s="204"/>
      <c r="Z376" s="204"/>
      <c r="AA376" s="204"/>
      <c r="AB376" s="204"/>
      <c r="AC376" s="204"/>
      <c r="AD376" s="204"/>
      <c r="AE376" s="204"/>
      <c r="AF376" s="204"/>
      <c r="AG376" s="204"/>
      <c r="AH376" s="204"/>
      <c r="AI376" s="204"/>
      <c r="AJ376" s="204"/>
      <c r="AK376" s="204"/>
      <c r="AL376" s="204"/>
      <c r="AM376" s="204"/>
      <c r="AN376" s="204"/>
      <c r="AO376" s="204"/>
      <c r="AP376" s="204"/>
      <c r="AQ376" s="204"/>
      <c r="AR376" s="204"/>
      <c r="AS376" s="204"/>
      <c r="AT376" s="204"/>
      <c r="AU376" s="206"/>
      <c r="AV376" s="202"/>
      <c r="AW376" s="202"/>
      <c r="AX376" s="202"/>
      <c r="AY376" s="202"/>
      <c r="AZ376" s="202"/>
      <c r="BA376" s="202"/>
      <c r="BB376" s="202"/>
      <c r="BC376" s="202"/>
      <c r="BD376" s="202"/>
      <c r="BE376" s="202"/>
      <c r="BF376" s="202"/>
      <c r="BG376" s="202"/>
    </row>
    <row r="377" spans="2:59" ht="15">
      <c r="B377" s="204" t="s">
        <v>497</v>
      </c>
      <c r="C377" s="204" t="s">
        <v>497</v>
      </c>
      <c r="D377" s="204" t="s">
        <v>497</v>
      </c>
      <c r="E377" s="204" t="s">
        <v>497</v>
      </c>
      <c r="F377" s="204" t="s">
        <v>497</v>
      </c>
      <c r="G377" s="204" t="s">
        <v>497</v>
      </c>
      <c r="H377" s="204" t="s">
        <v>497</v>
      </c>
      <c r="I377" s="204" t="s">
        <v>497</v>
      </c>
      <c r="J377" s="205" t="s">
        <v>497</v>
      </c>
      <c r="K377" s="205" t="s">
        <v>497</v>
      </c>
      <c r="L377" s="204" t="s">
        <v>497</v>
      </c>
      <c r="M377" s="204" t="s">
        <v>497</v>
      </c>
      <c r="N377" s="204"/>
      <c r="O377" s="204"/>
      <c r="P377" s="204"/>
      <c r="Q377" s="204"/>
      <c r="R377" s="204"/>
      <c r="S377" s="204"/>
      <c r="T377" s="204"/>
      <c r="U377" s="204"/>
      <c r="V377" s="204"/>
      <c r="W377" s="204"/>
      <c r="X377" s="204"/>
      <c r="Y377" s="204"/>
      <c r="Z377" s="204"/>
      <c r="AA377" s="204"/>
      <c r="AB377" s="204"/>
      <c r="AC377" s="204"/>
      <c r="AD377" s="204"/>
      <c r="AE377" s="204"/>
      <c r="AF377" s="204"/>
      <c r="AG377" s="204"/>
      <c r="AH377" s="204"/>
      <c r="AI377" s="204"/>
      <c r="AJ377" s="204"/>
      <c r="AK377" s="204"/>
      <c r="AL377" s="204"/>
      <c r="AM377" s="204"/>
      <c r="AN377" s="204"/>
      <c r="AO377" s="204"/>
      <c r="AP377" s="204"/>
      <c r="AQ377" s="204"/>
      <c r="AR377" s="204"/>
      <c r="AS377" s="204"/>
      <c r="AT377" s="204"/>
      <c r="AU377" s="206"/>
      <c r="AV377" s="202"/>
      <c r="AW377" s="202"/>
      <c r="AX377" s="202"/>
      <c r="AY377" s="202"/>
      <c r="AZ377" s="202"/>
      <c r="BA377" s="202"/>
      <c r="BB377" s="202"/>
      <c r="BC377" s="202"/>
      <c r="BD377" s="202"/>
      <c r="BE377" s="202"/>
      <c r="BF377" s="202"/>
      <c r="BG377" s="202"/>
    </row>
    <row r="378" spans="2:59" ht="15">
      <c r="B378" s="204" t="s">
        <v>497</v>
      </c>
      <c r="C378" s="204" t="s">
        <v>497</v>
      </c>
      <c r="D378" s="204" t="s">
        <v>497</v>
      </c>
      <c r="E378" s="204" t="s">
        <v>497</v>
      </c>
      <c r="F378" s="204" t="s">
        <v>497</v>
      </c>
      <c r="G378" s="204" t="s">
        <v>497</v>
      </c>
      <c r="H378" s="204" t="s">
        <v>497</v>
      </c>
      <c r="I378" s="204" t="s">
        <v>497</v>
      </c>
      <c r="J378" s="205" t="s">
        <v>497</v>
      </c>
      <c r="K378" s="205" t="s">
        <v>497</v>
      </c>
      <c r="L378" s="204" t="s">
        <v>497</v>
      </c>
      <c r="M378" s="204" t="s">
        <v>497</v>
      </c>
      <c r="N378" s="204"/>
      <c r="O378" s="204"/>
      <c r="P378" s="204"/>
      <c r="Q378" s="204"/>
      <c r="R378" s="204"/>
      <c r="S378" s="204"/>
      <c r="T378" s="204"/>
      <c r="U378" s="204"/>
      <c r="V378" s="204"/>
      <c r="W378" s="204"/>
      <c r="X378" s="204"/>
      <c r="Y378" s="204"/>
      <c r="Z378" s="204"/>
      <c r="AA378" s="204"/>
      <c r="AB378" s="204"/>
      <c r="AC378" s="204"/>
      <c r="AD378" s="204"/>
      <c r="AE378" s="204"/>
      <c r="AF378" s="204"/>
      <c r="AG378" s="204"/>
      <c r="AH378" s="204"/>
      <c r="AI378" s="204"/>
      <c r="AJ378" s="204"/>
      <c r="AK378" s="204"/>
      <c r="AL378" s="204"/>
      <c r="AM378" s="204"/>
      <c r="AN378" s="204"/>
      <c r="AO378" s="204"/>
      <c r="AP378" s="204"/>
      <c r="AQ378" s="204"/>
      <c r="AR378" s="204"/>
      <c r="AS378" s="204"/>
      <c r="AT378" s="204"/>
      <c r="AU378" s="206"/>
      <c r="AV378" s="202"/>
      <c r="AW378" s="202"/>
      <c r="AX378" s="202"/>
      <c r="AY378" s="202"/>
      <c r="AZ378" s="202"/>
      <c r="BA378" s="202"/>
      <c r="BB378" s="202"/>
      <c r="BC378" s="202"/>
      <c r="BD378" s="202"/>
      <c r="BE378" s="202"/>
      <c r="BF378" s="202"/>
      <c r="BG378" s="202"/>
    </row>
    <row r="379" spans="2:59" ht="15">
      <c r="B379" s="204" t="s">
        <v>497</v>
      </c>
      <c r="C379" s="204" t="s">
        <v>497</v>
      </c>
      <c r="D379" s="204" t="s">
        <v>497</v>
      </c>
      <c r="E379" s="204" t="s">
        <v>497</v>
      </c>
      <c r="F379" s="204" t="s">
        <v>497</v>
      </c>
      <c r="G379" s="204" t="s">
        <v>497</v>
      </c>
      <c r="H379" s="204" t="s">
        <v>497</v>
      </c>
      <c r="I379" s="204" t="s">
        <v>497</v>
      </c>
      <c r="J379" s="205" t="s">
        <v>497</v>
      </c>
      <c r="K379" s="205" t="s">
        <v>497</v>
      </c>
      <c r="L379" s="204" t="s">
        <v>497</v>
      </c>
      <c r="M379" s="204" t="s">
        <v>497</v>
      </c>
      <c r="N379" s="204"/>
      <c r="O379" s="204"/>
      <c r="P379" s="204"/>
      <c r="Q379" s="204"/>
      <c r="R379" s="204"/>
      <c r="S379" s="204"/>
      <c r="T379" s="204"/>
      <c r="U379" s="204"/>
      <c r="V379" s="204"/>
      <c r="W379" s="204"/>
      <c r="X379" s="204"/>
      <c r="Y379" s="204"/>
      <c r="Z379" s="204"/>
      <c r="AA379" s="204"/>
      <c r="AB379" s="204"/>
      <c r="AC379" s="204"/>
      <c r="AD379" s="204"/>
      <c r="AE379" s="204"/>
      <c r="AF379" s="204"/>
      <c r="AG379" s="204"/>
      <c r="AH379" s="204"/>
      <c r="AI379" s="204"/>
      <c r="AJ379" s="204"/>
      <c r="AK379" s="204"/>
      <c r="AL379" s="204"/>
      <c r="AM379" s="204"/>
      <c r="AN379" s="204"/>
      <c r="AO379" s="204"/>
      <c r="AP379" s="204"/>
      <c r="AQ379" s="204"/>
      <c r="AR379" s="204"/>
      <c r="AS379" s="204"/>
      <c r="AT379" s="204"/>
      <c r="AU379" s="206"/>
      <c r="AV379" s="202"/>
      <c r="AW379" s="202"/>
      <c r="AX379" s="202"/>
      <c r="AY379" s="202"/>
      <c r="AZ379" s="202"/>
      <c r="BA379" s="202"/>
      <c r="BB379" s="202"/>
      <c r="BC379" s="202"/>
      <c r="BD379" s="202"/>
      <c r="BE379" s="202"/>
      <c r="BF379" s="202"/>
      <c r="BG379" s="202"/>
    </row>
    <row r="380" spans="2:59" ht="15">
      <c r="B380" s="204" t="s">
        <v>497</v>
      </c>
      <c r="C380" s="204" t="s">
        <v>497</v>
      </c>
      <c r="D380" s="204" t="s">
        <v>497</v>
      </c>
      <c r="E380" s="204" t="s">
        <v>497</v>
      </c>
      <c r="F380" s="204" t="s">
        <v>497</v>
      </c>
      <c r="G380" s="204" t="s">
        <v>497</v>
      </c>
      <c r="H380" s="204" t="s">
        <v>497</v>
      </c>
      <c r="I380" s="204" t="s">
        <v>497</v>
      </c>
      <c r="J380" s="205" t="s">
        <v>497</v>
      </c>
      <c r="K380" s="205" t="s">
        <v>497</v>
      </c>
      <c r="L380" s="204" t="s">
        <v>497</v>
      </c>
      <c r="M380" s="204" t="s">
        <v>497</v>
      </c>
      <c r="N380" s="204"/>
      <c r="O380" s="204"/>
      <c r="P380" s="204"/>
      <c r="Q380" s="204"/>
      <c r="R380" s="204"/>
      <c r="S380" s="204"/>
      <c r="T380" s="204"/>
      <c r="U380" s="204"/>
      <c r="V380" s="204"/>
      <c r="W380" s="204"/>
      <c r="X380" s="204"/>
      <c r="Y380" s="204"/>
      <c r="Z380" s="204"/>
      <c r="AA380" s="204"/>
      <c r="AB380" s="204"/>
      <c r="AC380" s="204"/>
      <c r="AD380" s="204"/>
      <c r="AE380" s="204"/>
      <c r="AF380" s="204"/>
      <c r="AG380" s="204"/>
      <c r="AH380" s="204"/>
      <c r="AI380" s="204"/>
      <c r="AJ380" s="204"/>
      <c r="AK380" s="204"/>
      <c r="AL380" s="204"/>
      <c r="AM380" s="204"/>
      <c r="AN380" s="204"/>
      <c r="AO380" s="204"/>
      <c r="AP380" s="204"/>
      <c r="AQ380" s="204"/>
      <c r="AR380" s="204"/>
      <c r="AS380" s="204"/>
      <c r="AT380" s="204"/>
      <c r="AU380" s="206"/>
      <c r="AV380" s="202"/>
      <c r="AW380" s="202"/>
      <c r="AX380" s="202"/>
      <c r="AY380" s="202"/>
      <c r="AZ380" s="202"/>
      <c r="BA380" s="202"/>
      <c r="BB380" s="202"/>
      <c r="BC380" s="202"/>
      <c r="BD380" s="202"/>
      <c r="BE380" s="202"/>
      <c r="BF380" s="202"/>
      <c r="BG380" s="202"/>
    </row>
    <row r="381" spans="2:59" ht="15">
      <c r="B381" s="204" t="s">
        <v>497</v>
      </c>
      <c r="C381" s="204" t="s">
        <v>497</v>
      </c>
      <c r="D381" s="204" t="s">
        <v>497</v>
      </c>
      <c r="E381" s="204" t="s">
        <v>497</v>
      </c>
      <c r="F381" s="204" t="s">
        <v>497</v>
      </c>
      <c r="G381" s="204" t="s">
        <v>497</v>
      </c>
      <c r="H381" s="204" t="s">
        <v>497</v>
      </c>
      <c r="I381" s="204" t="s">
        <v>497</v>
      </c>
      <c r="J381" s="205" t="s">
        <v>497</v>
      </c>
      <c r="K381" s="205" t="s">
        <v>497</v>
      </c>
      <c r="L381" s="204" t="s">
        <v>497</v>
      </c>
      <c r="M381" s="204" t="s">
        <v>497</v>
      </c>
      <c r="N381" s="204"/>
      <c r="O381" s="204"/>
      <c r="P381" s="204"/>
      <c r="Q381" s="204"/>
      <c r="R381" s="204"/>
      <c r="S381" s="204"/>
      <c r="T381" s="204"/>
      <c r="U381" s="204"/>
      <c r="V381" s="204"/>
      <c r="W381" s="204"/>
      <c r="X381" s="204"/>
      <c r="Y381" s="204"/>
      <c r="Z381" s="204"/>
      <c r="AA381" s="204"/>
      <c r="AB381" s="204"/>
      <c r="AC381" s="204"/>
      <c r="AD381" s="204"/>
      <c r="AE381" s="204"/>
      <c r="AF381" s="204"/>
      <c r="AG381" s="204"/>
      <c r="AH381" s="204"/>
      <c r="AI381" s="204"/>
      <c r="AJ381" s="204"/>
      <c r="AK381" s="204"/>
      <c r="AL381" s="204"/>
      <c r="AM381" s="204"/>
      <c r="AN381" s="204"/>
      <c r="AO381" s="204"/>
      <c r="AP381" s="204"/>
      <c r="AQ381" s="204"/>
      <c r="AR381" s="204"/>
      <c r="AS381" s="204"/>
      <c r="AT381" s="204"/>
      <c r="AU381" s="206"/>
      <c r="AV381" s="202"/>
      <c r="AW381" s="202"/>
      <c r="AX381" s="202"/>
      <c r="AY381" s="202"/>
      <c r="AZ381" s="202"/>
      <c r="BA381" s="202"/>
      <c r="BB381" s="202"/>
      <c r="BC381" s="202"/>
      <c r="BD381" s="202"/>
      <c r="BE381" s="202"/>
      <c r="BF381" s="202"/>
      <c r="BG381" s="202"/>
    </row>
    <row r="382" spans="2:59" ht="15">
      <c r="B382" s="204" t="s">
        <v>497</v>
      </c>
      <c r="C382" s="204" t="s">
        <v>497</v>
      </c>
      <c r="D382" s="204" t="s">
        <v>497</v>
      </c>
      <c r="E382" s="204" t="s">
        <v>497</v>
      </c>
      <c r="F382" s="204" t="s">
        <v>497</v>
      </c>
      <c r="G382" s="204" t="s">
        <v>497</v>
      </c>
      <c r="H382" s="204" t="s">
        <v>497</v>
      </c>
      <c r="I382" s="204" t="s">
        <v>497</v>
      </c>
      <c r="J382" s="205" t="s">
        <v>497</v>
      </c>
      <c r="K382" s="205" t="s">
        <v>497</v>
      </c>
      <c r="L382" s="204" t="s">
        <v>497</v>
      </c>
      <c r="M382" s="204" t="s">
        <v>497</v>
      </c>
      <c r="N382" s="204"/>
      <c r="O382" s="204"/>
      <c r="P382" s="204"/>
      <c r="Q382" s="204"/>
      <c r="R382" s="204"/>
      <c r="S382" s="204"/>
      <c r="T382" s="204"/>
      <c r="U382" s="204"/>
      <c r="V382" s="204"/>
      <c r="W382" s="204"/>
      <c r="X382" s="204"/>
      <c r="Y382" s="204"/>
      <c r="Z382" s="204"/>
      <c r="AA382" s="204"/>
      <c r="AB382" s="204"/>
      <c r="AC382" s="204"/>
      <c r="AD382" s="204"/>
      <c r="AE382" s="204"/>
      <c r="AF382" s="204"/>
      <c r="AG382" s="204"/>
      <c r="AH382" s="204"/>
      <c r="AI382" s="204"/>
      <c r="AJ382" s="204"/>
      <c r="AK382" s="204"/>
      <c r="AL382" s="204"/>
      <c r="AM382" s="204"/>
      <c r="AN382" s="204"/>
      <c r="AO382" s="204"/>
      <c r="AP382" s="204"/>
      <c r="AQ382" s="204"/>
      <c r="AR382" s="204"/>
      <c r="AS382" s="204"/>
      <c r="AT382" s="204"/>
      <c r="AU382" s="206"/>
      <c r="AV382" s="202"/>
      <c r="AW382" s="202"/>
      <c r="AX382" s="202"/>
      <c r="AY382" s="202"/>
      <c r="AZ382" s="202"/>
      <c r="BA382" s="202"/>
      <c r="BB382" s="202"/>
      <c r="BC382" s="202"/>
      <c r="BD382" s="202"/>
      <c r="BE382" s="202"/>
      <c r="BF382" s="202"/>
      <c r="BG382" s="202"/>
    </row>
    <row r="383" spans="2:59" ht="15">
      <c r="B383" s="204" t="s">
        <v>497</v>
      </c>
      <c r="C383" s="204" t="s">
        <v>497</v>
      </c>
      <c r="D383" s="204" t="s">
        <v>497</v>
      </c>
      <c r="E383" s="204" t="s">
        <v>497</v>
      </c>
      <c r="F383" s="204" t="s">
        <v>497</v>
      </c>
      <c r="G383" s="204" t="s">
        <v>497</v>
      </c>
      <c r="H383" s="204" t="s">
        <v>497</v>
      </c>
      <c r="I383" s="204" t="s">
        <v>497</v>
      </c>
      <c r="J383" s="205" t="s">
        <v>497</v>
      </c>
      <c r="K383" s="205" t="s">
        <v>497</v>
      </c>
      <c r="L383" s="204" t="s">
        <v>497</v>
      </c>
      <c r="M383" s="204" t="s">
        <v>497</v>
      </c>
      <c r="N383" s="204"/>
      <c r="O383" s="204"/>
      <c r="P383" s="204"/>
      <c r="Q383" s="204"/>
      <c r="R383" s="204"/>
      <c r="S383" s="204"/>
      <c r="T383" s="204"/>
      <c r="U383" s="204"/>
      <c r="V383" s="204"/>
      <c r="W383" s="204"/>
      <c r="X383" s="204"/>
      <c r="Y383" s="204"/>
      <c r="Z383" s="204"/>
      <c r="AA383" s="204"/>
      <c r="AB383" s="204"/>
      <c r="AC383" s="204"/>
      <c r="AD383" s="204"/>
      <c r="AE383" s="204"/>
      <c r="AF383" s="204"/>
      <c r="AG383" s="204"/>
      <c r="AH383" s="204"/>
      <c r="AI383" s="204"/>
      <c r="AJ383" s="204"/>
      <c r="AK383" s="204"/>
      <c r="AL383" s="204"/>
      <c r="AM383" s="204"/>
      <c r="AN383" s="204"/>
      <c r="AO383" s="204"/>
      <c r="AP383" s="204"/>
      <c r="AQ383" s="204"/>
      <c r="AR383" s="204"/>
      <c r="AS383" s="204"/>
      <c r="AT383" s="204"/>
      <c r="AU383" s="206"/>
      <c r="AV383" s="202"/>
      <c r="AW383" s="202"/>
      <c r="AX383" s="202"/>
      <c r="AY383" s="202"/>
      <c r="AZ383" s="202"/>
      <c r="BA383" s="202"/>
      <c r="BB383" s="202"/>
      <c r="BC383" s="202"/>
      <c r="BD383" s="202"/>
      <c r="BE383" s="202"/>
      <c r="BF383" s="202"/>
      <c r="BG383" s="202"/>
    </row>
    <row r="384" spans="2:59" ht="15">
      <c r="B384" s="204" t="s">
        <v>497</v>
      </c>
      <c r="C384" s="204" t="s">
        <v>497</v>
      </c>
      <c r="D384" s="204" t="s">
        <v>497</v>
      </c>
      <c r="E384" s="204" t="s">
        <v>497</v>
      </c>
      <c r="F384" s="204" t="s">
        <v>497</v>
      </c>
      <c r="G384" s="204" t="s">
        <v>497</v>
      </c>
      <c r="H384" s="204" t="s">
        <v>497</v>
      </c>
      <c r="I384" s="204" t="s">
        <v>497</v>
      </c>
      <c r="J384" s="205" t="s">
        <v>497</v>
      </c>
      <c r="K384" s="205" t="s">
        <v>497</v>
      </c>
      <c r="L384" s="204" t="s">
        <v>497</v>
      </c>
      <c r="M384" s="204" t="s">
        <v>497</v>
      </c>
      <c r="N384" s="204"/>
      <c r="O384" s="204"/>
      <c r="P384" s="204"/>
      <c r="Q384" s="204"/>
      <c r="R384" s="204"/>
      <c r="S384" s="204"/>
      <c r="T384" s="204"/>
      <c r="U384" s="204"/>
      <c r="V384" s="204"/>
      <c r="W384" s="204"/>
      <c r="X384" s="204"/>
      <c r="Y384" s="204"/>
      <c r="Z384" s="204"/>
      <c r="AA384" s="204"/>
      <c r="AB384" s="204"/>
      <c r="AC384" s="204"/>
      <c r="AD384" s="204"/>
      <c r="AE384" s="204"/>
      <c r="AF384" s="204"/>
      <c r="AG384" s="204"/>
      <c r="AH384" s="204"/>
      <c r="AI384" s="204"/>
      <c r="AJ384" s="204"/>
      <c r="AK384" s="204"/>
      <c r="AL384" s="204"/>
      <c r="AM384" s="204"/>
      <c r="AN384" s="204"/>
      <c r="AO384" s="204"/>
      <c r="AP384" s="204"/>
      <c r="AQ384" s="204"/>
      <c r="AR384" s="204"/>
      <c r="AS384" s="204"/>
      <c r="AT384" s="204"/>
      <c r="AU384" s="206"/>
      <c r="AV384" s="202"/>
      <c r="AW384" s="202"/>
      <c r="AX384" s="202"/>
      <c r="AY384" s="202"/>
      <c r="AZ384" s="202"/>
      <c r="BA384" s="202"/>
      <c r="BB384" s="202"/>
      <c r="BC384" s="202"/>
      <c r="BD384" s="202"/>
      <c r="BE384" s="202"/>
      <c r="BF384" s="202"/>
      <c r="BG384" s="202"/>
    </row>
    <row r="385" spans="2:59" ht="15">
      <c r="B385" s="204" t="s">
        <v>497</v>
      </c>
      <c r="C385" s="204" t="s">
        <v>497</v>
      </c>
      <c r="D385" s="204" t="s">
        <v>497</v>
      </c>
      <c r="E385" s="204" t="s">
        <v>497</v>
      </c>
      <c r="F385" s="204" t="s">
        <v>497</v>
      </c>
      <c r="G385" s="204" t="s">
        <v>497</v>
      </c>
      <c r="H385" s="204" t="s">
        <v>497</v>
      </c>
      <c r="I385" s="204" t="s">
        <v>497</v>
      </c>
      <c r="J385" s="205" t="s">
        <v>497</v>
      </c>
      <c r="K385" s="205" t="s">
        <v>497</v>
      </c>
      <c r="L385" s="204" t="s">
        <v>497</v>
      </c>
      <c r="M385" s="204" t="s">
        <v>497</v>
      </c>
      <c r="N385" s="204"/>
      <c r="O385" s="204"/>
      <c r="P385" s="204"/>
      <c r="Q385" s="204"/>
      <c r="R385" s="204"/>
      <c r="S385" s="204"/>
      <c r="T385" s="204"/>
      <c r="U385" s="204"/>
      <c r="V385" s="204"/>
      <c r="W385" s="204"/>
      <c r="X385" s="204"/>
      <c r="Y385" s="204"/>
      <c r="Z385" s="204"/>
      <c r="AA385" s="204"/>
      <c r="AB385" s="204"/>
      <c r="AC385" s="204"/>
      <c r="AD385" s="204"/>
      <c r="AE385" s="204"/>
      <c r="AF385" s="204"/>
      <c r="AG385" s="204"/>
      <c r="AH385" s="204"/>
      <c r="AI385" s="204"/>
      <c r="AJ385" s="204"/>
      <c r="AK385" s="204"/>
      <c r="AL385" s="204"/>
      <c r="AM385" s="204"/>
      <c r="AN385" s="204"/>
      <c r="AO385" s="204"/>
      <c r="AP385" s="204"/>
      <c r="AQ385" s="204"/>
      <c r="AR385" s="204"/>
      <c r="AS385" s="204"/>
      <c r="AT385" s="204"/>
      <c r="AU385" s="206"/>
      <c r="AV385" s="202"/>
      <c r="AW385" s="202"/>
      <c r="AX385" s="202"/>
      <c r="AY385" s="202"/>
      <c r="AZ385" s="202"/>
      <c r="BA385" s="202"/>
      <c r="BB385" s="202"/>
      <c r="BC385" s="202"/>
      <c r="BD385" s="202"/>
      <c r="BE385" s="202"/>
      <c r="BF385" s="202"/>
      <c r="BG385" s="202"/>
    </row>
    <row r="386" spans="2:59" ht="15">
      <c r="B386" s="204" t="s">
        <v>497</v>
      </c>
      <c r="C386" s="204" t="s">
        <v>497</v>
      </c>
      <c r="D386" s="204" t="s">
        <v>497</v>
      </c>
      <c r="E386" s="204" t="s">
        <v>497</v>
      </c>
      <c r="F386" s="204" t="s">
        <v>497</v>
      </c>
      <c r="G386" s="204" t="s">
        <v>497</v>
      </c>
      <c r="H386" s="204" t="s">
        <v>497</v>
      </c>
      <c r="I386" s="204" t="s">
        <v>497</v>
      </c>
      <c r="J386" s="205" t="s">
        <v>497</v>
      </c>
      <c r="K386" s="205" t="s">
        <v>497</v>
      </c>
      <c r="L386" s="204" t="s">
        <v>497</v>
      </c>
      <c r="M386" s="204" t="s">
        <v>497</v>
      </c>
      <c r="N386" s="204"/>
      <c r="O386" s="204"/>
      <c r="P386" s="204"/>
      <c r="Q386" s="204"/>
      <c r="R386" s="204"/>
      <c r="S386" s="204"/>
      <c r="T386" s="204"/>
      <c r="U386" s="204"/>
      <c r="V386" s="204"/>
      <c r="W386" s="204"/>
      <c r="X386" s="204"/>
      <c r="Y386" s="204"/>
      <c r="Z386" s="204"/>
      <c r="AA386" s="204"/>
      <c r="AB386" s="204"/>
      <c r="AC386" s="204"/>
      <c r="AD386" s="204"/>
      <c r="AE386" s="204"/>
      <c r="AF386" s="204"/>
      <c r="AG386" s="204"/>
      <c r="AH386" s="204"/>
      <c r="AI386" s="204"/>
      <c r="AJ386" s="204"/>
      <c r="AK386" s="204"/>
      <c r="AL386" s="204"/>
      <c r="AM386" s="204"/>
      <c r="AN386" s="204"/>
      <c r="AO386" s="204"/>
      <c r="AP386" s="204"/>
      <c r="AQ386" s="204"/>
      <c r="AR386" s="204"/>
      <c r="AS386" s="204"/>
      <c r="AT386" s="204"/>
      <c r="AU386" s="206"/>
      <c r="AV386" s="202"/>
      <c r="AW386" s="202"/>
      <c r="AX386" s="202"/>
      <c r="AY386" s="202"/>
      <c r="AZ386" s="202"/>
      <c r="BA386" s="202"/>
      <c r="BB386" s="202"/>
      <c r="BC386" s="202"/>
      <c r="BD386" s="202"/>
      <c r="BE386" s="202"/>
      <c r="BF386" s="202"/>
      <c r="BG386" s="202"/>
    </row>
    <row r="387" spans="2:59" ht="15">
      <c r="B387" s="204" t="s">
        <v>497</v>
      </c>
      <c r="C387" s="204" t="s">
        <v>497</v>
      </c>
      <c r="D387" s="204" t="s">
        <v>497</v>
      </c>
      <c r="E387" s="204" t="s">
        <v>497</v>
      </c>
      <c r="F387" s="204" t="s">
        <v>497</v>
      </c>
      <c r="G387" s="204" t="s">
        <v>497</v>
      </c>
      <c r="H387" s="204" t="s">
        <v>497</v>
      </c>
      <c r="I387" s="204" t="s">
        <v>497</v>
      </c>
      <c r="J387" s="205" t="s">
        <v>497</v>
      </c>
      <c r="K387" s="205" t="s">
        <v>497</v>
      </c>
      <c r="L387" s="204" t="s">
        <v>497</v>
      </c>
      <c r="M387" s="204" t="s">
        <v>497</v>
      </c>
      <c r="N387" s="204"/>
      <c r="O387" s="204"/>
      <c r="P387" s="204"/>
      <c r="Q387" s="204"/>
      <c r="R387" s="204"/>
      <c r="S387" s="204"/>
      <c r="T387" s="204"/>
      <c r="U387" s="204"/>
      <c r="V387" s="204"/>
      <c r="W387" s="204"/>
      <c r="X387" s="204"/>
      <c r="Y387" s="204"/>
      <c r="Z387" s="204"/>
      <c r="AA387" s="204"/>
      <c r="AB387" s="204"/>
      <c r="AC387" s="204"/>
      <c r="AD387" s="204"/>
      <c r="AE387" s="204"/>
      <c r="AF387" s="204"/>
      <c r="AG387" s="204"/>
      <c r="AH387" s="204"/>
      <c r="AI387" s="204"/>
      <c r="AJ387" s="204"/>
      <c r="AK387" s="204"/>
      <c r="AL387" s="204"/>
      <c r="AM387" s="204"/>
      <c r="AN387" s="204"/>
      <c r="AO387" s="204"/>
      <c r="AP387" s="204"/>
      <c r="AQ387" s="204"/>
      <c r="AR387" s="204"/>
      <c r="AS387" s="204"/>
      <c r="AT387" s="204"/>
      <c r="AU387" s="206"/>
      <c r="AV387" s="202"/>
      <c r="AW387" s="202"/>
      <c r="AX387" s="202"/>
      <c r="AY387" s="202"/>
      <c r="AZ387" s="202"/>
      <c r="BA387" s="202"/>
      <c r="BB387" s="202"/>
      <c r="BC387" s="202"/>
      <c r="BD387" s="202"/>
      <c r="BE387" s="202"/>
      <c r="BF387" s="202"/>
      <c r="BG387" s="202"/>
    </row>
    <row r="388" spans="2:59" ht="15">
      <c r="B388" s="204" t="s">
        <v>497</v>
      </c>
      <c r="C388" s="204" t="s">
        <v>497</v>
      </c>
      <c r="D388" s="204" t="s">
        <v>497</v>
      </c>
      <c r="E388" s="204" t="s">
        <v>497</v>
      </c>
      <c r="F388" s="204" t="s">
        <v>497</v>
      </c>
      <c r="G388" s="204" t="s">
        <v>497</v>
      </c>
      <c r="H388" s="204" t="s">
        <v>497</v>
      </c>
      <c r="I388" s="204" t="s">
        <v>497</v>
      </c>
      <c r="J388" s="205" t="s">
        <v>497</v>
      </c>
      <c r="K388" s="205" t="s">
        <v>497</v>
      </c>
      <c r="L388" s="204" t="s">
        <v>497</v>
      </c>
      <c r="M388" s="204" t="s">
        <v>497</v>
      </c>
      <c r="N388" s="204"/>
      <c r="O388" s="204"/>
      <c r="P388" s="204"/>
      <c r="Q388" s="204"/>
      <c r="R388" s="204"/>
      <c r="S388" s="204"/>
      <c r="T388" s="204"/>
      <c r="U388" s="204"/>
      <c r="V388" s="204"/>
      <c r="W388" s="204"/>
      <c r="X388" s="204"/>
      <c r="Y388" s="204"/>
      <c r="Z388" s="204"/>
      <c r="AA388" s="204"/>
      <c r="AB388" s="204"/>
      <c r="AC388" s="204"/>
      <c r="AD388" s="204"/>
      <c r="AE388" s="204"/>
      <c r="AF388" s="204"/>
      <c r="AG388" s="204"/>
      <c r="AH388" s="204"/>
      <c r="AI388" s="204"/>
      <c r="AJ388" s="204"/>
      <c r="AK388" s="204"/>
      <c r="AL388" s="204"/>
      <c r="AM388" s="204"/>
      <c r="AN388" s="204"/>
      <c r="AO388" s="204"/>
      <c r="AP388" s="204"/>
      <c r="AQ388" s="204"/>
      <c r="AR388" s="204"/>
      <c r="AS388" s="204"/>
      <c r="AT388" s="204"/>
      <c r="AU388" s="206"/>
      <c r="AV388" s="202"/>
      <c r="AW388" s="202"/>
      <c r="AX388" s="202"/>
      <c r="AY388" s="202"/>
      <c r="AZ388" s="202"/>
      <c r="BA388" s="202"/>
      <c r="BB388" s="202"/>
      <c r="BC388" s="202"/>
      <c r="BD388" s="202"/>
      <c r="BE388" s="202"/>
      <c r="BF388" s="202"/>
      <c r="BG388" s="202"/>
    </row>
    <row r="389" spans="2:59" ht="15">
      <c r="B389" s="204" t="s">
        <v>497</v>
      </c>
      <c r="C389" s="204" t="s">
        <v>497</v>
      </c>
      <c r="D389" s="204" t="s">
        <v>497</v>
      </c>
      <c r="E389" s="204" t="s">
        <v>497</v>
      </c>
      <c r="F389" s="204" t="s">
        <v>497</v>
      </c>
      <c r="G389" s="204" t="s">
        <v>497</v>
      </c>
      <c r="H389" s="204" t="s">
        <v>497</v>
      </c>
      <c r="I389" s="204" t="s">
        <v>497</v>
      </c>
      <c r="J389" s="205" t="s">
        <v>497</v>
      </c>
      <c r="K389" s="205" t="s">
        <v>497</v>
      </c>
      <c r="L389" s="204" t="s">
        <v>497</v>
      </c>
      <c r="M389" s="204" t="s">
        <v>497</v>
      </c>
      <c r="N389" s="204"/>
      <c r="O389" s="204"/>
      <c r="P389" s="204"/>
      <c r="Q389" s="204"/>
      <c r="R389" s="204"/>
      <c r="S389" s="204"/>
      <c r="T389" s="204"/>
      <c r="U389" s="204"/>
      <c r="V389" s="204"/>
      <c r="W389" s="204"/>
      <c r="X389" s="204"/>
      <c r="Y389" s="204"/>
      <c r="Z389" s="204"/>
      <c r="AA389" s="204"/>
      <c r="AB389" s="204"/>
      <c r="AC389" s="204"/>
      <c r="AD389" s="204"/>
      <c r="AE389" s="204"/>
      <c r="AF389" s="204"/>
      <c r="AG389" s="204"/>
      <c r="AH389" s="204"/>
      <c r="AI389" s="204"/>
      <c r="AJ389" s="204"/>
      <c r="AK389" s="204"/>
      <c r="AL389" s="204"/>
      <c r="AM389" s="204"/>
      <c r="AN389" s="204"/>
      <c r="AO389" s="204"/>
      <c r="AP389" s="204"/>
      <c r="AQ389" s="204"/>
      <c r="AR389" s="204"/>
      <c r="AS389" s="204"/>
      <c r="AT389" s="204"/>
      <c r="AU389" s="206"/>
      <c r="AV389" s="202"/>
      <c r="AW389" s="202"/>
      <c r="AX389" s="202"/>
      <c r="AY389" s="202"/>
      <c r="AZ389" s="202"/>
      <c r="BA389" s="202"/>
      <c r="BB389" s="202"/>
      <c r="BC389" s="202"/>
      <c r="BD389" s="202"/>
      <c r="BE389" s="202"/>
      <c r="BF389" s="202"/>
      <c r="BG389" s="202"/>
    </row>
    <row r="390" spans="2:59" ht="15">
      <c r="B390" s="204" t="s">
        <v>497</v>
      </c>
      <c r="C390" s="204" t="s">
        <v>497</v>
      </c>
      <c r="D390" s="204" t="s">
        <v>497</v>
      </c>
      <c r="E390" s="204" t="s">
        <v>497</v>
      </c>
      <c r="F390" s="204" t="s">
        <v>497</v>
      </c>
      <c r="G390" s="204" t="s">
        <v>497</v>
      </c>
      <c r="H390" s="204" t="s">
        <v>497</v>
      </c>
      <c r="I390" s="204" t="s">
        <v>497</v>
      </c>
      <c r="J390" s="205" t="s">
        <v>497</v>
      </c>
      <c r="K390" s="205" t="s">
        <v>497</v>
      </c>
      <c r="L390" s="204" t="s">
        <v>497</v>
      </c>
      <c r="M390" s="204" t="s">
        <v>497</v>
      </c>
      <c r="N390" s="204"/>
      <c r="O390" s="204"/>
      <c r="P390" s="204"/>
      <c r="Q390" s="204"/>
      <c r="R390" s="204"/>
      <c r="S390" s="204"/>
      <c r="T390" s="204"/>
      <c r="U390" s="204"/>
      <c r="V390" s="204"/>
      <c r="W390" s="204"/>
      <c r="X390" s="204"/>
      <c r="Y390" s="204"/>
      <c r="Z390" s="204"/>
      <c r="AA390" s="204"/>
      <c r="AB390" s="204"/>
      <c r="AC390" s="204"/>
      <c r="AD390" s="204"/>
      <c r="AE390" s="204"/>
      <c r="AF390" s="204"/>
      <c r="AG390" s="204"/>
      <c r="AH390" s="204"/>
      <c r="AI390" s="204"/>
      <c r="AJ390" s="204"/>
      <c r="AK390" s="204"/>
      <c r="AL390" s="204"/>
      <c r="AM390" s="204"/>
      <c r="AN390" s="204"/>
      <c r="AO390" s="204"/>
      <c r="AP390" s="204"/>
      <c r="AQ390" s="204"/>
      <c r="AR390" s="204"/>
      <c r="AS390" s="204"/>
      <c r="AT390" s="204"/>
      <c r="AU390" s="206"/>
      <c r="AV390" s="202"/>
      <c r="AW390" s="202"/>
      <c r="AX390" s="202"/>
      <c r="AY390" s="202"/>
      <c r="AZ390" s="202"/>
      <c r="BA390" s="202"/>
      <c r="BB390" s="202"/>
      <c r="BC390" s="202"/>
      <c r="BD390" s="202"/>
      <c r="BE390" s="202"/>
      <c r="BF390" s="202"/>
      <c r="BG390" s="202"/>
    </row>
    <row r="391" spans="2:59" ht="15">
      <c r="B391" s="204" t="s">
        <v>497</v>
      </c>
      <c r="C391" s="204" t="s">
        <v>497</v>
      </c>
      <c r="D391" s="204" t="s">
        <v>497</v>
      </c>
      <c r="E391" s="204" t="s">
        <v>497</v>
      </c>
      <c r="F391" s="204" t="s">
        <v>497</v>
      </c>
      <c r="G391" s="204" t="s">
        <v>497</v>
      </c>
      <c r="H391" s="204" t="s">
        <v>497</v>
      </c>
      <c r="I391" s="204" t="s">
        <v>497</v>
      </c>
      <c r="J391" s="205" t="s">
        <v>497</v>
      </c>
      <c r="K391" s="205" t="s">
        <v>497</v>
      </c>
      <c r="L391" s="204" t="s">
        <v>497</v>
      </c>
      <c r="M391" s="204" t="s">
        <v>497</v>
      </c>
      <c r="N391" s="204"/>
      <c r="O391" s="204"/>
      <c r="P391" s="204"/>
      <c r="Q391" s="204"/>
      <c r="R391" s="204"/>
      <c r="S391" s="204"/>
      <c r="T391" s="204"/>
      <c r="U391" s="204"/>
      <c r="V391" s="204"/>
      <c r="W391" s="204"/>
      <c r="X391" s="204"/>
      <c r="Y391" s="204"/>
      <c r="Z391" s="204"/>
      <c r="AA391" s="204"/>
      <c r="AB391" s="204"/>
      <c r="AC391" s="204"/>
      <c r="AD391" s="204"/>
      <c r="AE391" s="204"/>
      <c r="AF391" s="204"/>
      <c r="AG391" s="204"/>
      <c r="AH391" s="204"/>
      <c r="AI391" s="204"/>
      <c r="AJ391" s="204"/>
      <c r="AK391" s="204"/>
      <c r="AL391" s="204"/>
      <c r="AM391" s="204"/>
      <c r="AN391" s="204"/>
      <c r="AO391" s="204"/>
      <c r="AP391" s="204"/>
      <c r="AQ391" s="204"/>
      <c r="AR391" s="204"/>
      <c r="AS391" s="204"/>
      <c r="AT391" s="204"/>
      <c r="AU391" s="206"/>
      <c r="AV391" s="202"/>
      <c r="AW391" s="202"/>
      <c r="AX391" s="202"/>
      <c r="AY391" s="202"/>
      <c r="AZ391" s="202"/>
      <c r="BA391" s="202"/>
      <c r="BB391" s="202"/>
      <c r="BC391" s="202"/>
      <c r="BD391" s="202"/>
      <c r="BE391" s="202"/>
      <c r="BF391" s="202"/>
      <c r="BG391" s="202"/>
    </row>
    <row r="392" spans="2:59" ht="15">
      <c r="B392" s="204" t="s">
        <v>497</v>
      </c>
      <c r="C392" s="204" t="s">
        <v>497</v>
      </c>
      <c r="D392" s="204" t="s">
        <v>497</v>
      </c>
      <c r="E392" s="204" t="s">
        <v>497</v>
      </c>
      <c r="F392" s="204" t="s">
        <v>497</v>
      </c>
      <c r="G392" s="204" t="s">
        <v>497</v>
      </c>
      <c r="H392" s="204" t="s">
        <v>497</v>
      </c>
      <c r="I392" s="204" t="s">
        <v>497</v>
      </c>
      <c r="J392" s="205" t="s">
        <v>497</v>
      </c>
      <c r="K392" s="205" t="s">
        <v>497</v>
      </c>
      <c r="L392" s="204" t="s">
        <v>497</v>
      </c>
      <c r="M392" s="204" t="s">
        <v>497</v>
      </c>
      <c r="N392" s="204"/>
      <c r="O392" s="204"/>
      <c r="P392" s="204"/>
      <c r="Q392" s="204"/>
      <c r="R392" s="204"/>
      <c r="S392" s="204"/>
      <c r="T392" s="204"/>
      <c r="U392" s="204"/>
      <c r="V392" s="204"/>
      <c r="W392" s="204"/>
      <c r="X392" s="204"/>
      <c r="Y392" s="204"/>
      <c r="Z392" s="204"/>
      <c r="AA392" s="204"/>
      <c r="AB392" s="204"/>
      <c r="AC392" s="204"/>
      <c r="AD392" s="204"/>
      <c r="AE392" s="204"/>
      <c r="AF392" s="204"/>
      <c r="AG392" s="204"/>
      <c r="AH392" s="204"/>
      <c r="AI392" s="204"/>
      <c r="AJ392" s="204"/>
      <c r="AK392" s="204"/>
      <c r="AL392" s="204"/>
      <c r="AM392" s="204"/>
      <c r="AN392" s="204"/>
      <c r="AO392" s="204"/>
      <c r="AP392" s="204"/>
      <c r="AQ392" s="204"/>
      <c r="AR392" s="204"/>
      <c r="AS392" s="204"/>
      <c r="AT392" s="204"/>
      <c r="AU392" s="206"/>
      <c r="AV392" s="202"/>
      <c r="AW392" s="202"/>
      <c r="AX392" s="202"/>
      <c r="AY392" s="202"/>
      <c r="AZ392" s="202"/>
      <c r="BA392" s="202"/>
      <c r="BB392" s="202"/>
      <c r="BC392" s="202"/>
      <c r="BD392" s="202"/>
      <c r="BE392" s="202"/>
      <c r="BF392" s="202"/>
      <c r="BG392" s="202"/>
    </row>
    <row r="393" spans="2:59" ht="15">
      <c r="B393" s="204" t="s">
        <v>497</v>
      </c>
      <c r="C393" s="204" t="s">
        <v>497</v>
      </c>
      <c r="D393" s="204" t="s">
        <v>497</v>
      </c>
      <c r="E393" s="204" t="s">
        <v>497</v>
      </c>
      <c r="F393" s="204" t="s">
        <v>497</v>
      </c>
      <c r="G393" s="204" t="s">
        <v>497</v>
      </c>
      <c r="H393" s="204" t="s">
        <v>497</v>
      </c>
      <c r="I393" s="204" t="s">
        <v>497</v>
      </c>
      <c r="J393" s="205" t="s">
        <v>497</v>
      </c>
      <c r="K393" s="205" t="s">
        <v>497</v>
      </c>
      <c r="L393" s="204" t="s">
        <v>497</v>
      </c>
      <c r="M393" s="204" t="s">
        <v>497</v>
      </c>
      <c r="N393" s="204"/>
      <c r="O393" s="204"/>
      <c r="P393" s="204"/>
      <c r="Q393" s="204"/>
      <c r="R393" s="204"/>
      <c r="S393" s="204"/>
      <c r="T393" s="204"/>
      <c r="U393" s="204"/>
      <c r="V393" s="204"/>
      <c r="W393" s="204"/>
      <c r="X393" s="204"/>
      <c r="Y393" s="204"/>
      <c r="Z393" s="204"/>
      <c r="AA393" s="204"/>
      <c r="AB393" s="204"/>
      <c r="AC393" s="204"/>
      <c r="AD393" s="204"/>
      <c r="AE393" s="204"/>
      <c r="AF393" s="204"/>
      <c r="AG393" s="204"/>
      <c r="AH393" s="204"/>
      <c r="AI393" s="204"/>
      <c r="AJ393" s="204"/>
      <c r="AK393" s="204"/>
      <c r="AL393" s="204"/>
      <c r="AM393" s="204"/>
      <c r="AN393" s="204"/>
      <c r="AO393" s="204"/>
      <c r="AP393" s="204"/>
      <c r="AQ393" s="204"/>
      <c r="AR393" s="204"/>
      <c r="AS393" s="204"/>
      <c r="AT393" s="204"/>
      <c r="AU393" s="206"/>
      <c r="AV393" s="202"/>
      <c r="AW393" s="202"/>
      <c r="AX393" s="202"/>
      <c r="AY393" s="202"/>
      <c r="AZ393" s="202"/>
      <c r="BA393" s="202"/>
      <c r="BB393" s="202"/>
      <c r="BC393" s="202"/>
      <c r="BD393" s="202"/>
      <c r="BE393" s="202"/>
      <c r="BF393" s="202"/>
      <c r="BG393" s="202"/>
    </row>
    <row r="394" spans="2:59" ht="15">
      <c r="B394" s="204" t="s">
        <v>497</v>
      </c>
      <c r="C394" s="204" t="s">
        <v>497</v>
      </c>
      <c r="D394" s="204" t="s">
        <v>497</v>
      </c>
      <c r="E394" s="204" t="s">
        <v>497</v>
      </c>
      <c r="F394" s="204" t="s">
        <v>497</v>
      </c>
      <c r="G394" s="204" t="s">
        <v>497</v>
      </c>
      <c r="H394" s="204" t="s">
        <v>497</v>
      </c>
      <c r="I394" s="204" t="s">
        <v>497</v>
      </c>
      <c r="J394" s="205" t="s">
        <v>497</v>
      </c>
      <c r="K394" s="205" t="s">
        <v>497</v>
      </c>
      <c r="L394" s="204" t="s">
        <v>497</v>
      </c>
      <c r="M394" s="204" t="s">
        <v>497</v>
      </c>
      <c r="N394" s="204"/>
      <c r="O394" s="204"/>
      <c r="P394" s="204"/>
      <c r="Q394" s="204"/>
      <c r="R394" s="204"/>
      <c r="S394" s="204"/>
      <c r="T394" s="204"/>
      <c r="U394" s="204"/>
      <c r="V394" s="204"/>
      <c r="W394" s="204"/>
      <c r="X394" s="204"/>
      <c r="Y394" s="204"/>
      <c r="Z394" s="204"/>
      <c r="AA394" s="204"/>
      <c r="AB394" s="204"/>
      <c r="AC394" s="204"/>
      <c r="AD394" s="204"/>
      <c r="AE394" s="204"/>
      <c r="AF394" s="204"/>
      <c r="AG394" s="204"/>
      <c r="AH394" s="204"/>
      <c r="AI394" s="204"/>
      <c r="AJ394" s="204"/>
      <c r="AK394" s="204"/>
      <c r="AL394" s="204"/>
      <c r="AM394" s="204"/>
      <c r="AN394" s="204"/>
      <c r="AO394" s="204"/>
      <c r="AP394" s="204"/>
      <c r="AQ394" s="204"/>
      <c r="AR394" s="204"/>
      <c r="AS394" s="204"/>
      <c r="AT394" s="204"/>
      <c r="AU394" s="206"/>
      <c r="AV394" s="202"/>
      <c r="AW394" s="202"/>
      <c r="AX394" s="202"/>
      <c r="AY394" s="202"/>
      <c r="AZ394" s="202"/>
      <c r="BA394" s="202"/>
      <c r="BB394" s="202"/>
      <c r="BC394" s="202"/>
      <c r="BD394" s="202"/>
      <c r="BE394" s="202"/>
      <c r="BF394" s="202"/>
      <c r="BG394" s="202"/>
    </row>
    <row r="395" spans="2:59" ht="15">
      <c r="B395" s="204" t="s">
        <v>497</v>
      </c>
      <c r="C395" s="204" t="s">
        <v>497</v>
      </c>
      <c r="D395" s="204" t="s">
        <v>497</v>
      </c>
      <c r="E395" s="204" t="s">
        <v>497</v>
      </c>
      <c r="F395" s="204" t="s">
        <v>497</v>
      </c>
      <c r="G395" s="204" t="s">
        <v>497</v>
      </c>
      <c r="H395" s="204" t="s">
        <v>497</v>
      </c>
      <c r="I395" s="204" t="s">
        <v>497</v>
      </c>
      <c r="J395" s="205" t="s">
        <v>497</v>
      </c>
      <c r="K395" s="205" t="s">
        <v>497</v>
      </c>
      <c r="L395" s="204" t="s">
        <v>497</v>
      </c>
      <c r="M395" s="204" t="s">
        <v>497</v>
      </c>
      <c r="N395" s="204"/>
      <c r="O395" s="204"/>
      <c r="P395" s="204"/>
      <c r="Q395" s="204"/>
      <c r="R395" s="204"/>
      <c r="S395" s="204"/>
      <c r="T395" s="204"/>
      <c r="U395" s="204"/>
      <c r="V395" s="204"/>
      <c r="W395" s="204"/>
      <c r="X395" s="204"/>
      <c r="Y395" s="204"/>
      <c r="Z395" s="204"/>
      <c r="AA395" s="204"/>
      <c r="AB395" s="204"/>
      <c r="AC395" s="204"/>
      <c r="AD395" s="204"/>
      <c r="AE395" s="204"/>
      <c r="AF395" s="204"/>
      <c r="AG395" s="204"/>
      <c r="AH395" s="204"/>
      <c r="AI395" s="204"/>
      <c r="AJ395" s="204"/>
      <c r="AK395" s="204"/>
      <c r="AL395" s="204"/>
      <c r="AM395" s="204"/>
      <c r="AN395" s="204"/>
      <c r="AO395" s="204"/>
      <c r="AP395" s="204"/>
      <c r="AQ395" s="204"/>
      <c r="AR395" s="204"/>
      <c r="AS395" s="204"/>
      <c r="AT395" s="204"/>
      <c r="AU395" s="206"/>
      <c r="AV395" s="202"/>
      <c r="AW395" s="202"/>
      <c r="AX395" s="202"/>
      <c r="AY395" s="202"/>
      <c r="AZ395" s="202"/>
      <c r="BA395" s="202"/>
      <c r="BB395" s="202"/>
      <c r="BC395" s="202"/>
      <c r="BD395" s="202"/>
      <c r="BE395" s="202"/>
      <c r="BF395" s="202"/>
      <c r="BG395" s="202"/>
    </row>
    <row r="396" spans="2:59" ht="15">
      <c r="B396" s="204" t="s">
        <v>497</v>
      </c>
      <c r="C396" s="204" t="s">
        <v>497</v>
      </c>
      <c r="D396" s="204" t="s">
        <v>497</v>
      </c>
      <c r="E396" s="204" t="s">
        <v>497</v>
      </c>
      <c r="F396" s="204" t="s">
        <v>497</v>
      </c>
      <c r="G396" s="204" t="s">
        <v>497</v>
      </c>
      <c r="H396" s="204" t="s">
        <v>497</v>
      </c>
      <c r="I396" s="204" t="s">
        <v>497</v>
      </c>
      <c r="J396" s="205" t="s">
        <v>497</v>
      </c>
      <c r="K396" s="205" t="s">
        <v>497</v>
      </c>
      <c r="L396" s="204" t="s">
        <v>497</v>
      </c>
      <c r="M396" s="204" t="s">
        <v>497</v>
      </c>
      <c r="N396" s="204"/>
      <c r="O396" s="204"/>
      <c r="P396" s="204"/>
      <c r="Q396" s="204"/>
      <c r="R396" s="204"/>
      <c r="S396" s="204"/>
      <c r="T396" s="204"/>
      <c r="U396" s="204"/>
      <c r="V396" s="204"/>
      <c r="W396" s="204"/>
      <c r="X396" s="204"/>
      <c r="Y396" s="204"/>
      <c r="Z396" s="204"/>
      <c r="AA396" s="204"/>
      <c r="AB396" s="204"/>
      <c r="AC396" s="204"/>
      <c r="AD396" s="204"/>
      <c r="AE396" s="204"/>
      <c r="AF396" s="204"/>
      <c r="AG396" s="204"/>
      <c r="AH396" s="204"/>
      <c r="AI396" s="204"/>
      <c r="AJ396" s="204"/>
      <c r="AK396" s="204"/>
      <c r="AL396" s="204"/>
      <c r="AM396" s="204"/>
      <c r="AN396" s="204"/>
      <c r="AO396" s="204"/>
      <c r="AP396" s="204"/>
      <c r="AQ396" s="204"/>
      <c r="AR396" s="204"/>
      <c r="AS396" s="204"/>
      <c r="AT396" s="204"/>
      <c r="AU396" s="206"/>
      <c r="AV396" s="202"/>
      <c r="AW396" s="202"/>
      <c r="AX396" s="202"/>
      <c r="AY396" s="202"/>
      <c r="AZ396" s="202"/>
      <c r="BA396" s="202"/>
      <c r="BB396" s="202"/>
      <c r="BC396" s="202"/>
      <c r="BD396" s="202"/>
      <c r="BE396" s="202"/>
      <c r="BF396" s="202"/>
      <c r="BG396" s="202"/>
    </row>
    <row r="397" spans="2:59" ht="15">
      <c r="B397" s="204" t="s">
        <v>497</v>
      </c>
      <c r="C397" s="204" t="s">
        <v>497</v>
      </c>
      <c r="D397" s="204" t="s">
        <v>497</v>
      </c>
      <c r="E397" s="204" t="s">
        <v>497</v>
      </c>
      <c r="F397" s="204" t="s">
        <v>497</v>
      </c>
      <c r="G397" s="204" t="s">
        <v>497</v>
      </c>
      <c r="H397" s="204" t="s">
        <v>497</v>
      </c>
      <c r="I397" s="204" t="s">
        <v>497</v>
      </c>
      <c r="J397" s="205" t="s">
        <v>497</v>
      </c>
      <c r="K397" s="205" t="s">
        <v>497</v>
      </c>
      <c r="L397" s="204" t="s">
        <v>497</v>
      </c>
      <c r="M397" s="204" t="s">
        <v>497</v>
      </c>
      <c r="N397" s="204"/>
      <c r="O397" s="204"/>
      <c r="P397" s="204"/>
      <c r="Q397" s="204"/>
      <c r="R397" s="204"/>
      <c r="S397" s="204"/>
      <c r="T397" s="204"/>
      <c r="U397" s="204"/>
      <c r="V397" s="204"/>
      <c r="W397" s="204"/>
      <c r="X397" s="204"/>
      <c r="Y397" s="204"/>
      <c r="Z397" s="204"/>
      <c r="AA397" s="204"/>
      <c r="AB397" s="204"/>
      <c r="AC397" s="204"/>
      <c r="AD397" s="204"/>
      <c r="AE397" s="204"/>
      <c r="AF397" s="204"/>
      <c r="AG397" s="204"/>
      <c r="AH397" s="204"/>
      <c r="AI397" s="204"/>
      <c r="AJ397" s="204"/>
      <c r="AK397" s="204"/>
      <c r="AL397" s="204"/>
      <c r="AM397" s="204"/>
      <c r="AN397" s="204"/>
      <c r="AO397" s="204"/>
      <c r="AP397" s="204"/>
      <c r="AQ397" s="204"/>
      <c r="AR397" s="204"/>
      <c r="AS397" s="204"/>
      <c r="AT397" s="204"/>
      <c r="AU397" s="206"/>
      <c r="AV397" s="202"/>
      <c r="AW397" s="202"/>
      <c r="AX397" s="202"/>
      <c r="AY397" s="202"/>
      <c r="AZ397" s="202"/>
      <c r="BA397" s="202"/>
      <c r="BB397" s="202"/>
      <c r="BC397" s="202"/>
      <c r="BD397" s="202"/>
      <c r="BE397" s="202"/>
      <c r="BF397" s="202"/>
      <c r="BG397" s="202"/>
    </row>
    <row r="398" spans="2:59" ht="15">
      <c r="B398" s="204" t="s">
        <v>497</v>
      </c>
      <c r="C398" s="204" t="s">
        <v>497</v>
      </c>
      <c r="D398" s="204" t="s">
        <v>497</v>
      </c>
      <c r="E398" s="204" t="s">
        <v>497</v>
      </c>
      <c r="F398" s="204" t="s">
        <v>497</v>
      </c>
      <c r="G398" s="204" t="s">
        <v>497</v>
      </c>
      <c r="H398" s="204" t="s">
        <v>497</v>
      </c>
      <c r="I398" s="204" t="s">
        <v>497</v>
      </c>
      <c r="J398" s="205" t="s">
        <v>497</v>
      </c>
      <c r="K398" s="205" t="s">
        <v>497</v>
      </c>
      <c r="L398" s="204" t="s">
        <v>497</v>
      </c>
      <c r="M398" s="204" t="s">
        <v>497</v>
      </c>
      <c r="N398" s="204"/>
      <c r="O398" s="204"/>
      <c r="P398" s="204"/>
      <c r="Q398" s="204"/>
      <c r="R398" s="204"/>
      <c r="S398" s="204"/>
      <c r="T398" s="204"/>
      <c r="U398" s="204"/>
      <c r="V398" s="204"/>
      <c r="W398" s="204"/>
      <c r="X398" s="204"/>
      <c r="Y398" s="204"/>
      <c r="Z398" s="204"/>
      <c r="AA398" s="204"/>
      <c r="AB398" s="204"/>
      <c r="AC398" s="204"/>
      <c r="AD398" s="204"/>
      <c r="AE398" s="204"/>
      <c r="AF398" s="204"/>
      <c r="AG398" s="204"/>
      <c r="AH398" s="204"/>
      <c r="AI398" s="204"/>
      <c r="AJ398" s="204"/>
      <c r="AK398" s="204"/>
      <c r="AL398" s="204"/>
      <c r="AM398" s="204"/>
      <c r="AN398" s="204"/>
      <c r="AO398" s="204"/>
      <c r="AP398" s="204"/>
      <c r="AQ398" s="204"/>
      <c r="AR398" s="204"/>
      <c r="AS398" s="204"/>
      <c r="AT398" s="204"/>
      <c r="AU398" s="206"/>
      <c r="AV398" s="202"/>
      <c r="AW398" s="202"/>
      <c r="AX398" s="202"/>
      <c r="AY398" s="202"/>
      <c r="AZ398" s="202"/>
      <c r="BA398" s="202"/>
      <c r="BB398" s="202"/>
      <c r="BC398" s="202"/>
      <c r="BD398" s="202"/>
      <c r="BE398" s="202"/>
      <c r="BF398" s="202"/>
      <c r="BG398" s="202"/>
    </row>
    <row r="399" spans="2:59" ht="15">
      <c r="B399" s="204" t="s">
        <v>497</v>
      </c>
      <c r="C399" s="204" t="s">
        <v>497</v>
      </c>
      <c r="D399" s="204" t="s">
        <v>497</v>
      </c>
      <c r="E399" s="204" t="s">
        <v>497</v>
      </c>
      <c r="F399" s="204" t="s">
        <v>497</v>
      </c>
      <c r="G399" s="204" t="s">
        <v>497</v>
      </c>
      <c r="H399" s="204" t="s">
        <v>497</v>
      </c>
      <c r="I399" s="204" t="s">
        <v>497</v>
      </c>
      <c r="J399" s="205" t="s">
        <v>497</v>
      </c>
      <c r="K399" s="205" t="s">
        <v>497</v>
      </c>
      <c r="L399" s="204" t="s">
        <v>497</v>
      </c>
      <c r="M399" s="204" t="s">
        <v>497</v>
      </c>
      <c r="N399" s="204"/>
      <c r="O399" s="204"/>
      <c r="P399" s="204"/>
      <c r="Q399" s="204"/>
      <c r="R399" s="204"/>
      <c r="S399" s="204"/>
      <c r="T399" s="204"/>
      <c r="U399" s="204"/>
      <c r="V399" s="204"/>
      <c r="W399" s="204"/>
      <c r="X399" s="204"/>
      <c r="Y399" s="204"/>
      <c r="Z399" s="204"/>
      <c r="AA399" s="204"/>
      <c r="AB399" s="204"/>
      <c r="AC399" s="204"/>
      <c r="AD399" s="204"/>
      <c r="AE399" s="204"/>
      <c r="AF399" s="204"/>
      <c r="AG399" s="204"/>
      <c r="AH399" s="204"/>
      <c r="AI399" s="204"/>
      <c r="AJ399" s="204"/>
      <c r="AK399" s="204"/>
      <c r="AL399" s="204"/>
      <c r="AM399" s="204"/>
      <c r="AN399" s="204"/>
      <c r="AO399" s="204"/>
      <c r="AP399" s="204"/>
      <c r="AQ399" s="204"/>
      <c r="AR399" s="204"/>
      <c r="AS399" s="204"/>
      <c r="AT399" s="204"/>
      <c r="AU399" s="206"/>
      <c r="AV399" s="202"/>
      <c r="AW399" s="202"/>
      <c r="AX399" s="202"/>
      <c r="AY399" s="202"/>
      <c r="AZ399" s="202"/>
      <c r="BA399" s="202"/>
      <c r="BB399" s="202"/>
      <c r="BC399" s="202"/>
      <c r="BD399" s="202"/>
      <c r="BE399" s="202"/>
      <c r="BF399" s="202"/>
      <c r="BG399" s="202"/>
    </row>
    <row r="400" spans="2:59" ht="15">
      <c r="B400" s="204" t="s">
        <v>497</v>
      </c>
      <c r="C400" s="204" t="s">
        <v>497</v>
      </c>
      <c r="D400" s="204" t="s">
        <v>497</v>
      </c>
      <c r="E400" s="204" t="s">
        <v>497</v>
      </c>
      <c r="F400" s="204" t="s">
        <v>497</v>
      </c>
      <c r="G400" s="204" t="s">
        <v>497</v>
      </c>
      <c r="H400" s="204" t="s">
        <v>497</v>
      </c>
      <c r="I400" s="204" t="s">
        <v>497</v>
      </c>
      <c r="J400" s="205" t="s">
        <v>497</v>
      </c>
      <c r="K400" s="205" t="s">
        <v>497</v>
      </c>
      <c r="L400" s="204" t="s">
        <v>497</v>
      </c>
      <c r="M400" s="204" t="s">
        <v>497</v>
      </c>
      <c r="N400" s="204"/>
      <c r="O400" s="204"/>
      <c r="P400" s="204"/>
      <c r="Q400" s="204"/>
      <c r="R400" s="204"/>
      <c r="S400" s="204"/>
      <c r="T400" s="204"/>
      <c r="U400" s="204"/>
      <c r="V400" s="204"/>
      <c r="W400" s="204"/>
      <c r="X400" s="204"/>
      <c r="Y400" s="204"/>
      <c r="Z400" s="204"/>
      <c r="AA400" s="204"/>
      <c r="AB400" s="204"/>
      <c r="AC400" s="204"/>
      <c r="AD400" s="204"/>
      <c r="AE400" s="204"/>
      <c r="AF400" s="204"/>
      <c r="AG400" s="204"/>
      <c r="AH400" s="204"/>
      <c r="AI400" s="204"/>
      <c r="AJ400" s="204"/>
      <c r="AK400" s="204"/>
      <c r="AL400" s="204"/>
      <c r="AM400" s="204"/>
      <c r="AN400" s="204"/>
      <c r="AO400" s="204"/>
      <c r="AP400" s="204"/>
      <c r="AQ400" s="204"/>
      <c r="AR400" s="204"/>
      <c r="AS400" s="204"/>
      <c r="AT400" s="204"/>
      <c r="AU400" s="206"/>
      <c r="AV400" s="202"/>
      <c r="AW400" s="202"/>
      <c r="AX400" s="202"/>
      <c r="AY400" s="202"/>
      <c r="AZ400" s="202"/>
      <c r="BA400" s="202"/>
      <c r="BB400" s="202"/>
      <c r="BC400" s="202"/>
      <c r="BD400" s="202"/>
      <c r="BE400" s="202"/>
      <c r="BF400" s="202"/>
      <c r="BG400" s="202"/>
    </row>
    <row r="401" spans="2:59" ht="15">
      <c r="B401" s="204" t="s">
        <v>497</v>
      </c>
      <c r="C401" s="204" t="s">
        <v>497</v>
      </c>
      <c r="D401" s="204" t="s">
        <v>497</v>
      </c>
      <c r="E401" s="204" t="s">
        <v>497</v>
      </c>
      <c r="F401" s="204" t="s">
        <v>497</v>
      </c>
      <c r="G401" s="204" t="s">
        <v>497</v>
      </c>
      <c r="H401" s="204" t="s">
        <v>497</v>
      </c>
      <c r="I401" s="204" t="s">
        <v>497</v>
      </c>
      <c r="J401" s="205" t="s">
        <v>497</v>
      </c>
      <c r="K401" s="205" t="s">
        <v>497</v>
      </c>
      <c r="L401" s="204" t="s">
        <v>497</v>
      </c>
      <c r="M401" s="204" t="s">
        <v>497</v>
      </c>
      <c r="N401" s="204"/>
      <c r="O401" s="204"/>
      <c r="P401" s="204"/>
      <c r="Q401" s="204"/>
      <c r="R401" s="204"/>
      <c r="S401" s="204"/>
      <c r="T401" s="204"/>
      <c r="U401" s="204"/>
      <c r="V401" s="204"/>
      <c r="W401" s="204"/>
      <c r="X401" s="204"/>
      <c r="Y401" s="204"/>
      <c r="Z401" s="204"/>
      <c r="AA401" s="204"/>
      <c r="AB401" s="204"/>
      <c r="AC401" s="204"/>
      <c r="AD401" s="204"/>
      <c r="AE401" s="204"/>
      <c r="AF401" s="204"/>
      <c r="AG401" s="204"/>
      <c r="AH401" s="204"/>
      <c r="AI401" s="204"/>
      <c r="AJ401" s="204"/>
      <c r="AK401" s="204"/>
      <c r="AL401" s="204"/>
      <c r="AM401" s="204"/>
      <c r="AN401" s="204"/>
      <c r="AO401" s="204"/>
      <c r="AP401" s="204"/>
      <c r="AQ401" s="204"/>
      <c r="AR401" s="204"/>
      <c r="AS401" s="204"/>
      <c r="AT401" s="204"/>
      <c r="AU401" s="206"/>
      <c r="AV401" s="202"/>
      <c r="AW401" s="202"/>
      <c r="AX401" s="202"/>
      <c r="AY401" s="202"/>
      <c r="AZ401" s="202"/>
      <c r="BA401" s="202"/>
      <c r="BB401" s="202"/>
      <c r="BC401" s="202"/>
      <c r="BD401" s="202"/>
      <c r="BE401" s="202"/>
      <c r="BF401" s="202"/>
      <c r="BG401" s="202"/>
    </row>
    <row r="402" spans="2:59" ht="15">
      <c r="B402" s="204" t="s">
        <v>497</v>
      </c>
      <c r="C402" s="204" t="s">
        <v>497</v>
      </c>
      <c r="D402" s="204" t="s">
        <v>497</v>
      </c>
      <c r="E402" s="204" t="s">
        <v>497</v>
      </c>
      <c r="F402" s="204" t="s">
        <v>497</v>
      </c>
      <c r="G402" s="204" t="s">
        <v>497</v>
      </c>
      <c r="H402" s="204" t="s">
        <v>497</v>
      </c>
      <c r="I402" s="204" t="s">
        <v>497</v>
      </c>
      <c r="J402" s="205" t="s">
        <v>497</v>
      </c>
      <c r="K402" s="205" t="s">
        <v>497</v>
      </c>
      <c r="L402" s="204" t="s">
        <v>497</v>
      </c>
      <c r="M402" s="204" t="s">
        <v>497</v>
      </c>
      <c r="N402" s="204"/>
      <c r="O402" s="204"/>
      <c r="P402" s="204"/>
      <c r="Q402" s="204"/>
      <c r="R402" s="204"/>
      <c r="S402" s="204"/>
      <c r="T402" s="204"/>
      <c r="U402" s="204"/>
      <c r="V402" s="204"/>
      <c r="W402" s="204"/>
      <c r="X402" s="204"/>
      <c r="Y402" s="204"/>
      <c r="Z402" s="204"/>
      <c r="AA402" s="204"/>
      <c r="AB402" s="204"/>
      <c r="AC402" s="204"/>
      <c r="AD402" s="204"/>
      <c r="AE402" s="204"/>
      <c r="AF402" s="204"/>
      <c r="AG402" s="204"/>
      <c r="AH402" s="204"/>
      <c r="AI402" s="204"/>
      <c r="AJ402" s="204"/>
      <c r="AK402" s="204"/>
      <c r="AL402" s="204"/>
      <c r="AM402" s="204"/>
      <c r="AN402" s="204"/>
      <c r="AO402" s="204"/>
      <c r="AP402" s="204"/>
      <c r="AQ402" s="204"/>
      <c r="AR402" s="204"/>
      <c r="AS402" s="204"/>
      <c r="AT402" s="204"/>
      <c r="AU402" s="206"/>
      <c r="AV402" s="202"/>
      <c r="AW402" s="202"/>
      <c r="AX402" s="202"/>
      <c r="AY402" s="202"/>
      <c r="AZ402" s="202"/>
      <c r="BA402" s="202"/>
      <c r="BB402" s="202"/>
      <c r="BC402" s="202"/>
      <c r="BD402" s="202"/>
      <c r="BE402" s="202"/>
      <c r="BF402" s="202"/>
      <c r="BG402" s="202"/>
    </row>
    <row r="403" spans="2:59" ht="15">
      <c r="B403" s="204" t="s">
        <v>497</v>
      </c>
      <c r="C403" s="204" t="s">
        <v>497</v>
      </c>
      <c r="D403" s="204" t="s">
        <v>497</v>
      </c>
      <c r="E403" s="204" t="s">
        <v>497</v>
      </c>
      <c r="F403" s="204" t="s">
        <v>497</v>
      </c>
      <c r="G403" s="204" t="s">
        <v>497</v>
      </c>
      <c r="H403" s="204" t="s">
        <v>497</v>
      </c>
      <c r="I403" s="204" t="s">
        <v>497</v>
      </c>
      <c r="J403" s="205" t="s">
        <v>497</v>
      </c>
      <c r="K403" s="205" t="s">
        <v>497</v>
      </c>
      <c r="L403" s="204" t="s">
        <v>497</v>
      </c>
      <c r="M403" s="204" t="s">
        <v>497</v>
      </c>
      <c r="N403" s="204"/>
      <c r="O403" s="204"/>
      <c r="P403" s="204"/>
      <c r="Q403" s="204"/>
      <c r="R403" s="204"/>
      <c r="S403" s="204"/>
      <c r="T403" s="204"/>
      <c r="U403" s="204"/>
      <c r="V403" s="204"/>
      <c r="W403" s="204"/>
      <c r="X403" s="204"/>
      <c r="Y403" s="204"/>
      <c r="Z403" s="204"/>
      <c r="AA403" s="204"/>
      <c r="AB403" s="204"/>
      <c r="AC403" s="204"/>
      <c r="AD403" s="204"/>
      <c r="AE403" s="204"/>
      <c r="AF403" s="204"/>
      <c r="AG403" s="204"/>
      <c r="AH403" s="204"/>
      <c r="AI403" s="204"/>
      <c r="AJ403" s="204"/>
      <c r="AK403" s="204"/>
      <c r="AL403" s="204"/>
      <c r="AM403" s="204"/>
      <c r="AN403" s="204"/>
      <c r="AO403" s="204"/>
      <c r="AP403" s="204"/>
      <c r="AQ403" s="204"/>
      <c r="AR403" s="204"/>
      <c r="AS403" s="204"/>
      <c r="AT403" s="204"/>
      <c r="AU403" s="206"/>
      <c r="AV403" s="202"/>
      <c r="AW403" s="202"/>
      <c r="AX403" s="202"/>
      <c r="AY403" s="202"/>
      <c r="AZ403" s="202"/>
      <c r="BA403" s="202"/>
      <c r="BB403" s="202"/>
      <c r="BC403" s="202"/>
      <c r="BD403" s="202"/>
      <c r="BE403" s="202"/>
      <c r="BF403" s="202"/>
      <c r="BG403" s="202"/>
    </row>
    <row r="404" spans="2:59" ht="15">
      <c r="B404" s="204" t="s">
        <v>497</v>
      </c>
      <c r="C404" s="204" t="s">
        <v>497</v>
      </c>
      <c r="D404" s="204" t="s">
        <v>497</v>
      </c>
      <c r="E404" s="204" t="s">
        <v>497</v>
      </c>
      <c r="F404" s="204" t="s">
        <v>497</v>
      </c>
      <c r="G404" s="204" t="s">
        <v>497</v>
      </c>
      <c r="H404" s="204" t="s">
        <v>497</v>
      </c>
      <c r="I404" s="204" t="s">
        <v>497</v>
      </c>
      <c r="J404" s="205" t="s">
        <v>497</v>
      </c>
      <c r="K404" s="205" t="s">
        <v>497</v>
      </c>
      <c r="L404" s="204" t="s">
        <v>497</v>
      </c>
      <c r="M404" s="204" t="s">
        <v>497</v>
      </c>
      <c r="N404" s="204"/>
      <c r="O404" s="204"/>
      <c r="P404" s="204"/>
      <c r="Q404" s="204"/>
      <c r="R404" s="204"/>
      <c r="S404" s="204"/>
      <c r="T404" s="204"/>
      <c r="U404" s="204"/>
      <c r="V404" s="204"/>
      <c r="W404" s="204"/>
      <c r="X404" s="204"/>
      <c r="Y404" s="204"/>
      <c r="Z404" s="204"/>
      <c r="AA404" s="204"/>
      <c r="AB404" s="204"/>
      <c r="AC404" s="204"/>
      <c r="AD404" s="204"/>
      <c r="AE404" s="204"/>
      <c r="AF404" s="204"/>
      <c r="AG404" s="204"/>
      <c r="AH404" s="204"/>
      <c r="AI404" s="204"/>
      <c r="AJ404" s="204"/>
      <c r="AK404" s="204"/>
      <c r="AL404" s="204"/>
      <c r="AM404" s="204"/>
      <c r="AN404" s="204"/>
      <c r="AO404" s="204"/>
      <c r="AP404" s="204"/>
      <c r="AQ404" s="204"/>
      <c r="AR404" s="204"/>
      <c r="AS404" s="204"/>
      <c r="AT404" s="204"/>
      <c r="AU404" s="206"/>
      <c r="AV404" s="202"/>
      <c r="AW404" s="202"/>
      <c r="AX404" s="202"/>
      <c r="AY404" s="202"/>
      <c r="AZ404" s="202"/>
      <c r="BA404" s="202"/>
      <c r="BB404" s="202"/>
      <c r="BC404" s="202"/>
      <c r="BD404" s="202"/>
      <c r="BE404" s="202"/>
      <c r="BF404" s="202"/>
      <c r="BG404" s="202"/>
    </row>
    <row r="405" spans="2:59" ht="15">
      <c r="B405" s="204" t="s">
        <v>497</v>
      </c>
      <c r="C405" s="204" t="s">
        <v>497</v>
      </c>
      <c r="D405" s="204" t="s">
        <v>497</v>
      </c>
      <c r="E405" s="204" t="s">
        <v>497</v>
      </c>
      <c r="F405" s="204" t="s">
        <v>497</v>
      </c>
      <c r="G405" s="204" t="s">
        <v>497</v>
      </c>
      <c r="H405" s="204" t="s">
        <v>497</v>
      </c>
      <c r="I405" s="204" t="s">
        <v>497</v>
      </c>
      <c r="J405" s="205" t="s">
        <v>497</v>
      </c>
      <c r="K405" s="205" t="s">
        <v>497</v>
      </c>
      <c r="L405" s="204" t="s">
        <v>497</v>
      </c>
      <c r="M405" s="204" t="s">
        <v>497</v>
      </c>
      <c r="N405" s="204"/>
      <c r="O405" s="204"/>
      <c r="P405" s="204"/>
      <c r="Q405" s="204"/>
      <c r="R405" s="204"/>
      <c r="S405" s="204"/>
      <c r="T405" s="204"/>
      <c r="U405" s="204"/>
      <c r="V405" s="204"/>
      <c r="W405" s="204"/>
      <c r="X405" s="204"/>
      <c r="Y405" s="204"/>
      <c r="Z405" s="204"/>
      <c r="AA405" s="204"/>
      <c r="AB405" s="204"/>
      <c r="AC405" s="204"/>
      <c r="AD405" s="204"/>
      <c r="AE405" s="204"/>
      <c r="AF405" s="204"/>
      <c r="AG405" s="204"/>
      <c r="AH405" s="204"/>
      <c r="AI405" s="204"/>
      <c r="AJ405" s="204"/>
      <c r="AK405" s="204"/>
      <c r="AL405" s="204"/>
      <c r="AM405" s="204"/>
      <c r="AN405" s="204"/>
      <c r="AO405" s="204"/>
      <c r="AP405" s="204"/>
      <c r="AQ405" s="204"/>
      <c r="AR405" s="204"/>
      <c r="AS405" s="204"/>
      <c r="AT405" s="204"/>
      <c r="AU405" s="206"/>
      <c r="AV405" s="202"/>
      <c r="AW405" s="202"/>
      <c r="AX405" s="202"/>
      <c r="AY405" s="202"/>
      <c r="AZ405" s="202"/>
      <c r="BA405" s="202"/>
      <c r="BB405" s="202"/>
      <c r="BC405" s="202"/>
      <c r="BD405" s="202"/>
      <c r="BE405" s="202"/>
      <c r="BF405" s="202"/>
      <c r="BG405" s="202"/>
    </row>
    <row r="406" spans="2:59" ht="15">
      <c r="B406" s="204" t="s">
        <v>497</v>
      </c>
      <c r="C406" s="204" t="s">
        <v>497</v>
      </c>
      <c r="D406" s="204" t="s">
        <v>497</v>
      </c>
      <c r="E406" s="204" t="s">
        <v>497</v>
      </c>
      <c r="F406" s="204" t="s">
        <v>497</v>
      </c>
      <c r="G406" s="204" t="s">
        <v>497</v>
      </c>
      <c r="H406" s="204" t="s">
        <v>497</v>
      </c>
      <c r="I406" s="204" t="s">
        <v>497</v>
      </c>
      <c r="J406" s="205" t="s">
        <v>497</v>
      </c>
      <c r="K406" s="205" t="s">
        <v>497</v>
      </c>
      <c r="L406" s="204" t="s">
        <v>497</v>
      </c>
      <c r="M406" s="204" t="s">
        <v>497</v>
      </c>
      <c r="N406" s="204"/>
      <c r="O406" s="204"/>
      <c r="P406" s="204"/>
      <c r="Q406" s="204"/>
      <c r="R406" s="204"/>
      <c r="S406" s="204"/>
      <c r="T406" s="204"/>
      <c r="U406" s="204"/>
      <c r="V406" s="204"/>
      <c r="W406" s="204"/>
      <c r="X406" s="204"/>
      <c r="Y406" s="204"/>
      <c r="Z406" s="204"/>
      <c r="AA406" s="204"/>
      <c r="AB406" s="204"/>
      <c r="AC406" s="204"/>
      <c r="AD406" s="204"/>
      <c r="AE406" s="204"/>
      <c r="AF406" s="204"/>
      <c r="AG406" s="204"/>
      <c r="AH406" s="204"/>
      <c r="AI406" s="204"/>
      <c r="AJ406" s="204"/>
      <c r="AK406" s="204"/>
      <c r="AL406" s="204"/>
      <c r="AM406" s="204"/>
      <c r="AN406" s="204"/>
      <c r="AO406" s="204"/>
      <c r="AP406" s="204"/>
      <c r="AQ406" s="204"/>
      <c r="AR406" s="204"/>
      <c r="AS406" s="204"/>
      <c r="AT406" s="204"/>
      <c r="AU406" s="206"/>
      <c r="AV406" s="202"/>
      <c r="AW406" s="202"/>
      <c r="AX406" s="202"/>
      <c r="AY406" s="202"/>
      <c r="AZ406" s="202"/>
      <c r="BA406" s="202"/>
      <c r="BB406" s="202"/>
      <c r="BC406" s="202"/>
      <c r="BD406" s="202"/>
      <c r="BE406" s="202"/>
      <c r="BF406" s="202"/>
      <c r="BG406" s="202"/>
    </row>
    <row r="407" spans="2:59" ht="15">
      <c r="B407" s="204" t="s">
        <v>497</v>
      </c>
      <c r="C407" s="204" t="s">
        <v>497</v>
      </c>
      <c r="D407" s="204" t="s">
        <v>497</v>
      </c>
      <c r="E407" s="204" t="s">
        <v>497</v>
      </c>
      <c r="F407" s="204" t="s">
        <v>497</v>
      </c>
      <c r="G407" s="204" t="s">
        <v>497</v>
      </c>
      <c r="H407" s="204" t="s">
        <v>497</v>
      </c>
      <c r="I407" s="204" t="s">
        <v>497</v>
      </c>
      <c r="J407" s="205" t="s">
        <v>497</v>
      </c>
      <c r="K407" s="205" t="s">
        <v>497</v>
      </c>
      <c r="L407" s="204" t="s">
        <v>497</v>
      </c>
      <c r="M407" s="204" t="s">
        <v>497</v>
      </c>
      <c r="N407" s="204"/>
      <c r="O407" s="204"/>
      <c r="P407" s="204"/>
      <c r="Q407" s="204"/>
      <c r="R407" s="204"/>
      <c r="S407" s="204"/>
      <c r="T407" s="204"/>
      <c r="U407" s="204"/>
      <c r="V407" s="204"/>
      <c r="W407" s="204"/>
      <c r="X407" s="204"/>
      <c r="Y407" s="204"/>
      <c r="Z407" s="204"/>
      <c r="AA407" s="204"/>
      <c r="AB407" s="204"/>
      <c r="AC407" s="204"/>
      <c r="AD407" s="204"/>
      <c r="AE407" s="204"/>
      <c r="AF407" s="204"/>
      <c r="AG407" s="204"/>
      <c r="AH407" s="204"/>
      <c r="AI407" s="204"/>
      <c r="AJ407" s="204"/>
      <c r="AK407" s="204"/>
      <c r="AL407" s="204"/>
      <c r="AM407" s="204"/>
      <c r="AN407" s="204"/>
      <c r="AO407" s="204"/>
      <c r="AP407" s="204"/>
      <c r="AQ407" s="204"/>
      <c r="AR407" s="204"/>
      <c r="AS407" s="204"/>
      <c r="AT407" s="204"/>
      <c r="AU407" s="206"/>
      <c r="AV407" s="202"/>
      <c r="AW407" s="202"/>
      <c r="AX407" s="202"/>
      <c r="AY407" s="202"/>
      <c r="AZ407" s="202"/>
      <c r="BA407" s="202"/>
      <c r="BB407" s="202"/>
      <c r="BC407" s="202"/>
      <c r="BD407" s="202"/>
      <c r="BE407" s="202"/>
      <c r="BF407" s="202"/>
      <c r="BG407" s="202"/>
    </row>
    <row r="408" spans="2:59" ht="15">
      <c r="B408" s="204" t="s">
        <v>497</v>
      </c>
      <c r="C408" s="204" t="s">
        <v>497</v>
      </c>
      <c r="D408" s="204" t="s">
        <v>497</v>
      </c>
      <c r="E408" s="204" t="s">
        <v>497</v>
      </c>
      <c r="F408" s="204" t="s">
        <v>497</v>
      </c>
      <c r="G408" s="204" t="s">
        <v>497</v>
      </c>
      <c r="H408" s="204" t="s">
        <v>497</v>
      </c>
      <c r="I408" s="204" t="s">
        <v>497</v>
      </c>
      <c r="J408" s="205" t="s">
        <v>497</v>
      </c>
      <c r="K408" s="205" t="s">
        <v>497</v>
      </c>
      <c r="L408" s="204" t="s">
        <v>497</v>
      </c>
      <c r="M408" s="204" t="s">
        <v>497</v>
      </c>
      <c r="N408" s="204"/>
      <c r="O408" s="204"/>
      <c r="P408" s="204"/>
      <c r="Q408" s="204"/>
      <c r="R408" s="204"/>
      <c r="S408" s="204"/>
      <c r="T408" s="204"/>
      <c r="U408" s="204"/>
      <c r="V408" s="204"/>
      <c r="W408" s="204"/>
      <c r="X408" s="204"/>
      <c r="Y408" s="204"/>
      <c r="Z408" s="204"/>
      <c r="AA408" s="204"/>
      <c r="AB408" s="204"/>
      <c r="AC408" s="204"/>
      <c r="AD408" s="204"/>
      <c r="AE408" s="204"/>
      <c r="AF408" s="204"/>
      <c r="AG408" s="204"/>
      <c r="AH408" s="204"/>
      <c r="AI408" s="204"/>
      <c r="AJ408" s="204"/>
      <c r="AK408" s="204"/>
      <c r="AL408" s="204"/>
      <c r="AM408" s="204"/>
      <c r="AN408" s="204"/>
      <c r="AO408" s="204"/>
      <c r="AP408" s="204"/>
      <c r="AQ408" s="204"/>
      <c r="AR408" s="204"/>
      <c r="AS408" s="204"/>
      <c r="AT408" s="204"/>
      <c r="AU408" s="206"/>
      <c r="AV408" s="202"/>
      <c r="AW408" s="202"/>
      <c r="AX408" s="202"/>
      <c r="AY408" s="202"/>
      <c r="AZ408" s="202"/>
      <c r="BA408" s="202"/>
      <c r="BB408" s="202"/>
      <c r="BC408" s="202"/>
      <c r="BD408" s="202"/>
      <c r="BE408" s="202"/>
      <c r="BF408" s="202"/>
      <c r="BG408" s="202"/>
    </row>
    <row r="409" spans="2:59" ht="15">
      <c r="B409" s="204" t="s">
        <v>497</v>
      </c>
      <c r="C409" s="204" t="s">
        <v>497</v>
      </c>
      <c r="D409" s="204" t="s">
        <v>497</v>
      </c>
      <c r="E409" s="204" t="s">
        <v>497</v>
      </c>
      <c r="F409" s="204" t="s">
        <v>497</v>
      </c>
      <c r="G409" s="204" t="s">
        <v>497</v>
      </c>
      <c r="H409" s="204" t="s">
        <v>497</v>
      </c>
      <c r="I409" s="204" t="s">
        <v>497</v>
      </c>
      <c r="J409" s="205" t="s">
        <v>497</v>
      </c>
      <c r="K409" s="205" t="s">
        <v>497</v>
      </c>
      <c r="L409" s="204" t="s">
        <v>497</v>
      </c>
      <c r="M409" s="204" t="s">
        <v>497</v>
      </c>
      <c r="N409" s="204"/>
      <c r="O409" s="204"/>
      <c r="P409" s="204"/>
      <c r="Q409" s="204"/>
      <c r="R409" s="204"/>
      <c r="S409" s="204"/>
      <c r="T409" s="204"/>
      <c r="U409" s="204"/>
      <c r="V409" s="204"/>
      <c r="W409" s="204"/>
      <c r="X409" s="204"/>
      <c r="Y409" s="204"/>
      <c r="Z409" s="204"/>
      <c r="AA409" s="204"/>
      <c r="AB409" s="204"/>
      <c r="AC409" s="204"/>
      <c r="AD409" s="204"/>
      <c r="AE409" s="204"/>
      <c r="AF409" s="204"/>
      <c r="AG409" s="204"/>
      <c r="AH409" s="204"/>
      <c r="AI409" s="204"/>
      <c r="AJ409" s="204"/>
      <c r="AK409" s="204"/>
      <c r="AL409" s="204"/>
      <c r="AM409" s="204"/>
      <c r="AN409" s="204"/>
      <c r="AO409" s="204"/>
      <c r="AP409" s="204"/>
      <c r="AQ409" s="204"/>
      <c r="AR409" s="204"/>
      <c r="AS409" s="204"/>
      <c r="AT409" s="204"/>
      <c r="AU409" s="206"/>
      <c r="AV409" s="202"/>
      <c r="AW409" s="202"/>
      <c r="AX409" s="202"/>
      <c r="AY409" s="202"/>
      <c r="AZ409" s="202"/>
      <c r="BA409" s="202"/>
      <c r="BB409" s="202"/>
      <c r="BC409" s="202"/>
      <c r="BD409" s="202"/>
      <c r="BE409" s="202"/>
      <c r="BF409" s="202"/>
      <c r="BG409" s="202"/>
    </row>
    <row r="410" spans="2:59" ht="15">
      <c r="B410" s="204" t="s">
        <v>497</v>
      </c>
      <c r="C410" s="204" t="s">
        <v>497</v>
      </c>
      <c r="D410" s="204" t="s">
        <v>497</v>
      </c>
      <c r="E410" s="204" t="s">
        <v>497</v>
      </c>
      <c r="F410" s="204" t="s">
        <v>497</v>
      </c>
      <c r="G410" s="204" t="s">
        <v>497</v>
      </c>
      <c r="H410" s="204" t="s">
        <v>497</v>
      </c>
      <c r="I410" s="204" t="s">
        <v>497</v>
      </c>
      <c r="J410" s="205" t="s">
        <v>497</v>
      </c>
      <c r="K410" s="205" t="s">
        <v>497</v>
      </c>
      <c r="L410" s="204" t="s">
        <v>497</v>
      </c>
      <c r="M410" s="204" t="s">
        <v>497</v>
      </c>
      <c r="N410" s="204"/>
      <c r="O410" s="204"/>
      <c r="P410" s="204"/>
      <c r="Q410" s="204"/>
      <c r="R410" s="204"/>
      <c r="S410" s="204"/>
      <c r="T410" s="204"/>
      <c r="U410" s="204"/>
      <c r="V410" s="204"/>
      <c r="W410" s="204"/>
      <c r="X410" s="204"/>
      <c r="Y410" s="204"/>
      <c r="Z410" s="204"/>
      <c r="AA410" s="204"/>
      <c r="AB410" s="204"/>
      <c r="AC410" s="204"/>
      <c r="AD410" s="204"/>
      <c r="AE410" s="204"/>
      <c r="AF410" s="204"/>
      <c r="AG410" s="204"/>
      <c r="AH410" s="204"/>
      <c r="AI410" s="204"/>
      <c r="AJ410" s="204"/>
      <c r="AK410" s="204"/>
      <c r="AL410" s="204"/>
      <c r="AM410" s="204"/>
      <c r="AN410" s="204"/>
      <c r="AO410" s="204"/>
      <c r="AP410" s="204"/>
      <c r="AQ410" s="204"/>
      <c r="AR410" s="204"/>
      <c r="AS410" s="204"/>
      <c r="AT410" s="204"/>
      <c r="AU410" s="206"/>
      <c r="AV410" s="202"/>
      <c r="AW410" s="202"/>
      <c r="AX410" s="202"/>
      <c r="AY410" s="202"/>
      <c r="AZ410" s="202"/>
      <c r="BA410" s="202"/>
      <c r="BB410" s="202"/>
      <c r="BC410" s="202"/>
      <c r="BD410" s="202"/>
      <c r="BE410" s="202"/>
      <c r="BF410" s="202"/>
      <c r="BG410" s="202"/>
    </row>
    <row r="411" spans="2:59" ht="15">
      <c r="B411" s="204" t="s">
        <v>497</v>
      </c>
      <c r="C411" s="204" t="s">
        <v>497</v>
      </c>
      <c r="D411" s="204" t="s">
        <v>497</v>
      </c>
      <c r="E411" s="204" t="s">
        <v>497</v>
      </c>
      <c r="F411" s="204" t="s">
        <v>497</v>
      </c>
      <c r="G411" s="204" t="s">
        <v>497</v>
      </c>
      <c r="H411" s="204" t="s">
        <v>497</v>
      </c>
      <c r="I411" s="204" t="s">
        <v>497</v>
      </c>
      <c r="J411" s="205" t="s">
        <v>497</v>
      </c>
      <c r="K411" s="205" t="s">
        <v>497</v>
      </c>
      <c r="L411" s="204" t="s">
        <v>497</v>
      </c>
      <c r="M411" s="204" t="s">
        <v>497</v>
      </c>
      <c r="N411" s="204"/>
      <c r="O411" s="204"/>
      <c r="P411" s="204"/>
      <c r="Q411" s="204"/>
      <c r="R411" s="204"/>
      <c r="S411" s="204"/>
      <c r="T411" s="204"/>
      <c r="U411" s="204"/>
      <c r="V411" s="204"/>
      <c r="W411" s="204"/>
      <c r="X411" s="204"/>
      <c r="Y411" s="204"/>
      <c r="Z411" s="204"/>
      <c r="AA411" s="204"/>
      <c r="AB411" s="204"/>
      <c r="AC411" s="204"/>
      <c r="AD411" s="204"/>
      <c r="AE411" s="204"/>
      <c r="AF411" s="204"/>
      <c r="AG411" s="204"/>
      <c r="AH411" s="204"/>
      <c r="AI411" s="204"/>
      <c r="AJ411" s="204"/>
      <c r="AK411" s="204"/>
      <c r="AL411" s="204"/>
      <c r="AM411" s="204"/>
      <c r="AN411" s="204"/>
      <c r="AO411" s="204"/>
      <c r="AP411" s="204"/>
      <c r="AQ411" s="204"/>
      <c r="AR411" s="204"/>
      <c r="AS411" s="204"/>
      <c r="AT411" s="204"/>
      <c r="AU411" s="206"/>
      <c r="AV411" s="202"/>
      <c r="AW411" s="202"/>
      <c r="AX411" s="202"/>
      <c r="AY411" s="202"/>
      <c r="AZ411" s="202"/>
      <c r="BA411" s="202"/>
      <c r="BB411" s="202"/>
      <c r="BC411" s="202"/>
      <c r="BD411" s="202"/>
      <c r="BE411" s="202"/>
      <c r="BF411" s="202"/>
      <c r="BG411" s="202"/>
    </row>
    <row r="412" spans="2:59" ht="15">
      <c r="B412" s="204" t="s">
        <v>497</v>
      </c>
      <c r="C412" s="204" t="s">
        <v>497</v>
      </c>
      <c r="D412" s="204" t="s">
        <v>497</v>
      </c>
      <c r="E412" s="204" t="s">
        <v>497</v>
      </c>
      <c r="F412" s="204" t="s">
        <v>497</v>
      </c>
      <c r="G412" s="204" t="s">
        <v>497</v>
      </c>
      <c r="H412" s="204" t="s">
        <v>497</v>
      </c>
      <c r="I412" s="204" t="s">
        <v>497</v>
      </c>
      <c r="J412" s="205" t="s">
        <v>497</v>
      </c>
      <c r="K412" s="205" t="s">
        <v>497</v>
      </c>
      <c r="L412" s="204" t="s">
        <v>497</v>
      </c>
      <c r="M412" s="204" t="s">
        <v>497</v>
      </c>
      <c r="N412" s="204"/>
      <c r="O412" s="204"/>
      <c r="P412" s="204"/>
      <c r="Q412" s="204"/>
      <c r="R412" s="204"/>
      <c r="S412" s="204"/>
      <c r="T412" s="204"/>
      <c r="U412" s="204"/>
      <c r="V412" s="204"/>
      <c r="W412" s="204"/>
      <c r="X412" s="204"/>
      <c r="Y412" s="204"/>
      <c r="Z412" s="204"/>
      <c r="AA412" s="204"/>
      <c r="AB412" s="204"/>
      <c r="AC412" s="204"/>
      <c r="AD412" s="204"/>
      <c r="AE412" s="204"/>
      <c r="AF412" s="204"/>
      <c r="AG412" s="204"/>
      <c r="AH412" s="204"/>
      <c r="AI412" s="204"/>
      <c r="AJ412" s="204"/>
      <c r="AK412" s="204"/>
      <c r="AL412" s="204"/>
      <c r="AM412" s="204"/>
      <c r="AN412" s="204"/>
      <c r="AO412" s="204"/>
      <c r="AP412" s="204"/>
      <c r="AQ412" s="204"/>
      <c r="AR412" s="204"/>
      <c r="AS412" s="204"/>
      <c r="AT412" s="204"/>
      <c r="AU412" s="206"/>
      <c r="AV412" s="202"/>
      <c r="AW412" s="202"/>
      <c r="AX412" s="202"/>
      <c r="AY412" s="202"/>
      <c r="AZ412" s="202"/>
      <c r="BA412" s="202"/>
      <c r="BB412" s="202"/>
      <c r="BC412" s="202"/>
      <c r="BD412" s="202"/>
      <c r="BE412" s="202"/>
      <c r="BF412" s="202"/>
      <c r="BG412" s="202"/>
    </row>
    <row r="413" spans="2:59" ht="15">
      <c r="B413" s="204" t="s">
        <v>497</v>
      </c>
      <c r="C413" s="204" t="s">
        <v>497</v>
      </c>
      <c r="D413" s="204" t="s">
        <v>497</v>
      </c>
      <c r="E413" s="204" t="s">
        <v>497</v>
      </c>
      <c r="F413" s="204" t="s">
        <v>497</v>
      </c>
      <c r="G413" s="204" t="s">
        <v>497</v>
      </c>
      <c r="H413" s="204" t="s">
        <v>497</v>
      </c>
      <c r="I413" s="204" t="s">
        <v>497</v>
      </c>
      <c r="J413" s="205" t="s">
        <v>497</v>
      </c>
      <c r="K413" s="205" t="s">
        <v>497</v>
      </c>
      <c r="L413" s="204" t="s">
        <v>497</v>
      </c>
      <c r="M413" s="204" t="s">
        <v>497</v>
      </c>
      <c r="N413" s="204"/>
      <c r="O413" s="204"/>
      <c r="P413" s="204"/>
      <c r="Q413" s="204"/>
      <c r="R413" s="204"/>
      <c r="S413" s="204"/>
      <c r="T413" s="204"/>
      <c r="U413" s="204"/>
      <c r="V413" s="204"/>
      <c r="W413" s="204"/>
      <c r="X413" s="204"/>
      <c r="Y413" s="204"/>
      <c r="Z413" s="204"/>
      <c r="AA413" s="204"/>
      <c r="AB413" s="204"/>
      <c r="AC413" s="204"/>
      <c r="AD413" s="204"/>
      <c r="AE413" s="204"/>
      <c r="AF413" s="204"/>
      <c r="AG413" s="204"/>
      <c r="AH413" s="204"/>
      <c r="AI413" s="204"/>
      <c r="AJ413" s="204"/>
      <c r="AK413" s="204"/>
      <c r="AL413" s="204"/>
      <c r="AM413" s="204"/>
      <c r="AN413" s="204"/>
      <c r="AO413" s="204"/>
      <c r="AP413" s="204"/>
      <c r="AQ413" s="204"/>
      <c r="AR413" s="204"/>
      <c r="AS413" s="204"/>
      <c r="AT413" s="204"/>
      <c r="AU413" s="206"/>
      <c r="AV413" s="202"/>
      <c r="AW413" s="202"/>
      <c r="AX413" s="202"/>
      <c r="AY413" s="202"/>
      <c r="AZ413" s="202"/>
      <c r="BA413" s="202"/>
      <c r="BB413" s="202"/>
      <c r="BC413" s="202"/>
      <c r="BD413" s="202"/>
      <c r="BE413" s="202"/>
      <c r="BF413" s="202"/>
      <c r="BG413" s="202"/>
    </row>
    <row r="414" spans="2:59" ht="15">
      <c r="B414" s="204" t="s">
        <v>497</v>
      </c>
      <c r="C414" s="204" t="s">
        <v>497</v>
      </c>
      <c r="D414" s="204" t="s">
        <v>497</v>
      </c>
      <c r="E414" s="204" t="s">
        <v>497</v>
      </c>
      <c r="F414" s="204" t="s">
        <v>497</v>
      </c>
      <c r="G414" s="204" t="s">
        <v>497</v>
      </c>
      <c r="H414" s="204" t="s">
        <v>497</v>
      </c>
      <c r="I414" s="204" t="s">
        <v>497</v>
      </c>
      <c r="J414" s="205" t="s">
        <v>497</v>
      </c>
      <c r="K414" s="205" t="s">
        <v>497</v>
      </c>
      <c r="L414" s="204" t="s">
        <v>497</v>
      </c>
      <c r="M414" s="204" t="s">
        <v>497</v>
      </c>
      <c r="N414" s="204"/>
      <c r="O414" s="204"/>
      <c r="P414" s="204"/>
      <c r="Q414" s="204"/>
      <c r="R414" s="204"/>
      <c r="S414" s="204"/>
      <c r="T414" s="204"/>
      <c r="U414" s="204"/>
      <c r="V414" s="204"/>
      <c r="W414" s="204"/>
      <c r="X414" s="204"/>
      <c r="Y414" s="204"/>
      <c r="Z414" s="204"/>
      <c r="AA414" s="204"/>
      <c r="AB414" s="204"/>
      <c r="AC414" s="204"/>
      <c r="AD414" s="204"/>
      <c r="AE414" s="204"/>
      <c r="AF414" s="204"/>
      <c r="AG414" s="204"/>
      <c r="AH414" s="204"/>
      <c r="AI414" s="204"/>
      <c r="AJ414" s="204"/>
      <c r="AK414" s="204"/>
      <c r="AL414" s="204"/>
      <c r="AM414" s="204"/>
      <c r="AN414" s="204"/>
      <c r="AO414" s="204"/>
      <c r="AP414" s="204"/>
      <c r="AQ414" s="204"/>
      <c r="AR414" s="204"/>
      <c r="AS414" s="204"/>
      <c r="AT414" s="204"/>
      <c r="AU414" s="206"/>
      <c r="AV414" s="202"/>
      <c r="AW414" s="202"/>
      <c r="AX414" s="202"/>
      <c r="AY414" s="202"/>
      <c r="AZ414" s="202"/>
      <c r="BA414" s="202"/>
      <c r="BB414" s="202"/>
      <c r="BC414" s="202"/>
      <c r="BD414" s="202"/>
      <c r="BE414" s="202"/>
      <c r="BF414" s="202"/>
      <c r="BG414" s="202"/>
    </row>
    <row r="415" spans="2:59" ht="15">
      <c r="B415" s="204" t="s">
        <v>497</v>
      </c>
      <c r="C415" s="204" t="s">
        <v>497</v>
      </c>
      <c r="D415" s="204" t="s">
        <v>497</v>
      </c>
      <c r="E415" s="204" t="s">
        <v>497</v>
      </c>
      <c r="F415" s="204" t="s">
        <v>497</v>
      </c>
      <c r="G415" s="204" t="s">
        <v>497</v>
      </c>
      <c r="H415" s="204" t="s">
        <v>497</v>
      </c>
      <c r="I415" s="204" t="s">
        <v>497</v>
      </c>
      <c r="J415" s="205" t="s">
        <v>497</v>
      </c>
      <c r="K415" s="205" t="s">
        <v>497</v>
      </c>
      <c r="L415" s="204" t="s">
        <v>497</v>
      </c>
      <c r="M415" s="204" t="s">
        <v>497</v>
      </c>
      <c r="N415" s="204"/>
      <c r="O415" s="204"/>
      <c r="P415" s="204"/>
      <c r="Q415" s="204"/>
      <c r="R415" s="204"/>
      <c r="S415" s="204"/>
      <c r="T415" s="204"/>
      <c r="U415" s="204"/>
      <c r="V415" s="204"/>
      <c r="W415" s="204"/>
      <c r="X415" s="204"/>
      <c r="Y415" s="204"/>
      <c r="Z415" s="204"/>
      <c r="AA415" s="204"/>
      <c r="AB415" s="204"/>
      <c r="AC415" s="204"/>
      <c r="AD415" s="204"/>
      <c r="AE415" s="204"/>
      <c r="AF415" s="204"/>
      <c r="AG415" s="204"/>
      <c r="AH415" s="204"/>
      <c r="AI415" s="204"/>
      <c r="AJ415" s="204"/>
      <c r="AK415" s="204"/>
      <c r="AL415" s="204"/>
      <c r="AM415" s="204"/>
      <c r="AN415" s="204"/>
      <c r="AO415" s="204"/>
      <c r="AP415" s="204"/>
      <c r="AQ415" s="204"/>
      <c r="AR415" s="204"/>
      <c r="AS415" s="204"/>
      <c r="AT415" s="204"/>
      <c r="AU415" s="206"/>
      <c r="AV415" s="202"/>
      <c r="AW415" s="202"/>
      <c r="AX415" s="202"/>
      <c r="AY415" s="202"/>
      <c r="AZ415" s="202"/>
      <c r="BA415" s="202"/>
      <c r="BB415" s="202"/>
      <c r="BC415" s="202"/>
      <c r="BD415" s="202"/>
      <c r="BE415" s="202"/>
      <c r="BF415" s="202"/>
      <c r="BG415" s="202"/>
    </row>
    <row r="416" spans="2:59" ht="15">
      <c r="B416" s="204" t="s">
        <v>497</v>
      </c>
      <c r="C416" s="204" t="s">
        <v>497</v>
      </c>
      <c r="D416" s="204" t="s">
        <v>497</v>
      </c>
      <c r="E416" s="204" t="s">
        <v>497</v>
      </c>
      <c r="F416" s="204" t="s">
        <v>497</v>
      </c>
      <c r="G416" s="204" t="s">
        <v>497</v>
      </c>
      <c r="H416" s="204" t="s">
        <v>497</v>
      </c>
      <c r="I416" s="204" t="s">
        <v>497</v>
      </c>
      <c r="J416" s="205" t="s">
        <v>497</v>
      </c>
      <c r="K416" s="205" t="s">
        <v>497</v>
      </c>
      <c r="L416" s="204" t="s">
        <v>497</v>
      </c>
      <c r="M416" s="204" t="s">
        <v>497</v>
      </c>
      <c r="N416" s="204"/>
      <c r="O416" s="204"/>
      <c r="P416" s="204"/>
      <c r="Q416" s="204"/>
      <c r="R416" s="204"/>
      <c r="S416" s="204"/>
      <c r="T416" s="204"/>
      <c r="U416" s="204"/>
      <c r="V416" s="204"/>
      <c r="W416" s="204"/>
      <c r="X416" s="204"/>
      <c r="Y416" s="204"/>
      <c r="Z416" s="204"/>
      <c r="AA416" s="204"/>
      <c r="AB416" s="204"/>
      <c r="AC416" s="204"/>
      <c r="AD416" s="204"/>
      <c r="AE416" s="204"/>
      <c r="AF416" s="204"/>
      <c r="AG416" s="204"/>
      <c r="AH416" s="204"/>
      <c r="AI416" s="204"/>
      <c r="AJ416" s="204"/>
      <c r="AK416" s="204"/>
      <c r="AL416" s="204"/>
      <c r="AM416" s="204"/>
      <c r="AN416" s="204"/>
      <c r="AO416" s="204"/>
      <c r="AP416" s="204"/>
      <c r="AQ416" s="204"/>
      <c r="AR416" s="204"/>
      <c r="AS416" s="204"/>
      <c r="AT416" s="204"/>
      <c r="AU416" s="206"/>
      <c r="AV416" s="202"/>
      <c r="AW416" s="202"/>
      <c r="AX416" s="202"/>
      <c r="AY416" s="202"/>
      <c r="AZ416" s="202"/>
      <c r="BA416" s="202"/>
      <c r="BB416" s="202"/>
      <c r="BC416" s="202"/>
      <c r="BD416" s="202"/>
      <c r="BE416" s="202"/>
      <c r="BF416" s="202"/>
      <c r="BG416" s="202"/>
    </row>
    <row r="417" spans="2:59" ht="15">
      <c r="B417" s="204" t="s">
        <v>497</v>
      </c>
      <c r="C417" s="204" t="s">
        <v>497</v>
      </c>
      <c r="D417" s="204" t="s">
        <v>497</v>
      </c>
      <c r="E417" s="204" t="s">
        <v>497</v>
      </c>
      <c r="F417" s="204" t="s">
        <v>497</v>
      </c>
      <c r="G417" s="204" t="s">
        <v>497</v>
      </c>
      <c r="H417" s="204" t="s">
        <v>497</v>
      </c>
      <c r="I417" s="204" t="s">
        <v>497</v>
      </c>
      <c r="J417" s="205" t="s">
        <v>497</v>
      </c>
      <c r="K417" s="205" t="s">
        <v>497</v>
      </c>
      <c r="L417" s="204" t="s">
        <v>497</v>
      </c>
      <c r="M417" s="204" t="s">
        <v>497</v>
      </c>
      <c r="N417" s="204"/>
      <c r="O417" s="204"/>
      <c r="P417" s="204"/>
      <c r="Q417" s="204"/>
      <c r="R417" s="204"/>
      <c r="S417" s="204"/>
      <c r="T417" s="204"/>
      <c r="U417" s="204"/>
      <c r="V417" s="204"/>
      <c r="W417" s="204"/>
      <c r="X417" s="204"/>
      <c r="Y417" s="204"/>
      <c r="Z417" s="204"/>
      <c r="AA417" s="204"/>
      <c r="AB417" s="204"/>
      <c r="AC417" s="204"/>
      <c r="AD417" s="204"/>
      <c r="AE417" s="204"/>
      <c r="AF417" s="204"/>
      <c r="AG417" s="204"/>
      <c r="AH417" s="204"/>
      <c r="AI417" s="204"/>
      <c r="AJ417" s="204"/>
      <c r="AK417" s="204"/>
      <c r="AL417" s="204"/>
      <c r="AM417" s="204"/>
      <c r="AN417" s="204"/>
      <c r="AO417" s="204"/>
      <c r="AP417" s="204"/>
      <c r="AQ417" s="204"/>
      <c r="AR417" s="204"/>
      <c r="AS417" s="204"/>
      <c r="AT417" s="204"/>
      <c r="AU417" s="206"/>
      <c r="AV417" s="202"/>
      <c r="AW417" s="202"/>
      <c r="AX417" s="202"/>
      <c r="AY417" s="202"/>
      <c r="AZ417" s="202"/>
      <c r="BA417" s="202"/>
      <c r="BB417" s="202"/>
      <c r="BC417" s="202"/>
      <c r="BD417" s="202"/>
      <c r="BE417" s="202"/>
      <c r="BF417" s="202"/>
      <c r="BG417" s="202"/>
    </row>
    <row r="418" spans="2:59" ht="15">
      <c r="B418" s="204" t="s">
        <v>497</v>
      </c>
      <c r="C418" s="204" t="s">
        <v>497</v>
      </c>
      <c r="D418" s="204" t="s">
        <v>497</v>
      </c>
      <c r="E418" s="204" t="s">
        <v>497</v>
      </c>
      <c r="F418" s="204" t="s">
        <v>497</v>
      </c>
      <c r="G418" s="204" t="s">
        <v>497</v>
      </c>
      <c r="H418" s="204" t="s">
        <v>497</v>
      </c>
      <c r="I418" s="204" t="s">
        <v>497</v>
      </c>
      <c r="J418" s="205" t="s">
        <v>497</v>
      </c>
      <c r="K418" s="205" t="s">
        <v>497</v>
      </c>
      <c r="L418" s="204" t="s">
        <v>497</v>
      </c>
      <c r="M418" s="204" t="s">
        <v>497</v>
      </c>
      <c r="N418" s="204"/>
      <c r="O418" s="204"/>
      <c r="P418" s="204"/>
      <c r="Q418" s="204"/>
      <c r="R418" s="204"/>
      <c r="S418" s="204"/>
      <c r="T418" s="204"/>
      <c r="U418" s="204"/>
      <c r="V418" s="204"/>
      <c r="W418" s="204"/>
      <c r="X418" s="204"/>
      <c r="Y418" s="204"/>
      <c r="Z418" s="204"/>
      <c r="AA418" s="204"/>
      <c r="AB418" s="204"/>
      <c r="AC418" s="204"/>
      <c r="AD418" s="204"/>
      <c r="AE418" s="204"/>
      <c r="AF418" s="204"/>
      <c r="AG418" s="204"/>
      <c r="AH418" s="204"/>
      <c r="AI418" s="204"/>
      <c r="AJ418" s="204"/>
      <c r="AK418" s="204"/>
      <c r="AL418" s="204"/>
      <c r="AM418" s="204"/>
      <c r="AN418" s="204"/>
      <c r="AO418" s="204"/>
      <c r="AP418" s="204"/>
      <c r="AQ418" s="204"/>
      <c r="AR418" s="204"/>
      <c r="AS418" s="204"/>
      <c r="AT418" s="204"/>
      <c r="AU418" s="206"/>
      <c r="AV418" s="202"/>
      <c r="AW418" s="202"/>
      <c r="AX418" s="202"/>
      <c r="AY418" s="202"/>
      <c r="AZ418" s="202"/>
      <c r="BA418" s="202"/>
      <c r="BB418" s="202"/>
      <c r="BC418" s="202"/>
      <c r="BD418" s="202"/>
      <c r="BE418" s="202"/>
      <c r="BF418" s="202"/>
      <c r="BG418" s="202"/>
    </row>
    <row r="419" spans="2:59" ht="15">
      <c r="B419" s="204" t="s">
        <v>497</v>
      </c>
      <c r="C419" s="204" t="s">
        <v>497</v>
      </c>
      <c r="D419" s="204" t="s">
        <v>497</v>
      </c>
      <c r="E419" s="204" t="s">
        <v>497</v>
      </c>
      <c r="F419" s="204" t="s">
        <v>497</v>
      </c>
      <c r="G419" s="204" t="s">
        <v>497</v>
      </c>
      <c r="H419" s="204" t="s">
        <v>497</v>
      </c>
      <c r="I419" s="204" t="s">
        <v>497</v>
      </c>
      <c r="J419" s="205" t="s">
        <v>497</v>
      </c>
      <c r="K419" s="205" t="s">
        <v>497</v>
      </c>
      <c r="L419" s="204" t="s">
        <v>497</v>
      </c>
      <c r="M419" s="204" t="s">
        <v>497</v>
      </c>
      <c r="N419" s="204"/>
      <c r="O419" s="204"/>
      <c r="P419" s="204"/>
      <c r="Q419" s="204"/>
      <c r="R419" s="204"/>
      <c r="S419" s="204"/>
      <c r="T419" s="204"/>
      <c r="U419" s="204"/>
      <c r="V419" s="204"/>
      <c r="W419" s="204"/>
      <c r="X419" s="204"/>
      <c r="Y419" s="204"/>
      <c r="Z419" s="204"/>
      <c r="AA419" s="204"/>
      <c r="AB419" s="204"/>
      <c r="AC419" s="204"/>
      <c r="AD419" s="204"/>
      <c r="AE419" s="204"/>
      <c r="AF419" s="204"/>
      <c r="AG419" s="204"/>
      <c r="AH419" s="204"/>
      <c r="AI419" s="204"/>
      <c r="AJ419" s="204"/>
      <c r="AK419" s="204"/>
      <c r="AL419" s="204"/>
      <c r="AM419" s="204"/>
      <c r="AN419" s="204"/>
      <c r="AO419" s="204"/>
      <c r="AP419" s="204"/>
      <c r="AQ419" s="204"/>
      <c r="AR419" s="204"/>
      <c r="AS419" s="204"/>
      <c r="AT419" s="204"/>
      <c r="AU419" s="206"/>
      <c r="AV419" s="202"/>
      <c r="AW419" s="202"/>
      <c r="AX419" s="202"/>
      <c r="AY419" s="202"/>
      <c r="AZ419" s="202"/>
      <c r="BA419" s="202"/>
      <c r="BB419" s="202"/>
      <c r="BC419" s="202"/>
      <c r="BD419" s="202"/>
      <c r="BE419" s="202"/>
      <c r="BF419" s="202"/>
      <c r="BG419" s="202"/>
    </row>
    <row r="420" spans="2:59" ht="15">
      <c r="B420" s="204" t="s">
        <v>497</v>
      </c>
      <c r="C420" s="204" t="s">
        <v>497</v>
      </c>
      <c r="D420" s="204" t="s">
        <v>497</v>
      </c>
      <c r="E420" s="204" t="s">
        <v>497</v>
      </c>
      <c r="F420" s="204" t="s">
        <v>497</v>
      </c>
      <c r="G420" s="204" t="s">
        <v>497</v>
      </c>
      <c r="H420" s="204" t="s">
        <v>497</v>
      </c>
      <c r="I420" s="204" t="s">
        <v>497</v>
      </c>
      <c r="J420" s="205" t="s">
        <v>497</v>
      </c>
      <c r="K420" s="205" t="s">
        <v>497</v>
      </c>
      <c r="L420" s="204" t="s">
        <v>497</v>
      </c>
      <c r="M420" s="204" t="s">
        <v>497</v>
      </c>
      <c r="N420" s="204"/>
      <c r="O420" s="204"/>
      <c r="P420" s="204"/>
      <c r="Q420" s="204"/>
      <c r="R420" s="204"/>
      <c r="S420" s="204"/>
      <c r="T420" s="204"/>
      <c r="U420" s="204"/>
      <c r="V420" s="204"/>
      <c r="W420" s="204"/>
      <c r="X420" s="204"/>
      <c r="Y420" s="204"/>
      <c r="Z420" s="204"/>
      <c r="AA420" s="204"/>
      <c r="AB420" s="204"/>
      <c r="AC420" s="204"/>
      <c r="AD420" s="204"/>
      <c r="AE420" s="204"/>
      <c r="AF420" s="204"/>
      <c r="AG420" s="204"/>
      <c r="AH420" s="204"/>
      <c r="AI420" s="204"/>
      <c r="AJ420" s="204"/>
      <c r="AK420" s="204"/>
      <c r="AL420" s="204"/>
      <c r="AM420" s="204"/>
      <c r="AN420" s="204"/>
      <c r="AO420" s="204"/>
      <c r="AP420" s="204"/>
      <c r="AQ420" s="204"/>
      <c r="AR420" s="204"/>
      <c r="AS420" s="204"/>
      <c r="AT420" s="204"/>
      <c r="AU420" s="206"/>
      <c r="AV420" s="202"/>
      <c r="AW420" s="202"/>
      <c r="AX420" s="202"/>
      <c r="AY420" s="202"/>
      <c r="AZ420" s="202"/>
      <c r="BA420" s="202"/>
      <c r="BB420" s="202"/>
      <c r="BC420" s="202"/>
      <c r="BD420" s="202"/>
      <c r="BE420" s="202"/>
      <c r="BF420" s="202"/>
      <c r="BG420" s="202"/>
    </row>
    <row r="421" spans="2:59" ht="15">
      <c r="B421" s="204" t="s">
        <v>497</v>
      </c>
      <c r="C421" s="204" t="s">
        <v>497</v>
      </c>
      <c r="D421" s="204" t="s">
        <v>497</v>
      </c>
      <c r="E421" s="204" t="s">
        <v>497</v>
      </c>
      <c r="F421" s="204" t="s">
        <v>497</v>
      </c>
      <c r="G421" s="204" t="s">
        <v>497</v>
      </c>
      <c r="H421" s="204" t="s">
        <v>497</v>
      </c>
      <c r="I421" s="204" t="s">
        <v>497</v>
      </c>
      <c r="J421" s="205" t="s">
        <v>497</v>
      </c>
      <c r="K421" s="205" t="s">
        <v>497</v>
      </c>
      <c r="L421" s="204" t="s">
        <v>497</v>
      </c>
      <c r="M421" s="204" t="s">
        <v>497</v>
      </c>
      <c r="N421" s="204"/>
      <c r="O421" s="204"/>
      <c r="P421" s="204"/>
      <c r="Q421" s="204"/>
      <c r="R421" s="204"/>
      <c r="S421" s="204"/>
      <c r="T421" s="204"/>
      <c r="U421" s="204"/>
      <c r="V421" s="204"/>
      <c r="W421" s="204"/>
      <c r="X421" s="204"/>
      <c r="Y421" s="204"/>
      <c r="Z421" s="204"/>
      <c r="AA421" s="204"/>
      <c r="AB421" s="204"/>
      <c r="AC421" s="204"/>
      <c r="AD421" s="204"/>
      <c r="AE421" s="204"/>
      <c r="AF421" s="204"/>
      <c r="AG421" s="204"/>
      <c r="AH421" s="204"/>
      <c r="AI421" s="204"/>
      <c r="AJ421" s="204"/>
      <c r="AK421" s="204"/>
      <c r="AL421" s="204"/>
      <c r="AM421" s="204"/>
      <c r="AN421" s="204"/>
      <c r="AO421" s="204"/>
      <c r="AP421" s="204"/>
      <c r="AQ421" s="204"/>
      <c r="AR421" s="204"/>
      <c r="AS421" s="204"/>
      <c r="AT421" s="204"/>
      <c r="AU421" s="206"/>
      <c r="AV421" s="202"/>
      <c r="AW421" s="202"/>
      <c r="AX421" s="202"/>
      <c r="AY421" s="202"/>
      <c r="AZ421" s="202"/>
      <c r="BA421" s="202"/>
      <c r="BB421" s="202"/>
      <c r="BC421" s="202"/>
      <c r="BD421" s="202"/>
      <c r="BE421" s="202"/>
      <c r="BF421" s="202"/>
      <c r="BG421" s="202"/>
    </row>
    <row r="422" spans="2:59" ht="15">
      <c r="B422" s="204" t="s">
        <v>497</v>
      </c>
      <c r="C422" s="204" t="s">
        <v>497</v>
      </c>
      <c r="D422" s="204" t="s">
        <v>497</v>
      </c>
      <c r="E422" s="204" t="s">
        <v>497</v>
      </c>
      <c r="F422" s="204" t="s">
        <v>497</v>
      </c>
      <c r="G422" s="204" t="s">
        <v>497</v>
      </c>
      <c r="H422" s="204" t="s">
        <v>497</v>
      </c>
      <c r="I422" s="204" t="s">
        <v>497</v>
      </c>
      <c r="J422" s="205" t="s">
        <v>497</v>
      </c>
      <c r="K422" s="205" t="s">
        <v>497</v>
      </c>
      <c r="L422" s="204" t="s">
        <v>497</v>
      </c>
      <c r="M422" s="204" t="s">
        <v>497</v>
      </c>
      <c r="N422" s="204"/>
      <c r="O422" s="204"/>
      <c r="P422" s="204"/>
      <c r="Q422" s="204"/>
      <c r="R422" s="204"/>
      <c r="S422" s="204"/>
      <c r="T422" s="204"/>
      <c r="U422" s="204"/>
      <c r="V422" s="204"/>
      <c r="W422" s="204"/>
      <c r="X422" s="204"/>
      <c r="Y422" s="204"/>
      <c r="Z422" s="204"/>
      <c r="AA422" s="204"/>
      <c r="AB422" s="204"/>
      <c r="AC422" s="204"/>
      <c r="AD422" s="204"/>
      <c r="AE422" s="204"/>
      <c r="AF422" s="204"/>
      <c r="AG422" s="204"/>
      <c r="AH422" s="204"/>
      <c r="AI422" s="204"/>
      <c r="AJ422" s="204"/>
      <c r="AK422" s="204"/>
      <c r="AL422" s="204"/>
      <c r="AM422" s="204"/>
      <c r="AN422" s="204"/>
      <c r="AO422" s="204"/>
      <c r="AP422" s="204"/>
      <c r="AQ422" s="204"/>
      <c r="AR422" s="204"/>
      <c r="AS422" s="204"/>
      <c r="AT422" s="204"/>
      <c r="AU422" s="206"/>
      <c r="AV422" s="202"/>
      <c r="AW422" s="202"/>
      <c r="AX422" s="202"/>
      <c r="AY422" s="202"/>
      <c r="AZ422" s="202"/>
      <c r="BA422" s="202"/>
      <c r="BB422" s="202"/>
      <c r="BC422" s="202"/>
      <c r="BD422" s="202"/>
      <c r="BE422" s="202"/>
      <c r="BF422" s="202"/>
      <c r="BG422" s="202"/>
    </row>
    <row r="423" spans="2:59" ht="15">
      <c r="B423" s="204" t="s">
        <v>497</v>
      </c>
      <c r="C423" s="204" t="s">
        <v>497</v>
      </c>
      <c r="D423" s="204" t="s">
        <v>497</v>
      </c>
      <c r="E423" s="204" t="s">
        <v>497</v>
      </c>
      <c r="F423" s="204" t="s">
        <v>497</v>
      </c>
      <c r="G423" s="204" t="s">
        <v>497</v>
      </c>
      <c r="H423" s="204" t="s">
        <v>497</v>
      </c>
      <c r="I423" s="204" t="s">
        <v>497</v>
      </c>
      <c r="J423" s="205" t="s">
        <v>497</v>
      </c>
      <c r="K423" s="205" t="s">
        <v>497</v>
      </c>
      <c r="L423" s="204" t="s">
        <v>497</v>
      </c>
      <c r="M423" s="204" t="s">
        <v>497</v>
      </c>
      <c r="N423" s="204"/>
      <c r="O423" s="204"/>
      <c r="P423" s="204"/>
      <c r="Q423" s="204"/>
      <c r="R423" s="204"/>
      <c r="S423" s="204"/>
      <c r="T423" s="204"/>
      <c r="U423" s="204"/>
      <c r="V423" s="204"/>
      <c r="W423" s="204"/>
      <c r="X423" s="204"/>
      <c r="Y423" s="204"/>
      <c r="Z423" s="204"/>
      <c r="AA423" s="204"/>
      <c r="AB423" s="204"/>
      <c r="AC423" s="204"/>
      <c r="AD423" s="204"/>
      <c r="AE423" s="204"/>
      <c r="AF423" s="204"/>
      <c r="AG423" s="204"/>
      <c r="AH423" s="204"/>
      <c r="AI423" s="204"/>
      <c r="AJ423" s="204"/>
      <c r="AK423" s="204"/>
      <c r="AL423" s="204"/>
      <c r="AM423" s="204"/>
      <c r="AN423" s="204"/>
      <c r="AO423" s="204"/>
      <c r="AP423" s="204"/>
      <c r="AQ423" s="204"/>
      <c r="AR423" s="204"/>
      <c r="AS423" s="204"/>
      <c r="AT423" s="204"/>
      <c r="AU423" s="206"/>
      <c r="AV423" s="202"/>
      <c r="AW423" s="202"/>
      <c r="AX423" s="202"/>
      <c r="AY423" s="202"/>
      <c r="AZ423" s="202"/>
      <c r="BA423" s="202"/>
      <c r="BB423" s="202"/>
      <c r="BC423" s="202"/>
      <c r="BD423" s="202"/>
      <c r="BE423" s="202"/>
      <c r="BF423" s="202"/>
      <c r="BG423" s="202"/>
    </row>
    <row r="424" spans="2:59" ht="15">
      <c r="B424" s="204" t="s">
        <v>497</v>
      </c>
      <c r="C424" s="204" t="s">
        <v>497</v>
      </c>
      <c r="D424" s="204" t="s">
        <v>497</v>
      </c>
      <c r="E424" s="204" t="s">
        <v>497</v>
      </c>
      <c r="F424" s="204" t="s">
        <v>497</v>
      </c>
      <c r="G424" s="204" t="s">
        <v>497</v>
      </c>
      <c r="H424" s="204" t="s">
        <v>497</v>
      </c>
      <c r="I424" s="204" t="s">
        <v>497</v>
      </c>
      <c r="J424" s="205" t="s">
        <v>497</v>
      </c>
      <c r="K424" s="205" t="s">
        <v>497</v>
      </c>
      <c r="L424" s="204" t="s">
        <v>497</v>
      </c>
      <c r="M424" s="204" t="s">
        <v>497</v>
      </c>
      <c r="N424" s="204"/>
      <c r="O424" s="204"/>
      <c r="P424" s="204"/>
      <c r="Q424" s="204"/>
      <c r="R424" s="204"/>
      <c r="S424" s="204"/>
      <c r="T424" s="204"/>
      <c r="U424" s="204"/>
      <c r="V424" s="204"/>
      <c r="W424" s="204"/>
      <c r="X424" s="204"/>
      <c r="Y424" s="204"/>
      <c r="Z424" s="204"/>
      <c r="AA424" s="204"/>
      <c r="AB424" s="204"/>
      <c r="AC424" s="204"/>
      <c r="AD424" s="204"/>
      <c r="AE424" s="204"/>
      <c r="AF424" s="204"/>
      <c r="AG424" s="204"/>
      <c r="AH424" s="204"/>
      <c r="AI424" s="204"/>
      <c r="AJ424" s="204"/>
      <c r="AK424" s="204"/>
      <c r="AL424" s="204"/>
      <c r="AM424" s="204"/>
      <c r="AN424" s="204"/>
      <c r="AO424" s="204"/>
      <c r="AP424" s="204"/>
      <c r="AQ424" s="204"/>
      <c r="AR424" s="204"/>
      <c r="AS424" s="204"/>
      <c r="AT424" s="204"/>
      <c r="AU424" s="206"/>
      <c r="AV424" s="202"/>
      <c r="AW424" s="202"/>
      <c r="AX424" s="202"/>
      <c r="AY424" s="202"/>
      <c r="AZ424" s="202"/>
      <c r="BA424" s="202"/>
      <c r="BB424" s="202"/>
      <c r="BC424" s="202"/>
      <c r="BD424" s="202"/>
      <c r="BE424" s="202"/>
      <c r="BF424" s="202"/>
      <c r="BG424" s="202"/>
    </row>
    <row r="425" spans="2:59" ht="15">
      <c r="B425" s="204" t="s">
        <v>497</v>
      </c>
      <c r="C425" s="204" t="s">
        <v>497</v>
      </c>
      <c r="D425" s="204" t="s">
        <v>497</v>
      </c>
      <c r="E425" s="204" t="s">
        <v>497</v>
      </c>
      <c r="F425" s="204" t="s">
        <v>497</v>
      </c>
      <c r="G425" s="204" t="s">
        <v>497</v>
      </c>
      <c r="H425" s="204" t="s">
        <v>497</v>
      </c>
      <c r="I425" s="204" t="s">
        <v>497</v>
      </c>
      <c r="J425" s="205" t="s">
        <v>497</v>
      </c>
      <c r="K425" s="205" t="s">
        <v>497</v>
      </c>
      <c r="L425" s="204" t="s">
        <v>497</v>
      </c>
      <c r="M425" s="204" t="s">
        <v>497</v>
      </c>
      <c r="N425" s="204"/>
      <c r="O425" s="204"/>
      <c r="P425" s="204"/>
      <c r="Q425" s="204"/>
      <c r="R425" s="204"/>
      <c r="S425" s="204"/>
      <c r="T425" s="204"/>
      <c r="U425" s="204"/>
      <c r="V425" s="204"/>
      <c r="W425" s="204"/>
      <c r="X425" s="204"/>
      <c r="Y425" s="204"/>
      <c r="Z425" s="204"/>
      <c r="AA425" s="204"/>
      <c r="AB425" s="204"/>
      <c r="AC425" s="204"/>
      <c r="AD425" s="204"/>
      <c r="AE425" s="204"/>
      <c r="AF425" s="204"/>
      <c r="AG425" s="204"/>
      <c r="AH425" s="204"/>
      <c r="AI425" s="204"/>
      <c r="AJ425" s="204"/>
      <c r="AK425" s="204"/>
      <c r="AL425" s="204"/>
      <c r="AM425" s="204"/>
      <c r="AN425" s="204"/>
      <c r="AO425" s="204"/>
      <c r="AP425" s="204"/>
      <c r="AQ425" s="204"/>
      <c r="AR425" s="204"/>
      <c r="AS425" s="204"/>
      <c r="AT425" s="204"/>
      <c r="AU425" s="206"/>
      <c r="AV425" s="202"/>
      <c r="AW425" s="202"/>
      <c r="AX425" s="202"/>
      <c r="AY425" s="202"/>
      <c r="AZ425" s="202"/>
      <c r="BA425" s="202"/>
      <c r="BB425" s="202"/>
      <c r="BC425" s="202"/>
      <c r="BD425" s="202"/>
      <c r="BE425" s="202"/>
      <c r="BF425" s="202"/>
      <c r="BG425" s="202"/>
    </row>
    <row r="426" spans="2:59" ht="15">
      <c r="B426" s="204" t="s">
        <v>497</v>
      </c>
      <c r="C426" s="204" t="s">
        <v>497</v>
      </c>
      <c r="D426" s="204" t="s">
        <v>497</v>
      </c>
      <c r="E426" s="204" t="s">
        <v>497</v>
      </c>
      <c r="F426" s="204" t="s">
        <v>497</v>
      </c>
      <c r="G426" s="204" t="s">
        <v>497</v>
      </c>
      <c r="H426" s="204" t="s">
        <v>497</v>
      </c>
      <c r="I426" s="204" t="s">
        <v>497</v>
      </c>
      <c r="J426" s="205" t="s">
        <v>497</v>
      </c>
      <c r="K426" s="205" t="s">
        <v>497</v>
      </c>
      <c r="L426" s="204" t="s">
        <v>497</v>
      </c>
      <c r="M426" s="204" t="s">
        <v>497</v>
      </c>
      <c r="N426" s="204"/>
      <c r="O426" s="204"/>
      <c r="P426" s="204"/>
      <c r="Q426" s="204"/>
      <c r="R426" s="204"/>
      <c r="S426" s="204"/>
      <c r="T426" s="204"/>
      <c r="U426" s="204"/>
      <c r="V426" s="204"/>
      <c r="W426" s="204"/>
      <c r="X426" s="204"/>
      <c r="Y426" s="204"/>
      <c r="Z426" s="204"/>
      <c r="AA426" s="204"/>
      <c r="AB426" s="204"/>
      <c r="AC426" s="204"/>
      <c r="AD426" s="204"/>
      <c r="AE426" s="204"/>
      <c r="AF426" s="204"/>
      <c r="AG426" s="204"/>
      <c r="AH426" s="204"/>
      <c r="AI426" s="204"/>
      <c r="AJ426" s="204"/>
      <c r="AK426" s="204"/>
      <c r="AL426" s="204"/>
      <c r="AM426" s="204"/>
      <c r="AN426" s="204"/>
      <c r="AO426" s="204"/>
      <c r="AP426" s="204"/>
      <c r="AQ426" s="204"/>
      <c r="AR426" s="204"/>
      <c r="AS426" s="204"/>
      <c r="AT426" s="204"/>
      <c r="AU426" s="206"/>
      <c r="AV426" s="202"/>
      <c r="AW426" s="202"/>
      <c r="AX426" s="202"/>
      <c r="AY426" s="202"/>
      <c r="AZ426" s="202"/>
      <c r="BA426" s="202"/>
      <c r="BB426" s="202"/>
      <c r="BC426" s="202"/>
      <c r="BD426" s="202"/>
      <c r="BE426" s="202"/>
      <c r="BF426" s="202"/>
      <c r="BG426" s="202"/>
    </row>
    <row r="427" spans="2:59" ht="15">
      <c r="B427" s="204" t="s">
        <v>497</v>
      </c>
      <c r="C427" s="204" t="s">
        <v>497</v>
      </c>
      <c r="D427" s="204" t="s">
        <v>497</v>
      </c>
      <c r="E427" s="204" t="s">
        <v>497</v>
      </c>
      <c r="F427" s="204" t="s">
        <v>497</v>
      </c>
      <c r="G427" s="204" t="s">
        <v>497</v>
      </c>
      <c r="H427" s="204" t="s">
        <v>497</v>
      </c>
      <c r="I427" s="204" t="s">
        <v>497</v>
      </c>
      <c r="J427" s="205" t="s">
        <v>497</v>
      </c>
      <c r="K427" s="205" t="s">
        <v>497</v>
      </c>
      <c r="L427" s="204" t="s">
        <v>497</v>
      </c>
      <c r="M427" s="204" t="s">
        <v>497</v>
      </c>
      <c r="N427" s="204"/>
      <c r="O427" s="204"/>
      <c r="P427" s="204"/>
      <c r="Q427" s="204"/>
      <c r="R427" s="204"/>
      <c r="S427" s="204"/>
      <c r="T427" s="204"/>
      <c r="U427" s="204"/>
      <c r="V427" s="204"/>
      <c r="W427" s="204"/>
      <c r="X427" s="204"/>
      <c r="Y427" s="204"/>
      <c r="Z427" s="204"/>
      <c r="AA427" s="204"/>
      <c r="AB427" s="204"/>
      <c r="AC427" s="204"/>
      <c r="AD427" s="204"/>
      <c r="AE427" s="204"/>
      <c r="AF427" s="204"/>
      <c r="AG427" s="204"/>
      <c r="AH427" s="204"/>
      <c r="AI427" s="204"/>
      <c r="AJ427" s="204"/>
      <c r="AK427" s="204"/>
      <c r="AL427" s="204"/>
      <c r="AM427" s="204"/>
      <c r="AN427" s="204"/>
      <c r="AO427" s="204"/>
      <c r="AP427" s="204"/>
      <c r="AQ427" s="204"/>
      <c r="AR427" s="204"/>
      <c r="AS427" s="204"/>
      <c r="AT427" s="204"/>
      <c r="AU427" s="206"/>
      <c r="AV427" s="202"/>
      <c r="AW427" s="202"/>
      <c r="AX427" s="202"/>
      <c r="AY427" s="202"/>
      <c r="AZ427" s="202"/>
      <c r="BA427" s="202"/>
      <c r="BB427" s="202"/>
      <c r="BC427" s="202"/>
      <c r="BD427" s="202"/>
      <c r="BE427" s="202"/>
      <c r="BF427" s="202"/>
      <c r="BG427" s="202"/>
    </row>
    <row r="428" spans="2:59" ht="15">
      <c r="B428" s="204" t="s">
        <v>497</v>
      </c>
      <c r="C428" s="204" t="s">
        <v>497</v>
      </c>
      <c r="D428" s="204" t="s">
        <v>497</v>
      </c>
      <c r="E428" s="204" t="s">
        <v>497</v>
      </c>
      <c r="F428" s="204" t="s">
        <v>497</v>
      </c>
      <c r="G428" s="204" t="s">
        <v>497</v>
      </c>
      <c r="H428" s="204" t="s">
        <v>497</v>
      </c>
      <c r="I428" s="204" t="s">
        <v>497</v>
      </c>
      <c r="J428" s="205" t="s">
        <v>497</v>
      </c>
      <c r="K428" s="205" t="s">
        <v>497</v>
      </c>
      <c r="L428" s="204" t="s">
        <v>497</v>
      </c>
      <c r="M428" s="204" t="s">
        <v>497</v>
      </c>
      <c r="N428" s="204"/>
      <c r="O428" s="204"/>
      <c r="P428" s="204"/>
      <c r="Q428" s="204"/>
      <c r="R428" s="204"/>
      <c r="S428" s="204"/>
      <c r="T428" s="204"/>
      <c r="U428" s="204"/>
      <c r="V428" s="204"/>
      <c r="W428" s="204"/>
      <c r="X428" s="204"/>
      <c r="Y428" s="204"/>
      <c r="Z428" s="204"/>
      <c r="AA428" s="204"/>
      <c r="AB428" s="204"/>
      <c r="AC428" s="204"/>
      <c r="AD428" s="204"/>
      <c r="AE428" s="204"/>
      <c r="AF428" s="204"/>
      <c r="AG428" s="204"/>
      <c r="AH428" s="204"/>
      <c r="AI428" s="204"/>
      <c r="AJ428" s="204"/>
      <c r="AK428" s="204"/>
      <c r="AL428" s="204"/>
      <c r="AM428" s="204"/>
      <c r="AN428" s="204"/>
      <c r="AO428" s="204"/>
      <c r="AP428" s="204"/>
      <c r="AQ428" s="204"/>
      <c r="AR428" s="204"/>
      <c r="AS428" s="204"/>
      <c r="AT428" s="204"/>
      <c r="AU428" s="206"/>
      <c r="AV428" s="202"/>
      <c r="AW428" s="202"/>
      <c r="AX428" s="202"/>
      <c r="AY428" s="202"/>
      <c r="AZ428" s="202"/>
      <c r="BA428" s="202"/>
      <c r="BB428" s="202"/>
      <c r="BC428" s="202"/>
      <c r="BD428" s="202"/>
      <c r="BE428" s="202"/>
      <c r="BF428" s="202"/>
      <c r="BG428" s="202"/>
    </row>
    <row r="429" spans="2:59" ht="15">
      <c r="B429" s="204" t="s">
        <v>497</v>
      </c>
      <c r="C429" s="204" t="s">
        <v>497</v>
      </c>
      <c r="D429" s="204" t="s">
        <v>497</v>
      </c>
      <c r="E429" s="204" t="s">
        <v>497</v>
      </c>
      <c r="F429" s="204" t="s">
        <v>497</v>
      </c>
      <c r="G429" s="204" t="s">
        <v>497</v>
      </c>
      <c r="H429" s="204" t="s">
        <v>497</v>
      </c>
      <c r="I429" s="204" t="s">
        <v>497</v>
      </c>
      <c r="J429" s="205" t="s">
        <v>497</v>
      </c>
      <c r="K429" s="205" t="s">
        <v>497</v>
      </c>
      <c r="L429" s="204" t="s">
        <v>497</v>
      </c>
      <c r="M429" s="204" t="s">
        <v>497</v>
      </c>
      <c r="N429" s="204"/>
      <c r="O429" s="204"/>
      <c r="P429" s="204"/>
      <c r="Q429" s="204"/>
      <c r="R429" s="204"/>
      <c r="S429" s="204"/>
      <c r="T429" s="204"/>
      <c r="U429" s="204"/>
      <c r="V429" s="204"/>
      <c r="W429" s="204"/>
      <c r="X429" s="204"/>
      <c r="Y429" s="204"/>
      <c r="Z429" s="204"/>
      <c r="AA429" s="204"/>
      <c r="AB429" s="204"/>
      <c r="AC429" s="204"/>
      <c r="AD429" s="204"/>
      <c r="AE429" s="204"/>
      <c r="AF429" s="204"/>
      <c r="AG429" s="204"/>
      <c r="AH429" s="204"/>
      <c r="AI429" s="204"/>
      <c r="AJ429" s="204"/>
      <c r="AK429" s="204"/>
      <c r="AL429" s="204"/>
      <c r="AM429" s="204"/>
      <c r="AN429" s="204"/>
      <c r="AO429" s="204"/>
      <c r="AP429" s="204"/>
      <c r="AQ429" s="204"/>
      <c r="AR429" s="204"/>
      <c r="AS429" s="204"/>
      <c r="AT429" s="204"/>
      <c r="AU429" s="206"/>
      <c r="AV429" s="202"/>
      <c r="AW429" s="202"/>
      <c r="AX429" s="202"/>
      <c r="AY429" s="202"/>
      <c r="AZ429" s="202"/>
      <c r="BA429" s="202"/>
      <c r="BB429" s="202"/>
      <c r="BC429" s="202"/>
      <c r="BD429" s="202"/>
      <c r="BE429" s="202"/>
      <c r="BF429" s="202"/>
      <c r="BG429" s="202"/>
    </row>
    <row r="430" spans="2:59" ht="15">
      <c r="B430" s="204" t="s">
        <v>497</v>
      </c>
      <c r="C430" s="204" t="s">
        <v>497</v>
      </c>
      <c r="D430" s="204" t="s">
        <v>497</v>
      </c>
      <c r="E430" s="204" t="s">
        <v>497</v>
      </c>
      <c r="F430" s="204" t="s">
        <v>497</v>
      </c>
      <c r="G430" s="204" t="s">
        <v>497</v>
      </c>
      <c r="H430" s="204" t="s">
        <v>497</v>
      </c>
      <c r="I430" s="204" t="s">
        <v>497</v>
      </c>
      <c r="J430" s="205" t="s">
        <v>497</v>
      </c>
      <c r="K430" s="205" t="s">
        <v>497</v>
      </c>
      <c r="L430" s="204" t="s">
        <v>497</v>
      </c>
      <c r="M430" s="204" t="s">
        <v>497</v>
      </c>
      <c r="N430" s="204"/>
      <c r="O430" s="204"/>
      <c r="P430" s="204"/>
      <c r="Q430" s="204"/>
      <c r="R430" s="204"/>
      <c r="S430" s="204"/>
      <c r="T430" s="204"/>
      <c r="U430" s="204"/>
      <c r="V430" s="204"/>
      <c r="W430" s="204"/>
      <c r="X430" s="204"/>
      <c r="Y430" s="204"/>
      <c r="Z430" s="204"/>
      <c r="AA430" s="204"/>
      <c r="AB430" s="204"/>
      <c r="AC430" s="204"/>
      <c r="AD430" s="204"/>
      <c r="AE430" s="204"/>
      <c r="AF430" s="204"/>
      <c r="AG430" s="204"/>
      <c r="AH430" s="204"/>
      <c r="AI430" s="204"/>
      <c r="AJ430" s="204"/>
      <c r="AK430" s="204"/>
      <c r="AL430" s="204"/>
      <c r="AM430" s="204"/>
      <c r="AN430" s="204"/>
      <c r="AO430" s="204"/>
      <c r="AP430" s="204"/>
      <c r="AQ430" s="204"/>
      <c r="AR430" s="204"/>
      <c r="AS430" s="204"/>
      <c r="AT430" s="204"/>
      <c r="AU430" s="206"/>
      <c r="AV430" s="202"/>
      <c r="AW430" s="202"/>
      <c r="AX430" s="202"/>
      <c r="AY430" s="202"/>
      <c r="AZ430" s="202"/>
      <c r="BA430" s="202"/>
      <c r="BB430" s="202"/>
      <c r="BC430" s="202"/>
      <c r="BD430" s="202"/>
      <c r="BE430" s="202"/>
      <c r="BF430" s="202"/>
      <c r="BG430" s="202"/>
    </row>
    <row r="431" spans="2:59" ht="15">
      <c r="B431" s="204" t="s">
        <v>497</v>
      </c>
      <c r="C431" s="204" t="s">
        <v>497</v>
      </c>
      <c r="D431" s="204" t="s">
        <v>497</v>
      </c>
      <c r="E431" s="204" t="s">
        <v>497</v>
      </c>
      <c r="F431" s="204" t="s">
        <v>497</v>
      </c>
      <c r="G431" s="204" t="s">
        <v>497</v>
      </c>
      <c r="H431" s="204" t="s">
        <v>497</v>
      </c>
      <c r="I431" s="204" t="s">
        <v>497</v>
      </c>
      <c r="J431" s="205" t="s">
        <v>497</v>
      </c>
      <c r="K431" s="205" t="s">
        <v>497</v>
      </c>
      <c r="L431" s="204" t="s">
        <v>497</v>
      </c>
      <c r="M431" s="204" t="s">
        <v>497</v>
      </c>
      <c r="N431" s="204"/>
      <c r="O431" s="204"/>
      <c r="P431" s="204"/>
      <c r="Q431" s="204"/>
      <c r="R431" s="204"/>
      <c r="S431" s="204"/>
      <c r="T431" s="204"/>
      <c r="U431" s="204"/>
      <c r="V431" s="204"/>
      <c r="W431" s="204"/>
      <c r="X431" s="204"/>
      <c r="Y431" s="204"/>
      <c r="Z431" s="204"/>
      <c r="AA431" s="204"/>
      <c r="AB431" s="204"/>
      <c r="AC431" s="204"/>
      <c r="AD431" s="204"/>
      <c r="AE431" s="204"/>
      <c r="AF431" s="204"/>
      <c r="AG431" s="204"/>
      <c r="AH431" s="204"/>
      <c r="AI431" s="204"/>
      <c r="AJ431" s="204"/>
      <c r="AK431" s="204"/>
      <c r="AL431" s="204"/>
      <c r="AM431" s="204"/>
      <c r="AN431" s="204"/>
      <c r="AO431" s="204"/>
      <c r="AP431" s="204"/>
      <c r="AQ431" s="204"/>
      <c r="AR431" s="204"/>
      <c r="AS431" s="204"/>
      <c r="AT431" s="204"/>
      <c r="AU431" s="206"/>
      <c r="AV431" s="202"/>
      <c r="AW431" s="202"/>
      <c r="AX431" s="202"/>
      <c r="AY431" s="202"/>
      <c r="AZ431" s="202"/>
      <c r="BA431" s="202"/>
      <c r="BB431" s="202"/>
      <c r="BC431" s="202"/>
      <c r="BD431" s="202"/>
      <c r="BE431" s="202"/>
      <c r="BF431" s="202"/>
      <c r="BG431" s="202"/>
    </row>
    <row r="432" spans="2:59" ht="15">
      <c r="B432" s="204" t="s">
        <v>497</v>
      </c>
      <c r="C432" s="204" t="s">
        <v>497</v>
      </c>
      <c r="D432" s="204" t="s">
        <v>497</v>
      </c>
      <c r="E432" s="204" t="s">
        <v>497</v>
      </c>
      <c r="F432" s="204" t="s">
        <v>497</v>
      </c>
      <c r="G432" s="204" t="s">
        <v>497</v>
      </c>
      <c r="H432" s="204" t="s">
        <v>497</v>
      </c>
      <c r="I432" s="204" t="s">
        <v>497</v>
      </c>
      <c r="J432" s="205" t="s">
        <v>497</v>
      </c>
      <c r="K432" s="205" t="s">
        <v>497</v>
      </c>
      <c r="L432" s="204" t="s">
        <v>497</v>
      </c>
      <c r="M432" s="204" t="s">
        <v>497</v>
      </c>
      <c r="N432" s="204"/>
      <c r="O432" s="204"/>
      <c r="P432" s="204"/>
      <c r="Q432" s="204"/>
      <c r="R432" s="204"/>
      <c r="S432" s="204"/>
      <c r="T432" s="204"/>
      <c r="U432" s="204"/>
      <c r="V432" s="204"/>
      <c r="W432" s="204"/>
      <c r="X432" s="204"/>
      <c r="Y432" s="204"/>
      <c r="Z432" s="204"/>
      <c r="AA432" s="204"/>
      <c r="AB432" s="204"/>
      <c r="AC432" s="204"/>
      <c r="AD432" s="204"/>
      <c r="AE432" s="204"/>
      <c r="AF432" s="204"/>
      <c r="AG432" s="204"/>
      <c r="AH432" s="204"/>
      <c r="AI432" s="204"/>
      <c r="AJ432" s="204"/>
      <c r="AK432" s="204"/>
      <c r="AL432" s="204"/>
      <c r="AM432" s="204"/>
      <c r="AN432" s="204"/>
      <c r="AO432" s="204"/>
      <c r="AP432" s="204"/>
      <c r="AQ432" s="204"/>
      <c r="AR432" s="204"/>
      <c r="AS432" s="204"/>
      <c r="AT432" s="204"/>
      <c r="AU432" s="206"/>
      <c r="AV432" s="202"/>
      <c r="AW432" s="202"/>
      <c r="AX432" s="202"/>
      <c r="AY432" s="202"/>
      <c r="AZ432" s="202"/>
      <c r="BA432" s="202"/>
      <c r="BB432" s="202"/>
      <c r="BC432" s="202"/>
      <c r="BD432" s="202"/>
      <c r="BE432" s="202"/>
      <c r="BF432" s="202"/>
      <c r="BG432" s="202"/>
    </row>
    <row r="433" spans="2:59" ht="15">
      <c r="B433" s="204" t="s">
        <v>497</v>
      </c>
      <c r="C433" s="204" t="s">
        <v>497</v>
      </c>
      <c r="D433" s="204" t="s">
        <v>497</v>
      </c>
      <c r="E433" s="204" t="s">
        <v>497</v>
      </c>
      <c r="F433" s="204" t="s">
        <v>497</v>
      </c>
      <c r="G433" s="204" t="s">
        <v>497</v>
      </c>
      <c r="H433" s="204" t="s">
        <v>497</v>
      </c>
      <c r="I433" s="204" t="s">
        <v>497</v>
      </c>
      <c r="J433" s="205" t="s">
        <v>497</v>
      </c>
      <c r="K433" s="205" t="s">
        <v>497</v>
      </c>
      <c r="L433" s="204" t="s">
        <v>497</v>
      </c>
      <c r="M433" s="204" t="s">
        <v>497</v>
      </c>
      <c r="N433" s="204"/>
      <c r="O433" s="204"/>
      <c r="P433" s="204"/>
      <c r="Q433" s="204"/>
      <c r="R433" s="204"/>
      <c r="S433" s="204"/>
      <c r="T433" s="204"/>
      <c r="U433" s="204"/>
      <c r="V433" s="204"/>
      <c r="W433" s="204"/>
      <c r="X433" s="204"/>
      <c r="Y433" s="204"/>
      <c r="Z433" s="204"/>
      <c r="AA433" s="204"/>
      <c r="AB433" s="204"/>
      <c r="AC433" s="204"/>
      <c r="AD433" s="204"/>
      <c r="AE433" s="204"/>
      <c r="AF433" s="204"/>
      <c r="AG433" s="204"/>
      <c r="AH433" s="204"/>
      <c r="AI433" s="204"/>
      <c r="AJ433" s="204"/>
      <c r="AK433" s="204"/>
      <c r="AL433" s="204"/>
      <c r="AM433" s="204"/>
      <c r="AN433" s="204"/>
      <c r="AO433" s="204"/>
      <c r="AP433" s="204"/>
      <c r="AQ433" s="204"/>
      <c r="AR433" s="204"/>
      <c r="AS433" s="204"/>
      <c r="AT433" s="204"/>
      <c r="AU433" s="206"/>
      <c r="AV433" s="202"/>
      <c r="AW433" s="202"/>
      <c r="AX433" s="202"/>
      <c r="AY433" s="202"/>
      <c r="AZ433" s="202"/>
      <c r="BA433" s="202"/>
      <c r="BB433" s="202"/>
      <c r="BC433" s="202"/>
      <c r="BD433" s="202"/>
      <c r="BE433" s="202"/>
      <c r="BF433" s="202"/>
      <c r="BG433" s="202"/>
    </row>
    <row r="434" spans="2:59" ht="15">
      <c r="B434" s="204" t="s">
        <v>497</v>
      </c>
      <c r="C434" s="204" t="s">
        <v>497</v>
      </c>
      <c r="D434" s="204" t="s">
        <v>497</v>
      </c>
      <c r="E434" s="204" t="s">
        <v>497</v>
      </c>
      <c r="F434" s="204" t="s">
        <v>497</v>
      </c>
      <c r="G434" s="204" t="s">
        <v>497</v>
      </c>
      <c r="H434" s="204" t="s">
        <v>497</v>
      </c>
      <c r="I434" s="204" t="s">
        <v>497</v>
      </c>
      <c r="J434" s="205" t="s">
        <v>497</v>
      </c>
      <c r="K434" s="205" t="s">
        <v>497</v>
      </c>
      <c r="L434" s="204" t="s">
        <v>497</v>
      </c>
      <c r="M434" s="204" t="s">
        <v>497</v>
      </c>
      <c r="N434" s="204"/>
      <c r="O434" s="204"/>
      <c r="P434" s="204"/>
      <c r="Q434" s="204"/>
      <c r="R434" s="204"/>
      <c r="S434" s="204"/>
      <c r="T434" s="204"/>
      <c r="U434" s="204"/>
      <c r="V434" s="204"/>
      <c r="W434" s="204"/>
      <c r="X434" s="204"/>
      <c r="Y434" s="204"/>
      <c r="Z434" s="204"/>
      <c r="AA434" s="204"/>
      <c r="AB434" s="204"/>
      <c r="AC434" s="204"/>
      <c r="AD434" s="204"/>
      <c r="AE434" s="204"/>
      <c r="AF434" s="204"/>
      <c r="AG434" s="204"/>
      <c r="AH434" s="204"/>
      <c r="AI434" s="204"/>
      <c r="AJ434" s="204"/>
      <c r="AK434" s="204"/>
      <c r="AL434" s="204"/>
      <c r="AM434" s="204"/>
      <c r="AN434" s="204"/>
      <c r="AO434" s="204"/>
      <c r="AP434" s="204"/>
      <c r="AQ434" s="204"/>
      <c r="AR434" s="204"/>
      <c r="AS434" s="204"/>
      <c r="AT434" s="204"/>
      <c r="AU434" s="206"/>
      <c r="AV434" s="202"/>
      <c r="AW434" s="202"/>
      <c r="AX434" s="202"/>
      <c r="AY434" s="202"/>
      <c r="AZ434" s="202"/>
      <c r="BA434" s="202"/>
      <c r="BB434" s="202"/>
      <c r="BC434" s="202"/>
      <c r="BD434" s="202"/>
      <c r="BE434" s="202"/>
      <c r="BF434" s="202"/>
      <c r="BG434" s="202"/>
    </row>
    <row r="435" spans="2:59" ht="15">
      <c r="B435" s="204" t="s">
        <v>497</v>
      </c>
      <c r="C435" s="204" t="s">
        <v>497</v>
      </c>
      <c r="D435" s="204" t="s">
        <v>497</v>
      </c>
      <c r="E435" s="204" t="s">
        <v>497</v>
      </c>
      <c r="F435" s="204" t="s">
        <v>497</v>
      </c>
      <c r="G435" s="204" t="s">
        <v>497</v>
      </c>
      <c r="H435" s="204" t="s">
        <v>497</v>
      </c>
      <c r="I435" s="204" t="s">
        <v>497</v>
      </c>
      <c r="J435" s="205" t="s">
        <v>497</v>
      </c>
      <c r="K435" s="205" t="s">
        <v>497</v>
      </c>
      <c r="L435" s="204" t="s">
        <v>497</v>
      </c>
      <c r="M435" s="204" t="s">
        <v>497</v>
      </c>
      <c r="N435" s="204"/>
      <c r="O435" s="204"/>
      <c r="P435" s="204"/>
      <c r="Q435" s="204"/>
      <c r="R435" s="204"/>
      <c r="S435" s="204"/>
      <c r="T435" s="204"/>
      <c r="U435" s="204"/>
      <c r="V435" s="204"/>
      <c r="W435" s="204"/>
      <c r="X435" s="204"/>
      <c r="Y435" s="204"/>
      <c r="Z435" s="204"/>
      <c r="AA435" s="204"/>
      <c r="AB435" s="204"/>
      <c r="AC435" s="204"/>
      <c r="AD435" s="204"/>
      <c r="AE435" s="204"/>
      <c r="AF435" s="204"/>
      <c r="AG435" s="204"/>
      <c r="AH435" s="204"/>
      <c r="AI435" s="204"/>
      <c r="AJ435" s="204"/>
      <c r="AK435" s="204"/>
      <c r="AL435" s="204"/>
      <c r="AM435" s="204"/>
      <c r="AN435" s="204"/>
      <c r="AO435" s="204"/>
      <c r="AP435" s="204"/>
      <c r="AQ435" s="204"/>
      <c r="AR435" s="204"/>
      <c r="AS435" s="204"/>
      <c r="AT435" s="204"/>
      <c r="AU435" s="206"/>
      <c r="AV435" s="202"/>
      <c r="AW435" s="202"/>
      <c r="AX435" s="202"/>
      <c r="AY435" s="202"/>
      <c r="AZ435" s="202"/>
      <c r="BA435" s="202"/>
      <c r="BB435" s="202"/>
      <c r="BC435" s="202"/>
      <c r="BD435" s="202"/>
      <c r="BE435" s="202"/>
      <c r="BF435" s="202"/>
      <c r="BG435" s="202"/>
    </row>
    <row r="436" spans="2:59" ht="15">
      <c r="B436" s="204" t="s">
        <v>497</v>
      </c>
      <c r="C436" s="204" t="s">
        <v>497</v>
      </c>
      <c r="D436" s="204" t="s">
        <v>497</v>
      </c>
      <c r="E436" s="204" t="s">
        <v>497</v>
      </c>
      <c r="F436" s="204" t="s">
        <v>497</v>
      </c>
      <c r="G436" s="204" t="s">
        <v>497</v>
      </c>
      <c r="H436" s="204" t="s">
        <v>497</v>
      </c>
      <c r="I436" s="204" t="s">
        <v>497</v>
      </c>
      <c r="J436" s="205" t="s">
        <v>497</v>
      </c>
      <c r="K436" s="205" t="s">
        <v>497</v>
      </c>
      <c r="L436" s="204" t="s">
        <v>497</v>
      </c>
      <c r="M436" s="204" t="s">
        <v>497</v>
      </c>
      <c r="N436" s="204"/>
      <c r="O436" s="204"/>
      <c r="P436" s="204"/>
      <c r="Q436" s="204"/>
      <c r="R436" s="204"/>
      <c r="S436" s="204"/>
      <c r="T436" s="204"/>
      <c r="U436" s="204"/>
      <c r="V436" s="204"/>
      <c r="W436" s="204"/>
      <c r="X436" s="204"/>
      <c r="Y436" s="204"/>
      <c r="Z436" s="204"/>
      <c r="AA436" s="204"/>
      <c r="AB436" s="204"/>
      <c r="AC436" s="204"/>
      <c r="AD436" s="204"/>
      <c r="AE436" s="204"/>
      <c r="AF436" s="204"/>
      <c r="AG436" s="204"/>
      <c r="AH436" s="204"/>
      <c r="AI436" s="204"/>
      <c r="AJ436" s="204"/>
      <c r="AK436" s="204"/>
      <c r="AL436" s="204"/>
      <c r="AM436" s="204"/>
      <c r="AN436" s="204"/>
      <c r="AO436" s="204"/>
      <c r="AP436" s="204"/>
      <c r="AQ436" s="204"/>
      <c r="AR436" s="204"/>
      <c r="AS436" s="204"/>
      <c r="AT436" s="204"/>
      <c r="AU436" s="206"/>
      <c r="AV436" s="202"/>
      <c r="AW436" s="202"/>
      <c r="AX436" s="202"/>
      <c r="AY436" s="202"/>
      <c r="AZ436" s="202"/>
      <c r="BA436" s="202"/>
      <c r="BB436" s="202"/>
      <c r="BC436" s="202"/>
      <c r="BD436" s="202"/>
      <c r="BE436" s="202"/>
      <c r="BF436" s="202"/>
      <c r="BG436" s="202"/>
    </row>
    <row r="437" spans="2:59" ht="15">
      <c r="B437" s="204" t="s">
        <v>497</v>
      </c>
      <c r="C437" s="204" t="s">
        <v>497</v>
      </c>
      <c r="D437" s="204" t="s">
        <v>497</v>
      </c>
      <c r="E437" s="204" t="s">
        <v>497</v>
      </c>
      <c r="F437" s="204" t="s">
        <v>497</v>
      </c>
      <c r="G437" s="204" t="s">
        <v>497</v>
      </c>
      <c r="H437" s="204" t="s">
        <v>497</v>
      </c>
      <c r="I437" s="204" t="s">
        <v>497</v>
      </c>
      <c r="J437" s="205" t="s">
        <v>497</v>
      </c>
      <c r="K437" s="205" t="s">
        <v>497</v>
      </c>
      <c r="L437" s="204" t="s">
        <v>497</v>
      </c>
      <c r="M437" s="204" t="s">
        <v>497</v>
      </c>
      <c r="N437" s="204"/>
      <c r="O437" s="204"/>
      <c r="P437" s="204"/>
      <c r="Q437" s="204"/>
      <c r="R437" s="204"/>
      <c r="S437" s="204"/>
      <c r="T437" s="204"/>
      <c r="U437" s="204"/>
      <c r="V437" s="204"/>
      <c r="W437" s="204"/>
      <c r="X437" s="204"/>
      <c r="Y437" s="204"/>
      <c r="Z437" s="204"/>
      <c r="AA437" s="204"/>
      <c r="AB437" s="204"/>
      <c r="AC437" s="204"/>
      <c r="AD437" s="204"/>
      <c r="AE437" s="204"/>
      <c r="AF437" s="204"/>
      <c r="AG437" s="204"/>
      <c r="AH437" s="204"/>
      <c r="AI437" s="204"/>
      <c r="AJ437" s="204"/>
      <c r="AK437" s="204"/>
      <c r="AL437" s="204"/>
      <c r="AM437" s="204"/>
      <c r="AN437" s="204"/>
      <c r="AO437" s="204"/>
      <c r="AP437" s="204"/>
      <c r="AQ437" s="204"/>
      <c r="AR437" s="204"/>
      <c r="AS437" s="204"/>
      <c r="AT437" s="204"/>
      <c r="AU437" s="206"/>
      <c r="AV437" s="202"/>
      <c r="AW437" s="202"/>
      <c r="AX437" s="202"/>
      <c r="AY437" s="202"/>
      <c r="AZ437" s="202"/>
      <c r="BA437" s="202"/>
      <c r="BB437" s="202"/>
      <c r="BC437" s="202"/>
      <c r="BD437" s="202"/>
      <c r="BE437" s="202"/>
      <c r="BF437" s="202"/>
      <c r="BG437" s="202"/>
    </row>
    <row r="438" spans="2:59" ht="15">
      <c r="B438" s="204" t="s">
        <v>497</v>
      </c>
      <c r="C438" s="204" t="s">
        <v>497</v>
      </c>
      <c r="D438" s="204" t="s">
        <v>497</v>
      </c>
      <c r="E438" s="204" t="s">
        <v>497</v>
      </c>
      <c r="F438" s="204" t="s">
        <v>497</v>
      </c>
      <c r="G438" s="204" t="s">
        <v>497</v>
      </c>
      <c r="H438" s="204" t="s">
        <v>497</v>
      </c>
      <c r="I438" s="204" t="s">
        <v>497</v>
      </c>
      <c r="J438" s="205" t="s">
        <v>497</v>
      </c>
      <c r="K438" s="205" t="s">
        <v>497</v>
      </c>
      <c r="L438" s="204" t="s">
        <v>497</v>
      </c>
      <c r="M438" s="204" t="s">
        <v>497</v>
      </c>
      <c r="N438" s="204"/>
      <c r="O438" s="204"/>
      <c r="P438" s="204"/>
      <c r="Q438" s="204"/>
      <c r="R438" s="204"/>
      <c r="S438" s="204"/>
      <c r="T438" s="204"/>
      <c r="U438" s="204"/>
      <c r="V438" s="204"/>
      <c r="W438" s="204"/>
      <c r="X438" s="204"/>
      <c r="Y438" s="204"/>
      <c r="Z438" s="204"/>
      <c r="AA438" s="204"/>
      <c r="AB438" s="204"/>
      <c r="AC438" s="204"/>
      <c r="AD438" s="204"/>
      <c r="AE438" s="204"/>
      <c r="AF438" s="204"/>
      <c r="AG438" s="204"/>
      <c r="AH438" s="204"/>
      <c r="AI438" s="204"/>
      <c r="AJ438" s="204"/>
      <c r="AK438" s="204"/>
      <c r="AL438" s="204"/>
      <c r="AM438" s="204"/>
      <c r="AN438" s="204"/>
      <c r="AO438" s="204"/>
      <c r="AP438" s="204"/>
      <c r="AQ438" s="204"/>
      <c r="AR438" s="204"/>
      <c r="AS438" s="204"/>
      <c r="AT438" s="204"/>
      <c r="AU438" s="206"/>
      <c r="AV438" s="202"/>
      <c r="AW438" s="202"/>
      <c r="AX438" s="202"/>
      <c r="AY438" s="202"/>
      <c r="AZ438" s="202"/>
      <c r="BA438" s="202"/>
      <c r="BB438" s="202"/>
      <c r="BC438" s="202"/>
      <c r="BD438" s="202"/>
      <c r="BE438" s="202"/>
      <c r="BF438" s="202"/>
      <c r="BG438" s="202"/>
    </row>
    <row r="439" spans="2:59" ht="15">
      <c r="B439" s="204" t="s">
        <v>497</v>
      </c>
      <c r="C439" s="204" t="s">
        <v>497</v>
      </c>
      <c r="D439" s="204" t="s">
        <v>497</v>
      </c>
      <c r="E439" s="204" t="s">
        <v>497</v>
      </c>
      <c r="F439" s="204" t="s">
        <v>497</v>
      </c>
      <c r="G439" s="204" t="s">
        <v>497</v>
      </c>
      <c r="H439" s="204" t="s">
        <v>497</v>
      </c>
      <c r="I439" s="204" t="s">
        <v>497</v>
      </c>
      <c r="J439" s="205" t="s">
        <v>497</v>
      </c>
      <c r="K439" s="205" t="s">
        <v>497</v>
      </c>
      <c r="L439" s="204" t="s">
        <v>497</v>
      </c>
      <c r="M439" s="204" t="s">
        <v>497</v>
      </c>
      <c r="N439" s="204"/>
      <c r="O439" s="204"/>
      <c r="P439" s="204"/>
      <c r="Q439" s="204"/>
      <c r="R439" s="204"/>
      <c r="S439" s="204"/>
      <c r="T439" s="204"/>
      <c r="U439" s="204"/>
      <c r="V439" s="204"/>
      <c r="W439" s="204"/>
      <c r="X439" s="204"/>
      <c r="Y439" s="204"/>
      <c r="Z439" s="204"/>
      <c r="AA439" s="204"/>
      <c r="AB439" s="204"/>
      <c r="AC439" s="204"/>
      <c r="AD439" s="204"/>
      <c r="AE439" s="204"/>
      <c r="AF439" s="204"/>
      <c r="AG439" s="204"/>
      <c r="AH439" s="204"/>
      <c r="AI439" s="204"/>
      <c r="AJ439" s="204"/>
      <c r="AK439" s="204"/>
      <c r="AL439" s="204"/>
      <c r="AM439" s="204"/>
      <c r="AN439" s="204"/>
      <c r="AO439" s="204"/>
      <c r="AP439" s="204"/>
      <c r="AQ439" s="204"/>
      <c r="AR439" s="204"/>
      <c r="AS439" s="204"/>
      <c r="AT439" s="204"/>
      <c r="AU439" s="206"/>
      <c r="AV439" s="202"/>
      <c r="AW439" s="202"/>
      <c r="AX439" s="202"/>
      <c r="AY439" s="202"/>
      <c r="AZ439" s="202"/>
      <c r="BA439" s="202"/>
      <c r="BB439" s="202"/>
      <c r="BC439" s="202"/>
      <c r="BD439" s="202"/>
      <c r="BE439" s="202"/>
      <c r="BF439" s="202"/>
      <c r="BG439" s="202"/>
    </row>
    <row r="440" spans="2:59" ht="15">
      <c r="B440" s="204" t="s">
        <v>497</v>
      </c>
      <c r="C440" s="204" t="s">
        <v>497</v>
      </c>
      <c r="D440" s="204" t="s">
        <v>497</v>
      </c>
      <c r="E440" s="204" t="s">
        <v>497</v>
      </c>
      <c r="F440" s="204" t="s">
        <v>497</v>
      </c>
      <c r="G440" s="204" t="s">
        <v>497</v>
      </c>
      <c r="H440" s="204" t="s">
        <v>497</v>
      </c>
      <c r="I440" s="204" t="s">
        <v>497</v>
      </c>
      <c r="J440" s="205" t="s">
        <v>497</v>
      </c>
      <c r="K440" s="205" t="s">
        <v>497</v>
      </c>
      <c r="L440" s="204" t="s">
        <v>497</v>
      </c>
      <c r="M440" s="204" t="s">
        <v>497</v>
      </c>
      <c r="N440" s="204"/>
      <c r="O440" s="204"/>
      <c r="P440" s="204"/>
      <c r="Q440" s="204"/>
      <c r="R440" s="204"/>
      <c r="S440" s="204"/>
      <c r="T440" s="204"/>
      <c r="U440" s="204"/>
      <c r="V440" s="204"/>
      <c r="W440" s="204"/>
      <c r="X440" s="204"/>
      <c r="Y440" s="204"/>
      <c r="Z440" s="204"/>
      <c r="AA440" s="204"/>
      <c r="AB440" s="204"/>
      <c r="AC440" s="204"/>
      <c r="AD440" s="204"/>
      <c r="AE440" s="204"/>
      <c r="AF440" s="204"/>
      <c r="AG440" s="204"/>
      <c r="AH440" s="204"/>
      <c r="AI440" s="204"/>
      <c r="AJ440" s="204"/>
      <c r="AK440" s="204"/>
      <c r="AL440" s="204"/>
      <c r="AM440" s="204"/>
      <c r="AN440" s="204"/>
      <c r="AO440" s="204"/>
      <c r="AP440" s="204"/>
      <c r="AQ440" s="204"/>
      <c r="AR440" s="204"/>
      <c r="AS440" s="204"/>
      <c r="AT440" s="204"/>
      <c r="AU440" s="206"/>
      <c r="AV440" s="202"/>
      <c r="AW440" s="202"/>
      <c r="AX440" s="202"/>
      <c r="AY440" s="202"/>
      <c r="AZ440" s="202"/>
      <c r="BA440" s="202"/>
      <c r="BB440" s="202"/>
      <c r="BC440" s="202"/>
      <c r="BD440" s="202"/>
      <c r="BE440" s="202"/>
      <c r="BF440" s="202"/>
      <c r="BG440" s="202"/>
    </row>
    <row r="441" spans="2:59" ht="15">
      <c r="B441" s="204" t="s">
        <v>497</v>
      </c>
      <c r="C441" s="204" t="s">
        <v>497</v>
      </c>
      <c r="D441" s="204" t="s">
        <v>497</v>
      </c>
      <c r="E441" s="204" t="s">
        <v>497</v>
      </c>
      <c r="F441" s="204" t="s">
        <v>497</v>
      </c>
      <c r="G441" s="204" t="s">
        <v>497</v>
      </c>
      <c r="H441" s="204" t="s">
        <v>497</v>
      </c>
      <c r="I441" s="204" t="s">
        <v>497</v>
      </c>
      <c r="J441" s="205" t="s">
        <v>497</v>
      </c>
      <c r="K441" s="205" t="s">
        <v>497</v>
      </c>
      <c r="L441" s="204" t="s">
        <v>497</v>
      </c>
      <c r="M441" s="204" t="s">
        <v>497</v>
      </c>
      <c r="N441" s="204"/>
      <c r="O441" s="204"/>
      <c r="P441" s="204"/>
      <c r="Q441" s="204"/>
      <c r="R441" s="204"/>
      <c r="S441" s="204"/>
      <c r="T441" s="204"/>
      <c r="U441" s="204"/>
      <c r="V441" s="204"/>
      <c r="W441" s="204"/>
      <c r="X441" s="204"/>
      <c r="Y441" s="204"/>
      <c r="Z441" s="204"/>
      <c r="AA441" s="204"/>
      <c r="AB441" s="204"/>
      <c r="AC441" s="204"/>
      <c r="AD441" s="204"/>
      <c r="AE441" s="204"/>
      <c r="AF441" s="204"/>
      <c r="AG441" s="204"/>
      <c r="AH441" s="204"/>
      <c r="AI441" s="204"/>
      <c r="AJ441" s="204"/>
      <c r="AK441" s="204"/>
      <c r="AL441" s="204"/>
      <c r="AM441" s="204"/>
      <c r="AN441" s="204"/>
      <c r="AO441" s="204"/>
      <c r="AP441" s="204"/>
      <c r="AQ441" s="204"/>
      <c r="AR441" s="204"/>
      <c r="AS441" s="204"/>
      <c r="AT441" s="204"/>
      <c r="AU441" s="206"/>
      <c r="AV441" s="202"/>
      <c r="AW441" s="202"/>
      <c r="AX441" s="202"/>
      <c r="AY441" s="202"/>
      <c r="AZ441" s="202"/>
      <c r="BA441" s="202"/>
      <c r="BB441" s="202"/>
      <c r="BC441" s="202"/>
      <c r="BD441" s="202"/>
      <c r="BE441" s="202"/>
      <c r="BF441" s="202"/>
      <c r="BG441" s="202"/>
    </row>
    <row r="442" spans="2:59" ht="15">
      <c r="B442" s="204" t="s">
        <v>497</v>
      </c>
      <c r="C442" s="204" t="s">
        <v>497</v>
      </c>
      <c r="D442" s="204" t="s">
        <v>497</v>
      </c>
      <c r="E442" s="204" t="s">
        <v>497</v>
      </c>
      <c r="F442" s="204" t="s">
        <v>497</v>
      </c>
      <c r="G442" s="204" t="s">
        <v>497</v>
      </c>
      <c r="H442" s="204" t="s">
        <v>497</v>
      </c>
      <c r="I442" s="204" t="s">
        <v>497</v>
      </c>
      <c r="J442" s="205" t="s">
        <v>497</v>
      </c>
      <c r="K442" s="205" t="s">
        <v>497</v>
      </c>
      <c r="L442" s="204" t="s">
        <v>497</v>
      </c>
      <c r="M442" s="204" t="s">
        <v>497</v>
      </c>
      <c r="N442" s="204"/>
      <c r="O442" s="204"/>
      <c r="P442" s="204"/>
      <c r="Q442" s="204"/>
      <c r="R442" s="204"/>
      <c r="S442" s="204"/>
      <c r="T442" s="204"/>
      <c r="U442" s="204"/>
      <c r="V442" s="204"/>
      <c r="W442" s="204"/>
      <c r="X442" s="204"/>
      <c r="Y442" s="204"/>
      <c r="Z442" s="204"/>
      <c r="AA442" s="204"/>
      <c r="AB442" s="204"/>
      <c r="AC442" s="204"/>
      <c r="AD442" s="204"/>
      <c r="AE442" s="204"/>
      <c r="AF442" s="204"/>
      <c r="AG442" s="204"/>
      <c r="AH442" s="204"/>
      <c r="AI442" s="204"/>
      <c r="AJ442" s="204"/>
      <c r="AK442" s="204"/>
      <c r="AL442" s="204"/>
      <c r="AM442" s="204"/>
      <c r="AN442" s="204"/>
      <c r="AO442" s="204"/>
      <c r="AP442" s="204"/>
      <c r="AQ442" s="204"/>
      <c r="AR442" s="204"/>
      <c r="AS442" s="204"/>
      <c r="AT442" s="204"/>
      <c r="AU442" s="206"/>
      <c r="AV442" s="202"/>
      <c r="AW442" s="202"/>
      <c r="AX442" s="202"/>
      <c r="AY442" s="202"/>
      <c r="AZ442" s="202"/>
      <c r="BA442" s="202"/>
      <c r="BB442" s="202"/>
      <c r="BC442" s="202"/>
      <c r="BD442" s="202"/>
      <c r="BE442" s="202"/>
      <c r="BF442" s="202"/>
      <c r="BG442" s="202"/>
    </row>
    <row r="443" spans="2:59" ht="15">
      <c r="B443" s="204" t="s">
        <v>497</v>
      </c>
      <c r="C443" s="204" t="s">
        <v>497</v>
      </c>
      <c r="D443" s="204" t="s">
        <v>497</v>
      </c>
      <c r="E443" s="204" t="s">
        <v>497</v>
      </c>
      <c r="F443" s="204" t="s">
        <v>497</v>
      </c>
      <c r="G443" s="204" t="s">
        <v>497</v>
      </c>
      <c r="H443" s="204" t="s">
        <v>497</v>
      </c>
      <c r="I443" s="204" t="s">
        <v>497</v>
      </c>
      <c r="J443" s="205" t="s">
        <v>497</v>
      </c>
      <c r="K443" s="205" t="s">
        <v>497</v>
      </c>
      <c r="L443" s="204" t="s">
        <v>497</v>
      </c>
      <c r="M443" s="204" t="s">
        <v>497</v>
      </c>
      <c r="N443" s="204"/>
      <c r="O443" s="204"/>
      <c r="P443" s="204"/>
      <c r="Q443" s="204"/>
      <c r="R443" s="204"/>
      <c r="S443" s="204"/>
      <c r="T443" s="204"/>
      <c r="U443" s="204"/>
      <c r="V443" s="204"/>
      <c r="W443" s="204"/>
      <c r="X443" s="204"/>
      <c r="Y443" s="204"/>
      <c r="Z443" s="204"/>
      <c r="AA443" s="204"/>
      <c r="AB443" s="204"/>
      <c r="AC443" s="204"/>
      <c r="AD443" s="204"/>
      <c r="AE443" s="204"/>
      <c r="AF443" s="204"/>
      <c r="AG443" s="204"/>
      <c r="AH443" s="204"/>
      <c r="AI443" s="204"/>
      <c r="AJ443" s="204"/>
      <c r="AK443" s="204"/>
      <c r="AL443" s="204"/>
      <c r="AM443" s="204"/>
      <c r="AN443" s="204"/>
      <c r="AO443" s="204"/>
      <c r="AP443" s="204"/>
      <c r="AQ443" s="204"/>
      <c r="AR443" s="204"/>
      <c r="AS443" s="204"/>
      <c r="AT443" s="204"/>
      <c r="AU443" s="206"/>
      <c r="AV443" s="202"/>
      <c r="AW443" s="202"/>
      <c r="AX443" s="202"/>
      <c r="AY443" s="202"/>
      <c r="AZ443" s="202"/>
      <c r="BA443" s="202"/>
      <c r="BB443" s="202"/>
      <c r="BC443" s="202"/>
      <c r="BD443" s="202"/>
      <c r="BE443" s="202"/>
      <c r="BF443" s="202"/>
      <c r="BG443" s="202"/>
    </row>
    <row r="444" spans="2:59" ht="15">
      <c r="B444" s="204" t="s">
        <v>497</v>
      </c>
      <c r="C444" s="204" t="s">
        <v>497</v>
      </c>
      <c r="D444" s="204" t="s">
        <v>497</v>
      </c>
      <c r="E444" s="204" t="s">
        <v>497</v>
      </c>
      <c r="F444" s="204" t="s">
        <v>497</v>
      </c>
      <c r="G444" s="204" t="s">
        <v>497</v>
      </c>
      <c r="H444" s="204" t="s">
        <v>497</v>
      </c>
      <c r="I444" s="204" t="s">
        <v>497</v>
      </c>
      <c r="J444" s="205" t="s">
        <v>497</v>
      </c>
      <c r="K444" s="205" t="s">
        <v>497</v>
      </c>
      <c r="L444" s="204" t="s">
        <v>497</v>
      </c>
      <c r="M444" s="204" t="s">
        <v>497</v>
      </c>
      <c r="N444" s="204"/>
      <c r="O444" s="204"/>
      <c r="P444" s="204"/>
      <c r="Q444" s="204"/>
      <c r="R444" s="204"/>
      <c r="S444" s="204"/>
      <c r="T444" s="204"/>
      <c r="U444" s="204"/>
      <c r="V444" s="204"/>
      <c r="W444" s="204"/>
      <c r="X444" s="204"/>
      <c r="Y444" s="204"/>
      <c r="Z444" s="204"/>
      <c r="AA444" s="204"/>
      <c r="AB444" s="204"/>
      <c r="AC444" s="204"/>
      <c r="AD444" s="204"/>
      <c r="AE444" s="204"/>
      <c r="AF444" s="204"/>
      <c r="AG444" s="204"/>
      <c r="AH444" s="204"/>
      <c r="AI444" s="204"/>
      <c r="AJ444" s="204"/>
      <c r="AK444" s="204"/>
      <c r="AL444" s="204"/>
      <c r="AM444" s="204"/>
      <c r="AN444" s="204"/>
      <c r="AO444" s="204"/>
      <c r="AP444" s="204"/>
      <c r="AQ444" s="204"/>
      <c r="AR444" s="204"/>
      <c r="AS444" s="204"/>
      <c r="AT444" s="204"/>
      <c r="AU444" s="206"/>
      <c r="AV444" s="202"/>
      <c r="AW444" s="202"/>
      <c r="AX444" s="202"/>
      <c r="AY444" s="202"/>
      <c r="AZ444" s="202"/>
      <c r="BA444" s="202"/>
      <c r="BB444" s="202"/>
      <c r="BC444" s="202"/>
      <c r="BD444" s="202"/>
      <c r="BE444" s="202"/>
      <c r="BF444" s="202"/>
      <c r="BG444" s="202"/>
    </row>
    <row r="445" spans="2:59" ht="15">
      <c r="B445" s="204" t="s">
        <v>497</v>
      </c>
      <c r="C445" s="204" t="s">
        <v>497</v>
      </c>
      <c r="D445" s="204" t="s">
        <v>497</v>
      </c>
      <c r="E445" s="204" t="s">
        <v>497</v>
      </c>
      <c r="F445" s="204" t="s">
        <v>497</v>
      </c>
      <c r="G445" s="204" t="s">
        <v>497</v>
      </c>
      <c r="H445" s="204" t="s">
        <v>497</v>
      </c>
      <c r="I445" s="204" t="s">
        <v>497</v>
      </c>
      <c r="J445" s="205" t="s">
        <v>497</v>
      </c>
      <c r="K445" s="205" t="s">
        <v>497</v>
      </c>
      <c r="L445" s="204" t="s">
        <v>497</v>
      </c>
      <c r="M445" s="204" t="s">
        <v>497</v>
      </c>
      <c r="N445" s="204"/>
      <c r="O445" s="204"/>
      <c r="P445" s="204"/>
      <c r="Q445" s="204"/>
      <c r="R445" s="204"/>
      <c r="S445" s="204"/>
      <c r="T445" s="204"/>
      <c r="U445" s="204"/>
      <c r="V445" s="204"/>
      <c r="W445" s="204"/>
      <c r="X445" s="204"/>
      <c r="Y445" s="204"/>
      <c r="Z445" s="204"/>
      <c r="AA445" s="204"/>
      <c r="AB445" s="204"/>
      <c r="AC445" s="204"/>
      <c r="AD445" s="204"/>
      <c r="AE445" s="204"/>
      <c r="AF445" s="204"/>
      <c r="AG445" s="204"/>
      <c r="AH445" s="204"/>
      <c r="AI445" s="204"/>
      <c r="AJ445" s="204"/>
      <c r="AK445" s="204"/>
      <c r="AL445" s="204"/>
      <c r="AM445" s="204"/>
      <c r="AN445" s="204"/>
      <c r="AO445" s="204"/>
      <c r="AP445" s="204"/>
      <c r="AQ445" s="204"/>
      <c r="AR445" s="204"/>
      <c r="AS445" s="204"/>
      <c r="AT445" s="204"/>
      <c r="AU445" s="206"/>
      <c r="AV445" s="202"/>
      <c r="AW445" s="202"/>
      <c r="AX445" s="202"/>
      <c r="AY445" s="202"/>
      <c r="AZ445" s="202"/>
      <c r="BA445" s="202"/>
      <c r="BB445" s="202"/>
      <c r="BC445" s="202"/>
      <c r="BD445" s="202"/>
      <c r="BE445" s="202"/>
      <c r="BF445" s="202"/>
      <c r="BG445" s="202"/>
    </row>
    <row r="446" spans="2:59" ht="15">
      <c r="B446" s="204" t="s">
        <v>497</v>
      </c>
      <c r="C446" s="204" t="s">
        <v>497</v>
      </c>
      <c r="D446" s="204" t="s">
        <v>497</v>
      </c>
      <c r="E446" s="204" t="s">
        <v>497</v>
      </c>
      <c r="F446" s="204" t="s">
        <v>497</v>
      </c>
      <c r="G446" s="204" t="s">
        <v>497</v>
      </c>
      <c r="H446" s="204" t="s">
        <v>497</v>
      </c>
      <c r="I446" s="204" t="s">
        <v>497</v>
      </c>
      <c r="J446" s="205" t="s">
        <v>497</v>
      </c>
      <c r="K446" s="205" t="s">
        <v>497</v>
      </c>
      <c r="L446" s="204" t="s">
        <v>497</v>
      </c>
      <c r="M446" s="204" t="s">
        <v>497</v>
      </c>
      <c r="N446" s="204"/>
      <c r="O446" s="204"/>
      <c r="P446" s="204"/>
      <c r="Q446" s="204"/>
      <c r="R446" s="204"/>
      <c r="S446" s="204"/>
      <c r="T446" s="204"/>
      <c r="U446" s="204"/>
      <c r="V446" s="204"/>
      <c r="W446" s="204"/>
      <c r="X446" s="204"/>
      <c r="Y446" s="204"/>
      <c r="Z446" s="204"/>
      <c r="AA446" s="204"/>
      <c r="AB446" s="204"/>
      <c r="AC446" s="204"/>
      <c r="AD446" s="204"/>
      <c r="AE446" s="204"/>
      <c r="AF446" s="204"/>
      <c r="AG446" s="204"/>
      <c r="AH446" s="204"/>
      <c r="AI446" s="204"/>
      <c r="AJ446" s="204"/>
      <c r="AK446" s="204"/>
      <c r="AL446" s="204"/>
      <c r="AM446" s="204"/>
      <c r="AN446" s="204"/>
      <c r="AO446" s="204"/>
      <c r="AP446" s="204"/>
      <c r="AQ446" s="204"/>
      <c r="AR446" s="204"/>
      <c r="AS446" s="204"/>
      <c r="AT446" s="204"/>
      <c r="AU446" s="206"/>
      <c r="AV446" s="202"/>
      <c r="AW446" s="202"/>
      <c r="AX446" s="202"/>
      <c r="AY446" s="202"/>
      <c r="AZ446" s="202"/>
      <c r="BA446" s="202"/>
      <c r="BB446" s="202"/>
      <c r="BC446" s="202"/>
      <c r="BD446" s="202"/>
      <c r="BE446" s="202"/>
      <c r="BF446" s="202"/>
      <c r="BG446" s="202"/>
    </row>
    <row r="447" spans="2:59" ht="15">
      <c r="B447" s="204" t="s">
        <v>497</v>
      </c>
      <c r="C447" s="204" t="s">
        <v>497</v>
      </c>
      <c r="D447" s="204" t="s">
        <v>497</v>
      </c>
      <c r="E447" s="204" t="s">
        <v>497</v>
      </c>
      <c r="F447" s="204" t="s">
        <v>497</v>
      </c>
      <c r="G447" s="204" t="s">
        <v>497</v>
      </c>
      <c r="H447" s="204" t="s">
        <v>497</v>
      </c>
      <c r="I447" s="204" t="s">
        <v>497</v>
      </c>
      <c r="J447" s="205" t="s">
        <v>497</v>
      </c>
      <c r="K447" s="205" t="s">
        <v>497</v>
      </c>
      <c r="L447" s="204" t="s">
        <v>497</v>
      </c>
      <c r="M447" s="204" t="s">
        <v>497</v>
      </c>
      <c r="N447" s="204"/>
      <c r="O447" s="204"/>
      <c r="P447" s="204"/>
      <c r="Q447" s="204"/>
      <c r="R447" s="204"/>
      <c r="S447" s="204"/>
      <c r="T447" s="204"/>
      <c r="U447" s="204"/>
      <c r="V447" s="204"/>
      <c r="W447" s="204"/>
      <c r="X447" s="204"/>
      <c r="Y447" s="204"/>
      <c r="Z447" s="204"/>
      <c r="AA447" s="204"/>
      <c r="AB447" s="204"/>
      <c r="AC447" s="204"/>
      <c r="AD447" s="204"/>
      <c r="AE447" s="204"/>
      <c r="AF447" s="204"/>
      <c r="AG447" s="204"/>
      <c r="AH447" s="204"/>
      <c r="AI447" s="204"/>
      <c r="AJ447" s="204"/>
      <c r="AK447" s="204"/>
      <c r="AL447" s="204"/>
      <c r="AM447" s="204"/>
      <c r="AN447" s="204"/>
      <c r="AO447" s="204"/>
      <c r="AP447" s="204"/>
      <c r="AQ447" s="204"/>
      <c r="AR447" s="204"/>
      <c r="AS447" s="204"/>
      <c r="AT447" s="204"/>
      <c r="AU447" s="206"/>
      <c r="AV447" s="202"/>
      <c r="AW447" s="202"/>
      <c r="AX447" s="202"/>
      <c r="AY447" s="202"/>
      <c r="AZ447" s="202"/>
      <c r="BA447" s="202"/>
      <c r="BB447" s="202"/>
      <c r="BC447" s="202"/>
      <c r="BD447" s="202"/>
      <c r="BE447" s="202"/>
      <c r="BF447" s="202"/>
      <c r="BG447" s="202"/>
    </row>
    <row r="448" spans="2:59" ht="15">
      <c r="B448" s="204" t="s">
        <v>497</v>
      </c>
      <c r="C448" s="204" t="s">
        <v>497</v>
      </c>
      <c r="D448" s="204" t="s">
        <v>497</v>
      </c>
      <c r="E448" s="204" t="s">
        <v>497</v>
      </c>
      <c r="F448" s="204" t="s">
        <v>497</v>
      </c>
      <c r="G448" s="204" t="s">
        <v>497</v>
      </c>
      <c r="H448" s="204" t="s">
        <v>497</v>
      </c>
      <c r="I448" s="204" t="s">
        <v>497</v>
      </c>
      <c r="J448" s="205" t="s">
        <v>497</v>
      </c>
      <c r="K448" s="205" t="s">
        <v>497</v>
      </c>
      <c r="L448" s="204" t="s">
        <v>497</v>
      </c>
      <c r="M448" s="204" t="s">
        <v>497</v>
      </c>
      <c r="N448" s="204"/>
      <c r="O448" s="204"/>
      <c r="P448" s="204"/>
      <c r="Q448" s="204"/>
      <c r="R448" s="204"/>
      <c r="S448" s="204"/>
      <c r="T448" s="204"/>
      <c r="U448" s="204"/>
      <c r="V448" s="204"/>
      <c r="W448" s="204"/>
      <c r="X448" s="204"/>
      <c r="Y448" s="204"/>
      <c r="Z448" s="204"/>
      <c r="AA448" s="204"/>
      <c r="AB448" s="204"/>
      <c r="AC448" s="204"/>
      <c r="AD448" s="204"/>
      <c r="AE448" s="204"/>
      <c r="AF448" s="204"/>
      <c r="AG448" s="204"/>
      <c r="AH448" s="204"/>
      <c r="AI448" s="204"/>
      <c r="AJ448" s="204"/>
      <c r="AK448" s="204"/>
      <c r="AL448" s="204"/>
      <c r="AM448" s="204"/>
      <c r="AN448" s="204"/>
      <c r="AO448" s="204"/>
      <c r="AP448" s="204"/>
      <c r="AQ448" s="204"/>
      <c r="AR448" s="204"/>
      <c r="AS448" s="204"/>
      <c r="AT448" s="204"/>
      <c r="AU448" s="206"/>
      <c r="AV448" s="202"/>
      <c r="AW448" s="202"/>
      <c r="AX448" s="202"/>
      <c r="AY448" s="202"/>
      <c r="AZ448" s="202"/>
      <c r="BA448" s="202"/>
      <c r="BB448" s="202"/>
      <c r="BC448" s="202"/>
      <c r="BD448" s="202"/>
      <c r="BE448" s="202"/>
      <c r="BF448" s="202"/>
      <c r="BG448" s="202"/>
    </row>
    <row r="449" spans="2:59" ht="15">
      <c r="B449" s="204" t="s">
        <v>497</v>
      </c>
      <c r="C449" s="204" t="s">
        <v>497</v>
      </c>
      <c r="D449" s="204" t="s">
        <v>497</v>
      </c>
      <c r="E449" s="204" t="s">
        <v>497</v>
      </c>
      <c r="F449" s="204" t="s">
        <v>497</v>
      </c>
      <c r="G449" s="204" t="s">
        <v>497</v>
      </c>
      <c r="H449" s="204" t="s">
        <v>497</v>
      </c>
      <c r="I449" s="204" t="s">
        <v>497</v>
      </c>
      <c r="J449" s="205" t="s">
        <v>497</v>
      </c>
      <c r="K449" s="205" t="s">
        <v>497</v>
      </c>
      <c r="L449" s="204" t="s">
        <v>497</v>
      </c>
      <c r="M449" s="204" t="s">
        <v>497</v>
      </c>
      <c r="N449" s="204"/>
      <c r="O449" s="204"/>
      <c r="P449" s="204"/>
      <c r="Q449" s="204"/>
      <c r="R449" s="204"/>
      <c r="S449" s="204"/>
      <c r="T449" s="204"/>
      <c r="U449" s="204"/>
      <c r="V449" s="204"/>
      <c r="W449" s="204"/>
      <c r="X449" s="204"/>
      <c r="Y449" s="204"/>
      <c r="Z449" s="204"/>
      <c r="AA449" s="204"/>
      <c r="AB449" s="204"/>
      <c r="AC449" s="204"/>
      <c r="AD449" s="204"/>
      <c r="AE449" s="204"/>
      <c r="AF449" s="204"/>
      <c r="AG449" s="204"/>
      <c r="AH449" s="204"/>
      <c r="AI449" s="204"/>
      <c r="AJ449" s="204"/>
      <c r="AK449" s="204"/>
      <c r="AL449" s="204"/>
      <c r="AM449" s="204"/>
      <c r="AN449" s="204"/>
      <c r="AO449" s="204"/>
      <c r="AP449" s="204"/>
      <c r="AQ449" s="204"/>
      <c r="AR449" s="204"/>
      <c r="AS449" s="204"/>
      <c r="AT449" s="204"/>
      <c r="AU449" s="206"/>
      <c r="AV449" s="202"/>
      <c r="AW449" s="202"/>
      <c r="AX449" s="202"/>
      <c r="AY449" s="202"/>
      <c r="AZ449" s="202"/>
      <c r="BA449" s="202"/>
      <c r="BB449" s="202"/>
      <c r="BC449" s="202"/>
      <c r="BD449" s="202"/>
      <c r="BE449" s="202"/>
      <c r="BF449" s="202"/>
      <c r="BG449" s="202"/>
    </row>
    <row r="450" spans="2:59" ht="15">
      <c r="B450" s="204" t="s">
        <v>497</v>
      </c>
      <c r="C450" s="204" t="s">
        <v>497</v>
      </c>
      <c r="D450" s="204" t="s">
        <v>497</v>
      </c>
      <c r="E450" s="204" t="s">
        <v>497</v>
      </c>
      <c r="F450" s="204" t="s">
        <v>497</v>
      </c>
      <c r="G450" s="204" t="s">
        <v>497</v>
      </c>
      <c r="H450" s="204" t="s">
        <v>497</v>
      </c>
      <c r="I450" s="204" t="s">
        <v>497</v>
      </c>
      <c r="J450" s="205" t="s">
        <v>497</v>
      </c>
      <c r="K450" s="205" t="s">
        <v>497</v>
      </c>
      <c r="L450" s="204" t="s">
        <v>497</v>
      </c>
      <c r="M450" s="204" t="s">
        <v>497</v>
      </c>
      <c r="N450" s="204"/>
      <c r="O450" s="204"/>
      <c r="P450" s="204"/>
      <c r="Q450" s="204"/>
      <c r="R450" s="204"/>
      <c r="S450" s="204"/>
      <c r="T450" s="204"/>
      <c r="U450" s="204"/>
      <c r="V450" s="204"/>
      <c r="W450" s="204"/>
      <c r="X450" s="204"/>
      <c r="Y450" s="204"/>
      <c r="Z450" s="204"/>
      <c r="AA450" s="204"/>
      <c r="AB450" s="204"/>
      <c r="AC450" s="204"/>
      <c r="AD450" s="204"/>
      <c r="AE450" s="204"/>
      <c r="AF450" s="204"/>
      <c r="AG450" s="204"/>
      <c r="AH450" s="204"/>
      <c r="AI450" s="204"/>
      <c r="AJ450" s="204"/>
      <c r="AK450" s="204"/>
      <c r="AL450" s="204"/>
      <c r="AM450" s="204"/>
      <c r="AN450" s="204"/>
      <c r="AO450" s="204"/>
      <c r="AP450" s="204"/>
      <c r="AQ450" s="204"/>
      <c r="AR450" s="204"/>
      <c r="AS450" s="204"/>
      <c r="AT450" s="204"/>
      <c r="AU450" s="206"/>
      <c r="AV450" s="202"/>
      <c r="AW450" s="202"/>
      <c r="AX450" s="202"/>
      <c r="AY450" s="202"/>
      <c r="AZ450" s="202"/>
      <c r="BA450" s="202"/>
      <c r="BB450" s="202"/>
      <c r="BC450" s="202"/>
      <c r="BD450" s="202"/>
      <c r="BE450" s="202"/>
      <c r="BF450" s="202"/>
      <c r="BG450" s="202"/>
    </row>
    <row r="451" spans="2:59" ht="15">
      <c r="B451" s="204" t="s">
        <v>497</v>
      </c>
      <c r="C451" s="204" t="s">
        <v>497</v>
      </c>
      <c r="D451" s="204" t="s">
        <v>497</v>
      </c>
      <c r="E451" s="204" t="s">
        <v>497</v>
      </c>
      <c r="F451" s="204" t="s">
        <v>497</v>
      </c>
      <c r="G451" s="204" t="s">
        <v>497</v>
      </c>
      <c r="H451" s="204" t="s">
        <v>497</v>
      </c>
      <c r="I451" s="204" t="s">
        <v>497</v>
      </c>
      <c r="J451" s="205" t="s">
        <v>497</v>
      </c>
      <c r="K451" s="205" t="s">
        <v>497</v>
      </c>
      <c r="L451" s="204" t="s">
        <v>497</v>
      </c>
      <c r="M451" s="204" t="s">
        <v>497</v>
      </c>
      <c r="N451" s="204"/>
      <c r="O451" s="204"/>
      <c r="P451" s="204"/>
      <c r="Q451" s="204"/>
      <c r="R451" s="204"/>
      <c r="S451" s="204"/>
      <c r="T451" s="204"/>
      <c r="U451" s="204"/>
      <c r="V451" s="204"/>
      <c r="W451" s="204"/>
      <c r="X451" s="204"/>
      <c r="Y451" s="204"/>
      <c r="Z451" s="204"/>
      <c r="AA451" s="204"/>
      <c r="AB451" s="204"/>
      <c r="AC451" s="204"/>
      <c r="AD451" s="204"/>
      <c r="AE451" s="204"/>
      <c r="AF451" s="204"/>
      <c r="AG451" s="204"/>
      <c r="AH451" s="204"/>
      <c r="AI451" s="204"/>
      <c r="AJ451" s="204"/>
      <c r="AK451" s="204"/>
      <c r="AL451" s="204"/>
      <c r="AM451" s="204"/>
      <c r="AN451" s="204"/>
      <c r="AO451" s="204"/>
      <c r="AP451" s="204"/>
      <c r="AQ451" s="204"/>
      <c r="AR451" s="204"/>
      <c r="AS451" s="204"/>
      <c r="AT451" s="204"/>
      <c r="AU451" s="206"/>
      <c r="AV451" s="202"/>
      <c r="AW451" s="202"/>
      <c r="AX451" s="202"/>
      <c r="AY451" s="202"/>
      <c r="AZ451" s="202"/>
      <c r="BA451" s="202"/>
      <c r="BB451" s="202"/>
      <c r="BC451" s="202"/>
      <c r="BD451" s="202"/>
      <c r="BE451" s="202"/>
      <c r="BF451" s="202"/>
      <c r="BG451" s="202"/>
    </row>
    <row r="452" spans="2:59" ht="15">
      <c r="B452" s="204" t="s">
        <v>497</v>
      </c>
      <c r="C452" s="204" t="s">
        <v>497</v>
      </c>
      <c r="D452" s="204" t="s">
        <v>497</v>
      </c>
      <c r="E452" s="204" t="s">
        <v>497</v>
      </c>
      <c r="F452" s="204" t="s">
        <v>497</v>
      </c>
      <c r="G452" s="204" t="s">
        <v>497</v>
      </c>
      <c r="H452" s="204" t="s">
        <v>497</v>
      </c>
      <c r="I452" s="204" t="s">
        <v>497</v>
      </c>
      <c r="J452" s="205" t="s">
        <v>497</v>
      </c>
      <c r="K452" s="205" t="s">
        <v>497</v>
      </c>
      <c r="L452" s="204" t="s">
        <v>497</v>
      </c>
      <c r="M452" s="204" t="s">
        <v>497</v>
      </c>
      <c r="N452" s="204"/>
      <c r="O452" s="204"/>
      <c r="P452" s="204"/>
      <c r="Q452" s="204"/>
      <c r="R452" s="204"/>
      <c r="S452" s="204"/>
      <c r="T452" s="204"/>
      <c r="U452" s="204"/>
      <c r="V452" s="204"/>
      <c r="W452" s="204"/>
      <c r="X452" s="204"/>
      <c r="Y452" s="204"/>
      <c r="Z452" s="204"/>
      <c r="AA452" s="204"/>
      <c r="AB452" s="204"/>
      <c r="AC452" s="204"/>
      <c r="AD452" s="204"/>
      <c r="AE452" s="204"/>
      <c r="AF452" s="204"/>
      <c r="AG452" s="204"/>
      <c r="AH452" s="204"/>
      <c r="AI452" s="204"/>
      <c r="AJ452" s="204"/>
      <c r="AK452" s="204"/>
      <c r="AL452" s="204"/>
      <c r="AM452" s="204"/>
      <c r="AN452" s="204"/>
      <c r="AO452" s="204"/>
      <c r="AP452" s="204"/>
      <c r="AQ452" s="204"/>
      <c r="AR452" s="204"/>
      <c r="AS452" s="204"/>
      <c r="AT452" s="204"/>
      <c r="AU452" s="206"/>
      <c r="AV452" s="202"/>
      <c r="AW452" s="202"/>
      <c r="AX452" s="202"/>
      <c r="AY452" s="202"/>
      <c r="AZ452" s="202"/>
      <c r="BA452" s="202"/>
      <c r="BB452" s="202"/>
      <c r="BC452" s="202"/>
      <c r="BD452" s="202"/>
      <c r="BE452" s="202"/>
      <c r="BF452" s="202"/>
      <c r="BG452" s="202"/>
    </row>
    <row r="453" spans="2:59" ht="15">
      <c r="B453" s="204" t="s">
        <v>497</v>
      </c>
      <c r="C453" s="204" t="s">
        <v>497</v>
      </c>
      <c r="D453" s="204" t="s">
        <v>497</v>
      </c>
      <c r="E453" s="204" t="s">
        <v>497</v>
      </c>
      <c r="F453" s="204" t="s">
        <v>497</v>
      </c>
      <c r="G453" s="204" t="s">
        <v>497</v>
      </c>
      <c r="H453" s="204" t="s">
        <v>497</v>
      </c>
      <c r="I453" s="204" t="s">
        <v>497</v>
      </c>
      <c r="J453" s="205" t="s">
        <v>497</v>
      </c>
      <c r="K453" s="205" t="s">
        <v>497</v>
      </c>
      <c r="L453" s="204" t="s">
        <v>497</v>
      </c>
      <c r="M453" s="204" t="s">
        <v>497</v>
      </c>
      <c r="N453" s="204"/>
      <c r="O453" s="204"/>
      <c r="P453" s="204"/>
      <c r="Q453" s="204"/>
      <c r="R453" s="204"/>
      <c r="S453" s="204"/>
      <c r="T453" s="204"/>
      <c r="U453" s="204"/>
      <c r="V453" s="204"/>
      <c r="W453" s="204"/>
      <c r="X453" s="204"/>
      <c r="Y453" s="204"/>
      <c r="Z453" s="204"/>
      <c r="AA453" s="204"/>
      <c r="AB453" s="204"/>
      <c r="AC453" s="204"/>
      <c r="AD453" s="204"/>
      <c r="AE453" s="204"/>
      <c r="AF453" s="204"/>
      <c r="AG453" s="204"/>
      <c r="AH453" s="204"/>
      <c r="AI453" s="204"/>
      <c r="AJ453" s="204"/>
      <c r="AK453" s="204"/>
      <c r="AL453" s="204"/>
      <c r="AM453" s="204"/>
      <c r="AN453" s="204"/>
      <c r="AO453" s="204"/>
      <c r="AP453" s="204"/>
      <c r="AQ453" s="204"/>
      <c r="AR453" s="204"/>
      <c r="AS453" s="204"/>
      <c r="AT453" s="204"/>
      <c r="AU453" s="206"/>
      <c r="AV453" s="202"/>
      <c r="AW453" s="202"/>
      <c r="AX453" s="202"/>
      <c r="AY453" s="202"/>
      <c r="AZ453" s="202"/>
      <c r="BA453" s="202"/>
      <c r="BB453" s="202"/>
      <c r="BC453" s="202"/>
      <c r="BD453" s="202"/>
      <c r="BE453" s="202"/>
      <c r="BF453" s="202"/>
      <c r="BG453" s="202"/>
    </row>
    <row r="454" spans="2:59" ht="15">
      <c r="B454" s="204" t="s">
        <v>497</v>
      </c>
      <c r="C454" s="204" t="s">
        <v>497</v>
      </c>
      <c r="D454" s="204" t="s">
        <v>497</v>
      </c>
      <c r="E454" s="204" t="s">
        <v>497</v>
      </c>
      <c r="F454" s="204" t="s">
        <v>497</v>
      </c>
      <c r="G454" s="204" t="s">
        <v>497</v>
      </c>
      <c r="H454" s="204" t="s">
        <v>497</v>
      </c>
      <c r="I454" s="204" t="s">
        <v>497</v>
      </c>
      <c r="J454" s="205" t="s">
        <v>497</v>
      </c>
      <c r="K454" s="205" t="s">
        <v>497</v>
      </c>
      <c r="L454" s="204" t="s">
        <v>497</v>
      </c>
      <c r="M454" s="204" t="s">
        <v>497</v>
      </c>
      <c r="N454" s="204"/>
      <c r="O454" s="204"/>
      <c r="P454" s="204"/>
      <c r="Q454" s="204"/>
      <c r="R454" s="204"/>
      <c r="S454" s="204"/>
      <c r="T454" s="204"/>
      <c r="U454" s="204"/>
      <c r="V454" s="204"/>
      <c r="W454" s="204"/>
      <c r="X454" s="204"/>
      <c r="Y454" s="204"/>
      <c r="Z454" s="204"/>
      <c r="AA454" s="204"/>
      <c r="AB454" s="204"/>
      <c r="AC454" s="204"/>
      <c r="AD454" s="204"/>
      <c r="AE454" s="204"/>
      <c r="AF454" s="204"/>
      <c r="AG454" s="204"/>
      <c r="AH454" s="204"/>
      <c r="AI454" s="204"/>
      <c r="AJ454" s="204"/>
      <c r="AK454" s="204"/>
      <c r="AL454" s="204"/>
      <c r="AM454" s="204"/>
      <c r="AN454" s="204"/>
      <c r="AO454" s="204"/>
      <c r="AP454" s="204"/>
      <c r="AQ454" s="204"/>
      <c r="AR454" s="204"/>
      <c r="AS454" s="204"/>
      <c r="AT454" s="204"/>
      <c r="AU454" s="206"/>
      <c r="AV454" s="202"/>
      <c r="AW454" s="202"/>
      <c r="AX454" s="202"/>
      <c r="AY454" s="202"/>
      <c r="AZ454" s="202"/>
      <c r="BA454" s="202"/>
      <c r="BB454" s="202"/>
      <c r="BC454" s="202"/>
      <c r="BD454" s="202"/>
      <c r="BE454" s="202"/>
      <c r="BF454" s="202"/>
      <c r="BG454" s="202"/>
    </row>
    <row r="455" spans="2:59" ht="15">
      <c r="B455" s="204" t="s">
        <v>497</v>
      </c>
      <c r="C455" s="204" t="s">
        <v>497</v>
      </c>
      <c r="D455" s="204" t="s">
        <v>497</v>
      </c>
      <c r="E455" s="204" t="s">
        <v>497</v>
      </c>
      <c r="F455" s="204" t="s">
        <v>497</v>
      </c>
      <c r="G455" s="204" t="s">
        <v>497</v>
      </c>
      <c r="H455" s="204" t="s">
        <v>497</v>
      </c>
      <c r="I455" s="204" t="s">
        <v>497</v>
      </c>
      <c r="J455" s="205" t="s">
        <v>497</v>
      </c>
      <c r="K455" s="205" t="s">
        <v>497</v>
      </c>
      <c r="L455" s="204" t="s">
        <v>497</v>
      </c>
      <c r="M455" s="204" t="s">
        <v>497</v>
      </c>
      <c r="N455" s="204"/>
      <c r="O455" s="204"/>
      <c r="P455" s="204"/>
      <c r="Q455" s="204"/>
      <c r="R455" s="204"/>
      <c r="S455" s="204"/>
      <c r="T455" s="204"/>
      <c r="U455" s="204"/>
      <c r="V455" s="204"/>
      <c r="W455" s="204"/>
      <c r="X455" s="204"/>
      <c r="Y455" s="204"/>
      <c r="Z455" s="204"/>
      <c r="AA455" s="204"/>
      <c r="AB455" s="204"/>
      <c r="AC455" s="204"/>
      <c r="AD455" s="204"/>
      <c r="AE455" s="204"/>
      <c r="AF455" s="204"/>
      <c r="AG455" s="204"/>
      <c r="AH455" s="204"/>
      <c r="AI455" s="204"/>
      <c r="AJ455" s="204"/>
      <c r="AK455" s="204"/>
      <c r="AL455" s="204"/>
      <c r="AM455" s="204"/>
      <c r="AN455" s="204"/>
      <c r="AO455" s="204"/>
      <c r="AP455" s="204"/>
      <c r="AQ455" s="204"/>
      <c r="AR455" s="204"/>
      <c r="AS455" s="204"/>
      <c r="AT455" s="204"/>
      <c r="AU455" s="206"/>
      <c r="AV455" s="202"/>
      <c r="AW455" s="202"/>
      <c r="AX455" s="202"/>
      <c r="AY455" s="202"/>
      <c r="AZ455" s="202"/>
      <c r="BA455" s="202"/>
      <c r="BB455" s="202"/>
      <c r="BC455" s="202"/>
      <c r="BD455" s="202"/>
      <c r="BE455" s="202"/>
      <c r="BF455" s="202"/>
      <c r="BG455" s="202"/>
    </row>
    <row r="456" spans="2:59" ht="15">
      <c r="B456" s="204" t="s">
        <v>497</v>
      </c>
      <c r="C456" s="204" t="s">
        <v>497</v>
      </c>
      <c r="D456" s="204" t="s">
        <v>497</v>
      </c>
      <c r="E456" s="204" t="s">
        <v>497</v>
      </c>
      <c r="F456" s="204" t="s">
        <v>497</v>
      </c>
      <c r="G456" s="204" t="s">
        <v>497</v>
      </c>
      <c r="H456" s="204" t="s">
        <v>497</v>
      </c>
      <c r="I456" s="204" t="s">
        <v>497</v>
      </c>
      <c r="J456" s="205" t="s">
        <v>497</v>
      </c>
      <c r="K456" s="205" t="s">
        <v>497</v>
      </c>
      <c r="L456" s="204" t="s">
        <v>497</v>
      </c>
      <c r="M456" s="204" t="s">
        <v>497</v>
      </c>
      <c r="N456" s="204"/>
      <c r="O456" s="204"/>
      <c r="P456" s="204"/>
      <c r="Q456" s="204"/>
      <c r="R456" s="204"/>
      <c r="S456" s="204"/>
      <c r="T456" s="204"/>
      <c r="U456" s="204"/>
      <c r="V456" s="204"/>
      <c r="W456" s="204"/>
      <c r="X456" s="204"/>
      <c r="Y456" s="204"/>
      <c r="Z456" s="204"/>
      <c r="AA456" s="204"/>
      <c r="AB456" s="204"/>
      <c r="AC456" s="204"/>
      <c r="AD456" s="204"/>
      <c r="AE456" s="204"/>
      <c r="AF456" s="204"/>
      <c r="AG456" s="204"/>
      <c r="AH456" s="204"/>
      <c r="AI456" s="204"/>
      <c r="AJ456" s="204"/>
      <c r="AK456" s="204"/>
      <c r="AL456" s="204"/>
      <c r="AM456" s="204"/>
      <c r="AN456" s="204"/>
      <c r="AO456" s="204"/>
      <c r="AP456" s="204"/>
      <c r="AQ456" s="204"/>
      <c r="AR456" s="204"/>
      <c r="AS456" s="204"/>
      <c r="AT456" s="204"/>
      <c r="AU456" s="206"/>
      <c r="AV456" s="202"/>
      <c r="AW456" s="202"/>
      <c r="AX456" s="202"/>
      <c r="AY456" s="202"/>
      <c r="AZ456" s="202"/>
      <c r="BA456" s="202"/>
      <c r="BB456" s="202"/>
      <c r="BC456" s="202"/>
      <c r="BD456" s="202"/>
      <c r="BE456" s="202"/>
      <c r="BF456" s="202"/>
      <c r="BG456" s="202"/>
    </row>
    <row r="457" spans="2:59" ht="15">
      <c r="B457" s="204" t="s">
        <v>497</v>
      </c>
      <c r="C457" s="204" t="s">
        <v>497</v>
      </c>
      <c r="D457" s="204" t="s">
        <v>497</v>
      </c>
      <c r="E457" s="204" t="s">
        <v>497</v>
      </c>
      <c r="F457" s="204" t="s">
        <v>497</v>
      </c>
      <c r="G457" s="204" t="s">
        <v>497</v>
      </c>
      <c r="H457" s="204" t="s">
        <v>497</v>
      </c>
      <c r="I457" s="204" t="s">
        <v>497</v>
      </c>
      <c r="J457" s="205" t="s">
        <v>497</v>
      </c>
      <c r="K457" s="205" t="s">
        <v>497</v>
      </c>
      <c r="L457" s="204" t="s">
        <v>497</v>
      </c>
      <c r="M457" s="204" t="s">
        <v>497</v>
      </c>
      <c r="N457" s="204"/>
      <c r="O457" s="204"/>
      <c r="P457" s="204"/>
      <c r="Q457" s="204"/>
      <c r="R457" s="204"/>
      <c r="S457" s="204"/>
      <c r="T457" s="204"/>
      <c r="U457" s="204"/>
      <c r="V457" s="204"/>
      <c r="W457" s="204"/>
      <c r="X457" s="204"/>
      <c r="Y457" s="204"/>
      <c r="Z457" s="204"/>
      <c r="AA457" s="204"/>
      <c r="AB457" s="204"/>
      <c r="AC457" s="204"/>
      <c r="AD457" s="204"/>
      <c r="AE457" s="204"/>
      <c r="AF457" s="204"/>
      <c r="AG457" s="204"/>
      <c r="AH457" s="204"/>
      <c r="AI457" s="204"/>
      <c r="AJ457" s="204"/>
      <c r="AK457" s="204"/>
      <c r="AL457" s="204"/>
      <c r="AM457" s="204"/>
      <c r="AN457" s="204"/>
      <c r="AO457" s="204"/>
      <c r="AP457" s="204"/>
      <c r="AQ457" s="204"/>
      <c r="AR457" s="204"/>
      <c r="AS457" s="204"/>
      <c r="AT457" s="204"/>
      <c r="AU457" s="206"/>
      <c r="AV457" s="202"/>
      <c r="AW457" s="202"/>
      <c r="AX457" s="202"/>
      <c r="AY457" s="202"/>
      <c r="AZ457" s="202"/>
      <c r="BA457" s="202"/>
      <c r="BB457" s="202"/>
      <c r="BC457" s="202"/>
      <c r="BD457" s="202"/>
      <c r="BE457" s="202"/>
      <c r="BF457" s="202"/>
      <c r="BG457" s="202"/>
    </row>
    <row r="458" spans="2:59" ht="15">
      <c r="B458" s="204" t="s">
        <v>497</v>
      </c>
      <c r="C458" s="204" t="s">
        <v>497</v>
      </c>
      <c r="D458" s="204" t="s">
        <v>497</v>
      </c>
      <c r="E458" s="204" t="s">
        <v>497</v>
      </c>
      <c r="F458" s="204" t="s">
        <v>497</v>
      </c>
      <c r="G458" s="204" t="s">
        <v>497</v>
      </c>
      <c r="H458" s="204" t="s">
        <v>497</v>
      </c>
      <c r="I458" s="204" t="s">
        <v>497</v>
      </c>
      <c r="J458" s="205" t="s">
        <v>497</v>
      </c>
      <c r="K458" s="205" t="s">
        <v>497</v>
      </c>
      <c r="L458" s="204" t="s">
        <v>497</v>
      </c>
      <c r="M458" s="204" t="s">
        <v>497</v>
      </c>
      <c r="N458" s="204"/>
      <c r="O458" s="204"/>
      <c r="P458" s="204"/>
      <c r="Q458" s="204"/>
      <c r="R458" s="204"/>
      <c r="S458" s="204"/>
      <c r="T458" s="204"/>
      <c r="U458" s="204"/>
      <c r="V458" s="204"/>
      <c r="W458" s="204"/>
      <c r="X458" s="204"/>
      <c r="Y458" s="204"/>
      <c r="Z458" s="204"/>
      <c r="AA458" s="204"/>
      <c r="AB458" s="204"/>
      <c r="AC458" s="204"/>
      <c r="AD458" s="204"/>
      <c r="AE458" s="204"/>
      <c r="AF458" s="204"/>
      <c r="AG458" s="204"/>
      <c r="AH458" s="204"/>
      <c r="AI458" s="204"/>
      <c r="AJ458" s="204"/>
      <c r="AK458" s="204"/>
      <c r="AL458" s="204"/>
      <c r="AM458" s="204"/>
      <c r="AN458" s="204"/>
      <c r="AO458" s="204"/>
      <c r="AP458" s="204"/>
      <c r="AQ458" s="204"/>
      <c r="AR458" s="204"/>
      <c r="AS458" s="204"/>
      <c r="AT458" s="204"/>
      <c r="AU458" s="206"/>
      <c r="AV458" s="202"/>
      <c r="AW458" s="202"/>
      <c r="AX458" s="202"/>
      <c r="AY458" s="202"/>
      <c r="AZ458" s="202"/>
      <c r="BA458" s="202"/>
      <c r="BB458" s="202"/>
      <c r="BC458" s="202"/>
      <c r="BD458" s="202"/>
      <c r="BE458" s="202"/>
      <c r="BF458" s="202"/>
      <c r="BG458" s="202"/>
    </row>
    <row r="459" spans="2:59" ht="15">
      <c r="B459" s="204" t="s">
        <v>497</v>
      </c>
      <c r="C459" s="204" t="s">
        <v>497</v>
      </c>
      <c r="D459" s="204" t="s">
        <v>497</v>
      </c>
      <c r="E459" s="204" t="s">
        <v>497</v>
      </c>
      <c r="F459" s="204" t="s">
        <v>497</v>
      </c>
      <c r="G459" s="204" t="s">
        <v>497</v>
      </c>
      <c r="H459" s="204" t="s">
        <v>497</v>
      </c>
      <c r="I459" s="204" t="s">
        <v>497</v>
      </c>
      <c r="J459" s="205" t="s">
        <v>497</v>
      </c>
      <c r="K459" s="205" t="s">
        <v>497</v>
      </c>
      <c r="L459" s="204" t="s">
        <v>497</v>
      </c>
      <c r="M459" s="204" t="s">
        <v>497</v>
      </c>
      <c r="N459" s="204"/>
      <c r="O459" s="204"/>
      <c r="P459" s="204"/>
      <c r="Q459" s="204"/>
      <c r="R459" s="204"/>
      <c r="S459" s="204"/>
      <c r="T459" s="204"/>
      <c r="U459" s="204"/>
      <c r="V459" s="204"/>
      <c r="W459" s="204"/>
      <c r="X459" s="204"/>
      <c r="Y459" s="204"/>
      <c r="Z459" s="204"/>
      <c r="AA459" s="204"/>
      <c r="AB459" s="204"/>
      <c r="AC459" s="204"/>
      <c r="AD459" s="204"/>
      <c r="AE459" s="204"/>
      <c r="AF459" s="204"/>
      <c r="AG459" s="204"/>
      <c r="AH459" s="204"/>
      <c r="AI459" s="204"/>
      <c r="AJ459" s="204"/>
      <c r="AK459" s="204"/>
      <c r="AL459" s="204"/>
      <c r="AM459" s="204"/>
      <c r="AN459" s="204"/>
      <c r="AO459" s="204"/>
      <c r="AP459" s="204"/>
      <c r="AQ459" s="204"/>
      <c r="AR459" s="204"/>
      <c r="AS459" s="204"/>
      <c r="AT459" s="204"/>
      <c r="AU459" s="206"/>
      <c r="AV459" s="202"/>
      <c r="AW459" s="202"/>
      <c r="AX459" s="202"/>
      <c r="AY459" s="202"/>
      <c r="AZ459" s="202"/>
      <c r="BA459" s="202"/>
      <c r="BB459" s="202"/>
      <c r="BC459" s="202"/>
      <c r="BD459" s="202"/>
      <c r="BE459" s="202"/>
      <c r="BF459" s="202"/>
      <c r="BG459" s="202"/>
    </row>
    <row r="460" spans="2:59" ht="15">
      <c r="B460" s="204" t="s">
        <v>497</v>
      </c>
      <c r="C460" s="204" t="s">
        <v>497</v>
      </c>
      <c r="D460" s="204" t="s">
        <v>497</v>
      </c>
      <c r="E460" s="204" t="s">
        <v>497</v>
      </c>
      <c r="F460" s="204" t="s">
        <v>497</v>
      </c>
      <c r="G460" s="204" t="s">
        <v>497</v>
      </c>
      <c r="H460" s="204" t="s">
        <v>497</v>
      </c>
      <c r="I460" s="204" t="s">
        <v>497</v>
      </c>
      <c r="J460" s="205" t="s">
        <v>497</v>
      </c>
      <c r="K460" s="205" t="s">
        <v>497</v>
      </c>
      <c r="L460" s="204" t="s">
        <v>497</v>
      </c>
      <c r="M460" s="204" t="s">
        <v>497</v>
      </c>
      <c r="N460" s="204"/>
      <c r="O460" s="204"/>
      <c r="P460" s="204"/>
      <c r="Q460" s="204"/>
      <c r="R460" s="204"/>
      <c r="S460" s="204"/>
      <c r="T460" s="204"/>
      <c r="U460" s="204"/>
      <c r="V460" s="204"/>
      <c r="W460" s="204"/>
      <c r="X460" s="204"/>
      <c r="Y460" s="204"/>
      <c r="Z460" s="204"/>
      <c r="AA460" s="204"/>
      <c r="AB460" s="204"/>
      <c r="AC460" s="204"/>
      <c r="AD460" s="204"/>
      <c r="AE460" s="204"/>
      <c r="AF460" s="204"/>
      <c r="AG460" s="204"/>
      <c r="AH460" s="204"/>
      <c r="AI460" s="204"/>
      <c r="AJ460" s="204"/>
      <c r="AK460" s="204"/>
      <c r="AL460" s="204"/>
      <c r="AM460" s="204"/>
      <c r="AN460" s="204"/>
      <c r="AO460" s="204"/>
      <c r="AP460" s="204"/>
      <c r="AQ460" s="204"/>
      <c r="AR460" s="204"/>
      <c r="AS460" s="204"/>
      <c r="AT460" s="204"/>
      <c r="AU460" s="206"/>
      <c r="AV460" s="202"/>
      <c r="AW460" s="202"/>
      <c r="AX460" s="202"/>
      <c r="AY460" s="202"/>
      <c r="AZ460" s="202"/>
      <c r="BA460" s="202"/>
      <c r="BB460" s="202"/>
      <c r="BC460" s="202"/>
      <c r="BD460" s="202"/>
      <c r="BE460" s="202"/>
      <c r="BF460" s="202"/>
      <c r="BG460" s="202"/>
    </row>
    <row r="461" spans="2:59" ht="15">
      <c r="B461" s="204" t="s">
        <v>497</v>
      </c>
      <c r="C461" s="204" t="s">
        <v>497</v>
      </c>
      <c r="D461" s="204" t="s">
        <v>497</v>
      </c>
      <c r="E461" s="204" t="s">
        <v>497</v>
      </c>
      <c r="F461" s="204" t="s">
        <v>497</v>
      </c>
      <c r="G461" s="204" t="s">
        <v>497</v>
      </c>
      <c r="H461" s="204" t="s">
        <v>497</v>
      </c>
      <c r="I461" s="204" t="s">
        <v>497</v>
      </c>
      <c r="J461" s="205" t="s">
        <v>497</v>
      </c>
      <c r="K461" s="205" t="s">
        <v>497</v>
      </c>
      <c r="L461" s="204" t="s">
        <v>497</v>
      </c>
      <c r="M461" s="204" t="s">
        <v>497</v>
      </c>
      <c r="N461" s="204"/>
      <c r="O461" s="204"/>
      <c r="P461" s="204"/>
      <c r="Q461" s="204"/>
      <c r="R461" s="204"/>
      <c r="S461" s="204"/>
      <c r="T461" s="204"/>
      <c r="U461" s="204"/>
      <c r="V461" s="204"/>
      <c r="W461" s="204"/>
      <c r="X461" s="204"/>
      <c r="Y461" s="204"/>
      <c r="Z461" s="204"/>
      <c r="AA461" s="204"/>
      <c r="AB461" s="204"/>
      <c r="AC461" s="204"/>
      <c r="AD461" s="204"/>
      <c r="AE461" s="204"/>
      <c r="AF461" s="204"/>
      <c r="AG461" s="204"/>
      <c r="AH461" s="204"/>
      <c r="AI461" s="204"/>
      <c r="AJ461" s="204"/>
      <c r="AK461" s="204"/>
      <c r="AL461" s="204"/>
      <c r="AM461" s="204"/>
      <c r="AN461" s="204"/>
      <c r="AO461" s="204"/>
      <c r="AP461" s="204"/>
      <c r="AQ461" s="204"/>
      <c r="AR461" s="204"/>
      <c r="AS461" s="204"/>
      <c r="AT461" s="204"/>
      <c r="AU461" s="206"/>
      <c r="AV461" s="202"/>
      <c r="AW461" s="202"/>
      <c r="AX461" s="202"/>
      <c r="AY461" s="202"/>
      <c r="AZ461" s="202"/>
      <c r="BA461" s="202"/>
      <c r="BB461" s="202"/>
      <c r="BC461" s="202"/>
      <c r="BD461" s="202"/>
      <c r="BE461" s="202"/>
      <c r="BF461" s="202"/>
      <c r="BG461" s="202"/>
    </row>
    <row r="462" spans="2:59" ht="15">
      <c r="B462" s="204" t="s">
        <v>497</v>
      </c>
      <c r="C462" s="204" t="s">
        <v>497</v>
      </c>
      <c r="D462" s="204" t="s">
        <v>497</v>
      </c>
      <c r="E462" s="204" t="s">
        <v>497</v>
      </c>
      <c r="F462" s="204" t="s">
        <v>497</v>
      </c>
      <c r="G462" s="204" t="s">
        <v>497</v>
      </c>
      <c r="H462" s="204" t="s">
        <v>497</v>
      </c>
      <c r="I462" s="204" t="s">
        <v>497</v>
      </c>
      <c r="J462" s="205" t="s">
        <v>497</v>
      </c>
      <c r="K462" s="205" t="s">
        <v>497</v>
      </c>
      <c r="L462" s="204" t="s">
        <v>497</v>
      </c>
      <c r="M462" s="204" t="s">
        <v>497</v>
      </c>
      <c r="N462" s="204"/>
      <c r="O462" s="204"/>
      <c r="P462" s="204"/>
      <c r="Q462" s="204"/>
      <c r="R462" s="204"/>
      <c r="S462" s="204"/>
      <c r="T462" s="204"/>
      <c r="U462" s="204"/>
      <c r="V462" s="204"/>
      <c r="W462" s="204"/>
      <c r="X462" s="204"/>
      <c r="Y462" s="204"/>
      <c r="Z462" s="204"/>
      <c r="AA462" s="204"/>
      <c r="AB462" s="204"/>
      <c r="AC462" s="204"/>
      <c r="AD462" s="204"/>
      <c r="AE462" s="204"/>
      <c r="AF462" s="204"/>
      <c r="AG462" s="204"/>
      <c r="AH462" s="204"/>
      <c r="AI462" s="204"/>
      <c r="AJ462" s="204"/>
      <c r="AK462" s="204"/>
      <c r="AL462" s="204"/>
      <c r="AM462" s="204"/>
      <c r="AN462" s="204"/>
      <c r="AO462" s="204"/>
      <c r="AP462" s="204"/>
      <c r="AQ462" s="204"/>
      <c r="AR462" s="204"/>
      <c r="AS462" s="204"/>
      <c r="AT462" s="204"/>
      <c r="AU462" s="206"/>
      <c r="AV462" s="202"/>
      <c r="AW462" s="202"/>
      <c r="AX462" s="202"/>
      <c r="AY462" s="202"/>
      <c r="AZ462" s="202"/>
      <c r="BA462" s="202"/>
      <c r="BB462" s="202"/>
      <c r="BC462" s="202"/>
      <c r="BD462" s="202"/>
      <c r="BE462" s="202"/>
      <c r="BF462" s="202"/>
      <c r="BG462" s="202"/>
    </row>
    <row r="463" spans="2:59" ht="15">
      <c r="B463" s="204" t="s">
        <v>497</v>
      </c>
      <c r="C463" s="204" t="s">
        <v>497</v>
      </c>
      <c r="D463" s="204" t="s">
        <v>497</v>
      </c>
      <c r="E463" s="204" t="s">
        <v>497</v>
      </c>
      <c r="F463" s="204" t="s">
        <v>497</v>
      </c>
      <c r="G463" s="204" t="s">
        <v>497</v>
      </c>
      <c r="H463" s="204" t="s">
        <v>497</v>
      </c>
      <c r="I463" s="204" t="s">
        <v>497</v>
      </c>
      <c r="J463" s="205" t="s">
        <v>497</v>
      </c>
      <c r="K463" s="205" t="s">
        <v>497</v>
      </c>
      <c r="L463" s="204" t="s">
        <v>497</v>
      </c>
      <c r="M463" s="204" t="s">
        <v>497</v>
      </c>
      <c r="N463" s="204"/>
      <c r="O463" s="204"/>
      <c r="P463" s="204"/>
      <c r="Q463" s="204"/>
      <c r="R463" s="204"/>
      <c r="S463" s="204"/>
      <c r="T463" s="204"/>
      <c r="U463" s="204"/>
      <c r="V463" s="204"/>
      <c r="W463" s="204"/>
      <c r="X463" s="204"/>
      <c r="Y463" s="204"/>
      <c r="Z463" s="204"/>
      <c r="AA463" s="204"/>
      <c r="AB463" s="204"/>
      <c r="AC463" s="204"/>
      <c r="AD463" s="204"/>
      <c r="AE463" s="204"/>
      <c r="AF463" s="204"/>
      <c r="AG463" s="204"/>
      <c r="AH463" s="204"/>
      <c r="AI463" s="204"/>
      <c r="AJ463" s="204"/>
      <c r="AK463" s="204"/>
      <c r="AL463" s="204"/>
      <c r="AM463" s="204"/>
      <c r="AN463" s="204"/>
      <c r="AO463" s="204"/>
      <c r="AP463" s="204"/>
      <c r="AQ463" s="204"/>
      <c r="AR463" s="204"/>
      <c r="AS463" s="204"/>
      <c r="AT463" s="204"/>
      <c r="AU463" s="206"/>
      <c r="AV463" s="202"/>
      <c r="AW463" s="202"/>
      <c r="AX463" s="202"/>
      <c r="AY463" s="202"/>
      <c r="AZ463" s="202"/>
      <c r="BA463" s="202"/>
      <c r="BB463" s="202"/>
      <c r="BC463" s="202"/>
      <c r="BD463" s="202"/>
      <c r="BE463" s="202"/>
      <c r="BF463" s="202"/>
      <c r="BG463" s="202"/>
    </row>
    <row r="464" spans="2:59" ht="15">
      <c r="B464" s="204" t="s">
        <v>497</v>
      </c>
      <c r="C464" s="204" t="s">
        <v>497</v>
      </c>
      <c r="D464" s="204" t="s">
        <v>497</v>
      </c>
      <c r="E464" s="204" t="s">
        <v>497</v>
      </c>
      <c r="F464" s="204" t="s">
        <v>497</v>
      </c>
      <c r="G464" s="204" t="s">
        <v>497</v>
      </c>
      <c r="H464" s="204" t="s">
        <v>497</v>
      </c>
      <c r="I464" s="204" t="s">
        <v>497</v>
      </c>
      <c r="J464" s="205" t="s">
        <v>497</v>
      </c>
      <c r="K464" s="205" t="s">
        <v>497</v>
      </c>
      <c r="L464" s="204" t="s">
        <v>497</v>
      </c>
      <c r="M464" s="204" t="s">
        <v>497</v>
      </c>
      <c r="N464" s="204"/>
      <c r="O464" s="204"/>
      <c r="P464" s="204"/>
      <c r="Q464" s="204"/>
      <c r="R464" s="204"/>
      <c r="S464" s="204"/>
      <c r="T464" s="204"/>
      <c r="U464" s="204"/>
      <c r="V464" s="204"/>
      <c r="W464" s="204"/>
      <c r="X464" s="204"/>
      <c r="Y464" s="204"/>
      <c r="Z464" s="204"/>
      <c r="AA464" s="204"/>
      <c r="AB464" s="204"/>
      <c r="AC464" s="204"/>
      <c r="AD464" s="204"/>
      <c r="AE464" s="204"/>
      <c r="AF464" s="204"/>
      <c r="AG464" s="204"/>
      <c r="AH464" s="204"/>
      <c r="AI464" s="204"/>
      <c r="AJ464" s="204"/>
      <c r="AK464" s="204"/>
      <c r="AL464" s="204"/>
      <c r="AM464" s="204"/>
      <c r="AN464" s="204"/>
      <c r="AO464" s="204"/>
      <c r="AP464" s="204"/>
      <c r="AQ464" s="204"/>
      <c r="AR464" s="204"/>
      <c r="AS464" s="204"/>
      <c r="AT464" s="204"/>
      <c r="AU464" s="206"/>
      <c r="AV464" s="202"/>
      <c r="AW464" s="202"/>
      <c r="AX464" s="202"/>
      <c r="AY464" s="202"/>
      <c r="AZ464" s="202"/>
      <c r="BA464" s="202"/>
      <c r="BB464" s="202"/>
      <c r="BC464" s="202"/>
      <c r="BD464" s="202"/>
      <c r="BE464" s="202"/>
      <c r="BF464" s="202"/>
      <c r="BG464" s="202"/>
    </row>
    <row r="465" spans="2:59" ht="15">
      <c r="B465" s="204" t="s">
        <v>497</v>
      </c>
      <c r="C465" s="204" t="s">
        <v>497</v>
      </c>
      <c r="D465" s="204" t="s">
        <v>497</v>
      </c>
      <c r="E465" s="204" t="s">
        <v>497</v>
      </c>
      <c r="F465" s="204" t="s">
        <v>497</v>
      </c>
      <c r="G465" s="204" t="s">
        <v>497</v>
      </c>
      <c r="H465" s="204" t="s">
        <v>497</v>
      </c>
      <c r="I465" s="204" t="s">
        <v>497</v>
      </c>
      <c r="J465" s="205" t="s">
        <v>497</v>
      </c>
      <c r="K465" s="205" t="s">
        <v>497</v>
      </c>
      <c r="L465" s="204" t="s">
        <v>497</v>
      </c>
      <c r="M465" s="204" t="s">
        <v>497</v>
      </c>
      <c r="N465" s="204"/>
      <c r="O465" s="204"/>
      <c r="P465" s="204"/>
      <c r="Q465" s="204"/>
      <c r="R465" s="204"/>
      <c r="S465" s="204"/>
      <c r="T465" s="204"/>
      <c r="U465" s="204"/>
      <c r="V465" s="204"/>
      <c r="W465" s="204"/>
      <c r="X465" s="204"/>
      <c r="Y465" s="204"/>
      <c r="Z465" s="204"/>
      <c r="AA465" s="204"/>
      <c r="AB465" s="204"/>
      <c r="AC465" s="204"/>
      <c r="AD465" s="204"/>
      <c r="AE465" s="204"/>
      <c r="AF465" s="204"/>
      <c r="AG465" s="204"/>
      <c r="AH465" s="204"/>
      <c r="AI465" s="204"/>
      <c r="AJ465" s="204"/>
      <c r="AK465" s="204"/>
      <c r="AL465" s="204"/>
      <c r="AM465" s="204"/>
      <c r="AN465" s="204"/>
      <c r="AO465" s="204"/>
      <c r="AP465" s="204"/>
      <c r="AQ465" s="204"/>
      <c r="AR465" s="204"/>
      <c r="AS465" s="204"/>
      <c r="AT465" s="204"/>
      <c r="AU465" s="206"/>
      <c r="AV465" s="202"/>
      <c r="AW465" s="202"/>
      <c r="AX465" s="202"/>
      <c r="AY465" s="202"/>
      <c r="AZ465" s="202"/>
      <c r="BA465" s="202"/>
      <c r="BB465" s="202"/>
      <c r="BC465" s="202"/>
      <c r="BD465" s="202"/>
      <c r="BE465" s="202"/>
      <c r="BF465" s="202"/>
      <c r="BG465" s="202"/>
    </row>
    <row r="466" spans="2:59" ht="15">
      <c r="B466" s="204" t="s">
        <v>497</v>
      </c>
      <c r="C466" s="204" t="s">
        <v>497</v>
      </c>
      <c r="D466" s="204" t="s">
        <v>497</v>
      </c>
      <c r="E466" s="204" t="s">
        <v>497</v>
      </c>
      <c r="F466" s="204" t="s">
        <v>497</v>
      </c>
      <c r="G466" s="204" t="s">
        <v>497</v>
      </c>
      <c r="H466" s="204" t="s">
        <v>497</v>
      </c>
      <c r="I466" s="204" t="s">
        <v>497</v>
      </c>
      <c r="J466" s="205" t="s">
        <v>497</v>
      </c>
      <c r="K466" s="205" t="s">
        <v>497</v>
      </c>
      <c r="L466" s="204" t="s">
        <v>497</v>
      </c>
      <c r="M466" s="204" t="s">
        <v>497</v>
      </c>
      <c r="N466" s="204"/>
      <c r="O466" s="204"/>
      <c r="P466" s="204"/>
      <c r="Q466" s="204"/>
      <c r="R466" s="204"/>
      <c r="S466" s="204"/>
      <c r="T466" s="204"/>
      <c r="U466" s="204"/>
      <c r="V466" s="204"/>
      <c r="W466" s="204"/>
      <c r="X466" s="204"/>
      <c r="Y466" s="204"/>
      <c r="Z466" s="204"/>
      <c r="AA466" s="204"/>
      <c r="AB466" s="204"/>
      <c r="AC466" s="204"/>
      <c r="AD466" s="204"/>
      <c r="AE466" s="204"/>
      <c r="AF466" s="204"/>
      <c r="AG466" s="204"/>
      <c r="AH466" s="204"/>
      <c r="AI466" s="204"/>
      <c r="AJ466" s="204"/>
      <c r="AK466" s="204"/>
      <c r="AL466" s="204"/>
      <c r="AM466" s="204"/>
      <c r="AN466" s="204"/>
      <c r="AO466" s="204"/>
      <c r="AP466" s="204"/>
      <c r="AQ466" s="204"/>
      <c r="AR466" s="204"/>
      <c r="AS466" s="204"/>
      <c r="AT466" s="204"/>
      <c r="AU466" s="206"/>
      <c r="AV466" s="202"/>
      <c r="AW466" s="202"/>
      <c r="AX466" s="202"/>
      <c r="AY466" s="202"/>
      <c r="AZ466" s="202"/>
      <c r="BA466" s="202"/>
      <c r="BB466" s="202"/>
      <c r="BC466" s="202"/>
      <c r="BD466" s="202"/>
      <c r="BE466" s="202"/>
      <c r="BF466" s="202"/>
      <c r="BG466" s="202"/>
    </row>
    <row r="467" spans="2:59" ht="15">
      <c r="B467" s="204" t="s">
        <v>497</v>
      </c>
      <c r="C467" s="204" t="s">
        <v>497</v>
      </c>
      <c r="D467" s="204" t="s">
        <v>497</v>
      </c>
      <c r="E467" s="204" t="s">
        <v>497</v>
      </c>
      <c r="F467" s="204" t="s">
        <v>497</v>
      </c>
      <c r="G467" s="204" t="s">
        <v>497</v>
      </c>
      <c r="H467" s="204" t="s">
        <v>497</v>
      </c>
      <c r="I467" s="204" t="s">
        <v>497</v>
      </c>
      <c r="J467" s="205" t="s">
        <v>497</v>
      </c>
      <c r="K467" s="205" t="s">
        <v>497</v>
      </c>
      <c r="L467" s="204" t="s">
        <v>497</v>
      </c>
      <c r="M467" s="204" t="s">
        <v>497</v>
      </c>
      <c r="N467" s="204"/>
      <c r="O467" s="204"/>
      <c r="P467" s="204"/>
      <c r="Q467" s="204"/>
      <c r="R467" s="204"/>
      <c r="S467" s="204"/>
      <c r="T467" s="204"/>
      <c r="U467" s="204"/>
      <c r="V467" s="204"/>
      <c r="W467" s="204"/>
      <c r="X467" s="204"/>
      <c r="Y467" s="204"/>
      <c r="Z467" s="204"/>
      <c r="AA467" s="204"/>
      <c r="AB467" s="204"/>
      <c r="AC467" s="204"/>
      <c r="AD467" s="204"/>
      <c r="AE467" s="204"/>
      <c r="AF467" s="204"/>
      <c r="AG467" s="204"/>
      <c r="AH467" s="204"/>
      <c r="AI467" s="204"/>
      <c r="AJ467" s="204"/>
      <c r="AK467" s="204"/>
      <c r="AL467" s="204"/>
      <c r="AM467" s="204"/>
      <c r="AN467" s="204"/>
      <c r="AO467" s="204"/>
      <c r="AP467" s="204"/>
      <c r="AQ467" s="204"/>
      <c r="AR467" s="204"/>
      <c r="AS467" s="204"/>
      <c r="AT467" s="204"/>
      <c r="AU467" s="206"/>
      <c r="AV467" s="202"/>
      <c r="AW467" s="202"/>
      <c r="AX467" s="202"/>
      <c r="AY467" s="202"/>
      <c r="AZ467" s="202"/>
      <c r="BA467" s="202"/>
      <c r="BB467" s="202"/>
      <c r="BC467" s="202"/>
      <c r="BD467" s="202"/>
      <c r="BE467" s="202"/>
      <c r="BF467" s="202"/>
      <c r="BG467" s="202"/>
    </row>
    <row r="468" spans="2:59" ht="15">
      <c r="B468" s="204" t="s">
        <v>497</v>
      </c>
      <c r="C468" s="204" t="s">
        <v>497</v>
      </c>
      <c r="D468" s="204" t="s">
        <v>497</v>
      </c>
      <c r="E468" s="204" t="s">
        <v>497</v>
      </c>
      <c r="F468" s="204" t="s">
        <v>497</v>
      </c>
      <c r="G468" s="204" t="s">
        <v>497</v>
      </c>
      <c r="H468" s="204" t="s">
        <v>497</v>
      </c>
      <c r="I468" s="204" t="s">
        <v>497</v>
      </c>
      <c r="J468" s="205" t="s">
        <v>497</v>
      </c>
      <c r="K468" s="205" t="s">
        <v>497</v>
      </c>
      <c r="L468" s="204" t="s">
        <v>497</v>
      </c>
      <c r="M468" s="204" t="s">
        <v>497</v>
      </c>
      <c r="N468" s="204"/>
      <c r="O468" s="204"/>
      <c r="P468" s="204"/>
      <c r="Q468" s="204"/>
      <c r="R468" s="204"/>
      <c r="S468" s="204"/>
      <c r="T468" s="204"/>
      <c r="U468" s="204"/>
      <c r="V468" s="204"/>
      <c r="W468" s="204"/>
      <c r="X468" s="204"/>
      <c r="Y468" s="204"/>
      <c r="Z468" s="204"/>
      <c r="AA468" s="204"/>
      <c r="AB468" s="204"/>
      <c r="AC468" s="204"/>
      <c r="AD468" s="204"/>
      <c r="AE468" s="204"/>
      <c r="AF468" s="204"/>
      <c r="AG468" s="204"/>
      <c r="AH468" s="204"/>
      <c r="AI468" s="204"/>
      <c r="AJ468" s="204"/>
      <c r="AK468" s="204"/>
      <c r="AL468" s="204"/>
      <c r="AM468" s="204"/>
      <c r="AN468" s="204"/>
      <c r="AO468" s="204"/>
      <c r="AP468" s="204"/>
      <c r="AQ468" s="204"/>
      <c r="AR468" s="204"/>
      <c r="AS468" s="204"/>
      <c r="AT468" s="204"/>
      <c r="AU468" s="206"/>
      <c r="AV468" s="202"/>
      <c r="AW468" s="202"/>
      <c r="AX468" s="202"/>
      <c r="AY468" s="202"/>
      <c r="AZ468" s="202"/>
      <c r="BA468" s="202"/>
      <c r="BB468" s="202"/>
      <c r="BC468" s="202"/>
      <c r="BD468" s="202"/>
      <c r="BE468" s="202"/>
      <c r="BF468" s="202"/>
      <c r="BG468" s="202"/>
    </row>
    <row r="469" spans="2:59" ht="15">
      <c r="B469" s="204" t="s">
        <v>497</v>
      </c>
      <c r="C469" s="204" t="s">
        <v>497</v>
      </c>
      <c r="D469" s="204" t="s">
        <v>497</v>
      </c>
      <c r="E469" s="204" t="s">
        <v>497</v>
      </c>
      <c r="F469" s="204" t="s">
        <v>497</v>
      </c>
      <c r="G469" s="204" t="s">
        <v>497</v>
      </c>
      <c r="H469" s="204" t="s">
        <v>497</v>
      </c>
      <c r="I469" s="204" t="s">
        <v>497</v>
      </c>
      <c r="J469" s="205" t="s">
        <v>497</v>
      </c>
      <c r="K469" s="205" t="s">
        <v>497</v>
      </c>
      <c r="L469" s="204" t="s">
        <v>497</v>
      </c>
      <c r="M469" s="204" t="s">
        <v>497</v>
      </c>
      <c r="N469" s="204"/>
      <c r="O469" s="204"/>
      <c r="P469" s="204"/>
      <c r="Q469" s="204"/>
      <c r="R469" s="204"/>
      <c r="S469" s="204"/>
      <c r="T469" s="204"/>
      <c r="U469" s="204"/>
      <c r="V469" s="204"/>
      <c r="W469" s="204"/>
      <c r="X469" s="204"/>
      <c r="Y469" s="204"/>
      <c r="Z469" s="204"/>
      <c r="AA469" s="204"/>
      <c r="AB469" s="204"/>
      <c r="AC469" s="204"/>
      <c r="AD469" s="204"/>
      <c r="AE469" s="204"/>
      <c r="AF469" s="204"/>
      <c r="AG469" s="204"/>
      <c r="AH469" s="204"/>
      <c r="AI469" s="204"/>
      <c r="AJ469" s="204"/>
      <c r="AK469" s="204"/>
      <c r="AL469" s="204"/>
      <c r="AM469" s="204"/>
      <c r="AN469" s="204"/>
      <c r="AO469" s="204"/>
      <c r="AP469" s="204"/>
      <c r="AQ469" s="204"/>
      <c r="AR469" s="204"/>
      <c r="AS469" s="204"/>
      <c r="AT469" s="204"/>
      <c r="AU469" s="206"/>
      <c r="AV469" s="202"/>
      <c r="AW469" s="202"/>
      <c r="AX469" s="202"/>
      <c r="AY469" s="202"/>
      <c r="AZ469" s="202"/>
      <c r="BA469" s="202"/>
      <c r="BB469" s="202"/>
      <c r="BC469" s="202"/>
      <c r="BD469" s="202"/>
      <c r="BE469" s="202"/>
      <c r="BF469" s="202"/>
      <c r="BG469" s="202"/>
    </row>
    <row r="470" spans="2:59" ht="15">
      <c r="B470" s="204" t="s">
        <v>497</v>
      </c>
      <c r="C470" s="204" t="s">
        <v>497</v>
      </c>
      <c r="D470" s="204" t="s">
        <v>497</v>
      </c>
      <c r="E470" s="204" t="s">
        <v>497</v>
      </c>
      <c r="F470" s="204" t="s">
        <v>497</v>
      </c>
      <c r="G470" s="204" t="s">
        <v>497</v>
      </c>
      <c r="H470" s="204" t="s">
        <v>497</v>
      </c>
      <c r="I470" s="204" t="s">
        <v>497</v>
      </c>
      <c r="J470" s="205" t="s">
        <v>497</v>
      </c>
      <c r="K470" s="205" t="s">
        <v>497</v>
      </c>
      <c r="L470" s="204" t="s">
        <v>497</v>
      </c>
      <c r="M470" s="204" t="s">
        <v>497</v>
      </c>
      <c r="N470" s="204"/>
      <c r="O470" s="204"/>
      <c r="P470" s="204"/>
      <c r="Q470" s="204"/>
      <c r="R470" s="204"/>
      <c r="S470" s="204"/>
      <c r="T470" s="204"/>
      <c r="U470" s="204"/>
      <c r="V470" s="204"/>
      <c r="W470" s="204"/>
      <c r="X470" s="204"/>
      <c r="Y470" s="204"/>
      <c r="Z470" s="204"/>
      <c r="AA470" s="204"/>
      <c r="AB470" s="204"/>
      <c r="AC470" s="204"/>
      <c r="AD470" s="204"/>
      <c r="AE470" s="204"/>
      <c r="AF470" s="204"/>
      <c r="AG470" s="204"/>
      <c r="AH470" s="204"/>
      <c r="AI470" s="204"/>
      <c r="AJ470" s="204"/>
      <c r="AK470" s="204"/>
      <c r="AL470" s="204"/>
      <c r="AM470" s="204"/>
      <c r="AN470" s="204"/>
      <c r="AO470" s="204"/>
      <c r="AP470" s="204"/>
      <c r="AQ470" s="204"/>
      <c r="AR470" s="204"/>
      <c r="AS470" s="204"/>
      <c r="AT470" s="204"/>
      <c r="AU470" s="206"/>
      <c r="AV470" s="202"/>
      <c r="AW470" s="202"/>
      <c r="AX470" s="202"/>
      <c r="AY470" s="202"/>
      <c r="AZ470" s="202"/>
      <c r="BA470" s="202"/>
      <c r="BB470" s="202"/>
      <c r="BC470" s="202"/>
      <c r="BD470" s="202"/>
      <c r="BE470" s="202"/>
      <c r="BF470" s="202"/>
      <c r="BG470" s="202"/>
    </row>
    <row r="471" spans="2:59" ht="15">
      <c r="B471" s="204" t="s">
        <v>497</v>
      </c>
      <c r="C471" s="204" t="s">
        <v>497</v>
      </c>
      <c r="D471" s="204" t="s">
        <v>497</v>
      </c>
      <c r="E471" s="204" t="s">
        <v>497</v>
      </c>
      <c r="F471" s="204" t="s">
        <v>497</v>
      </c>
      <c r="G471" s="204" t="s">
        <v>497</v>
      </c>
      <c r="H471" s="204" t="s">
        <v>497</v>
      </c>
      <c r="I471" s="204" t="s">
        <v>497</v>
      </c>
      <c r="J471" s="205" t="s">
        <v>497</v>
      </c>
      <c r="K471" s="205" t="s">
        <v>497</v>
      </c>
      <c r="L471" s="204" t="s">
        <v>497</v>
      </c>
      <c r="M471" s="204" t="s">
        <v>497</v>
      </c>
      <c r="N471" s="204"/>
      <c r="O471" s="204"/>
      <c r="P471" s="204"/>
      <c r="Q471" s="204"/>
      <c r="R471" s="204"/>
      <c r="S471" s="204"/>
      <c r="T471" s="204"/>
      <c r="U471" s="204"/>
      <c r="V471" s="204"/>
      <c r="W471" s="204"/>
      <c r="X471" s="204"/>
      <c r="Y471" s="204"/>
      <c r="Z471" s="204"/>
      <c r="AA471" s="204"/>
      <c r="AB471" s="204"/>
      <c r="AC471" s="204"/>
      <c r="AD471" s="204"/>
      <c r="AE471" s="204"/>
      <c r="AF471" s="204"/>
      <c r="AG471" s="204"/>
      <c r="AH471" s="204"/>
      <c r="AI471" s="204"/>
      <c r="AJ471" s="204"/>
      <c r="AK471" s="204"/>
      <c r="AL471" s="204"/>
      <c r="AM471" s="204"/>
      <c r="AN471" s="204"/>
      <c r="AO471" s="204"/>
      <c r="AP471" s="204"/>
      <c r="AQ471" s="204"/>
      <c r="AR471" s="204"/>
      <c r="AS471" s="204"/>
      <c r="AT471" s="204"/>
      <c r="AU471" s="206"/>
      <c r="AV471" s="202"/>
      <c r="AW471" s="202"/>
      <c r="AX471" s="202"/>
      <c r="AY471" s="202"/>
      <c r="AZ471" s="202"/>
      <c r="BA471" s="202"/>
      <c r="BB471" s="202"/>
      <c r="BC471" s="202"/>
      <c r="BD471" s="202"/>
      <c r="BE471" s="202"/>
      <c r="BF471" s="202"/>
      <c r="BG471" s="202"/>
    </row>
    <row r="472" spans="2:59" ht="15">
      <c r="B472" s="204" t="s">
        <v>497</v>
      </c>
      <c r="C472" s="204" t="s">
        <v>497</v>
      </c>
      <c r="D472" s="204" t="s">
        <v>497</v>
      </c>
      <c r="E472" s="204" t="s">
        <v>497</v>
      </c>
      <c r="F472" s="204" t="s">
        <v>497</v>
      </c>
      <c r="G472" s="204" t="s">
        <v>497</v>
      </c>
      <c r="H472" s="204" t="s">
        <v>497</v>
      </c>
      <c r="I472" s="204" t="s">
        <v>497</v>
      </c>
      <c r="J472" s="205" t="s">
        <v>497</v>
      </c>
      <c r="K472" s="205" t="s">
        <v>497</v>
      </c>
      <c r="L472" s="204" t="s">
        <v>497</v>
      </c>
      <c r="M472" s="204" t="s">
        <v>497</v>
      </c>
      <c r="N472" s="204"/>
      <c r="O472" s="204"/>
      <c r="P472" s="204"/>
      <c r="Q472" s="204"/>
      <c r="R472" s="204"/>
      <c r="S472" s="204"/>
      <c r="T472" s="204"/>
      <c r="U472" s="204"/>
      <c r="V472" s="204"/>
      <c r="W472" s="204"/>
      <c r="X472" s="204"/>
      <c r="Y472" s="204"/>
      <c r="Z472" s="204"/>
      <c r="AA472" s="204"/>
      <c r="AB472" s="204"/>
      <c r="AC472" s="204"/>
      <c r="AD472" s="204"/>
      <c r="AE472" s="204"/>
      <c r="AF472" s="204"/>
      <c r="AG472" s="204"/>
      <c r="AH472" s="204"/>
      <c r="AI472" s="204"/>
      <c r="AJ472" s="204"/>
      <c r="AK472" s="204"/>
      <c r="AL472" s="204"/>
      <c r="AM472" s="204"/>
      <c r="AN472" s="204"/>
      <c r="AO472" s="204"/>
      <c r="AP472" s="204"/>
      <c r="AQ472" s="204"/>
      <c r="AR472" s="204"/>
      <c r="AS472" s="204"/>
      <c r="AT472" s="204"/>
      <c r="AU472" s="206"/>
      <c r="AV472" s="202"/>
      <c r="AW472" s="202"/>
      <c r="AX472" s="202"/>
      <c r="AY472" s="202"/>
      <c r="AZ472" s="202"/>
      <c r="BA472" s="202"/>
      <c r="BB472" s="202"/>
      <c r="BC472" s="202"/>
      <c r="BD472" s="202"/>
      <c r="BE472" s="202"/>
      <c r="BF472" s="202"/>
      <c r="BG472" s="202"/>
    </row>
    <row r="473" spans="2:59" ht="15">
      <c r="B473" s="204" t="s">
        <v>497</v>
      </c>
      <c r="C473" s="204" t="s">
        <v>497</v>
      </c>
      <c r="D473" s="204" t="s">
        <v>497</v>
      </c>
      <c r="E473" s="204" t="s">
        <v>497</v>
      </c>
      <c r="F473" s="204" t="s">
        <v>497</v>
      </c>
      <c r="G473" s="204" t="s">
        <v>497</v>
      </c>
      <c r="H473" s="204" t="s">
        <v>497</v>
      </c>
      <c r="I473" s="204" t="s">
        <v>497</v>
      </c>
      <c r="J473" s="205" t="s">
        <v>497</v>
      </c>
      <c r="K473" s="205" t="s">
        <v>497</v>
      </c>
      <c r="L473" s="204" t="s">
        <v>497</v>
      </c>
      <c r="M473" s="204" t="s">
        <v>497</v>
      </c>
      <c r="N473" s="204"/>
      <c r="O473" s="204"/>
      <c r="P473" s="204"/>
      <c r="Q473" s="204"/>
      <c r="R473" s="204"/>
      <c r="S473" s="204"/>
      <c r="T473" s="204"/>
      <c r="U473" s="204"/>
      <c r="V473" s="204"/>
      <c r="W473" s="204"/>
      <c r="X473" s="204"/>
      <c r="Y473" s="204"/>
      <c r="Z473" s="204"/>
      <c r="AA473" s="204"/>
      <c r="AB473" s="204"/>
      <c r="AC473" s="204"/>
      <c r="AD473" s="204"/>
      <c r="AE473" s="204"/>
      <c r="AF473" s="204"/>
      <c r="AG473" s="204"/>
      <c r="AH473" s="204"/>
      <c r="AI473" s="204"/>
      <c r="AJ473" s="204"/>
      <c r="AK473" s="204"/>
      <c r="AL473" s="204"/>
      <c r="AM473" s="204"/>
      <c r="AN473" s="204"/>
      <c r="AO473" s="204"/>
      <c r="AP473" s="204"/>
      <c r="AQ473" s="204"/>
      <c r="AR473" s="204"/>
      <c r="AS473" s="204"/>
      <c r="AT473" s="204"/>
      <c r="AU473" s="206"/>
      <c r="AV473" s="202"/>
      <c r="AW473" s="202"/>
      <c r="AX473" s="202"/>
      <c r="AY473" s="202"/>
      <c r="AZ473" s="202"/>
      <c r="BA473" s="202"/>
      <c r="BB473" s="202"/>
      <c r="BC473" s="202"/>
      <c r="BD473" s="202"/>
      <c r="BE473" s="202"/>
      <c r="BF473" s="202"/>
      <c r="BG473" s="202"/>
    </row>
    <row r="474" spans="2:59" ht="15">
      <c r="B474" s="204" t="s">
        <v>497</v>
      </c>
      <c r="C474" s="204" t="s">
        <v>497</v>
      </c>
      <c r="D474" s="204" t="s">
        <v>497</v>
      </c>
      <c r="E474" s="204" t="s">
        <v>497</v>
      </c>
      <c r="F474" s="204" t="s">
        <v>497</v>
      </c>
      <c r="G474" s="204" t="s">
        <v>497</v>
      </c>
      <c r="H474" s="204" t="s">
        <v>497</v>
      </c>
      <c r="I474" s="204" t="s">
        <v>497</v>
      </c>
      <c r="J474" s="205" t="s">
        <v>497</v>
      </c>
      <c r="K474" s="205" t="s">
        <v>497</v>
      </c>
      <c r="L474" s="204" t="s">
        <v>497</v>
      </c>
      <c r="M474" s="204" t="s">
        <v>497</v>
      </c>
      <c r="N474" s="204"/>
      <c r="O474" s="204"/>
      <c r="P474" s="204"/>
      <c r="Q474" s="204"/>
      <c r="R474" s="204"/>
      <c r="S474" s="204"/>
      <c r="T474" s="204"/>
      <c r="U474" s="204"/>
      <c r="V474" s="204"/>
      <c r="W474" s="204"/>
      <c r="X474" s="204"/>
      <c r="Y474" s="204"/>
      <c r="Z474" s="204"/>
      <c r="AA474" s="204"/>
      <c r="AB474" s="204"/>
      <c r="AC474" s="204"/>
      <c r="AD474" s="204"/>
      <c r="AE474" s="204"/>
      <c r="AF474" s="204"/>
      <c r="AG474" s="204"/>
      <c r="AH474" s="204"/>
      <c r="AI474" s="204"/>
      <c r="AJ474" s="204"/>
      <c r="AK474" s="204"/>
      <c r="AL474" s="204"/>
      <c r="AM474" s="204"/>
      <c r="AN474" s="204"/>
      <c r="AO474" s="204"/>
      <c r="AP474" s="204"/>
      <c r="AQ474" s="204"/>
      <c r="AR474" s="204"/>
      <c r="AS474" s="204"/>
      <c r="AT474" s="204"/>
      <c r="AU474" s="206"/>
      <c r="AV474" s="202"/>
      <c r="AW474" s="202"/>
      <c r="AX474" s="202"/>
      <c r="AY474" s="202"/>
      <c r="AZ474" s="202"/>
      <c r="BA474" s="202"/>
      <c r="BB474" s="202"/>
      <c r="BC474" s="202"/>
      <c r="BD474" s="202"/>
      <c r="BE474" s="202"/>
      <c r="BF474" s="202"/>
      <c r="BG474" s="202"/>
    </row>
    <row r="475" spans="2:59" ht="15">
      <c r="B475" s="204" t="s">
        <v>497</v>
      </c>
      <c r="C475" s="204" t="s">
        <v>497</v>
      </c>
      <c r="D475" s="204" t="s">
        <v>497</v>
      </c>
      <c r="E475" s="204" t="s">
        <v>497</v>
      </c>
      <c r="F475" s="204" t="s">
        <v>497</v>
      </c>
      <c r="G475" s="204" t="s">
        <v>497</v>
      </c>
      <c r="H475" s="204" t="s">
        <v>497</v>
      </c>
      <c r="I475" s="204" t="s">
        <v>497</v>
      </c>
      <c r="J475" s="205" t="s">
        <v>497</v>
      </c>
      <c r="K475" s="205" t="s">
        <v>497</v>
      </c>
      <c r="L475" s="204" t="s">
        <v>497</v>
      </c>
      <c r="M475" s="204" t="s">
        <v>497</v>
      </c>
      <c r="N475" s="204"/>
      <c r="O475" s="204"/>
      <c r="P475" s="204"/>
      <c r="Q475" s="204"/>
      <c r="R475" s="204"/>
      <c r="S475" s="204"/>
      <c r="T475" s="204"/>
      <c r="U475" s="204"/>
      <c r="V475" s="204"/>
      <c r="W475" s="204"/>
      <c r="X475" s="204"/>
      <c r="Y475" s="204"/>
      <c r="Z475" s="204"/>
      <c r="AA475" s="204"/>
      <c r="AB475" s="204"/>
      <c r="AC475" s="204"/>
      <c r="AD475" s="204"/>
      <c r="AE475" s="204"/>
      <c r="AF475" s="204"/>
      <c r="AG475" s="204"/>
      <c r="AH475" s="204"/>
      <c r="AI475" s="204"/>
      <c r="AJ475" s="204"/>
      <c r="AK475" s="204"/>
      <c r="AL475" s="204"/>
      <c r="AM475" s="204"/>
      <c r="AN475" s="204"/>
      <c r="AO475" s="204"/>
      <c r="AP475" s="204"/>
      <c r="AQ475" s="204"/>
      <c r="AR475" s="204"/>
      <c r="AS475" s="204"/>
      <c r="AT475" s="204"/>
      <c r="AU475" s="206"/>
      <c r="AV475" s="202"/>
      <c r="AW475" s="202"/>
      <c r="AX475" s="202"/>
      <c r="AY475" s="202"/>
      <c r="AZ475" s="202"/>
      <c r="BA475" s="202"/>
      <c r="BB475" s="202"/>
      <c r="BC475" s="202"/>
      <c r="BD475" s="202"/>
      <c r="BE475" s="202"/>
      <c r="BF475" s="202"/>
      <c r="BG475" s="202"/>
    </row>
    <row r="476" spans="2:59" ht="15">
      <c r="B476" s="204" t="s">
        <v>497</v>
      </c>
      <c r="C476" s="204" t="s">
        <v>497</v>
      </c>
      <c r="D476" s="204" t="s">
        <v>497</v>
      </c>
      <c r="E476" s="204" t="s">
        <v>497</v>
      </c>
      <c r="F476" s="204" t="s">
        <v>497</v>
      </c>
      <c r="G476" s="204" t="s">
        <v>497</v>
      </c>
      <c r="H476" s="204" t="s">
        <v>497</v>
      </c>
      <c r="I476" s="204" t="s">
        <v>497</v>
      </c>
      <c r="J476" s="205" t="s">
        <v>497</v>
      </c>
      <c r="K476" s="205" t="s">
        <v>497</v>
      </c>
      <c r="L476" s="204" t="s">
        <v>497</v>
      </c>
      <c r="M476" s="204" t="s">
        <v>497</v>
      </c>
      <c r="N476" s="204"/>
      <c r="O476" s="204"/>
      <c r="P476" s="204"/>
      <c r="Q476" s="204"/>
      <c r="R476" s="204"/>
      <c r="S476" s="204"/>
      <c r="T476" s="204"/>
      <c r="U476" s="204"/>
      <c r="V476" s="204"/>
      <c r="W476" s="204"/>
      <c r="X476" s="204"/>
      <c r="Y476" s="204"/>
      <c r="Z476" s="204"/>
      <c r="AA476" s="204"/>
      <c r="AB476" s="204"/>
      <c r="AC476" s="204"/>
      <c r="AD476" s="204"/>
      <c r="AE476" s="204"/>
      <c r="AF476" s="204"/>
      <c r="AG476" s="204"/>
      <c r="AH476" s="204"/>
      <c r="AI476" s="204"/>
      <c r="AJ476" s="204"/>
      <c r="AK476" s="204"/>
      <c r="AL476" s="204"/>
      <c r="AM476" s="204"/>
      <c r="AN476" s="204"/>
      <c r="AO476" s="204"/>
      <c r="AP476" s="204"/>
      <c r="AQ476" s="204"/>
      <c r="AR476" s="204"/>
      <c r="AS476" s="204"/>
      <c r="AT476" s="204"/>
      <c r="AU476" s="206"/>
      <c r="AV476" s="202"/>
      <c r="AW476" s="202"/>
      <c r="AX476" s="202"/>
      <c r="AY476" s="202"/>
      <c r="AZ476" s="202"/>
      <c r="BA476" s="202"/>
      <c r="BB476" s="202"/>
      <c r="BC476" s="202"/>
      <c r="BD476" s="202"/>
      <c r="BE476" s="202"/>
      <c r="BF476" s="202"/>
      <c r="BG476" s="202"/>
    </row>
    <row r="477" spans="2:59" ht="15">
      <c r="B477" s="204" t="s">
        <v>497</v>
      </c>
      <c r="C477" s="204" t="s">
        <v>497</v>
      </c>
      <c r="D477" s="204" t="s">
        <v>497</v>
      </c>
      <c r="E477" s="204" t="s">
        <v>497</v>
      </c>
      <c r="F477" s="204" t="s">
        <v>497</v>
      </c>
      <c r="G477" s="204" t="s">
        <v>497</v>
      </c>
      <c r="H477" s="204" t="s">
        <v>497</v>
      </c>
      <c r="I477" s="204" t="s">
        <v>497</v>
      </c>
      <c r="J477" s="205" t="s">
        <v>497</v>
      </c>
      <c r="K477" s="205" t="s">
        <v>497</v>
      </c>
      <c r="L477" s="204" t="s">
        <v>497</v>
      </c>
      <c r="M477" s="204" t="s">
        <v>497</v>
      </c>
      <c r="N477" s="204"/>
      <c r="O477" s="204"/>
      <c r="P477" s="204"/>
      <c r="Q477" s="204"/>
      <c r="R477" s="204"/>
      <c r="S477" s="204"/>
      <c r="T477" s="204"/>
      <c r="U477" s="204"/>
      <c r="V477" s="204"/>
      <c r="W477" s="204"/>
      <c r="X477" s="204"/>
      <c r="Y477" s="204"/>
      <c r="Z477" s="204"/>
      <c r="AA477" s="204"/>
      <c r="AB477" s="204"/>
      <c r="AC477" s="204"/>
      <c r="AD477" s="204"/>
      <c r="AE477" s="204"/>
      <c r="AF477" s="204"/>
      <c r="AG477" s="204"/>
      <c r="AH477" s="204"/>
      <c r="AI477" s="204"/>
      <c r="AJ477" s="204"/>
      <c r="AK477" s="204"/>
      <c r="AL477" s="204"/>
      <c r="AM477" s="204"/>
      <c r="AN477" s="204"/>
      <c r="AO477" s="204"/>
      <c r="AP477" s="204"/>
      <c r="AQ477" s="204"/>
      <c r="AR477" s="204"/>
      <c r="AS477" s="204"/>
      <c r="AT477" s="204"/>
      <c r="AU477" s="206"/>
      <c r="AV477" s="202"/>
      <c r="AW477" s="202"/>
      <c r="AX477" s="202"/>
      <c r="AY477" s="202"/>
      <c r="AZ477" s="202"/>
      <c r="BA477" s="202"/>
      <c r="BB477" s="202"/>
      <c r="BC477" s="202"/>
      <c r="BD477" s="202"/>
      <c r="BE477" s="202"/>
      <c r="BF477" s="202"/>
      <c r="BG477" s="202"/>
    </row>
    <row r="478" spans="2:59" ht="15">
      <c r="B478" s="204" t="s">
        <v>497</v>
      </c>
      <c r="C478" s="204" t="s">
        <v>497</v>
      </c>
      <c r="D478" s="204" t="s">
        <v>497</v>
      </c>
      <c r="E478" s="204" t="s">
        <v>497</v>
      </c>
      <c r="F478" s="204" t="s">
        <v>497</v>
      </c>
      <c r="G478" s="204" t="s">
        <v>497</v>
      </c>
      <c r="H478" s="204" t="s">
        <v>497</v>
      </c>
      <c r="I478" s="204" t="s">
        <v>497</v>
      </c>
      <c r="J478" s="205" t="s">
        <v>497</v>
      </c>
      <c r="K478" s="205" t="s">
        <v>497</v>
      </c>
      <c r="L478" s="204" t="s">
        <v>497</v>
      </c>
      <c r="M478" s="204" t="s">
        <v>497</v>
      </c>
      <c r="N478" s="204"/>
      <c r="O478" s="204"/>
      <c r="P478" s="204"/>
      <c r="Q478" s="204"/>
      <c r="R478" s="204"/>
      <c r="S478" s="204"/>
      <c r="T478" s="204"/>
      <c r="U478" s="204"/>
      <c r="V478" s="204"/>
      <c r="W478" s="204"/>
      <c r="X478" s="204"/>
      <c r="Y478" s="204"/>
      <c r="Z478" s="204"/>
      <c r="AA478" s="204"/>
      <c r="AB478" s="204"/>
      <c r="AC478" s="204"/>
      <c r="AD478" s="204"/>
      <c r="AE478" s="204"/>
      <c r="AF478" s="204"/>
      <c r="AG478" s="204"/>
      <c r="AH478" s="204"/>
      <c r="AI478" s="204"/>
      <c r="AJ478" s="204"/>
      <c r="AK478" s="204"/>
      <c r="AL478" s="204"/>
      <c r="AM478" s="204"/>
      <c r="AN478" s="204"/>
      <c r="AO478" s="204"/>
      <c r="AP478" s="204"/>
      <c r="AQ478" s="204"/>
      <c r="AR478" s="204"/>
      <c r="AS478" s="204"/>
      <c r="AT478" s="204"/>
      <c r="AU478" s="206"/>
      <c r="AV478" s="202"/>
      <c r="AW478" s="202"/>
      <c r="AX478" s="202"/>
      <c r="AY478" s="202"/>
      <c r="AZ478" s="202"/>
      <c r="BA478" s="202"/>
      <c r="BB478" s="202"/>
      <c r="BC478" s="202"/>
      <c r="BD478" s="202"/>
      <c r="BE478" s="202"/>
      <c r="BF478" s="202"/>
      <c r="BG478" s="202"/>
    </row>
    <row r="479" spans="2:59" ht="15">
      <c r="B479" s="204" t="s">
        <v>497</v>
      </c>
      <c r="C479" s="204" t="s">
        <v>497</v>
      </c>
      <c r="D479" s="204" t="s">
        <v>497</v>
      </c>
      <c r="E479" s="204" t="s">
        <v>497</v>
      </c>
      <c r="F479" s="204" t="s">
        <v>497</v>
      </c>
      <c r="G479" s="204" t="s">
        <v>497</v>
      </c>
      <c r="H479" s="204" t="s">
        <v>497</v>
      </c>
      <c r="I479" s="204" t="s">
        <v>497</v>
      </c>
      <c r="J479" s="205" t="s">
        <v>497</v>
      </c>
      <c r="K479" s="205" t="s">
        <v>497</v>
      </c>
      <c r="L479" s="204" t="s">
        <v>497</v>
      </c>
      <c r="M479" s="204" t="s">
        <v>497</v>
      </c>
      <c r="N479" s="204"/>
      <c r="O479" s="204"/>
      <c r="P479" s="204"/>
      <c r="Q479" s="204"/>
      <c r="R479" s="204"/>
      <c r="S479" s="204"/>
      <c r="T479" s="204"/>
      <c r="U479" s="204"/>
      <c r="V479" s="204"/>
      <c r="W479" s="204"/>
      <c r="X479" s="204"/>
      <c r="Y479" s="204"/>
      <c r="Z479" s="204"/>
      <c r="AA479" s="204"/>
      <c r="AB479" s="204"/>
      <c r="AC479" s="204"/>
      <c r="AD479" s="204"/>
      <c r="AE479" s="204"/>
      <c r="AF479" s="204"/>
      <c r="AG479" s="204"/>
      <c r="AH479" s="204"/>
      <c r="AI479" s="204"/>
      <c r="AJ479" s="204"/>
      <c r="AK479" s="204"/>
      <c r="AL479" s="204"/>
      <c r="AM479" s="204"/>
      <c r="AN479" s="204"/>
      <c r="AO479" s="204"/>
      <c r="AP479" s="204"/>
      <c r="AQ479" s="204"/>
      <c r="AR479" s="204"/>
      <c r="AS479" s="204"/>
      <c r="AT479" s="204"/>
      <c r="AU479" s="206"/>
      <c r="AV479" s="202"/>
      <c r="AW479" s="202"/>
      <c r="AX479" s="202"/>
      <c r="AY479" s="202"/>
      <c r="AZ479" s="202"/>
      <c r="BA479" s="202"/>
      <c r="BB479" s="202"/>
      <c r="BC479" s="202"/>
      <c r="BD479" s="202"/>
      <c r="BE479" s="202"/>
      <c r="BF479" s="202"/>
      <c r="BG479" s="202"/>
    </row>
    <row r="480" spans="2:59" ht="15">
      <c r="B480" s="204" t="s">
        <v>497</v>
      </c>
      <c r="C480" s="204" t="s">
        <v>497</v>
      </c>
      <c r="D480" s="204" t="s">
        <v>497</v>
      </c>
      <c r="E480" s="204" t="s">
        <v>497</v>
      </c>
      <c r="F480" s="204" t="s">
        <v>497</v>
      </c>
      <c r="G480" s="204" t="s">
        <v>497</v>
      </c>
      <c r="H480" s="204" t="s">
        <v>497</v>
      </c>
      <c r="I480" s="204" t="s">
        <v>497</v>
      </c>
      <c r="J480" s="205" t="s">
        <v>497</v>
      </c>
      <c r="K480" s="205" t="s">
        <v>497</v>
      </c>
      <c r="L480" s="204" t="s">
        <v>497</v>
      </c>
      <c r="M480" s="204" t="s">
        <v>497</v>
      </c>
      <c r="N480" s="204"/>
      <c r="O480" s="204"/>
      <c r="P480" s="204"/>
      <c r="Q480" s="204"/>
      <c r="R480" s="204"/>
      <c r="S480" s="204"/>
      <c r="T480" s="204"/>
      <c r="U480" s="204"/>
      <c r="V480" s="204"/>
      <c r="W480" s="204"/>
      <c r="X480" s="204"/>
      <c r="Y480" s="204"/>
      <c r="Z480" s="204"/>
      <c r="AA480" s="204"/>
      <c r="AB480" s="204"/>
      <c r="AC480" s="204"/>
      <c r="AD480" s="204"/>
      <c r="AE480" s="204"/>
      <c r="AF480" s="204"/>
      <c r="AG480" s="204"/>
      <c r="AH480" s="204"/>
      <c r="AI480" s="204"/>
      <c r="AJ480" s="204"/>
      <c r="AK480" s="204"/>
      <c r="AL480" s="204"/>
      <c r="AM480" s="204"/>
      <c r="AN480" s="204"/>
      <c r="AO480" s="204"/>
      <c r="AP480" s="204"/>
      <c r="AQ480" s="204"/>
      <c r="AR480" s="204"/>
      <c r="AS480" s="204"/>
      <c r="AT480" s="204"/>
      <c r="AU480" s="206"/>
      <c r="AV480" s="202"/>
      <c r="AW480" s="202"/>
      <c r="AX480" s="202"/>
      <c r="AY480" s="202"/>
      <c r="AZ480" s="202"/>
      <c r="BA480" s="202"/>
      <c r="BB480" s="202"/>
      <c r="BC480" s="202"/>
      <c r="BD480" s="202"/>
      <c r="BE480" s="202"/>
      <c r="BF480" s="202"/>
      <c r="BG480" s="202"/>
    </row>
    <row r="481" spans="2:59" ht="15">
      <c r="B481" s="204" t="s">
        <v>497</v>
      </c>
      <c r="C481" s="204" t="s">
        <v>497</v>
      </c>
      <c r="D481" s="204" t="s">
        <v>497</v>
      </c>
      <c r="E481" s="204" t="s">
        <v>497</v>
      </c>
      <c r="F481" s="204" t="s">
        <v>497</v>
      </c>
      <c r="G481" s="204" t="s">
        <v>497</v>
      </c>
      <c r="H481" s="204" t="s">
        <v>497</v>
      </c>
      <c r="I481" s="204" t="s">
        <v>497</v>
      </c>
      <c r="J481" s="205" t="s">
        <v>497</v>
      </c>
      <c r="K481" s="205" t="s">
        <v>497</v>
      </c>
      <c r="L481" s="204" t="s">
        <v>497</v>
      </c>
      <c r="M481" s="204" t="s">
        <v>497</v>
      </c>
      <c r="N481" s="204"/>
      <c r="O481" s="204"/>
      <c r="P481" s="204"/>
      <c r="Q481" s="204"/>
      <c r="R481" s="204"/>
      <c r="S481" s="204"/>
      <c r="T481" s="204"/>
      <c r="U481" s="204"/>
      <c r="V481" s="204"/>
      <c r="W481" s="204"/>
      <c r="X481" s="204"/>
      <c r="Y481" s="204"/>
      <c r="Z481" s="204"/>
      <c r="AA481" s="204"/>
      <c r="AB481" s="204"/>
      <c r="AC481" s="204"/>
      <c r="AD481" s="204"/>
      <c r="AE481" s="204"/>
      <c r="AF481" s="204"/>
      <c r="AG481" s="204"/>
      <c r="AH481" s="204"/>
      <c r="AI481" s="204"/>
      <c r="AJ481" s="204"/>
      <c r="AK481" s="204"/>
      <c r="AL481" s="204"/>
      <c r="AM481" s="204"/>
      <c r="AN481" s="204"/>
      <c r="AO481" s="204"/>
      <c r="AP481" s="204"/>
      <c r="AQ481" s="204"/>
      <c r="AR481" s="204"/>
      <c r="AS481" s="204"/>
      <c r="AT481" s="204"/>
      <c r="AU481" s="206"/>
      <c r="AV481" s="202"/>
      <c r="AW481" s="202"/>
      <c r="AX481" s="202"/>
      <c r="AY481" s="202"/>
      <c r="AZ481" s="202"/>
      <c r="BA481" s="202"/>
      <c r="BB481" s="202"/>
      <c r="BC481" s="202"/>
      <c r="BD481" s="202"/>
      <c r="BE481" s="202"/>
      <c r="BF481" s="202"/>
      <c r="BG481" s="202"/>
    </row>
    <row r="482" spans="2:59" ht="15">
      <c r="B482" s="204" t="s">
        <v>497</v>
      </c>
      <c r="C482" s="204" t="s">
        <v>497</v>
      </c>
      <c r="D482" s="204" t="s">
        <v>497</v>
      </c>
      <c r="E482" s="204" t="s">
        <v>497</v>
      </c>
      <c r="F482" s="204" t="s">
        <v>497</v>
      </c>
      <c r="G482" s="204" t="s">
        <v>497</v>
      </c>
      <c r="H482" s="204" t="s">
        <v>497</v>
      </c>
      <c r="I482" s="204" t="s">
        <v>497</v>
      </c>
      <c r="J482" s="205" t="s">
        <v>497</v>
      </c>
      <c r="K482" s="205" t="s">
        <v>497</v>
      </c>
      <c r="L482" s="204" t="s">
        <v>497</v>
      </c>
      <c r="M482" s="204" t="s">
        <v>497</v>
      </c>
      <c r="N482" s="204"/>
      <c r="O482" s="204"/>
      <c r="P482" s="204"/>
      <c r="Q482" s="204"/>
      <c r="R482" s="204"/>
      <c r="S482" s="204"/>
      <c r="T482" s="204"/>
      <c r="U482" s="204"/>
      <c r="V482" s="204"/>
      <c r="W482" s="204"/>
      <c r="X482" s="204"/>
      <c r="Y482" s="204"/>
      <c r="Z482" s="204"/>
      <c r="AA482" s="204"/>
      <c r="AB482" s="204"/>
      <c r="AC482" s="204"/>
      <c r="AD482" s="204"/>
      <c r="AE482" s="204"/>
      <c r="AF482" s="204"/>
      <c r="AG482" s="204"/>
      <c r="AH482" s="204"/>
      <c r="AI482" s="204"/>
      <c r="AJ482" s="204"/>
      <c r="AK482" s="204"/>
      <c r="AL482" s="204"/>
      <c r="AM482" s="204"/>
      <c r="AN482" s="204"/>
      <c r="AO482" s="204"/>
      <c r="AP482" s="204"/>
      <c r="AQ482" s="204"/>
      <c r="AR482" s="204"/>
      <c r="AS482" s="204"/>
      <c r="AT482" s="204"/>
      <c r="AU482" s="206"/>
      <c r="AV482" s="202"/>
      <c r="AW482" s="202"/>
      <c r="AX482" s="202"/>
      <c r="AY482" s="202"/>
      <c r="AZ482" s="202"/>
      <c r="BA482" s="202"/>
      <c r="BB482" s="202"/>
      <c r="BC482" s="202"/>
      <c r="BD482" s="202"/>
      <c r="BE482" s="202"/>
      <c r="BF482" s="202"/>
      <c r="BG482" s="202"/>
    </row>
    <row r="483" spans="2:59" ht="15">
      <c r="B483" s="204" t="s">
        <v>497</v>
      </c>
      <c r="C483" s="204" t="s">
        <v>497</v>
      </c>
      <c r="D483" s="204" t="s">
        <v>497</v>
      </c>
      <c r="E483" s="204" t="s">
        <v>497</v>
      </c>
      <c r="F483" s="204" t="s">
        <v>497</v>
      </c>
      <c r="G483" s="204" t="s">
        <v>497</v>
      </c>
      <c r="H483" s="204" t="s">
        <v>497</v>
      </c>
      <c r="I483" s="204" t="s">
        <v>497</v>
      </c>
      <c r="J483" s="205" t="s">
        <v>497</v>
      </c>
      <c r="K483" s="205" t="s">
        <v>497</v>
      </c>
      <c r="L483" s="204" t="s">
        <v>497</v>
      </c>
      <c r="M483" s="204" t="s">
        <v>497</v>
      </c>
      <c r="N483" s="204"/>
      <c r="O483" s="204"/>
      <c r="P483" s="204"/>
      <c r="Q483" s="204"/>
      <c r="R483" s="204"/>
      <c r="S483" s="204"/>
      <c r="T483" s="204"/>
      <c r="U483" s="204"/>
      <c r="V483" s="204"/>
      <c r="W483" s="204"/>
      <c r="X483" s="204"/>
      <c r="Y483" s="204"/>
      <c r="Z483" s="204"/>
      <c r="AA483" s="204"/>
      <c r="AB483" s="204"/>
      <c r="AC483" s="204"/>
      <c r="AD483" s="204"/>
      <c r="AE483" s="204"/>
      <c r="AF483" s="204"/>
      <c r="AG483" s="204"/>
      <c r="AH483" s="204"/>
      <c r="AI483" s="204"/>
      <c r="AJ483" s="204"/>
      <c r="AK483" s="204"/>
      <c r="AL483" s="204"/>
      <c r="AM483" s="204"/>
      <c r="AN483" s="204"/>
      <c r="AO483" s="204"/>
      <c r="AP483" s="204"/>
      <c r="AQ483" s="204"/>
      <c r="AR483" s="204"/>
      <c r="AS483" s="204"/>
      <c r="AT483" s="204"/>
      <c r="AU483" s="206"/>
      <c r="AV483" s="202"/>
      <c r="AW483" s="202"/>
      <c r="AX483" s="202"/>
      <c r="AY483" s="202"/>
      <c r="AZ483" s="202"/>
      <c r="BA483" s="202"/>
      <c r="BB483" s="202"/>
      <c r="BC483" s="202"/>
      <c r="BD483" s="202"/>
      <c r="BE483" s="202"/>
      <c r="BF483" s="202"/>
      <c r="BG483" s="202"/>
    </row>
    <row r="484" spans="2:59" ht="15">
      <c r="B484" s="204" t="s">
        <v>497</v>
      </c>
      <c r="C484" s="204" t="s">
        <v>497</v>
      </c>
      <c r="D484" s="204" t="s">
        <v>497</v>
      </c>
      <c r="E484" s="204" t="s">
        <v>497</v>
      </c>
      <c r="F484" s="204" t="s">
        <v>497</v>
      </c>
      <c r="G484" s="204" t="s">
        <v>497</v>
      </c>
      <c r="H484" s="204" t="s">
        <v>497</v>
      </c>
      <c r="I484" s="204" t="s">
        <v>497</v>
      </c>
      <c r="J484" s="205" t="s">
        <v>497</v>
      </c>
      <c r="K484" s="205" t="s">
        <v>497</v>
      </c>
      <c r="L484" s="204" t="s">
        <v>497</v>
      </c>
      <c r="M484" s="204" t="s">
        <v>497</v>
      </c>
      <c r="N484" s="204"/>
      <c r="O484" s="204"/>
      <c r="P484" s="204"/>
      <c r="Q484" s="204"/>
      <c r="R484" s="204"/>
      <c r="S484" s="204"/>
      <c r="T484" s="204"/>
      <c r="U484" s="204"/>
      <c r="V484" s="204"/>
      <c r="W484" s="204"/>
      <c r="X484" s="204"/>
      <c r="Y484" s="204"/>
      <c r="Z484" s="204"/>
      <c r="AA484" s="204"/>
      <c r="AB484" s="204"/>
      <c r="AC484" s="204"/>
      <c r="AD484" s="204"/>
      <c r="AE484" s="204"/>
      <c r="AF484" s="204"/>
      <c r="AG484" s="204"/>
      <c r="AH484" s="204"/>
      <c r="AI484" s="204"/>
      <c r="AJ484" s="204"/>
      <c r="AK484" s="204"/>
      <c r="AL484" s="204"/>
      <c r="AM484" s="204"/>
      <c r="AN484" s="204"/>
      <c r="AO484" s="204"/>
      <c r="AP484" s="204"/>
      <c r="AQ484" s="204"/>
      <c r="AR484" s="204"/>
      <c r="AS484" s="204"/>
      <c r="AT484" s="204"/>
      <c r="AU484" s="206"/>
      <c r="AV484" s="202"/>
      <c r="AW484" s="202"/>
      <c r="AX484" s="202"/>
      <c r="AY484" s="202"/>
      <c r="AZ484" s="202"/>
      <c r="BA484" s="202"/>
      <c r="BB484" s="202"/>
      <c r="BC484" s="202"/>
      <c r="BD484" s="202"/>
      <c r="BE484" s="202"/>
      <c r="BF484" s="202"/>
      <c r="BG484" s="202"/>
    </row>
    <row r="485" spans="2:59" ht="15">
      <c r="B485" s="204" t="s">
        <v>497</v>
      </c>
      <c r="C485" s="204" t="s">
        <v>497</v>
      </c>
      <c r="D485" s="204" t="s">
        <v>497</v>
      </c>
      <c r="E485" s="204" t="s">
        <v>497</v>
      </c>
      <c r="F485" s="204" t="s">
        <v>497</v>
      </c>
      <c r="G485" s="204" t="s">
        <v>497</v>
      </c>
      <c r="H485" s="204" t="s">
        <v>497</v>
      </c>
      <c r="I485" s="204" t="s">
        <v>497</v>
      </c>
      <c r="J485" s="205" t="s">
        <v>497</v>
      </c>
      <c r="K485" s="205" t="s">
        <v>497</v>
      </c>
      <c r="L485" s="204" t="s">
        <v>497</v>
      </c>
      <c r="M485" s="204" t="s">
        <v>497</v>
      </c>
      <c r="N485" s="204"/>
      <c r="O485" s="204"/>
      <c r="P485" s="204"/>
      <c r="Q485" s="204"/>
      <c r="R485" s="204"/>
      <c r="S485" s="204"/>
      <c r="T485" s="204"/>
      <c r="U485" s="204"/>
      <c r="V485" s="204"/>
      <c r="W485" s="204"/>
      <c r="X485" s="204"/>
      <c r="Y485" s="204"/>
      <c r="Z485" s="204"/>
      <c r="AA485" s="204"/>
      <c r="AB485" s="204"/>
      <c r="AC485" s="204"/>
      <c r="AD485" s="204"/>
      <c r="AE485" s="204"/>
      <c r="AF485" s="204"/>
      <c r="AG485" s="204"/>
      <c r="AH485" s="204"/>
      <c r="AI485" s="204"/>
      <c r="AJ485" s="204"/>
      <c r="AK485" s="204"/>
      <c r="AL485" s="204"/>
      <c r="AM485" s="204"/>
      <c r="AN485" s="204"/>
      <c r="AO485" s="204"/>
      <c r="AP485" s="204"/>
      <c r="AQ485" s="204"/>
      <c r="AR485" s="204"/>
      <c r="AS485" s="204"/>
      <c r="AT485" s="204"/>
      <c r="AU485" s="206"/>
      <c r="AV485" s="202"/>
      <c r="AW485" s="202"/>
      <c r="AX485" s="202"/>
      <c r="AY485" s="202"/>
      <c r="AZ485" s="202"/>
      <c r="BA485" s="202"/>
      <c r="BB485" s="202"/>
      <c r="BC485" s="202"/>
      <c r="BD485" s="202"/>
      <c r="BE485" s="202"/>
      <c r="BF485" s="202"/>
      <c r="BG485" s="202"/>
    </row>
    <row r="486" spans="2:59" ht="15">
      <c r="B486" s="204" t="s">
        <v>497</v>
      </c>
      <c r="C486" s="204" t="s">
        <v>497</v>
      </c>
      <c r="D486" s="204" t="s">
        <v>497</v>
      </c>
      <c r="E486" s="204" t="s">
        <v>497</v>
      </c>
      <c r="F486" s="204" t="s">
        <v>497</v>
      </c>
      <c r="G486" s="204" t="s">
        <v>497</v>
      </c>
      <c r="H486" s="204" t="s">
        <v>497</v>
      </c>
      <c r="I486" s="204" t="s">
        <v>497</v>
      </c>
      <c r="J486" s="205" t="s">
        <v>497</v>
      </c>
      <c r="K486" s="205" t="s">
        <v>497</v>
      </c>
      <c r="L486" s="204" t="s">
        <v>497</v>
      </c>
      <c r="M486" s="204" t="s">
        <v>497</v>
      </c>
      <c r="N486" s="204"/>
      <c r="O486" s="204"/>
      <c r="P486" s="204"/>
      <c r="Q486" s="204"/>
      <c r="R486" s="204"/>
      <c r="S486" s="204"/>
      <c r="T486" s="204"/>
      <c r="U486" s="204"/>
      <c r="V486" s="204"/>
      <c r="W486" s="204"/>
      <c r="X486" s="204"/>
      <c r="Y486" s="204"/>
      <c r="Z486" s="204"/>
      <c r="AA486" s="204"/>
      <c r="AB486" s="204"/>
      <c r="AC486" s="204"/>
      <c r="AD486" s="204"/>
      <c r="AE486" s="204"/>
      <c r="AF486" s="204"/>
      <c r="AG486" s="204"/>
      <c r="AH486" s="204"/>
      <c r="AI486" s="204"/>
      <c r="AJ486" s="204"/>
      <c r="AK486" s="204"/>
      <c r="AL486" s="204"/>
      <c r="AM486" s="204"/>
      <c r="AN486" s="204"/>
      <c r="AO486" s="204"/>
      <c r="AP486" s="204"/>
      <c r="AQ486" s="204"/>
      <c r="AR486" s="204"/>
      <c r="AS486" s="204"/>
      <c r="AT486" s="204"/>
      <c r="AU486" s="206"/>
      <c r="AV486" s="202"/>
      <c r="AW486" s="202"/>
      <c r="AX486" s="202"/>
      <c r="AY486" s="202"/>
      <c r="AZ486" s="202"/>
      <c r="BA486" s="202"/>
      <c r="BB486" s="202"/>
      <c r="BC486" s="202"/>
      <c r="BD486" s="202"/>
      <c r="BE486" s="202"/>
      <c r="BF486" s="202"/>
      <c r="BG486" s="202"/>
    </row>
    <row r="487" spans="2:59" ht="15">
      <c r="B487" s="204" t="s">
        <v>497</v>
      </c>
      <c r="C487" s="204" t="s">
        <v>497</v>
      </c>
      <c r="D487" s="204" t="s">
        <v>497</v>
      </c>
      <c r="E487" s="204" t="s">
        <v>497</v>
      </c>
      <c r="F487" s="204" t="s">
        <v>497</v>
      </c>
      <c r="G487" s="204" t="s">
        <v>497</v>
      </c>
      <c r="H487" s="204" t="s">
        <v>497</v>
      </c>
      <c r="I487" s="204" t="s">
        <v>497</v>
      </c>
      <c r="J487" s="205" t="s">
        <v>497</v>
      </c>
      <c r="K487" s="205" t="s">
        <v>497</v>
      </c>
      <c r="L487" s="204" t="s">
        <v>497</v>
      </c>
      <c r="M487" s="204" t="s">
        <v>497</v>
      </c>
      <c r="N487" s="204"/>
      <c r="O487" s="204"/>
      <c r="P487" s="204"/>
      <c r="Q487" s="204"/>
      <c r="R487" s="204"/>
      <c r="S487" s="204"/>
      <c r="T487" s="204"/>
      <c r="U487" s="204"/>
      <c r="V487" s="204"/>
      <c r="W487" s="204"/>
      <c r="X487" s="204"/>
      <c r="Y487" s="204"/>
      <c r="Z487" s="204"/>
      <c r="AA487" s="204"/>
      <c r="AB487" s="204"/>
      <c r="AC487" s="204"/>
      <c r="AD487" s="204"/>
      <c r="AE487" s="204"/>
      <c r="AF487" s="204"/>
      <c r="AG487" s="204"/>
      <c r="AH487" s="204"/>
      <c r="AI487" s="204"/>
      <c r="AJ487" s="204"/>
      <c r="AK487" s="204"/>
      <c r="AL487" s="204"/>
      <c r="AM487" s="204"/>
      <c r="AN487" s="204"/>
      <c r="AO487" s="204"/>
      <c r="AP487" s="204"/>
      <c r="AQ487" s="204"/>
      <c r="AR487" s="204"/>
      <c r="AS487" s="204"/>
      <c r="AT487" s="204"/>
      <c r="AU487" s="206"/>
      <c r="AV487" s="202"/>
      <c r="AW487" s="202"/>
      <c r="AX487" s="202"/>
      <c r="AY487" s="202"/>
      <c r="AZ487" s="202"/>
      <c r="BA487" s="202"/>
      <c r="BB487" s="202"/>
      <c r="BC487" s="202"/>
      <c r="BD487" s="202"/>
      <c r="BE487" s="202"/>
      <c r="BF487" s="202"/>
      <c r="BG487" s="202"/>
    </row>
    <row r="488" spans="2:59" ht="15">
      <c r="B488" s="204" t="s">
        <v>497</v>
      </c>
      <c r="C488" s="204" t="s">
        <v>497</v>
      </c>
      <c r="D488" s="204" t="s">
        <v>497</v>
      </c>
      <c r="E488" s="204" t="s">
        <v>497</v>
      </c>
      <c r="F488" s="204" t="s">
        <v>497</v>
      </c>
      <c r="G488" s="204" t="s">
        <v>497</v>
      </c>
      <c r="H488" s="204" t="s">
        <v>497</v>
      </c>
      <c r="I488" s="204" t="s">
        <v>497</v>
      </c>
      <c r="J488" s="205" t="s">
        <v>497</v>
      </c>
      <c r="K488" s="205" t="s">
        <v>497</v>
      </c>
      <c r="L488" s="204" t="s">
        <v>497</v>
      </c>
      <c r="M488" s="204" t="s">
        <v>497</v>
      </c>
      <c r="N488" s="204"/>
      <c r="O488" s="204"/>
      <c r="P488" s="204"/>
      <c r="Q488" s="204"/>
      <c r="R488" s="204"/>
      <c r="S488" s="204"/>
      <c r="T488" s="204"/>
      <c r="U488" s="204"/>
      <c r="V488" s="204"/>
      <c r="W488" s="204"/>
      <c r="X488" s="204"/>
      <c r="Y488" s="204"/>
      <c r="Z488" s="204"/>
      <c r="AA488" s="204"/>
      <c r="AB488" s="204"/>
      <c r="AC488" s="204"/>
      <c r="AD488" s="204"/>
      <c r="AE488" s="204"/>
      <c r="AF488" s="204"/>
      <c r="AG488" s="204"/>
      <c r="AH488" s="204"/>
      <c r="AI488" s="204"/>
      <c r="AJ488" s="204"/>
      <c r="AK488" s="204"/>
      <c r="AL488" s="204"/>
      <c r="AM488" s="204"/>
      <c r="AN488" s="204"/>
      <c r="AO488" s="204"/>
      <c r="AP488" s="204"/>
      <c r="AQ488" s="204"/>
      <c r="AR488" s="204"/>
      <c r="AS488" s="204"/>
      <c r="AT488" s="204"/>
      <c r="AU488" s="206"/>
      <c r="AV488" s="202"/>
      <c r="AW488" s="202"/>
      <c r="AX488" s="202"/>
      <c r="AY488" s="202"/>
      <c r="AZ488" s="202"/>
      <c r="BA488" s="202"/>
      <c r="BB488" s="202"/>
      <c r="BC488" s="202"/>
      <c r="BD488" s="202"/>
      <c r="BE488" s="202"/>
      <c r="BF488" s="202"/>
      <c r="BG488" s="202"/>
    </row>
    <row r="489" spans="2:59" ht="15">
      <c r="B489" s="204" t="s">
        <v>497</v>
      </c>
      <c r="C489" s="204" t="s">
        <v>497</v>
      </c>
      <c r="D489" s="204" t="s">
        <v>497</v>
      </c>
      <c r="E489" s="204" t="s">
        <v>497</v>
      </c>
      <c r="F489" s="204" t="s">
        <v>497</v>
      </c>
      <c r="G489" s="204" t="s">
        <v>497</v>
      </c>
      <c r="H489" s="204" t="s">
        <v>497</v>
      </c>
      <c r="I489" s="204" t="s">
        <v>497</v>
      </c>
      <c r="J489" s="205" t="s">
        <v>497</v>
      </c>
      <c r="K489" s="205" t="s">
        <v>497</v>
      </c>
      <c r="L489" s="204" t="s">
        <v>497</v>
      </c>
      <c r="M489" s="204" t="s">
        <v>497</v>
      </c>
      <c r="N489" s="204"/>
      <c r="O489" s="204"/>
      <c r="P489" s="204"/>
      <c r="Q489" s="204"/>
      <c r="R489" s="204"/>
      <c r="S489" s="204"/>
      <c r="T489" s="204"/>
      <c r="U489" s="204"/>
      <c r="V489" s="204"/>
      <c r="W489" s="204"/>
      <c r="X489" s="204"/>
      <c r="Y489" s="204"/>
      <c r="Z489" s="204"/>
      <c r="AA489" s="204"/>
      <c r="AB489" s="204"/>
      <c r="AC489" s="204"/>
      <c r="AD489" s="204"/>
      <c r="AE489" s="204"/>
      <c r="AF489" s="204"/>
      <c r="AG489" s="204"/>
      <c r="AH489" s="204"/>
      <c r="AI489" s="204"/>
      <c r="AJ489" s="204"/>
      <c r="AK489" s="204"/>
      <c r="AL489" s="204"/>
      <c r="AM489" s="204"/>
      <c r="AN489" s="204"/>
      <c r="AO489" s="204"/>
      <c r="AP489" s="204"/>
      <c r="AQ489" s="204"/>
      <c r="AR489" s="204"/>
      <c r="AS489" s="204"/>
      <c r="AT489" s="204"/>
      <c r="AU489" s="206"/>
      <c r="AV489" s="202"/>
      <c r="AW489" s="202"/>
      <c r="AX489" s="202"/>
      <c r="AY489" s="202"/>
      <c r="AZ489" s="202"/>
      <c r="BA489" s="202"/>
      <c r="BB489" s="202"/>
      <c r="BC489" s="202"/>
      <c r="BD489" s="202"/>
      <c r="BE489" s="202"/>
      <c r="BF489" s="202"/>
      <c r="BG489" s="202"/>
    </row>
    <row r="490" spans="2:59" ht="15">
      <c r="B490" s="204" t="s">
        <v>497</v>
      </c>
      <c r="C490" s="204" t="s">
        <v>497</v>
      </c>
      <c r="D490" s="204" t="s">
        <v>497</v>
      </c>
      <c r="E490" s="204" t="s">
        <v>497</v>
      </c>
      <c r="F490" s="204" t="s">
        <v>497</v>
      </c>
      <c r="G490" s="204" t="s">
        <v>497</v>
      </c>
      <c r="H490" s="204" t="s">
        <v>497</v>
      </c>
      <c r="I490" s="204" t="s">
        <v>497</v>
      </c>
      <c r="J490" s="205" t="s">
        <v>497</v>
      </c>
      <c r="K490" s="205" t="s">
        <v>497</v>
      </c>
      <c r="L490" s="204" t="s">
        <v>497</v>
      </c>
      <c r="M490" s="204" t="s">
        <v>497</v>
      </c>
      <c r="N490" s="204"/>
      <c r="O490" s="204"/>
      <c r="P490" s="204"/>
      <c r="Q490" s="204"/>
      <c r="R490" s="204"/>
      <c r="S490" s="204"/>
      <c r="T490" s="204"/>
      <c r="U490" s="204"/>
      <c r="V490" s="204"/>
      <c r="W490" s="204"/>
      <c r="X490" s="204"/>
      <c r="Y490" s="204"/>
      <c r="Z490" s="204"/>
      <c r="AA490" s="204"/>
      <c r="AB490" s="204"/>
      <c r="AC490" s="204"/>
      <c r="AD490" s="204"/>
      <c r="AE490" s="204"/>
      <c r="AF490" s="204"/>
      <c r="AG490" s="204"/>
      <c r="AH490" s="204"/>
      <c r="AI490" s="204"/>
      <c r="AJ490" s="204"/>
      <c r="AK490" s="204"/>
      <c r="AL490" s="204"/>
      <c r="AM490" s="204"/>
      <c r="AN490" s="204"/>
      <c r="AO490" s="204"/>
      <c r="AP490" s="204"/>
      <c r="AQ490" s="204"/>
      <c r="AR490" s="204"/>
      <c r="AS490" s="204"/>
      <c r="AT490" s="204"/>
      <c r="AU490" s="206"/>
      <c r="AV490" s="202"/>
      <c r="AW490" s="202"/>
      <c r="AX490" s="202"/>
      <c r="AY490" s="202"/>
      <c r="AZ490" s="202"/>
      <c r="BA490" s="202"/>
      <c r="BB490" s="202"/>
      <c r="BC490" s="202"/>
      <c r="BD490" s="202"/>
      <c r="BE490" s="202"/>
      <c r="BF490" s="202"/>
      <c r="BG490" s="202"/>
    </row>
    <row r="491" spans="2:59">
      <c r="AU491" s="251"/>
      <c r="BG491" s="202"/>
    </row>
  </sheetData>
  <sheetProtection formatCells="0"/>
  <dataConsolidate/>
  <mergeCells count="1">
    <mergeCell ref="AV18:AV20"/>
  </mergeCells>
  <printOptions horizontalCentered="1"/>
  <pageMargins left="0.2" right="0.2" top="0.5" bottom="0.5" header="0.3" footer="0.3"/>
  <pageSetup scale="30" orientation="landscape" r:id="rId1"/>
  <rowBreaks count="9" manualBreakCount="9">
    <brk id="40" max="27" man="1"/>
    <brk id="90" max="27" man="1"/>
    <brk id="140" max="27" man="1"/>
    <brk id="190" max="27" man="1"/>
    <brk id="240" max="27" man="1"/>
    <brk id="290" max="27" man="1"/>
    <brk id="340" max="27" man="1"/>
    <brk id="390" max="27" man="1"/>
    <brk id="440" max="27" man="1"/>
  </rowBreaks>
  <colBreaks count="1" manualBreakCount="1">
    <brk id="50"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D42" sqref="D42"/>
    </sheetView>
  </sheetViews>
  <sheetFormatPr defaultRowHeight="12.75"/>
  <cols>
    <col min="1" max="1" width="10.28515625" style="256" customWidth="1"/>
    <col min="2" max="2" width="11.85546875" style="255" customWidth="1"/>
    <col min="3" max="3" width="14" style="255" customWidth="1"/>
    <col min="4" max="4" width="15.140625" style="255" customWidth="1"/>
    <col min="5" max="5" width="11.7109375" style="256" customWidth="1"/>
    <col min="6" max="6" width="11.42578125" style="256" customWidth="1"/>
    <col min="7" max="7" width="15" style="256" customWidth="1"/>
    <col min="8" max="8" width="26.140625" style="203" customWidth="1"/>
    <col min="9" max="9" width="16.42578125" style="278" customWidth="1"/>
    <col min="10" max="10" width="35.28515625" style="275" customWidth="1"/>
    <col min="11" max="16384" width="9.140625" style="203"/>
  </cols>
  <sheetData>
    <row r="1" spans="1:10" ht="22.5" customHeight="1">
      <c r="A1" s="252" t="s">
        <v>519</v>
      </c>
      <c r="B1" s="253" t="s">
        <v>520</v>
      </c>
      <c r="C1" s="253" t="s">
        <v>521</v>
      </c>
      <c r="D1" s="253" t="s">
        <v>522</v>
      </c>
      <c r="E1" s="253" t="s">
        <v>523</v>
      </c>
      <c r="F1" s="253" t="s">
        <v>524</v>
      </c>
      <c r="G1" s="253" t="s">
        <v>525</v>
      </c>
      <c r="H1" s="253" t="s">
        <v>526</v>
      </c>
      <c r="I1" s="277" t="s">
        <v>677</v>
      </c>
      <c r="J1" s="276" t="s">
        <v>678</v>
      </c>
    </row>
    <row r="2" spans="1:10">
      <c r="A2" s="254" t="s">
        <v>527</v>
      </c>
      <c r="B2" s="255" t="s">
        <v>528</v>
      </c>
      <c r="C2" s="255" t="s">
        <v>529</v>
      </c>
      <c r="D2" s="255" t="s">
        <v>530</v>
      </c>
      <c r="E2" s="256" t="s">
        <v>531</v>
      </c>
      <c r="F2" s="256" t="s">
        <v>532</v>
      </c>
      <c r="G2" s="256" t="s">
        <v>533</v>
      </c>
      <c r="H2" s="203" t="s">
        <v>534</v>
      </c>
      <c r="J2" s="274"/>
    </row>
    <row r="3" spans="1:10">
      <c r="B3" s="257"/>
      <c r="C3" s="258"/>
      <c r="D3" s="258"/>
      <c r="H3" s="259"/>
      <c r="J3" s="274"/>
    </row>
    <row r="4" spans="1:10">
      <c r="B4" s="257"/>
      <c r="C4" s="258"/>
      <c r="D4" s="258"/>
      <c r="H4" s="259"/>
    </row>
    <row r="5" spans="1:10">
      <c r="B5" s="257"/>
      <c r="C5" s="258"/>
      <c r="D5" s="258"/>
      <c r="H5" s="259"/>
    </row>
    <row r="6" spans="1:10">
      <c r="B6" s="257"/>
      <c r="C6" s="258"/>
      <c r="D6" s="258"/>
      <c r="H6" s="259"/>
    </row>
    <row r="7" spans="1:10">
      <c r="B7" s="257"/>
      <c r="C7" s="258"/>
      <c r="D7" s="258"/>
      <c r="H7" s="259"/>
    </row>
    <row r="8" spans="1:10">
      <c r="B8" s="257"/>
      <c r="C8" s="258"/>
      <c r="D8" s="258"/>
      <c r="H8" s="259"/>
    </row>
    <row r="9" spans="1:10">
      <c r="B9" s="257"/>
      <c r="C9" s="258"/>
      <c r="D9" s="258"/>
      <c r="H9" s="259"/>
    </row>
    <row r="10" spans="1:10">
      <c r="B10" s="257"/>
      <c r="C10" s="258"/>
      <c r="D10" s="258"/>
      <c r="H10" s="259"/>
    </row>
    <row r="11" spans="1:10">
      <c r="B11" s="257"/>
      <c r="C11" s="258"/>
      <c r="D11" s="258"/>
      <c r="H11" s="259"/>
    </row>
    <row r="12" spans="1:10">
      <c r="B12" s="257"/>
      <c r="C12" s="258"/>
      <c r="D12" s="258"/>
      <c r="H12" s="259"/>
    </row>
    <row r="13" spans="1:10">
      <c r="B13" s="257"/>
      <c r="C13" s="258"/>
      <c r="D13" s="258"/>
      <c r="H13" s="259"/>
    </row>
    <row r="14" spans="1:10">
      <c r="B14" s="257"/>
      <c r="C14" s="258"/>
      <c r="D14" s="258"/>
      <c r="H14" s="259"/>
    </row>
    <row r="15" spans="1:10">
      <c r="B15" s="257"/>
      <c r="C15" s="258"/>
      <c r="D15" s="258"/>
      <c r="H15" s="259"/>
    </row>
    <row r="16" spans="1:10">
      <c r="B16" s="257"/>
      <c r="C16" s="258"/>
      <c r="D16" s="258"/>
      <c r="H16" s="259"/>
    </row>
    <row r="17" spans="2:8">
      <c r="B17" s="257"/>
      <c r="C17" s="258"/>
      <c r="D17" s="258"/>
      <c r="H17" s="259"/>
    </row>
    <row r="18" spans="2:8">
      <c r="B18" s="257"/>
      <c r="C18" s="258"/>
      <c r="D18" s="258"/>
      <c r="H18" s="259"/>
    </row>
    <row r="19" spans="2:8">
      <c r="B19" s="257"/>
      <c r="C19" s="258"/>
      <c r="D19" s="258"/>
      <c r="H19" s="259"/>
    </row>
    <row r="20" spans="2:8">
      <c r="B20" s="257"/>
      <c r="C20" s="258"/>
      <c r="D20" s="258"/>
      <c r="H20" s="259"/>
    </row>
    <row r="21" spans="2:8">
      <c r="B21" s="257"/>
      <c r="C21" s="258"/>
      <c r="D21" s="258"/>
      <c r="H21" s="259"/>
    </row>
    <row r="22" spans="2:8">
      <c r="B22" s="257"/>
      <c r="C22" s="258"/>
      <c r="D22" s="258"/>
      <c r="H22" s="259"/>
    </row>
    <row r="23" spans="2:8">
      <c r="B23" s="257"/>
      <c r="C23" s="258"/>
      <c r="D23" s="258"/>
      <c r="H23" s="259"/>
    </row>
    <row r="24" spans="2:8">
      <c r="B24" s="257"/>
      <c r="C24" s="258"/>
      <c r="D24" s="258"/>
      <c r="H24" s="259"/>
    </row>
    <row r="25" spans="2:8">
      <c r="B25" s="257"/>
      <c r="C25" s="258"/>
      <c r="D25" s="258"/>
      <c r="H25" s="259"/>
    </row>
    <row r="26" spans="2:8">
      <c r="B26" s="257"/>
      <c r="C26" s="258"/>
      <c r="D26" s="258"/>
      <c r="H26" s="259"/>
    </row>
    <row r="27" spans="2:8">
      <c r="B27" s="257"/>
      <c r="C27" s="260"/>
      <c r="D27" s="260"/>
      <c r="H27" s="259"/>
    </row>
    <row r="28" spans="2:8">
      <c r="B28" s="257"/>
      <c r="C28" s="260"/>
      <c r="D28" s="258"/>
      <c r="H28" s="259"/>
    </row>
    <row r="29" spans="2:8">
      <c r="B29" s="257"/>
      <c r="C29" s="258"/>
      <c r="D29" s="258"/>
      <c r="H29" s="259"/>
    </row>
    <row r="30" spans="2:8">
      <c r="B30" s="257"/>
      <c r="C30" s="258"/>
      <c r="D30" s="258"/>
      <c r="H30" s="259"/>
    </row>
    <row r="31" spans="2:8">
      <c r="B31" s="257"/>
      <c r="C31" s="258"/>
      <c r="D31" s="258"/>
      <c r="H31" s="259"/>
    </row>
    <row r="32" spans="2:8">
      <c r="B32" s="257"/>
      <c r="C32" s="258"/>
      <c r="D32" s="258"/>
      <c r="H32" s="259"/>
    </row>
    <row r="33" spans="2:8">
      <c r="B33" s="257"/>
      <c r="C33" s="258"/>
      <c r="D33" s="258"/>
      <c r="H33" s="259"/>
    </row>
    <row r="34" spans="2:8">
      <c r="B34" s="257"/>
      <c r="C34" s="258"/>
      <c r="D34" s="258"/>
      <c r="H34" s="259"/>
    </row>
    <row r="35" spans="2:8">
      <c r="B35" s="257"/>
      <c r="C35" s="258"/>
      <c r="D35" s="258"/>
      <c r="H35" s="259"/>
    </row>
    <row r="36" spans="2:8">
      <c r="B36" s="257"/>
      <c r="C36" s="258"/>
      <c r="D36" s="258"/>
      <c r="H36" s="259"/>
    </row>
    <row r="37" spans="2:8">
      <c r="B37" s="257"/>
      <c r="C37" s="260"/>
      <c r="D37" s="260"/>
      <c r="H37" s="259"/>
    </row>
    <row r="38" spans="2:8">
      <c r="B38" s="257"/>
      <c r="C38" s="260"/>
      <c r="D38" s="260"/>
      <c r="H38" s="259"/>
    </row>
    <row r="39" spans="2:8">
      <c r="B39" s="257"/>
      <c r="C39" s="260"/>
      <c r="D39" s="260"/>
      <c r="H39" s="259"/>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11</xdr:col>
                    <xdr:colOff>600075</xdr:colOff>
                    <xdr:row>0</xdr:row>
                    <xdr:rowOff>0</xdr:rowOff>
                  </from>
                  <to>
                    <xdr:col>14</xdr:col>
                    <xdr:colOff>409575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I885"/>
  <sheetViews>
    <sheetView tabSelected="1" zoomScaleNormal="100" workbookViewId="0">
      <selection activeCell="C9" sqref="C9"/>
    </sheetView>
  </sheetViews>
  <sheetFormatPr defaultColWidth="9.140625" defaultRowHeight="15"/>
  <cols>
    <col min="1" max="1" width="10.7109375" style="94" customWidth="1"/>
    <col min="2" max="2" width="37.5703125" style="79" bestFit="1" customWidth="1"/>
    <col min="3" max="3" width="19" style="79" customWidth="1"/>
    <col min="4" max="6" width="10.7109375" style="94" customWidth="1"/>
    <col min="7" max="7" width="12" style="79" bestFit="1" customWidth="1"/>
    <col min="8" max="8" width="12.140625" style="79" bestFit="1" customWidth="1"/>
    <col min="9" max="9" width="12.140625" style="281" bestFit="1" customWidth="1"/>
    <col min="10" max="10" width="12.140625" style="79" bestFit="1" customWidth="1"/>
    <col min="11" max="11" width="17.7109375" style="79" bestFit="1" customWidth="1"/>
    <col min="12" max="12" width="36.42578125" style="281" bestFit="1" customWidth="1"/>
    <col min="13" max="13" width="43" style="79" bestFit="1" customWidth="1"/>
    <col min="14" max="14" width="28.140625" style="79" bestFit="1" customWidth="1"/>
    <col min="15" max="15" width="18.7109375" style="79" bestFit="1" customWidth="1"/>
    <col min="16" max="16" width="30" style="94" bestFit="1" customWidth="1"/>
    <col min="17" max="17" width="43" style="97" bestFit="1" customWidth="1"/>
    <col min="18" max="18" width="10.7109375" style="94" customWidth="1"/>
    <col min="19" max="21" width="10.140625" style="97" customWidth="1"/>
    <col min="22" max="22" width="21.85546875" style="79" bestFit="1" customWidth="1"/>
    <col min="23" max="23" width="11.140625" style="148" bestFit="1" customWidth="1"/>
    <col min="24" max="24" width="11.85546875" style="139" bestFit="1" customWidth="1"/>
    <col min="25" max="25" width="15" style="139" bestFit="1" customWidth="1"/>
    <col min="26" max="26" width="10" style="139" bestFit="1" customWidth="1"/>
    <col min="27" max="27" width="13.7109375" style="139" bestFit="1" customWidth="1"/>
    <col min="28" max="28" width="12.42578125" style="139" bestFit="1" customWidth="1"/>
    <col min="29" max="29" width="10.42578125" style="139" bestFit="1" customWidth="1"/>
    <col min="30" max="31" width="10" style="139" bestFit="1" customWidth="1"/>
    <col min="32" max="32" width="12.85546875" style="143" bestFit="1" customWidth="1"/>
    <col min="33" max="33" width="9.28515625" style="148" customWidth="1"/>
    <col min="34" max="35" width="13" style="148" bestFit="1" customWidth="1"/>
    <col min="36" max="36" width="11" style="148" bestFit="1" customWidth="1"/>
    <col min="37" max="37" width="10.7109375" style="148" bestFit="1" customWidth="1"/>
    <col min="38" max="38" width="11.42578125" style="79" bestFit="1" customWidth="1"/>
    <col min="39" max="39" width="8.5703125" style="79" bestFit="1" customWidth="1"/>
    <col min="40" max="40" width="10.28515625" style="154" bestFit="1" customWidth="1"/>
    <col min="41" max="41" width="10.42578125" style="154" bestFit="1" customWidth="1"/>
    <col min="42" max="42" width="10.28515625" style="154" customWidth="1"/>
    <col min="43" max="43" width="12.28515625" style="154" bestFit="1" customWidth="1"/>
    <col min="44" max="45" width="20.42578125" style="126" bestFit="1" customWidth="1"/>
    <col min="46" max="46" width="8" style="79" bestFit="1" customWidth="1"/>
    <col min="47" max="48" width="14.42578125" style="79" bestFit="1" customWidth="1"/>
    <col min="49" max="49" width="14.85546875" style="79" bestFit="1" customWidth="1"/>
    <col min="50" max="50" width="20.28515625" style="79" bestFit="1" customWidth="1"/>
    <col min="51" max="51" width="12.85546875" style="79" bestFit="1" customWidth="1"/>
    <col min="52" max="53" width="16.42578125" style="79" bestFit="1" customWidth="1"/>
    <col min="54" max="54" width="15.42578125" style="79" bestFit="1" customWidth="1"/>
    <col min="55" max="55" width="13.42578125" style="79" bestFit="1" customWidth="1"/>
    <col min="56" max="56" width="12.85546875" style="79" bestFit="1" customWidth="1"/>
    <col min="57" max="57" width="15.85546875" style="143" bestFit="1" customWidth="1"/>
    <col min="58" max="58" width="12.140625" style="177" bestFit="1" customWidth="1"/>
    <col min="59" max="59" width="21" style="177" bestFit="1" customWidth="1"/>
    <col min="60" max="60" width="16" style="177" bestFit="1" customWidth="1"/>
    <col min="61" max="61" width="14" style="177" bestFit="1" customWidth="1"/>
    <col min="62" max="16384" width="9.140625" style="79"/>
  </cols>
  <sheetData>
    <row r="1" spans="1:61">
      <c r="A1" s="294" t="s">
        <v>358</v>
      </c>
      <c r="B1" s="294"/>
      <c r="C1" s="294"/>
      <c r="D1" s="294"/>
      <c r="E1" s="294"/>
      <c r="F1" s="294"/>
      <c r="G1" s="294"/>
      <c r="H1" s="294"/>
      <c r="I1" s="294"/>
      <c r="J1" s="294"/>
      <c r="K1" s="294"/>
      <c r="L1" s="294"/>
      <c r="M1" s="294"/>
      <c r="N1" s="119"/>
      <c r="O1" s="119"/>
      <c r="P1" s="124" t="s">
        <v>335</v>
      </c>
      <c r="Q1" s="119"/>
      <c r="R1" s="119"/>
      <c r="S1" s="119"/>
      <c r="T1" s="119"/>
      <c r="U1" s="119"/>
      <c r="V1" s="119"/>
      <c r="W1" s="298" t="s">
        <v>370</v>
      </c>
      <c r="X1" s="299"/>
      <c r="Y1" s="299"/>
      <c r="Z1" s="299"/>
      <c r="AA1" s="299"/>
      <c r="AB1" s="299"/>
      <c r="AC1" s="299"/>
      <c r="AD1" s="299"/>
      <c r="AE1" s="299"/>
      <c r="AF1" s="299"/>
      <c r="AG1" s="299"/>
      <c r="AH1" s="299"/>
      <c r="AI1" s="299"/>
      <c r="AJ1" s="299"/>
      <c r="AK1" s="300"/>
      <c r="AL1" s="295" t="s">
        <v>300</v>
      </c>
      <c r="AM1" s="296"/>
      <c r="AN1" s="296"/>
      <c r="AO1" s="296"/>
      <c r="AP1" s="296"/>
      <c r="AQ1" s="296"/>
      <c r="AR1" s="296"/>
      <c r="AS1" s="296"/>
      <c r="AT1" s="293" t="s">
        <v>295</v>
      </c>
      <c r="AU1" s="293"/>
      <c r="AV1" s="297" t="s">
        <v>287</v>
      </c>
      <c r="AW1" s="297"/>
      <c r="AX1" s="297"/>
      <c r="AY1" s="297"/>
      <c r="AZ1" s="297"/>
      <c r="BA1" s="297"/>
      <c r="BB1" s="297"/>
      <c r="BC1" s="297"/>
      <c r="BD1" s="297"/>
      <c r="BE1" s="297"/>
      <c r="BF1" s="297"/>
      <c r="BG1" s="297"/>
      <c r="BH1" s="297"/>
      <c r="BI1" s="297"/>
    </row>
    <row r="2" spans="1:61" s="80" customFormat="1">
      <c r="A2" s="100" t="s">
        <v>91</v>
      </c>
      <c r="B2" s="102" t="s">
        <v>322</v>
      </c>
      <c r="C2" s="100" t="s">
        <v>91</v>
      </c>
      <c r="D2" s="100" t="s">
        <v>91</v>
      </c>
      <c r="E2" s="100" t="s">
        <v>91</v>
      </c>
      <c r="F2" s="100" t="s">
        <v>91</v>
      </c>
      <c r="G2" s="100" t="s">
        <v>91</v>
      </c>
      <c r="H2" s="100" t="s">
        <v>324</v>
      </c>
      <c r="I2" s="279" t="s">
        <v>324</v>
      </c>
      <c r="J2" s="100" t="s">
        <v>324</v>
      </c>
      <c r="K2" s="101" t="s">
        <v>324</v>
      </c>
      <c r="L2" s="282" t="s">
        <v>91</v>
      </c>
      <c r="M2" s="101" t="s">
        <v>322</v>
      </c>
      <c r="N2" s="101" t="s">
        <v>91</v>
      </c>
      <c r="O2" s="101" t="s">
        <v>323</v>
      </c>
      <c r="P2" s="101" t="s">
        <v>91</v>
      </c>
      <c r="Q2" s="101" t="s">
        <v>92</v>
      </c>
      <c r="R2" s="100" t="s">
        <v>324</v>
      </c>
      <c r="S2" s="100" t="s">
        <v>92</v>
      </c>
      <c r="T2" s="100" t="s">
        <v>92</v>
      </c>
      <c r="U2" s="100" t="s">
        <v>92</v>
      </c>
      <c r="V2" s="102" t="s">
        <v>91</v>
      </c>
      <c r="W2" s="144" t="s">
        <v>91</v>
      </c>
      <c r="X2" s="135" t="s">
        <v>91</v>
      </c>
      <c r="Y2" s="135" t="s">
        <v>91</v>
      </c>
      <c r="Z2" s="135" t="s">
        <v>91</v>
      </c>
      <c r="AA2" s="135" t="s">
        <v>91</v>
      </c>
      <c r="AB2" s="135" t="s">
        <v>91</v>
      </c>
      <c r="AC2" s="135" t="s">
        <v>91</v>
      </c>
      <c r="AD2" s="135" t="s">
        <v>91</v>
      </c>
      <c r="AE2" s="135" t="s">
        <v>91</v>
      </c>
      <c r="AF2" s="140" t="s">
        <v>91</v>
      </c>
      <c r="AG2" s="144" t="s">
        <v>91</v>
      </c>
      <c r="AH2" s="144" t="s">
        <v>91</v>
      </c>
      <c r="AI2" s="144" t="s">
        <v>91</v>
      </c>
      <c r="AJ2" s="144" t="s">
        <v>91</v>
      </c>
      <c r="AK2" s="144" t="s">
        <v>91</v>
      </c>
      <c r="AL2" s="103" t="s">
        <v>91</v>
      </c>
      <c r="AM2" s="103" t="s">
        <v>91</v>
      </c>
      <c r="AN2" s="150" t="s">
        <v>91</v>
      </c>
      <c r="AO2" s="150" t="s">
        <v>91</v>
      </c>
      <c r="AP2" s="150" t="s">
        <v>91</v>
      </c>
      <c r="AQ2" s="150" t="s">
        <v>91</v>
      </c>
      <c r="AR2" s="103" t="s">
        <v>91</v>
      </c>
      <c r="AS2" s="103" t="s">
        <v>91</v>
      </c>
      <c r="AT2" s="104" t="s">
        <v>91</v>
      </c>
      <c r="AU2" s="104" t="s">
        <v>91</v>
      </c>
      <c r="AV2" s="174" t="s">
        <v>91</v>
      </c>
      <c r="AW2" s="105" t="s">
        <v>91</v>
      </c>
      <c r="AX2" s="105" t="s">
        <v>91</v>
      </c>
      <c r="AY2" s="105" t="s">
        <v>91</v>
      </c>
      <c r="AZ2" s="105" t="s">
        <v>91</v>
      </c>
      <c r="BA2" s="105" t="s">
        <v>91</v>
      </c>
      <c r="BB2" s="105" t="s">
        <v>91</v>
      </c>
      <c r="BC2" s="105" t="s">
        <v>91</v>
      </c>
      <c r="BD2" s="105" t="s">
        <v>91</v>
      </c>
      <c r="BE2" s="140" t="s">
        <v>91</v>
      </c>
      <c r="BF2" s="174" t="s">
        <v>91</v>
      </c>
      <c r="BG2" s="174" t="s">
        <v>91</v>
      </c>
      <c r="BH2" s="174" t="s">
        <v>91</v>
      </c>
      <c r="BI2" s="174" t="s">
        <v>91</v>
      </c>
    </row>
    <row r="3" spans="1:61" s="80" customFormat="1" ht="45">
      <c r="A3" s="102" t="s">
        <v>93</v>
      </c>
      <c r="B3" s="102" t="s">
        <v>202</v>
      </c>
      <c r="C3" s="106" t="s">
        <v>0</v>
      </c>
      <c r="D3" s="102" t="s">
        <v>321</v>
      </c>
      <c r="E3" s="102" t="s">
        <v>321</v>
      </c>
      <c r="F3" s="102" t="s">
        <v>321</v>
      </c>
      <c r="G3" s="107" t="s">
        <v>90</v>
      </c>
      <c r="H3" s="120" t="s">
        <v>100</v>
      </c>
      <c r="I3" s="280" t="s">
        <v>99</v>
      </c>
      <c r="J3" s="120" t="s">
        <v>101</v>
      </c>
      <c r="K3" s="120" t="s">
        <v>273</v>
      </c>
      <c r="L3" s="283" t="s">
        <v>398</v>
      </c>
      <c r="M3" s="163" t="s">
        <v>274</v>
      </c>
      <c r="N3" s="163" t="s">
        <v>275</v>
      </c>
      <c r="O3" s="164" t="s">
        <v>285</v>
      </c>
      <c r="P3" s="106" t="s">
        <v>272</v>
      </c>
      <c r="Q3" s="106" t="s">
        <v>276</v>
      </c>
      <c r="R3" s="120" t="s">
        <v>320</v>
      </c>
      <c r="S3" s="102" t="s">
        <v>359</v>
      </c>
      <c r="T3" s="102" t="s">
        <v>360</v>
      </c>
      <c r="U3" s="102" t="s">
        <v>361</v>
      </c>
      <c r="V3" s="102" t="s">
        <v>424</v>
      </c>
      <c r="W3" s="145" t="s">
        <v>286</v>
      </c>
      <c r="X3" s="136" t="s">
        <v>78</v>
      </c>
      <c r="Y3" s="136" t="s">
        <v>354</v>
      </c>
      <c r="Z3" s="136" t="s">
        <v>79</v>
      </c>
      <c r="AA3" s="136" t="s">
        <v>325</v>
      </c>
      <c r="AB3" s="136" t="s">
        <v>82</v>
      </c>
      <c r="AC3" s="136" t="s">
        <v>85</v>
      </c>
      <c r="AD3" s="136" t="s">
        <v>80</v>
      </c>
      <c r="AE3" s="136" t="s">
        <v>319</v>
      </c>
      <c r="AF3" s="121" t="s">
        <v>88</v>
      </c>
      <c r="AG3" s="145" t="s">
        <v>81</v>
      </c>
      <c r="AH3" s="145" t="s">
        <v>420</v>
      </c>
      <c r="AI3" s="145" t="s">
        <v>83</v>
      </c>
      <c r="AJ3" s="145" t="s">
        <v>86</v>
      </c>
      <c r="AK3" s="145" t="s">
        <v>105</v>
      </c>
      <c r="AL3" s="108" t="s">
        <v>192</v>
      </c>
      <c r="AM3" s="109" t="s">
        <v>89</v>
      </c>
      <c r="AN3" s="151" t="s">
        <v>87</v>
      </c>
      <c r="AO3" s="151" t="s">
        <v>327</v>
      </c>
      <c r="AP3" s="151" t="s">
        <v>84</v>
      </c>
      <c r="AQ3" s="151" t="s">
        <v>326</v>
      </c>
      <c r="AR3" s="109" t="s">
        <v>338</v>
      </c>
      <c r="AS3" s="109" t="s">
        <v>338</v>
      </c>
      <c r="AT3" s="122" t="s">
        <v>140</v>
      </c>
      <c r="AU3" s="110" t="s">
        <v>301</v>
      </c>
      <c r="AV3" s="175" t="s">
        <v>288</v>
      </c>
      <c r="AW3" s="121" t="s">
        <v>289</v>
      </c>
      <c r="AX3" s="121" t="s">
        <v>355</v>
      </c>
      <c r="AY3" s="121" t="s">
        <v>290</v>
      </c>
      <c r="AZ3" s="121" t="s">
        <v>329</v>
      </c>
      <c r="BA3" s="121" t="s">
        <v>291</v>
      </c>
      <c r="BB3" s="121" t="s">
        <v>292</v>
      </c>
      <c r="BC3" s="121" t="s">
        <v>293</v>
      </c>
      <c r="BD3" s="111" t="s">
        <v>296</v>
      </c>
      <c r="BE3" s="121" t="s">
        <v>294</v>
      </c>
      <c r="BF3" s="175" t="s">
        <v>297</v>
      </c>
      <c r="BG3" s="175" t="s">
        <v>421</v>
      </c>
      <c r="BH3" s="175" t="s">
        <v>298</v>
      </c>
      <c r="BI3" s="175" t="s">
        <v>299</v>
      </c>
    </row>
    <row r="4" spans="1:61" s="90" customFormat="1">
      <c r="A4" s="112">
        <v>1</v>
      </c>
      <c r="B4" s="85"/>
      <c r="C4" s="113" t="s">
        <v>8</v>
      </c>
      <c r="D4" s="112" t="s">
        <v>33</v>
      </c>
      <c r="E4" s="112" t="s">
        <v>33</v>
      </c>
      <c r="F4" s="112" t="s">
        <v>33</v>
      </c>
      <c r="G4" s="98" t="s">
        <v>94</v>
      </c>
      <c r="H4" s="120" t="str">
        <f t="shared" ref="H4:H8" si="0">IF(G4="Attribute","NA",D4)</f>
        <v>NA</v>
      </c>
      <c r="I4" s="280" t="str">
        <f t="shared" ref="I4:I8" si="1">IF(G4="Attribute","NA",E4)</f>
        <v>NA</v>
      </c>
      <c r="J4" s="120" t="str">
        <f t="shared" ref="J4:J8" si="2">IF(G4="Attribute","NA",F4)</f>
        <v>NA</v>
      </c>
      <c r="K4" s="120"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84" t="s">
        <v>315</v>
      </c>
      <c r="M4" s="115" t="s">
        <v>33</v>
      </c>
      <c r="N4" s="99" t="s">
        <v>59</v>
      </c>
      <c r="O4" s="116">
        <v>1</v>
      </c>
      <c r="P4" s="115" t="s">
        <v>33</v>
      </c>
      <c r="Q4" s="115" t="s">
        <v>33</v>
      </c>
      <c r="R4" s="120" t="str">
        <f>IFERROR(SUM(F4-D4),"NA")</f>
        <v>NA</v>
      </c>
      <c r="S4" s="117" t="s">
        <v>33</v>
      </c>
      <c r="T4" s="117" t="s">
        <v>33</v>
      </c>
      <c r="U4" s="117" t="s">
        <v>33</v>
      </c>
      <c r="V4" s="85"/>
      <c r="W4" s="146" t="s">
        <v>95</v>
      </c>
      <c r="X4" s="137" t="s">
        <v>95</v>
      </c>
      <c r="Y4" s="137"/>
      <c r="Z4" s="137"/>
      <c r="AA4" s="137"/>
      <c r="AB4" s="137"/>
      <c r="AC4" s="137"/>
      <c r="AD4" s="137"/>
      <c r="AE4" s="137"/>
      <c r="AF4" s="141"/>
      <c r="AG4" s="146" t="s">
        <v>95</v>
      </c>
      <c r="AH4" s="146"/>
      <c r="AI4" s="146"/>
      <c r="AJ4" s="146"/>
      <c r="AK4" s="146"/>
      <c r="AL4" s="81" t="s">
        <v>95</v>
      </c>
      <c r="AM4" s="81"/>
      <c r="AN4" s="152"/>
      <c r="AO4" s="152"/>
      <c r="AP4" s="152"/>
      <c r="AQ4" s="152"/>
      <c r="AR4" s="81"/>
      <c r="AS4" s="81"/>
      <c r="AT4" s="82"/>
      <c r="AU4" s="82"/>
      <c r="AV4" s="176"/>
      <c r="AW4" s="89"/>
      <c r="AX4" s="89"/>
      <c r="AY4" s="89"/>
      <c r="AZ4" s="89"/>
      <c r="BA4" s="89"/>
      <c r="BB4" s="89"/>
      <c r="BC4" s="89"/>
      <c r="BD4" s="89"/>
      <c r="BE4" s="141"/>
      <c r="BF4" s="176"/>
      <c r="BG4" s="176"/>
      <c r="BH4" s="176"/>
      <c r="BI4" s="176"/>
    </row>
    <row r="5" spans="1:61" s="90" customFormat="1">
      <c r="A5" s="112">
        <v>2</v>
      </c>
      <c r="B5" s="85"/>
      <c r="C5" s="113" t="s">
        <v>9</v>
      </c>
      <c r="D5" s="112" t="s">
        <v>33</v>
      </c>
      <c r="E5" s="112" t="s">
        <v>33</v>
      </c>
      <c r="F5" s="112" t="s">
        <v>33</v>
      </c>
      <c r="G5" s="98" t="s">
        <v>94</v>
      </c>
      <c r="H5" s="120" t="str">
        <f t="shared" si="0"/>
        <v>NA</v>
      </c>
      <c r="I5" s="280" t="str">
        <f t="shared" si="1"/>
        <v>NA</v>
      </c>
      <c r="J5" s="120" t="str">
        <f t="shared" si="2"/>
        <v>NA</v>
      </c>
      <c r="K5" s="120" t="str">
        <f t="shared" si="3"/>
        <v>ii</v>
      </c>
      <c r="L5" s="284" t="s">
        <v>96</v>
      </c>
      <c r="M5" s="115" t="s">
        <v>33</v>
      </c>
      <c r="N5" s="99" t="s">
        <v>59</v>
      </c>
      <c r="O5" s="116">
        <v>1</v>
      </c>
      <c r="P5" s="115" t="s">
        <v>33</v>
      </c>
      <c r="Q5" s="115" t="s">
        <v>33</v>
      </c>
      <c r="R5" s="120" t="str">
        <f t="shared" ref="R5:R68" si="4">IFERROR(SUM(F5-D5),"NA")</f>
        <v>NA</v>
      </c>
      <c r="S5" s="117" t="s">
        <v>33</v>
      </c>
      <c r="T5" s="117" t="s">
        <v>33</v>
      </c>
      <c r="U5" s="117" t="s">
        <v>33</v>
      </c>
      <c r="V5" s="85"/>
      <c r="W5" s="146" t="s">
        <v>95</v>
      </c>
      <c r="X5" s="137" t="s">
        <v>95</v>
      </c>
      <c r="Y5" s="137"/>
      <c r="Z5" s="137"/>
      <c r="AA5" s="137"/>
      <c r="AB5" s="137"/>
      <c r="AC5" s="137"/>
      <c r="AD5" s="137"/>
      <c r="AE5" s="137"/>
      <c r="AF5" s="141"/>
      <c r="AG5" s="146" t="s">
        <v>95</v>
      </c>
      <c r="AH5" s="146"/>
      <c r="AI5" s="146"/>
      <c r="AJ5" s="146"/>
      <c r="AK5" s="146"/>
      <c r="AL5" s="81" t="s">
        <v>95</v>
      </c>
      <c r="AM5" s="81"/>
      <c r="AN5" s="152"/>
      <c r="AO5" s="152"/>
      <c r="AP5" s="152"/>
      <c r="AQ5" s="152"/>
      <c r="AR5" s="81"/>
      <c r="AS5" s="81"/>
      <c r="AT5" s="82"/>
      <c r="AU5" s="82"/>
      <c r="AV5" s="176"/>
      <c r="AW5" s="89"/>
      <c r="AX5" s="89"/>
      <c r="AY5" s="89"/>
      <c r="AZ5" s="89"/>
      <c r="BA5" s="89"/>
      <c r="BB5" s="89"/>
      <c r="BC5" s="89"/>
      <c r="BD5" s="89"/>
      <c r="BE5" s="141"/>
      <c r="BF5" s="176"/>
      <c r="BG5" s="176"/>
      <c r="BH5" s="176"/>
      <c r="BI5" s="176"/>
    </row>
    <row r="6" spans="1:61" s="90" customFormat="1">
      <c r="A6" s="112">
        <v>3</v>
      </c>
      <c r="B6" s="85"/>
      <c r="C6" s="113" t="s">
        <v>10</v>
      </c>
      <c r="D6" s="112" t="s">
        <v>33</v>
      </c>
      <c r="E6" s="112" t="s">
        <v>33</v>
      </c>
      <c r="F6" s="112" t="s">
        <v>33</v>
      </c>
      <c r="G6" s="98" t="s">
        <v>94</v>
      </c>
      <c r="H6" s="120" t="str">
        <f t="shared" si="0"/>
        <v>NA</v>
      </c>
      <c r="I6" s="280" t="str">
        <f t="shared" si="1"/>
        <v>NA</v>
      </c>
      <c r="J6" s="120" t="str">
        <f t="shared" si="2"/>
        <v>NA</v>
      </c>
      <c r="K6" s="120" t="str">
        <f t="shared" si="3"/>
        <v>iii</v>
      </c>
      <c r="L6" s="284" t="s">
        <v>97</v>
      </c>
      <c r="M6" s="115" t="s">
        <v>33</v>
      </c>
      <c r="N6" s="99" t="s">
        <v>59</v>
      </c>
      <c r="O6" s="116">
        <v>1</v>
      </c>
      <c r="P6" s="115" t="s">
        <v>33</v>
      </c>
      <c r="Q6" s="115" t="s">
        <v>33</v>
      </c>
      <c r="R6" s="120" t="str">
        <f t="shared" si="4"/>
        <v>NA</v>
      </c>
      <c r="S6" s="117" t="s">
        <v>33</v>
      </c>
      <c r="T6" s="117" t="s">
        <v>33</v>
      </c>
      <c r="U6" s="117" t="s">
        <v>33</v>
      </c>
      <c r="V6" s="85"/>
      <c r="W6" s="146" t="s">
        <v>95</v>
      </c>
      <c r="X6" s="137" t="s">
        <v>95</v>
      </c>
      <c r="Y6" s="137"/>
      <c r="Z6" s="137"/>
      <c r="AA6" s="137"/>
      <c r="AB6" s="137"/>
      <c r="AC6" s="137"/>
      <c r="AD6" s="137"/>
      <c r="AE6" s="137"/>
      <c r="AF6" s="141"/>
      <c r="AG6" s="146" t="s">
        <v>95</v>
      </c>
      <c r="AH6" s="146"/>
      <c r="AI6" s="146"/>
      <c r="AJ6" s="146"/>
      <c r="AK6" s="146"/>
      <c r="AL6" s="81" t="s">
        <v>95</v>
      </c>
      <c r="AM6" s="81"/>
      <c r="AN6" s="152"/>
      <c r="AO6" s="152"/>
      <c r="AP6" s="152"/>
      <c r="AQ6" s="152"/>
      <c r="AR6" s="81"/>
      <c r="AS6" s="81"/>
      <c r="AT6" s="82"/>
      <c r="AU6" s="82"/>
      <c r="AV6" s="176"/>
      <c r="AW6" s="89"/>
      <c r="AX6" s="89"/>
      <c r="AY6" s="89"/>
      <c r="AZ6" s="89"/>
      <c r="BA6" s="89"/>
      <c r="BB6" s="89"/>
      <c r="BC6" s="89"/>
      <c r="BD6" s="89"/>
      <c r="BE6" s="141"/>
      <c r="BF6" s="176"/>
      <c r="BG6" s="176"/>
      <c r="BH6" s="176"/>
      <c r="BI6" s="176"/>
    </row>
    <row r="7" spans="1:61" s="90" customFormat="1" ht="25.5" customHeight="1">
      <c r="A7" s="112">
        <v>4</v>
      </c>
      <c r="B7" s="85"/>
      <c r="C7" s="113" t="s">
        <v>11</v>
      </c>
      <c r="D7" s="112" t="s">
        <v>33</v>
      </c>
      <c r="E7" s="112" t="s">
        <v>33</v>
      </c>
      <c r="F7" s="112" t="s">
        <v>33</v>
      </c>
      <c r="G7" s="98" t="s">
        <v>94</v>
      </c>
      <c r="H7" s="120" t="str">
        <f t="shared" si="0"/>
        <v>NA</v>
      </c>
      <c r="I7" s="280" t="str">
        <f t="shared" si="1"/>
        <v>NA</v>
      </c>
      <c r="J7" s="120" t="str">
        <f t="shared" si="2"/>
        <v>NA</v>
      </c>
      <c r="K7" s="120" t="str">
        <f t="shared" si="3"/>
        <v>iv</v>
      </c>
      <c r="L7" s="285" t="s">
        <v>270</v>
      </c>
      <c r="M7" s="114" t="s">
        <v>33</v>
      </c>
      <c r="N7" s="99" t="s">
        <v>104</v>
      </c>
      <c r="O7" s="116" t="s">
        <v>123</v>
      </c>
      <c r="P7" s="118" t="s">
        <v>33</v>
      </c>
      <c r="Q7" s="115" t="s">
        <v>33</v>
      </c>
      <c r="R7" s="120" t="str">
        <f t="shared" si="4"/>
        <v>NA</v>
      </c>
      <c r="S7" s="117" t="s">
        <v>33</v>
      </c>
      <c r="T7" s="117" t="s">
        <v>33</v>
      </c>
      <c r="U7" s="117" t="s">
        <v>33</v>
      </c>
      <c r="V7" s="85" t="s">
        <v>271</v>
      </c>
      <c r="W7" s="146" t="s">
        <v>95</v>
      </c>
      <c r="X7" s="137"/>
      <c r="Y7" s="137"/>
      <c r="Z7" s="137"/>
      <c r="AA7" s="137"/>
      <c r="AB7" s="137"/>
      <c r="AC7" s="137"/>
      <c r="AD7" s="137"/>
      <c r="AE7" s="137"/>
      <c r="AF7" s="141"/>
      <c r="AG7" s="146" t="s">
        <v>95</v>
      </c>
      <c r="AH7" s="146"/>
      <c r="AI7" s="146"/>
      <c r="AJ7" s="146"/>
      <c r="AK7" s="146"/>
      <c r="AL7" s="81"/>
      <c r="AM7" s="81"/>
      <c r="AN7" s="152"/>
      <c r="AO7" s="152"/>
      <c r="AP7" s="152"/>
      <c r="AQ7" s="152"/>
      <c r="AR7" s="81"/>
      <c r="AS7" s="81"/>
      <c r="AT7" s="82"/>
      <c r="AU7" s="82"/>
      <c r="AV7" s="176"/>
      <c r="AW7" s="89"/>
      <c r="AX7" s="89"/>
      <c r="AY7" s="89"/>
      <c r="AZ7" s="89"/>
      <c r="BA7" s="89"/>
      <c r="BB7" s="89"/>
      <c r="BC7" s="89"/>
      <c r="BD7" s="89"/>
      <c r="BE7" s="141"/>
      <c r="BF7" s="176"/>
      <c r="BG7" s="176"/>
      <c r="BH7" s="176"/>
      <c r="BI7" s="176"/>
    </row>
    <row r="8" spans="1:61" s="90" customFormat="1" ht="16.5" customHeight="1">
      <c r="A8" s="83">
        <v>5</v>
      </c>
      <c r="B8" s="85"/>
      <c r="C8" s="84" t="s">
        <v>98</v>
      </c>
      <c r="D8" s="112" t="s">
        <v>33</v>
      </c>
      <c r="E8" s="112" t="s">
        <v>33</v>
      </c>
      <c r="F8" s="112" t="s">
        <v>33</v>
      </c>
      <c r="G8" s="98" t="s">
        <v>94</v>
      </c>
      <c r="H8" s="120" t="str">
        <f t="shared" si="0"/>
        <v>NA</v>
      </c>
      <c r="I8" s="280" t="str">
        <f t="shared" si="1"/>
        <v>NA</v>
      </c>
      <c r="J8" s="120" t="str">
        <f t="shared" si="2"/>
        <v>NA</v>
      </c>
      <c r="K8" s="120" t="str">
        <f t="shared" si="3"/>
        <v>v</v>
      </c>
      <c r="L8" s="286" t="s">
        <v>314</v>
      </c>
      <c r="M8" s="114" t="s">
        <v>33</v>
      </c>
      <c r="N8" s="99" t="s">
        <v>104</v>
      </c>
      <c r="O8" s="116">
        <v>1</v>
      </c>
      <c r="P8" s="86" t="s">
        <v>33</v>
      </c>
      <c r="Q8" s="86" t="s">
        <v>33</v>
      </c>
      <c r="R8" s="120" t="str">
        <f t="shared" si="4"/>
        <v>NA</v>
      </c>
      <c r="S8" s="88" t="s">
        <v>33</v>
      </c>
      <c r="T8" s="117" t="s">
        <v>33</v>
      </c>
      <c r="U8" s="117" t="s">
        <v>33</v>
      </c>
      <c r="V8" s="85"/>
      <c r="W8" s="146" t="s">
        <v>95</v>
      </c>
      <c r="X8" s="137" t="s">
        <v>95</v>
      </c>
      <c r="Y8" s="137"/>
      <c r="Z8" s="137"/>
      <c r="AA8" s="137"/>
      <c r="AB8" s="137"/>
      <c r="AC8" s="137"/>
      <c r="AD8" s="137"/>
      <c r="AE8" s="137"/>
      <c r="AF8" s="141"/>
      <c r="AG8" s="146"/>
      <c r="AH8" s="146"/>
      <c r="AI8" s="146"/>
      <c r="AJ8" s="146"/>
      <c r="AK8" s="146"/>
      <c r="AL8" s="81" t="s">
        <v>95</v>
      </c>
      <c r="AM8" s="81"/>
      <c r="AN8" s="152"/>
      <c r="AO8" s="152"/>
      <c r="AP8" s="152"/>
      <c r="AQ8" s="152"/>
      <c r="AR8" s="81"/>
      <c r="AS8" s="81"/>
      <c r="AT8" s="82"/>
      <c r="AU8" s="82"/>
      <c r="AV8" s="176"/>
      <c r="AW8" s="89"/>
      <c r="AX8" s="89"/>
      <c r="AY8" s="89"/>
      <c r="AZ8" s="89"/>
      <c r="BA8" s="89"/>
      <c r="BB8" s="89"/>
      <c r="BC8" s="89"/>
      <c r="BD8" s="89"/>
      <c r="BE8" s="141"/>
      <c r="BF8" s="176"/>
      <c r="BG8" s="176"/>
      <c r="BH8" s="176"/>
      <c r="BI8" s="176"/>
    </row>
    <row r="9" spans="1:61" s="90" customFormat="1">
      <c r="A9" s="83">
        <v>6</v>
      </c>
      <c r="B9" s="85"/>
      <c r="C9" s="84"/>
      <c r="D9" s="112"/>
      <c r="E9" s="112"/>
      <c r="F9" s="112"/>
      <c r="G9" s="289"/>
      <c r="H9" s="280">
        <f>IF($G9="Attribute","NA",D9)</f>
        <v>0</v>
      </c>
      <c r="I9" s="280">
        <f t="shared" ref="I9:J9" si="5">IF($G9="Attribute","NA",E9)</f>
        <v>0</v>
      </c>
      <c r="J9" s="280">
        <f t="shared" si="5"/>
        <v>0</v>
      </c>
      <c r="K9" s="120" t="str">
        <f t="shared" si="3"/>
        <v/>
      </c>
      <c r="L9" s="287" t="s">
        <v>423</v>
      </c>
      <c r="M9" s="91" t="s">
        <v>422</v>
      </c>
      <c r="N9" s="99" t="s">
        <v>104</v>
      </c>
      <c r="O9" s="116" t="s">
        <v>103</v>
      </c>
      <c r="P9" s="86"/>
      <c r="Q9" s="92"/>
      <c r="R9" s="120">
        <f t="shared" si="4"/>
        <v>0</v>
      </c>
      <c r="S9" s="93"/>
      <c r="T9" s="117"/>
      <c r="U9" s="117"/>
      <c r="V9" s="85"/>
      <c r="W9" s="146"/>
      <c r="X9" s="137"/>
      <c r="Y9" s="137"/>
      <c r="Z9" s="137"/>
      <c r="AA9" s="137"/>
      <c r="AB9" s="137"/>
      <c r="AC9" s="137"/>
      <c r="AD9" s="137"/>
      <c r="AE9" s="137"/>
      <c r="AF9" s="141"/>
      <c r="AG9" s="146"/>
      <c r="AH9" s="146"/>
      <c r="AI9" s="146"/>
      <c r="AJ9" s="146"/>
      <c r="AK9" s="146"/>
      <c r="AL9" s="81"/>
      <c r="AM9" s="81"/>
      <c r="AN9" s="152"/>
      <c r="AO9" s="152"/>
      <c r="AP9" s="152"/>
      <c r="AQ9" s="152"/>
      <c r="AR9" s="81"/>
      <c r="AS9" s="81"/>
      <c r="AT9" s="82"/>
      <c r="AU9" s="82"/>
      <c r="AV9" s="176"/>
      <c r="AW9" s="89"/>
      <c r="AX9" s="89"/>
      <c r="AY9" s="89"/>
      <c r="AZ9" s="89"/>
      <c r="BA9" s="89"/>
      <c r="BB9" s="89"/>
      <c r="BC9" s="89"/>
      <c r="BD9" s="89"/>
      <c r="BE9" s="141"/>
      <c r="BF9" s="176"/>
      <c r="BG9" s="176"/>
      <c r="BH9" s="176"/>
      <c r="BI9" s="176"/>
    </row>
    <row r="10" spans="1:61" s="90" customFormat="1">
      <c r="A10" s="83">
        <v>7</v>
      </c>
      <c r="B10" s="85"/>
      <c r="C10" s="84"/>
      <c r="D10" s="112"/>
      <c r="E10" s="112"/>
      <c r="F10" s="112"/>
      <c r="G10" s="289"/>
      <c r="H10" s="280">
        <f t="shared" ref="H10:H73" si="6">IF($G10="Attribute","NA",D10)</f>
        <v>0</v>
      </c>
      <c r="I10" s="280">
        <f t="shared" ref="I10:I73" si="7">IF($G10="Attribute","NA",E10)</f>
        <v>0</v>
      </c>
      <c r="J10" s="280">
        <f t="shared" ref="J10:J73" si="8">IF($G10="Attribute","NA",F10)</f>
        <v>0</v>
      </c>
      <c r="K10" s="120" t="str">
        <f t="shared" si="3"/>
        <v/>
      </c>
      <c r="L10" s="287"/>
      <c r="M10" s="91"/>
      <c r="N10" s="99"/>
      <c r="O10" s="116"/>
      <c r="P10" s="86"/>
      <c r="Q10" s="92"/>
      <c r="R10" s="120">
        <f t="shared" si="4"/>
        <v>0</v>
      </c>
      <c r="S10" s="93"/>
      <c r="T10" s="117"/>
      <c r="U10" s="117"/>
      <c r="V10" s="85"/>
      <c r="W10" s="146"/>
      <c r="X10" s="137"/>
      <c r="Y10" s="137"/>
      <c r="Z10" s="137"/>
      <c r="AA10" s="137"/>
      <c r="AB10" s="137"/>
      <c r="AC10" s="137"/>
      <c r="AD10" s="137"/>
      <c r="AE10" s="137"/>
      <c r="AF10" s="141"/>
      <c r="AG10" s="146"/>
      <c r="AH10" s="146"/>
      <c r="AI10" s="146"/>
      <c r="AJ10" s="146"/>
      <c r="AK10" s="146"/>
      <c r="AL10" s="81"/>
      <c r="AM10" s="81"/>
      <c r="AN10" s="152"/>
      <c r="AO10" s="152"/>
      <c r="AP10" s="152"/>
      <c r="AQ10" s="152"/>
      <c r="AR10" s="81"/>
      <c r="AS10" s="81"/>
      <c r="AT10" s="82"/>
      <c r="AU10" s="82"/>
      <c r="AV10" s="176"/>
      <c r="AW10" s="89"/>
      <c r="AX10" s="89"/>
      <c r="AY10" s="89"/>
      <c r="AZ10" s="89"/>
      <c r="BA10" s="89"/>
      <c r="BB10" s="89"/>
      <c r="BC10" s="89"/>
      <c r="BD10" s="89"/>
      <c r="BE10" s="141"/>
      <c r="BF10" s="176"/>
      <c r="BG10" s="176"/>
      <c r="BH10" s="176"/>
      <c r="BI10" s="176"/>
    </row>
    <row r="11" spans="1:61" s="90" customFormat="1">
      <c r="A11" s="83">
        <v>8</v>
      </c>
      <c r="B11" s="85"/>
      <c r="C11" s="84"/>
      <c r="D11" s="112"/>
      <c r="E11" s="112"/>
      <c r="F11" s="112"/>
      <c r="G11" s="290"/>
      <c r="H11" s="280">
        <f t="shared" si="6"/>
        <v>0</v>
      </c>
      <c r="I11" s="280">
        <f t="shared" si="7"/>
        <v>0</v>
      </c>
      <c r="J11" s="280">
        <f t="shared" si="8"/>
        <v>0</v>
      </c>
      <c r="K11" s="120" t="str">
        <f t="shared" si="3"/>
        <v/>
      </c>
      <c r="L11" s="287"/>
      <c r="M11" s="91"/>
      <c r="N11" s="99"/>
      <c r="O11" s="116"/>
      <c r="P11" s="86"/>
      <c r="Q11" s="92"/>
      <c r="R11" s="120">
        <f t="shared" si="4"/>
        <v>0</v>
      </c>
      <c r="S11" s="93"/>
      <c r="T11" s="117"/>
      <c r="U11" s="117"/>
      <c r="V11" s="85"/>
      <c r="W11" s="146"/>
      <c r="X11" s="137"/>
      <c r="Y11" s="137"/>
      <c r="Z11" s="137"/>
      <c r="AA11" s="137"/>
      <c r="AB11" s="137"/>
      <c r="AC11" s="137"/>
      <c r="AD11" s="137"/>
      <c r="AE11" s="137"/>
      <c r="AF11" s="141"/>
      <c r="AG11" s="146"/>
      <c r="AH11" s="146"/>
      <c r="AI11" s="146"/>
      <c r="AJ11" s="146"/>
      <c r="AK11" s="146"/>
      <c r="AL11" s="81"/>
      <c r="AM11" s="81"/>
      <c r="AN11" s="152"/>
      <c r="AO11" s="152"/>
      <c r="AP11" s="152"/>
      <c r="AQ11" s="152"/>
      <c r="AR11" s="81"/>
      <c r="AS11" s="81"/>
      <c r="AT11" s="82"/>
      <c r="AU11" s="82"/>
      <c r="AV11" s="176"/>
      <c r="AW11" s="89"/>
      <c r="AX11" s="89"/>
      <c r="AY11" s="89"/>
      <c r="AZ11" s="89"/>
      <c r="BA11" s="89"/>
      <c r="BB11" s="89"/>
      <c r="BC11" s="89"/>
      <c r="BD11" s="89"/>
      <c r="BE11" s="141"/>
      <c r="BF11" s="176"/>
      <c r="BG11" s="176"/>
      <c r="BH11" s="176"/>
      <c r="BI11" s="176"/>
    </row>
    <row r="12" spans="1:61" s="90" customFormat="1">
      <c r="A12" s="83">
        <v>9</v>
      </c>
      <c r="B12" s="85"/>
      <c r="C12" s="84"/>
      <c r="D12" s="112"/>
      <c r="E12" s="112"/>
      <c r="F12" s="112"/>
      <c r="G12" s="290"/>
      <c r="H12" s="280">
        <f t="shared" si="6"/>
        <v>0</v>
      </c>
      <c r="I12" s="280">
        <f t="shared" si="7"/>
        <v>0</v>
      </c>
      <c r="J12" s="280">
        <f t="shared" si="8"/>
        <v>0</v>
      </c>
      <c r="K12" s="120" t="str">
        <f t="shared" si="3"/>
        <v/>
      </c>
      <c r="L12" s="288"/>
      <c r="M12" s="91"/>
      <c r="N12" s="99"/>
      <c r="O12" s="116"/>
      <c r="P12" s="86"/>
      <c r="Q12" s="92"/>
      <c r="R12" s="120">
        <f t="shared" si="4"/>
        <v>0</v>
      </c>
      <c r="S12" s="93"/>
      <c r="T12" s="117"/>
      <c r="U12" s="117"/>
      <c r="V12" s="85"/>
      <c r="W12" s="146"/>
      <c r="X12" s="137"/>
      <c r="Y12" s="137"/>
      <c r="Z12" s="137"/>
      <c r="AA12" s="137"/>
      <c r="AB12" s="137"/>
      <c r="AC12" s="137"/>
      <c r="AD12" s="137"/>
      <c r="AE12" s="137"/>
      <c r="AF12" s="141"/>
      <c r="AG12" s="146"/>
      <c r="AH12" s="146"/>
      <c r="AI12" s="146"/>
      <c r="AJ12" s="146"/>
      <c r="AK12" s="146"/>
      <c r="AL12" s="81"/>
      <c r="AM12" s="81"/>
      <c r="AN12" s="152"/>
      <c r="AO12" s="152"/>
      <c r="AP12" s="152"/>
      <c r="AQ12" s="152"/>
      <c r="AR12" s="81"/>
      <c r="AS12" s="81"/>
      <c r="AT12" s="82"/>
      <c r="AU12" s="82"/>
      <c r="AV12" s="176"/>
      <c r="AW12" s="89"/>
      <c r="AX12" s="89"/>
      <c r="AY12" s="89"/>
      <c r="AZ12" s="89"/>
      <c r="BA12" s="89"/>
      <c r="BB12" s="89"/>
      <c r="BC12" s="89"/>
      <c r="BD12" s="89"/>
      <c r="BE12" s="141"/>
      <c r="BF12" s="176"/>
      <c r="BG12" s="176"/>
      <c r="BH12" s="176"/>
      <c r="BI12" s="176"/>
    </row>
    <row r="13" spans="1:61" s="90" customFormat="1">
      <c r="A13" s="83">
        <v>10</v>
      </c>
      <c r="B13" s="85"/>
      <c r="C13" s="84"/>
      <c r="D13" s="112"/>
      <c r="E13" s="112"/>
      <c r="F13" s="112"/>
      <c r="G13" s="290"/>
      <c r="H13" s="280">
        <f t="shared" si="6"/>
        <v>0</v>
      </c>
      <c r="I13" s="280">
        <f t="shared" si="7"/>
        <v>0</v>
      </c>
      <c r="J13" s="280">
        <f t="shared" si="8"/>
        <v>0</v>
      </c>
      <c r="K13" s="120" t="str">
        <f t="shared" si="3"/>
        <v/>
      </c>
      <c r="L13" s="287"/>
      <c r="M13" s="91"/>
      <c r="N13" s="99"/>
      <c r="O13" s="116"/>
      <c r="P13" s="86"/>
      <c r="Q13" s="92"/>
      <c r="R13" s="120">
        <f t="shared" si="4"/>
        <v>0</v>
      </c>
      <c r="S13" s="93"/>
      <c r="T13" s="117"/>
      <c r="U13" s="117"/>
      <c r="V13" s="85"/>
      <c r="W13" s="146"/>
      <c r="X13" s="137"/>
      <c r="Y13" s="137"/>
      <c r="Z13" s="137"/>
      <c r="AA13" s="137"/>
      <c r="AB13" s="137"/>
      <c r="AC13" s="137"/>
      <c r="AD13" s="137"/>
      <c r="AE13" s="137"/>
      <c r="AF13" s="141"/>
      <c r="AG13" s="146"/>
      <c r="AH13" s="146"/>
      <c r="AI13" s="146"/>
      <c r="AJ13" s="146"/>
      <c r="AK13" s="146"/>
      <c r="AL13" s="81"/>
      <c r="AM13" s="81"/>
      <c r="AN13" s="152"/>
      <c r="AO13" s="152"/>
      <c r="AP13" s="152"/>
      <c r="AQ13" s="152"/>
      <c r="AR13" s="81"/>
      <c r="AS13" s="81"/>
      <c r="AT13" s="82"/>
      <c r="AU13" s="82"/>
      <c r="AV13" s="176"/>
      <c r="AW13" s="89"/>
      <c r="AX13" s="89"/>
      <c r="AY13" s="89"/>
      <c r="AZ13" s="89"/>
      <c r="BA13" s="89"/>
      <c r="BB13" s="89"/>
      <c r="BC13" s="89"/>
      <c r="BD13" s="89"/>
      <c r="BE13" s="141"/>
      <c r="BF13" s="176"/>
      <c r="BG13" s="176"/>
      <c r="BH13" s="176"/>
      <c r="BI13" s="176"/>
    </row>
    <row r="14" spans="1:61" s="90" customFormat="1">
      <c r="A14" s="83">
        <v>11</v>
      </c>
      <c r="B14" s="85"/>
      <c r="C14" s="84"/>
      <c r="D14" s="112"/>
      <c r="E14" s="112"/>
      <c r="F14" s="112"/>
      <c r="G14" s="290"/>
      <c r="H14" s="280">
        <f t="shared" si="6"/>
        <v>0</v>
      </c>
      <c r="I14" s="280">
        <f t="shared" si="7"/>
        <v>0</v>
      </c>
      <c r="J14" s="280">
        <f t="shared" si="8"/>
        <v>0</v>
      </c>
      <c r="K14" s="120" t="str">
        <f t="shared" si="3"/>
        <v/>
      </c>
      <c r="L14" s="287"/>
      <c r="M14" s="91"/>
      <c r="N14" s="99"/>
      <c r="O14" s="116"/>
      <c r="P14" s="86"/>
      <c r="Q14" s="92"/>
      <c r="R14" s="120">
        <f t="shared" si="4"/>
        <v>0</v>
      </c>
      <c r="S14" s="93"/>
      <c r="T14" s="117"/>
      <c r="U14" s="117"/>
      <c r="V14" s="85"/>
      <c r="W14" s="146"/>
      <c r="X14" s="137"/>
      <c r="Y14" s="137"/>
      <c r="Z14" s="137"/>
      <c r="AA14" s="137"/>
      <c r="AB14" s="137"/>
      <c r="AC14" s="137"/>
      <c r="AD14" s="137"/>
      <c r="AE14" s="137"/>
      <c r="AF14" s="141"/>
      <c r="AG14" s="146"/>
      <c r="AH14" s="146"/>
      <c r="AI14" s="146"/>
      <c r="AJ14" s="146"/>
      <c r="AK14" s="146"/>
      <c r="AL14" s="81"/>
      <c r="AM14" s="81"/>
      <c r="AN14" s="152"/>
      <c r="AO14" s="152"/>
      <c r="AP14" s="152"/>
      <c r="AQ14" s="152"/>
      <c r="AR14" s="81"/>
      <c r="AS14" s="81"/>
      <c r="AT14" s="82"/>
      <c r="AU14" s="82"/>
      <c r="AV14" s="176"/>
      <c r="AW14" s="89"/>
      <c r="AX14" s="89"/>
      <c r="AY14" s="89"/>
      <c r="AZ14" s="89"/>
      <c r="BA14" s="89"/>
      <c r="BB14" s="89"/>
      <c r="BC14" s="89"/>
      <c r="BD14" s="89"/>
      <c r="BE14" s="141"/>
      <c r="BF14" s="176"/>
      <c r="BG14" s="176"/>
      <c r="BH14" s="176"/>
      <c r="BI14" s="176"/>
    </row>
    <row r="15" spans="1:61" s="90" customFormat="1">
      <c r="A15" s="83">
        <v>12</v>
      </c>
      <c r="B15" s="85"/>
      <c r="C15" s="84"/>
      <c r="D15" s="112"/>
      <c r="E15" s="112"/>
      <c r="F15" s="112"/>
      <c r="G15" s="290"/>
      <c r="H15" s="280">
        <f t="shared" si="6"/>
        <v>0</v>
      </c>
      <c r="I15" s="280">
        <f t="shared" si="7"/>
        <v>0</v>
      </c>
      <c r="J15" s="280">
        <f t="shared" si="8"/>
        <v>0</v>
      </c>
      <c r="K15" s="120" t="str">
        <f t="shared" si="3"/>
        <v/>
      </c>
      <c r="L15" s="287"/>
      <c r="M15" s="91"/>
      <c r="N15" s="99"/>
      <c r="O15" s="116"/>
      <c r="P15" s="86"/>
      <c r="Q15" s="92"/>
      <c r="R15" s="120">
        <f t="shared" si="4"/>
        <v>0</v>
      </c>
      <c r="S15" s="93"/>
      <c r="T15" s="117"/>
      <c r="U15" s="117"/>
      <c r="V15" s="85"/>
      <c r="W15" s="146"/>
      <c r="X15" s="137"/>
      <c r="Y15" s="137"/>
      <c r="Z15" s="137"/>
      <c r="AA15" s="137"/>
      <c r="AB15" s="137"/>
      <c r="AC15" s="137"/>
      <c r="AD15" s="137"/>
      <c r="AE15" s="137"/>
      <c r="AF15" s="141"/>
      <c r="AG15" s="146"/>
      <c r="AH15" s="146"/>
      <c r="AI15" s="146"/>
      <c r="AJ15" s="146"/>
      <c r="AK15" s="146"/>
      <c r="AL15" s="81"/>
      <c r="AM15" s="81"/>
      <c r="AN15" s="152"/>
      <c r="AO15" s="152"/>
      <c r="AP15" s="152"/>
      <c r="AQ15" s="152"/>
      <c r="AR15" s="81"/>
      <c r="AS15" s="81"/>
      <c r="AT15" s="82"/>
      <c r="AU15" s="82"/>
      <c r="AV15" s="176"/>
      <c r="AW15" s="89"/>
      <c r="AX15" s="89"/>
      <c r="AY15" s="89"/>
      <c r="AZ15" s="89"/>
      <c r="BA15" s="89"/>
      <c r="BB15" s="89"/>
      <c r="BC15" s="89"/>
      <c r="BD15" s="89"/>
      <c r="BE15" s="141"/>
      <c r="BF15" s="176"/>
      <c r="BG15" s="176"/>
      <c r="BH15" s="176"/>
      <c r="BI15" s="176"/>
    </row>
    <row r="16" spans="1:61" s="90" customFormat="1">
      <c r="A16" s="83">
        <v>13</v>
      </c>
      <c r="B16" s="85"/>
      <c r="C16" s="84"/>
      <c r="D16" s="112"/>
      <c r="E16" s="112"/>
      <c r="F16" s="112"/>
      <c r="G16" s="290"/>
      <c r="H16" s="280">
        <f t="shared" si="6"/>
        <v>0</v>
      </c>
      <c r="I16" s="280">
        <f t="shared" si="7"/>
        <v>0</v>
      </c>
      <c r="J16" s="280">
        <f t="shared" si="8"/>
        <v>0</v>
      </c>
      <c r="K16" s="120" t="str">
        <f t="shared" si="3"/>
        <v/>
      </c>
      <c r="L16" s="287"/>
      <c r="M16" s="91"/>
      <c r="N16" s="99"/>
      <c r="O16" s="116"/>
      <c r="P16" s="86"/>
      <c r="Q16" s="92"/>
      <c r="R16" s="120">
        <f t="shared" si="4"/>
        <v>0</v>
      </c>
      <c r="S16" s="93"/>
      <c r="T16" s="117"/>
      <c r="U16" s="117"/>
      <c r="V16" s="85"/>
      <c r="W16" s="146"/>
      <c r="X16" s="137"/>
      <c r="Y16" s="137"/>
      <c r="Z16" s="137"/>
      <c r="AA16" s="137"/>
      <c r="AB16" s="137"/>
      <c r="AC16" s="137"/>
      <c r="AD16" s="137"/>
      <c r="AE16" s="137"/>
      <c r="AF16" s="141"/>
      <c r="AG16" s="146"/>
      <c r="AH16" s="146"/>
      <c r="AI16" s="146"/>
      <c r="AJ16" s="146"/>
      <c r="AK16" s="146"/>
      <c r="AL16" s="81"/>
      <c r="AM16" s="81"/>
      <c r="AN16" s="152"/>
      <c r="AO16" s="152"/>
      <c r="AP16" s="152"/>
      <c r="AQ16" s="152"/>
      <c r="AR16" s="81"/>
      <c r="AS16" s="81"/>
      <c r="AT16" s="82"/>
      <c r="AU16" s="82"/>
      <c r="AV16" s="176"/>
      <c r="AW16" s="89"/>
      <c r="AX16" s="89"/>
      <c r="AY16" s="89"/>
      <c r="AZ16" s="89"/>
      <c r="BA16" s="89"/>
      <c r="BB16" s="89"/>
      <c r="BC16" s="89"/>
      <c r="BD16" s="89"/>
      <c r="BE16" s="141"/>
      <c r="BF16" s="176"/>
      <c r="BG16" s="176"/>
      <c r="BH16" s="176"/>
      <c r="BI16" s="176"/>
    </row>
    <row r="17" spans="1:61" s="90" customFormat="1">
      <c r="A17" s="83">
        <v>14</v>
      </c>
      <c r="B17" s="85"/>
      <c r="C17" s="84"/>
      <c r="D17" s="112"/>
      <c r="E17" s="112"/>
      <c r="F17" s="112"/>
      <c r="G17" s="290"/>
      <c r="H17" s="280">
        <f t="shared" si="6"/>
        <v>0</v>
      </c>
      <c r="I17" s="280">
        <f t="shared" si="7"/>
        <v>0</v>
      </c>
      <c r="J17" s="280">
        <f t="shared" si="8"/>
        <v>0</v>
      </c>
      <c r="K17" s="120" t="str">
        <f t="shared" si="3"/>
        <v/>
      </c>
      <c r="L17" s="287"/>
      <c r="M17" s="91"/>
      <c r="N17" s="99"/>
      <c r="O17" s="116"/>
      <c r="P17" s="86"/>
      <c r="Q17" s="92"/>
      <c r="R17" s="120">
        <f t="shared" si="4"/>
        <v>0</v>
      </c>
      <c r="S17" s="93"/>
      <c r="T17" s="117"/>
      <c r="U17" s="117"/>
      <c r="V17" s="85"/>
      <c r="W17" s="146"/>
      <c r="X17" s="137"/>
      <c r="Y17" s="137"/>
      <c r="Z17" s="137"/>
      <c r="AA17" s="137"/>
      <c r="AB17" s="137"/>
      <c r="AC17" s="137"/>
      <c r="AD17" s="137"/>
      <c r="AE17" s="137"/>
      <c r="AF17" s="141"/>
      <c r="AG17" s="146"/>
      <c r="AH17" s="146"/>
      <c r="AI17" s="146"/>
      <c r="AJ17" s="146"/>
      <c r="AK17" s="146"/>
      <c r="AL17" s="81"/>
      <c r="AM17" s="81"/>
      <c r="AN17" s="152"/>
      <c r="AO17" s="152"/>
      <c r="AP17" s="152"/>
      <c r="AQ17" s="152"/>
      <c r="AR17" s="81"/>
      <c r="AS17" s="81"/>
      <c r="AT17" s="82"/>
      <c r="AU17" s="82"/>
      <c r="AV17" s="176"/>
      <c r="AW17" s="89"/>
      <c r="AX17" s="89"/>
      <c r="AY17" s="89"/>
      <c r="AZ17" s="89"/>
      <c r="BA17" s="89"/>
      <c r="BB17" s="89"/>
      <c r="BC17" s="89"/>
      <c r="BD17" s="89"/>
      <c r="BE17" s="141"/>
      <c r="BF17" s="176"/>
      <c r="BG17" s="176"/>
      <c r="BH17" s="176"/>
      <c r="BI17" s="176"/>
    </row>
    <row r="18" spans="1:61" s="90" customFormat="1">
      <c r="A18" s="83">
        <v>15</v>
      </c>
      <c r="B18" s="85"/>
      <c r="C18" s="84"/>
      <c r="D18" s="112"/>
      <c r="E18" s="112"/>
      <c r="F18" s="112"/>
      <c r="G18" s="290"/>
      <c r="H18" s="280">
        <f t="shared" si="6"/>
        <v>0</v>
      </c>
      <c r="I18" s="280">
        <f t="shared" si="7"/>
        <v>0</v>
      </c>
      <c r="J18" s="280">
        <f t="shared" si="8"/>
        <v>0</v>
      </c>
      <c r="K18" s="120" t="str">
        <f t="shared" si="3"/>
        <v/>
      </c>
      <c r="L18" s="287"/>
      <c r="M18" s="91"/>
      <c r="N18" s="99"/>
      <c r="O18" s="116"/>
      <c r="P18" s="86"/>
      <c r="Q18" s="92"/>
      <c r="R18" s="120">
        <f t="shared" si="4"/>
        <v>0</v>
      </c>
      <c r="S18" s="93"/>
      <c r="T18" s="117"/>
      <c r="U18" s="117"/>
      <c r="V18" s="85"/>
      <c r="W18" s="146"/>
      <c r="X18" s="137"/>
      <c r="Y18" s="137"/>
      <c r="Z18" s="137"/>
      <c r="AA18" s="137"/>
      <c r="AB18" s="137"/>
      <c r="AC18" s="137"/>
      <c r="AD18" s="137"/>
      <c r="AE18" s="137"/>
      <c r="AF18" s="141"/>
      <c r="AG18" s="146"/>
      <c r="AH18" s="146"/>
      <c r="AI18" s="146"/>
      <c r="AJ18" s="146"/>
      <c r="AK18" s="146"/>
      <c r="AL18" s="81"/>
      <c r="AM18" s="81"/>
      <c r="AN18" s="152"/>
      <c r="AO18" s="152"/>
      <c r="AP18" s="152"/>
      <c r="AQ18" s="152"/>
      <c r="AR18" s="81"/>
      <c r="AS18" s="81"/>
      <c r="AT18" s="82"/>
      <c r="AU18" s="82"/>
      <c r="AV18" s="176"/>
      <c r="AW18" s="89"/>
      <c r="AX18" s="89"/>
      <c r="AY18" s="89"/>
      <c r="AZ18" s="89"/>
      <c r="BA18" s="89"/>
      <c r="BB18" s="89"/>
      <c r="BC18" s="89"/>
      <c r="BD18" s="89"/>
      <c r="BE18" s="141"/>
      <c r="BF18" s="176"/>
      <c r="BG18" s="176"/>
      <c r="BH18" s="176"/>
      <c r="BI18" s="176"/>
    </row>
    <row r="19" spans="1:61" s="90" customFormat="1">
      <c r="A19" s="83">
        <v>16</v>
      </c>
      <c r="B19" s="85"/>
      <c r="C19" s="84"/>
      <c r="D19" s="112"/>
      <c r="E19" s="112"/>
      <c r="F19" s="112"/>
      <c r="G19" s="290"/>
      <c r="H19" s="280">
        <f t="shared" si="6"/>
        <v>0</v>
      </c>
      <c r="I19" s="280">
        <f t="shared" si="7"/>
        <v>0</v>
      </c>
      <c r="J19" s="280">
        <f t="shared" si="8"/>
        <v>0</v>
      </c>
      <c r="K19" s="120" t="str">
        <f t="shared" si="3"/>
        <v/>
      </c>
      <c r="L19" s="287"/>
      <c r="M19" s="91"/>
      <c r="N19" s="99"/>
      <c r="O19" s="116"/>
      <c r="P19" s="86"/>
      <c r="Q19" s="92"/>
      <c r="R19" s="120">
        <f t="shared" si="4"/>
        <v>0</v>
      </c>
      <c r="S19" s="93"/>
      <c r="T19" s="117"/>
      <c r="U19" s="117"/>
      <c r="V19" s="85"/>
      <c r="W19" s="146"/>
      <c r="X19" s="137"/>
      <c r="Y19" s="137"/>
      <c r="Z19" s="137"/>
      <c r="AA19" s="137"/>
      <c r="AB19" s="137"/>
      <c r="AC19" s="137"/>
      <c r="AD19" s="137"/>
      <c r="AE19" s="137"/>
      <c r="AF19" s="141"/>
      <c r="AG19" s="146"/>
      <c r="AH19" s="146"/>
      <c r="AI19" s="146"/>
      <c r="AJ19" s="146"/>
      <c r="AK19" s="146"/>
      <c r="AL19" s="81"/>
      <c r="AM19" s="81"/>
      <c r="AN19" s="152"/>
      <c r="AO19" s="152"/>
      <c r="AP19" s="152"/>
      <c r="AQ19" s="152"/>
      <c r="AR19" s="81"/>
      <c r="AS19" s="81"/>
      <c r="AT19" s="82"/>
      <c r="AU19" s="82"/>
      <c r="AV19" s="176"/>
      <c r="AW19" s="89"/>
      <c r="AX19" s="89"/>
      <c r="AY19" s="89"/>
      <c r="AZ19" s="89"/>
      <c r="BA19" s="89"/>
      <c r="BB19" s="89"/>
      <c r="BC19" s="89"/>
      <c r="BD19" s="89"/>
      <c r="BE19" s="141"/>
      <c r="BF19" s="176"/>
      <c r="BG19" s="176"/>
      <c r="BH19" s="176"/>
      <c r="BI19" s="176"/>
    </row>
    <row r="20" spans="1:61" s="90" customFormat="1">
      <c r="A20" s="83">
        <v>17</v>
      </c>
      <c r="B20" s="85"/>
      <c r="C20" s="84"/>
      <c r="D20" s="112"/>
      <c r="E20" s="112"/>
      <c r="F20" s="112"/>
      <c r="G20" s="290"/>
      <c r="H20" s="280">
        <f t="shared" si="6"/>
        <v>0</v>
      </c>
      <c r="I20" s="280">
        <f t="shared" si="7"/>
        <v>0</v>
      </c>
      <c r="J20" s="280">
        <f t="shared" si="8"/>
        <v>0</v>
      </c>
      <c r="K20" s="120" t="str">
        <f t="shared" si="3"/>
        <v/>
      </c>
      <c r="L20" s="287"/>
      <c r="M20" s="91"/>
      <c r="N20" s="99"/>
      <c r="O20" s="116"/>
      <c r="P20" s="86"/>
      <c r="Q20" s="92"/>
      <c r="R20" s="120">
        <f t="shared" si="4"/>
        <v>0</v>
      </c>
      <c r="S20" s="93"/>
      <c r="T20" s="117"/>
      <c r="U20" s="117"/>
      <c r="V20" s="85"/>
      <c r="W20" s="146"/>
      <c r="X20" s="137"/>
      <c r="Y20" s="137"/>
      <c r="Z20" s="137"/>
      <c r="AA20" s="137"/>
      <c r="AB20" s="137"/>
      <c r="AC20" s="137"/>
      <c r="AD20" s="137"/>
      <c r="AE20" s="137"/>
      <c r="AF20" s="141"/>
      <c r="AG20" s="146"/>
      <c r="AH20" s="146"/>
      <c r="AI20" s="146"/>
      <c r="AJ20" s="146"/>
      <c r="AK20" s="146"/>
      <c r="AL20" s="81"/>
      <c r="AM20" s="81"/>
      <c r="AN20" s="152"/>
      <c r="AO20" s="152"/>
      <c r="AP20" s="152"/>
      <c r="AQ20" s="152"/>
      <c r="AR20" s="81"/>
      <c r="AS20" s="81"/>
      <c r="AT20" s="82"/>
      <c r="AU20" s="82"/>
      <c r="AV20" s="176"/>
      <c r="AW20" s="89"/>
      <c r="AX20" s="89"/>
      <c r="AY20" s="89"/>
      <c r="AZ20" s="89"/>
      <c r="BA20" s="89"/>
      <c r="BB20" s="89"/>
      <c r="BC20" s="89"/>
      <c r="BD20" s="89"/>
      <c r="BE20" s="141"/>
      <c r="BF20" s="176"/>
      <c r="BG20" s="176"/>
      <c r="BH20" s="176"/>
      <c r="BI20" s="176"/>
    </row>
    <row r="21" spans="1:61" s="90" customFormat="1">
      <c r="A21" s="83">
        <v>18</v>
      </c>
      <c r="B21" s="85"/>
      <c r="C21" s="84"/>
      <c r="D21" s="112"/>
      <c r="E21" s="112"/>
      <c r="F21" s="112"/>
      <c r="G21" s="290"/>
      <c r="H21" s="280">
        <f t="shared" si="6"/>
        <v>0</v>
      </c>
      <c r="I21" s="280">
        <f t="shared" si="7"/>
        <v>0</v>
      </c>
      <c r="J21" s="280">
        <f t="shared" si="8"/>
        <v>0</v>
      </c>
      <c r="K21" s="120" t="str">
        <f t="shared" si="3"/>
        <v/>
      </c>
      <c r="L21" s="287"/>
      <c r="M21" s="91"/>
      <c r="N21" s="99"/>
      <c r="O21" s="116"/>
      <c r="P21" s="86"/>
      <c r="Q21" s="92"/>
      <c r="R21" s="120">
        <f t="shared" si="4"/>
        <v>0</v>
      </c>
      <c r="S21" s="93"/>
      <c r="T21" s="117"/>
      <c r="U21" s="117"/>
      <c r="V21" s="85"/>
      <c r="W21" s="146"/>
      <c r="X21" s="137"/>
      <c r="Y21" s="137"/>
      <c r="Z21" s="137"/>
      <c r="AA21" s="137"/>
      <c r="AB21" s="137"/>
      <c r="AC21" s="137"/>
      <c r="AD21" s="137"/>
      <c r="AE21" s="137"/>
      <c r="AF21" s="141"/>
      <c r="AG21" s="146"/>
      <c r="AH21" s="146"/>
      <c r="AI21" s="146"/>
      <c r="AJ21" s="146"/>
      <c r="AK21" s="146"/>
      <c r="AL21" s="81"/>
      <c r="AM21" s="81"/>
      <c r="AN21" s="152"/>
      <c r="AO21" s="152"/>
      <c r="AP21" s="152"/>
      <c r="AQ21" s="152"/>
      <c r="AR21" s="81"/>
      <c r="AS21" s="81"/>
      <c r="AT21" s="82"/>
      <c r="AU21" s="82"/>
      <c r="AV21" s="176"/>
      <c r="AW21" s="89"/>
      <c r="AX21" s="89"/>
      <c r="AY21" s="89"/>
      <c r="AZ21" s="89"/>
      <c r="BA21" s="89"/>
      <c r="BB21" s="89"/>
      <c r="BC21" s="89"/>
      <c r="BD21" s="89"/>
      <c r="BE21" s="141"/>
      <c r="BF21" s="176"/>
      <c r="BG21" s="176"/>
      <c r="BH21" s="176"/>
      <c r="BI21" s="176"/>
    </row>
    <row r="22" spans="1:61" s="90" customFormat="1">
      <c r="A22" s="83">
        <v>19</v>
      </c>
      <c r="B22" s="85"/>
      <c r="C22" s="84"/>
      <c r="D22" s="112"/>
      <c r="E22" s="112"/>
      <c r="F22" s="112"/>
      <c r="G22" s="290"/>
      <c r="H22" s="280">
        <f t="shared" si="6"/>
        <v>0</v>
      </c>
      <c r="I22" s="280">
        <f t="shared" si="7"/>
        <v>0</v>
      </c>
      <c r="J22" s="280">
        <f t="shared" si="8"/>
        <v>0</v>
      </c>
      <c r="K22" s="120" t="str">
        <f t="shared" si="3"/>
        <v/>
      </c>
      <c r="L22" s="287"/>
      <c r="M22" s="91"/>
      <c r="N22" s="99"/>
      <c r="O22" s="116"/>
      <c r="P22" s="86"/>
      <c r="Q22" s="92"/>
      <c r="R22" s="120">
        <f t="shared" si="4"/>
        <v>0</v>
      </c>
      <c r="S22" s="93"/>
      <c r="T22" s="117"/>
      <c r="U22" s="117"/>
      <c r="V22" s="85"/>
      <c r="W22" s="146"/>
      <c r="X22" s="137"/>
      <c r="Y22" s="137"/>
      <c r="Z22" s="137"/>
      <c r="AA22" s="137"/>
      <c r="AB22" s="137"/>
      <c r="AC22" s="137"/>
      <c r="AD22" s="137"/>
      <c r="AE22" s="137"/>
      <c r="AF22" s="141"/>
      <c r="AG22" s="146"/>
      <c r="AH22" s="146"/>
      <c r="AI22" s="146"/>
      <c r="AJ22" s="146"/>
      <c r="AK22" s="146"/>
      <c r="AL22" s="81"/>
      <c r="AM22" s="81"/>
      <c r="AN22" s="152"/>
      <c r="AO22" s="152"/>
      <c r="AP22" s="152"/>
      <c r="AQ22" s="152"/>
      <c r="AR22" s="81"/>
      <c r="AS22" s="81"/>
      <c r="AT22" s="82"/>
      <c r="AU22" s="82"/>
      <c r="AV22" s="176"/>
      <c r="AW22" s="89"/>
      <c r="AX22" s="89"/>
      <c r="AY22" s="89"/>
      <c r="AZ22" s="89"/>
      <c r="BA22" s="89"/>
      <c r="BB22" s="89"/>
      <c r="BC22" s="89"/>
      <c r="BD22" s="89"/>
      <c r="BE22" s="141"/>
      <c r="BF22" s="176"/>
      <c r="BG22" s="176"/>
      <c r="BH22" s="176"/>
      <c r="BI22" s="176"/>
    </row>
    <row r="23" spans="1:61" s="90" customFormat="1">
      <c r="A23" s="83">
        <v>20</v>
      </c>
      <c r="B23" s="85"/>
      <c r="C23" s="84"/>
      <c r="D23" s="112"/>
      <c r="E23" s="112"/>
      <c r="F23" s="112"/>
      <c r="G23" s="290"/>
      <c r="H23" s="280">
        <f t="shared" si="6"/>
        <v>0</v>
      </c>
      <c r="I23" s="280">
        <f t="shared" si="7"/>
        <v>0</v>
      </c>
      <c r="J23" s="280">
        <f t="shared" si="8"/>
        <v>0</v>
      </c>
      <c r="K23" s="120" t="str">
        <f t="shared" si="3"/>
        <v/>
      </c>
      <c r="L23" s="287"/>
      <c r="M23" s="91"/>
      <c r="N23" s="99"/>
      <c r="O23" s="116"/>
      <c r="P23" s="86"/>
      <c r="Q23" s="92"/>
      <c r="R23" s="120">
        <f t="shared" si="4"/>
        <v>0</v>
      </c>
      <c r="S23" s="93"/>
      <c r="T23" s="117"/>
      <c r="U23" s="117"/>
      <c r="V23" s="85"/>
      <c r="W23" s="146"/>
      <c r="X23" s="137"/>
      <c r="Y23" s="137"/>
      <c r="Z23" s="137"/>
      <c r="AA23" s="137"/>
      <c r="AB23" s="137"/>
      <c r="AC23" s="137"/>
      <c r="AD23" s="137"/>
      <c r="AE23" s="137"/>
      <c r="AF23" s="141"/>
      <c r="AG23" s="146"/>
      <c r="AH23" s="146"/>
      <c r="AI23" s="146"/>
      <c r="AJ23" s="146"/>
      <c r="AK23" s="146"/>
      <c r="AL23" s="81"/>
      <c r="AM23" s="81"/>
      <c r="AN23" s="152"/>
      <c r="AO23" s="152"/>
      <c r="AP23" s="152"/>
      <c r="AQ23" s="152"/>
      <c r="AR23" s="81"/>
      <c r="AS23" s="81"/>
      <c r="AT23" s="82"/>
      <c r="AU23" s="82"/>
      <c r="AV23" s="176"/>
      <c r="AW23" s="89"/>
      <c r="AX23" s="89"/>
      <c r="AY23" s="89"/>
      <c r="AZ23" s="89"/>
      <c r="BA23" s="89"/>
      <c r="BB23" s="89"/>
      <c r="BC23" s="89"/>
      <c r="BD23" s="89"/>
      <c r="BE23" s="141"/>
      <c r="BF23" s="176"/>
      <c r="BG23" s="176"/>
      <c r="BH23" s="176"/>
      <c r="BI23" s="176"/>
    </row>
    <row r="24" spans="1:61" s="90" customFormat="1">
      <c r="A24" s="83">
        <v>21</v>
      </c>
      <c r="B24" s="85"/>
      <c r="C24" s="84"/>
      <c r="D24" s="112"/>
      <c r="E24" s="112"/>
      <c r="F24" s="112"/>
      <c r="G24" s="290"/>
      <c r="H24" s="280">
        <f t="shared" si="6"/>
        <v>0</v>
      </c>
      <c r="I24" s="280">
        <f t="shared" si="7"/>
        <v>0</v>
      </c>
      <c r="J24" s="280">
        <f t="shared" si="8"/>
        <v>0</v>
      </c>
      <c r="K24" s="120" t="str">
        <f t="shared" si="3"/>
        <v/>
      </c>
      <c r="L24" s="287"/>
      <c r="M24" s="91"/>
      <c r="N24" s="99"/>
      <c r="O24" s="116"/>
      <c r="P24" s="86"/>
      <c r="Q24" s="92"/>
      <c r="R24" s="120">
        <f t="shared" si="4"/>
        <v>0</v>
      </c>
      <c r="S24" s="93"/>
      <c r="T24" s="117"/>
      <c r="U24" s="117"/>
      <c r="V24" s="85"/>
      <c r="W24" s="146"/>
      <c r="X24" s="137"/>
      <c r="Y24" s="137"/>
      <c r="Z24" s="137"/>
      <c r="AA24" s="137"/>
      <c r="AB24" s="137"/>
      <c r="AC24" s="137"/>
      <c r="AD24" s="137"/>
      <c r="AE24" s="137"/>
      <c r="AF24" s="141"/>
      <c r="AG24" s="146"/>
      <c r="AH24" s="146"/>
      <c r="AI24" s="146"/>
      <c r="AJ24" s="146"/>
      <c r="AK24" s="146"/>
      <c r="AL24" s="81"/>
      <c r="AM24" s="81"/>
      <c r="AN24" s="152"/>
      <c r="AO24" s="152"/>
      <c r="AP24" s="152"/>
      <c r="AQ24" s="152"/>
      <c r="AR24" s="81"/>
      <c r="AS24" s="81"/>
      <c r="AT24" s="82"/>
      <c r="AU24" s="82"/>
      <c r="AV24" s="176"/>
      <c r="AW24" s="89"/>
      <c r="AX24" s="89"/>
      <c r="AY24" s="89"/>
      <c r="AZ24" s="89"/>
      <c r="BA24" s="89"/>
      <c r="BB24" s="89"/>
      <c r="BC24" s="89"/>
      <c r="BD24" s="89"/>
      <c r="BE24" s="141"/>
      <c r="BF24" s="176"/>
      <c r="BG24" s="176"/>
      <c r="BH24" s="176"/>
      <c r="BI24" s="176"/>
    </row>
    <row r="25" spans="1:61" s="90" customFormat="1">
      <c r="A25" s="83">
        <v>22</v>
      </c>
      <c r="B25" s="85"/>
      <c r="C25" s="84"/>
      <c r="D25" s="112"/>
      <c r="E25" s="112"/>
      <c r="F25" s="112"/>
      <c r="G25" s="290"/>
      <c r="H25" s="280">
        <f t="shared" si="6"/>
        <v>0</v>
      </c>
      <c r="I25" s="280">
        <f t="shared" si="7"/>
        <v>0</v>
      </c>
      <c r="J25" s="280">
        <f t="shared" si="8"/>
        <v>0</v>
      </c>
      <c r="K25" s="120" t="str">
        <f t="shared" si="3"/>
        <v/>
      </c>
      <c r="L25" s="287"/>
      <c r="M25" s="91"/>
      <c r="N25" s="99"/>
      <c r="O25" s="116"/>
      <c r="P25" s="86"/>
      <c r="Q25" s="92"/>
      <c r="R25" s="120">
        <f t="shared" si="4"/>
        <v>0</v>
      </c>
      <c r="S25" s="93"/>
      <c r="T25" s="117"/>
      <c r="U25" s="117"/>
      <c r="V25" s="85"/>
      <c r="W25" s="146"/>
      <c r="X25" s="137"/>
      <c r="Y25" s="137"/>
      <c r="Z25" s="137"/>
      <c r="AA25" s="137"/>
      <c r="AB25" s="137"/>
      <c r="AC25" s="137"/>
      <c r="AD25" s="137"/>
      <c r="AE25" s="137"/>
      <c r="AF25" s="141"/>
      <c r="AG25" s="146"/>
      <c r="AH25" s="146"/>
      <c r="AI25" s="146"/>
      <c r="AJ25" s="146"/>
      <c r="AK25" s="146"/>
      <c r="AL25" s="81"/>
      <c r="AM25" s="81"/>
      <c r="AN25" s="152"/>
      <c r="AO25" s="152"/>
      <c r="AP25" s="152"/>
      <c r="AQ25" s="152"/>
      <c r="AR25" s="81"/>
      <c r="AS25" s="81"/>
      <c r="AT25" s="82"/>
      <c r="AU25" s="82"/>
      <c r="AV25" s="176"/>
      <c r="AW25" s="89"/>
      <c r="AX25" s="89"/>
      <c r="AY25" s="89"/>
      <c r="AZ25" s="89"/>
      <c r="BA25" s="89"/>
      <c r="BB25" s="89"/>
      <c r="BC25" s="89"/>
      <c r="BD25" s="89"/>
      <c r="BE25" s="141"/>
      <c r="BF25" s="176"/>
      <c r="BG25" s="176"/>
      <c r="BH25" s="176"/>
      <c r="BI25" s="176"/>
    </row>
    <row r="26" spans="1:61" s="90" customFormat="1">
      <c r="A26" s="83">
        <v>23</v>
      </c>
      <c r="B26" s="85"/>
      <c r="C26" s="84"/>
      <c r="D26" s="112"/>
      <c r="E26" s="112"/>
      <c r="F26" s="112"/>
      <c r="G26" s="290"/>
      <c r="H26" s="280">
        <f t="shared" si="6"/>
        <v>0</v>
      </c>
      <c r="I26" s="280">
        <f t="shared" si="7"/>
        <v>0</v>
      </c>
      <c r="J26" s="280">
        <f t="shared" si="8"/>
        <v>0</v>
      </c>
      <c r="K26" s="120" t="str">
        <f t="shared" si="3"/>
        <v/>
      </c>
      <c r="L26" s="287"/>
      <c r="M26" s="91"/>
      <c r="N26" s="99"/>
      <c r="O26" s="116"/>
      <c r="P26" s="86"/>
      <c r="Q26" s="92"/>
      <c r="R26" s="120">
        <f t="shared" si="4"/>
        <v>0</v>
      </c>
      <c r="S26" s="93"/>
      <c r="T26" s="117"/>
      <c r="U26" s="117"/>
      <c r="V26" s="85"/>
      <c r="W26" s="146"/>
      <c r="X26" s="137"/>
      <c r="Y26" s="137"/>
      <c r="Z26" s="137"/>
      <c r="AA26" s="137"/>
      <c r="AB26" s="137"/>
      <c r="AC26" s="137"/>
      <c r="AD26" s="137"/>
      <c r="AE26" s="137"/>
      <c r="AF26" s="141"/>
      <c r="AG26" s="146"/>
      <c r="AH26" s="146"/>
      <c r="AI26" s="146"/>
      <c r="AJ26" s="146"/>
      <c r="AK26" s="146"/>
      <c r="AL26" s="81"/>
      <c r="AM26" s="81"/>
      <c r="AN26" s="152"/>
      <c r="AO26" s="152"/>
      <c r="AP26" s="152"/>
      <c r="AQ26" s="152"/>
      <c r="AR26" s="81"/>
      <c r="AS26" s="81"/>
      <c r="AT26" s="82"/>
      <c r="AU26" s="82"/>
      <c r="AV26" s="176"/>
      <c r="AW26" s="89"/>
      <c r="AX26" s="89"/>
      <c r="AY26" s="89"/>
      <c r="AZ26" s="89"/>
      <c r="BA26" s="89"/>
      <c r="BB26" s="89"/>
      <c r="BC26" s="89"/>
      <c r="BD26" s="89"/>
      <c r="BE26" s="141"/>
      <c r="BF26" s="176"/>
      <c r="BG26" s="176"/>
      <c r="BH26" s="176"/>
      <c r="BI26" s="176"/>
    </row>
    <row r="27" spans="1:61" s="90" customFormat="1">
      <c r="A27" s="83">
        <v>24</v>
      </c>
      <c r="B27" s="85"/>
      <c r="C27" s="84"/>
      <c r="D27" s="112"/>
      <c r="E27" s="112"/>
      <c r="F27" s="112"/>
      <c r="G27" s="290"/>
      <c r="H27" s="280">
        <f t="shared" si="6"/>
        <v>0</v>
      </c>
      <c r="I27" s="280">
        <f t="shared" si="7"/>
        <v>0</v>
      </c>
      <c r="J27" s="280">
        <f t="shared" si="8"/>
        <v>0</v>
      </c>
      <c r="K27" s="120" t="str">
        <f t="shared" si="3"/>
        <v/>
      </c>
      <c r="L27" s="287"/>
      <c r="M27" s="91"/>
      <c r="N27" s="99"/>
      <c r="O27" s="116"/>
      <c r="P27" s="86"/>
      <c r="Q27" s="92"/>
      <c r="R27" s="120">
        <f t="shared" si="4"/>
        <v>0</v>
      </c>
      <c r="S27" s="93"/>
      <c r="T27" s="117"/>
      <c r="U27" s="117"/>
      <c r="V27" s="85"/>
      <c r="W27" s="146"/>
      <c r="X27" s="137"/>
      <c r="Y27" s="137"/>
      <c r="Z27" s="137"/>
      <c r="AA27" s="137"/>
      <c r="AB27" s="137"/>
      <c r="AC27" s="137"/>
      <c r="AD27" s="137"/>
      <c r="AE27" s="137"/>
      <c r="AF27" s="141"/>
      <c r="AG27" s="146"/>
      <c r="AH27" s="146"/>
      <c r="AI27" s="146"/>
      <c r="AJ27" s="146"/>
      <c r="AK27" s="146"/>
      <c r="AL27" s="81"/>
      <c r="AM27" s="81"/>
      <c r="AN27" s="152"/>
      <c r="AO27" s="152"/>
      <c r="AP27" s="152"/>
      <c r="AQ27" s="152"/>
      <c r="AR27" s="81"/>
      <c r="AS27" s="81"/>
      <c r="AT27" s="82"/>
      <c r="AU27" s="82"/>
      <c r="AV27" s="176"/>
      <c r="AW27" s="89"/>
      <c r="AX27" s="89"/>
      <c r="AY27" s="89"/>
      <c r="AZ27" s="89"/>
      <c r="BA27" s="89"/>
      <c r="BB27" s="89"/>
      <c r="BC27" s="89"/>
      <c r="BD27" s="89"/>
      <c r="BE27" s="141"/>
      <c r="BF27" s="176"/>
      <c r="BG27" s="176"/>
      <c r="BH27" s="176"/>
      <c r="BI27" s="176"/>
    </row>
    <row r="28" spans="1:61" s="90" customFormat="1">
      <c r="A28" s="83">
        <v>25</v>
      </c>
      <c r="B28" s="85"/>
      <c r="C28" s="84"/>
      <c r="D28" s="112"/>
      <c r="E28" s="112"/>
      <c r="F28" s="112"/>
      <c r="G28" s="290"/>
      <c r="H28" s="280">
        <f t="shared" si="6"/>
        <v>0</v>
      </c>
      <c r="I28" s="280">
        <f t="shared" si="7"/>
        <v>0</v>
      </c>
      <c r="J28" s="280">
        <f t="shared" si="8"/>
        <v>0</v>
      </c>
      <c r="K28" s="120" t="str">
        <f t="shared" si="3"/>
        <v/>
      </c>
      <c r="L28" s="287"/>
      <c r="M28" s="91"/>
      <c r="N28" s="99"/>
      <c r="O28" s="116"/>
      <c r="P28" s="86"/>
      <c r="Q28" s="92"/>
      <c r="R28" s="120">
        <f t="shared" si="4"/>
        <v>0</v>
      </c>
      <c r="S28" s="93"/>
      <c r="T28" s="117"/>
      <c r="U28" s="117"/>
      <c r="V28" s="85"/>
      <c r="W28" s="146"/>
      <c r="X28" s="137"/>
      <c r="Y28" s="137"/>
      <c r="Z28" s="137"/>
      <c r="AA28" s="137"/>
      <c r="AB28" s="137"/>
      <c r="AC28" s="137"/>
      <c r="AD28" s="137"/>
      <c r="AE28" s="137"/>
      <c r="AF28" s="141"/>
      <c r="AG28" s="146"/>
      <c r="AH28" s="146"/>
      <c r="AI28" s="146"/>
      <c r="AJ28" s="146"/>
      <c r="AK28" s="146"/>
      <c r="AL28" s="81"/>
      <c r="AM28" s="81"/>
      <c r="AN28" s="152"/>
      <c r="AO28" s="152"/>
      <c r="AP28" s="152"/>
      <c r="AQ28" s="152"/>
      <c r="AR28" s="81"/>
      <c r="AS28" s="81"/>
      <c r="AT28" s="82"/>
      <c r="AU28" s="82"/>
      <c r="AV28" s="176"/>
      <c r="AW28" s="89"/>
      <c r="AX28" s="89"/>
      <c r="AY28" s="89"/>
      <c r="AZ28" s="89"/>
      <c r="BA28" s="89"/>
      <c r="BB28" s="89"/>
      <c r="BC28" s="89"/>
      <c r="BD28" s="89"/>
      <c r="BE28" s="141"/>
      <c r="BF28" s="176"/>
      <c r="BG28" s="176"/>
      <c r="BH28" s="176"/>
      <c r="BI28" s="176"/>
    </row>
    <row r="29" spans="1:61" s="90" customFormat="1">
      <c r="A29" s="83">
        <v>26</v>
      </c>
      <c r="B29" s="85"/>
      <c r="C29" s="84"/>
      <c r="D29" s="112"/>
      <c r="E29" s="112"/>
      <c r="F29" s="112"/>
      <c r="G29" s="290"/>
      <c r="H29" s="280">
        <f t="shared" si="6"/>
        <v>0</v>
      </c>
      <c r="I29" s="280">
        <f t="shared" si="7"/>
        <v>0</v>
      </c>
      <c r="J29" s="280">
        <f t="shared" si="8"/>
        <v>0</v>
      </c>
      <c r="K29" s="120" t="str">
        <f t="shared" si="3"/>
        <v/>
      </c>
      <c r="L29" s="287"/>
      <c r="M29" s="91"/>
      <c r="N29" s="99"/>
      <c r="O29" s="116"/>
      <c r="P29" s="86"/>
      <c r="Q29" s="92"/>
      <c r="R29" s="120">
        <f t="shared" si="4"/>
        <v>0</v>
      </c>
      <c r="S29" s="93"/>
      <c r="T29" s="117"/>
      <c r="U29" s="117"/>
      <c r="V29" s="85"/>
      <c r="W29" s="146"/>
      <c r="X29" s="137"/>
      <c r="Y29" s="137"/>
      <c r="Z29" s="137"/>
      <c r="AA29" s="137"/>
      <c r="AB29" s="137"/>
      <c r="AC29" s="137"/>
      <c r="AD29" s="137"/>
      <c r="AE29" s="137"/>
      <c r="AF29" s="141"/>
      <c r="AG29" s="146"/>
      <c r="AH29" s="146"/>
      <c r="AI29" s="146"/>
      <c r="AJ29" s="146"/>
      <c r="AK29" s="146"/>
      <c r="AL29" s="81"/>
      <c r="AM29" s="81"/>
      <c r="AN29" s="152"/>
      <c r="AO29" s="152"/>
      <c r="AP29" s="152"/>
      <c r="AQ29" s="152"/>
      <c r="AR29" s="81"/>
      <c r="AS29" s="81"/>
      <c r="AT29" s="82"/>
      <c r="AU29" s="82"/>
      <c r="AV29" s="176"/>
      <c r="AW29" s="89"/>
      <c r="AX29" s="89"/>
      <c r="AY29" s="89"/>
      <c r="AZ29" s="89"/>
      <c r="BA29" s="89"/>
      <c r="BB29" s="89"/>
      <c r="BC29" s="89"/>
      <c r="BD29" s="89"/>
      <c r="BE29" s="141"/>
      <c r="BF29" s="176"/>
      <c r="BG29" s="176"/>
      <c r="BH29" s="176"/>
      <c r="BI29" s="176"/>
    </row>
    <row r="30" spans="1:61" s="90" customFormat="1">
      <c r="A30" s="83">
        <v>27</v>
      </c>
      <c r="B30" s="85"/>
      <c r="C30" s="84"/>
      <c r="D30" s="112"/>
      <c r="E30" s="112"/>
      <c r="F30" s="112"/>
      <c r="G30" s="290"/>
      <c r="H30" s="280">
        <f t="shared" si="6"/>
        <v>0</v>
      </c>
      <c r="I30" s="280">
        <f t="shared" si="7"/>
        <v>0</v>
      </c>
      <c r="J30" s="280">
        <f t="shared" si="8"/>
        <v>0</v>
      </c>
      <c r="K30" s="120" t="str">
        <f t="shared" si="3"/>
        <v/>
      </c>
      <c r="L30" s="287"/>
      <c r="M30" s="91"/>
      <c r="N30" s="99"/>
      <c r="O30" s="116"/>
      <c r="P30" s="86"/>
      <c r="Q30" s="92"/>
      <c r="R30" s="120">
        <f t="shared" si="4"/>
        <v>0</v>
      </c>
      <c r="S30" s="93"/>
      <c r="T30" s="117"/>
      <c r="U30" s="117"/>
      <c r="V30" s="85"/>
      <c r="W30" s="146"/>
      <c r="X30" s="137"/>
      <c r="Y30" s="137"/>
      <c r="Z30" s="137"/>
      <c r="AA30" s="137"/>
      <c r="AB30" s="137"/>
      <c r="AC30" s="137"/>
      <c r="AD30" s="137"/>
      <c r="AE30" s="137"/>
      <c r="AF30" s="141"/>
      <c r="AG30" s="146"/>
      <c r="AH30" s="146"/>
      <c r="AI30" s="146"/>
      <c r="AJ30" s="146"/>
      <c r="AK30" s="146"/>
      <c r="AL30" s="81"/>
      <c r="AM30" s="81"/>
      <c r="AN30" s="152"/>
      <c r="AO30" s="152"/>
      <c r="AP30" s="152"/>
      <c r="AQ30" s="152"/>
      <c r="AR30" s="81"/>
      <c r="AS30" s="81"/>
      <c r="AT30" s="82"/>
      <c r="AU30" s="82"/>
      <c r="AV30" s="176"/>
      <c r="AW30" s="89"/>
      <c r="AX30" s="89"/>
      <c r="AY30" s="89"/>
      <c r="AZ30" s="89"/>
      <c r="BA30" s="89"/>
      <c r="BB30" s="89"/>
      <c r="BC30" s="89"/>
      <c r="BD30" s="89"/>
      <c r="BE30" s="141"/>
      <c r="BF30" s="176"/>
      <c r="BG30" s="176"/>
      <c r="BH30" s="176"/>
      <c r="BI30" s="176"/>
    </row>
    <row r="31" spans="1:61" s="90" customFormat="1">
      <c r="A31" s="83">
        <v>28</v>
      </c>
      <c r="B31" s="85"/>
      <c r="C31" s="84"/>
      <c r="D31" s="112"/>
      <c r="E31" s="112"/>
      <c r="F31" s="112"/>
      <c r="G31" s="290"/>
      <c r="H31" s="280">
        <f t="shared" si="6"/>
        <v>0</v>
      </c>
      <c r="I31" s="280">
        <f t="shared" si="7"/>
        <v>0</v>
      </c>
      <c r="J31" s="280">
        <f t="shared" si="8"/>
        <v>0</v>
      </c>
      <c r="K31" s="120" t="str">
        <f t="shared" si="3"/>
        <v/>
      </c>
      <c r="L31" s="287"/>
      <c r="M31" s="91"/>
      <c r="N31" s="99"/>
      <c r="O31" s="116"/>
      <c r="P31" s="86"/>
      <c r="Q31" s="92"/>
      <c r="R31" s="120">
        <f t="shared" si="4"/>
        <v>0</v>
      </c>
      <c r="S31" s="93"/>
      <c r="T31" s="117"/>
      <c r="U31" s="117"/>
      <c r="V31" s="85"/>
      <c r="W31" s="146"/>
      <c r="X31" s="137"/>
      <c r="Y31" s="137"/>
      <c r="Z31" s="137"/>
      <c r="AA31" s="137"/>
      <c r="AB31" s="137"/>
      <c r="AC31" s="137"/>
      <c r="AD31" s="137"/>
      <c r="AE31" s="137"/>
      <c r="AF31" s="141"/>
      <c r="AG31" s="146"/>
      <c r="AH31" s="146"/>
      <c r="AI31" s="146"/>
      <c r="AJ31" s="146"/>
      <c r="AK31" s="146"/>
      <c r="AL31" s="81"/>
      <c r="AM31" s="81"/>
      <c r="AN31" s="152"/>
      <c r="AO31" s="152"/>
      <c r="AP31" s="152"/>
      <c r="AQ31" s="152"/>
      <c r="AR31" s="81"/>
      <c r="AS31" s="81"/>
      <c r="AT31" s="82"/>
      <c r="AU31" s="82"/>
      <c r="AV31" s="176"/>
      <c r="AW31" s="89"/>
      <c r="AX31" s="89"/>
      <c r="AY31" s="89"/>
      <c r="AZ31" s="89"/>
      <c r="BA31" s="89"/>
      <c r="BB31" s="89"/>
      <c r="BC31" s="89"/>
      <c r="BD31" s="89"/>
      <c r="BE31" s="141"/>
      <c r="BF31" s="176"/>
      <c r="BG31" s="176"/>
      <c r="BH31" s="176"/>
      <c r="BI31" s="176"/>
    </row>
    <row r="32" spans="1:61" s="90" customFormat="1">
      <c r="A32" s="83">
        <v>29</v>
      </c>
      <c r="B32" s="85"/>
      <c r="C32" s="84"/>
      <c r="D32" s="112"/>
      <c r="E32" s="112"/>
      <c r="F32" s="112"/>
      <c r="G32" s="290"/>
      <c r="H32" s="280">
        <f t="shared" si="6"/>
        <v>0</v>
      </c>
      <c r="I32" s="280">
        <f t="shared" si="7"/>
        <v>0</v>
      </c>
      <c r="J32" s="280">
        <f t="shared" si="8"/>
        <v>0</v>
      </c>
      <c r="K32" s="120" t="str">
        <f t="shared" si="3"/>
        <v/>
      </c>
      <c r="L32" s="287"/>
      <c r="M32" s="91"/>
      <c r="N32" s="99"/>
      <c r="O32" s="116"/>
      <c r="P32" s="86"/>
      <c r="Q32" s="92"/>
      <c r="R32" s="120">
        <f t="shared" si="4"/>
        <v>0</v>
      </c>
      <c r="S32" s="93"/>
      <c r="T32" s="117"/>
      <c r="U32" s="117"/>
      <c r="V32" s="85"/>
      <c r="W32" s="146"/>
      <c r="X32" s="137"/>
      <c r="Y32" s="137"/>
      <c r="Z32" s="137"/>
      <c r="AA32" s="137"/>
      <c r="AB32" s="137"/>
      <c r="AC32" s="137"/>
      <c r="AD32" s="137"/>
      <c r="AE32" s="137"/>
      <c r="AF32" s="141"/>
      <c r="AG32" s="146"/>
      <c r="AH32" s="146"/>
      <c r="AI32" s="146"/>
      <c r="AJ32" s="146"/>
      <c r="AK32" s="146"/>
      <c r="AL32" s="81"/>
      <c r="AM32" s="81"/>
      <c r="AN32" s="152"/>
      <c r="AO32" s="152"/>
      <c r="AP32" s="152"/>
      <c r="AQ32" s="152"/>
      <c r="AR32" s="81"/>
      <c r="AS32" s="81"/>
      <c r="AT32" s="82"/>
      <c r="AU32" s="82"/>
      <c r="AV32" s="176"/>
      <c r="AW32" s="89"/>
      <c r="AX32" s="89"/>
      <c r="AY32" s="89"/>
      <c r="AZ32" s="89"/>
      <c r="BA32" s="89"/>
      <c r="BB32" s="89"/>
      <c r="BC32" s="89"/>
      <c r="BD32" s="89"/>
      <c r="BE32" s="141"/>
      <c r="BF32" s="176"/>
      <c r="BG32" s="176"/>
      <c r="BH32" s="176"/>
      <c r="BI32" s="176"/>
    </row>
    <row r="33" spans="1:61" s="90" customFormat="1">
      <c r="A33" s="83">
        <v>30</v>
      </c>
      <c r="B33" s="85"/>
      <c r="C33" s="84"/>
      <c r="D33" s="112"/>
      <c r="E33" s="112"/>
      <c r="F33" s="112"/>
      <c r="G33" s="290"/>
      <c r="H33" s="280">
        <f t="shared" si="6"/>
        <v>0</v>
      </c>
      <c r="I33" s="280">
        <f t="shared" si="7"/>
        <v>0</v>
      </c>
      <c r="J33" s="280">
        <f t="shared" si="8"/>
        <v>0</v>
      </c>
      <c r="K33" s="120" t="str">
        <f t="shared" si="3"/>
        <v/>
      </c>
      <c r="L33" s="287"/>
      <c r="M33" s="91"/>
      <c r="N33" s="99"/>
      <c r="O33" s="116"/>
      <c r="P33" s="86"/>
      <c r="Q33" s="92"/>
      <c r="R33" s="120">
        <f t="shared" si="4"/>
        <v>0</v>
      </c>
      <c r="S33" s="93"/>
      <c r="T33" s="117"/>
      <c r="U33" s="117"/>
      <c r="V33" s="85"/>
      <c r="W33" s="146"/>
      <c r="X33" s="137"/>
      <c r="Y33" s="137"/>
      <c r="Z33" s="137"/>
      <c r="AA33" s="137"/>
      <c r="AB33" s="137"/>
      <c r="AC33" s="137"/>
      <c r="AD33" s="137"/>
      <c r="AE33" s="137"/>
      <c r="AF33" s="141"/>
      <c r="AG33" s="146"/>
      <c r="AH33" s="146"/>
      <c r="AI33" s="146"/>
      <c r="AJ33" s="146"/>
      <c r="AK33" s="146"/>
      <c r="AL33" s="81"/>
      <c r="AM33" s="81"/>
      <c r="AN33" s="152"/>
      <c r="AO33" s="152"/>
      <c r="AP33" s="152"/>
      <c r="AQ33" s="152"/>
      <c r="AR33" s="81"/>
      <c r="AS33" s="81"/>
      <c r="AT33" s="82"/>
      <c r="AU33" s="82"/>
      <c r="AV33" s="176"/>
      <c r="AW33" s="89"/>
      <c r="AX33" s="89"/>
      <c r="AY33" s="89"/>
      <c r="AZ33" s="89"/>
      <c r="BA33" s="89"/>
      <c r="BB33" s="89"/>
      <c r="BC33" s="89"/>
      <c r="BD33" s="89"/>
      <c r="BE33" s="141"/>
      <c r="BF33" s="176"/>
      <c r="BG33" s="176"/>
      <c r="BH33" s="176"/>
      <c r="BI33" s="176"/>
    </row>
    <row r="34" spans="1:61" s="90" customFormat="1">
      <c r="A34" s="83">
        <v>31</v>
      </c>
      <c r="B34" s="85"/>
      <c r="C34" s="84"/>
      <c r="D34" s="112"/>
      <c r="E34" s="112"/>
      <c r="F34" s="112"/>
      <c r="G34" s="290"/>
      <c r="H34" s="280">
        <f t="shared" si="6"/>
        <v>0</v>
      </c>
      <c r="I34" s="280">
        <f t="shared" si="7"/>
        <v>0</v>
      </c>
      <c r="J34" s="280">
        <f t="shared" si="8"/>
        <v>0</v>
      </c>
      <c r="K34" s="120" t="str">
        <f t="shared" si="3"/>
        <v/>
      </c>
      <c r="L34" s="287"/>
      <c r="M34" s="91"/>
      <c r="N34" s="99"/>
      <c r="O34" s="116"/>
      <c r="P34" s="86"/>
      <c r="Q34" s="92"/>
      <c r="R34" s="120">
        <f t="shared" si="4"/>
        <v>0</v>
      </c>
      <c r="S34" s="93"/>
      <c r="T34" s="117"/>
      <c r="U34" s="117"/>
      <c r="V34" s="85"/>
      <c r="W34" s="146"/>
      <c r="X34" s="137"/>
      <c r="Y34" s="137"/>
      <c r="Z34" s="137"/>
      <c r="AA34" s="137"/>
      <c r="AB34" s="137"/>
      <c r="AC34" s="137"/>
      <c r="AD34" s="137"/>
      <c r="AE34" s="137"/>
      <c r="AF34" s="141"/>
      <c r="AG34" s="146"/>
      <c r="AH34" s="146"/>
      <c r="AI34" s="146"/>
      <c r="AJ34" s="146"/>
      <c r="AK34" s="146"/>
      <c r="AL34" s="81"/>
      <c r="AM34" s="81"/>
      <c r="AN34" s="152"/>
      <c r="AO34" s="152"/>
      <c r="AP34" s="152"/>
      <c r="AQ34" s="152"/>
      <c r="AR34" s="81"/>
      <c r="AS34" s="81"/>
      <c r="AT34" s="82"/>
      <c r="AU34" s="82"/>
      <c r="AV34" s="176"/>
      <c r="AW34" s="89"/>
      <c r="AX34" s="89"/>
      <c r="AY34" s="89"/>
      <c r="AZ34" s="89"/>
      <c r="BA34" s="89"/>
      <c r="BB34" s="89"/>
      <c r="BC34" s="89"/>
      <c r="BD34" s="89"/>
      <c r="BE34" s="141"/>
      <c r="BF34" s="176"/>
      <c r="BG34" s="176"/>
      <c r="BH34" s="176"/>
      <c r="BI34" s="176"/>
    </row>
    <row r="35" spans="1:61" s="90" customFormat="1">
      <c r="A35" s="83">
        <v>32</v>
      </c>
      <c r="B35" s="85"/>
      <c r="C35" s="84"/>
      <c r="D35" s="112"/>
      <c r="E35" s="112"/>
      <c r="F35" s="112"/>
      <c r="G35" s="290"/>
      <c r="H35" s="280">
        <f t="shared" si="6"/>
        <v>0</v>
      </c>
      <c r="I35" s="280">
        <f t="shared" si="7"/>
        <v>0</v>
      </c>
      <c r="J35" s="280">
        <f t="shared" si="8"/>
        <v>0</v>
      </c>
      <c r="K35" s="120" t="str">
        <f t="shared" si="3"/>
        <v/>
      </c>
      <c r="L35" s="287"/>
      <c r="M35" s="91"/>
      <c r="N35" s="99"/>
      <c r="O35" s="116"/>
      <c r="P35" s="86"/>
      <c r="Q35" s="92"/>
      <c r="R35" s="120">
        <f t="shared" si="4"/>
        <v>0</v>
      </c>
      <c r="S35" s="93"/>
      <c r="T35" s="117"/>
      <c r="U35" s="117"/>
      <c r="V35" s="85"/>
      <c r="W35" s="146"/>
      <c r="X35" s="137"/>
      <c r="Y35" s="137"/>
      <c r="Z35" s="137"/>
      <c r="AA35" s="137"/>
      <c r="AB35" s="137"/>
      <c r="AC35" s="137"/>
      <c r="AD35" s="137"/>
      <c r="AE35" s="137"/>
      <c r="AF35" s="141"/>
      <c r="AG35" s="146"/>
      <c r="AH35" s="146"/>
      <c r="AI35" s="146"/>
      <c r="AJ35" s="146"/>
      <c r="AK35" s="146"/>
      <c r="AL35" s="81"/>
      <c r="AM35" s="81"/>
      <c r="AN35" s="152"/>
      <c r="AO35" s="152"/>
      <c r="AP35" s="152"/>
      <c r="AQ35" s="152"/>
      <c r="AR35" s="81"/>
      <c r="AS35" s="81"/>
      <c r="AT35" s="82"/>
      <c r="AU35" s="82"/>
      <c r="AV35" s="176"/>
      <c r="AW35" s="89"/>
      <c r="AX35" s="89"/>
      <c r="AY35" s="89"/>
      <c r="AZ35" s="89"/>
      <c r="BA35" s="89"/>
      <c r="BB35" s="89"/>
      <c r="BC35" s="89"/>
      <c r="BD35" s="89"/>
      <c r="BE35" s="141"/>
      <c r="BF35" s="176"/>
      <c r="BG35" s="176"/>
      <c r="BH35" s="176"/>
      <c r="BI35" s="176"/>
    </row>
    <row r="36" spans="1:61" s="90" customFormat="1">
      <c r="A36" s="83">
        <v>33</v>
      </c>
      <c r="B36" s="85"/>
      <c r="C36" s="84"/>
      <c r="D36" s="112"/>
      <c r="E36" s="112"/>
      <c r="F36" s="112"/>
      <c r="G36" s="290"/>
      <c r="H36" s="280">
        <f t="shared" si="6"/>
        <v>0</v>
      </c>
      <c r="I36" s="280">
        <f t="shared" si="7"/>
        <v>0</v>
      </c>
      <c r="J36" s="280">
        <f t="shared" si="8"/>
        <v>0</v>
      </c>
      <c r="K36" s="120" t="str">
        <f t="shared" si="3"/>
        <v/>
      </c>
      <c r="L36" s="287"/>
      <c r="M36" s="91"/>
      <c r="N36" s="99"/>
      <c r="O36" s="116"/>
      <c r="P36" s="86"/>
      <c r="Q36" s="92"/>
      <c r="R36" s="120">
        <f t="shared" si="4"/>
        <v>0</v>
      </c>
      <c r="S36" s="93"/>
      <c r="T36" s="117"/>
      <c r="U36" s="117"/>
      <c r="V36" s="85"/>
      <c r="W36" s="146"/>
      <c r="X36" s="137"/>
      <c r="Y36" s="137"/>
      <c r="Z36" s="137"/>
      <c r="AA36" s="137"/>
      <c r="AB36" s="137"/>
      <c r="AC36" s="137"/>
      <c r="AD36" s="137"/>
      <c r="AE36" s="137"/>
      <c r="AF36" s="141"/>
      <c r="AG36" s="146"/>
      <c r="AH36" s="146"/>
      <c r="AI36" s="146"/>
      <c r="AJ36" s="146"/>
      <c r="AK36" s="146"/>
      <c r="AL36" s="81"/>
      <c r="AM36" s="81"/>
      <c r="AN36" s="152"/>
      <c r="AO36" s="152"/>
      <c r="AP36" s="152"/>
      <c r="AQ36" s="152"/>
      <c r="AR36" s="81"/>
      <c r="AS36" s="81"/>
      <c r="AT36" s="82"/>
      <c r="AU36" s="82"/>
      <c r="AV36" s="176"/>
      <c r="AW36" s="89"/>
      <c r="AX36" s="89"/>
      <c r="AY36" s="89"/>
      <c r="AZ36" s="89"/>
      <c r="BA36" s="89"/>
      <c r="BB36" s="89"/>
      <c r="BC36" s="89"/>
      <c r="BD36" s="89"/>
      <c r="BE36" s="141"/>
      <c r="BF36" s="176"/>
      <c r="BG36" s="176"/>
      <c r="BH36" s="176"/>
      <c r="BI36" s="176"/>
    </row>
    <row r="37" spans="1:61" s="90" customFormat="1">
      <c r="A37" s="83">
        <v>34</v>
      </c>
      <c r="B37" s="85"/>
      <c r="C37" s="84"/>
      <c r="D37" s="112"/>
      <c r="E37" s="112"/>
      <c r="F37" s="112"/>
      <c r="G37" s="290"/>
      <c r="H37" s="280">
        <f t="shared" si="6"/>
        <v>0</v>
      </c>
      <c r="I37" s="280">
        <f t="shared" si="7"/>
        <v>0</v>
      </c>
      <c r="J37" s="280">
        <f t="shared" si="8"/>
        <v>0</v>
      </c>
      <c r="K37" s="120" t="str">
        <f t="shared" si="3"/>
        <v/>
      </c>
      <c r="L37" s="287"/>
      <c r="M37" s="91"/>
      <c r="N37" s="99"/>
      <c r="O37" s="116"/>
      <c r="P37" s="86"/>
      <c r="Q37" s="92"/>
      <c r="R37" s="120">
        <f t="shared" si="4"/>
        <v>0</v>
      </c>
      <c r="S37" s="93"/>
      <c r="T37" s="117"/>
      <c r="U37" s="117"/>
      <c r="V37" s="85"/>
      <c r="W37" s="146"/>
      <c r="X37" s="137"/>
      <c r="Y37" s="137"/>
      <c r="Z37" s="137"/>
      <c r="AA37" s="137"/>
      <c r="AB37" s="137"/>
      <c r="AC37" s="137"/>
      <c r="AD37" s="137"/>
      <c r="AE37" s="137"/>
      <c r="AF37" s="141"/>
      <c r="AG37" s="146"/>
      <c r="AH37" s="146"/>
      <c r="AI37" s="146"/>
      <c r="AJ37" s="146"/>
      <c r="AK37" s="146"/>
      <c r="AL37" s="81"/>
      <c r="AM37" s="81"/>
      <c r="AN37" s="152"/>
      <c r="AO37" s="152"/>
      <c r="AP37" s="152"/>
      <c r="AQ37" s="152"/>
      <c r="AR37" s="81"/>
      <c r="AS37" s="81"/>
      <c r="AT37" s="82"/>
      <c r="AU37" s="82"/>
      <c r="AV37" s="176"/>
      <c r="AW37" s="89"/>
      <c r="AX37" s="89"/>
      <c r="AY37" s="89"/>
      <c r="AZ37" s="89"/>
      <c r="BA37" s="89"/>
      <c r="BB37" s="89"/>
      <c r="BC37" s="89"/>
      <c r="BD37" s="89"/>
      <c r="BE37" s="141"/>
      <c r="BF37" s="176"/>
      <c r="BG37" s="176"/>
      <c r="BH37" s="176"/>
      <c r="BI37" s="176"/>
    </row>
    <row r="38" spans="1:61" s="90" customFormat="1">
      <c r="A38" s="83">
        <v>35</v>
      </c>
      <c r="B38" s="85"/>
      <c r="C38" s="84"/>
      <c r="D38" s="112"/>
      <c r="E38" s="112"/>
      <c r="F38" s="112"/>
      <c r="G38" s="290"/>
      <c r="H38" s="280">
        <f t="shared" si="6"/>
        <v>0</v>
      </c>
      <c r="I38" s="280">
        <f t="shared" si="7"/>
        <v>0</v>
      </c>
      <c r="J38" s="280">
        <f t="shared" si="8"/>
        <v>0</v>
      </c>
      <c r="K38" s="120" t="str">
        <f t="shared" si="3"/>
        <v/>
      </c>
      <c r="L38" s="287"/>
      <c r="M38" s="91"/>
      <c r="N38" s="99"/>
      <c r="O38" s="116"/>
      <c r="P38" s="86"/>
      <c r="Q38" s="92"/>
      <c r="R38" s="120">
        <f t="shared" si="4"/>
        <v>0</v>
      </c>
      <c r="S38" s="93"/>
      <c r="T38" s="117"/>
      <c r="U38" s="117"/>
      <c r="V38" s="85"/>
      <c r="W38" s="146"/>
      <c r="X38" s="137"/>
      <c r="Y38" s="137"/>
      <c r="Z38" s="137"/>
      <c r="AA38" s="137"/>
      <c r="AB38" s="137"/>
      <c r="AC38" s="137"/>
      <c r="AD38" s="137"/>
      <c r="AE38" s="137"/>
      <c r="AF38" s="141"/>
      <c r="AG38" s="146"/>
      <c r="AH38" s="146"/>
      <c r="AI38" s="146"/>
      <c r="AJ38" s="146"/>
      <c r="AK38" s="146"/>
      <c r="AL38" s="81"/>
      <c r="AM38" s="81"/>
      <c r="AN38" s="152"/>
      <c r="AO38" s="152"/>
      <c r="AP38" s="152"/>
      <c r="AQ38" s="152"/>
      <c r="AR38" s="81"/>
      <c r="AS38" s="81"/>
      <c r="AT38" s="82"/>
      <c r="AU38" s="82"/>
      <c r="AV38" s="176"/>
      <c r="AW38" s="89"/>
      <c r="AX38" s="89"/>
      <c r="AY38" s="89"/>
      <c r="AZ38" s="89"/>
      <c r="BA38" s="89"/>
      <c r="BB38" s="89"/>
      <c r="BC38" s="89"/>
      <c r="BD38" s="89"/>
      <c r="BE38" s="141"/>
      <c r="BF38" s="176"/>
      <c r="BG38" s="176"/>
      <c r="BH38" s="176"/>
      <c r="BI38" s="176"/>
    </row>
    <row r="39" spans="1:61" s="90" customFormat="1">
      <c r="A39" s="83">
        <v>36</v>
      </c>
      <c r="B39" s="85"/>
      <c r="C39" s="84"/>
      <c r="D39" s="112"/>
      <c r="E39" s="112"/>
      <c r="F39" s="112"/>
      <c r="G39" s="290"/>
      <c r="H39" s="280">
        <f t="shared" si="6"/>
        <v>0</v>
      </c>
      <c r="I39" s="280">
        <f t="shared" si="7"/>
        <v>0</v>
      </c>
      <c r="J39" s="280">
        <f t="shared" si="8"/>
        <v>0</v>
      </c>
      <c r="K39" s="120" t="str">
        <f t="shared" si="3"/>
        <v/>
      </c>
      <c r="L39" s="287"/>
      <c r="M39" s="91"/>
      <c r="N39" s="99"/>
      <c r="O39" s="116"/>
      <c r="P39" s="86"/>
      <c r="Q39" s="92"/>
      <c r="R39" s="120">
        <f t="shared" si="4"/>
        <v>0</v>
      </c>
      <c r="S39" s="93"/>
      <c r="T39" s="117"/>
      <c r="U39" s="117"/>
      <c r="V39" s="85"/>
      <c r="W39" s="146"/>
      <c r="X39" s="137"/>
      <c r="Y39" s="137"/>
      <c r="Z39" s="137"/>
      <c r="AA39" s="137"/>
      <c r="AB39" s="137"/>
      <c r="AC39" s="137"/>
      <c r="AD39" s="137"/>
      <c r="AE39" s="137"/>
      <c r="AF39" s="141"/>
      <c r="AG39" s="146"/>
      <c r="AH39" s="146"/>
      <c r="AI39" s="146"/>
      <c r="AJ39" s="146"/>
      <c r="AK39" s="146"/>
      <c r="AL39" s="81"/>
      <c r="AM39" s="81"/>
      <c r="AN39" s="152"/>
      <c r="AO39" s="152"/>
      <c r="AP39" s="152"/>
      <c r="AQ39" s="152"/>
      <c r="AR39" s="81"/>
      <c r="AS39" s="81"/>
      <c r="AT39" s="82"/>
      <c r="AU39" s="82"/>
      <c r="AV39" s="176"/>
      <c r="AW39" s="89"/>
      <c r="AX39" s="89"/>
      <c r="AY39" s="89"/>
      <c r="AZ39" s="89"/>
      <c r="BA39" s="89"/>
      <c r="BB39" s="89"/>
      <c r="BC39" s="89"/>
      <c r="BD39" s="89"/>
      <c r="BE39" s="141"/>
      <c r="BF39" s="176"/>
      <c r="BG39" s="176"/>
      <c r="BH39" s="176"/>
      <c r="BI39" s="176"/>
    </row>
    <row r="40" spans="1:61" s="90" customFormat="1">
      <c r="A40" s="83">
        <v>37</v>
      </c>
      <c r="B40" s="85"/>
      <c r="C40" s="84"/>
      <c r="D40" s="112"/>
      <c r="E40" s="112"/>
      <c r="F40" s="112"/>
      <c r="G40" s="290"/>
      <c r="H40" s="280">
        <f t="shared" si="6"/>
        <v>0</v>
      </c>
      <c r="I40" s="280">
        <f t="shared" si="7"/>
        <v>0</v>
      </c>
      <c r="J40" s="280">
        <f t="shared" si="8"/>
        <v>0</v>
      </c>
      <c r="K40" s="120" t="str">
        <f t="shared" si="3"/>
        <v/>
      </c>
      <c r="L40" s="287"/>
      <c r="M40" s="91"/>
      <c r="N40" s="99"/>
      <c r="O40" s="116"/>
      <c r="P40" s="86"/>
      <c r="Q40" s="92"/>
      <c r="R40" s="120">
        <f t="shared" si="4"/>
        <v>0</v>
      </c>
      <c r="S40" s="93"/>
      <c r="T40" s="117"/>
      <c r="U40" s="117"/>
      <c r="V40" s="85"/>
      <c r="W40" s="146"/>
      <c r="X40" s="137"/>
      <c r="Y40" s="137"/>
      <c r="Z40" s="137"/>
      <c r="AA40" s="137"/>
      <c r="AB40" s="137"/>
      <c r="AC40" s="137"/>
      <c r="AD40" s="137"/>
      <c r="AE40" s="137"/>
      <c r="AF40" s="141"/>
      <c r="AG40" s="146"/>
      <c r="AH40" s="146"/>
      <c r="AI40" s="146"/>
      <c r="AJ40" s="146"/>
      <c r="AK40" s="146"/>
      <c r="AL40" s="81"/>
      <c r="AM40" s="81"/>
      <c r="AN40" s="152"/>
      <c r="AO40" s="152"/>
      <c r="AP40" s="152"/>
      <c r="AQ40" s="152"/>
      <c r="AR40" s="81"/>
      <c r="AS40" s="81"/>
      <c r="AT40" s="82"/>
      <c r="AU40" s="82"/>
      <c r="AV40" s="176"/>
      <c r="AW40" s="89"/>
      <c r="AX40" s="89"/>
      <c r="AY40" s="89"/>
      <c r="AZ40" s="89"/>
      <c r="BA40" s="89"/>
      <c r="BB40" s="89"/>
      <c r="BC40" s="89"/>
      <c r="BD40" s="89"/>
      <c r="BE40" s="141"/>
      <c r="BF40" s="176"/>
      <c r="BG40" s="176"/>
      <c r="BH40" s="176"/>
      <c r="BI40" s="176"/>
    </row>
    <row r="41" spans="1:61" s="90" customFormat="1">
      <c r="A41" s="83">
        <v>38</v>
      </c>
      <c r="B41" s="85"/>
      <c r="C41" s="84"/>
      <c r="D41" s="112"/>
      <c r="E41" s="112"/>
      <c r="F41" s="112"/>
      <c r="G41" s="290"/>
      <c r="H41" s="280">
        <f t="shared" si="6"/>
        <v>0</v>
      </c>
      <c r="I41" s="280">
        <f t="shared" si="7"/>
        <v>0</v>
      </c>
      <c r="J41" s="280">
        <f t="shared" si="8"/>
        <v>0</v>
      </c>
      <c r="K41" s="120" t="str">
        <f t="shared" si="3"/>
        <v/>
      </c>
      <c r="L41" s="287"/>
      <c r="M41" s="91"/>
      <c r="N41" s="99"/>
      <c r="O41" s="116"/>
      <c r="P41" s="86"/>
      <c r="Q41" s="92"/>
      <c r="R41" s="120">
        <f t="shared" si="4"/>
        <v>0</v>
      </c>
      <c r="S41" s="93"/>
      <c r="T41" s="117"/>
      <c r="U41" s="117"/>
      <c r="V41" s="85"/>
      <c r="W41" s="146"/>
      <c r="X41" s="137"/>
      <c r="Y41" s="137"/>
      <c r="Z41" s="137"/>
      <c r="AA41" s="137"/>
      <c r="AB41" s="137"/>
      <c r="AC41" s="137"/>
      <c r="AD41" s="137"/>
      <c r="AE41" s="137"/>
      <c r="AF41" s="141"/>
      <c r="AG41" s="146"/>
      <c r="AH41" s="146"/>
      <c r="AI41" s="146"/>
      <c r="AJ41" s="146"/>
      <c r="AK41" s="146"/>
      <c r="AL41" s="81"/>
      <c r="AM41" s="81"/>
      <c r="AN41" s="152"/>
      <c r="AO41" s="152"/>
      <c r="AP41" s="152"/>
      <c r="AQ41" s="152"/>
      <c r="AR41" s="81"/>
      <c r="AS41" s="81"/>
      <c r="AT41" s="82"/>
      <c r="AU41" s="82"/>
      <c r="AV41" s="176"/>
      <c r="AW41" s="89"/>
      <c r="AX41" s="89"/>
      <c r="AY41" s="89"/>
      <c r="AZ41" s="89"/>
      <c r="BA41" s="89"/>
      <c r="BB41" s="89"/>
      <c r="BC41" s="89"/>
      <c r="BD41" s="89"/>
      <c r="BE41" s="141"/>
      <c r="BF41" s="176"/>
      <c r="BG41" s="176"/>
      <c r="BH41" s="176"/>
      <c r="BI41" s="176"/>
    </row>
    <row r="42" spans="1:61" s="90" customFormat="1">
      <c r="A42" s="83">
        <v>39</v>
      </c>
      <c r="B42" s="85"/>
      <c r="C42" s="84"/>
      <c r="D42" s="112"/>
      <c r="E42" s="112"/>
      <c r="F42" s="112"/>
      <c r="G42" s="290"/>
      <c r="H42" s="280">
        <f t="shared" si="6"/>
        <v>0</v>
      </c>
      <c r="I42" s="280">
        <f t="shared" si="7"/>
        <v>0</v>
      </c>
      <c r="J42" s="280">
        <f t="shared" si="8"/>
        <v>0</v>
      </c>
      <c r="K42" s="120" t="str">
        <f t="shared" si="3"/>
        <v/>
      </c>
      <c r="L42" s="287"/>
      <c r="M42" s="91"/>
      <c r="N42" s="99"/>
      <c r="O42" s="116"/>
      <c r="P42" s="86"/>
      <c r="Q42" s="92"/>
      <c r="R42" s="120">
        <f t="shared" si="4"/>
        <v>0</v>
      </c>
      <c r="S42" s="93"/>
      <c r="T42" s="117"/>
      <c r="U42" s="117"/>
      <c r="V42" s="85"/>
      <c r="W42" s="146"/>
      <c r="X42" s="137"/>
      <c r="Y42" s="137"/>
      <c r="Z42" s="137"/>
      <c r="AA42" s="137"/>
      <c r="AB42" s="137"/>
      <c r="AC42" s="137"/>
      <c r="AD42" s="137"/>
      <c r="AE42" s="137"/>
      <c r="AF42" s="141"/>
      <c r="AG42" s="146"/>
      <c r="AH42" s="146"/>
      <c r="AI42" s="146"/>
      <c r="AJ42" s="146"/>
      <c r="AK42" s="146"/>
      <c r="AL42" s="81"/>
      <c r="AM42" s="81"/>
      <c r="AN42" s="152"/>
      <c r="AO42" s="152"/>
      <c r="AP42" s="152"/>
      <c r="AQ42" s="152"/>
      <c r="AR42" s="81"/>
      <c r="AS42" s="81"/>
      <c r="AT42" s="82"/>
      <c r="AU42" s="82"/>
      <c r="AV42" s="176"/>
      <c r="AW42" s="89"/>
      <c r="AX42" s="89"/>
      <c r="AY42" s="89"/>
      <c r="AZ42" s="89"/>
      <c r="BA42" s="89"/>
      <c r="BB42" s="89"/>
      <c r="BC42" s="89"/>
      <c r="BD42" s="89"/>
      <c r="BE42" s="141"/>
      <c r="BF42" s="176"/>
      <c r="BG42" s="176"/>
      <c r="BH42" s="176"/>
      <c r="BI42" s="176"/>
    </row>
    <row r="43" spans="1:61" s="90" customFormat="1">
      <c r="A43" s="83">
        <v>40</v>
      </c>
      <c r="B43" s="85"/>
      <c r="C43" s="84"/>
      <c r="D43" s="112"/>
      <c r="E43" s="112"/>
      <c r="F43" s="112"/>
      <c r="G43" s="290"/>
      <c r="H43" s="280">
        <f t="shared" si="6"/>
        <v>0</v>
      </c>
      <c r="I43" s="280">
        <f t="shared" si="7"/>
        <v>0</v>
      </c>
      <c r="J43" s="280">
        <f t="shared" si="8"/>
        <v>0</v>
      </c>
      <c r="K43" s="120" t="str">
        <f t="shared" si="3"/>
        <v/>
      </c>
      <c r="L43" s="287"/>
      <c r="M43" s="91"/>
      <c r="N43" s="99"/>
      <c r="O43" s="116"/>
      <c r="P43" s="86"/>
      <c r="Q43" s="92"/>
      <c r="R43" s="120">
        <f t="shared" si="4"/>
        <v>0</v>
      </c>
      <c r="S43" s="93"/>
      <c r="T43" s="117"/>
      <c r="U43" s="117"/>
      <c r="V43" s="85"/>
      <c r="W43" s="146"/>
      <c r="X43" s="137"/>
      <c r="Y43" s="137"/>
      <c r="Z43" s="137"/>
      <c r="AA43" s="137"/>
      <c r="AB43" s="137"/>
      <c r="AC43" s="137"/>
      <c r="AD43" s="137"/>
      <c r="AE43" s="137"/>
      <c r="AF43" s="141"/>
      <c r="AG43" s="146"/>
      <c r="AH43" s="146"/>
      <c r="AI43" s="146"/>
      <c r="AJ43" s="146"/>
      <c r="AK43" s="146"/>
      <c r="AL43" s="81"/>
      <c r="AM43" s="81"/>
      <c r="AN43" s="152"/>
      <c r="AO43" s="152"/>
      <c r="AP43" s="152"/>
      <c r="AQ43" s="152"/>
      <c r="AR43" s="81"/>
      <c r="AS43" s="81"/>
      <c r="AT43" s="82"/>
      <c r="AU43" s="82"/>
      <c r="AV43" s="176"/>
      <c r="AW43" s="89"/>
      <c r="AX43" s="89"/>
      <c r="AY43" s="89"/>
      <c r="AZ43" s="89"/>
      <c r="BA43" s="89"/>
      <c r="BB43" s="89"/>
      <c r="BC43" s="89"/>
      <c r="BD43" s="89"/>
      <c r="BE43" s="141"/>
      <c r="BF43" s="176"/>
      <c r="BG43" s="176"/>
      <c r="BH43" s="176"/>
      <c r="BI43" s="176"/>
    </row>
    <row r="44" spans="1:61" s="90" customFormat="1">
      <c r="A44" s="83">
        <v>41</v>
      </c>
      <c r="B44" s="85"/>
      <c r="C44" s="84"/>
      <c r="D44" s="112"/>
      <c r="E44" s="112"/>
      <c r="F44" s="112"/>
      <c r="G44" s="290"/>
      <c r="H44" s="280">
        <f t="shared" si="6"/>
        <v>0</v>
      </c>
      <c r="I44" s="280">
        <f t="shared" si="7"/>
        <v>0</v>
      </c>
      <c r="J44" s="280">
        <f t="shared" si="8"/>
        <v>0</v>
      </c>
      <c r="K44" s="120" t="str">
        <f t="shared" si="3"/>
        <v/>
      </c>
      <c r="L44" s="287"/>
      <c r="M44" s="91"/>
      <c r="N44" s="99"/>
      <c r="O44" s="116"/>
      <c r="P44" s="86"/>
      <c r="Q44" s="92"/>
      <c r="R44" s="120">
        <f t="shared" si="4"/>
        <v>0</v>
      </c>
      <c r="S44" s="93"/>
      <c r="T44" s="117"/>
      <c r="U44" s="117"/>
      <c r="V44" s="85"/>
      <c r="W44" s="146"/>
      <c r="X44" s="137"/>
      <c r="Y44" s="137"/>
      <c r="Z44" s="137"/>
      <c r="AA44" s="137"/>
      <c r="AB44" s="137"/>
      <c r="AC44" s="137"/>
      <c r="AD44" s="137"/>
      <c r="AE44" s="137"/>
      <c r="AF44" s="141"/>
      <c r="AG44" s="146"/>
      <c r="AH44" s="146"/>
      <c r="AI44" s="146"/>
      <c r="AJ44" s="146"/>
      <c r="AK44" s="146"/>
      <c r="AL44" s="81"/>
      <c r="AM44" s="81"/>
      <c r="AN44" s="152"/>
      <c r="AO44" s="152"/>
      <c r="AP44" s="152"/>
      <c r="AQ44" s="152"/>
      <c r="AR44" s="81"/>
      <c r="AS44" s="81"/>
      <c r="AT44" s="82"/>
      <c r="AU44" s="82"/>
      <c r="AV44" s="176"/>
      <c r="AW44" s="89"/>
      <c r="AX44" s="89"/>
      <c r="AY44" s="89"/>
      <c r="AZ44" s="89"/>
      <c r="BA44" s="89"/>
      <c r="BB44" s="89"/>
      <c r="BC44" s="89"/>
      <c r="BD44" s="89"/>
      <c r="BE44" s="141"/>
      <c r="BF44" s="176"/>
      <c r="BG44" s="176"/>
      <c r="BH44" s="176"/>
      <c r="BI44" s="176"/>
    </row>
    <row r="45" spans="1:61" s="90" customFormat="1">
      <c r="A45" s="83">
        <v>42</v>
      </c>
      <c r="B45" s="85"/>
      <c r="C45" s="84"/>
      <c r="D45" s="112"/>
      <c r="E45" s="112"/>
      <c r="F45" s="112"/>
      <c r="G45" s="290"/>
      <c r="H45" s="280">
        <f t="shared" si="6"/>
        <v>0</v>
      </c>
      <c r="I45" s="280">
        <f t="shared" si="7"/>
        <v>0</v>
      </c>
      <c r="J45" s="280">
        <f t="shared" si="8"/>
        <v>0</v>
      </c>
      <c r="K45" s="120" t="str">
        <f t="shared" si="3"/>
        <v/>
      </c>
      <c r="L45" s="287"/>
      <c r="M45" s="91"/>
      <c r="N45" s="99"/>
      <c r="O45" s="116"/>
      <c r="P45" s="86"/>
      <c r="Q45" s="92"/>
      <c r="R45" s="120">
        <f t="shared" si="4"/>
        <v>0</v>
      </c>
      <c r="S45" s="93"/>
      <c r="T45" s="117"/>
      <c r="U45" s="117"/>
      <c r="V45" s="85"/>
      <c r="W45" s="146"/>
      <c r="X45" s="137"/>
      <c r="Y45" s="137"/>
      <c r="Z45" s="137"/>
      <c r="AA45" s="137"/>
      <c r="AB45" s="137"/>
      <c r="AC45" s="137"/>
      <c r="AD45" s="137"/>
      <c r="AE45" s="137"/>
      <c r="AF45" s="141"/>
      <c r="AG45" s="146"/>
      <c r="AH45" s="146"/>
      <c r="AI45" s="146"/>
      <c r="AJ45" s="146"/>
      <c r="AK45" s="146"/>
      <c r="AL45" s="81"/>
      <c r="AM45" s="81"/>
      <c r="AN45" s="152"/>
      <c r="AO45" s="152"/>
      <c r="AP45" s="152"/>
      <c r="AQ45" s="152"/>
      <c r="AR45" s="81"/>
      <c r="AS45" s="81"/>
      <c r="AT45" s="82"/>
      <c r="AU45" s="82"/>
      <c r="AV45" s="176"/>
      <c r="AW45" s="89"/>
      <c r="AX45" s="89"/>
      <c r="AY45" s="89"/>
      <c r="AZ45" s="89"/>
      <c r="BA45" s="89"/>
      <c r="BB45" s="89"/>
      <c r="BC45" s="89"/>
      <c r="BD45" s="89"/>
      <c r="BE45" s="141"/>
      <c r="BF45" s="176"/>
      <c r="BG45" s="176"/>
      <c r="BH45" s="176"/>
      <c r="BI45" s="176"/>
    </row>
    <row r="46" spans="1:61" s="90" customFormat="1">
      <c r="A46" s="83">
        <v>43</v>
      </c>
      <c r="B46" s="85"/>
      <c r="C46" s="84"/>
      <c r="D46" s="112"/>
      <c r="E46" s="112"/>
      <c r="F46" s="112"/>
      <c r="G46" s="290"/>
      <c r="H46" s="280">
        <f t="shared" si="6"/>
        <v>0</v>
      </c>
      <c r="I46" s="280">
        <f t="shared" si="7"/>
        <v>0</v>
      </c>
      <c r="J46" s="280">
        <f t="shared" si="8"/>
        <v>0</v>
      </c>
      <c r="K46" s="120" t="str">
        <f t="shared" si="3"/>
        <v/>
      </c>
      <c r="L46" s="287"/>
      <c r="M46" s="91"/>
      <c r="N46" s="99"/>
      <c r="O46" s="116"/>
      <c r="P46" s="86"/>
      <c r="Q46" s="92"/>
      <c r="R46" s="120">
        <f t="shared" si="4"/>
        <v>0</v>
      </c>
      <c r="S46" s="93"/>
      <c r="T46" s="117"/>
      <c r="U46" s="117"/>
      <c r="V46" s="85"/>
      <c r="W46" s="146"/>
      <c r="X46" s="137"/>
      <c r="Y46" s="137"/>
      <c r="Z46" s="137"/>
      <c r="AA46" s="137"/>
      <c r="AB46" s="137"/>
      <c r="AC46" s="137"/>
      <c r="AD46" s="137"/>
      <c r="AE46" s="137"/>
      <c r="AF46" s="141"/>
      <c r="AG46" s="146"/>
      <c r="AH46" s="146"/>
      <c r="AI46" s="146"/>
      <c r="AJ46" s="146"/>
      <c r="AK46" s="146"/>
      <c r="AL46" s="81"/>
      <c r="AM46" s="81"/>
      <c r="AN46" s="152"/>
      <c r="AO46" s="152"/>
      <c r="AP46" s="152"/>
      <c r="AQ46" s="152"/>
      <c r="AR46" s="81"/>
      <c r="AS46" s="81"/>
      <c r="AT46" s="82"/>
      <c r="AU46" s="82"/>
      <c r="AV46" s="176"/>
      <c r="AW46" s="89"/>
      <c r="AX46" s="89"/>
      <c r="AY46" s="89"/>
      <c r="AZ46" s="89"/>
      <c r="BA46" s="89"/>
      <c r="BB46" s="89"/>
      <c r="BC46" s="89"/>
      <c r="BD46" s="89"/>
      <c r="BE46" s="141"/>
      <c r="BF46" s="176"/>
      <c r="BG46" s="176"/>
      <c r="BH46" s="176"/>
      <c r="BI46" s="176"/>
    </row>
    <row r="47" spans="1:61" s="90" customFormat="1">
      <c r="A47" s="83">
        <v>44</v>
      </c>
      <c r="B47" s="85"/>
      <c r="C47" s="84"/>
      <c r="D47" s="112"/>
      <c r="E47" s="112"/>
      <c r="F47" s="112"/>
      <c r="G47" s="290"/>
      <c r="H47" s="280">
        <f t="shared" si="6"/>
        <v>0</v>
      </c>
      <c r="I47" s="280">
        <f t="shared" si="7"/>
        <v>0</v>
      </c>
      <c r="J47" s="280">
        <f t="shared" si="8"/>
        <v>0</v>
      </c>
      <c r="K47" s="120" t="str">
        <f t="shared" si="3"/>
        <v/>
      </c>
      <c r="L47" s="287"/>
      <c r="M47" s="91"/>
      <c r="N47" s="99"/>
      <c r="O47" s="116"/>
      <c r="P47" s="86"/>
      <c r="Q47" s="92"/>
      <c r="R47" s="120">
        <f t="shared" si="4"/>
        <v>0</v>
      </c>
      <c r="S47" s="93"/>
      <c r="T47" s="117"/>
      <c r="U47" s="117"/>
      <c r="V47" s="85"/>
      <c r="W47" s="146"/>
      <c r="X47" s="137"/>
      <c r="Y47" s="137"/>
      <c r="Z47" s="137"/>
      <c r="AA47" s="137"/>
      <c r="AB47" s="137"/>
      <c r="AC47" s="137"/>
      <c r="AD47" s="137"/>
      <c r="AE47" s="137"/>
      <c r="AF47" s="141"/>
      <c r="AG47" s="146"/>
      <c r="AH47" s="146"/>
      <c r="AI47" s="146"/>
      <c r="AJ47" s="146"/>
      <c r="AK47" s="146"/>
      <c r="AL47" s="81"/>
      <c r="AM47" s="81"/>
      <c r="AN47" s="152"/>
      <c r="AO47" s="152"/>
      <c r="AP47" s="152"/>
      <c r="AQ47" s="152"/>
      <c r="AR47" s="81"/>
      <c r="AS47" s="81"/>
      <c r="AT47" s="82"/>
      <c r="AU47" s="82"/>
      <c r="AV47" s="176"/>
      <c r="AW47" s="89"/>
      <c r="AX47" s="89"/>
      <c r="AY47" s="89"/>
      <c r="AZ47" s="89"/>
      <c r="BA47" s="89"/>
      <c r="BB47" s="89"/>
      <c r="BC47" s="89"/>
      <c r="BD47" s="89"/>
      <c r="BE47" s="141"/>
      <c r="BF47" s="176"/>
      <c r="BG47" s="176"/>
      <c r="BH47" s="176"/>
      <c r="BI47" s="176"/>
    </row>
    <row r="48" spans="1:61" s="90" customFormat="1">
      <c r="A48" s="83">
        <v>45</v>
      </c>
      <c r="B48" s="85"/>
      <c r="C48" s="84"/>
      <c r="D48" s="112"/>
      <c r="E48" s="112"/>
      <c r="F48" s="112"/>
      <c r="G48" s="290"/>
      <c r="H48" s="280">
        <f t="shared" si="6"/>
        <v>0</v>
      </c>
      <c r="I48" s="280">
        <f t="shared" si="7"/>
        <v>0</v>
      </c>
      <c r="J48" s="280">
        <f t="shared" si="8"/>
        <v>0</v>
      </c>
      <c r="K48" s="120" t="str">
        <f t="shared" si="3"/>
        <v/>
      </c>
      <c r="L48" s="287"/>
      <c r="M48" s="91"/>
      <c r="N48" s="99"/>
      <c r="O48" s="116"/>
      <c r="P48" s="86"/>
      <c r="Q48" s="92"/>
      <c r="R48" s="120">
        <f t="shared" si="4"/>
        <v>0</v>
      </c>
      <c r="S48" s="93"/>
      <c r="T48" s="117"/>
      <c r="U48" s="117"/>
      <c r="V48" s="85"/>
      <c r="W48" s="146"/>
      <c r="X48" s="137"/>
      <c r="Y48" s="137"/>
      <c r="Z48" s="137"/>
      <c r="AA48" s="137"/>
      <c r="AB48" s="137"/>
      <c r="AC48" s="137"/>
      <c r="AD48" s="137"/>
      <c r="AE48" s="137"/>
      <c r="AF48" s="141"/>
      <c r="AG48" s="146"/>
      <c r="AH48" s="146"/>
      <c r="AI48" s="146"/>
      <c r="AJ48" s="146"/>
      <c r="AK48" s="146"/>
      <c r="AL48" s="81"/>
      <c r="AM48" s="81"/>
      <c r="AN48" s="152"/>
      <c r="AO48" s="152"/>
      <c r="AP48" s="152"/>
      <c r="AQ48" s="152"/>
      <c r="AR48" s="81"/>
      <c r="AS48" s="81"/>
      <c r="AT48" s="82"/>
      <c r="AU48" s="82"/>
      <c r="AV48" s="176"/>
      <c r="AW48" s="89"/>
      <c r="AX48" s="89"/>
      <c r="AY48" s="89"/>
      <c r="AZ48" s="89"/>
      <c r="BA48" s="89"/>
      <c r="BB48" s="89"/>
      <c r="BC48" s="89"/>
      <c r="BD48" s="89"/>
      <c r="BE48" s="141"/>
      <c r="BF48" s="176"/>
      <c r="BG48" s="176"/>
      <c r="BH48" s="176"/>
      <c r="BI48" s="176"/>
    </row>
    <row r="49" spans="1:61" s="90" customFormat="1">
      <c r="A49" s="83">
        <v>46</v>
      </c>
      <c r="B49" s="85"/>
      <c r="C49" s="84"/>
      <c r="D49" s="112"/>
      <c r="E49" s="112"/>
      <c r="F49" s="112"/>
      <c r="G49" s="290"/>
      <c r="H49" s="280">
        <f t="shared" si="6"/>
        <v>0</v>
      </c>
      <c r="I49" s="280">
        <f t="shared" si="7"/>
        <v>0</v>
      </c>
      <c r="J49" s="280">
        <f t="shared" si="8"/>
        <v>0</v>
      </c>
      <c r="K49" s="120" t="str">
        <f t="shared" si="3"/>
        <v/>
      </c>
      <c r="L49" s="287"/>
      <c r="M49" s="91"/>
      <c r="N49" s="99"/>
      <c r="O49" s="116"/>
      <c r="P49" s="86"/>
      <c r="Q49" s="92"/>
      <c r="R49" s="120">
        <f t="shared" si="4"/>
        <v>0</v>
      </c>
      <c r="S49" s="93"/>
      <c r="T49" s="117"/>
      <c r="U49" s="117"/>
      <c r="V49" s="85"/>
      <c r="W49" s="146"/>
      <c r="X49" s="137"/>
      <c r="Y49" s="137"/>
      <c r="Z49" s="137"/>
      <c r="AA49" s="137"/>
      <c r="AB49" s="137"/>
      <c r="AC49" s="137"/>
      <c r="AD49" s="137"/>
      <c r="AE49" s="137"/>
      <c r="AF49" s="141"/>
      <c r="AG49" s="146"/>
      <c r="AH49" s="146"/>
      <c r="AI49" s="146"/>
      <c r="AJ49" s="146"/>
      <c r="AK49" s="146"/>
      <c r="AL49" s="81"/>
      <c r="AM49" s="81"/>
      <c r="AN49" s="152"/>
      <c r="AO49" s="152"/>
      <c r="AP49" s="152"/>
      <c r="AQ49" s="152"/>
      <c r="AR49" s="81"/>
      <c r="AS49" s="81"/>
      <c r="AT49" s="82"/>
      <c r="AU49" s="82"/>
      <c r="AV49" s="176"/>
      <c r="AW49" s="89"/>
      <c r="AX49" s="89"/>
      <c r="AY49" s="89"/>
      <c r="AZ49" s="89"/>
      <c r="BA49" s="89"/>
      <c r="BB49" s="89"/>
      <c r="BC49" s="89"/>
      <c r="BD49" s="89"/>
      <c r="BE49" s="141"/>
      <c r="BF49" s="176"/>
      <c r="BG49" s="176"/>
      <c r="BH49" s="176"/>
      <c r="BI49" s="176"/>
    </row>
    <row r="50" spans="1:61" s="90" customFormat="1">
      <c r="A50" s="83">
        <v>47</v>
      </c>
      <c r="B50" s="85"/>
      <c r="C50" s="84"/>
      <c r="D50" s="112"/>
      <c r="E50" s="112"/>
      <c r="F50" s="112"/>
      <c r="G50" s="290"/>
      <c r="H50" s="280">
        <f t="shared" si="6"/>
        <v>0</v>
      </c>
      <c r="I50" s="280">
        <f t="shared" si="7"/>
        <v>0</v>
      </c>
      <c r="J50" s="280">
        <f t="shared" si="8"/>
        <v>0</v>
      </c>
      <c r="K50" s="120" t="str">
        <f t="shared" si="3"/>
        <v/>
      </c>
      <c r="L50" s="287"/>
      <c r="M50" s="91"/>
      <c r="N50" s="99"/>
      <c r="O50" s="116"/>
      <c r="P50" s="86"/>
      <c r="Q50" s="92"/>
      <c r="R50" s="120">
        <f t="shared" si="4"/>
        <v>0</v>
      </c>
      <c r="S50" s="93"/>
      <c r="T50" s="117"/>
      <c r="U50" s="117"/>
      <c r="V50" s="85"/>
      <c r="W50" s="146"/>
      <c r="X50" s="137"/>
      <c r="Y50" s="137"/>
      <c r="Z50" s="137"/>
      <c r="AA50" s="137"/>
      <c r="AB50" s="137"/>
      <c r="AC50" s="137"/>
      <c r="AD50" s="137"/>
      <c r="AE50" s="137"/>
      <c r="AF50" s="141"/>
      <c r="AG50" s="146"/>
      <c r="AH50" s="146"/>
      <c r="AI50" s="146"/>
      <c r="AJ50" s="146"/>
      <c r="AK50" s="146"/>
      <c r="AL50" s="81"/>
      <c r="AM50" s="81"/>
      <c r="AN50" s="152"/>
      <c r="AO50" s="152"/>
      <c r="AP50" s="152"/>
      <c r="AQ50" s="152"/>
      <c r="AR50" s="81"/>
      <c r="AS50" s="81"/>
      <c r="AT50" s="82"/>
      <c r="AU50" s="82"/>
      <c r="AV50" s="176"/>
      <c r="AW50" s="89"/>
      <c r="AX50" s="89"/>
      <c r="AY50" s="89"/>
      <c r="AZ50" s="89"/>
      <c r="BA50" s="89"/>
      <c r="BB50" s="89"/>
      <c r="BC50" s="89"/>
      <c r="BD50" s="89"/>
      <c r="BE50" s="141"/>
      <c r="BF50" s="176"/>
      <c r="BG50" s="176"/>
      <c r="BH50" s="176"/>
      <c r="BI50" s="176"/>
    </row>
    <row r="51" spans="1:61" s="90" customFormat="1">
      <c r="A51" s="83">
        <v>48</v>
      </c>
      <c r="B51" s="85"/>
      <c r="C51" s="84"/>
      <c r="D51" s="112"/>
      <c r="E51" s="112"/>
      <c r="F51" s="112"/>
      <c r="G51" s="290"/>
      <c r="H51" s="280">
        <f t="shared" si="6"/>
        <v>0</v>
      </c>
      <c r="I51" s="280">
        <f t="shared" si="7"/>
        <v>0</v>
      </c>
      <c r="J51" s="280">
        <f t="shared" si="8"/>
        <v>0</v>
      </c>
      <c r="K51" s="120" t="str">
        <f t="shared" si="3"/>
        <v/>
      </c>
      <c r="L51" s="287"/>
      <c r="M51" s="91"/>
      <c r="N51" s="99"/>
      <c r="O51" s="116"/>
      <c r="P51" s="86"/>
      <c r="Q51" s="92"/>
      <c r="R51" s="120">
        <f t="shared" si="4"/>
        <v>0</v>
      </c>
      <c r="S51" s="93"/>
      <c r="T51" s="117"/>
      <c r="U51" s="117"/>
      <c r="V51" s="85"/>
      <c r="W51" s="146"/>
      <c r="X51" s="137"/>
      <c r="Y51" s="137"/>
      <c r="Z51" s="137"/>
      <c r="AA51" s="137"/>
      <c r="AB51" s="137"/>
      <c r="AC51" s="137"/>
      <c r="AD51" s="137"/>
      <c r="AE51" s="137"/>
      <c r="AF51" s="141"/>
      <c r="AG51" s="146"/>
      <c r="AH51" s="146"/>
      <c r="AI51" s="146"/>
      <c r="AJ51" s="146"/>
      <c r="AK51" s="146"/>
      <c r="AL51" s="81"/>
      <c r="AM51" s="81"/>
      <c r="AN51" s="152"/>
      <c r="AO51" s="152"/>
      <c r="AP51" s="152"/>
      <c r="AQ51" s="152"/>
      <c r="AR51" s="81"/>
      <c r="AS51" s="81"/>
      <c r="AT51" s="82"/>
      <c r="AU51" s="82"/>
      <c r="AV51" s="176"/>
      <c r="AW51" s="89"/>
      <c r="AX51" s="89"/>
      <c r="AY51" s="89"/>
      <c r="AZ51" s="89"/>
      <c r="BA51" s="89"/>
      <c r="BB51" s="89"/>
      <c r="BC51" s="89"/>
      <c r="BD51" s="89"/>
      <c r="BE51" s="141"/>
      <c r="BF51" s="176"/>
      <c r="BG51" s="176"/>
      <c r="BH51" s="176"/>
      <c r="BI51" s="176"/>
    </row>
    <row r="52" spans="1:61" s="90" customFormat="1">
      <c r="A52" s="83">
        <v>49</v>
      </c>
      <c r="B52" s="85"/>
      <c r="C52" s="84"/>
      <c r="D52" s="112"/>
      <c r="E52" s="112"/>
      <c r="F52" s="112"/>
      <c r="G52" s="290"/>
      <c r="H52" s="280">
        <f t="shared" si="6"/>
        <v>0</v>
      </c>
      <c r="I52" s="280">
        <f t="shared" si="7"/>
        <v>0</v>
      </c>
      <c r="J52" s="280">
        <f t="shared" si="8"/>
        <v>0</v>
      </c>
      <c r="K52" s="120" t="str">
        <f t="shared" si="3"/>
        <v/>
      </c>
      <c r="L52" s="287"/>
      <c r="M52" s="91"/>
      <c r="N52" s="99"/>
      <c r="O52" s="116"/>
      <c r="P52" s="86"/>
      <c r="Q52" s="92"/>
      <c r="R52" s="120">
        <f t="shared" si="4"/>
        <v>0</v>
      </c>
      <c r="S52" s="93"/>
      <c r="T52" s="117"/>
      <c r="U52" s="117"/>
      <c r="V52" s="85"/>
      <c r="W52" s="146"/>
      <c r="X52" s="137"/>
      <c r="Y52" s="137"/>
      <c r="Z52" s="137"/>
      <c r="AA52" s="137"/>
      <c r="AB52" s="137"/>
      <c r="AC52" s="137"/>
      <c r="AD52" s="137"/>
      <c r="AE52" s="137"/>
      <c r="AF52" s="141"/>
      <c r="AG52" s="146"/>
      <c r="AH52" s="146"/>
      <c r="AI52" s="146"/>
      <c r="AJ52" s="146"/>
      <c r="AK52" s="146"/>
      <c r="AL52" s="81"/>
      <c r="AM52" s="81"/>
      <c r="AN52" s="152"/>
      <c r="AO52" s="152"/>
      <c r="AP52" s="152"/>
      <c r="AQ52" s="152"/>
      <c r="AR52" s="81"/>
      <c r="AS52" s="81"/>
      <c r="AT52" s="82"/>
      <c r="AU52" s="82"/>
      <c r="AV52" s="176"/>
      <c r="AW52" s="89"/>
      <c r="AX52" s="89"/>
      <c r="AY52" s="89"/>
      <c r="AZ52" s="89"/>
      <c r="BA52" s="89"/>
      <c r="BB52" s="89"/>
      <c r="BC52" s="89"/>
      <c r="BD52" s="89"/>
      <c r="BE52" s="141"/>
      <c r="BF52" s="176"/>
      <c r="BG52" s="176"/>
      <c r="BH52" s="176"/>
      <c r="BI52" s="176"/>
    </row>
    <row r="53" spans="1:61" s="90" customFormat="1">
      <c r="A53" s="83">
        <v>50</v>
      </c>
      <c r="B53" s="85"/>
      <c r="C53" s="84"/>
      <c r="D53" s="112"/>
      <c r="E53" s="112"/>
      <c r="F53" s="112"/>
      <c r="G53" s="290"/>
      <c r="H53" s="280">
        <f t="shared" si="6"/>
        <v>0</v>
      </c>
      <c r="I53" s="280">
        <f t="shared" si="7"/>
        <v>0</v>
      </c>
      <c r="J53" s="280">
        <f t="shared" si="8"/>
        <v>0</v>
      </c>
      <c r="K53" s="120" t="str">
        <f t="shared" si="3"/>
        <v/>
      </c>
      <c r="L53" s="287"/>
      <c r="M53" s="91"/>
      <c r="N53" s="99"/>
      <c r="O53" s="116"/>
      <c r="P53" s="86"/>
      <c r="Q53" s="92"/>
      <c r="R53" s="120">
        <f t="shared" si="4"/>
        <v>0</v>
      </c>
      <c r="S53" s="93"/>
      <c r="T53" s="117"/>
      <c r="U53" s="117"/>
      <c r="V53" s="85"/>
      <c r="W53" s="146"/>
      <c r="X53" s="137"/>
      <c r="Y53" s="137"/>
      <c r="Z53" s="137"/>
      <c r="AA53" s="137"/>
      <c r="AB53" s="137"/>
      <c r="AC53" s="137"/>
      <c r="AD53" s="137"/>
      <c r="AE53" s="137"/>
      <c r="AF53" s="141"/>
      <c r="AG53" s="146"/>
      <c r="AH53" s="146"/>
      <c r="AI53" s="146"/>
      <c r="AJ53" s="146"/>
      <c r="AK53" s="146"/>
      <c r="AL53" s="81"/>
      <c r="AM53" s="81"/>
      <c r="AN53" s="152"/>
      <c r="AO53" s="152"/>
      <c r="AP53" s="152"/>
      <c r="AQ53" s="152"/>
      <c r="AR53" s="81"/>
      <c r="AS53" s="81"/>
      <c r="AT53" s="82"/>
      <c r="AU53" s="82"/>
      <c r="AV53" s="176"/>
      <c r="AW53" s="89"/>
      <c r="AX53" s="89"/>
      <c r="AY53" s="89"/>
      <c r="AZ53" s="89"/>
      <c r="BA53" s="89"/>
      <c r="BB53" s="89"/>
      <c r="BC53" s="89"/>
      <c r="BD53" s="89"/>
      <c r="BE53" s="141"/>
      <c r="BF53" s="176"/>
      <c r="BG53" s="176"/>
      <c r="BH53" s="176"/>
      <c r="BI53" s="176"/>
    </row>
    <row r="54" spans="1:61" s="90" customFormat="1">
      <c r="A54" s="83">
        <v>51</v>
      </c>
      <c r="B54" s="85"/>
      <c r="C54" s="84"/>
      <c r="D54" s="112"/>
      <c r="E54" s="112"/>
      <c r="F54" s="112"/>
      <c r="G54" s="290"/>
      <c r="H54" s="280">
        <f t="shared" si="6"/>
        <v>0</v>
      </c>
      <c r="I54" s="280">
        <f t="shared" si="7"/>
        <v>0</v>
      </c>
      <c r="J54" s="280">
        <f t="shared" si="8"/>
        <v>0</v>
      </c>
      <c r="K54" s="120" t="str">
        <f t="shared" si="3"/>
        <v/>
      </c>
      <c r="L54" s="287"/>
      <c r="M54" s="91"/>
      <c r="N54" s="99"/>
      <c r="O54" s="116"/>
      <c r="P54" s="86"/>
      <c r="Q54" s="92"/>
      <c r="R54" s="120">
        <f t="shared" si="4"/>
        <v>0</v>
      </c>
      <c r="S54" s="93"/>
      <c r="T54" s="117"/>
      <c r="U54" s="117"/>
      <c r="V54" s="85"/>
      <c r="W54" s="146"/>
      <c r="X54" s="137"/>
      <c r="Y54" s="137"/>
      <c r="Z54" s="137"/>
      <c r="AA54" s="137"/>
      <c r="AB54" s="137"/>
      <c r="AC54" s="137"/>
      <c r="AD54" s="137"/>
      <c r="AE54" s="137"/>
      <c r="AF54" s="141"/>
      <c r="AG54" s="146"/>
      <c r="AH54" s="146"/>
      <c r="AI54" s="146"/>
      <c r="AJ54" s="146"/>
      <c r="AK54" s="146"/>
      <c r="AL54" s="81"/>
      <c r="AM54" s="81"/>
      <c r="AN54" s="152"/>
      <c r="AO54" s="152"/>
      <c r="AP54" s="152"/>
      <c r="AQ54" s="152"/>
      <c r="AR54" s="81"/>
      <c r="AS54" s="81"/>
      <c r="AT54" s="82"/>
      <c r="AU54" s="82"/>
      <c r="AV54" s="176"/>
      <c r="AW54" s="89"/>
      <c r="AX54" s="89"/>
      <c r="AY54" s="89"/>
      <c r="AZ54" s="89"/>
      <c r="BA54" s="89"/>
      <c r="BB54" s="89"/>
      <c r="BC54" s="89"/>
      <c r="BD54" s="89"/>
      <c r="BE54" s="141"/>
      <c r="BF54" s="176"/>
      <c r="BG54" s="176"/>
      <c r="BH54" s="176"/>
      <c r="BI54" s="176"/>
    </row>
    <row r="55" spans="1:61" s="90" customFormat="1">
      <c r="A55" s="83">
        <v>52</v>
      </c>
      <c r="B55" s="85"/>
      <c r="C55" s="84"/>
      <c r="D55" s="112"/>
      <c r="E55" s="112"/>
      <c r="F55" s="112"/>
      <c r="G55" s="290"/>
      <c r="H55" s="280">
        <f t="shared" si="6"/>
        <v>0</v>
      </c>
      <c r="I55" s="280">
        <f t="shared" si="7"/>
        <v>0</v>
      </c>
      <c r="J55" s="280">
        <f t="shared" si="8"/>
        <v>0</v>
      </c>
      <c r="K55" s="120" t="str">
        <f t="shared" si="3"/>
        <v/>
      </c>
      <c r="L55" s="287"/>
      <c r="M55" s="91"/>
      <c r="N55" s="99"/>
      <c r="O55" s="116"/>
      <c r="P55" s="86"/>
      <c r="Q55" s="92"/>
      <c r="R55" s="120">
        <f t="shared" si="4"/>
        <v>0</v>
      </c>
      <c r="S55" s="93"/>
      <c r="T55" s="117"/>
      <c r="U55" s="117"/>
      <c r="V55" s="85"/>
      <c r="W55" s="146"/>
      <c r="X55" s="137"/>
      <c r="Y55" s="137"/>
      <c r="Z55" s="137"/>
      <c r="AA55" s="137"/>
      <c r="AB55" s="137"/>
      <c r="AC55" s="137"/>
      <c r="AD55" s="137"/>
      <c r="AE55" s="137"/>
      <c r="AF55" s="141"/>
      <c r="AG55" s="146"/>
      <c r="AH55" s="146"/>
      <c r="AI55" s="146"/>
      <c r="AJ55" s="146"/>
      <c r="AK55" s="146"/>
      <c r="AL55" s="81"/>
      <c r="AM55" s="81"/>
      <c r="AN55" s="152"/>
      <c r="AO55" s="152"/>
      <c r="AP55" s="152"/>
      <c r="AQ55" s="152"/>
      <c r="AR55" s="81"/>
      <c r="AS55" s="81"/>
      <c r="AT55" s="82"/>
      <c r="AU55" s="82"/>
      <c r="AV55" s="176"/>
      <c r="AW55" s="89"/>
      <c r="AX55" s="89"/>
      <c r="AY55" s="89"/>
      <c r="AZ55" s="89"/>
      <c r="BA55" s="89"/>
      <c r="BB55" s="89"/>
      <c r="BC55" s="89"/>
      <c r="BD55" s="89"/>
      <c r="BE55" s="141"/>
      <c r="BF55" s="176"/>
      <c r="BG55" s="176"/>
      <c r="BH55" s="176"/>
      <c r="BI55" s="176"/>
    </row>
    <row r="56" spans="1:61" s="90" customFormat="1">
      <c r="A56" s="83">
        <v>53</v>
      </c>
      <c r="B56" s="85"/>
      <c r="C56" s="84"/>
      <c r="D56" s="112"/>
      <c r="E56" s="112"/>
      <c r="F56" s="112"/>
      <c r="G56" s="290"/>
      <c r="H56" s="280">
        <f t="shared" si="6"/>
        <v>0</v>
      </c>
      <c r="I56" s="280">
        <f t="shared" si="7"/>
        <v>0</v>
      </c>
      <c r="J56" s="280">
        <f t="shared" si="8"/>
        <v>0</v>
      </c>
      <c r="K56" s="120" t="str">
        <f t="shared" si="3"/>
        <v/>
      </c>
      <c r="L56" s="287"/>
      <c r="M56" s="91"/>
      <c r="N56" s="99"/>
      <c r="O56" s="116"/>
      <c r="P56" s="86"/>
      <c r="Q56" s="92"/>
      <c r="R56" s="120">
        <f t="shared" si="4"/>
        <v>0</v>
      </c>
      <c r="S56" s="93"/>
      <c r="T56" s="117"/>
      <c r="U56" s="117"/>
      <c r="V56" s="85"/>
      <c r="W56" s="146"/>
      <c r="X56" s="137"/>
      <c r="Y56" s="137"/>
      <c r="Z56" s="137"/>
      <c r="AA56" s="137"/>
      <c r="AB56" s="137"/>
      <c r="AC56" s="137"/>
      <c r="AD56" s="137"/>
      <c r="AE56" s="137"/>
      <c r="AF56" s="141"/>
      <c r="AG56" s="146"/>
      <c r="AH56" s="146"/>
      <c r="AI56" s="146"/>
      <c r="AJ56" s="146"/>
      <c r="AK56" s="146"/>
      <c r="AL56" s="81"/>
      <c r="AM56" s="81"/>
      <c r="AN56" s="152"/>
      <c r="AO56" s="152"/>
      <c r="AP56" s="152"/>
      <c r="AQ56" s="152"/>
      <c r="AR56" s="81"/>
      <c r="AS56" s="81"/>
      <c r="AT56" s="82"/>
      <c r="AU56" s="82"/>
      <c r="AV56" s="176"/>
      <c r="AW56" s="89"/>
      <c r="AX56" s="89"/>
      <c r="AY56" s="89"/>
      <c r="AZ56" s="89"/>
      <c r="BA56" s="89"/>
      <c r="BB56" s="89"/>
      <c r="BC56" s="89"/>
      <c r="BD56" s="89"/>
      <c r="BE56" s="141"/>
      <c r="BF56" s="176"/>
      <c r="BG56" s="176"/>
      <c r="BH56" s="176"/>
      <c r="BI56" s="176"/>
    </row>
    <row r="57" spans="1:61" s="90" customFormat="1">
      <c r="A57" s="83">
        <v>54</v>
      </c>
      <c r="B57" s="85"/>
      <c r="C57" s="84"/>
      <c r="D57" s="112"/>
      <c r="E57" s="112"/>
      <c r="F57" s="112"/>
      <c r="G57" s="290"/>
      <c r="H57" s="280">
        <f t="shared" si="6"/>
        <v>0</v>
      </c>
      <c r="I57" s="280">
        <f t="shared" si="7"/>
        <v>0</v>
      </c>
      <c r="J57" s="280">
        <f t="shared" si="8"/>
        <v>0</v>
      </c>
      <c r="K57" s="120" t="str">
        <f t="shared" si="3"/>
        <v/>
      </c>
      <c r="L57" s="287"/>
      <c r="M57" s="91"/>
      <c r="N57" s="99"/>
      <c r="O57" s="116"/>
      <c r="P57" s="86"/>
      <c r="Q57" s="92"/>
      <c r="R57" s="120">
        <f t="shared" si="4"/>
        <v>0</v>
      </c>
      <c r="S57" s="93"/>
      <c r="T57" s="117"/>
      <c r="U57" s="117"/>
      <c r="V57" s="85"/>
      <c r="W57" s="146"/>
      <c r="X57" s="137"/>
      <c r="Y57" s="137"/>
      <c r="Z57" s="137"/>
      <c r="AA57" s="137"/>
      <c r="AB57" s="137"/>
      <c r="AC57" s="137"/>
      <c r="AD57" s="137"/>
      <c r="AE57" s="137"/>
      <c r="AF57" s="141"/>
      <c r="AG57" s="146"/>
      <c r="AH57" s="146"/>
      <c r="AI57" s="146"/>
      <c r="AJ57" s="146"/>
      <c r="AK57" s="146"/>
      <c r="AL57" s="81"/>
      <c r="AM57" s="81"/>
      <c r="AN57" s="152"/>
      <c r="AO57" s="152"/>
      <c r="AP57" s="152"/>
      <c r="AQ57" s="152"/>
      <c r="AR57" s="81"/>
      <c r="AS57" s="81"/>
      <c r="AT57" s="82"/>
      <c r="AU57" s="82"/>
      <c r="AV57" s="176"/>
      <c r="AW57" s="89"/>
      <c r="AX57" s="89"/>
      <c r="AY57" s="89"/>
      <c r="AZ57" s="89"/>
      <c r="BA57" s="89"/>
      <c r="BB57" s="89"/>
      <c r="BC57" s="89"/>
      <c r="BD57" s="89"/>
      <c r="BE57" s="141"/>
      <c r="BF57" s="176"/>
      <c r="BG57" s="176"/>
      <c r="BH57" s="176"/>
      <c r="BI57" s="176"/>
    </row>
    <row r="58" spans="1:61" s="90" customFormat="1">
      <c r="A58" s="83">
        <v>55</v>
      </c>
      <c r="B58" s="85"/>
      <c r="C58" s="84"/>
      <c r="D58" s="112"/>
      <c r="E58" s="112"/>
      <c r="F58" s="112"/>
      <c r="G58" s="290"/>
      <c r="H58" s="280">
        <f t="shared" si="6"/>
        <v>0</v>
      </c>
      <c r="I58" s="280">
        <f t="shared" si="7"/>
        <v>0</v>
      </c>
      <c r="J58" s="280">
        <f t="shared" si="8"/>
        <v>0</v>
      </c>
      <c r="K58" s="120" t="str">
        <f t="shared" si="3"/>
        <v/>
      </c>
      <c r="L58" s="287"/>
      <c r="M58" s="91"/>
      <c r="N58" s="99"/>
      <c r="O58" s="116"/>
      <c r="P58" s="86"/>
      <c r="Q58" s="92"/>
      <c r="R58" s="120">
        <f t="shared" si="4"/>
        <v>0</v>
      </c>
      <c r="S58" s="93"/>
      <c r="T58" s="117"/>
      <c r="U58" s="117"/>
      <c r="V58" s="85"/>
      <c r="W58" s="146"/>
      <c r="X58" s="137"/>
      <c r="Y58" s="137"/>
      <c r="Z58" s="137"/>
      <c r="AA58" s="137"/>
      <c r="AB58" s="137"/>
      <c r="AC58" s="137"/>
      <c r="AD58" s="137"/>
      <c r="AE58" s="137"/>
      <c r="AF58" s="141"/>
      <c r="AG58" s="146"/>
      <c r="AH58" s="146"/>
      <c r="AI58" s="146"/>
      <c r="AJ58" s="146"/>
      <c r="AK58" s="146"/>
      <c r="AL58" s="81"/>
      <c r="AM58" s="81"/>
      <c r="AN58" s="152"/>
      <c r="AO58" s="152"/>
      <c r="AP58" s="152"/>
      <c r="AQ58" s="152"/>
      <c r="AR58" s="81"/>
      <c r="AS58" s="81"/>
      <c r="AT58" s="82"/>
      <c r="AU58" s="82"/>
      <c r="AV58" s="176"/>
      <c r="AW58" s="89"/>
      <c r="AX58" s="89"/>
      <c r="AY58" s="89"/>
      <c r="AZ58" s="89"/>
      <c r="BA58" s="89"/>
      <c r="BB58" s="89"/>
      <c r="BC58" s="89"/>
      <c r="BD58" s="89"/>
      <c r="BE58" s="141"/>
      <c r="BF58" s="176"/>
      <c r="BG58" s="176"/>
      <c r="BH58" s="176"/>
      <c r="BI58" s="176"/>
    </row>
    <row r="59" spans="1:61" s="90" customFormat="1">
      <c r="A59" s="83">
        <v>56</v>
      </c>
      <c r="B59" s="85"/>
      <c r="C59" s="84"/>
      <c r="D59" s="112"/>
      <c r="E59" s="112"/>
      <c r="F59" s="112"/>
      <c r="G59" s="290"/>
      <c r="H59" s="280">
        <f t="shared" si="6"/>
        <v>0</v>
      </c>
      <c r="I59" s="280">
        <f t="shared" si="7"/>
        <v>0</v>
      </c>
      <c r="J59" s="280">
        <f t="shared" si="8"/>
        <v>0</v>
      </c>
      <c r="K59" s="120" t="str">
        <f t="shared" si="3"/>
        <v/>
      </c>
      <c r="L59" s="287"/>
      <c r="M59" s="91"/>
      <c r="N59" s="99"/>
      <c r="O59" s="116"/>
      <c r="P59" s="86"/>
      <c r="Q59" s="92"/>
      <c r="R59" s="120">
        <f t="shared" si="4"/>
        <v>0</v>
      </c>
      <c r="S59" s="93"/>
      <c r="T59" s="117"/>
      <c r="U59" s="117"/>
      <c r="V59" s="85"/>
      <c r="W59" s="146"/>
      <c r="X59" s="137"/>
      <c r="Y59" s="137"/>
      <c r="Z59" s="137"/>
      <c r="AA59" s="137"/>
      <c r="AB59" s="137"/>
      <c r="AC59" s="137"/>
      <c r="AD59" s="137"/>
      <c r="AE59" s="137"/>
      <c r="AF59" s="141"/>
      <c r="AG59" s="146"/>
      <c r="AH59" s="146"/>
      <c r="AI59" s="146"/>
      <c r="AJ59" s="146"/>
      <c r="AK59" s="146"/>
      <c r="AL59" s="81"/>
      <c r="AM59" s="81"/>
      <c r="AN59" s="152"/>
      <c r="AO59" s="152"/>
      <c r="AP59" s="152"/>
      <c r="AQ59" s="152"/>
      <c r="AR59" s="81"/>
      <c r="AS59" s="81"/>
      <c r="AT59" s="82"/>
      <c r="AU59" s="82"/>
      <c r="AV59" s="176"/>
      <c r="AW59" s="89"/>
      <c r="AX59" s="89"/>
      <c r="AY59" s="89"/>
      <c r="AZ59" s="89"/>
      <c r="BA59" s="89"/>
      <c r="BB59" s="89"/>
      <c r="BC59" s="89"/>
      <c r="BD59" s="89"/>
      <c r="BE59" s="141"/>
      <c r="BF59" s="176"/>
      <c r="BG59" s="176"/>
      <c r="BH59" s="176"/>
      <c r="BI59" s="176"/>
    </row>
    <row r="60" spans="1:61" s="90" customFormat="1">
      <c r="A60" s="83">
        <v>57</v>
      </c>
      <c r="B60" s="85"/>
      <c r="C60" s="84"/>
      <c r="D60" s="112"/>
      <c r="E60" s="112"/>
      <c r="F60" s="112"/>
      <c r="G60" s="290"/>
      <c r="H60" s="280">
        <f t="shared" si="6"/>
        <v>0</v>
      </c>
      <c r="I60" s="280">
        <f t="shared" si="7"/>
        <v>0</v>
      </c>
      <c r="J60" s="280">
        <f t="shared" si="8"/>
        <v>0</v>
      </c>
      <c r="K60" s="120" t="str">
        <f t="shared" si="3"/>
        <v/>
      </c>
      <c r="L60" s="287"/>
      <c r="M60" s="91"/>
      <c r="N60" s="99"/>
      <c r="O60" s="116"/>
      <c r="P60" s="86"/>
      <c r="Q60" s="92"/>
      <c r="R60" s="120">
        <f t="shared" si="4"/>
        <v>0</v>
      </c>
      <c r="S60" s="93"/>
      <c r="T60" s="117"/>
      <c r="U60" s="117"/>
      <c r="V60" s="85"/>
      <c r="W60" s="146"/>
      <c r="X60" s="137"/>
      <c r="Y60" s="137"/>
      <c r="Z60" s="137"/>
      <c r="AA60" s="137"/>
      <c r="AB60" s="137"/>
      <c r="AC60" s="137"/>
      <c r="AD60" s="137"/>
      <c r="AE60" s="137"/>
      <c r="AF60" s="141"/>
      <c r="AG60" s="146"/>
      <c r="AH60" s="146"/>
      <c r="AI60" s="146"/>
      <c r="AJ60" s="146"/>
      <c r="AK60" s="146"/>
      <c r="AL60" s="81"/>
      <c r="AM60" s="81"/>
      <c r="AN60" s="152"/>
      <c r="AO60" s="152"/>
      <c r="AP60" s="152"/>
      <c r="AQ60" s="152"/>
      <c r="AR60" s="81"/>
      <c r="AS60" s="81"/>
      <c r="AT60" s="82"/>
      <c r="AU60" s="82"/>
      <c r="AV60" s="176"/>
      <c r="AW60" s="89"/>
      <c r="AX60" s="89"/>
      <c r="AY60" s="89"/>
      <c r="AZ60" s="89"/>
      <c r="BA60" s="89"/>
      <c r="BB60" s="89"/>
      <c r="BC60" s="89"/>
      <c r="BD60" s="89"/>
      <c r="BE60" s="141"/>
      <c r="BF60" s="176"/>
      <c r="BG60" s="176"/>
      <c r="BH60" s="176"/>
      <c r="BI60" s="176"/>
    </row>
    <row r="61" spans="1:61" s="90" customFormat="1">
      <c r="A61" s="83">
        <v>58</v>
      </c>
      <c r="B61" s="85"/>
      <c r="C61" s="84"/>
      <c r="D61" s="112"/>
      <c r="E61" s="112"/>
      <c r="F61" s="112"/>
      <c r="G61" s="290"/>
      <c r="H61" s="280">
        <f t="shared" si="6"/>
        <v>0</v>
      </c>
      <c r="I61" s="280">
        <f t="shared" si="7"/>
        <v>0</v>
      </c>
      <c r="J61" s="280">
        <f t="shared" si="8"/>
        <v>0</v>
      </c>
      <c r="K61" s="120" t="str">
        <f t="shared" si="3"/>
        <v/>
      </c>
      <c r="L61" s="287"/>
      <c r="M61" s="91"/>
      <c r="N61" s="99"/>
      <c r="O61" s="116"/>
      <c r="P61" s="86"/>
      <c r="Q61" s="92"/>
      <c r="R61" s="120">
        <f t="shared" si="4"/>
        <v>0</v>
      </c>
      <c r="S61" s="93"/>
      <c r="T61" s="117"/>
      <c r="U61" s="117"/>
      <c r="V61" s="85"/>
      <c r="W61" s="146"/>
      <c r="X61" s="137"/>
      <c r="Y61" s="137"/>
      <c r="Z61" s="137"/>
      <c r="AA61" s="137"/>
      <c r="AB61" s="137"/>
      <c r="AC61" s="137"/>
      <c r="AD61" s="137"/>
      <c r="AE61" s="137"/>
      <c r="AF61" s="141"/>
      <c r="AG61" s="146"/>
      <c r="AH61" s="146"/>
      <c r="AI61" s="146"/>
      <c r="AJ61" s="146"/>
      <c r="AK61" s="146"/>
      <c r="AL61" s="81"/>
      <c r="AM61" s="81"/>
      <c r="AN61" s="152"/>
      <c r="AO61" s="152"/>
      <c r="AP61" s="152"/>
      <c r="AQ61" s="152"/>
      <c r="AR61" s="81"/>
      <c r="AS61" s="81"/>
      <c r="AT61" s="82"/>
      <c r="AU61" s="82"/>
      <c r="AV61" s="176"/>
      <c r="AW61" s="89"/>
      <c r="AX61" s="89"/>
      <c r="AY61" s="89"/>
      <c r="AZ61" s="89"/>
      <c r="BA61" s="89"/>
      <c r="BB61" s="89"/>
      <c r="BC61" s="89"/>
      <c r="BD61" s="89"/>
      <c r="BE61" s="141"/>
      <c r="BF61" s="176"/>
      <c r="BG61" s="176"/>
      <c r="BH61" s="176"/>
      <c r="BI61" s="176"/>
    </row>
    <row r="62" spans="1:61" s="90" customFormat="1">
      <c r="A62" s="83">
        <v>59</v>
      </c>
      <c r="B62" s="85"/>
      <c r="C62" s="84"/>
      <c r="D62" s="112"/>
      <c r="E62" s="112"/>
      <c r="F62" s="112"/>
      <c r="G62" s="290"/>
      <c r="H62" s="280">
        <f t="shared" si="6"/>
        <v>0</v>
      </c>
      <c r="I62" s="280">
        <f t="shared" si="7"/>
        <v>0</v>
      </c>
      <c r="J62" s="280">
        <f t="shared" si="8"/>
        <v>0</v>
      </c>
      <c r="K62" s="120" t="str">
        <f t="shared" si="3"/>
        <v/>
      </c>
      <c r="L62" s="287"/>
      <c r="M62" s="91"/>
      <c r="N62" s="99"/>
      <c r="O62" s="116"/>
      <c r="P62" s="86"/>
      <c r="Q62" s="92"/>
      <c r="R62" s="120">
        <f t="shared" si="4"/>
        <v>0</v>
      </c>
      <c r="S62" s="93"/>
      <c r="T62" s="117"/>
      <c r="U62" s="117"/>
      <c r="V62" s="85"/>
      <c r="W62" s="146"/>
      <c r="X62" s="137"/>
      <c r="Y62" s="137"/>
      <c r="Z62" s="137"/>
      <c r="AA62" s="137"/>
      <c r="AB62" s="137"/>
      <c r="AC62" s="137"/>
      <c r="AD62" s="137"/>
      <c r="AE62" s="137"/>
      <c r="AF62" s="141"/>
      <c r="AG62" s="146"/>
      <c r="AH62" s="146"/>
      <c r="AI62" s="146"/>
      <c r="AJ62" s="146"/>
      <c r="AK62" s="146"/>
      <c r="AL62" s="81"/>
      <c r="AM62" s="81"/>
      <c r="AN62" s="152"/>
      <c r="AO62" s="152"/>
      <c r="AP62" s="152"/>
      <c r="AQ62" s="152"/>
      <c r="AR62" s="81"/>
      <c r="AS62" s="81"/>
      <c r="AT62" s="82"/>
      <c r="AU62" s="82"/>
      <c r="AV62" s="176"/>
      <c r="AW62" s="89"/>
      <c r="AX62" s="89"/>
      <c r="AY62" s="89"/>
      <c r="AZ62" s="89"/>
      <c r="BA62" s="89"/>
      <c r="BB62" s="89"/>
      <c r="BC62" s="89"/>
      <c r="BD62" s="89"/>
      <c r="BE62" s="141"/>
      <c r="BF62" s="176"/>
      <c r="BG62" s="176"/>
      <c r="BH62" s="176"/>
      <c r="BI62" s="176"/>
    </row>
    <row r="63" spans="1:61" s="90" customFormat="1">
      <c r="A63" s="83">
        <v>60</v>
      </c>
      <c r="B63" s="85"/>
      <c r="C63" s="84"/>
      <c r="D63" s="112"/>
      <c r="E63" s="112"/>
      <c r="F63" s="112"/>
      <c r="G63" s="290"/>
      <c r="H63" s="280">
        <f t="shared" si="6"/>
        <v>0</v>
      </c>
      <c r="I63" s="280">
        <f t="shared" si="7"/>
        <v>0</v>
      </c>
      <c r="J63" s="280">
        <f t="shared" si="8"/>
        <v>0</v>
      </c>
      <c r="K63" s="120" t="str">
        <f t="shared" si="3"/>
        <v/>
      </c>
      <c r="L63" s="287"/>
      <c r="M63" s="91"/>
      <c r="N63" s="99"/>
      <c r="O63" s="116"/>
      <c r="P63" s="86"/>
      <c r="Q63" s="92"/>
      <c r="R63" s="120">
        <f t="shared" si="4"/>
        <v>0</v>
      </c>
      <c r="S63" s="93"/>
      <c r="T63" s="117"/>
      <c r="U63" s="117"/>
      <c r="V63" s="85"/>
      <c r="W63" s="146"/>
      <c r="X63" s="137"/>
      <c r="Y63" s="137"/>
      <c r="Z63" s="137"/>
      <c r="AA63" s="137"/>
      <c r="AB63" s="137"/>
      <c r="AC63" s="137"/>
      <c r="AD63" s="137"/>
      <c r="AE63" s="137"/>
      <c r="AF63" s="141"/>
      <c r="AG63" s="146"/>
      <c r="AH63" s="146"/>
      <c r="AI63" s="146"/>
      <c r="AJ63" s="146"/>
      <c r="AK63" s="146"/>
      <c r="AL63" s="81"/>
      <c r="AM63" s="81"/>
      <c r="AN63" s="152"/>
      <c r="AO63" s="152"/>
      <c r="AP63" s="152"/>
      <c r="AQ63" s="152"/>
      <c r="AR63" s="81"/>
      <c r="AS63" s="81"/>
      <c r="AT63" s="82"/>
      <c r="AU63" s="82"/>
      <c r="AV63" s="176"/>
      <c r="AW63" s="89"/>
      <c r="AX63" s="89"/>
      <c r="AY63" s="89"/>
      <c r="AZ63" s="89"/>
      <c r="BA63" s="89"/>
      <c r="BB63" s="89"/>
      <c r="BC63" s="89"/>
      <c r="BD63" s="89"/>
      <c r="BE63" s="141"/>
      <c r="BF63" s="176"/>
      <c r="BG63" s="176"/>
      <c r="BH63" s="176"/>
      <c r="BI63" s="176"/>
    </row>
    <row r="64" spans="1:61" s="90" customFormat="1">
      <c r="A64" s="83">
        <v>61</v>
      </c>
      <c r="B64" s="85"/>
      <c r="C64" s="84"/>
      <c r="D64" s="112"/>
      <c r="E64" s="112"/>
      <c r="F64" s="112"/>
      <c r="G64" s="290"/>
      <c r="H64" s="280">
        <f t="shared" si="6"/>
        <v>0</v>
      </c>
      <c r="I64" s="280">
        <f t="shared" si="7"/>
        <v>0</v>
      </c>
      <c r="J64" s="280">
        <f t="shared" si="8"/>
        <v>0</v>
      </c>
      <c r="K64" s="120" t="str">
        <f t="shared" si="3"/>
        <v/>
      </c>
      <c r="L64" s="287"/>
      <c r="M64" s="91"/>
      <c r="N64" s="99"/>
      <c r="O64" s="116"/>
      <c r="P64" s="86"/>
      <c r="Q64" s="92"/>
      <c r="R64" s="120">
        <f t="shared" si="4"/>
        <v>0</v>
      </c>
      <c r="S64" s="93"/>
      <c r="T64" s="117"/>
      <c r="U64" s="117"/>
      <c r="V64" s="85"/>
      <c r="W64" s="146"/>
      <c r="X64" s="137"/>
      <c r="Y64" s="137"/>
      <c r="Z64" s="137"/>
      <c r="AA64" s="137"/>
      <c r="AB64" s="137"/>
      <c r="AC64" s="137"/>
      <c r="AD64" s="137"/>
      <c r="AE64" s="137"/>
      <c r="AF64" s="141"/>
      <c r="AG64" s="146"/>
      <c r="AH64" s="146"/>
      <c r="AI64" s="146"/>
      <c r="AJ64" s="146"/>
      <c r="AK64" s="146"/>
      <c r="AL64" s="81"/>
      <c r="AM64" s="81"/>
      <c r="AN64" s="152"/>
      <c r="AO64" s="152"/>
      <c r="AP64" s="152"/>
      <c r="AQ64" s="152"/>
      <c r="AR64" s="81"/>
      <c r="AS64" s="81"/>
      <c r="AT64" s="82"/>
      <c r="AU64" s="82"/>
      <c r="AV64" s="176"/>
      <c r="AW64" s="89"/>
      <c r="AX64" s="89"/>
      <c r="AY64" s="89"/>
      <c r="AZ64" s="89"/>
      <c r="BA64" s="89"/>
      <c r="BB64" s="89"/>
      <c r="BC64" s="89"/>
      <c r="BD64" s="89"/>
      <c r="BE64" s="141"/>
      <c r="BF64" s="176"/>
      <c r="BG64" s="176"/>
      <c r="BH64" s="176"/>
      <c r="BI64" s="176"/>
    </row>
    <row r="65" spans="1:61" s="90" customFormat="1">
      <c r="A65" s="83">
        <v>62</v>
      </c>
      <c r="B65" s="85"/>
      <c r="C65" s="84"/>
      <c r="D65" s="112"/>
      <c r="E65" s="112"/>
      <c r="F65" s="112"/>
      <c r="G65" s="290"/>
      <c r="H65" s="280">
        <f t="shared" si="6"/>
        <v>0</v>
      </c>
      <c r="I65" s="280">
        <f t="shared" si="7"/>
        <v>0</v>
      </c>
      <c r="J65" s="280">
        <f t="shared" si="8"/>
        <v>0</v>
      </c>
      <c r="K65" s="120" t="str">
        <f t="shared" si="3"/>
        <v/>
      </c>
      <c r="L65" s="287"/>
      <c r="M65" s="91"/>
      <c r="N65" s="99"/>
      <c r="O65" s="116"/>
      <c r="P65" s="86"/>
      <c r="Q65" s="92"/>
      <c r="R65" s="120">
        <f t="shared" si="4"/>
        <v>0</v>
      </c>
      <c r="S65" s="93"/>
      <c r="T65" s="117"/>
      <c r="U65" s="117"/>
      <c r="V65" s="85"/>
      <c r="W65" s="146"/>
      <c r="X65" s="137"/>
      <c r="Y65" s="137"/>
      <c r="Z65" s="137"/>
      <c r="AA65" s="137"/>
      <c r="AB65" s="137"/>
      <c r="AC65" s="137"/>
      <c r="AD65" s="137"/>
      <c r="AE65" s="137"/>
      <c r="AF65" s="141"/>
      <c r="AG65" s="146"/>
      <c r="AH65" s="146"/>
      <c r="AI65" s="146"/>
      <c r="AJ65" s="146"/>
      <c r="AK65" s="146"/>
      <c r="AL65" s="81"/>
      <c r="AM65" s="81"/>
      <c r="AN65" s="152"/>
      <c r="AO65" s="152"/>
      <c r="AP65" s="152"/>
      <c r="AQ65" s="152"/>
      <c r="AR65" s="81"/>
      <c r="AS65" s="81"/>
      <c r="AT65" s="82"/>
      <c r="AU65" s="82"/>
      <c r="AV65" s="176"/>
      <c r="AW65" s="89"/>
      <c r="AX65" s="89"/>
      <c r="AY65" s="89"/>
      <c r="AZ65" s="89"/>
      <c r="BA65" s="89"/>
      <c r="BB65" s="89"/>
      <c r="BC65" s="89"/>
      <c r="BD65" s="89"/>
      <c r="BE65" s="141"/>
      <c r="BF65" s="176"/>
      <c r="BG65" s="176"/>
      <c r="BH65" s="176"/>
      <c r="BI65" s="176"/>
    </row>
    <row r="66" spans="1:61" s="90" customFormat="1">
      <c r="A66" s="83">
        <v>63</v>
      </c>
      <c r="B66" s="85"/>
      <c r="C66" s="84"/>
      <c r="D66" s="112"/>
      <c r="E66" s="112"/>
      <c r="F66" s="112"/>
      <c r="G66" s="290"/>
      <c r="H66" s="280">
        <f t="shared" si="6"/>
        <v>0</v>
      </c>
      <c r="I66" s="280">
        <f t="shared" si="7"/>
        <v>0</v>
      </c>
      <c r="J66" s="280">
        <f t="shared" si="8"/>
        <v>0</v>
      </c>
      <c r="K66" s="120" t="str">
        <f t="shared" si="3"/>
        <v/>
      </c>
      <c r="L66" s="287"/>
      <c r="M66" s="91"/>
      <c r="N66" s="99"/>
      <c r="O66" s="116"/>
      <c r="P66" s="86"/>
      <c r="Q66" s="92"/>
      <c r="R66" s="120">
        <f t="shared" si="4"/>
        <v>0</v>
      </c>
      <c r="S66" s="93"/>
      <c r="T66" s="117"/>
      <c r="U66" s="117"/>
      <c r="V66" s="85"/>
      <c r="W66" s="146"/>
      <c r="X66" s="137"/>
      <c r="Y66" s="137"/>
      <c r="Z66" s="137"/>
      <c r="AA66" s="137"/>
      <c r="AB66" s="137"/>
      <c r="AC66" s="137"/>
      <c r="AD66" s="137"/>
      <c r="AE66" s="137"/>
      <c r="AF66" s="141"/>
      <c r="AG66" s="146"/>
      <c r="AH66" s="146"/>
      <c r="AI66" s="146"/>
      <c r="AJ66" s="146"/>
      <c r="AK66" s="146"/>
      <c r="AL66" s="81"/>
      <c r="AM66" s="81"/>
      <c r="AN66" s="152"/>
      <c r="AO66" s="152"/>
      <c r="AP66" s="152"/>
      <c r="AQ66" s="152"/>
      <c r="AR66" s="81"/>
      <c r="AS66" s="81"/>
      <c r="AT66" s="82"/>
      <c r="AU66" s="82"/>
      <c r="AV66" s="176"/>
      <c r="AW66" s="89"/>
      <c r="AX66" s="89"/>
      <c r="AY66" s="89"/>
      <c r="AZ66" s="89"/>
      <c r="BA66" s="89"/>
      <c r="BB66" s="89"/>
      <c r="BC66" s="89"/>
      <c r="BD66" s="89"/>
      <c r="BE66" s="141"/>
      <c r="BF66" s="176"/>
      <c r="BG66" s="176"/>
      <c r="BH66" s="176"/>
      <c r="BI66" s="176"/>
    </row>
    <row r="67" spans="1:61" s="90" customFormat="1">
      <c r="A67" s="83">
        <v>64</v>
      </c>
      <c r="B67" s="85"/>
      <c r="C67" s="84"/>
      <c r="D67" s="112"/>
      <c r="E67" s="112"/>
      <c r="F67" s="112"/>
      <c r="G67" s="290"/>
      <c r="H67" s="280">
        <f t="shared" si="6"/>
        <v>0</v>
      </c>
      <c r="I67" s="280">
        <f t="shared" si="7"/>
        <v>0</v>
      </c>
      <c r="J67" s="280">
        <f t="shared" si="8"/>
        <v>0</v>
      </c>
      <c r="K67" s="120" t="str">
        <f t="shared" si="3"/>
        <v/>
      </c>
      <c r="L67" s="287"/>
      <c r="M67" s="91"/>
      <c r="N67" s="99"/>
      <c r="O67" s="116"/>
      <c r="P67" s="86"/>
      <c r="Q67" s="92"/>
      <c r="R67" s="120">
        <f t="shared" si="4"/>
        <v>0</v>
      </c>
      <c r="S67" s="93"/>
      <c r="T67" s="117"/>
      <c r="U67" s="117"/>
      <c r="V67" s="85"/>
      <c r="W67" s="146"/>
      <c r="X67" s="137"/>
      <c r="Y67" s="137"/>
      <c r="Z67" s="137"/>
      <c r="AA67" s="137"/>
      <c r="AB67" s="137"/>
      <c r="AC67" s="137"/>
      <c r="AD67" s="137"/>
      <c r="AE67" s="137"/>
      <c r="AF67" s="141"/>
      <c r="AG67" s="146"/>
      <c r="AH67" s="146"/>
      <c r="AI67" s="146"/>
      <c r="AJ67" s="146"/>
      <c r="AK67" s="146"/>
      <c r="AL67" s="81"/>
      <c r="AM67" s="81"/>
      <c r="AN67" s="152"/>
      <c r="AO67" s="152"/>
      <c r="AP67" s="152"/>
      <c r="AQ67" s="152"/>
      <c r="AR67" s="81"/>
      <c r="AS67" s="81"/>
      <c r="AT67" s="82"/>
      <c r="AU67" s="82"/>
      <c r="AV67" s="176"/>
      <c r="AW67" s="89"/>
      <c r="AX67" s="89"/>
      <c r="AY67" s="89"/>
      <c r="AZ67" s="89"/>
      <c r="BA67" s="89"/>
      <c r="BB67" s="89"/>
      <c r="BC67" s="89"/>
      <c r="BD67" s="89"/>
      <c r="BE67" s="141"/>
      <c r="BF67" s="176"/>
      <c r="BG67" s="176"/>
      <c r="BH67" s="176"/>
      <c r="BI67" s="176"/>
    </row>
    <row r="68" spans="1:61" s="90" customFormat="1">
      <c r="A68" s="83">
        <v>65</v>
      </c>
      <c r="B68" s="85"/>
      <c r="C68" s="84"/>
      <c r="D68" s="112"/>
      <c r="E68" s="112"/>
      <c r="F68" s="112"/>
      <c r="G68" s="290"/>
      <c r="H68" s="280">
        <f t="shared" si="6"/>
        <v>0</v>
      </c>
      <c r="I68" s="280">
        <f t="shared" si="7"/>
        <v>0</v>
      </c>
      <c r="J68" s="280">
        <f t="shared" si="8"/>
        <v>0</v>
      </c>
      <c r="K68" s="120" t="str">
        <f t="shared" ref="K68:K131" si="9">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287"/>
      <c r="M68" s="91"/>
      <c r="N68" s="99"/>
      <c r="O68" s="116"/>
      <c r="P68" s="86"/>
      <c r="Q68" s="92"/>
      <c r="R68" s="120">
        <f t="shared" si="4"/>
        <v>0</v>
      </c>
      <c r="S68" s="93"/>
      <c r="T68" s="117"/>
      <c r="U68" s="117"/>
      <c r="V68" s="85"/>
      <c r="W68" s="146"/>
      <c r="X68" s="137"/>
      <c r="Y68" s="137"/>
      <c r="Z68" s="137"/>
      <c r="AA68" s="137"/>
      <c r="AB68" s="137"/>
      <c r="AC68" s="137"/>
      <c r="AD68" s="137"/>
      <c r="AE68" s="137"/>
      <c r="AF68" s="141"/>
      <c r="AG68" s="146"/>
      <c r="AH68" s="146"/>
      <c r="AI68" s="146"/>
      <c r="AJ68" s="146"/>
      <c r="AK68" s="146"/>
      <c r="AL68" s="81"/>
      <c r="AM68" s="81"/>
      <c r="AN68" s="152"/>
      <c r="AO68" s="152"/>
      <c r="AP68" s="152"/>
      <c r="AQ68" s="152"/>
      <c r="AR68" s="81"/>
      <c r="AS68" s="81"/>
      <c r="AT68" s="82"/>
      <c r="AU68" s="82"/>
      <c r="AV68" s="176"/>
      <c r="AW68" s="89"/>
      <c r="AX68" s="89"/>
      <c r="AY68" s="89"/>
      <c r="AZ68" s="89"/>
      <c r="BA68" s="89"/>
      <c r="BB68" s="89"/>
      <c r="BC68" s="89"/>
      <c r="BD68" s="89"/>
      <c r="BE68" s="141"/>
      <c r="BF68" s="176"/>
      <c r="BG68" s="176"/>
      <c r="BH68" s="176"/>
      <c r="BI68" s="176"/>
    </row>
    <row r="69" spans="1:61" s="90" customFormat="1">
      <c r="A69" s="83">
        <v>66</v>
      </c>
      <c r="B69" s="85"/>
      <c r="C69" s="84"/>
      <c r="D69" s="112"/>
      <c r="E69" s="112"/>
      <c r="F69" s="112"/>
      <c r="G69" s="290"/>
      <c r="H69" s="280">
        <f t="shared" si="6"/>
        <v>0</v>
      </c>
      <c r="I69" s="280">
        <f t="shared" si="7"/>
        <v>0</v>
      </c>
      <c r="J69" s="280">
        <f t="shared" si="8"/>
        <v>0</v>
      </c>
      <c r="K69" s="120" t="str">
        <f t="shared" si="9"/>
        <v/>
      </c>
      <c r="L69" s="287"/>
      <c r="M69" s="91"/>
      <c r="N69" s="99"/>
      <c r="O69" s="116"/>
      <c r="P69" s="86"/>
      <c r="Q69" s="92"/>
      <c r="R69" s="120">
        <f t="shared" ref="R69:R132" si="10">IFERROR(SUM(F69-D69),"NA")</f>
        <v>0</v>
      </c>
      <c r="S69" s="93"/>
      <c r="T69" s="117"/>
      <c r="U69" s="117"/>
      <c r="V69" s="85"/>
      <c r="W69" s="146"/>
      <c r="X69" s="137"/>
      <c r="Y69" s="137"/>
      <c r="Z69" s="137"/>
      <c r="AA69" s="137"/>
      <c r="AB69" s="137"/>
      <c r="AC69" s="137"/>
      <c r="AD69" s="137"/>
      <c r="AE69" s="137"/>
      <c r="AF69" s="141"/>
      <c r="AG69" s="146"/>
      <c r="AH69" s="146"/>
      <c r="AI69" s="146"/>
      <c r="AJ69" s="146"/>
      <c r="AK69" s="146"/>
      <c r="AL69" s="81"/>
      <c r="AM69" s="81"/>
      <c r="AN69" s="152"/>
      <c r="AO69" s="152"/>
      <c r="AP69" s="152"/>
      <c r="AQ69" s="152"/>
      <c r="AR69" s="81"/>
      <c r="AS69" s="81"/>
      <c r="AT69" s="82"/>
      <c r="AU69" s="82"/>
      <c r="AV69" s="176"/>
      <c r="AW69" s="89"/>
      <c r="AX69" s="89"/>
      <c r="AY69" s="89"/>
      <c r="AZ69" s="89"/>
      <c r="BA69" s="89"/>
      <c r="BB69" s="89"/>
      <c r="BC69" s="89"/>
      <c r="BD69" s="89"/>
      <c r="BE69" s="141"/>
      <c r="BF69" s="176"/>
      <c r="BG69" s="176"/>
      <c r="BH69" s="176"/>
      <c r="BI69" s="176"/>
    </row>
    <row r="70" spans="1:61" s="90" customFormat="1">
      <c r="A70" s="83">
        <v>67</v>
      </c>
      <c r="B70" s="85"/>
      <c r="C70" s="84"/>
      <c r="D70" s="112"/>
      <c r="E70" s="112"/>
      <c r="F70" s="112"/>
      <c r="G70" s="290"/>
      <c r="H70" s="280">
        <f t="shared" si="6"/>
        <v>0</v>
      </c>
      <c r="I70" s="280">
        <f t="shared" si="7"/>
        <v>0</v>
      </c>
      <c r="J70" s="280">
        <f t="shared" si="8"/>
        <v>0</v>
      </c>
      <c r="K70" s="120" t="str">
        <f t="shared" si="9"/>
        <v/>
      </c>
      <c r="L70" s="287"/>
      <c r="M70" s="91"/>
      <c r="N70" s="99"/>
      <c r="O70" s="116"/>
      <c r="P70" s="86"/>
      <c r="Q70" s="92"/>
      <c r="R70" s="120">
        <f t="shared" si="10"/>
        <v>0</v>
      </c>
      <c r="S70" s="93"/>
      <c r="T70" s="117"/>
      <c r="U70" s="117"/>
      <c r="V70" s="85"/>
      <c r="W70" s="146"/>
      <c r="X70" s="137"/>
      <c r="Y70" s="137"/>
      <c r="Z70" s="137"/>
      <c r="AA70" s="137"/>
      <c r="AB70" s="137"/>
      <c r="AC70" s="137"/>
      <c r="AD70" s="137"/>
      <c r="AE70" s="137"/>
      <c r="AF70" s="141"/>
      <c r="AG70" s="146"/>
      <c r="AH70" s="146"/>
      <c r="AI70" s="146"/>
      <c r="AJ70" s="146"/>
      <c r="AK70" s="146"/>
      <c r="AL70" s="81"/>
      <c r="AM70" s="81"/>
      <c r="AN70" s="152"/>
      <c r="AO70" s="152"/>
      <c r="AP70" s="152"/>
      <c r="AQ70" s="152"/>
      <c r="AR70" s="81"/>
      <c r="AS70" s="81"/>
      <c r="AT70" s="82"/>
      <c r="AU70" s="82"/>
      <c r="AV70" s="176"/>
      <c r="AW70" s="89"/>
      <c r="AX70" s="89"/>
      <c r="AY70" s="89"/>
      <c r="AZ70" s="89"/>
      <c r="BA70" s="89"/>
      <c r="BB70" s="89"/>
      <c r="BC70" s="89"/>
      <c r="BD70" s="89"/>
      <c r="BE70" s="141"/>
      <c r="BF70" s="176"/>
      <c r="BG70" s="176"/>
      <c r="BH70" s="176"/>
      <c r="BI70" s="176"/>
    </row>
    <row r="71" spans="1:61" s="90" customFormat="1">
      <c r="A71" s="83">
        <v>68</v>
      </c>
      <c r="B71" s="85"/>
      <c r="C71" s="84"/>
      <c r="D71" s="112"/>
      <c r="E71" s="112"/>
      <c r="F71" s="112"/>
      <c r="G71" s="290"/>
      <c r="H71" s="280">
        <f t="shared" si="6"/>
        <v>0</v>
      </c>
      <c r="I71" s="280">
        <f t="shared" si="7"/>
        <v>0</v>
      </c>
      <c r="J71" s="280">
        <f t="shared" si="8"/>
        <v>0</v>
      </c>
      <c r="K71" s="120" t="str">
        <f t="shared" si="9"/>
        <v/>
      </c>
      <c r="L71" s="287"/>
      <c r="M71" s="91"/>
      <c r="N71" s="99"/>
      <c r="O71" s="116"/>
      <c r="P71" s="86"/>
      <c r="Q71" s="92"/>
      <c r="R71" s="120">
        <f t="shared" si="10"/>
        <v>0</v>
      </c>
      <c r="S71" s="93"/>
      <c r="T71" s="117"/>
      <c r="U71" s="117"/>
      <c r="V71" s="85"/>
      <c r="W71" s="146"/>
      <c r="X71" s="137"/>
      <c r="Y71" s="137"/>
      <c r="Z71" s="137"/>
      <c r="AA71" s="137"/>
      <c r="AB71" s="137"/>
      <c r="AC71" s="137"/>
      <c r="AD71" s="137"/>
      <c r="AE71" s="137"/>
      <c r="AF71" s="141"/>
      <c r="AG71" s="146"/>
      <c r="AH71" s="146"/>
      <c r="AI71" s="146"/>
      <c r="AJ71" s="146"/>
      <c r="AK71" s="146"/>
      <c r="AL71" s="81"/>
      <c r="AM71" s="81"/>
      <c r="AN71" s="152"/>
      <c r="AO71" s="152"/>
      <c r="AP71" s="152"/>
      <c r="AQ71" s="152"/>
      <c r="AR71" s="81"/>
      <c r="AS71" s="81"/>
      <c r="AT71" s="82"/>
      <c r="AU71" s="82"/>
      <c r="AV71" s="176"/>
      <c r="AW71" s="89"/>
      <c r="AX71" s="89"/>
      <c r="AY71" s="89"/>
      <c r="AZ71" s="89"/>
      <c r="BA71" s="89"/>
      <c r="BB71" s="89"/>
      <c r="BC71" s="89"/>
      <c r="BD71" s="89"/>
      <c r="BE71" s="141"/>
      <c r="BF71" s="176"/>
      <c r="BG71" s="176"/>
      <c r="BH71" s="176"/>
      <c r="BI71" s="176"/>
    </row>
    <row r="72" spans="1:61" s="90" customFormat="1">
      <c r="A72" s="83">
        <v>69</v>
      </c>
      <c r="B72" s="85"/>
      <c r="C72" s="84"/>
      <c r="D72" s="112"/>
      <c r="E72" s="112"/>
      <c r="F72" s="112"/>
      <c r="G72" s="290"/>
      <c r="H72" s="280">
        <f t="shared" si="6"/>
        <v>0</v>
      </c>
      <c r="I72" s="280">
        <f t="shared" si="7"/>
        <v>0</v>
      </c>
      <c r="J72" s="280">
        <f t="shared" si="8"/>
        <v>0</v>
      </c>
      <c r="K72" s="120" t="str">
        <f t="shared" si="9"/>
        <v/>
      </c>
      <c r="L72" s="287"/>
      <c r="M72" s="91"/>
      <c r="N72" s="99"/>
      <c r="O72" s="116"/>
      <c r="P72" s="86"/>
      <c r="Q72" s="92"/>
      <c r="R72" s="120">
        <f t="shared" si="10"/>
        <v>0</v>
      </c>
      <c r="S72" s="93"/>
      <c r="T72" s="117"/>
      <c r="U72" s="117"/>
      <c r="V72" s="85"/>
      <c r="W72" s="146"/>
      <c r="X72" s="137"/>
      <c r="Y72" s="137"/>
      <c r="Z72" s="137"/>
      <c r="AA72" s="137"/>
      <c r="AB72" s="137"/>
      <c r="AC72" s="137"/>
      <c r="AD72" s="137"/>
      <c r="AE72" s="137"/>
      <c r="AF72" s="141"/>
      <c r="AG72" s="146"/>
      <c r="AH72" s="146"/>
      <c r="AI72" s="146"/>
      <c r="AJ72" s="146"/>
      <c r="AK72" s="146"/>
      <c r="AL72" s="81"/>
      <c r="AM72" s="81"/>
      <c r="AN72" s="152"/>
      <c r="AO72" s="152"/>
      <c r="AP72" s="152"/>
      <c r="AQ72" s="152"/>
      <c r="AR72" s="81"/>
      <c r="AS72" s="81"/>
      <c r="AT72" s="82"/>
      <c r="AU72" s="82"/>
      <c r="AV72" s="176"/>
      <c r="AW72" s="89"/>
      <c r="AX72" s="89"/>
      <c r="AY72" s="89"/>
      <c r="AZ72" s="89"/>
      <c r="BA72" s="89"/>
      <c r="BB72" s="89"/>
      <c r="BC72" s="89"/>
      <c r="BD72" s="89"/>
      <c r="BE72" s="141"/>
      <c r="BF72" s="176"/>
      <c r="BG72" s="176"/>
      <c r="BH72" s="176"/>
      <c r="BI72" s="176"/>
    </row>
    <row r="73" spans="1:61" s="90" customFormat="1">
      <c r="A73" s="83">
        <v>70</v>
      </c>
      <c r="B73" s="85"/>
      <c r="C73" s="84"/>
      <c r="D73" s="112"/>
      <c r="E73" s="112"/>
      <c r="F73" s="112"/>
      <c r="G73" s="290"/>
      <c r="H73" s="280">
        <f t="shared" si="6"/>
        <v>0</v>
      </c>
      <c r="I73" s="280">
        <f t="shared" si="7"/>
        <v>0</v>
      </c>
      <c r="J73" s="280">
        <f t="shared" si="8"/>
        <v>0</v>
      </c>
      <c r="K73" s="120" t="str">
        <f t="shared" si="9"/>
        <v/>
      </c>
      <c r="L73" s="287"/>
      <c r="M73" s="91"/>
      <c r="N73" s="99"/>
      <c r="O73" s="116"/>
      <c r="P73" s="86"/>
      <c r="Q73" s="92"/>
      <c r="R73" s="120">
        <f t="shared" si="10"/>
        <v>0</v>
      </c>
      <c r="S73" s="93"/>
      <c r="T73" s="117"/>
      <c r="U73" s="117"/>
      <c r="V73" s="85"/>
      <c r="W73" s="146"/>
      <c r="X73" s="137"/>
      <c r="Y73" s="137"/>
      <c r="Z73" s="137"/>
      <c r="AA73" s="137"/>
      <c r="AB73" s="137"/>
      <c r="AC73" s="137"/>
      <c r="AD73" s="137"/>
      <c r="AE73" s="137"/>
      <c r="AF73" s="141"/>
      <c r="AG73" s="146"/>
      <c r="AH73" s="146"/>
      <c r="AI73" s="146"/>
      <c r="AJ73" s="146"/>
      <c r="AK73" s="146"/>
      <c r="AL73" s="81"/>
      <c r="AM73" s="81"/>
      <c r="AN73" s="152"/>
      <c r="AO73" s="152"/>
      <c r="AP73" s="152"/>
      <c r="AQ73" s="152"/>
      <c r="AR73" s="81"/>
      <c r="AS73" s="81"/>
      <c r="AT73" s="82"/>
      <c r="AU73" s="82"/>
      <c r="AV73" s="176"/>
      <c r="AW73" s="89"/>
      <c r="AX73" s="89"/>
      <c r="AY73" s="89"/>
      <c r="AZ73" s="89"/>
      <c r="BA73" s="89"/>
      <c r="BB73" s="89"/>
      <c r="BC73" s="89"/>
      <c r="BD73" s="89"/>
      <c r="BE73" s="141"/>
      <c r="BF73" s="176"/>
      <c r="BG73" s="176"/>
      <c r="BH73" s="176"/>
      <c r="BI73" s="176"/>
    </row>
    <row r="74" spans="1:61" s="90" customFormat="1">
      <c r="A74" s="83">
        <v>71</v>
      </c>
      <c r="B74" s="85"/>
      <c r="C74" s="84"/>
      <c r="D74" s="112"/>
      <c r="E74" s="112"/>
      <c r="F74" s="112"/>
      <c r="G74" s="290"/>
      <c r="H74" s="280">
        <f t="shared" ref="H74:H137" si="11">IF($G74="Attribute","NA",D74)</f>
        <v>0</v>
      </c>
      <c r="I74" s="280">
        <f t="shared" ref="I74:I137" si="12">IF($G74="Attribute","NA",E74)</f>
        <v>0</v>
      </c>
      <c r="J74" s="280">
        <f t="shared" ref="J74:J137" si="13">IF($G74="Attribute","NA",F74)</f>
        <v>0</v>
      </c>
      <c r="K74" s="120" t="str">
        <f t="shared" si="9"/>
        <v/>
      </c>
      <c r="L74" s="287"/>
      <c r="M74" s="91"/>
      <c r="N74" s="99"/>
      <c r="O74" s="116"/>
      <c r="P74" s="86"/>
      <c r="Q74" s="92"/>
      <c r="R74" s="120">
        <f t="shared" si="10"/>
        <v>0</v>
      </c>
      <c r="S74" s="93"/>
      <c r="T74" s="117"/>
      <c r="U74" s="117"/>
      <c r="V74" s="85"/>
      <c r="W74" s="146"/>
      <c r="X74" s="137"/>
      <c r="Y74" s="137"/>
      <c r="Z74" s="137"/>
      <c r="AA74" s="137"/>
      <c r="AB74" s="137"/>
      <c r="AC74" s="137"/>
      <c r="AD74" s="137"/>
      <c r="AE74" s="137"/>
      <c r="AF74" s="141"/>
      <c r="AG74" s="146"/>
      <c r="AH74" s="146"/>
      <c r="AI74" s="146"/>
      <c r="AJ74" s="146"/>
      <c r="AK74" s="146"/>
      <c r="AL74" s="81"/>
      <c r="AM74" s="81"/>
      <c r="AN74" s="152"/>
      <c r="AO74" s="152"/>
      <c r="AP74" s="152"/>
      <c r="AQ74" s="152"/>
      <c r="AR74" s="81"/>
      <c r="AS74" s="81"/>
      <c r="AT74" s="82"/>
      <c r="AU74" s="82"/>
      <c r="AV74" s="176"/>
      <c r="AW74" s="89"/>
      <c r="AX74" s="89"/>
      <c r="AY74" s="89"/>
      <c r="AZ74" s="89"/>
      <c r="BA74" s="89"/>
      <c r="BB74" s="89"/>
      <c r="BC74" s="89"/>
      <c r="BD74" s="89"/>
      <c r="BE74" s="141"/>
      <c r="BF74" s="176"/>
      <c r="BG74" s="176"/>
      <c r="BH74" s="176"/>
      <c r="BI74" s="176"/>
    </row>
    <row r="75" spans="1:61" s="90" customFormat="1">
      <c r="A75" s="83">
        <v>72</v>
      </c>
      <c r="B75" s="85"/>
      <c r="C75" s="84"/>
      <c r="D75" s="112"/>
      <c r="E75" s="112"/>
      <c r="F75" s="112"/>
      <c r="G75" s="290"/>
      <c r="H75" s="280">
        <f t="shared" si="11"/>
        <v>0</v>
      </c>
      <c r="I75" s="280">
        <f t="shared" si="12"/>
        <v>0</v>
      </c>
      <c r="J75" s="280">
        <f t="shared" si="13"/>
        <v>0</v>
      </c>
      <c r="K75" s="120" t="str">
        <f t="shared" si="9"/>
        <v/>
      </c>
      <c r="L75" s="287"/>
      <c r="M75" s="91"/>
      <c r="N75" s="99"/>
      <c r="O75" s="116"/>
      <c r="P75" s="86"/>
      <c r="Q75" s="92"/>
      <c r="R75" s="120">
        <f t="shared" si="10"/>
        <v>0</v>
      </c>
      <c r="S75" s="93"/>
      <c r="T75" s="117"/>
      <c r="U75" s="117"/>
      <c r="V75" s="85"/>
      <c r="W75" s="146"/>
      <c r="X75" s="137"/>
      <c r="Y75" s="137"/>
      <c r="Z75" s="137"/>
      <c r="AA75" s="137"/>
      <c r="AB75" s="137"/>
      <c r="AC75" s="137"/>
      <c r="AD75" s="137"/>
      <c r="AE75" s="137"/>
      <c r="AF75" s="141"/>
      <c r="AG75" s="146"/>
      <c r="AH75" s="146"/>
      <c r="AI75" s="146"/>
      <c r="AJ75" s="146"/>
      <c r="AK75" s="146"/>
      <c r="AL75" s="81"/>
      <c r="AM75" s="81"/>
      <c r="AN75" s="152"/>
      <c r="AO75" s="152"/>
      <c r="AP75" s="152"/>
      <c r="AQ75" s="152"/>
      <c r="AR75" s="81"/>
      <c r="AS75" s="81"/>
      <c r="AT75" s="82"/>
      <c r="AU75" s="82"/>
      <c r="AV75" s="176"/>
      <c r="AW75" s="89"/>
      <c r="AX75" s="89"/>
      <c r="AY75" s="89"/>
      <c r="AZ75" s="89"/>
      <c r="BA75" s="89"/>
      <c r="BB75" s="89"/>
      <c r="BC75" s="89"/>
      <c r="BD75" s="89"/>
      <c r="BE75" s="141"/>
      <c r="BF75" s="176"/>
      <c r="BG75" s="176"/>
      <c r="BH75" s="176"/>
      <c r="BI75" s="176"/>
    </row>
    <row r="76" spans="1:61" s="90" customFormat="1">
      <c r="A76" s="83">
        <v>73</v>
      </c>
      <c r="B76" s="85"/>
      <c r="C76" s="84"/>
      <c r="D76" s="112"/>
      <c r="E76" s="112"/>
      <c r="F76" s="112"/>
      <c r="G76" s="290"/>
      <c r="H76" s="280">
        <f t="shared" si="11"/>
        <v>0</v>
      </c>
      <c r="I76" s="280">
        <f t="shared" si="12"/>
        <v>0</v>
      </c>
      <c r="J76" s="280">
        <f t="shared" si="13"/>
        <v>0</v>
      </c>
      <c r="K76" s="120" t="str">
        <f t="shared" si="9"/>
        <v/>
      </c>
      <c r="L76" s="287"/>
      <c r="M76" s="91"/>
      <c r="N76" s="99"/>
      <c r="O76" s="116"/>
      <c r="P76" s="86"/>
      <c r="Q76" s="92"/>
      <c r="R76" s="120">
        <f t="shared" si="10"/>
        <v>0</v>
      </c>
      <c r="S76" s="93"/>
      <c r="T76" s="117"/>
      <c r="U76" s="117"/>
      <c r="V76" s="85"/>
      <c r="W76" s="146"/>
      <c r="X76" s="137"/>
      <c r="Y76" s="137"/>
      <c r="Z76" s="137"/>
      <c r="AA76" s="137"/>
      <c r="AB76" s="137"/>
      <c r="AC76" s="137"/>
      <c r="AD76" s="137"/>
      <c r="AE76" s="137"/>
      <c r="AF76" s="141"/>
      <c r="AG76" s="146"/>
      <c r="AH76" s="146"/>
      <c r="AI76" s="146"/>
      <c r="AJ76" s="146"/>
      <c r="AK76" s="146"/>
      <c r="AL76" s="81"/>
      <c r="AM76" s="81"/>
      <c r="AN76" s="152"/>
      <c r="AO76" s="152"/>
      <c r="AP76" s="152"/>
      <c r="AQ76" s="152"/>
      <c r="AR76" s="81"/>
      <c r="AS76" s="81"/>
      <c r="AT76" s="82"/>
      <c r="AU76" s="82"/>
      <c r="AV76" s="176"/>
      <c r="AW76" s="89"/>
      <c r="AX76" s="89"/>
      <c r="AY76" s="89"/>
      <c r="AZ76" s="89"/>
      <c r="BA76" s="89"/>
      <c r="BB76" s="89"/>
      <c r="BC76" s="89"/>
      <c r="BD76" s="89"/>
      <c r="BE76" s="141"/>
      <c r="BF76" s="176"/>
      <c r="BG76" s="176"/>
      <c r="BH76" s="176"/>
      <c r="BI76" s="176"/>
    </row>
    <row r="77" spans="1:61" s="90" customFormat="1">
      <c r="A77" s="83">
        <v>74</v>
      </c>
      <c r="B77" s="85"/>
      <c r="C77" s="84"/>
      <c r="D77" s="112"/>
      <c r="E77" s="112"/>
      <c r="F77" s="112"/>
      <c r="G77" s="290"/>
      <c r="H77" s="280">
        <f t="shared" si="11"/>
        <v>0</v>
      </c>
      <c r="I77" s="280">
        <f t="shared" si="12"/>
        <v>0</v>
      </c>
      <c r="J77" s="280">
        <f t="shared" si="13"/>
        <v>0</v>
      </c>
      <c r="K77" s="120" t="str">
        <f t="shared" si="9"/>
        <v/>
      </c>
      <c r="L77" s="287"/>
      <c r="M77" s="91"/>
      <c r="N77" s="99"/>
      <c r="O77" s="116"/>
      <c r="P77" s="86"/>
      <c r="Q77" s="92"/>
      <c r="R77" s="120">
        <f t="shared" si="10"/>
        <v>0</v>
      </c>
      <c r="S77" s="93"/>
      <c r="T77" s="117"/>
      <c r="U77" s="117"/>
      <c r="V77" s="85"/>
      <c r="W77" s="146"/>
      <c r="X77" s="137"/>
      <c r="Y77" s="137"/>
      <c r="Z77" s="137"/>
      <c r="AA77" s="137"/>
      <c r="AB77" s="137"/>
      <c r="AC77" s="137"/>
      <c r="AD77" s="137"/>
      <c r="AE77" s="137"/>
      <c r="AF77" s="141"/>
      <c r="AG77" s="146"/>
      <c r="AH77" s="146"/>
      <c r="AI77" s="146"/>
      <c r="AJ77" s="146"/>
      <c r="AK77" s="146"/>
      <c r="AL77" s="81"/>
      <c r="AM77" s="81"/>
      <c r="AN77" s="152"/>
      <c r="AO77" s="152"/>
      <c r="AP77" s="152"/>
      <c r="AQ77" s="152"/>
      <c r="AR77" s="81"/>
      <c r="AS77" s="81"/>
      <c r="AT77" s="82"/>
      <c r="AU77" s="82"/>
      <c r="AV77" s="176"/>
      <c r="AW77" s="89"/>
      <c r="AX77" s="89"/>
      <c r="AY77" s="89"/>
      <c r="AZ77" s="89"/>
      <c r="BA77" s="89"/>
      <c r="BB77" s="89"/>
      <c r="BC77" s="89"/>
      <c r="BD77" s="89"/>
      <c r="BE77" s="141"/>
      <c r="BF77" s="176"/>
      <c r="BG77" s="176"/>
      <c r="BH77" s="176"/>
      <c r="BI77" s="176"/>
    </row>
    <row r="78" spans="1:61" s="90" customFormat="1">
      <c r="A78" s="83">
        <v>75</v>
      </c>
      <c r="B78" s="85"/>
      <c r="C78" s="84"/>
      <c r="D78" s="112"/>
      <c r="E78" s="112"/>
      <c r="F78" s="112"/>
      <c r="G78" s="290"/>
      <c r="H78" s="280">
        <f t="shared" si="11"/>
        <v>0</v>
      </c>
      <c r="I78" s="280">
        <f t="shared" si="12"/>
        <v>0</v>
      </c>
      <c r="J78" s="280">
        <f t="shared" si="13"/>
        <v>0</v>
      </c>
      <c r="K78" s="120" t="str">
        <f t="shared" si="9"/>
        <v/>
      </c>
      <c r="L78" s="287"/>
      <c r="M78" s="91"/>
      <c r="N78" s="99"/>
      <c r="O78" s="116"/>
      <c r="P78" s="86"/>
      <c r="Q78" s="92"/>
      <c r="R78" s="120">
        <f t="shared" si="10"/>
        <v>0</v>
      </c>
      <c r="S78" s="93"/>
      <c r="T78" s="117"/>
      <c r="U78" s="117"/>
      <c r="V78" s="85"/>
      <c r="W78" s="146"/>
      <c r="X78" s="137"/>
      <c r="Y78" s="137"/>
      <c r="Z78" s="137"/>
      <c r="AA78" s="137"/>
      <c r="AB78" s="137"/>
      <c r="AC78" s="137"/>
      <c r="AD78" s="137"/>
      <c r="AE78" s="137"/>
      <c r="AF78" s="141"/>
      <c r="AG78" s="146"/>
      <c r="AH78" s="146"/>
      <c r="AI78" s="146"/>
      <c r="AJ78" s="146"/>
      <c r="AK78" s="146"/>
      <c r="AL78" s="81"/>
      <c r="AM78" s="81"/>
      <c r="AN78" s="152"/>
      <c r="AO78" s="152"/>
      <c r="AP78" s="152"/>
      <c r="AQ78" s="152"/>
      <c r="AR78" s="81"/>
      <c r="AS78" s="81"/>
      <c r="AT78" s="82"/>
      <c r="AU78" s="82"/>
      <c r="AV78" s="176"/>
      <c r="AW78" s="89"/>
      <c r="AX78" s="89"/>
      <c r="AY78" s="89"/>
      <c r="AZ78" s="89"/>
      <c r="BA78" s="89"/>
      <c r="BB78" s="89"/>
      <c r="BC78" s="89"/>
      <c r="BD78" s="89"/>
      <c r="BE78" s="141"/>
      <c r="BF78" s="176"/>
      <c r="BG78" s="176"/>
      <c r="BH78" s="176"/>
      <c r="BI78" s="176"/>
    </row>
    <row r="79" spans="1:61" s="90" customFormat="1">
      <c r="A79" s="83">
        <v>76</v>
      </c>
      <c r="B79" s="85"/>
      <c r="C79" s="84"/>
      <c r="D79" s="112"/>
      <c r="E79" s="112"/>
      <c r="F79" s="112"/>
      <c r="G79" s="290"/>
      <c r="H79" s="280">
        <f t="shared" si="11"/>
        <v>0</v>
      </c>
      <c r="I79" s="280">
        <f t="shared" si="12"/>
        <v>0</v>
      </c>
      <c r="J79" s="280">
        <f t="shared" si="13"/>
        <v>0</v>
      </c>
      <c r="K79" s="120" t="str">
        <f t="shared" si="9"/>
        <v/>
      </c>
      <c r="L79" s="287"/>
      <c r="M79" s="91"/>
      <c r="N79" s="99"/>
      <c r="O79" s="116"/>
      <c r="P79" s="86"/>
      <c r="Q79" s="92"/>
      <c r="R79" s="120">
        <f t="shared" si="10"/>
        <v>0</v>
      </c>
      <c r="S79" s="93"/>
      <c r="T79" s="117"/>
      <c r="U79" s="117"/>
      <c r="V79" s="85"/>
      <c r="W79" s="146"/>
      <c r="X79" s="137"/>
      <c r="Y79" s="137"/>
      <c r="Z79" s="137"/>
      <c r="AA79" s="137"/>
      <c r="AB79" s="137"/>
      <c r="AC79" s="137"/>
      <c r="AD79" s="137"/>
      <c r="AE79" s="137"/>
      <c r="AF79" s="141"/>
      <c r="AG79" s="146"/>
      <c r="AH79" s="146"/>
      <c r="AI79" s="146"/>
      <c r="AJ79" s="146"/>
      <c r="AK79" s="146"/>
      <c r="AL79" s="81"/>
      <c r="AM79" s="81"/>
      <c r="AN79" s="152"/>
      <c r="AO79" s="152"/>
      <c r="AP79" s="152"/>
      <c r="AQ79" s="152"/>
      <c r="AR79" s="81"/>
      <c r="AS79" s="81"/>
      <c r="AT79" s="82"/>
      <c r="AU79" s="82"/>
      <c r="AV79" s="176"/>
      <c r="AW79" s="89"/>
      <c r="AX79" s="89"/>
      <c r="AY79" s="89"/>
      <c r="AZ79" s="89"/>
      <c r="BA79" s="89"/>
      <c r="BB79" s="89"/>
      <c r="BC79" s="89"/>
      <c r="BD79" s="89"/>
      <c r="BE79" s="141"/>
      <c r="BF79" s="176"/>
      <c r="BG79" s="176"/>
      <c r="BH79" s="176"/>
      <c r="BI79" s="176"/>
    </row>
    <row r="80" spans="1:61" s="90" customFormat="1">
      <c r="A80" s="83">
        <v>77</v>
      </c>
      <c r="B80" s="85"/>
      <c r="C80" s="84"/>
      <c r="D80" s="112"/>
      <c r="E80" s="112"/>
      <c r="F80" s="112"/>
      <c r="G80" s="290"/>
      <c r="H80" s="280">
        <f t="shared" si="11"/>
        <v>0</v>
      </c>
      <c r="I80" s="280">
        <f t="shared" si="12"/>
        <v>0</v>
      </c>
      <c r="J80" s="280">
        <f t="shared" si="13"/>
        <v>0</v>
      </c>
      <c r="K80" s="120" t="str">
        <f t="shared" si="9"/>
        <v/>
      </c>
      <c r="L80" s="287"/>
      <c r="M80" s="91"/>
      <c r="N80" s="99"/>
      <c r="O80" s="116"/>
      <c r="P80" s="86"/>
      <c r="Q80" s="92"/>
      <c r="R80" s="120">
        <f t="shared" si="10"/>
        <v>0</v>
      </c>
      <c r="S80" s="93"/>
      <c r="T80" s="117"/>
      <c r="U80" s="117"/>
      <c r="V80" s="85"/>
      <c r="W80" s="146"/>
      <c r="X80" s="137"/>
      <c r="Y80" s="137"/>
      <c r="Z80" s="137"/>
      <c r="AA80" s="137"/>
      <c r="AB80" s="137"/>
      <c r="AC80" s="137"/>
      <c r="AD80" s="137"/>
      <c r="AE80" s="137"/>
      <c r="AF80" s="141"/>
      <c r="AG80" s="146"/>
      <c r="AH80" s="146"/>
      <c r="AI80" s="146"/>
      <c r="AJ80" s="146"/>
      <c r="AK80" s="146"/>
      <c r="AL80" s="81"/>
      <c r="AM80" s="81"/>
      <c r="AN80" s="152"/>
      <c r="AO80" s="152"/>
      <c r="AP80" s="152"/>
      <c r="AQ80" s="152"/>
      <c r="AR80" s="81"/>
      <c r="AS80" s="81"/>
      <c r="AT80" s="82"/>
      <c r="AU80" s="82"/>
      <c r="AV80" s="176"/>
      <c r="AW80" s="89"/>
      <c r="AX80" s="89"/>
      <c r="AY80" s="89"/>
      <c r="AZ80" s="89"/>
      <c r="BA80" s="89"/>
      <c r="BB80" s="89"/>
      <c r="BC80" s="89"/>
      <c r="BD80" s="89"/>
      <c r="BE80" s="141"/>
      <c r="BF80" s="176"/>
      <c r="BG80" s="176"/>
      <c r="BH80" s="176"/>
      <c r="BI80" s="176"/>
    </row>
    <row r="81" spans="1:61" s="90" customFormat="1">
      <c r="A81" s="83">
        <v>78</v>
      </c>
      <c r="B81" s="85"/>
      <c r="C81" s="84"/>
      <c r="D81" s="112"/>
      <c r="E81" s="112"/>
      <c r="F81" s="112"/>
      <c r="G81" s="290"/>
      <c r="H81" s="280">
        <f t="shared" si="11"/>
        <v>0</v>
      </c>
      <c r="I81" s="280">
        <f t="shared" si="12"/>
        <v>0</v>
      </c>
      <c r="J81" s="280">
        <f t="shared" si="13"/>
        <v>0</v>
      </c>
      <c r="K81" s="120" t="str">
        <f t="shared" si="9"/>
        <v/>
      </c>
      <c r="L81" s="287"/>
      <c r="M81" s="91"/>
      <c r="N81" s="99"/>
      <c r="O81" s="116"/>
      <c r="P81" s="86"/>
      <c r="Q81" s="92"/>
      <c r="R81" s="120">
        <f t="shared" si="10"/>
        <v>0</v>
      </c>
      <c r="S81" s="93"/>
      <c r="T81" s="117"/>
      <c r="U81" s="117"/>
      <c r="V81" s="85"/>
      <c r="W81" s="146"/>
      <c r="X81" s="137"/>
      <c r="Y81" s="137"/>
      <c r="Z81" s="137"/>
      <c r="AA81" s="137"/>
      <c r="AB81" s="137"/>
      <c r="AC81" s="137"/>
      <c r="AD81" s="137"/>
      <c r="AE81" s="137"/>
      <c r="AF81" s="141"/>
      <c r="AG81" s="146"/>
      <c r="AH81" s="146"/>
      <c r="AI81" s="146"/>
      <c r="AJ81" s="146"/>
      <c r="AK81" s="146"/>
      <c r="AL81" s="81"/>
      <c r="AM81" s="81"/>
      <c r="AN81" s="152"/>
      <c r="AO81" s="152"/>
      <c r="AP81" s="152"/>
      <c r="AQ81" s="152"/>
      <c r="AR81" s="81"/>
      <c r="AS81" s="81"/>
      <c r="AT81" s="82"/>
      <c r="AU81" s="82"/>
      <c r="AV81" s="176"/>
      <c r="AW81" s="89"/>
      <c r="AX81" s="89"/>
      <c r="AY81" s="89"/>
      <c r="AZ81" s="89"/>
      <c r="BA81" s="89"/>
      <c r="BB81" s="89"/>
      <c r="BC81" s="89"/>
      <c r="BD81" s="89"/>
      <c r="BE81" s="141"/>
      <c r="BF81" s="176"/>
      <c r="BG81" s="176"/>
      <c r="BH81" s="176"/>
      <c r="BI81" s="176"/>
    </row>
    <row r="82" spans="1:61" s="90" customFormat="1">
      <c r="A82" s="83">
        <v>79</v>
      </c>
      <c r="B82" s="85"/>
      <c r="C82" s="84"/>
      <c r="D82" s="112"/>
      <c r="E82" s="112"/>
      <c r="F82" s="112"/>
      <c r="G82" s="290"/>
      <c r="H82" s="280">
        <f t="shared" si="11"/>
        <v>0</v>
      </c>
      <c r="I82" s="280">
        <f t="shared" si="12"/>
        <v>0</v>
      </c>
      <c r="J82" s="280">
        <f t="shared" si="13"/>
        <v>0</v>
      </c>
      <c r="K82" s="120" t="str">
        <f t="shared" si="9"/>
        <v/>
      </c>
      <c r="L82" s="287"/>
      <c r="M82" s="91"/>
      <c r="N82" s="99"/>
      <c r="O82" s="116"/>
      <c r="P82" s="86"/>
      <c r="Q82" s="92"/>
      <c r="R82" s="120">
        <f t="shared" si="10"/>
        <v>0</v>
      </c>
      <c r="S82" s="93"/>
      <c r="T82" s="117"/>
      <c r="U82" s="117"/>
      <c r="V82" s="85"/>
      <c r="W82" s="146"/>
      <c r="X82" s="137"/>
      <c r="Y82" s="137"/>
      <c r="Z82" s="137"/>
      <c r="AA82" s="137"/>
      <c r="AB82" s="137"/>
      <c r="AC82" s="137"/>
      <c r="AD82" s="137"/>
      <c r="AE82" s="137"/>
      <c r="AF82" s="141"/>
      <c r="AG82" s="146"/>
      <c r="AH82" s="146"/>
      <c r="AI82" s="146"/>
      <c r="AJ82" s="146"/>
      <c r="AK82" s="146"/>
      <c r="AL82" s="81"/>
      <c r="AM82" s="81"/>
      <c r="AN82" s="152"/>
      <c r="AO82" s="152"/>
      <c r="AP82" s="152"/>
      <c r="AQ82" s="152"/>
      <c r="AR82" s="81"/>
      <c r="AS82" s="81"/>
      <c r="AT82" s="82"/>
      <c r="AU82" s="82"/>
      <c r="AV82" s="176"/>
      <c r="AW82" s="89"/>
      <c r="AX82" s="89"/>
      <c r="AY82" s="89"/>
      <c r="AZ82" s="89"/>
      <c r="BA82" s="89"/>
      <c r="BB82" s="89"/>
      <c r="BC82" s="89"/>
      <c r="BD82" s="89"/>
      <c r="BE82" s="141"/>
      <c r="BF82" s="176"/>
      <c r="BG82" s="176"/>
      <c r="BH82" s="176"/>
      <c r="BI82" s="176"/>
    </row>
    <row r="83" spans="1:61" s="90" customFormat="1">
      <c r="A83" s="83">
        <v>80</v>
      </c>
      <c r="B83" s="85"/>
      <c r="C83" s="84"/>
      <c r="D83" s="112"/>
      <c r="E83" s="112"/>
      <c r="F83" s="112"/>
      <c r="G83" s="290"/>
      <c r="H83" s="280">
        <f t="shared" si="11"/>
        <v>0</v>
      </c>
      <c r="I83" s="280">
        <f t="shared" si="12"/>
        <v>0</v>
      </c>
      <c r="J83" s="280">
        <f t="shared" si="13"/>
        <v>0</v>
      </c>
      <c r="K83" s="120" t="str">
        <f t="shared" si="9"/>
        <v/>
      </c>
      <c r="L83" s="287"/>
      <c r="M83" s="91"/>
      <c r="N83" s="99"/>
      <c r="O83" s="116"/>
      <c r="P83" s="86"/>
      <c r="Q83" s="92"/>
      <c r="R83" s="120">
        <f t="shared" si="10"/>
        <v>0</v>
      </c>
      <c r="S83" s="93"/>
      <c r="T83" s="117"/>
      <c r="U83" s="117"/>
      <c r="V83" s="85"/>
      <c r="W83" s="146"/>
      <c r="X83" s="137"/>
      <c r="Y83" s="137"/>
      <c r="Z83" s="137"/>
      <c r="AA83" s="137"/>
      <c r="AB83" s="137"/>
      <c r="AC83" s="137"/>
      <c r="AD83" s="137"/>
      <c r="AE83" s="137"/>
      <c r="AF83" s="141"/>
      <c r="AG83" s="146"/>
      <c r="AH83" s="146"/>
      <c r="AI83" s="146"/>
      <c r="AJ83" s="146"/>
      <c r="AK83" s="146"/>
      <c r="AL83" s="81"/>
      <c r="AM83" s="81"/>
      <c r="AN83" s="152"/>
      <c r="AO83" s="152"/>
      <c r="AP83" s="152"/>
      <c r="AQ83" s="152"/>
      <c r="AR83" s="81"/>
      <c r="AS83" s="81"/>
      <c r="AT83" s="82"/>
      <c r="AU83" s="82"/>
      <c r="AV83" s="176"/>
      <c r="AW83" s="89"/>
      <c r="AX83" s="89"/>
      <c r="AY83" s="89"/>
      <c r="AZ83" s="89"/>
      <c r="BA83" s="89"/>
      <c r="BB83" s="89"/>
      <c r="BC83" s="89"/>
      <c r="BD83" s="89"/>
      <c r="BE83" s="141"/>
      <c r="BF83" s="176"/>
      <c r="BG83" s="176"/>
      <c r="BH83" s="176"/>
      <c r="BI83" s="176"/>
    </row>
    <row r="84" spans="1:61" s="90" customFormat="1">
      <c r="A84" s="83">
        <v>81</v>
      </c>
      <c r="B84" s="85"/>
      <c r="C84" s="84"/>
      <c r="D84" s="112"/>
      <c r="E84" s="112"/>
      <c r="F84" s="112"/>
      <c r="G84" s="290"/>
      <c r="H84" s="280">
        <f t="shared" si="11"/>
        <v>0</v>
      </c>
      <c r="I84" s="280">
        <f t="shared" si="12"/>
        <v>0</v>
      </c>
      <c r="J84" s="280">
        <f t="shared" si="13"/>
        <v>0</v>
      </c>
      <c r="K84" s="120" t="str">
        <f t="shared" si="9"/>
        <v/>
      </c>
      <c r="L84" s="287"/>
      <c r="M84" s="91"/>
      <c r="N84" s="99"/>
      <c r="O84" s="116"/>
      <c r="P84" s="86"/>
      <c r="Q84" s="92"/>
      <c r="R84" s="120">
        <f t="shared" si="10"/>
        <v>0</v>
      </c>
      <c r="S84" s="93"/>
      <c r="T84" s="117"/>
      <c r="U84" s="117"/>
      <c r="V84" s="85"/>
      <c r="W84" s="146"/>
      <c r="X84" s="137"/>
      <c r="Y84" s="137"/>
      <c r="Z84" s="137"/>
      <c r="AA84" s="137"/>
      <c r="AB84" s="137"/>
      <c r="AC84" s="137"/>
      <c r="AD84" s="137"/>
      <c r="AE84" s="137"/>
      <c r="AF84" s="141"/>
      <c r="AG84" s="146"/>
      <c r="AH84" s="146"/>
      <c r="AI84" s="146"/>
      <c r="AJ84" s="146"/>
      <c r="AK84" s="146"/>
      <c r="AL84" s="81"/>
      <c r="AM84" s="81"/>
      <c r="AN84" s="152"/>
      <c r="AO84" s="152"/>
      <c r="AP84" s="152"/>
      <c r="AQ84" s="152"/>
      <c r="AR84" s="81"/>
      <c r="AS84" s="81"/>
      <c r="AT84" s="82"/>
      <c r="AU84" s="82"/>
      <c r="AV84" s="176"/>
      <c r="AW84" s="89"/>
      <c r="AX84" s="89"/>
      <c r="AY84" s="89"/>
      <c r="AZ84" s="89"/>
      <c r="BA84" s="89"/>
      <c r="BB84" s="89"/>
      <c r="BC84" s="89"/>
      <c r="BD84" s="89"/>
      <c r="BE84" s="141"/>
      <c r="BF84" s="176"/>
      <c r="BG84" s="176"/>
      <c r="BH84" s="176"/>
      <c r="BI84" s="176"/>
    </row>
    <row r="85" spans="1:61" s="90" customFormat="1">
      <c r="A85" s="83">
        <v>82</v>
      </c>
      <c r="B85" s="85"/>
      <c r="C85" s="84"/>
      <c r="D85" s="112"/>
      <c r="E85" s="112"/>
      <c r="F85" s="112"/>
      <c r="G85" s="290"/>
      <c r="H85" s="280">
        <f t="shared" si="11"/>
        <v>0</v>
      </c>
      <c r="I85" s="280">
        <f t="shared" si="12"/>
        <v>0</v>
      </c>
      <c r="J85" s="280">
        <f t="shared" si="13"/>
        <v>0</v>
      </c>
      <c r="K85" s="120" t="str">
        <f t="shared" si="9"/>
        <v/>
      </c>
      <c r="L85" s="287"/>
      <c r="M85" s="91"/>
      <c r="N85" s="99"/>
      <c r="O85" s="116"/>
      <c r="P85" s="86"/>
      <c r="Q85" s="92"/>
      <c r="R85" s="120">
        <f t="shared" si="10"/>
        <v>0</v>
      </c>
      <c r="S85" s="93"/>
      <c r="T85" s="117"/>
      <c r="U85" s="117"/>
      <c r="V85" s="85"/>
      <c r="W85" s="146"/>
      <c r="X85" s="137"/>
      <c r="Y85" s="137"/>
      <c r="Z85" s="137"/>
      <c r="AA85" s="137"/>
      <c r="AB85" s="137"/>
      <c r="AC85" s="137"/>
      <c r="AD85" s="137"/>
      <c r="AE85" s="137"/>
      <c r="AF85" s="141"/>
      <c r="AG85" s="146"/>
      <c r="AH85" s="146"/>
      <c r="AI85" s="146"/>
      <c r="AJ85" s="146"/>
      <c r="AK85" s="146"/>
      <c r="AL85" s="81"/>
      <c r="AM85" s="81"/>
      <c r="AN85" s="152"/>
      <c r="AO85" s="152"/>
      <c r="AP85" s="152"/>
      <c r="AQ85" s="152"/>
      <c r="AR85" s="81"/>
      <c r="AS85" s="81"/>
      <c r="AT85" s="82"/>
      <c r="AU85" s="82"/>
      <c r="AV85" s="176"/>
      <c r="AW85" s="89"/>
      <c r="AX85" s="89"/>
      <c r="AY85" s="89"/>
      <c r="AZ85" s="89"/>
      <c r="BA85" s="89"/>
      <c r="BB85" s="89"/>
      <c r="BC85" s="89"/>
      <c r="BD85" s="89"/>
      <c r="BE85" s="141"/>
      <c r="BF85" s="176"/>
      <c r="BG85" s="176"/>
      <c r="BH85" s="176"/>
      <c r="BI85" s="176"/>
    </row>
    <row r="86" spans="1:61" s="90" customFormat="1">
      <c r="A86" s="83">
        <v>83</v>
      </c>
      <c r="B86" s="85"/>
      <c r="C86" s="84"/>
      <c r="D86" s="112"/>
      <c r="E86" s="112"/>
      <c r="F86" s="112"/>
      <c r="G86" s="290"/>
      <c r="H86" s="280">
        <f t="shared" si="11"/>
        <v>0</v>
      </c>
      <c r="I86" s="280">
        <f t="shared" si="12"/>
        <v>0</v>
      </c>
      <c r="J86" s="280">
        <f t="shared" si="13"/>
        <v>0</v>
      </c>
      <c r="K86" s="120" t="str">
        <f t="shared" si="9"/>
        <v/>
      </c>
      <c r="L86" s="287"/>
      <c r="M86" s="91"/>
      <c r="N86" s="99"/>
      <c r="O86" s="116"/>
      <c r="P86" s="86"/>
      <c r="Q86" s="92"/>
      <c r="R86" s="120">
        <f t="shared" si="10"/>
        <v>0</v>
      </c>
      <c r="S86" s="93"/>
      <c r="T86" s="117"/>
      <c r="U86" s="117"/>
      <c r="V86" s="85"/>
      <c r="W86" s="146"/>
      <c r="X86" s="137"/>
      <c r="Y86" s="137"/>
      <c r="Z86" s="137"/>
      <c r="AA86" s="137"/>
      <c r="AB86" s="137"/>
      <c r="AC86" s="137"/>
      <c r="AD86" s="137"/>
      <c r="AE86" s="137"/>
      <c r="AF86" s="141"/>
      <c r="AG86" s="146"/>
      <c r="AH86" s="146"/>
      <c r="AI86" s="146"/>
      <c r="AJ86" s="146"/>
      <c r="AK86" s="146"/>
      <c r="AL86" s="81"/>
      <c r="AM86" s="81"/>
      <c r="AN86" s="152"/>
      <c r="AO86" s="152"/>
      <c r="AP86" s="152"/>
      <c r="AQ86" s="152"/>
      <c r="AR86" s="81"/>
      <c r="AS86" s="81"/>
      <c r="AT86" s="82"/>
      <c r="AU86" s="82"/>
      <c r="AV86" s="176"/>
      <c r="AW86" s="89"/>
      <c r="AX86" s="89"/>
      <c r="AY86" s="89"/>
      <c r="AZ86" s="89"/>
      <c r="BA86" s="89"/>
      <c r="BB86" s="89"/>
      <c r="BC86" s="89"/>
      <c r="BD86" s="89"/>
      <c r="BE86" s="141"/>
      <c r="BF86" s="176"/>
      <c r="BG86" s="176"/>
      <c r="BH86" s="176"/>
      <c r="BI86" s="176"/>
    </row>
    <row r="87" spans="1:61" s="90" customFormat="1">
      <c r="A87" s="83">
        <v>84</v>
      </c>
      <c r="B87" s="85"/>
      <c r="C87" s="84"/>
      <c r="D87" s="112"/>
      <c r="E87" s="112"/>
      <c r="F87" s="112"/>
      <c r="G87" s="290"/>
      <c r="H87" s="280">
        <f t="shared" si="11"/>
        <v>0</v>
      </c>
      <c r="I87" s="280">
        <f t="shared" si="12"/>
        <v>0</v>
      </c>
      <c r="J87" s="280">
        <f t="shared" si="13"/>
        <v>0</v>
      </c>
      <c r="K87" s="120" t="str">
        <f t="shared" si="9"/>
        <v/>
      </c>
      <c r="L87" s="287"/>
      <c r="M87" s="91"/>
      <c r="N87" s="99"/>
      <c r="O87" s="116"/>
      <c r="P87" s="86"/>
      <c r="Q87" s="92"/>
      <c r="R87" s="120">
        <f t="shared" si="10"/>
        <v>0</v>
      </c>
      <c r="S87" s="93"/>
      <c r="T87" s="117"/>
      <c r="U87" s="117"/>
      <c r="V87" s="85"/>
      <c r="W87" s="146"/>
      <c r="X87" s="137"/>
      <c r="Y87" s="137"/>
      <c r="Z87" s="137"/>
      <c r="AA87" s="137"/>
      <c r="AB87" s="137"/>
      <c r="AC87" s="137"/>
      <c r="AD87" s="137"/>
      <c r="AE87" s="137"/>
      <c r="AF87" s="141"/>
      <c r="AG87" s="146"/>
      <c r="AH87" s="146"/>
      <c r="AI87" s="146"/>
      <c r="AJ87" s="146"/>
      <c r="AK87" s="146"/>
      <c r="AL87" s="81"/>
      <c r="AM87" s="81"/>
      <c r="AN87" s="152"/>
      <c r="AO87" s="152"/>
      <c r="AP87" s="152"/>
      <c r="AQ87" s="152"/>
      <c r="AR87" s="81"/>
      <c r="AS87" s="81"/>
      <c r="AT87" s="82"/>
      <c r="AU87" s="82"/>
      <c r="AV87" s="176"/>
      <c r="AW87" s="89"/>
      <c r="AX87" s="89"/>
      <c r="AY87" s="89"/>
      <c r="AZ87" s="89"/>
      <c r="BA87" s="89"/>
      <c r="BB87" s="89"/>
      <c r="BC87" s="89"/>
      <c r="BD87" s="89"/>
      <c r="BE87" s="141"/>
      <c r="BF87" s="176"/>
      <c r="BG87" s="176"/>
      <c r="BH87" s="176"/>
      <c r="BI87" s="176"/>
    </row>
    <row r="88" spans="1:61" s="90" customFormat="1">
      <c r="A88" s="83">
        <v>85</v>
      </c>
      <c r="B88" s="85"/>
      <c r="C88" s="84"/>
      <c r="D88" s="112"/>
      <c r="E88" s="112"/>
      <c r="F88" s="112"/>
      <c r="G88" s="290"/>
      <c r="H88" s="280">
        <f t="shared" si="11"/>
        <v>0</v>
      </c>
      <c r="I88" s="280">
        <f t="shared" si="12"/>
        <v>0</v>
      </c>
      <c r="J88" s="280">
        <f t="shared" si="13"/>
        <v>0</v>
      </c>
      <c r="K88" s="120" t="str">
        <f t="shared" si="9"/>
        <v/>
      </c>
      <c r="L88" s="287"/>
      <c r="M88" s="91"/>
      <c r="N88" s="99"/>
      <c r="O88" s="116"/>
      <c r="P88" s="86"/>
      <c r="Q88" s="92"/>
      <c r="R88" s="120">
        <f t="shared" si="10"/>
        <v>0</v>
      </c>
      <c r="S88" s="93"/>
      <c r="T88" s="117"/>
      <c r="U88" s="117"/>
      <c r="V88" s="85"/>
      <c r="W88" s="146"/>
      <c r="X88" s="137"/>
      <c r="Y88" s="137"/>
      <c r="Z88" s="137"/>
      <c r="AA88" s="137"/>
      <c r="AB88" s="137"/>
      <c r="AC88" s="137"/>
      <c r="AD88" s="137"/>
      <c r="AE88" s="137"/>
      <c r="AF88" s="141"/>
      <c r="AG88" s="146"/>
      <c r="AH88" s="146"/>
      <c r="AI88" s="146"/>
      <c r="AJ88" s="146"/>
      <c r="AK88" s="146"/>
      <c r="AL88" s="81"/>
      <c r="AM88" s="81"/>
      <c r="AN88" s="152"/>
      <c r="AO88" s="152"/>
      <c r="AP88" s="152"/>
      <c r="AQ88" s="152"/>
      <c r="AR88" s="81"/>
      <c r="AS88" s="81"/>
      <c r="AT88" s="82"/>
      <c r="AU88" s="82"/>
      <c r="AV88" s="176"/>
      <c r="AW88" s="89"/>
      <c r="AX88" s="89"/>
      <c r="AY88" s="89"/>
      <c r="AZ88" s="89"/>
      <c r="BA88" s="89"/>
      <c r="BB88" s="89"/>
      <c r="BC88" s="89"/>
      <c r="BD88" s="89"/>
      <c r="BE88" s="141"/>
      <c r="BF88" s="176"/>
      <c r="BG88" s="176"/>
      <c r="BH88" s="176"/>
      <c r="BI88" s="176"/>
    </row>
    <row r="89" spans="1:61" s="90" customFormat="1">
      <c r="A89" s="83">
        <v>86</v>
      </c>
      <c r="B89" s="85"/>
      <c r="C89" s="84"/>
      <c r="D89" s="112"/>
      <c r="E89" s="112"/>
      <c r="F89" s="112"/>
      <c r="G89" s="290"/>
      <c r="H89" s="280">
        <f t="shared" si="11"/>
        <v>0</v>
      </c>
      <c r="I89" s="280">
        <f t="shared" si="12"/>
        <v>0</v>
      </c>
      <c r="J89" s="280">
        <f t="shared" si="13"/>
        <v>0</v>
      </c>
      <c r="K89" s="120" t="str">
        <f t="shared" si="9"/>
        <v/>
      </c>
      <c r="L89" s="287"/>
      <c r="M89" s="91"/>
      <c r="N89" s="99"/>
      <c r="O89" s="116"/>
      <c r="P89" s="86"/>
      <c r="Q89" s="92"/>
      <c r="R89" s="120">
        <f t="shared" si="10"/>
        <v>0</v>
      </c>
      <c r="S89" s="93"/>
      <c r="T89" s="117"/>
      <c r="U89" s="117"/>
      <c r="V89" s="85"/>
      <c r="W89" s="146"/>
      <c r="X89" s="137"/>
      <c r="Y89" s="137"/>
      <c r="Z89" s="137"/>
      <c r="AA89" s="137"/>
      <c r="AB89" s="137"/>
      <c r="AC89" s="137"/>
      <c r="AD89" s="137"/>
      <c r="AE89" s="137"/>
      <c r="AF89" s="141"/>
      <c r="AG89" s="146"/>
      <c r="AH89" s="146"/>
      <c r="AI89" s="146"/>
      <c r="AJ89" s="146"/>
      <c r="AK89" s="146"/>
      <c r="AL89" s="81"/>
      <c r="AM89" s="81"/>
      <c r="AN89" s="152"/>
      <c r="AO89" s="152"/>
      <c r="AP89" s="152"/>
      <c r="AQ89" s="152"/>
      <c r="AR89" s="81"/>
      <c r="AS89" s="81"/>
      <c r="AT89" s="82"/>
      <c r="AU89" s="82"/>
      <c r="AV89" s="176"/>
      <c r="AW89" s="89"/>
      <c r="AX89" s="89"/>
      <c r="AY89" s="89"/>
      <c r="AZ89" s="89"/>
      <c r="BA89" s="89"/>
      <c r="BB89" s="89"/>
      <c r="BC89" s="89"/>
      <c r="BD89" s="89"/>
      <c r="BE89" s="141"/>
      <c r="BF89" s="176"/>
      <c r="BG89" s="176"/>
      <c r="BH89" s="176"/>
      <c r="BI89" s="176"/>
    </row>
    <row r="90" spans="1:61" s="90" customFormat="1">
      <c r="A90" s="83">
        <v>87</v>
      </c>
      <c r="B90" s="85"/>
      <c r="C90" s="84"/>
      <c r="D90" s="112"/>
      <c r="E90" s="112"/>
      <c r="F90" s="112"/>
      <c r="G90" s="290"/>
      <c r="H90" s="280">
        <f t="shared" si="11"/>
        <v>0</v>
      </c>
      <c r="I90" s="280">
        <f t="shared" si="12"/>
        <v>0</v>
      </c>
      <c r="J90" s="280">
        <f t="shared" si="13"/>
        <v>0</v>
      </c>
      <c r="K90" s="120" t="str">
        <f t="shared" si="9"/>
        <v/>
      </c>
      <c r="L90" s="287"/>
      <c r="M90" s="91"/>
      <c r="N90" s="99"/>
      <c r="O90" s="116"/>
      <c r="P90" s="86"/>
      <c r="Q90" s="92"/>
      <c r="R90" s="120">
        <f t="shared" si="10"/>
        <v>0</v>
      </c>
      <c r="S90" s="93"/>
      <c r="T90" s="117"/>
      <c r="U90" s="117"/>
      <c r="V90" s="85"/>
      <c r="W90" s="146"/>
      <c r="X90" s="137"/>
      <c r="Y90" s="137"/>
      <c r="Z90" s="137"/>
      <c r="AA90" s="137"/>
      <c r="AB90" s="137"/>
      <c r="AC90" s="137"/>
      <c r="AD90" s="137"/>
      <c r="AE90" s="137"/>
      <c r="AF90" s="141"/>
      <c r="AG90" s="146"/>
      <c r="AH90" s="146"/>
      <c r="AI90" s="146"/>
      <c r="AJ90" s="146"/>
      <c r="AK90" s="146"/>
      <c r="AL90" s="81"/>
      <c r="AM90" s="81"/>
      <c r="AN90" s="152"/>
      <c r="AO90" s="152"/>
      <c r="AP90" s="152"/>
      <c r="AQ90" s="152"/>
      <c r="AR90" s="81"/>
      <c r="AS90" s="81"/>
      <c r="AT90" s="82"/>
      <c r="AU90" s="82"/>
      <c r="AV90" s="176"/>
      <c r="AW90" s="89"/>
      <c r="AX90" s="89"/>
      <c r="AY90" s="89"/>
      <c r="AZ90" s="89"/>
      <c r="BA90" s="89"/>
      <c r="BB90" s="89"/>
      <c r="BC90" s="89"/>
      <c r="BD90" s="89"/>
      <c r="BE90" s="141"/>
      <c r="BF90" s="176"/>
      <c r="BG90" s="176"/>
      <c r="BH90" s="176"/>
      <c r="BI90" s="176"/>
    </row>
    <row r="91" spans="1:61" s="90" customFormat="1">
      <c r="A91" s="83">
        <v>88</v>
      </c>
      <c r="B91" s="85"/>
      <c r="C91" s="84"/>
      <c r="D91" s="112"/>
      <c r="E91" s="112"/>
      <c r="F91" s="112"/>
      <c r="G91" s="290"/>
      <c r="H91" s="280">
        <f t="shared" si="11"/>
        <v>0</v>
      </c>
      <c r="I91" s="280">
        <f t="shared" si="12"/>
        <v>0</v>
      </c>
      <c r="J91" s="280">
        <f t="shared" si="13"/>
        <v>0</v>
      </c>
      <c r="K91" s="120" t="str">
        <f t="shared" si="9"/>
        <v/>
      </c>
      <c r="L91" s="287"/>
      <c r="M91" s="91"/>
      <c r="N91" s="99"/>
      <c r="O91" s="116"/>
      <c r="P91" s="86"/>
      <c r="Q91" s="92"/>
      <c r="R91" s="120">
        <f t="shared" si="10"/>
        <v>0</v>
      </c>
      <c r="S91" s="93"/>
      <c r="T91" s="117"/>
      <c r="U91" s="117"/>
      <c r="V91" s="85"/>
      <c r="W91" s="146"/>
      <c r="X91" s="137"/>
      <c r="Y91" s="137"/>
      <c r="Z91" s="137"/>
      <c r="AA91" s="137"/>
      <c r="AB91" s="137"/>
      <c r="AC91" s="137"/>
      <c r="AD91" s="137"/>
      <c r="AE91" s="137"/>
      <c r="AF91" s="141"/>
      <c r="AG91" s="146"/>
      <c r="AH91" s="146"/>
      <c r="AI91" s="146"/>
      <c r="AJ91" s="146"/>
      <c r="AK91" s="146"/>
      <c r="AL91" s="81"/>
      <c r="AM91" s="81"/>
      <c r="AN91" s="152"/>
      <c r="AO91" s="152"/>
      <c r="AP91" s="152"/>
      <c r="AQ91" s="152"/>
      <c r="AR91" s="81"/>
      <c r="AS91" s="81"/>
      <c r="AT91" s="82"/>
      <c r="AU91" s="82"/>
      <c r="AV91" s="176"/>
      <c r="AW91" s="89"/>
      <c r="AX91" s="89"/>
      <c r="AY91" s="89"/>
      <c r="AZ91" s="89"/>
      <c r="BA91" s="89"/>
      <c r="BB91" s="89"/>
      <c r="BC91" s="89"/>
      <c r="BD91" s="89"/>
      <c r="BE91" s="141"/>
      <c r="BF91" s="176"/>
      <c r="BG91" s="176"/>
      <c r="BH91" s="176"/>
      <c r="BI91" s="176"/>
    </row>
    <row r="92" spans="1:61" s="90" customFormat="1">
      <c r="A92" s="83">
        <v>89</v>
      </c>
      <c r="B92" s="85"/>
      <c r="C92" s="84"/>
      <c r="D92" s="112"/>
      <c r="E92" s="112"/>
      <c r="F92" s="112"/>
      <c r="G92" s="290"/>
      <c r="H92" s="280">
        <f t="shared" si="11"/>
        <v>0</v>
      </c>
      <c r="I92" s="280">
        <f t="shared" si="12"/>
        <v>0</v>
      </c>
      <c r="J92" s="280">
        <f t="shared" si="13"/>
        <v>0</v>
      </c>
      <c r="K92" s="120" t="str">
        <f t="shared" si="9"/>
        <v/>
      </c>
      <c r="L92" s="287"/>
      <c r="M92" s="91"/>
      <c r="N92" s="99"/>
      <c r="O92" s="116"/>
      <c r="P92" s="86"/>
      <c r="Q92" s="92"/>
      <c r="R92" s="120">
        <f t="shared" si="10"/>
        <v>0</v>
      </c>
      <c r="S92" s="93"/>
      <c r="T92" s="117"/>
      <c r="U92" s="117"/>
      <c r="V92" s="85"/>
      <c r="W92" s="146"/>
      <c r="X92" s="137"/>
      <c r="Y92" s="137"/>
      <c r="Z92" s="137"/>
      <c r="AA92" s="137"/>
      <c r="AB92" s="137"/>
      <c r="AC92" s="137"/>
      <c r="AD92" s="137"/>
      <c r="AE92" s="137"/>
      <c r="AF92" s="141"/>
      <c r="AG92" s="146"/>
      <c r="AH92" s="146"/>
      <c r="AI92" s="146"/>
      <c r="AJ92" s="146"/>
      <c r="AK92" s="146"/>
      <c r="AL92" s="81"/>
      <c r="AM92" s="81"/>
      <c r="AN92" s="152"/>
      <c r="AO92" s="152"/>
      <c r="AP92" s="152"/>
      <c r="AQ92" s="152"/>
      <c r="AR92" s="81"/>
      <c r="AS92" s="81"/>
      <c r="AT92" s="82"/>
      <c r="AU92" s="82"/>
      <c r="AV92" s="176"/>
      <c r="AW92" s="89"/>
      <c r="AX92" s="89"/>
      <c r="AY92" s="89"/>
      <c r="AZ92" s="89"/>
      <c r="BA92" s="89"/>
      <c r="BB92" s="89"/>
      <c r="BC92" s="89"/>
      <c r="BD92" s="89"/>
      <c r="BE92" s="141"/>
      <c r="BF92" s="176"/>
      <c r="BG92" s="176"/>
      <c r="BH92" s="176"/>
      <c r="BI92" s="176"/>
    </row>
    <row r="93" spans="1:61" s="90" customFormat="1">
      <c r="A93" s="83">
        <v>90</v>
      </c>
      <c r="B93" s="85"/>
      <c r="C93" s="84"/>
      <c r="D93" s="112"/>
      <c r="E93" s="112"/>
      <c r="F93" s="112"/>
      <c r="G93" s="290"/>
      <c r="H93" s="280">
        <f t="shared" si="11"/>
        <v>0</v>
      </c>
      <c r="I93" s="280">
        <f t="shared" si="12"/>
        <v>0</v>
      </c>
      <c r="J93" s="280">
        <f t="shared" si="13"/>
        <v>0</v>
      </c>
      <c r="K93" s="120" t="str">
        <f t="shared" si="9"/>
        <v/>
      </c>
      <c r="L93" s="287"/>
      <c r="M93" s="91"/>
      <c r="N93" s="99"/>
      <c r="O93" s="116"/>
      <c r="P93" s="86"/>
      <c r="Q93" s="92"/>
      <c r="R93" s="120">
        <f t="shared" si="10"/>
        <v>0</v>
      </c>
      <c r="S93" s="93"/>
      <c r="T93" s="117"/>
      <c r="U93" s="117"/>
      <c r="V93" s="85"/>
      <c r="W93" s="146"/>
      <c r="X93" s="137"/>
      <c r="Y93" s="137"/>
      <c r="Z93" s="137"/>
      <c r="AA93" s="137"/>
      <c r="AB93" s="137"/>
      <c r="AC93" s="137"/>
      <c r="AD93" s="137"/>
      <c r="AE93" s="137"/>
      <c r="AF93" s="141"/>
      <c r="AG93" s="146"/>
      <c r="AH93" s="146"/>
      <c r="AI93" s="146"/>
      <c r="AJ93" s="146"/>
      <c r="AK93" s="146"/>
      <c r="AL93" s="81"/>
      <c r="AM93" s="81"/>
      <c r="AN93" s="152"/>
      <c r="AO93" s="152"/>
      <c r="AP93" s="152"/>
      <c r="AQ93" s="152"/>
      <c r="AR93" s="81"/>
      <c r="AS93" s="81"/>
      <c r="AT93" s="82"/>
      <c r="AU93" s="82"/>
      <c r="AV93" s="176"/>
      <c r="AW93" s="89"/>
      <c r="AX93" s="89"/>
      <c r="AY93" s="89"/>
      <c r="AZ93" s="89"/>
      <c r="BA93" s="89"/>
      <c r="BB93" s="89"/>
      <c r="BC93" s="89"/>
      <c r="BD93" s="89"/>
      <c r="BE93" s="141"/>
      <c r="BF93" s="176"/>
      <c r="BG93" s="176"/>
      <c r="BH93" s="176"/>
      <c r="BI93" s="176"/>
    </row>
    <row r="94" spans="1:61" s="90" customFormat="1">
      <c r="A94" s="83">
        <v>91</v>
      </c>
      <c r="B94" s="85"/>
      <c r="C94" s="84"/>
      <c r="D94" s="112"/>
      <c r="E94" s="112"/>
      <c r="F94" s="112"/>
      <c r="G94" s="290"/>
      <c r="H94" s="280">
        <f t="shared" si="11"/>
        <v>0</v>
      </c>
      <c r="I94" s="280">
        <f t="shared" si="12"/>
        <v>0</v>
      </c>
      <c r="J94" s="280">
        <f t="shared" si="13"/>
        <v>0</v>
      </c>
      <c r="K94" s="120" t="str">
        <f t="shared" si="9"/>
        <v/>
      </c>
      <c r="L94" s="287"/>
      <c r="M94" s="91"/>
      <c r="N94" s="99"/>
      <c r="O94" s="116"/>
      <c r="P94" s="86"/>
      <c r="Q94" s="92"/>
      <c r="R94" s="120">
        <f t="shared" si="10"/>
        <v>0</v>
      </c>
      <c r="S94" s="93"/>
      <c r="T94" s="117"/>
      <c r="U94" s="117"/>
      <c r="V94" s="85"/>
      <c r="W94" s="146"/>
      <c r="X94" s="137"/>
      <c r="Y94" s="137"/>
      <c r="Z94" s="137"/>
      <c r="AA94" s="137"/>
      <c r="AB94" s="137"/>
      <c r="AC94" s="137"/>
      <c r="AD94" s="137"/>
      <c r="AE94" s="137"/>
      <c r="AF94" s="141"/>
      <c r="AG94" s="146"/>
      <c r="AH94" s="146"/>
      <c r="AI94" s="146"/>
      <c r="AJ94" s="146"/>
      <c r="AK94" s="146"/>
      <c r="AL94" s="81"/>
      <c r="AM94" s="81"/>
      <c r="AN94" s="152"/>
      <c r="AO94" s="152"/>
      <c r="AP94" s="152"/>
      <c r="AQ94" s="152"/>
      <c r="AR94" s="81"/>
      <c r="AS94" s="81"/>
      <c r="AT94" s="82"/>
      <c r="AU94" s="82"/>
      <c r="AV94" s="176"/>
      <c r="AW94" s="89"/>
      <c r="AX94" s="89"/>
      <c r="AY94" s="89"/>
      <c r="AZ94" s="89"/>
      <c r="BA94" s="89"/>
      <c r="BB94" s="89"/>
      <c r="BC94" s="89"/>
      <c r="BD94" s="89"/>
      <c r="BE94" s="141"/>
      <c r="BF94" s="176"/>
      <c r="BG94" s="176"/>
      <c r="BH94" s="176"/>
      <c r="BI94" s="176"/>
    </row>
    <row r="95" spans="1:61" s="90" customFormat="1">
      <c r="A95" s="83">
        <v>92</v>
      </c>
      <c r="B95" s="85"/>
      <c r="C95" s="84"/>
      <c r="D95" s="112"/>
      <c r="E95" s="112"/>
      <c r="F95" s="112"/>
      <c r="G95" s="290"/>
      <c r="H95" s="280">
        <f t="shared" si="11"/>
        <v>0</v>
      </c>
      <c r="I95" s="280">
        <f t="shared" si="12"/>
        <v>0</v>
      </c>
      <c r="J95" s="280">
        <f t="shared" si="13"/>
        <v>0</v>
      </c>
      <c r="K95" s="120" t="str">
        <f t="shared" si="9"/>
        <v/>
      </c>
      <c r="L95" s="287"/>
      <c r="M95" s="91"/>
      <c r="N95" s="99"/>
      <c r="O95" s="116"/>
      <c r="P95" s="86"/>
      <c r="Q95" s="92"/>
      <c r="R95" s="120">
        <f t="shared" si="10"/>
        <v>0</v>
      </c>
      <c r="S95" s="93"/>
      <c r="T95" s="117"/>
      <c r="U95" s="117"/>
      <c r="V95" s="85"/>
      <c r="W95" s="146"/>
      <c r="X95" s="137"/>
      <c r="Y95" s="137"/>
      <c r="Z95" s="137"/>
      <c r="AA95" s="137"/>
      <c r="AB95" s="137"/>
      <c r="AC95" s="137"/>
      <c r="AD95" s="137"/>
      <c r="AE95" s="137"/>
      <c r="AF95" s="141"/>
      <c r="AG95" s="146"/>
      <c r="AH95" s="146"/>
      <c r="AI95" s="146"/>
      <c r="AJ95" s="146"/>
      <c r="AK95" s="146"/>
      <c r="AL95" s="81"/>
      <c r="AM95" s="81"/>
      <c r="AN95" s="152"/>
      <c r="AO95" s="152"/>
      <c r="AP95" s="152"/>
      <c r="AQ95" s="152"/>
      <c r="AR95" s="81"/>
      <c r="AS95" s="81"/>
      <c r="AT95" s="82"/>
      <c r="AU95" s="82"/>
      <c r="AV95" s="176"/>
      <c r="AW95" s="89"/>
      <c r="AX95" s="89"/>
      <c r="AY95" s="89"/>
      <c r="AZ95" s="89"/>
      <c r="BA95" s="89"/>
      <c r="BB95" s="89"/>
      <c r="BC95" s="89"/>
      <c r="BD95" s="89"/>
      <c r="BE95" s="141"/>
      <c r="BF95" s="176"/>
      <c r="BG95" s="176"/>
      <c r="BH95" s="176"/>
      <c r="BI95" s="176"/>
    </row>
    <row r="96" spans="1:61" s="90" customFormat="1">
      <c r="A96" s="83">
        <v>93</v>
      </c>
      <c r="B96" s="85"/>
      <c r="C96" s="84"/>
      <c r="D96" s="112"/>
      <c r="E96" s="112"/>
      <c r="F96" s="112"/>
      <c r="G96" s="290"/>
      <c r="H96" s="280">
        <f t="shared" si="11"/>
        <v>0</v>
      </c>
      <c r="I96" s="280">
        <f t="shared" si="12"/>
        <v>0</v>
      </c>
      <c r="J96" s="280">
        <f t="shared" si="13"/>
        <v>0</v>
      </c>
      <c r="K96" s="120" t="str">
        <f t="shared" si="9"/>
        <v/>
      </c>
      <c r="L96" s="287"/>
      <c r="M96" s="91"/>
      <c r="N96" s="99"/>
      <c r="O96" s="116"/>
      <c r="P96" s="86"/>
      <c r="Q96" s="92"/>
      <c r="R96" s="120">
        <f t="shared" si="10"/>
        <v>0</v>
      </c>
      <c r="S96" s="93"/>
      <c r="T96" s="117"/>
      <c r="U96" s="117"/>
      <c r="V96" s="85"/>
      <c r="W96" s="146"/>
      <c r="X96" s="137"/>
      <c r="Y96" s="137"/>
      <c r="Z96" s="137"/>
      <c r="AA96" s="137"/>
      <c r="AB96" s="137"/>
      <c r="AC96" s="137"/>
      <c r="AD96" s="137"/>
      <c r="AE96" s="137"/>
      <c r="AF96" s="141"/>
      <c r="AG96" s="146"/>
      <c r="AH96" s="146"/>
      <c r="AI96" s="146"/>
      <c r="AJ96" s="146"/>
      <c r="AK96" s="146"/>
      <c r="AL96" s="81"/>
      <c r="AM96" s="81"/>
      <c r="AN96" s="152"/>
      <c r="AO96" s="152"/>
      <c r="AP96" s="152"/>
      <c r="AQ96" s="152"/>
      <c r="AR96" s="81"/>
      <c r="AS96" s="81"/>
      <c r="AT96" s="82"/>
      <c r="AU96" s="82"/>
      <c r="AV96" s="176"/>
      <c r="AW96" s="89"/>
      <c r="AX96" s="89"/>
      <c r="AY96" s="89"/>
      <c r="AZ96" s="89"/>
      <c r="BA96" s="89"/>
      <c r="BB96" s="89"/>
      <c r="BC96" s="89"/>
      <c r="BD96" s="89"/>
      <c r="BE96" s="141"/>
      <c r="BF96" s="176"/>
      <c r="BG96" s="176"/>
      <c r="BH96" s="176"/>
      <c r="BI96" s="176"/>
    </row>
    <row r="97" spans="1:61" s="90" customFormat="1">
      <c r="A97" s="83">
        <v>94</v>
      </c>
      <c r="B97" s="85"/>
      <c r="C97" s="84"/>
      <c r="D97" s="112"/>
      <c r="E97" s="112"/>
      <c r="F97" s="112"/>
      <c r="G97" s="290"/>
      <c r="H97" s="280">
        <f t="shared" si="11"/>
        <v>0</v>
      </c>
      <c r="I97" s="280">
        <f t="shared" si="12"/>
        <v>0</v>
      </c>
      <c r="J97" s="280">
        <f t="shared" si="13"/>
        <v>0</v>
      </c>
      <c r="K97" s="120" t="str">
        <f t="shared" si="9"/>
        <v/>
      </c>
      <c r="L97" s="287"/>
      <c r="M97" s="91"/>
      <c r="N97" s="99"/>
      <c r="O97" s="116"/>
      <c r="P97" s="86"/>
      <c r="Q97" s="92"/>
      <c r="R97" s="120">
        <f t="shared" si="10"/>
        <v>0</v>
      </c>
      <c r="S97" s="93"/>
      <c r="T97" s="117"/>
      <c r="U97" s="117"/>
      <c r="V97" s="85"/>
      <c r="W97" s="146"/>
      <c r="X97" s="137"/>
      <c r="Y97" s="137"/>
      <c r="Z97" s="137"/>
      <c r="AA97" s="137"/>
      <c r="AB97" s="137"/>
      <c r="AC97" s="137"/>
      <c r="AD97" s="137"/>
      <c r="AE97" s="137"/>
      <c r="AF97" s="141"/>
      <c r="AG97" s="146"/>
      <c r="AH97" s="146"/>
      <c r="AI97" s="146"/>
      <c r="AJ97" s="146"/>
      <c r="AK97" s="146"/>
      <c r="AL97" s="81"/>
      <c r="AM97" s="81"/>
      <c r="AN97" s="152"/>
      <c r="AO97" s="152"/>
      <c r="AP97" s="152"/>
      <c r="AQ97" s="152"/>
      <c r="AR97" s="81"/>
      <c r="AS97" s="81"/>
      <c r="AT97" s="82"/>
      <c r="AU97" s="82"/>
      <c r="AV97" s="176"/>
      <c r="AW97" s="89"/>
      <c r="AX97" s="89"/>
      <c r="AY97" s="89"/>
      <c r="AZ97" s="89"/>
      <c r="BA97" s="89"/>
      <c r="BB97" s="89"/>
      <c r="BC97" s="89"/>
      <c r="BD97" s="89"/>
      <c r="BE97" s="141"/>
      <c r="BF97" s="176"/>
      <c r="BG97" s="176"/>
      <c r="BH97" s="176"/>
      <c r="BI97" s="176"/>
    </row>
    <row r="98" spans="1:61" s="90" customFormat="1">
      <c r="A98" s="83">
        <v>95</v>
      </c>
      <c r="B98" s="85"/>
      <c r="C98" s="84"/>
      <c r="D98" s="112"/>
      <c r="E98" s="112"/>
      <c r="F98" s="112"/>
      <c r="G98" s="290"/>
      <c r="H98" s="280">
        <f t="shared" si="11"/>
        <v>0</v>
      </c>
      <c r="I98" s="280">
        <f t="shared" si="12"/>
        <v>0</v>
      </c>
      <c r="J98" s="280">
        <f t="shared" si="13"/>
        <v>0</v>
      </c>
      <c r="K98" s="120" t="str">
        <f t="shared" si="9"/>
        <v/>
      </c>
      <c r="L98" s="287"/>
      <c r="M98" s="91"/>
      <c r="N98" s="99"/>
      <c r="O98" s="116"/>
      <c r="P98" s="86"/>
      <c r="Q98" s="92"/>
      <c r="R98" s="120">
        <f t="shared" si="10"/>
        <v>0</v>
      </c>
      <c r="S98" s="93"/>
      <c r="T98" s="117"/>
      <c r="U98" s="117"/>
      <c r="V98" s="85"/>
      <c r="W98" s="146"/>
      <c r="X98" s="137"/>
      <c r="Y98" s="137"/>
      <c r="Z98" s="137"/>
      <c r="AA98" s="137"/>
      <c r="AB98" s="137"/>
      <c r="AC98" s="137"/>
      <c r="AD98" s="137"/>
      <c r="AE98" s="137"/>
      <c r="AF98" s="141"/>
      <c r="AG98" s="146"/>
      <c r="AH98" s="146"/>
      <c r="AI98" s="146"/>
      <c r="AJ98" s="146"/>
      <c r="AK98" s="146"/>
      <c r="AL98" s="81"/>
      <c r="AM98" s="81"/>
      <c r="AN98" s="152"/>
      <c r="AO98" s="152"/>
      <c r="AP98" s="152"/>
      <c r="AQ98" s="152"/>
      <c r="AR98" s="81"/>
      <c r="AS98" s="81"/>
      <c r="AT98" s="82"/>
      <c r="AU98" s="82"/>
      <c r="AV98" s="176"/>
      <c r="AW98" s="89"/>
      <c r="AX98" s="89"/>
      <c r="AY98" s="89"/>
      <c r="AZ98" s="89"/>
      <c r="BA98" s="89"/>
      <c r="BB98" s="89"/>
      <c r="BC98" s="89"/>
      <c r="BD98" s="89"/>
      <c r="BE98" s="141"/>
      <c r="BF98" s="176"/>
      <c r="BG98" s="176"/>
      <c r="BH98" s="176"/>
      <c r="BI98" s="176"/>
    </row>
    <row r="99" spans="1:61" s="90" customFormat="1">
      <c r="A99" s="83">
        <v>96</v>
      </c>
      <c r="B99" s="85"/>
      <c r="C99" s="84"/>
      <c r="D99" s="112"/>
      <c r="E99" s="112"/>
      <c r="F99" s="112"/>
      <c r="G99" s="290"/>
      <c r="H99" s="280">
        <f t="shared" si="11"/>
        <v>0</v>
      </c>
      <c r="I99" s="280">
        <f t="shared" si="12"/>
        <v>0</v>
      </c>
      <c r="J99" s="280">
        <f t="shared" si="13"/>
        <v>0</v>
      </c>
      <c r="K99" s="120" t="str">
        <f t="shared" si="9"/>
        <v/>
      </c>
      <c r="L99" s="287"/>
      <c r="M99" s="91"/>
      <c r="N99" s="99"/>
      <c r="O99" s="116"/>
      <c r="P99" s="86"/>
      <c r="Q99" s="92"/>
      <c r="R99" s="120">
        <f t="shared" si="10"/>
        <v>0</v>
      </c>
      <c r="S99" s="93"/>
      <c r="T99" s="117"/>
      <c r="U99" s="117"/>
      <c r="V99" s="85"/>
      <c r="W99" s="146"/>
      <c r="X99" s="137"/>
      <c r="Y99" s="137"/>
      <c r="Z99" s="137"/>
      <c r="AA99" s="137"/>
      <c r="AB99" s="137"/>
      <c r="AC99" s="137"/>
      <c r="AD99" s="137"/>
      <c r="AE99" s="137"/>
      <c r="AF99" s="141"/>
      <c r="AG99" s="146"/>
      <c r="AH99" s="146"/>
      <c r="AI99" s="146"/>
      <c r="AJ99" s="146"/>
      <c r="AK99" s="146"/>
      <c r="AL99" s="81"/>
      <c r="AM99" s="81"/>
      <c r="AN99" s="152"/>
      <c r="AO99" s="152"/>
      <c r="AP99" s="152"/>
      <c r="AQ99" s="152"/>
      <c r="AR99" s="81"/>
      <c r="AS99" s="81"/>
      <c r="AT99" s="82"/>
      <c r="AU99" s="82"/>
      <c r="AV99" s="176"/>
      <c r="AW99" s="89"/>
      <c r="AX99" s="89"/>
      <c r="AY99" s="89"/>
      <c r="AZ99" s="89"/>
      <c r="BA99" s="89"/>
      <c r="BB99" s="89"/>
      <c r="BC99" s="89"/>
      <c r="BD99" s="89"/>
      <c r="BE99" s="141"/>
      <c r="BF99" s="176"/>
      <c r="BG99" s="176"/>
      <c r="BH99" s="176"/>
      <c r="BI99" s="176"/>
    </row>
    <row r="100" spans="1:61" s="90" customFormat="1">
      <c r="A100" s="83">
        <v>97</v>
      </c>
      <c r="B100" s="85"/>
      <c r="C100" s="84"/>
      <c r="D100" s="112"/>
      <c r="E100" s="112"/>
      <c r="F100" s="112"/>
      <c r="G100" s="290"/>
      <c r="H100" s="280">
        <f t="shared" si="11"/>
        <v>0</v>
      </c>
      <c r="I100" s="280">
        <f t="shared" si="12"/>
        <v>0</v>
      </c>
      <c r="J100" s="280">
        <f t="shared" si="13"/>
        <v>0</v>
      </c>
      <c r="K100" s="120" t="str">
        <f t="shared" si="9"/>
        <v/>
      </c>
      <c r="L100" s="287"/>
      <c r="M100" s="91"/>
      <c r="N100" s="99"/>
      <c r="O100" s="116"/>
      <c r="P100" s="86"/>
      <c r="Q100" s="92"/>
      <c r="R100" s="120">
        <f t="shared" si="10"/>
        <v>0</v>
      </c>
      <c r="S100" s="93"/>
      <c r="T100" s="117"/>
      <c r="U100" s="117"/>
      <c r="V100" s="85"/>
      <c r="W100" s="146"/>
      <c r="X100" s="137"/>
      <c r="Y100" s="137"/>
      <c r="Z100" s="137"/>
      <c r="AA100" s="137"/>
      <c r="AB100" s="137"/>
      <c r="AC100" s="137"/>
      <c r="AD100" s="137"/>
      <c r="AE100" s="137"/>
      <c r="AF100" s="141"/>
      <c r="AG100" s="146"/>
      <c r="AH100" s="146"/>
      <c r="AI100" s="146"/>
      <c r="AJ100" s="146"/>
      <c r="AK100" s="146"/>
      <c r="AL100" s="81"/>
      <c r="AM100" s="81"/>
      <c r="AN100" s="152"/>
      <c r="AO100" s="152"/>
      <c r="AP100" s="152"/>
      <c r="AQ100" s="152"/>
      <c r="AR100" s="81"/>
      <c r="AS100" s="81"/>
      <c r="AT100" s="82"/>
      <c r="AU100" s="82"/>
      <c r="AV100" s="176"/>
      <c r="AW100" s="89"/>
      <c r="AX100" s="89"/>
      <c r="AY100" s="89"/>
      <c r="AZ100" s="89"/>
      <c r="BA100" s="89"/>
      <c r="BB100" s="89"/>
      <c r="BC100" s="89"/>
      <c r="BD100" s="89"/>
      <c r="BE100" s="141"/>
      <c r="BF100" s="176"/>
      <c r="BG100" s="176"/>
      <c r="BH100" s="176"/>
      <c r="BI100" s="176"/>
    </row>
    <row r="101" spans="1:61" s="90" customFormat="1">
      <c r="A101" s="83">
        <v>98</v>
      </c>
      <c r="B101" s="85"/>
      <c r="C101" s="84"/>
      <c r="D101" s="112"/>
      <c r="E101" s="112"/>
      <c r="F101" s="112"/>
      <c r="G101" s="290"/>
      <c r="H101" s="280">
        <f t="shared" si="11"/>
        <v>0</v>
      </c>
      <c r="I101" s="280">
        <f t="shared" si="12"/>
        <v>0</v>
      </c>
      <c r="J101" s="280">
        <f t="shared" si="13"/>
        <v>0</v>
      </c>
      <c r="K101" s="120" t="str">
        <f t="shared" si="9"/>
        <v/>
      </c>
      <c r="L101" s="287"/>
      <c r="M101" s="91"/>
      <c r="N101" s="99"/>
      <c r="O101" s="116"/>
      <c r="P101" s="86"/>
      <c r="Q101" s="92"/>
      <c r="R101" s="120">
        <f t="shared" si="10"/>
        <v>0</v>
      </c>
      <c r="S101" s="93"/>
      <c r="T101" s="117"/>
      <c r="U101" s="117"/>
      <c r="V101" s="85"/>
      <c r="W101" s="146"/>
      <c r="X101" s="137"/>
      <c r="Y101" s="137"/>
      <c r="Z101" s="137"/>
      <c r="AA101" s="137"/>
      <c r="AB101" s="137"/>
      <c r="AC101" s="137"/>
      <c r="AD101" s="137"/>
      <c r="AE101" s="137"/>
      <c r="AF101" s="141"/>
      <c r="AG101" s="146"/>
      <c r="AH101" s="146"/>
      <c r="AI101" s="146"/>
      <c r="AJ101" s="146"/>
      <c r="AK101" s="146"/>
      <c r="AL101" s="81"/>
      <c r="AM101" s="81"/>
      <c r="AN101" s="152"/>
      <c r="AO101" s="152"/>
      <c r="AP101" s="152"/>
      <c r="AQ101" s="152"/>
      <c r="AR101" s="81"/>
      <c r="AS101" s="81"/>
      <c r="AT101" s="82"/>
      <c r="AU101" s="82"/>
      <c r="AV101" s="176"/>
      <c r="AW101" s="89"/>
      <c r="AX101" s="89"/>
      <c r="AY101" s="89"/>
      <c r="AZ101" s="89"/>
      <c r="BA101" s="89"/>
      <c r="BB101" s="89"/>
      <c r="BC101" s="89"/>
      <c r="BD101" s="89"/>
      <c r="BE101" s="141"/>
      <c r="BF101" s="176"/>
      <c r="BG101" s="176"/>
      <c r="BH101" s="176"/>
      <c r="BI101" s="176"/>
    </row>
    <row r="102" spans="1:61" s="90" customFormat="1">
      <c r="A102" s="83">
        <v>99</v>
      </c>
      <c r="B102" s="85"/>
      <c r="C102" s="84"/>
      <c r="D102" s="112"/>
      <c r="E102" s="112"/>
      <c r="F102" s="112"/>
      <c r="G102" s="290"/>
      <c r="H102" s="280">
        <f t="shared" si="11"/>
        <v>0</v>
      </c>
      <c r="I102" s="280">
        <f t="shared" si="12"/>
        <v>0</v>
      </c>
      <c r="J102" s="280">
        <f t="shared" si="13"/>
        <v>0</v>
      </c>
      <c r="K102" s="120" t="str">
        <f t="shared" si="9"/>
        <v/>
      </c>
      <c r="L102" s="287"/>
      <c r="M102" s="91"/>
      <c r="N102" s="99"/>
      <c r="O102" s="116"/>
      <c r="P102" s="86"/>
      <c r="Q102" s="92"/>
      <c r="R102" s="120">
        <f t="shared" si="10"/>
        <v>0</v>
      </c>
      <c r="S102" s="93"/>
      <c r="T102" s="117"/>
      <c r="U102" s="117"/>
      <c r="V102" s="85"/>
      <c r="W102" s="146"/>
      <c r="X102" s="137"/>
      <c r="Y102" s="137"/>
      <c r="Z102" s="137"/>
      <c r="AA102" s="137"/>
      <c r="AB102" s="137"/>
      <c r="AC102" s="137"/>
      <c r="AD102" s="137"/>
      <c r="AE102" s="137"/>
      <c r="AF102" s="141"/>
      <c r="AG102" s="146"/>
      <c r="AH102" s="146"/>
      <c r="AI102" s="146"/>
      <c r="AJ102" s="146"/>
      <c r="AK102" s="146"/>
      <c r="AL102" s="81"/>
      <c r="AM102" s="81"/>
      <c r="AN102" s="152"/>
      <c r="AO102" s="152"/>
      <c r="AP102" s="152"/>
      <c r="AQ102" s="152"/>
      <c r="AR102" s="81"/>
      <c r="AS102" s="81"/>
      <c r="AT102" s="82"/>
      <c r="AU102" s="82"/>
      <c r="AV102" s="176"/>
      <c r="AW102" s="89"/>
      <c r="AX102" s="89"/>
      <c r="AY102" s="89"/>
      <c r="AZ102" s="89"/>
      <c r="BA102" s="89"/>
      <c r="BB102" s="89"/>
      <c r="BC102" s="89"/>
      <c r="BD102" s="89"/>
      <c r="BE102" s="141"/>
      <c r="BF102" s="176"/>
      <c r="BG102" s="176"/>
      <c r="BH102" s="176"/>
      <c r="BI102" s="176"/>
    </row>
    <row r="103" spans="1:61" s="90" customFormat="1">
      <c r="A103" s="83">
        <v>100</v>
      </c>
      <c r="B103" s="85"/>
      <c r="C103" s="84"/>
      <c r="D103" s="112"/>
      <c r="E103" s="112"/>
      <c r="F103" s="112"/>
      <c r="G103" s="290"/>
      <c r="H103" s="280">
        <f t="shared" si="11"/>
        <v>0</v>
      </c>
      <c r="I103" s="280">
        <f t="shared" si="12"/>
        <v>0</v>
      </c>
      <c r="J103" s="280">
        <f t="shared" si="13"/>
        <v>0</v>
      </c>
      <c r="K103" s="120" t="str">
        <f t="shared" si="9"/>
        <v/>
      </c>
      <c r="L103" s="287"/>
      <c r="M103" s="91"/>
      <c r="N103" s="99"/>
      <c r="O103" s="116"/>
      <c r="P103" s="86"/>
      <c r="Q103" s="92"/>
      <c r="R103" s="120">
        <f t="shared" si="10"/>
        <v>0</v>
      </c>
      <c r="S103" s="93"/>
      <c r="T103" s="117"/>
      <c r="U103" s="117"/>
      <c r="V103" s="85"/>
      <c r="W103" s="146"/>
      <c r="X103" s="137"/>
      <c r="Y103" s="137"/>
      <c r="Z103" s="137"/>
      <c r="AA103" s="137"/>
      <c r="AB103" s="137"/>
      <c r="AC103" s="137"/>
      <c r="AD103" s="137"/>
      <c r="AE103" s="137"/>
      <c r="AF103" s="141"/>
      <c r="AG103" s="146"/>
      <c r="AH103" s="146"/>
      <c r="AI103" s="146"/>
      <c r="AJ103" s="146"/>
      <c r="AK103" s="146"/>
      <c r="AL103" s="81"/>
      <c r="AM103" s="81"/>
      <c r="AN103" s="152"/>
      <c r="AO103" s="152"/>
      <c r="AP103" s="152"/>
      <c r="AQ103" s="152"/>
      <c r="AR103" s="81"/>
      <c r="AS103" s="81"/>
      <c r="AT103" s="82"/>
      <c r="AU103" s="82"/>
      <c r="AV103" s="176"/>
      <c r="AW103" s="89"/>
      <c r="AX103" s="89"/>
      <c r="AY103" s="89"/>
      <c r="AZ103" s="89"/>
      <c r="BA103" s="89"/>
      <c r="BB103" s="89"/>
      <c r="BC103" s="89"/>
      <c r="BD103" s="89"/>
      <c r="BE103" s="141"/>
      <c r="BF103" s="176"/>
      <c r="BG103" s="176"/>
      <c r="BH103" s="176"/>
      <c r="BI103" s="176"/>
    </row>
    <row r="104" spans="1:61" s="90" customFormat="1">
      <c r="A104" s="83">
        <v>101</v>
      </c>
      <c r="B104" s="85"/>
      <c r="C104" s="84"/>
      <c r="D104" s="112"/>
      <c r="E104" s="112"/>
      <c r="F104" s="112"/>
      <c r="G104" s="290"/>
      <c r="H104" s="280">
        <f t="shared" si="11"/>
        <v>0</v>
      </c>
      <c r="I104" s="280">
        <f t="shared" si="12"/>
        <v>0</v>
      </c>
      <c r="J104" s="280">
        <f t="shared" si="13"/>
        <v>0</v>
      </c>
      <c r="K104" s="120" t="str">
        <f t="shared" si="9"/>
        <v/>
      </c>
      <c r="L104" s="287"/>
      <c r="M104" s="91"/>
      <c r="N104" s="99"/>
      <c r="O104" s="116"/>
      <c r="P104" s="86"/>
      <c r="Q104" s="92"/>
      <c r="R104" s="120">
        <f t="shared" si="10"/>
        <v>0</v>
      </c>
      <c r="S104" s="93"/>
      <c r="T104" s="117"/>
      <c r="U104" s="117"/>
      <c r="V104" s="85"/>
      <c r="W104" s="146"/>
      <c r="X104" s="137"/>
      <c r="Y104" s="137"/>
      <c r="Z104" s="137"/>
      <c r="AA104" s="137"/>
      <c r="AB104" s="137"/>
      <c r="AC104" s="137"/>
      <c r="AD104" s="137"/>
      <c r="AE104" s="137"/>
      <c r="AF104" s="141"/>
      <c r="AG104" s="146"/>
      <c r="AH104" s="146"/>
      <c r="AI104" s="146"/>
      <c r="AJ104" s="146"/>
      <c r="AK104" s="146"/>
      <c r="AL104" s="81"/>
      <c r="AM104" s="81"/>
      <c r="AN104" s="152"/>
      <c r="AO104" s="152"/>
      <c r="AP104" s="152"/>
      <c r="AQ104" s="152"/>
      <c r="AR104" s="81"/>
      <c r="AS104" s="81"/>
      <c r="AT104" s="82"/>
      <c r="AU104" s="82"/>
      <c r="AV104" s="176"/>
      <c r="AW104" s="89"/>
      <c r="AX104" s="89"/>
      <c r="AY104" s="89"/>
      <c r="AZ104" s="89"/>
      <c r="BA104" s="89"/>
      <c r="BB104" s="89"/>
      <c r="BC104" s="89"/>
      <c r="BD104" s="89"/>
      <c r="BE104" s="141"/>
      <c r="BF104" s="176"/>
      <c r="BG104" s="176"/>
      <c r="BH104" s="176"/>
      <c r="BI104" s="176"/>
    </row>
    <row r="105" spans="1:61" s="90" customFormat="1">
      <c r="A105" s="83">
        <v>102</v>
      </c>
      <c r="B105" s="85"/>
      <c r="C105" s="84"/>
      <c r="D105" s="112"/>
      <c r="E105" s="112"/>
      <c r="F105" s="112"/>
      <c r="G105" s="290"/>
      <c r="H105" s="280">
        <f t="shared" si="11"/>
        <v>0</v>
      </c>
      <c r="I105" s="280">
        <f t="shared" si="12"/>
        <v>0</v>
      </c>
      <c r="J105" s="280">
        <f t="shared" si="13"/>
        <v>0</v>
      </c>
      <c r="K105" s="120" t="str">
        <f t="shared" si="9"/>
        <v/>
      </c>
      <c r="L105" s="287"/>
      <c r="M105" s="91"/>
      <c r="N105" s="99"/>
      <c r="O105" s="116"/>
      <c r="P105" s="86"/>
      <c r="Q105" s="92"/>
      <c r="R105" s="120">
        <f t="shared" si="10"/>
        <v>0</v>
      </c>
      <c r="S105" s="93"/>
      <c r="T105" s="117"/>
      <c r="U105" s="117"/>
      <c r="V105" s="85"/>
      <c r="W105" s="146"/>
      <c r="X105" s="137"/>
      <c r="Y105" s="137"/>
      <c r="Z105" s="137"/>
      <c r="AA105" s="137"/>
      <c r="AB105" s="137"/>
      <c r="AC105" s="137"/>
      <c r="AD105" s="137"/>
      <c r="AE105" s="137"/>
      <c r="AF105" s="141"/>
      <c r="AG105" s="146"/>
      <c r="AH105" s="146"/>
      <c r="AI105" s="146"/>
      <c r="AJ105" s="146"/>
      <c r="AK105" s="146"/>
      <c r="AL105" s="81"/>
      <c r="AM105" s="81"/>
      <c r="AN105" s="152"/>
      <c r="AO105" s="152"/>
      <c r="AP105" s="152"/>
      <c r="AQ105" s="152"/>
      <c r="AR105" s="81"/>
      <c r="AS105" s="81"/>
      <c r="AT105" s="82"/>
      <c r="AU105" s="82"/>
      <c r="AV105" s="176"/>
      <c r="AW105" s="89"/>
      <c r="AX105" s="89"/>
      <c r="AY105" s="89"/>
      <c r="AZ105" s="89"/>
      <c r="BA105" s="89"/>
      <c r="BB105" s="89"/>
      <c r="BC105" s="89"/>
      <c r="BD105" s="89"/>
      <c r="BE105" s="141"/>
      <c r="BF105" s="176"/>
      <c r="BG105" s="176"/>
      <c r="BH105" s="176"/>
      <c r="BI105" s="176"/>
    </row>
    <row r="106" spans="1:61" s="90" customFormat="1">
      <c r="A106" s="83">
        <v>103</v>
      </c>
      <c r="B106" s="85"/>
      <c r="C106" s="84"/>
      <c r="D106" s="112"/>
      <c r="E106" s="112"/>
      <c r="F106" s="112"/>
      <c r="G106" s="290"/>
      <c r="H106" s="280">
        <f t="shared" si="11"/>
        <v>0</v>
      </c>
      <c r="I106" s="280">
        <f t="shared" si="12"/>
        <v>0</v>
      </c>
      <c r="J106" s="280">
        <f t="shared" si="13"/>
        <v>0</v>
      </c>
      <c r="K106" s="120" t="str">
        <f t="shared" si="9"/>
        <v/>
      </c>
      <c r="L106" s="287"/>
      <c r="M106" s="91"/>
      <c r="N106" s="99"/>
      <c r="O106" s="116"/>
      <c r="P106" s="86"/>
      <c r="Q106" s="92"/>
      <c r="R106" s="120">
        <f t="shared" si="10"/>
        <v>0</v>
      </c>
      <c r="S106" s="93"/>
      <c r="T106" s="117"/>
      <c r="U106" s="117"/>
      <c r="V106" s="85"/>
      <c r="W106" s="146"/>
      <c r="X106" s="137"/>
      <c r="Y106" s="137"/>
      <c r="Z106" s="137"/>
      <c r="AA106" s="137"/>
      <c r="AB106" s="137"/>
      <c r="AC106" s="137"/>
      <c r="AD106" s="137"/>
      <c r="AE106" s="137"/>
      <c r="AF106" s="141"/>
      <c r="AG106" s="146"/>
      <c r="AH106" s="146"/>
      <c r="AI106" s="146"/>
      <c r="AJ106" s="146"/>
      <c r="AK106" s="146"/>
      <c r="AL106" s="81"/>
      <c r="AM106" s="81"/>
      <c r="AN106" s="152"/>
      <c r="AO106" s="152"/>
      <c r="AP106" s="152"/>
      <c r="AQ106" s="152"/>
      <c r="AR106" s="81"/>
      <c r="AS106" s="81"/>
      <c r="AT106" s="82"/>
      <c r="AU106" s="82"/>
      <c r="AV106" s="176"/>
      <c r="AW106" s="89"/>
      <c r="AX106" s="89"/>
      <c r="AY106" s="89"/>
      <c r="AZ106" s="89"/>
      <c r="BA106" s="89"/>
      <c r="BB106" s="89"/>
      <c r="BC106" s="89"/>
      <c r="BD106" s="89"/>
      <c r="BE106" s="141"/>
      <c r="BF106" s="176"/>
      <c r="BG106" s="176"/>
      <c r="BH106" s="176"/>
      <c r="BI106" s="176"/>
    </row>
    <row r="107" spans="1:61" s="90" customFormat="1">
      <c r="A107" s="83">
        <v>104</v>
      </c>
      <c r="B107" s="85"/>
      <c r="C107" s="84"/>
      <c r="D107" s="112"/>
      <c r="E107" s="112"/>
      <c r="F107" s="112"/>
      <c r="G107" s="290"/>
      <c r="H107" s="280">
        <f t="shared" si="11"/>
        <v>0</v>
      </c>
      <c r="I107" s="280">
        <f t="shared" si="12"/>
        <v>0</v>
      </c>
      <c r="J107" s="280">
        <f t="shared" si="13"/>
        <v>0</v>
      </c>
      <c r="K107" s="120" t="str">
        <f t="shared" si="9"/>
        <v/>
      </c>
      <c r="L107" s="287"/>
      <c r="M107" s="91"/>
      <c r="N107" s="99"/>
      <c r="O107" s="116"/>
      <c r="P107" s="86"/>
      <c r="Q107" s="92"/>
      <c r="R107" s="120">
        <f t="shared" si="10"/>
        <v>0</v>
      </c>
      <c r="S107" s="93"/>
      <c r="T107" s="117"/>
      <c r="U107" s="117"/>
      <c r="V107" s="85"/>
      <c r="W107" s="146"/>
      <c r="X107" s="137"/>
      <c r="Y107" s="137"/>
      <c r="Z107" s="137"/>
      <c r="AA107" s="137"/>
      <c r="AB107" s="137"/>
      <c r="AC107" s="137"/>
      <c r="AD107" s="137"/>
      <c r="AE107" s="137"/>
      <c r="AF107" s="141"/>
      <c r="AG107" s="146"/>
      <c r="AH107" s="146"/>
      <c r="AI107" s="146"/>
      <c r="AJ107" s="146"/>
      <c r="AK107" s="146"/>
      <c r="AL107" s="81"/>
      <c r="AM107" s="81"/>
      <c r="AN107" s="152"/>
      <c r="AO107" s="152"/>
      <c r="AP107" s="152"/>
      <c r="AQ107" s="152"/>
      <c r="AR107" s="81"/>
      <c r="AS107" s="81"/>
      <c r="AT107" s="82"/>
      <c r="AU107" s="82"/>
      <c r="AV107" s="176"/>
      <c r="AW107" s="89"/>
      <c r="AX107" s="89"/>
      <c r="AY107" s="89"/>
      <c r="AZ107" s="89"/>
      <c r="BA107" s="89"/>
      <c r="BB107" s="89"/>
      <c r="BC107" s="89"/>
      <c r="BD107" s="89"/>
      <c r="BE107" s="141"/>
      <c r="BF107" s="176"/>
      <c r="BG107" s="176"/>
      <c r="BH107" s="176"/>
      <c r="BI107" s="176"/>
    </row>
    <row r="108" spans="1:61" s="90" customFormat="1">
      <c r="A108" s="83">
        <v>105</v>
      </c>
      <c r="B108" s="85"/>
      <c r="C108" s="84"/>
      <c r="D108" s="112"/>
      <c r="E108" s="112"/>
      <c r="F108" s="112"/>
      <c r="G108" s="290"/>
      <c r="H108" s="280">
        <f t="shared" si="11"/>
        <v>0</v>
      </c>
      <c r="I108" s="280">
        <f t="shared" si="12"/>
        <v>0</v>
      </c>
      <c r="J108" s="280">
        <f t="shared" si="13"/>
        <v>0</v>
      </c>
      <c r="K108" s="120" t="str">
        <f t="shared" si="9"/>
        <v/>
      </c>
      <c r="L108" s="287"/>
      <c r="M108" s="91"/>
      <c r="N108" s="99"/>
      <c r="O108" s="116"/>
      <c r="P108" s="86"/>
      <c r="Q108" s="92"/>
      <c r="R108" s="120">
        <f t="shared" si="10"/>
        <v>0</v>
      </c>
      <c r="S108" s="93"/>
      <c r="T108" s="117"/>
      <c r="U108" s="117"/>
      <c r="V108" s="85"/>
      <c r="W108" s="146"/>
      <c r="X108" s="137"/>
      <c r="Y108" s="137"/>
      <c r="Z108" s="137"/>
      <c r="AA108" s="137"/>
      <c r="AB108" s="137"/>
      <c r="AC108" s="137"/>
      <c r="AD108" s="137"/>
      <c r="AE108" s="137"/>
      <c r="AF108" s="141"/>
      <c r="AG108" s="146"/>
      <c r="AH108" s="146"/>
      <c r="AI108" s="146"/>
      <c r="AJ108" s="146"/>
      <c r="AK108" s="146"/>
      <c r="AL108" s="81"/>
      <c r="AM108" s="81"/>
      <c r="AN108" s="152"/>
      <c r="AO108" s="152"/>
      <c r="AP108" s="152"/>
      <c r="AQ108" s="152"/>
      <c r="AR108" s="81"/>
      <c r="AS108" s="81"/>
      <c r="AT108" s="82"/>
      <c r="AU108" s="82"/>
      <c r="AV108" s="176"/>
      <c r="AW108" s="89"/>
      <c r="AX108" s="89"/>
      <c r="AY108" s="89"/>
      <c r="AZ108" s="89"/>
      <c r="BA108" s="89"/>
      <c r="BB108" s="89"/>
      <c r="BC108" s="89"/>
      <c r="BD108" s="89"/>
      <c r="BE108" s="141"/>
      <c r="BF108" s="176"/>
      <c r="BG108" s="176"/>
      <c r="BH108" s="176"/>
      <c r="BI108" s="176"/>
    </row>
    <row r="109" spans="1:61" s="90" customFormat="1">
      <c r="A109" s="83">
        <v>106</v>
      </c>
      <c r="B109" s="85"/>
      <c r="C109" s="84"/>
      <c r="D109" s="112"/>
      <c r="E109" s="112"/>
      <c r="F109" s="112"/>
      <c r="G109" s="290"/>
      <c r="H109" s="280">
        <f t="shared" si="11"/>
        <v>0</v>
      </c>
      <c r="I109" s="280">
        <f t="shared" si="12"/>
        <v>0</v>
      </c>
      <c r="J109" s="280">
        <f t="shared" si="13"/>
        <v>0</v>
      </c>
      <c r="K109" s="120" t="str">
        <f t="shared" si="9"/>
        <v/>
      </c>
      <c r="L109" s="287"/>
      <c r="M109" s="91"/>
      <c r="N109" s="99"/>
      <c r="O109" s="116"/>
      <c r="P109" s="86"/>
      <c r="Q109" s="92"/>
      <c r="R109" s="120">
        <f t="shared" si="10"/>
        <v>0</v>
      </c>
      <c r="S109" s="93"/>
      <c r="T109" s="117"/>
      <c r="U109" s="117"/>
      <c r="V109" s="85"/>
      <c r="W109" s="146"/>
      <c r="X109" s="137"/>
      <c r="Y109" s="137"/>
      <c r="Z109" s="137"/>
      <c r="AA109" s="137"/>
      <c r="AB109" s="137"/>
      <c r="AC109" s="137"/>
      <c r="AD109" s="137"/>
      <c r="AE109" s="137"/>
      <c r="AF109" s="141"/>
      <c r="AG109" s="146"/>
      <c r="AH109" s="146"/>
      <c r="AI109" s="146"/>
      <c r="AJ109" s="146"/>
      <c r="AK109" s="146"/>
      <c r="AL109" s="81"/>
      <c r="AM109" s="81"/>
      <c r="AN109" s="152"/>
      <c r="AO109" s="152"/>
      <c r="AP109" s="152"/>
      <c r="AQ109" s="152"/>
      <c r="AR109" s="81"/>
      <c r="AS109" s="81"/>
      <c r="AT109" s="82"/>
      <c r="AU109" s="82"/>
      <c r="AV109" s="176"/>
      <c r="AW109" s="89"/>
      <c r="AX109" s="89"/>
      <c r="AY109" s="89"/>
      <c r="AZ109" s="89"/>
      <c r="BA109" s="89"/>
      <c r="BB109" s="89"/>
      <c r="BC109" s="89"/>
      <c r="BD109" s="89"/>
      <c r="BE109" s="141"/>
      <c r="BF109" s="176"/>
      <c r="BG109" s="176"/>
      <c r="BH109" s="176"/>
      <c r="BI109" s="176"/>
    </row>
    <row r="110" spans="1:61" s="90" customFormat="1">
      <c r="A110" s="83">
        <v>107</v>
      </c>
      <c r="B110" s="85"/>
      <c r="C110" s="84"/>
      <c r="D110" s="112"/>
      <c r="E110" s="112"/>
      <c r="F110" s="112"/>
      <c r="G110" s="290"/>
      <c r="H110" s="280">
        <f t="shared" si="11"/>
        <v>0</v>
      </c>
      <c r="I110" s="280">
        <f t="shared" si="12"/>
        <v>0</v>
      </c>
      <c r="J110" s="280">
        <f t="shared" si="13"/>
        <v>0</v>
      </c>
      <c r="K110" s="120" t="str">
        <f t="shared" si="9"/>
        <v/>
      </c>
      <c r="L110" s="287"/>
      <c r="M110" s="91"/>
      <c r="N110" s="99"/>
      <c r="O110" s="116"/>
      <c r="P110" s="86"/>
      <c r="Q110" s="92"/>
      <c r="R110" s="120">
        <f t="shared" si="10"/>
        <v>0</v>
      </c>
      <c r="S110" s="93"/>
      <c r="T110" s="117"/>
      <c r="U110" s="117"/>
      <c r="V110" s="85"/>
      <c r="W110" s="146"/>
      <c r="X110" s="137"/>
      <c r="Y110" s="137"/>
      <c r="Z110" s="137"/>
      <c r="AA110" s="137"/>
      <c r="AB110" s="137"/>
      <c r="AC110" s="137"/>
      <c r="AD110" s="137"/>
      <c r="AE110" s="137"/>
      <c r="AF110" s="141"/>
      <c r="AG110" s="146"/>
      <c r="AH110" s="146"/>
      <c r="AI110" s="146"/>
      <c r="AJ110" s="146"/>
      <c r="AK110" s="146"/>
      <c r="AL110" s="81"/>
      <c r="AM110" s="81"/>
      <c r="AN110" s="152"/>
      <c r="AO110" s="152"/>
      <c r="AP110" s="152"/>
      <c r="AQ110" s="152"/>
      <c r="AR110" s="81"/>
      <c r="AS110" s="81"/>
      <c r="AT110" s="82"/>
      <c r="AU110" s="82"/>
      <c r="AV110" s="176"/>
      <c r="AW110" s="89"/>
      <c r="AX110" s="89"/>
      <c r="AY110" s="89"/>
      <c r="AZ110" s="89"/>
      <c r="BA110" s="89"/>
      <c r="BB110" s="89"/>
      <c r="BC110" s="89"/>
      <c r="BD110" s="89"/>
      <c r="BE110" s="141"/>
      <c r="BF110" s="176"/>
      <c r="BG110" s="176"/>
      <c r="BH110" s="176"/>
      <c r="BI110" s="176"/>
    </row>
    <row r="111" spans="1:61" s="90" customFormat="1">
      <c r="A111" s="83">
        <v>108</v>
      </c>
      <c r="B111" s="85"/>
      <c r="C111" s="84"/>
      <c r="D111" s="112"/>
      <c r="E111" s="112"/>
      <c r="F111" s="112"/>
      <c r="G111" s="290"/>
      <c r="H111" s="280">
        <f t="shared" si="11"/>
        <v>0</v>
      </c>
      <c r="I111" s="280">
        <f t="shared" si="12"/>
        <v>0</v>
      </c>
      <c r="J111" s="280">
        <f t="shared" si="13"/>
        <v>0</v>
      </c>
      <c r="K111" s="120" t="str">
        <f t="shared" si="9"/>
        <v/>
      </c>
      <c r="L111" s="287"/>
      <c r="M111" s="91"/>
      <c r="N111" s="99"/>
      <c r="O111" s="116"/>
      <c r="P111" s="86"/>
      <c r="Q111" s="92"/>
      <c r="R111" s="120">
        <f t="shared" si="10"/>
        <v>0</v>
      </c>
      <c r="S111" s="93"/>
      <c r="T111" s="117"/>
      <c r="U111" s="117"/>
      <c r="V111" s="85"/>
      <c r="W111" s="146"/>
      <c r="X111" s="137"/>
      <c r="Y111" s="137"/>
      <c r="Z111" s="137"/>
      <c r="AA111" s="137"/>
      <c r="AB111" s="137"/>
      <c r="AC111" s="137"/>
      <c r="AD111" s="137"/>
      <c r="AE111" s="137"/>
      <c r="AF111" s="141"/>
      <c r="AG111" s="146"/>
      <c r="AH111" s="146"/>
      <c r="AI111" s="146"/>
      <c r="AJ111" s="146"/>
      <c r="AK111" s="146"/>
      <c r="AL111" s="81"/>
      <c r="AM111" s="81"/>
      <c r="AN111" s="152"/>
      <c r="AO111" s="152"/>
      <c r="AP111" s="152"/>
      <c r="AQ111" s="152"/>
      <c r="AR111" s="81"/>
      <c r="AS111" s="81"/>
      <c r="AT111" s="82"/>
      <c r="AU111" s="82"/>
      <c r="AV111" s="176"/>
      <c r="AW111" s="89"/>
      <c r="AX111" s="89"/>
      <c r="AY111" s="89"/>
      <c r="AZ111" s="89"/>
      <c r="BA111" s="89"/>
      <c r="BB111" s="89"/>
      <c r="BC111" s="89"/>
      <c r="BD111" s="89"/>
      <c r="BE111" s="141"/>
      <c r="BF111" s="176"/>
      <c r="BG111" s="176"/>
      <c r="BH111" s="176"/>
      <c r="BI111" s="176"/>
    </row>
    <row r="112" spans="1:61" s="90" customFormat="1">
      <c r="A112" s="83">
        <v>109</v>
      </c>
      <c r="B112" s="85"/>
      <c r="C112" s="84"/>
      <c r="D112" s="112"/>
      <c r="E112" s="112"/>
      <c r="F112" s="112"/>
      <c r="G112" s="290"/>
      <c r="H112" s="280">
        <f t="shared" si="11"/>
        <v>0</v>
      </c>
      <c r="I112" s="280">
        <f t="shared" si="12"/>
        <v>0</v>
      </c>
      <c r="J112" s="280">
        <f t="shared" si="13"/>
        <v>0</v>
      </c>
      <c r="K112" s="120" t="str">
        <f t="shared" si="9"/>
        <v/>
      </c>
      <c r="L112" s="287"/>
      <c r="M112" s="91"/>
      <c r="N112" s="99"/>
      <c r="O112" s="116"/>
      <c r="P112" s="86"/>
      <c r="Q112" s="92"/>
      <c r="R112" s="120">
        <f t="shared" si="10"/>
        <v>0</v>
      </c>
      <c r="S112" s="93"/>
      <c r="T112" s="117"/>
      <c r="U112" s="117"/>
      <c r="V112" s="85"/>
      <c r="W112" s="146"/>
      <c r="X112" s="137"/>
      <c r="Y112" s="137"/>
      <c r="Z112" s="137"/>
      <c r="AA112" s="137"/>
      <c r="AB112" s="137"/>
      <c r="AC112" s="137"/>
      <c r="AD112" s="137"/>
      <c r="AE112" s="137"/>
      <c r="AF112" s="141"/>
      <c r="AG112" s="146"/>
      <c r="AH112" s="146"/>
      <c r="AI112" s="146"/>
      <c r="AJ112" s="146"/>
      <c r="AK112" s="146"/>
      <c r="AL112" s="81"/>
      <c r="AM112" s="81"/>
      <c r="AN112" s="152"/>
      <c r="AO112" s="152"/>
      <c r="AP112" s="152"/>
      <c r="AQ112" s="152"/>
      <c r="AR112" s="81"/>
      <c r="AS112" s="81"/>
      <c r="AT112" s="82"/>
      <c r="AU112" s="82"/>
      <c r="AV112" s="176"/>
      <c r="AW112" s="89"/>
      <c r="AX112" s="89"/>
      <c r="AY112" s="89"/>
      <c r="AZ112" s="89"/>
      <c r="BA112" s="89"/>
      <c r="BB112" s="89"/>
      <c r="BC112" s="89"/>
      <c r="BD112" s="89"/>
      <c r="BE112" s="141"/>
      <c r="BF112" s="176"/>
      <c r="BG112" s="176"/>
      <c r="BH112" s="176"/>
      <c r="BI112" s="176"/>
    </row>
    <row r="113" spans="1:61" s="90" customFormat="1">
      <c r="A113" s="83">
        <v>110</v>
      </c>
      <c r="B113" s="85"/>
      <c r="C113" s="84"/>
      <c r="D113" s="112"/>
      <c r="E113" s="112"/>
      <c r="F113" s="112"/>
      <c r="G113" s="290"/>
      <c r="H113" s="280">
        <f t="shared" si="11"/>
        <v>0</v>
      </c>
      <c r="I113" s="280">
        <f t="shared" si="12"/>
        <v>0</v>
      </c>
      <c r="J113" s="280">
        <f t="shared" si="13"/>
        <v>0</v>
      </c>
      <c r="K113" s="120" t="str">
        <f t="shared" si="9"/>
        <v/>
      </c>
      <c r="L113" s="287"/>
      <c r="M113" s="91"/>
      <c r="N113" s="99"/>
      <c r="O113" s="116"/>
      <c r="P113" s="86"/>
      <c r="Q113" s="92"/>
      <c r="R113" s="120">
        <f t="shared" si="10"/>
        <v>0</v>
      </c>
      <c r="S113" s="93"/>
      <c r="T113" s="117"/>
      <c r="U113" s="117"/>
      <c r="V113" s="85"/>
      <c r="W113" s="146"/>
      <c r="X113" s="137"/>
      <c r="Y113" s="137"/>
      <c r="Z113" s="137"/>
      <c r="AA113" s="137"/>
      <c r="AB113" s="137"/>
      <c r="AC113" s="137"/>
      <c r="AD113" s="137"/>
      <c r="AE113" s="137"/>
      <c r="AF113" s="141"/>
      <c r="AG113" s="146"/>
      <c r="AH113" s="146"/>
      <c r="AI113" s="146"/>
      <c r="AJ113" s="146"/>
      <c r="AK113" s="146"/>
      <c r="AL113" s="81"/>
      <c r="AM113" s="81"/>
      <c r="AN113" s="152"/>
      <c r="AO113" s="152"/>
      <c r="AP113" s="152"/>
      <c r="AQ113" s="152"/>
      <c r="AR113" s="81"/>
      <c r="AS113" s="81"/>
      <c r="AT113" s="82"/>
      <c r="AU113" s="82"/>
      <c r="AV113" s="176"/>
      <c r="AW113" s="89"/>
      <c r="AX113" s="89"/>
      <c r="AY113" s="89"/>
      <c r="AZ113" s="89"/>
      <c r="BA113" s="89"/>
      <c r="BB113" s="89"/>
      <c r="BC113" s="89"/>
      <c r="BD113" s="89"/>
      <c r="BE113" s="141"/>
      <c r="BF113" s="176"/>
      <c r="BG113" s="176"/>
      <c r="BH113" s="176"/>
      <c r="BI113" s="176"/>
    </row>
    <row r="114" spans="1:61" s="90" customFormat="1">
      <c r="A114" s="83">
        <v>111</v>
      </c>
      <c r="B114" s="85"/>
      <c r="C114" s="84"/>
      <c r="D114" s="112"/>
      <c r="E114" s="112"/>
      <c r="F114" s="112"/>
      <c r="G114" s="290"/>
      <c r="H114" s="280">
        <f t="shared" si="11"/>
        <v>0</v>
      </c>
      <c r="I114" s="280">
        <f t="shared" si="12"/>
        <v>0</v>
      </c>
      <c r="J114" s="280">
        <f t="shared" si="13"/>
        <v>0</v>
      </c>
      <c r="K114" s="120" t="str">
        <f t="shared" si="9"/>
        <v/>
      </c>
      <c r="L114" s="287"/>
      <c r="M114" s="91"/>
      <c r="N114" s="99"/>
      <c r="O114" s="116"/>
      <c r="P114" s="86"/>
      <c r="Q114" s="92"/>
      <c r="R114" s="120">
        <f t="shared" si="10"/>
        <v>0</v>
      </c>
      <c r="S114" s="93"/>
      <c r="T114" s="117"/>
      <c r="U114" s="117"/>
      <c r="V114" s="85"/>
      <c r="W114" s="146"/>
      <c r="X114" s="137"/>
      <c r="Y114" s="137"/>
      <c r="Z114" s="137"/>
      <c r="AA114" s="137"/>
      <c r="AB114" s="137"/>
      <c r="AC114" s="137"/>
      <c r="AD114" s="137"/>
      <c r="AE114" s="137"/>
      <c r="AF114" s="141"/>
      <c r="AG114" s="146"/>
      <c r="AH114" s="146"/>
      <c r="AI114" s="146"/>
      <c r="AJ114" s="146"/>
      <c r="AK114" s="146"/>
      <c r="AL114" s="81"/>
      <c r="AM114" s="81"/>
      <c r="AN114" s="152"/>
      <c r="AO114" s="152"/>
      <c r="AP114" s="152"/>
      <c r="AQ114" s="152"/>
      <c r="AR114" s="81"/>
      <c r="AS114" s="81"/>
      <c r="AT114" s="82"/>
      <c r="AU114" s="82"/>
      <c r="AV114" s="176"/>
      <c r="AW114" s="89"/>
      <c r="AX114" s="89"/>
      <c r="AY114" s="89"/>
      <c r="AZ114" s="89"/>
      <c r="BA114" s="89"/>
      <c r="BB114" s="89"/>
      <c r="BC114" s="89"/>
      <c r="BD114" s="89"/>
      <c r="BE114" s="141"/>
      <c r="BF114" s="176"/>
      <c r="BG114" s="176"/>
      <c r="BH114" s="176"/>
      <c r="BI114" s="176"/>
    </row>
    <row r="115" spans="1:61" s="90" customFormat="1">
      <c r="A115" s="83">
        <v>112</v>
      </c>
      <c r="B115" s="85"/>
      <c r="C115" s="84"/>
      <c r="D115" s="112"/>
      <c r="E115" s="112"/>
      <c r="F115" s="112"/>
      <c r="G115" s="290"/>
      <c r="H115" s="280">
        <f t="shared" si="11"/>
        <v>0</v>
      </c>
      <c r="I115" s="280">
        <f t="shared" si="12"/>
        <v>0</v>
      </c>
      <c r="J115" s="280">
        <f t="shared" si="13"/>
        <v>0</v>
      </c>
      <c r="K115" s="120" t="str">
        <f t="shared" si="9"/>
        <v/>
      </c>
      <c r="L115" s="287"/>
      <c r="M115" s="91"/>
      <c r="N115" s="99"/>
      <c r="O115" s="116"/>
      <c r="P115" s="86"/>
      <c r="Q115" s="92"/>
      <c r="R115" s="120">
        <f t="shared" si="10"/>
        <v>0</v>
      </c>
      <c r="S115" s="93"/>
      <c r="T115" s="117"/>
      <c r="U115" s="117"/>
      <c r="V115" s="85"/>
      <c r="W115" s="146"/>
      <c r="X115" s="137"/>
      <c r="Y115" s="137"/>
      <c r="Z115" s="137"/>
      <c r="AA115" s="137"/>
      <c r="AB115" s="137"/>
      <c r="AC115" s="137"/>
      <c r="AD115" s="137"/>
      <c r="AE115" s="137"/>
      <c r="AF115" s="141"/>
      <c r="AG115" s="146"/>
      <c r="AH115" s="146"/>
      <c r="AI115" s="146"/>
      <c r="AJ115" s="146"/>
      <c r="AK115" s="146"/>
      <c r="AL115" s="81"/>
      <c r="AM115" s="81"/>
      <c r="AN115" s="152"/>
      <c r="AO115" s="152"/>
      <c r="AP115" s="152"/>
      <c r="AQ115" s="152"/>
      <c r="AR115" s="81"/>
      <c r="AS115" s="81"/>
      <c r="AT115" s="82"/>
      <c r="AU115" s="82"/>
      <c r="AV115" s="176"/>
      <c r="AW115" s="89"/>
      <c r="AX115" s="89"/>
      <c r="AY115" s="89"/>
      <c r="AZ115" s="89"/>
      <c r="BA115" s="89"/>
      <c r="BB115" s="89"/>
      <c r="BC115" s="89"/>
      <c r="BD115" s="89"/>
      <c r="BE115" s="141"/>
      <c r="BF115" s="176"/>
      <c r="BG115" s="176"/>
      <c r="BH115" s="176"/>
      <c r="BI115" s="176"/>
    </row>
    <row r="116" spans="1:61" s="90" customFormat="1">
      <c r="A116" s="83">
        <v>113</v>
      </c>
      <c r="B116" s="85"/>
      <c r="C116" s="84"/>
      <c r="D116" s="112"/>
      <c r="E116" s="112"/>
      <c r="F116" s="112"/>
      <c r="G116" s="290"/>
      <c r="H116" s="280">
        <f t="shared" si="11"/>
        <v>0</v>
      </c>
      <c r="I116" s="280">
        <f t="shared" si="12"/>
        <v>0</v>
      </c>
      <c r="J116" s="280">
        <f t="shared" si="13"/>
        <v>0</v>
      </c>
      <c r="K116" s="120" t="str">
        <f t="shared" si="9"/>
        <v/>
      </c>
      <c r="L116" s="287"/>
      <c r="M116" s="91"/>
      <c r="N116" s="99"/>
      <c r="O116" s="116"/>
      <c r="P116" s="86"/>
      <c r="Q116" s="92"/>
      <c r="R116" s="120">
        <f t="shared" si="10"/>
        <v>0</v>
      </c>
      <c r="S116" s="93"/>
      <c r="T116" s="117"/>
      <c r="U116" s="117"/>
      <c r="V116" s="85"/>
      <c r="W116" s="146"/>
      <c r="X116" s="137"/>
      <c r="Y116" s="137"/>
      <c r="Z116" s="137"/>
      <c r="AA116" s="137"/>
      <c r="AB116" s="137"/>
      <c r="AC116" s="137"/>
      <c r="AD116" s="137"/>
      <c r="AE116" s="137"/>
      <c r="AF116" s="141"/>
      <c r="AG116" s="146"/>
      <c r="AH116" s="146"/>
      <c r="AI116" s="146"/>
      <c r="AJ116" s="146"/>
      <c r="AK116" s="146"/>
      <c r="AL116" s="81"/>
      <c r="AM116" s="81"/>
      <c r="AN116" s="152"/>
      <c r="AO116" s="152"/>
      <c r="AP116" s="152"/>
      <c r="AQ116" s="152"/>
      <c r="AR116" s="81"/>
      <c r="AS116" s="81"/>
      <c r="AT116" s="82"/>
      <c r="AU116" s="82"/>
      <c r="AV116" s="176"/>
      <c r="AW116" s="89"/>
      <c r="AX116" s="89"/>
      <c r="AY116" s="89"/>
      <c r="AZ116" s="89"/>
      <c r="BA116" s="89"/>
      <c r="BB116" s="89"/>
      <c r="BC116" s="89"/>
      <c r="BD116" s="89"/>
      <c r="BE116" s="141"/>
      <c r="BF116" s="176"/>
      <c r="BG116" s="176"/>
      <c r="BH116" s="176"/>
      <c r="BI116" s="176"/>
    </row>
    <row r="117" spans="1:61" s="90" customFormat="1">
      <c r="A117" s="83">
        <v>114</v>
      </c>
      <c r="B117" s="85"/>
      <c r="C117" s="84"/>
      <c r="D117" s="112"/>
      <c r="E117" s="112"/>
      <c r="F117" s="112"/>
      <c r="G117" s="290"/>
      <c r="H117" s="280">
        <f t="shared" si="11"/>
        <v>0</v>
      </c>
      <c r="I117" s="280">
        <f t="shared" si="12"/>
        <v>0</v>
      </c>
      <c r="J117" s="280">
        <f t="shared" si="13"/>
        <v>0</v>
      </c>
      <c r="K117" s="120" t="str">
        <f t="shared" si="9"/>
        <v/>
      </c>
      <c r="L117" s="287"/>
      <c r="M117" s="91"/>
      <c r="N117" s="99"/>
      <c r="O117" s="116"/>
      <c r="P117" s="86"/>
      <c r="Q117" s="92"/>
      <c r="R117" s="120">
        <f t="shared" si="10"/>
        <v>0</v>
      </c>
      <c r="S117" s="93"/>
      <c r="T117" s="117"/>
      <c r="U117" s="117"/>
      <c r="V117" s="85"/>
      <c r="W117" s="146"/>
      <c r="X117" s="137"/>
      <c r="Y117" s="137"/>
      <c r="Z117" s="137"/>
      <c r="AA117" s="137"/>
      <c r="AB117" s="137"/>
      <c r="AC117" s="137"/>
      <c r="AD117" s="137"/>
      <c r="AE117" s="137"/>
      <c r="AF117" s="141"/>
      <c r="AG117" s="146"/>
      <c r="AH117" s="146"/>
      <c r="AI117" s="146"/>
      <c r="AJ117" s="146"/>
      <c r="AK117" s="146"/>
      <c r="AL117" s="81"/>
      <c r="AM117" s="81"/>
      <c r="AN117" s="152"/>
      <c r="AO117" s="152"/>
      <c r="AP117" s="152"/>
      <c r="AQ117" s="152"/>
      <c r="AR117" s="81"/>
      <c r="AS117" s="81"/>
      <c r="AT117" s="82"/>
      <c r="AU117" s="82"/>
      <c r="AV117" s="176"/>
      <c r="AW117" s="89"/>
      <c r="AX117" s="89"/>
      <c r="AY117" s="89"/>
      <c r="AZ117" s="89"/>
      <c r="BA117" s="89"/>
      <c r="BB117" s="89"/>
      <c r="BC117" s="89"/>
      <c r="BD117" s="89"/>
      <c r="BE117" s="141"/>
      <c r="BF117" s="176"/>
      <c r="BG117" s="176"/>
      <c r="BH117" s="176"/>
      <c r="BI117" s="176"/>
    </row>
    <row r="118" spans="1:61" s="90" customFormat="1">
      <c r="A118" s="83">
        <v>115</v>
      </c>
      <c r="B118" s="85"/>
      <c r="C118" s="84"/>
      <c r="D118" s="112"/>
      <c r="E118" s="112"/>
      <c r="F118" s="112"/>
      <c r="G118" s="290"/>
      <c r="H118" s="280">
        <f t="shared" si="11"/>
        <v>0</v>
      </c>
      <c r="I118" s="280">
        <f t="shared" si="12"/>
        <v>0</v>
      </c>
      <c r="J118" s="280">
        <f t="shared" si="13"/>
        <v>0</v>
      </c>
      <c r="K118" s="120" t="str">
        <f t="shared" si="9"/>
        <v/>
      </c>
      <c r="L118" s="287"/>
      <c r="M118" s="91"/>
      <c r="N118" s="99"/>
      <c r="O118" s="116"/>
      <c r="P118" s="86"/>
      <c r="Q118" s="92"/>
      <c r="R118" s="120">
        <f t="shared" si="10"/>
        <v>0</v>
      </c>
      <c r="S118" s="93"/>
      <c r="T118" s="117"/>
      <c r="U118" s="117"/>
      <c r="V118" s="85"/>
      <c r="W118" s="146"/>
      <c r="X118" s="137"/>
      <c r="Y118" s="137"/>
      <c r="Z118" s="137"/>
      <c r="AA118" s="137"/>
      <c r="AB118" s="137"/>
      <c r="AC118" s="137"/>
      <c r="AD118" s="137"/>
      <c r="AE118" s="137"/>
      <c r="AF118" s="141"/>
      <c r="AG118" s="146"/>
      <c r="AH118" s="146"/>
      <c r="AI118" s="146"/>
      <c r="AJ118" s="146"/>
      <c r="AK118" s="146"/>
      <c r="AL118" s="81"/>
      <c r="AM118" s="81"/>
      <c r="AN118" s="152"/>
      <c r="AO118" s="152"/>
      <c r="AP118" s="152"/>
      <c r="AQ118" s="152"/>
      <c r="AR118" s="81"/>
      <c r="AS118" s="81"/>
      <c r="AT118" s="82"/>
      <c r="AU118" s="82"/>
      <c r="AV118" s="176"/>
      <c r="AW118" s="89"/>
      <c r="AX118" s="89"/>
      <c r="AY118" s="89"/>
      <c r="AZ118" s="89"/>
      <c r="BA118" s="89"/>
      <c r="BB118" s="89"/>
      <c r="BC118" s="89"/>
      <c r="BD118" s="89"/>
      <c r="BE118" s="141"/>
      <c r="BF118" s="176"/>
      <c r="BG118" s="176"/>
      <c r="BH118" s="176"/>
      <c r="BI118" s="176"/>
    </row>
    <row r="119" spans="1:61" s="90" customFormat="1">
      <c r="A119" s="83">
        <v>116</v>
      </c>
      <c r="B119" s="85"/>
      <c r="C119" s="84"/>
      <c r="D119" s="112"/>
      <c r="E119" s="112"/>
      <c r="F119" s="112"/>
      <c r="G119" s="290"/>
      <c r="H119" s="280">
        <f t="shared" si="11"/>
        <v>0</v>
      </c>
      <c r="I119" s="280">
        <f t="shared" si="12"/>
        <v>0</v>
      </c>
      <c r="J119" s="280">
        <f t="shared" si="13"/>
        <v>0</v>
      </c>
      <c r="K119" s="120" t="str">
        <f t="shared" si="9"/>
        <v/>
      </c>
      <c r="L119" s="287"/>
      <c r="M119" s="91"/>
      <c r="N119" s="99"/>
      <c r="O119" s="116"/>
      <c r="P119" s="86"/>
      <c r="Q119" s="92"/>
      <c r="R119" s="120">
        <f t="shared" si="10"/>
        <v>0</v>
      </c>
      <c r="S119" s="93"/>
      <c r="T119" s="117"/>
      <c r="U119" s="117"/>
      <c r="V119" s="85"/>
      <c r="W119" s="146"/>
      <c r="X119" s="137"/>
      <c r="Y119" s="137"/>
      <c r="Z119" s="137"/>
      <c r="AA119" s="137"/>
      <c r="AB119" s="137"/>
      <c r="AC119" s="137"/>
      <c r="AD119" s="137"/>
      <c r="AE119" s="137"/>
      <c r="AF119" s="141"/>
      <c r="AG119" s="146"/>
      <c r="AH119" s="146"/>
      <c r="AI119" s="146"/>
      <c r="AJ119" s="146"/>
      <c r="AK119" s="146"/>
      <c r="AL119" s="81"/>
      <c r="AM119" s="81"/>
      <c r="AN119" s="152"/>
      <c r="AO119" s="152"/>
      <c r="AP119" s="152"/>
      <c r="AQ119" s="152"/>
      <c r="AR119" s="81"/>
      <c r="AS119" s="81"/>
      <c r="AT119" s="82"/>
      <c r="AU119" s="82"/>
      <c r="AV119" s="176"/>
      <c r="AW119" s="89"/>
      <c r="AX119" s="89"/>
      <c r="AY119" s="89"/>
      <c r="AZ119" s="89"/>
      <c r="BA119" s="89"/>
      <c r="BB119" s="89"/>
      <c r="BC119" s="89"/>
      <c r="BD119" s="89"/>
      <c r="BE119" s="141"/>
      <c r="BF119" s="176"/>
      <c r="BG119" s="176"/>
      <c r="BH119" s="176"/>
      <c r="BI119" s="176"/>
    </row>
    <row r="120" spans="1:61" s="90" customFormat="1">
      <c r="A120" s="83">
        <v>117</v>
      </c>
      <c r="B120" s="85"/>
      <c r="C120" s="84"/>
      <c r="D120" s="112"/>
      <c r="E120" s="112"/>
      <c r="F120" s="112"/>
      <c r="G120" s="290"/>
      <c r="H120" s="280">
        <f t="shared" si="11"/>
        <v>0</v>
      </c>
      <c r="I120" s="280">
        <f t="shared" si="12"/>
        <v>0</v>
      </c>
      <c r="J120" s="280">
        <f t="shared" si="13"/>
        <v>0</v>
      </c>
      <c r="K120" s="120" t="str">
        <f t="shared" si="9"/>
        <v/>
      </c>
      <c r="L120" s="287"/>
      <c r="M120" s="91"/>
      <c r="N120" s="99"/>
      <c r="O120" s="116"/>
      <c r="P120" s="86"/>
      <c r="Q120" s="92"/>
      <c r="R120" s="120">
        <f t="shared" si="10"/>
        <v>0</v>
      </c>
      <c r="S120" s="93"/>
      <c r="T120" s="117"/>
      <c r="U120" s="117"/>
      <c r="V120" s="85"/>
      <c r="W120" s="146"/>
      <c r="X120" s="137"/>
      <c r="Y120" s="137"/>
      <c r="Z120" s="137"/>
      <c r="AA120" s="137"/>
      <c r="AB120" s="137"/>
      <c r="AC120" s="137"/>
      <c r="AD120" s="137"/>
      <c r="AE120" s="137"/>
      <c r="AF120" s="141"/>
      <c r="AG120" s="146"/>
      <c r="AH120" s="146"/>
      <c r="AI120" s="146"/>
      <c r="AJ120" s="146"/>
      <c r="AK120" s="146"/>
      <c r="AL120" s="81"/>
      <c r="AM120" s="81"/>
      <c r="AN120" s="152"/>
      <c r="AO120" s="152"/>
      <c r="AP120" s="152"/>
      <c r="AQ120" s="152"/>
      <c r="AR120" s="81"/>
      <c r="AS120" s="81"/>
      <c r="AT120" s="82"/>
      <c r="AU120" s="82"/>
      <c r="AV120" s="176"/>
      <c r="AW120" s="89"/>
      <c r="AX120" s="89"/>
      <c r="AY120" s="89"/>
      <c r="AZ120" s="89"/>
      <c r="BA120" s="89"/>
      <c r="BB120" s="89"/>
      <c r="BC120" s="89"/>
      <c r="BD120" s="89"/>
      <c r="BE120" s="141"/>
      <c r="BF120" s="176"/>
      <c r="BG120" s="176"/>
      <c r="BH120" s="176"/>
      <c r="BI120" s="176"/>
    </row>
    <row r="121" spans="1:61" s="90" customFormat="1">
      <c r="A121" s="83">
        <v>118</v>
      </c>
      <c r="B121" s="85"/>
      <c r="C121" s="84"/>
      <c r="D121" s="112"/>
      <c r="E121" s="112"/>
      <c r="F121" s="112"/>
      <c r="G121" s="290"/>
      <c r="H121" s="280">
        <f t="shared" si="11"/>
        <v>0</v>
      </c>
      <c r="I121" s="280">
        <f t="shared" si="12"/>
        <v>0</v>
      </c>
      <c r="J121" s="280">
        <f t="shared" si="13"/>
        <v>0</v>
      </c>
      <c r="K121" s="120" t="str">
        <f t="shared" si="9"/>
        <v/>
      </c>
      <c r="L121" s="287"/>
      <c r="M121" s="91"/>
      <c r="N121" s="99"/>
      <c r="O121" s="116"/>
      <c r="P121" s="86"/>
      <c r="Q121" s="92"/>
      <c r="R121" s="120">
        <f t="shared" si="10"/>
        <v>0</v>
      </c>
      <c r="S121" s="93"/>
      <c r="T121" s="117"/>
      <c r="U121" s="117"/>
      <c r="V121" s="85"/>
      <c r="W121" s="146"/>
      <c r="X121" s="137"/>
      <c r="Y121" s="137"/>
      <c r="Z121" s="137"/>
      <c r="AA121" s="137"/>
      <c r="AB121" s="137"/>
      <c r="AC121" s="137"/>
      <c r="AD121" s="137"/>
      <c r="AE121" s="137"/>
      <c r="AF121" s="141"/>
      <c r="AG121" s="146"/>
      <c r="AH121" s="146"/>
      <c r="AI121" s="146"/>
      <c r="AJ121" s="146"/>
      <c r="AK121" s="146"/>
      <c r="AL121" s="81"/>
      <c r="AM121" s="81"/>
      <c r="AN121" s="152"/>
      <c r="AO121" s="152"/>
      <c r="AP121" s="152"/>
      <c r="AQ121" s="152"/>
      <c r="AR121" s="81"/>
      <c r="AS121" s="81"/>
      <c r="AT121" s="82"/>
      <c r="AU121" s="82"/>
      <c r="AV121" s="176"/>
      <c r="AW121" s="89"/>
      <c r="AX121" s="89"/>
      <c r="AY121" s="89"/>
      <c r="AZ121" s="89"/>
      <c r="BA121" s="89"/>
      <c r="BB121" s="89"/>
      <c r="BC121" s="89"/>
      <c r="BD121" s="89"/>
      <c r="BE121" s="141"/>
      <c r="BF121" s="176"/>
      <c r="BG121" s="176"/>
      <c r="BH121" s="176"/>
      <c r="BI121" s="176"/>
    </row>
    <row r="122" spans="1:61" s="90" customFormat="1">
      <c r="A122" s="83">
        <v>119</v>
      </c>
      <c r="B122" s="85"/>
      <c r="C122" s="84"/>
      <c r="D122" s="112"/>
      <c r="E122" s="112"/>
      <c r="F122" s="112"/>
      <c r="G122" s="290"/>
      <c r="H122" s="280">
        <f t="shared" si="11"/>
        <v>0</v>
      </c>
      <c r="I122" s="280">
        <f t="shared" si="12"/>
        <v>0</v>
      </c>
      <c r="J122" s="280">
        <f t="shared" si="13"/>
        <v>0</v>
      </c>
      <c r="K122" s="120" t="str">
        <f t="shared" si="9"/>
        <v/>
      </c>
      <c r="L122" s="287"/>
      <c r="M122" s="91"/>
      <c r="N122" s="99"/>
      <c r="O122" s="116"/>
      <c r="P122" s="86"/>
      <c r="Q122" s="92"/>
      <c r="R122" s="120">
        <f t="shared" si="10"/>
        <v>0</v>
      </c>
      <c r="S122" s="93"/>
      <c r="T122" s="117"/>
      <c r="U122" s="117"/>
      <c r="V122" s="85"/>
      <c r="W122" s="146"/>
      <c r="X122" s="137"/>
      <c r="Y122" s="137"/>
      <c r="Z122" s="137"/>
      <c r="AA122" s="137"/>
      <c r="AB122" s="137"/>
      <c r="AC122" s="137"/>
      <c r="AD122" s="137"/>
      <c r="AE122" s="137"/>
      <c r="AF122" s="141"/>
      <c r="AG122" s="146"/>
      <c r="AH122" s="146"/>
      <c r="AI122" s="146"/>
      <c r="AJ122" s="146"/>
      <c r="AK122" s="146"/>
      <c r="AL122" s="81"/>
      <c r="AM122" s="81"/>
      <c r="AN122" s="152"/>
      <c r="AO122" s="152"/>
      <c r="AP122" s="152"/>
      <c r="AQ122" s="152"/>
      <c r="AR122" s="81"/>
      <c r="AS122" s="81"/>
      <c r="AT122" s="82"/>
      <c r="AU122" s="82"/>
      <c r="AV122" s="176"/>
      <c r="AW122" s="89"/>
      <c r="AX122" s="89"/>
      <c r="AY122" s="89"/>
      <c r="AZ122" s="89"/>
      <c r="BA122" s="89"/>
      <c r="BB122" s="89"/>
      <c r="BC122" s="89"/>
      <c r="BD122" s="89"/>
      <c r="BE122" s="141"/>
      <c r="BF122" s="176"/>
      <c r="BG122" s="176"/>
      <c r="BH122" s="176"/>
      <c r="BI122" s="176"/>
    </row>
    <row r="123" spans="1:61" s="90" customFormat="1">
      <c r="A123" s="83">
        <v>120</v>
      </c>
      <c r="B123" s="85"/>
      <c r="C123" s="84"/>
      <c r="D123" s="112"/>
      <c r="E123" s="112"/>
      <c r="F123" s="112"/>
      <c r="G123" s="290"/>
      <c r="H123" s="280">
        <f t="shared" si="11"/>
        <v>0</v>
      </c>
      <c r="I123" s="280">
        <f t="shared" si="12"/>
        <v>0</v>
      </c>
      <c r="J123" s="280">
        <f t="shared" si="13"/>
        <v>0</v>
      </c>
      <c r="K123" s="120" t="str">
        <f t="shared" si="9"/>
        <v/>
      </c>
      <c r="L123" s="287"/>
      <c r="M123" s="91"/>
      <c r="N123" s="99"/>
      <c r="O123" s="116"/>
      <c r="P123" s="86"/>
      <c r="Q123" s="92"/>
      <c r="R123" s="120">
        <f t="shared" si="10"/>
        <v>0</v>
      </c>
      <c r="S123" s="93"/>
      <c r="T123" s="117"/>
      <c r="U123" s="117"/>
      <c r="V123" s="85"/>
      <c r="W123" s="146"/>
      <c r="X123" s="137"/>
      <c r="Y123" s="137"/>
      <c r="Z123" s="137"/>
      <c r="AA123" s="137"/>
      <c r="AB123" s="137"/>
      <c r="AC123" s="137"/>
      <c r="AD123" s="137"/>
      <c r="AE123" s="137"/>
      <c r="AF123" s="141"/>
      <c r="AG123" s="146"/>
      <c r="AH123" s="146"/>
      <c r="AI123" s="146"/>
      <c r="AJ123" s="146"/>
      <c r="AK123" s="146"/>
      <c r="AL123" s="81"/>
      <c r="AM123" s="81"/>
      <c r="AN123" s="152"/>
      <c r="AO123" s="152"/>
      <c r="AP123" s="152"/>
      <c r="AQ123" s="152"/>
      <c r="AR123" s="81"/>
      <c r="AS123" s="81"/>
      <c r="AT123" s="82"/>
      <c r="AU123" s="82"/>
      <c r="AV123" s="176"/>
      <c r="AW123" s="89"/>
      <c r="AX123" s="89"/>
      <c r="AY123" s="89"/>
      <c r="AZ123" s="89"/>
      <c r="BA123" s="89"/>
      <c r="BB123" s="89"/>
      <c r="BC123" s="89"/>
      <c r="BD123" s="89"/>
      <c r="BE123" s="141"/>
      <c r="BF123" s="176"/>
      <c r="BG123" s="176"/>
      <c r="BH123" s="176"/>
      <c r="BI123" s="176"/>
    </row>
    <row r="124" spans="1:61" s="90" customFormat="1">
      <c r="A124" s="83">
        <v>121</v>
      </c>
      <c r="B124" s="85"/>
      <c r="C124" s="84"/>
      <c r="D124" s="112"/>
      <c r="E124" s="112"/>
      <c r="F124" s="112"/>
      <c r="G124" s="290"/>
      <c r="H124" s="280">
        <f t="shared" si="11"/>
        <v>0</v>
      </c>
      <c r="I124" s="280">
        <f t="shared" si="12"/>
        <v>0</v>
      </c>
      <c r="J124" s="280">
        <f t="shared" si="13"/>
        <v>0</v>
      </c>
      <c r="K124" s="120" t="str">
        <f t="shared" si="9"/>
        <v/>
      </c>
      <c r="L124" s="287"/>
      <c r="M124" s="91"/>
      <c r="N124" s="99"/>
      <c r="O124" s="116"/>
      <c r="P124" s="86"/>
      <c r="Q124" s="92"/>
      <c r="R124" s="120">
        <f t="shared" si="10"/>
        <v>0</v>
      </c>
      <c r="S124" s="93"/>
      <c r="T124" s="117"/>
      <c r="U124" s="117"/>
      <c r="V124" s="85"/>
      <c r="W124" s="146"/>
      <c r="X124" s="137"/>
      <c r="Y124" s="137"/>
      <c r="Z124" s="137"/>
      <c r="AA124" s="137"/>
      <c r="AB124" s="137"/>
      <c r="AC124" s="137"/>
      <c r="AD124" s="137"/>
      <c r="AE124" s="137"/>
      <c r="AF124" s="141"/>
      <c r="AG124" s="146"/>
      <c r="AH124" s="146"/>
      <c r="AI124" s="146"/>
      <c r="AJ124" s="146"/>
      <c r="AK124" s="146"/>
      <c r="AL124" s="81"/>
      <c r="AM124" s="81"/>
      <c r="AN124" s="152"/>
      <c r="AO124" s="152"/>
      <c r="AP124" s="152"/>
      <c r="AQ124" s="152"/>
      <c r="AR124" s="81"/>
      <c r="AS124" s="81"/>
      <c r="AT124" s="82"/>
      <c r="AU124" s="82"/>
      <c r="AV124" s="176"/>
      <c r="AW124" s="89"/>
      <c r="AX124" s="89"/>
      <c r="AY124" s="89"/>
      <c r="AZ124" s="89"/>
      <c r="BA124" s="89"/>
      <c r="BB124" s="89"/>
      <c r="BC124" s="89"/>
      <c r="BD124" s="89"/>
      <c r="BE124" s="141"/>
      <c r="BF124" s="176"/>
      <c r="BG124" s="176"/>
      <c r="BH124" s="176"/>
      <c r="BI124" s="176"/>
    </row>
    <row r="125" spans="1:61" s="90" customFormat="1">
      <c r="A125" s="83">
        <v>122</v>
      </c>
      <c r="B125" s="85"/>
      <c r="C125" s="84"/>
      <c r="D125" s="112"/>
      <c r="E125" s="112"/>
      <c r="F125" s="112"/>
      <c r="G125" s="290"/>
      <c r="H125" s="280">
        <f t="shared" si="11"/>
        <v>0</v>
      </c>
      <c r="I125" s="280">
        <f t="shared" si="12"/>
        <v>0</v>
      </c>
      <c r="J125" s="280">
        <f t="shared" si="13"/>
        <v>0</v>
      </c>
      <c r="K125" s="120" t="str">
        <f t="shared" si="9"/>
        <v/>
      </c>
      <c r="L125" s="287"/>
      <c r="M125" s="91"/>
      <c r="N125" s="99"/>
      <c r="O125" s="116"/>
      <c r="P125" s="86"/>
      <c r="Q125" s="92"/>
      <c r="R125" s="120">
        <f t="shared" si="10"/>
        <v>0</v>
      </c>
      <c r="S125" s="93"/>
      <c r="T125" s="117"/>
      <c r="U125" s="117"/>
      <c r="V125" s="85"/>
      <c r="W125" s="146"/>
      <c r="X125" s="137"/>
      <c r="Y125" s="137"/>
      <c r="Z125" s="137"/>
      <c r="AA125" s="137"/>
      <c r="AB125" s="137"/>
      <c r="AC125" s="137"/>
      <c r="AD125" s="137"/>
      <c r="AE125" s="137"/>
      <c r="AF125" s="141"/>
      <c r="AG125" s="146"/>
      <c r="AH125" s="146"/>
      <c r="AI125" s="146"/>
      <c r="AJ125" s="146"/>
      <c r="AK125" s="146"/>
      <c r="AL125" s="81"/>
      <c r="AM125" s="81"/>
      <c r="AN125" s="152"/>
      <c r="AO125" s="152"/>
      <c r="AP125" s="152"/>
      <c r="AQ125" s="152"/>
      <c r="AR125" s="81"/>
      <c r="AS125" s="81"/>
      <c r="AT125" s="82"/>
      <c r="AU125" s="82"/>
      <c r="AV125" s="176"/>
      <c r="AW125" s="89"/>
      <c r="AX125" s="89"/>
      <c r="AY125" s="89"/>
      <c r="AZ125" s="89"/>
      <c r="BA125" s="89"/>
      <c r="BB125" s="89"/>
      <c r="BC125" s="89"/>
      <c r="BD125" s="89"/>
      <c r="BE125" s="141"/>
      <c r="BF125" s="176"/>
      <c r="BG125" s="176"/>
      <c r="BH125" s="176"/>
      <c r="BI125" s="176"/>
    </row>
    <row r="126" spans="1:61" s="90" customFormat="1">
      <c r="A126" s="83">
        <v>123</v>
      </c>
      <c r="B126" s="85"/>
      <c r="C126" s="84"/>
      <c r="D126" s="112"/>
      <c r="E126" s="112"/>
      <c r="F126" s="112"/>
      <c r="G126" s="290"/>
      <c r="H126" s="280">
        <f t="shared" si="11"/>
        <v>0</v>
      </c>
      <c r="I126" s="280">
        <f t="shared" si="12"/>
        <v>0</v>
      </c>
      <c r="J126" s="280">
        <f t="shared" si="13"/>
        <v>0</v>
      </c>
      <c r="K126" s="120" t="str">
        <f t="shared" si="9"/>
        <v/>
      </c>
      <c r="L126" s="287"/>
      <c r="M126" s="91"/>
      <c r="N126" s="99"/>
      <c r="O126" s="116"/>
      <c r="P126" s="86"/>
      <c r="Q126" s="92"/>
      <c r="R126" s="120">
        <f t="shared" si="10"/>
        <v>0</v>
      </c>
      <c r="S126" s="93"/>
      <c r="T126" s="117"/>
      <c r="U126" s="117"/>
      <c r="V126" s="85"/>
      <c r="W126" s="146"/>
      <c r="X126" s="137"/>
      <c r="Y126" s="137"/>
      <c r="Z126" s="137"/>
      <c r="AA126" s="137"/>
      <c r="AB126" s="137"/>
      <c r="AC126" s="137"/>
      <c r="AD126" s="137"/>
      <c r="AE126" s="137"/>
      <c r="AF126" s="141"/>
      <c r="AG126" s="146"/>
      <c r="AH126" s="146"/>
      <c r="AI126" s="146"/>
      <c r="AJ126" s="146"/>
      <c r="AK126" s="146"/>
      <c r="AL126" s="81"/>
      <c r="AM126" s="81"/>
      <c r="AN126" s="152"/>
      <c r="AO126" s="152"/>
      <c r="AP126" s="152"/>
      <c r="AQ126" s="152"/>
      <c r="AR126" s="81"/>
      <c r="AS126" s="81"/>
      <c r="AT126" s="82"/>
      <c r="AU126" s="82"/>
      <c r="AV126" s="176"/>
      <c r="AW126" s="89"/>
      <c r="AX126" s="89"/>
      <c r="AY126" s="89"/>
      <c r="AZ126" s="89"/>
      <c r="BA126" s="89"/>
      <c r="BB126" s="89"/>
      <c r="BC126" s="89"/>
      <c r="BD126" s="89"/>
      <c r="BE126" s="141"/>
      <c r="BF126" s="176"/>
      <c r="BG126" s="176"/>
      <c r="BH126" s="176"/>
      <c r="BI126" s="176"/>
    </row>
    <row r="127" spans="1:61" s="90" customFormat="1">
      <c r="A127" s="83">
        <v>124</v>
      </c>
      <c r="B127" s="85"/>
      <c r="C127" s="84"/>
      <c r="D127" s="112"/>
      <c r="E127" s="112"/>
      <c r="F127" s="112"/>
      <c r="G127" s="290"/>
      <c r="H127" s="280">
        <f t="shared" si="11"/>
        <v>0</v>
      </c>
      <c r="I127" s="280">
        <f t="shared" si="12"/>
        <v>0</v>
      </c>
      <c r="J127" s="280">
        <f t="shared" si="13"/>
        <v>0</v>
      </c>
      <c r="K127" s="120" t="str">
        <f t="shared" si="9"/>
        <v/>
      </c>
      <c r="L127" s="287"/>
      <c r="M127" s="91"/>
      <c r="N127" s="99"/>
      <c r="O127" s="116"/>
      <c r="P127" s="86"/>
      <c r="Q127" s="92"/>
      <c r="R127" s="120">
        <f t="shared" si="10"/>
        <v>0</v>
      </c>
      <c r="S127" s="93"/>
      <c r="T127" s="117"/>
      <c r="U127" s="117"/>
      <c r="V127" s="85"/>
      <c r="W127" s="146"/>
      <c r="X127" s="137"/>
      <c r="Y127" s="137"/>
      <c r="Z127" s="137"/>
      <c r="AA127" s="137"/>
      <c r="AB127" s="137"/>
      <c r="AC127" s="137"/>
      <c r="AD127" s="137"/>
      <c r="AE127" s="137"/>
      <c r="AF127" s="141"/>
      <c r="AG127" s="146"/>
      <c r="AH127" s="146"/>
      <c r="AI127" s="146"/>
      <c r="AJ127" s="146"/>
      <c r="AK127" s="146"/>
      <c r="AL127" s="81"/>
      <c r="AM127" s="81"/>
      <c r="AN127" s="152"/>
      <c r="AO127" s="152"/>
      <c r="AP127" s="152"/>
      <c r="AQ127" s="152"/>
      <c r="AR127" s="81"/>
      <c r="AS127" s="81"/>
      <c r="AT127" s="82"/>
      <c r="AU127" s="82"/>
      <c r="AV127" s="176"/>
      <c r="AW127" s="89"/>
      <c r="AX127" s="89"/>
      <c r="AY127" s="89"/>
      <c r="AZ127" s="89"/>
      <c r="BA127" s="89"/>
      <c r="BB127" s="89"/>
      <c r="BC127" s="89"/>
      <c r="BD127" s="89"/>
      <c r="BE127" s="141"/>
      <c r="BF127" s="176"/>
      <c r="BG127" s="176"/>
      <c r="BH127" s="176"/>
      <c r="BI127" s="176"/>
    </row>
    <row r="128" spans="1:61" s="90" customFormat="1">
      <c r="A128" s="83">
        <v>125</v>
      </c>
      <c r="B128" s="85"/>
      <c r="C128" s="84"/>
      <c r="D128" s="112"/>
      <c r="E128" s="112"/>
      <c r="F128" s="112"/>
      <c r="G128" s="290"/>
      <c r="H128" s="280">
        <f t="shared" si="11"/>
        <v>0</v>
      </c>
      <c r="I128" s="280">
        <f t="shared" si="12"/>
        <v>0</v>
      </c>
      <c r="J128" s="280">
        <f t="shared" si="13"/>
        <v>0</v>
      </c>
      <c r="K128" s="120" t="str">
        <f t="shared" si="9"/>
        <v/>
      </c>
      <c r="L128" s="287"/>
      <c r="M128" s="91"/>
      <c r="N128" s="99"/>
      <c r="O128" s="116"/>
      <c r="P128" s="86"/>
      <c r="Q128" s="92"/>
      <c r="R128" s="120">
        <f t="shared" si="10"/>
        <v>0</v>
      </c>
      <c r="S128" s="93"/>
      <c r="T128" s="117"/>
      <c r="U128" s="117"/>
      <c r="V128" s="85"/>
      <c r="W128" s="146"/>
      <c r="X128" s="137"/>
      <c r="Y128" s="137"/>
      <c r="Z128" s="137"/>
      <c r="AA128" s="137"/>
      <c r="AB128" s="137"/>
      <c r="AC128" s="137"/>
      <c r="AD128" s="137"/>
      <c r="AE128" s="137"/>
      <c r="AF128" s="141"/>
      <c r="AG128" s="146"/>
      <c r="AH128" s="146"/>
      <c r="AI128" s="146"/>
      <c r="AJ128" s="146"/>
      <c r="AK128" s="146"/>
      <c r="AL128" s="81"/>
      <c r="AM128" s="81"/>
      <c r="AN128" s="152"/>
      <c r="AO128" s="152"/>
      <c r="AP128" s="152"/>
      <c r="AQ128" s="152"/>
      <c r="AR128" s="81"/>
      <c r="AS128" s="81"/>
      <c r="AT128" s="82"/>
      <c r="AU128" s="82"/>
      <c r="AV128" s="176"/>
      <c r="AW128" s="89"/>
      <c r="AX128" s="89"/>
      <c r="AY128" s="89"/>
      <c r="AZ128" s="89"/>
      <c r="BA128" s="89"/>
      <c r="BB128" s="89"/>
      <c r="BC128" s="89"/>
      <c r="BD128" s="89"/>
      <c r="BE128" s="141"/>
      <c r="BF128" s="176"/>
      <c r="BG128" s="176"/>
      <c r="BH128" s="176"/>
      <c r="BI128" s="176"/>
    </row>
    <row r="129" spans="1:61" s="90" customFormat="1">
      <c r="A129" s="83">
        <v>126</v>
      </c>
      <c r="B129" s="85"/>
      <c r="C129" s="84"/>
      <c r="D129" s="112"/>
      <c r="E129" s="112"/>
      <c r="F129" s="112"/>
      <c r="G129" s="290"/>
      <c r="H129" s="280">
        <f t="shared" si="11"/>
        <v>0</v>
      </c>
      <c r="I129" s="280">
        <f t="shared" si="12"/>
        <v>0</v>
      </c>
      <c r="J129" s="280">
        <f t="shared" si="13"/>
        <v>0</v>
      </c>
      <c r="K129" s="120" t="str">
        <f t="shared" si="9"/>
        <v/>
      </c>
      <c r="L129" s="287"/>
      <c r="M129" s="91"/>
      <c r="N129" s="99"/>
      <c r="O129" s="116"/>
      <c r="P129" s="86"/>
      <c r="Q129" s="92"/>
      <c r="R129" s="120">
        <f t="shared" si="10"/>
        <v>0</v>
      </c>
      <c r="S129" s="93"/>
      <c r="T129" s="117"/>
      <c r="U129" s="117"/>
      <c r="V129" s="85"/>
      <c r="W129" s="146"/>
      <c r="X129" s="137"/>
      <c r="Y129" s="137"/>
      <c r="Z129" s="137"/>
      <c r="AA129" s="137"/>
      <c r="AB129" s="137"/>
      <c r="AC129" s="137"/>
      <c r="AD129" s="137"/>
      <c r="AE129" s="137"/>
      <c r="AF129" s="141"/>
      <c r="AG129" s="146"/>
      <c r="AH129" s="146"/>
      <c r="AI129" s="146"/>
      <c r="AJ129" s="146"/>
      <c r="AK129" s="146"/>
      <c r="AL129" s="81"/>
      <c r="AM129" s="81"/>
      <c r="AN129" s="152"/>
      <c r="AO129" s="152"/>
      <c r="AP129" s="152"/>
      <c r="AQ129" s="152"/>
      <c r="AR129" s="81"/>
      <c r="AS129" s="81"/>
      <c r="AT129" s="82"/>
      <c r="AU129" s="82"/>
      <c r="AV129" s="176"/>
      <c r="AW129" s="89"/>
      <c r="AX129" s="89"/>
      <c r="AY129" s="89"/>
      <c r="AZ129" s="89"/>
      <c r="BA129" s="89"/>
      <c r="BB129" s="89"/>
      <c r="BC129" s="89"/>
      <c r="BD129" s="89"/>
      <c r="BE129" s="141"/>
      <c r="BF129" s="176"/>
      <c r="BG129" s="176"/>
      <c r="BH129" s="176"/>
      <c r="BI129" s="176"/>
    </row>
    <row r="130" spans="1:61" s="90" customFormat="1">
      <c r="A130" s="83">
        <v>127</v>
      </c>
      <c r="B130" s="85"/>
      <c r="C130" s="84"/>
      <c r="D130" s="112"/>
      <c r="E130" s="112"/>
      <c r="F130" s="112"/>
      <c r="G130" s="290"/>
      <c r="H130" s="280">
        <f t="shared" si="11"/>
        <v>0</v>
      </c>
      <c r="I130" s="280">
        <f t="shared" si="12"/>
        <v>0</v>
      </c>
      <c r="J130" s="280">
        <f t="shared" si="13"/>
        <v>0</v>
      </c>
      <c r="K130" s="120" t="str">
        <f t="shared" si="9"/>
        <v/>
      </c>
      <c r="L130" s="287"/>
      <c r="M130" s="91"/>
      <c r="N130" s="99"/>
      <c r="O130" s="116"/>
      <c r="P130" s="86"/>
      <c r="Q130" s="92"/>
      <c r="R130" s="120">
        <f t="shared" si="10"/>
        <v>0</v>
      </c>
      <c r="S130" s="93"/>
      <c r="T130" s="117"/>
      <c r="U130" s="117"/>
      <c r="V130" s="85"/>
      <c r="W130" s="146"/>
      <c r="X130" s="137"/>
      <c r="Y130" s="137"/>
      <c r="Z130" s="137"/>
      <c r="AA130" s="137"/>
      <c r="AB130" s="137"/>
      <c r="AC130" s="137"/>
      <c r="AD130" s="137"/>
      <c r="AE130" s="137"/>
      <c r="AF130" s="141"/>
      <c r="AG130" s="146"/>
      <c r="AH130" s="146"/>
      <c r="AI130" s="146"/>
      <c r="AJ130" s="146"/>
      <c r="AK130" s="146"/>
      <c r="AL130" s="81"/>
      <c r="AM130" s="81"/>
      <c r="AN130" s="152"/>
      <c r="AO130" s="152"/>
      <c r="AP130" s="152"/>
      <c r="AQ130" s="152"/>
      <c r="AR130" s="81"/>
      <c r="AS130" s="81"/>
      <c r="AT130" s="82"/>
      <c r="AU130" s="82"/>
      <c r="AV130" s="176"/>
      <c r="AW130" s="89"/>
      <c r="AX130" s="89"/>
      <c r="AY130" s="89"/>
      <c r="AZ130" s="89"/>
      <c r="BA130" s="89"/>
      <c r="BB130" s="89"/>
      <c r="BC130" s="89"/>
      <c r="BD130" s="89"/>
      <c r="BE130" s="141"/>
      <c r="BF130" s="176"/>
      <c r="BG130" s="176"/>
      <c r="BH130" s="176"/>
      <c r="BI130" s="176"/>
    </row>
    <row r="131" spans="1:61" s="90" customFormat="1">
      <c r="A131" s="83">
        <v>128</v>
      </c>
      <c r="B131" s="85"/>
      <c r="C131" s="84"/>
      <c r="D131" s="112"/>
      <c r="E131" s="112"/>
      <c r="F131" s="112"/>
      <c r="G131" s="290"/>
      <c r="H131" s="280">
        <f t="shared" si="11"/>
        <v>0</v>
      </c>
      <c r="I131" s="280">
        <f t="shared" si="12"/>
        <v>0</v>
      </c>
      <c r="J131" s="280">
        <f t="shared" si="13"/>
        <v>0</v>
      </c>
      <c r="K131" s="120" t="str">
        <f t="shared" si="9"/>
        <v/>
      </c>
      <c r="L131" s="287"/>
      <c r="M131" s="91"/>
      <c r="N131" s="99"/>
      <c r="O131" s="116"/>
      <c r="P131" s="86"/>
      <c r="Q131" s="92"/>
      <c r="R131" s="120">
        <f t="shared" si="10"/>
        <v>0</v>
      </c>
      <c r="S131" s="93"/>
      <c r="T131" s="117"/>
      <c r="U131" s="117"/>
      <c r="V131" s="85"/>
      <c r="W131" s="146"/>
      <c r="X131" s="137"/>
      <c r="Y131" s="137"/>
      <c r="Z131" s="137"/>
      <c r="AA131" s="137"/>
      <c r="AB131" s="137"/>
      <c r="AC131" s="137"/>
      <c r="AD131" s="137"/>
      <c r="AE131" s="137"/>
      <c r="AF131" s="141"/>
      <c r="AG131" s="146"/>
      <c r="AH131" s="146"/>
      <c r="AI131" s="146"/>
      <c r="AJ131" s="146"/>
      <c r="AK131" s="146"/>
      <c r="AL131" s="81"/>
      <c r="AM131" s="81"/>
      <c r="AN131" s="152"/>
      <c r="AO131" s="152"/>
      <c r="AP131" s="152"/>
      <c r="AQ131" s="152"/>
      <c r="AR131" s="81"/>
      <c r="AS131" s="81"/>
      <c r="AT131" s="82"/>
      <c r="AU131" s="82"/>
      <c r="AV131" s="176"/>
      <c r="AW131" s="89"/>
      <c r="AX131" s="89"/>
      <c r="AY131" s="89"/>
      <c r="AZ131" s="89"/>
      <c r="BA131" s="89"/>
      <c r="BB131" s="89"/>
      <c r="BC131" s="89"/>
      <c r="BD131" s="89"/>
      <c r="BE131" s="141"/>
      <c r="BF131" s="176"/>
      <c r="BG131" s="176"/>
      <c r="BH131" s="176"/>
      <c r="BI131" s="176"/>
    </row>
    <row r="132" spans="1:61" s="90" customFormat="1">
      <c r="A132" s="83">
        <v>129</v>
      </c>
      <c r="B132" s="85"/>
      <c r="C132" s="84"/>
      <c r="D132" s="112"/>
      <c r="E132" s="112"/>
      <c r="F132" s="112"/>
      <c r="G132" s="290"/>
      <c r="H132" s="280">
        <f t="shared" si="11"/>
        <v>0</v>
      </c>
      <c r="I132" s="280">
        <f t="shared" si="12"/>
        <v>0</v>
      </c>
      <c r="J132" s="280">
        <f t="shared" si="13"/>
        <v>0</v>
      </c>
      <c r="K132" s="120" t="str">
        <f t="shared" ref="K132:K195" si="14">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287"/>
      <c r="M132" s="91"/>
      <c r="N132" s="99"/>
      <c r="O132" s="116"/>
      <c r="P132" s="86"/>
      <c r="Q132" s="92"/>
      <c r="R132" s="120">
        <f t="shared" si="10"/>
        <v>0</v>
      </c>
      <c r="S132" s="93"/>
      <c r="T132" s="117"/>
      <c r="U132" s="117"/>
      <c r="V132" s="85"/>
      <c r="W132" s="146"/>
      <c r="X132" s="137"/>
      <c r="Y132" s="137"/>
      <c r="Z132" s="137"/>
      <c r="AA132" s="137"/>
      <c r="AB132" s="137"/>
      <c r="AC132" s="137"/>
      <c r="AD132" s="137"/>
      <c r="AE132" s="137"/>
      <c r="AF132" s="141"/>
      <c r="AG132" s="146"/>
      <c r="AH132" s="146"/>
      <c r="AI132" s="146"/>
      <c r="AJ132" s="146"/>
      <c r="AK132" s="146"/>
      <c r="AL132" s="81"/>
      <c r="AM132" s="81"/>
      <c r="AN132" s="152"/>
      <c r="AO132" s="152"/>
      <c r="AP132" s="152"/>
      <c r="AQ132" s="152"/>
      <c r="AR132" s="81"/>
      <c r="AS132" s="81"/>
      <c r="AT132" s="82"/>
      <c r="AU132" s="82"/>
      <c r="AV132" s="176"/>
      <c r="AW132" s="89"/>
      <c r="AX132" s="89"/>
      <c r="AY132" s="89"/>
      <c r="AZ132" s="89"/>
      <c r="BA132" s="89"/>
      <c r="BB132" s="89"/>
      <c r="BC132" s="89"/>
      <c r="BD132" s="89"/>
      <c r="BE132" s="141"/>
      <c r="BF132" s="176"/>
      <c r="BG132" s="176"/>
      <c r="BH132" s="176"/>
      <c r="BI132" s="176"/>
    </row>
    <row r="133" spans="1:61" s="90" customFormat="1">
      <c r="A133" s="83">
        <v>130</v>
      </c>
      <c r="B133" s="85"/>
      <c r="C133" s="84"/>
      <c r="D133" s="112"/>
      <c r="E133" s="112"/>
      <c r="F133" s="112"/>
      <c r="G133" s="290"/>
      <c r="H133" s="280">
        <f t="shared" si="11"/>
        <v>0</v>
      </c>
      <c r="I133" s="280">
        <f t="shared" si="12"/>
        <v>0</v>
      </c>
      <c r="J133" s="280">
        <f t="shared" si="13"/>
        <v>0</v>
      </c>
      <c r="K133" s="120" t="str">
        <f t="shared" si="14"/>
        <v/>
      </c>
      <c r="L133" s="287"/>
      <c r="M133" s="91"/>
      <c r="N133" s="99"/>
      <c r="O133" s="116"/>
      <c r="P133" s="86"/>
      <c r="Q133" s="92"/>
      <c r="R133" s="120">
        <f t="shared" ref="R133:R196" si="15">IFERROR(SUM(F133-D133),"NA")</f>
        <v>0</v>
      </c>
      <c r="S133" s="93"/>
      <c r="T133" s="117"/>
      <c r="U133" s="117"/>
      <c r="V133" s="85"/>
      <c r="W133" s="146"/>
      <c r="X133" s="137"/>
      <c r="Y133" s="137"/>
      <c r="Z133" s="137"/>
      <c r="AA133" s="137"/>
      <c r="AB133" s="137"/>
      <c r="AC133" s="137"/>
      <c r="AD133" s="137"/>
      <c r="AE133" s="137"/>
      <c r="AF133" s="141"/>
      <c r="AG133" s="146"/>
      <c r="AH133" s="146"/>
      <c r="AI133" s="146"/>
      <c r="AJ133" s="146"/>
      <c r="AK133" s="146"/>
      <c r="AL133" s="81"/>
      <c r="AM133" s="81"/>
      <c r="AN133" s="152"/>
      <c r="AO133" s="152"/>
      <c r="AP133" s="152"/>
      <c r="AQ133" s="152"/>
      <c r="AR133" s="81"/>
      <c r="AS133" s="81"/>
      <c r="AT133" s="82"/>
      <c r="AU133" s="82"/>
      <c r="AV133" s="176"/>
      <c r="AW133" s="89"/>
      <c r="AX133" s="89"/>
      <c r="AY133" s="89"/>
      <c r="AZ133" s="89"/>
      <c r="BA133" s="89"/>
      <c r="BB133" s="89"/>
      <c r="BC133" s="89"/>
      <c r="BD133" s="89"/>
      <c r="BE133" s="141"/>
      <c r="BF133" s="176"/>
      <c r="BG133" s="176"/>
      <c r="BH133" s="176"/>
      <c r="BI133" s="176"/>
    </row>
    <row r="134" spans="1:61" s="90" customFormat="1">
      <c r="A134" s="83">
        <v>131</v>
      </c>
      <c r="B134" s="85"/>
      <c r="C134" s="84"/>
      <c r="D134" s="112"/>
      <c r="E134" s="112"/>
      <c r="F134" s="112"/>
      <c r="G134" s="290"/>
      <c r="H134" s="280">
        <f t="shared" si="11"/>
        <v>0</v>
      </c>
      <c r="I134" s="280">
        <f t="shared" si="12"/>
        <v>0</v>
      </c>
      <c r="J134" s="280">
        <f t="shared" si="13"/>
        <v>0</v>
      </c>
      <c r="K134" s="120" t="str">
        <f t="shared" si="14"/>
        <v/>
      </c>
      <c r="L134" s="287"/>
      <c r="M134" s="91"/>
      <c r="N134" s="99"/>
      <c r="O134" s="116"/>
      <c r="P134" s="86"/>
      <c r="Q134" s="92"/>
      <c r="R134" s="120">
        <f t="shared" si="15"/>
        <v>0</v>
      </c>
      <c r="S134" s="93"/>
      <c r="T134" s="117"/>
      <c r="U134" s="117"/>
      <c r="V134" s="85"/>
      <c r="W134" s="146"/>
      <c r="X134" s="137"/>
      <c r="Y134" s="137"/>
      <c r="Z134" s="137"/>
      <c r="AA134" s="137"/>
      <c r="AB134" s="137"/>
      <c r="AC134" s="137"/>
      <c r="AD134" s="137"/>
      <c r="AE134" s="137"/>
      <c r="AF134" s="141"/>
      <c r="AG134" s="146"/>
      <c r="AH134" s="146"/>
      <c r="AI134" s="146"/>
      <c r="AJ134" s="146"/>
      <c r="AK134" s="146"/>
      <c r="AL134" s="81"/>
      <c r="AM134" s="81"/>
      <c r="AN134" s="152"/>
      <c r="AO134" s="152"/>
      <c r="AP134" s="152"/>
      <c r="AQ134" s="152"/>
      <c r="AR134" s="81"/>
      <c r="AS134" s="81"/>
      <c r="AT134" s="82"/>
      <c r="AU134" s="82"/>
      <c r="AV134" s="176"/>
      <c r="AW134" s="89"/>
      <c r="AX134" s="89"/>
      <c r="AY134" s="89"/>
      <c r="AZ134" s="89"/>
      <c r="BA134" s="89"/>
      <c r="BB134" s="89"/>
      <c r="BC134" s="89"/>
      <c r="BD134" s="89"/>
      <c r="BE134" s="141"/>
      <c r="BF134" s="176"/>
      <c r="BG134" s="176"/>
      <c r="BH134" s="176"/>
      <c r="BI134" s="176"/>
    </row>
    <row r="135" spans="1:61" s="90" customFormat="1">
      <c r="A135" s="83">
        <v>132</v>
      </c>
      <c r="B135" s="85"/>
      <c r="C135" s="84"/>
      <c r="D135" s="112"/>
      <c r="E135" s="112"/>
      <c r="F135" s="112"/>
      <c r="G135" s="290"/>
      <c r="H135" s="280">
        <f t="shared" si="11"/>
        <v>0</v>
      </c>
      <c r="I135" s="280">
        <f t="shared" si="12"/>
        <v>0</v>
      </c>
      <c r="J135" s="280">
        <f t="shared" si="13"/>
        <v>0</v>
      </c>
      <c r="K135" s="120" t="str">
        <f t="shared" si="14"/>
        <v/>
      </c>
      <c r="L135" s="287"/>
      <c r="M135" s="91"/>
      <c r="N135" s="99"/>
      <c r="O135" s="116"/>
      <c r="P135" s="86"/>
      <c r="Q135" s="92"/>
      <c r="R135" s="120">
        <f t="shared" si="15"/>
        <v>0</v>
      </c>
      <c r="S135" s="93"/>
      <c r="T135" s="117"/>
      <c r="U135" s="117"/>
      <c r="V135" s="85"/>
      <c r="W135" s="146"/>
      <c r="X135" s="137"/>
      <c r="Y135" s="137"/>
      <c r="Z135" s="137"/>
      <c r="AA135" s="137"/>
      <c r="AB135" s="137"/>
      <c r="AC135" s="137"/>
      <c r="AD135" s="137"/>
      <c r="AE135" s="137"/>
      <c r="AF135" s="141"/>
      <c r="AG135" s="146"/>
      <c r="AH135" s="146"/>
      <c r="AI135" s="146"/>
      <c r="AJ135" s="146"/>
      <c r="AK135" s="146"/>
      <c r="AL135" s="81"/>
      <c r="AM135" s="81"/>
      <c r="AN135" s="152"/>
      <c r="AO135" s="152"/>
      <c r="AP135" s="152"/>
      <c r="AQ135" s="152"/>
      <c r="AR135" s="81"/>
      <c r="AS135" s="81"/>
      <c r="AT135" s="82"/>
      <c r="AU135" s="82"/>
      <c r="AV135" s="176"/>
      <c r="AW135" s="89"/>
      <c r="AX135" s="89"/>
      <c r="AY135" s="89"/>
      <c r="AZ135" s="89"/>
      <c r="BA135" s="89"/>
      <c r="BB135" s="89"/>
      <c r="BC135" s="89"/>
      <c r="BD135" s="89"/>
      <c r="BE135" s="141"/>
      <c r="BF135" s="176"/>
      <c r="BG135" s="176"/>
      <c r="BH135" s="176"/>
      <c r="BI135" s="176"/>
    </row>
    <row r="136" spans="1:61" s="90" customFormat="1">
      <c r="A136" s="83">
        <v>133</v>
      </c>
      <c r="B136" s="85"/>
      <c r="C136" s="84"/>
      <c r="D136" s="112"/>
      <c r="E136" s="112"/>
      <c r="F136" s="112"/>
      <c r="G136" s="290"/>
      <c r="H136" s="280">
        <f t="shared" si="11"/>
        <v>0</v>
      </c>
      <c r="I136" s="280">
        <f t="shared" si="12"/>
        <v>0</v>
      </c>
      <c r="J136" s="280">
        <f t="shared" si="13"/>
        <v>0</v>
      </c>
      <c r="K136" s="120" t="str">
        <f t="shared" si="14"/>
        <v/>
      </c>
      <c r="L136" s="287"/>
      <c r="M136" s="91"/>
      <c r="N136" s="99"/>
      <c r="O136" s="116"/>
      <c r="P136" s="86"/>
      <c r="Q136" s="92"/>
      <c r="R136" s="120">
        <f t="shared" si="15"/>
        <v>0</v>
      </c>
      <c r="S136" s="93"/>
      <c r="T136" s="117"/>
      <c r="U136" s="117"/>
      <c r="V136" s="85"/>
      <c r="W136" s="146"/>
      <c r="X136" s="137"/>
      <c r="Y136" s="137"/>
      <c r="Z136" s="137"/>
      <c r="AA136" s="137"/>
      <c r="AB136" s="137"/>
      <c r="AC136" s="137"/>
      <c r="AD136" s="137"/>
      <c r="AE136" s="137"/>
      <c r="AF136" s="141"/>
      <c r="AG136" s="146"/>
      <c r="AH136" s="146"/>
      <c r="AI136" s="146"/>
      <c r="AJ136" s="146"/>
      <c r="AK136" s="146"/>
      <c r="AL136" s="81"/>
      <c r="AM136" s="81"/>
      <c r="AN136" s="152"/>
      <c r="AO136" s="152"/>
      <c r="AP136" s="152"/>
      <c r="AQ136" s="152"/>
      <c r="AR136" s="81"/>
      <c r="AS136" s="81"/>
      <c r="AT136" s="82"/>
      <c r="AU136" s="82"/>
      <c r="AV136" s="176"/>
      <c r="AW136" s="89"/>
      <c r="AX136" s="89"/>
      <c r="AY136" s="89"/>
      <c r="AZ136" s="89"/>
      <c r="BA136" s="89"/>
      <c r="BB136" s="89"/>
      <c r="BC136" s="89"/>
      <c r="BD136" s="89"/>
      <c r="BE136" s="141"/>
      <c r="BF136" s="176"/>
      <c r="BG136" s="176"/>
      <c r="BH136" s="176"/>
      <c r="BI136" s="176"/>
    </row>
    <row r="137" spans="1:61" s="90" customFormat="1">
      <c r="A137" s="83">
        <v>134</v>
      </c>
      <c r="B137" s="85"/>
      <c r="C137" s="84"/>
      <c r="D137" s="112"/>
      <c r="E137" s="112"/>
      <c r="F137" s="112"/>
      <c r="G137" s="290"/>
      <c r="H137" s="280">
        <f t="shared" si="11"/>
        <v>0</v>
      </c>
      <c r="I137" s="280">
        <f t="shared" si="12"/>
        <v>0</v>
      </c>
      <c r="J137" s="280">
        <f t="shared" si="13"/>
        <v>0</v>
      </c>
      <c r="K137" s="120" t="str">
        <f t="shared" si="14"/>
        <v/>
      </c>
      <c r="L137" s="287"/>
      <c r="M137" s="91"/>
      <c r="N137" s="99"/>
      <c r="O137" s="116"/>
      <c r="P137" s="86"/>
      <c r="Q137" s="92"/>
      <c r="R137" s="120">
        <f t="shared" si="15"/>
        <v>0</v>
      </c>
      <c r="S137" s="93"/>
      <c r="T137" s="117"/>
      <c r="U137" s="117"/>
      <c r="V137" s="85"/>
      <c r="W137" s="146"/>
      <c r="X137" s="137"/>
      <c r="Y137" s="137"/>
      <c r="Z137" s="137"/>
      <c r="AA137" s="137"/>
      <c r="AB137" s="137"/>
      <c r="AC137" s="137"/>
      <c r="AD137" s="137"/>
      <c r="AE137" s="137"/>
      <c r="AF137" s="141"/>
      <c r="AG137" s="146"/>
      <c r="AH137" s="146"/>
      <c r="AI137" s="146"/>
      <c r="AJ137" s="146"/>
      <c r="AK137" s="146"/>
      <c r="AL137" s="81"/>
      <c r="AM137" s="81"/>
      <c r="AN137" s="152"/>
      <c r="AO137" s="152"/>
      <c r="AP137" s="152"/>
      <c r="AQ137" s="152"/>
      <c r="AR137" s="81"/>
      <c r="AS137" s="81"/>
      <c r="AT137" s="82"/>
      <c r="AU137" s="82"/>
      <c r="AV137" s="176"/>
      <c r="AW137" s="89"/>
      <c r="AX137" s="89"/>
      <c r="AY137" s="89"/>
      <c r="AZ137" s="89"/>
      <c r="BA137" s="89"/>
      <c r="BB137" s="89"/>
      <c r="BC137" s="89"/>
      <c r="BD137" s="89"/>
      <c r="BE137" s="141"/>
      <c r="BF137" s="176"/>
      <c r="BG137" s="176"/>
      <c r="BH137" s="176"/>
      <c r="BI137" s="176"/>
    </row>
    <row r="138" spans="1:61" s="90" customFormat="1">
      <c r="A138" s="83">
        <v>135</v>
      </c>
      <c r="B138" s="85"/>
      <c r="C138" s="84"/>
      <c r="D138" s="112"/>
      <c r="E138" s="112"/>
      <c r="F138" s="112"/>
      <c r="G138" s="290"/>
      <c r="H138" s="280">
        <f t="shared" ref="H138:H201" si="16">IF($G138="Attribute","NA",D138)</f>
        <v>0</v>
      </c>
      <c r="I138" s="280">
        <f t="shared" ref="I138:I201" si="17">IF($G138="Attribute","NA",E138)</f>
        <v>0</v>
      </c>
      <c r="J138" s="280">
        <f t="shared" ref="J138:J201" si="18">IF($G138="Attribute","NA",F138)</f>
        <v>0</v>
      </c>
      <c r="K138" s="120" t="str">
        <f t="shared" si="14"/>
        <v/>
      </c>
      <c r="L138" s="287"/>
      <c r="M138" s="91"/>
      <c r="N138" s="99"/>
      <c r="O138" s="116"/>
      <c r="P138" s="86"/>
      <c r="Q138" s="92"/>
      <c r="R138" s="120">
        <f t="shared" si="15"/>
        <v>0</v>
      </c>
      <c r="S138" s="93"/>
      <c r="T138" s="117"/>
      <c r="U138" s="117"/>
      <c r="V138" s="85"/>
      <c r="W138" s="146"/>
      <c r="X138" s="137"/>
      <c r="Y138" s="137"/>
      <c r="Z138" s="137"/>
      <c r="AA138" s="137"/>
      <c r="AB138" s="137"/>
      <c r="AC138" s="137"/>
      <c r="AD138" s="137"/>
      <c r="AE138" s="137"/>
      <c r="AF138" s="141"/>
      <c r="AG138" s="146"/>
      <c r="AH138" s="146"/>
      <c r="AI138" s="146"/>
      <c r="AJ138" s="146"/>
      <c r="AK138" s="146"/>
      <c r="AL138" s="81"/>
      <c r="AM138" s="81"/>
      <c r="AN138" s="152"/>
      <c r="AO138" s="152"/>
      <c r="AP138" s="152"/>
      <c r="AQ138" s="152"/>
      <c r="AR138" s="81"/>
      <c r="AS138" s="81"/>
      <c r="AT138" s="82"/>
      <c r="AU138" s="82"/>
      <c r="AV138" s="176"/>
      <c r="AW138" s="89"/>
      <c r="AX138" s="89"/>
      <c r="AY138" s="89"/>
      <c r="AZ138" s="89"/>
      <c r="BA138" s="89"/>
      <c r="BB138" s="89"/>
      <c r="BC138" s="89"/>
      <c r="BD138" s="89"/>
      <c r="BE138" s="141"/>
      <c r="BF138" s="176"/>
      <c r="BG138" s="176"/>
      <c r="BH138" s="176"/>
      <c r="BI138" s="176"/>
    </row>
    <row r="139" spans="1:61" s="90" customFormat="1">
      <c r="A139" s="83">
        <v>136</v>
      </c>
      <c r="B139" s="85"/>
      <c r="C139" s="84"/>
      <c r="D139" s="112"/>
      <c r="E139" s="112"/>
      <c r="F139" s="112"/>
      <c r="G139" s="290"/>
      <c r="H139" s="280">
        <f t="shared" si="16"/>
        <v>0</v>
      </c>
      <c r="I139" s="280">
        <f t="shared" si="17"/>
        <v>0</v>
      </c>
      <c r="J139" s="280">
        <f t="shared" si="18"/>
        <v>0</v>
      </c>
      <c r="K139" s="120" t="str">
        <f t="shared" si="14"/>
        <v/>
      </c>
      <c r="L139" s="287"/>
      <c r="M139" s="91"/>
      <c r="N139" s="99"/>
      <c r="O139" s="116"/>
      <c r="P139" s="86"/>
      <c r="Q139" s="92"/>
      <c r="R139" s="120">
        <f t="shared" si="15"/>
        <v>0</v>
      </c>
      <c r="S139" s="93"/>
      <c r="T139" s="117"/>
      <c r="U139" s="117"/>
      <c r="V139" s="85"/>
      <c r="W139" s="146"/>
      <c r="X139" s="137"/>
      <c r="Y139" s="137"/>
      <c r="Z139" s="137"/>
      <c r="AA139" s="137"/>
      <c r="AB139" s="137"/>
      <c r="AC139" s="137"/>
      <c r="AD139" s="137"/>
      <c r="AE139" s="137"/>
      <c r="AF139" s="141"/>
      <c r="AG139" s="146"/>
      <c r="AH139" s="146"/>
      <c r="AI139" s="146"/>
      <c r="AJ139" s="146"/>
      <c r="AK139" s="146"/>
      <c r="AL139" s="81"/>
      <c r="AM139" s="81"/>
      <c r="AN139" s="152"/>
      <c r="AO139" s="152"/>
      <c r="AP139" s="152"/>
      <c r="AQ139" s="152"/>
      <c r="AR139" s="81"/>
      <c r="AS139" s="81"/>
      <c r="AT139" s="82"/>
      <c r="AU139" s="82"/>
      <c r="AV139" s="176"/>
      <c r="AW139" s="89"/>
      <c r="AX139" s="89"/>
      <c r="AY139" s="89"/>
      <c r="AZ139" s="89"/>
      <c r="BA139" s="89"/>
      <c r="BB139" s="89"/>
      <c r="BC139" s="89"/>
      <c r="BD139" s="89"/>
      <c r="BE139" s="141"/>
      <c r="BF139" s="176"/>
      <c r="BG139" s="176"/>
      <c r="BH139" s="176"/>
      <c r="BI139" s="176"/>
    </row>
    <row r="140" spans="1:61" s="90" customFormat="1">
      <c r="A140" s="83">
        <v>137</v>
      </c>
      <c r="B140" s="85"/>
      <c r="C140" s="84"/>
      <c r="D140" s="112"/>
      <c r="E140" s="112"/>
      <c r="F140" s="112"/>
      <c r="G140" s="290"/>
      <c r="H140" s="280">
        <f t="shared" si="16"/>
        <v>0</v>
      </c>
      <c r="I140" s="280">
        <f t="shared" si="17"/>
        <v>0</v>
      </c>
      <c r="J140" s="280">
        <f t="shared" si="18"/>
        <v>0</v>
      </c>
      <c r="K140" s="120" t="str">
        <f t="shared" si="14"/>
        <v/>
      </c>
      <c r="L140" s="287"/>
      <c r="M140" s="91"/>
      <c r="N140" s="99"/>
      <c r="O140" s="116"/>
      <c r="P140" s="86"/>
      <c r="Q140" s="92"/>
      <c r="R140" s="120">
        <f t="shared" si="15"/>
        <v>0</v>
      </c>
      <c r="S140" s="93"/>
      <c r="T140" s="117"/>
      <c r="U140" s="117"/>
      <c r="V140" s="85"/>
      <c r="W140" s="146"/>
      <c r="X140" s="137"/>
      <c r="Y140" s="137"/>
      <c r="Z140" s="137"/>
      <c r="AA140" s="137"/>
      <c r="AB140" s="137"/>
      <c r="AC140" s="137"/>
      <c r="AD140" s="137"/>
      <c r="AE140" s="137"/>
      <c r="AF140" s="141"/>
      <c r="AG140" s="146"/>
      <c r="AH140" s="146"/>
      <c r="AI140" s="146"/>
      <c r="AJ140" s="146"/>
      <c r="AK140" s="146"/>
      <c r="AL140" s="81"/>
      <c r="AM140" s="81"/>
      <c r="AN140" s="152"/>
      <c r="AO140" s="152"/>
      <c r="AP140" s="152"/>
      <c r="AQ140" s="152"/>
      <c r="AR140" s="81"/>
      <c r="AS140" s="81"/>
      <c r="AT140" s="82"/>
      <c r="AU140" s="82"/>
      <c r="AV140" s="176"/>
      <c r="AW140" s="89"/>
      <c r="AX140" s="89"/>
      <c r="AY140" s="89"/>
      <c r="AZ140" s="89"/>
      <c r="BA140" s="89"/>
      <c r="BB140" s="89"/>
      <c r="BC140" s="89"/>
      <c r="BD140" s="89"/>
      <c r="BE140" s="141"/>
      <c r="BF140" s="176"/>
      <c r="BG140" s="176"/>
      <c r="BH140" s="176"/>
      <c r="BI140" s="176"/>
    </row>
    <row r="141" spans="1:61" s="90" customFormat="1">
      <c r="A141" s="83">
        <v>138</v>
      </c>
      <c r="B141" s="85"/>
      <c r="C141" s="84"/>
      <c r="D141" s="112"/>
      <c r="E141" s="112"/>
      <c r="F141" s="112"/>
      <c r="G141" s="290"/>
      <c r="H141" s="280">
        <f t="shared" si="16"/>
        <v>0</v>
      </c>
      <c r="I141" s="280">
        <f t="shared" si="17"/>
        <v>0</v>
      </c>
      <c r="J141" s="280">
        <f t="shared" si="18"/>
        <v>0</v>
      </c>
      <c r="K141" s="120" t="str">
        <f t="shared" si="14"/>
        <v/>
      </c>
      <c r="L141" s="287"/>
      <c r="M141" s="91"/>
      <c r="N141" s="99"/>
      <c r="O141" s="116"/>
      <c r="P141" s="86"/>
      <c r="Q141" s="92"/>
      <c r="R141" s="120">
        <f t="shared" si="15"/>
        <v>0</v>
      </c>
      <c r="S141" s="93"/>
      <c r="T141" s="117"/>
      <c r="U141" s="117"/>
      <c r="V141" s="85"/>
      <c r="W141" s="146"/>
      <c r="X141" s="137"/>
      <c r="Y141" s="137"/>
      <c r="Z141" s="137"/>
      <c r="AA141" s="137"/>
      <c r="AB141" s="137"/>
      <c r="AC141" s="137"/>
      <c r="AD141" s="137"/>
      <c r="AE141" s="137"/>
      <c r="AF141" s="141"/>
      <c r="AG141" s="146"/>
      <c r="AH141" s="146"/>
      <c r="AI141" s="146"/>
      <c r="AJ141" s="146"/>
      <c r="AK141" s="146"/>
      <c r="AL141" s="81"/>
      <c r="AM141" s="81"/>
      <c r="AN141" s="152"/>
      <c r="AO141" s="152"/>
      <c r="AP141" s="152"/>
      <c r="AQ141" s="152"/>
      <c r="AR141" s="81"/>
      <c r="AS141" s="81"/>
      <c r="AT141" s="82"/>
      <c r="AU141" s="82"/>
      <c r="AV141" s="176"/>
      <c r="AW141" s="89"/>
      <c r="AX141" s="89"/>
      <c r="AY141" s="89"/>
      <c r="AZ141" s="89"/>
      <c r="BA141" s="89"/>
      <c r="BB141" s="89"/>
      <c r="BC141" s="89"/>
      <c r="BD141" s="89"/>
      <c r="BE141" s="141"/>
      <c r="BF141" s="176"/>
      <c r="BG141" s="176"/>
      <c r="BH141" s="176"/>
      <c r="BI141" s="176"/>
    </row>
    <row r="142" spans="1:61" s="90" customFormat="1">
      <c r="A142" s="83">
        <v>139</v>
      </c>
      <c r="B142" s="85"/>
      <c r="C142" s="84"/>
      <c r="D142" s="112"/>
      <c r="E142" s="112"/>
      <c r="F142" s="112"/>
      <c r="G142" s="290"/>
      <c r="H142" s="280">
        <f t="shared" si="16"/>
        <v>0</v>
      </c>
      <c r="I142" s="280">
        <f t="shared" si="17"/>
        <v>0</v>
      </c>
      <c r="J142" s="280">
        <f t="shared" si="18"/>
        <v>0</v>
      </c>
      <c r="K142" s="120" t="str">
        <f t="shared" si="14"/>
        <v/>
      </c>
      <c r="L142" s="287"/>
      <c r="M142" s="91"/>
      <c r="N142" s="99"/>
      <c r="O142" s="116"/>
      <c r="P142" s="86"/>
      <c r="Q142" s="92"/>
      <c r="R142" s="120">
        <f t="shared" si="15"/>
        <v>0</v>
      </c>
      <c r="S142" s="93"/>
      <c r="T142" s="117"/>
      <c r="U142" s="117"/>
      <c r="V142" s="85"/>
      <c r="W142" s="146"/>
      <c r="X142" s="137"/>
      <c r="Y142" s="137"/>
      <c r="Z142" s="137"/>
      <c r="AA142" s="137"/>
      <c r="AB142" s="137"/>
      <c r="AC142" s="137"/>
      <c r="AD142" s="137"/>
      <c r="AE142" s="137"/>
      <c r="AF142" s="141"/>
      <c r="AG142" s="146"/>
      <c r="AH142" s="146"/>
      <c r="AI142" s="146"/>
      <c r="AJ142" s="146"/>
      <c r="AK142" s="146"/>
      <c r="AL142" s="81"/>
      <c r="AM142" s="81"/>
      <c r="AN142" s="152"/>
      <c r="AO142" s="152"/>
      <c r="AP142" s="152"/>
      <c r="AQ142" s="152"/>
      <c r="AR142" s="81"/>
      <c r="AS142" s="81"/>
      <c r="AT142" s="82"/>
      <c r="AU142" s="82"/>
      <c r="AV142" s="176"/>
      <c r="AW142" s="89"/>
      <c r="AX142" s="89"/>
      <c r="AY142" s="89"/>
      <c r="AZ142" s="89"/>
      <c r="BA142" s="89"/>
      <c r="BB142" s="89"/>
      <c r="BC142" s="89"/>
      <c r="BD142" s="89"/>
      <c r="BE142" s="141"/>
      <c r="BF142" s="176"/>
      <c r="BG142" s="176"/>
      <c r="BH142" s="176"/>
      <c r="BI142" s="176"/>
    </row>
    <row r="143" spans="1:61" s="90" customFormat="1">
      <c r="A143" s="83">
        <v>140</v>
      </c>
      <c r="B143" s="85"/>
      <c r="C143" s="84"/>
      <c r="D143" s="112"/>
      <c r="E143" s="112"/>
      <c r="F143" s="112"/>
      <c r="G143" s="290"/>
      <c r="H143" s="280">
        <f t="shared" si="16"/>
        <v>0</v>
      </c>
      <c r="I143" s="280">
        <f t="shared" si="17"/>
        <v>0</v>
      </c>
      <c r="J143" s="280">
        <f t="shared" si="18"/>
        <v>0</v>
      </c>
      <c r="K143" s="120" t="str">
        <f t="shared" si="14"/>
        <v/>
      </c>
      <c r="L143" s="287"/>
      <c r="M143" s="91"/>
      <c r="N143" s="99"/>
      <c r="O143" s="116"/>
      <c r="P143" s="86"/>
      <c r="Q143" s="92"/>
      <c r="R143" s="120">
        <f t="shared" si="15"/>
        <v>0</v>
      </c>
      <c r="S143" s="93"/>
      <c r="T143" s="117"/>
      <c r="U143" s="117"/>
      <c r="V143" s="85"/>
      <c r="W143" s="146"/>
      <c r="X143" s="137"/>
      <c r="Y143" s="137"/>
      <c r="Z143" s="137"/>
      <c r="AA143" s="137"/>
      <c r="AB143" s="137"/>
      <c r="AC143" s="137"/>
      <c r="AD143" s="137"/>
      <c r="AE143" s="137"/>
      <c r="AF143" s="141"/>
      <c r="AG143" s="146"/>
      <c r="AH143" s="146"/>
      <c r="AI143" s="146"/>
      <c r="AJ143" s="146"/>
      <c r="AK143" s="146"/>
      <c r="AL143" s="81"/>
      <c r="AM143" s="81"/>
      <c r="AN143" s="152"/>
      <c r="AO143" s="152"/>
      <c r="AP143" s="152"/>
      <c r="AQ143" s="152"/>
      <c r="AR143" s="81"/>
      <c r="AS143" s="81"/>
      <c r="AT143" s="82"/>
      <c r="AU143" s="82"/>
      <c r="AV143" s="176"/>
      <c r="AW143" s="89"/>
      <c r="AX143" s="89"/>
      <c r="AY143" s="89"/>
      <c r="AZ143" s="89"/>
      <c r="BA143" s="89"/>
      <c r="BB143" s="89"/>
      <c r="BC143" s="89"/>
      <c r="BD143" s="89"/>
      <c r="BE143" s="141"/>
      <c r="BF143" s="176"/>
      <c r="BG143" s="176"/>
      <c r="BH143" s="176"/>
      <c r="BI143" s="176"/>
    </row>
    <row r="144" spans="1:61" s="90" customFormat="1">
      <c r="A144" s="83">
        <v>141</v>
      </c>
      <c r="B144" s="85"/>
      <c r="C144" s="84"/>
      <c r="D144" s="112"/>
      <c r="E144" s="112"/>
      <c r="F144" s="112"/>
      <c r="G144" s="290"/>
      <c r="H144" s="280">
        <f t="shared" si="16"/>
        <v>0</v>
      </c>
      <c r="I144" s="280">
        <f t="shared" si="17"/>
        <v>0</v>
      </c>
      <c r="J144" s="280">
        <f t="shared" si="18"/>
        <v>0</v>
      </c>
      <c r="K144" s="120" t="str">
        <f t="shared" si="14"/>
        <v/>
      </c>
      <c r="L144" s="287"/>
      <c r="M144" s="91"/>
      <c r="N144" s="99"/>
      <c r="O144" s="116"/>
      <c r="P144" s="86"/>
      <c r="Q144" s="92"/>
      <c r="R144" s="120">
        <f t="shared" si="15"/>
        <v>0</v>
      </c>
      <c r="S144" s="93"/>
      <c r="T144" s="117"/>
      <c r="U144" s="117"/>
      <c r="V144" s="85"/>
      <c r="W144" s="146"/>
      <c r="X144" s="137"/>
      <c r="Y144" s="137"/>
      <c r="Z144" s="137"/>
      <c r="AA144" s="137"/>
      <c r="AB144" s="137"/>
      <c r="AC144" s="137"/>
      <c r="AD144" s="137"/>
      <c r="AE144" s="137"/>
      <c r="AF144" s="141"/>
      <c r="AG144" s="146"/>
      <c r="AH144" s="146"/>
      <c r="AI144" s="146"/>
      <c r="AJ144" s="146"/>
      <c r="AK144" s="146"/>
      <c r="AL144" s="81"/>
      <c r="AM144" s="81"/>
      <c r="AN144" s="152"/>
      <c r="AO144" s="152"/>
      <c r="AP144" s="152"/>
      <c r="AQ144" s="152"/>
      <c r="AR144" s="81"/>
      <c r="AS144" s="81"/>
      <c r="AT144" s="82"/>
      <c r="AU144" s="82"/>
      <c r="AV144" s="176"/>
      <c r="AW144" s="89"/>
      <c r="AX144" s="89"/>
      <c r="AY144" s="89"/>
      <c r="AZ144" s="89"/>
      <c r="BA144" s="89"/>
      <c r="BB144" s="89"/>
      <c r="BC144" s="89"/>
      <c r="BD144" s="89"/>
      <c r="BE144" s="141"/>
      <c r="BF144" s="176"/>
      <c r="BG144" s="176"/>
      <c r="BH144" s="176"/>
      <c r="BI144" s="176"/>
    </row>
    <row r="145" spans="1:61" s="90" customFormat="1">
      <c r="A145" s="83">
        <v>142</v>
      </c>
      <c r="B145" s="85"/>
      <c r="C145" s="84"/>
      <c r="D145" s="112"/>
      <c r="E145" s="112"/>
      <c r="F145" s="112"/>
      <c r="G145" s="290"/>
      <c r="H145" s="280">
        <f t="shared" si="16"/>
        <v>0</v>
      </c>
      <c r="I145" s="280">
        <f t="shared" si="17"/>
        <v>0</v>
      </c>
      <c r="J145" s="280">
        <f t="shared" si="18"/>
        <v>0</v>
      </c>
      <c r="K145" s="120" t="str">
        <f t="shared" si="14"/>
        <v/>
      </c>
      <c r="L145" s="287"/>
      <c r="M145" s="91"/>
      <c r="N145" s="99"/>
      <c r="O145" s="116"/>
      <c r="P145" s="86"/>
      <c r="Q145" s="92"/>
      <c r="R145" s="120">
        <f t="shared" si="15"/>
        <v>0</v>
      </c>
      <c r="S145" s="93"/>
      <c r="T145" s="117"/>
      <c r="U145" s="117"/>
      <c r="V145" s="85"/>
      <c r="W145" s="146"/>
      <c r="X145" s="137"/>
      <c r="Y145" s="137"/>
      <c r="Z145" s="137"/>
      <c r="AA145" s="137"/>
      <c r="AB145" s="137"/>
      <c r="AC145" s="137"/>
      <c r="AD145" s="137"/>
      <c r="AE145" s="137"/>
      <c r="AF145" s="141"/>
      <c r="AG145" s="146"/>
      <c r="AH145" s="146"/>
      <c r="AI145" s="146"/>
      <c r="AJ145" s="146"/>
      <c r="AK145" s="146"/>
      <c r="AL145" s="81"/>
      <c r="AM145" s="81"/>
      <c r="AN145" s="152"/>
      <c r="AO145" s="152"/>
      <c r="AP145" s="152"/>
      <c r="AQ145" s="152"/>
      <c r="AR145" s="81"/>
      <c r="AS145" s="81"/>
      <c r="AT145" s="82"/>
      <c r="AU145" s="82"/>
      <c r="AV145" s="176"/>
      <c r="AW145" s="89"/>
      <c r="AX145" s="89"/>
      <c r="AY145" s="89"/>
      <c r="AZ145" s="89"/>
      <c r="BA145" s="89"/>
      <c r="BB145" s="89"/>
      <c r="BC145" s="89"/>
      <c r="BD145" s="89"/>
      <c r="BE145" s="141"/>
      <c r="BF145" s="176"/>
      <c r="BG145" s="176"/>
      <c r="BH145" s="176"/>
      <c r="BI145" s="176"/>
    </row>
    <row r="146" spans="1:61" s="90" customFormat="1">
      <c r="A146" s="83">
        <v>143</v>
      </c>
      <c r="B146" s="85"/>
      <c r="C146" s="84"/>
      <c r="D146" s="112"/>
      <c r="E146" s="112"/>
      <c r="F146" s="112"/>
      <c r="G146" s="290"/>
      <c r="H146" s="280">
        <f t="shared" si="16"/>
        <v>0</v>
      </c>
      <c r="I146" s="280">
        <f t="shared" si="17"/>
        <v>0</v>
      </c>
      <c r="J146" s="280">
        <f t="shared" si="18"/>
        <v>0</v>
      </c>
      <c r="K146" s="120" t="str">
        <f t="shared" si="14"/>
        <v/>
      </c>
      <c r="L146" s="287"/>
      <c r="M146" s="91"/>
      <c r="N146" s="99"/>
      <c r="O146" s="116"/>
      <c r="P146" s="86"/>
      <c r="Q146" s="92"/>
      <c r="R146" s="120">
        <f t="shared" si="15"/>
        <v>0</v>
      </c>
      <c r="S146" s="93"/>
      <c r="T146" s="117"/>
      <c r="U146" s="117"/>
      <c r="V146" s="85"/>
      <c r="W146" s="146"/>
      <c r="X146" s="137"/>
      <c r="Y146" s="137"/>
      <c r="Z146" s="137"/>
      <c r="AA146" s="137"/>
      <c r="AB146" s="137"/>
      <c r="AC146" s="137"/>
      <c r="AD146" s="137"/>
      <c r="AE146" s="137"/>
      <c r="AF146" s="141"/>
      <c r="AG146" s="146"/>
      <c r="AH146" s="146"/>
      <c r="AI146" s="146"/>
      <c r="AJ146" s="146"/>
      <c r="AK146" s="146"/>
      <c r="AL146" s="81"/>
      <c r="AM146" s="81"/>
      <c r="AN146" s="152"/>
      <c r="AO146" s="152"/>
      <c r="AP146" s="152"/>
      <c r="AQ146" s="152"/>
      <c r="AR146" s="81"/>
      <c r="AS146" s="81"/>
      <c r="AT146" s="82"/>
      <c r="AU146" s="82"/>
      <c r="AV146" s="176"/>
      <c r="AW146" s="89"/>
      <c r="AX146" s="89"/>
      <c r="AY146" s="89"/>
      <c r="AZ146" s="89"/>
      <c r="BA146" s="89"/>
      <c r="BB146" s="89"/>
      <c r="BC146" s="89"/>
      <c r="BD146" s="89"/>
      <c r="BE146" s="141"/>
      <c r="BF146" s="176"/>
      <c r="BG146" s="176"/>
      <c r="BH146" s="176"/>
      <c r="BI146" s="176"/>
    </row>
    <row r="147" spans="1:61" s="90" customFormat="1">
      <c r="A147" s="83">
        <v>144</v>
      </c>
      <c r="B147" s="85"/>
      <c r="C147" s="84"/>
      <c r="D147" s="112"/>
      <c r="E147" s="112"/>
      <c r="F147" s="112"/>
      <c r="G147" s="290"/>
      <c r="H147" s="280">
        <f t="shared" si="16"/>
        <v>0</v>
      </c>
      <c r="I147" s="280">
        <f t="shared" si="17"/>
        <v>0</v>
      </c>
      <c r="J147" s="280">
        <f t="shared" si="18"/>
        <v>0</v>
      </c>
      <c r="K147" s="120" t="str">
        <f t="shared" si="14"/>
        <v/>
      </c>
      <c r="L147" s="287"/>
      <c r="M147" s="91"/>
      <c r="N147" s="99"/>
      <c r="O147" s="116"/>
      <c r="P147" s="86"/>
      <c r="Q147" s="92"/>
      <c r="R147" s="120">
        <f t="shared" si="15"/>
        <v>0</v>
      </c>
      <c r="S147" s="93"/>
      <c r="T147" s="117"/>
      <c r="U147" s="117"/>
      <c r="V147" s="85"/>
      <c r="W147" s="146"/>
      <c r="X147" s="137"/>
      <c r="Y147" s="137"/>
      <c r="Z147" s="137"/>
      <c r="AA147" s="137"/>
      <c r="AB147" s="137"/>
      <c r="AC147" s="137"/>
      <c r="AD147" s="137"/>
      <c r="AE147" s="137"/>
      <c r="AF147" s="141"/>
      <c r="AG147" s="146"/>
      <c r="AH147" s="146"/>
      <c r="AI147" s="146"/>
      <c r="AJ147" s="146"/>
      <c r="AK147" s="146"/>
      <c r="AL147" s="81"/>
      <c r="AM147" s="81"/>
      <c r="AN147" s="152"/>
      <c r="AO147" s="152"/>
      <c r="AP147" s="152"/>
      <c r="AQ147" s="152"/>
      <c r="AR147" s="81"/>
      <c r="AS147" s="81"/>
      <c r="AT147" s="82"/>
      <c r="AU147" s="82"/>
      <c r="AV147" s="176"/>
      <c r="AW147" s="89"/>
      <c r="AX147" s="89"/>
      <c r="AY147" s="89"/>
      <c r="AZ147" s="89"/>
      <c r="BA147" s="89"/>
      <c r="BB147" s="89"/>
      <c r="BC147" s="89"/>
      <c r="BD147" s="89"/>
      <c r="BE147" s="141"/>
      <c r="BF147" s="176"/>
      <c r="BG147" s="176"/>
      <c r="BH147" s="176"/>
      <c r="BI147" s="176"/>
    </row>
    <row r="148" spans="1:61" s="90" customFormat="1">
      <c r="A148" s="83">
        <v>145</v>
      </c>
      <c r="B148" s="85"/>
      <c r="C148" s="84"/>
      <c r="D148" s="112"/>
      <c r="E148" s="112"/>
      <c r="F148" s="112"/>
      <c r="G148" s="290"/>
      <c r="H148" s="280">
        <f t="shared" si="16"/>
        <v>0</v>
      </c>
      <c r="I148" s="280">
        <f t="shared" si="17"/>
        <v>0</v>
      </c>
      <c r="J148" s="280">
        <f t="shared" si="18"/>
        <v>0</v>
      </c>
      <c r="K148" s="120" t="str">
        <f t="shared" si="14"/>
        <v/>
      </c>
      <c r="L148" s="287"/>
      <c r="M148" s="91"/>
      <c r="N148" s="99"/>
      <c r="O148" s="116"/>
      <c r="P148" s="86"/>
      <c r="Q148" s="92"/>
      <c r="R148" s="120">
        <f t="shared" si="15"/>
        <v>0</v>
      </c>
      <c r="S148" s="93"/>
      <c r="T148" s="117"/>
      <c r="U148" s="117"/>
      <c r="V148" s="85"/>
      <c r="W148" s="146"/>
      <c r="X148" s="137"/>
      <c r="Y148" s="137"/>
      <c r="Z148" s="137"/>
      <c r="AA148" s="137"/>
      <c r="AB148" s="137"/>
      <c r="AC148" s="137"/>
      <c r="AD148" s="137"/>
      <c r="AE148" s="137"/>
      <c r="AF148" s="141"/>
      <c r="AG148" s="146"/>
      <c r="AH148" s="146"/>
      <c r="AI148" s="146"/>
      <c r="AJ148" s="146"/>
      <c r="AK148" s="146"/>
      <c r="AL148" s="81"/>
      <c r="AM148" s="81"/>
      <c r="AN148" s="152"/>
      <c r="AO148" s="152"/>
      <c r="AP148" s="152"/>
      <c r="AQ148" s="152"/>
      <c r="AR148" s="81"/>
      <c r="AS148" s="81"/>
      <c r="AT148" s="82"/>
      <c r="AU148" s="82"/>
      <c r="AV148" s="176"/>
      <c r="AW148" s="89"/>
      <c r="AX148" s="89"/>
      <c r="AY148" s="89"/>
      <c r="AZ148" s="89"/>
      <c r="BA148" s="89"/>
      <c r="BB148" s="89"/>
      <c r="BC148" s="89"/>
      <c r="BD148" s="89"/>
      <c r="BE148" s="141"/>
      <c r="BF148" s="176"/>
      <c r="BG148" s="176"/>
      <c r="BH148" s="176"/>
      <c r="BI148" s="176"/>
    </row>
    <row r="149" spans="1:61" s="90" customFormat="1">
      <c r="A149" s="83">
        <v>146</v>
      </c>
      <c r="B149" s="85"/>
      <c r="C149" s="84"/>
      <c r="D149" s="112"/>
      <c r="E149" s="112"/>
      <c r="F149" s="112"/>
      <c r="G149" s="290"/>
      <c r="H149" s="280">
        <f t="shared" si="16"/>
        <v>0</v>
      </c>
      <c r="I149" s="280">
        <f t="shared" si="17"/>
        <v>0</v>
      </c>
      <c r="J149" s="280">
        <f t="shared" si="18"/>
        <v>0</v>
      </c>
      <c r="K149" s="120" t="str">
        <f t="shared" si="14"/>
        <v/>
      </c>
      <c r="L149" s="287"/>
      <c r="M149" s="91"/>
      <c r="N149" s="99"/>
      <c r="O149" s="116"/>
      <c r="P149" s="86"/>
      <c r="Q149" s="92"/>
      <c r="R149" s="120">
        <f t="shared" si="15"/>
        <v>0</v>
      </c>
      <c r="S149" s="93"/>
      <c r="T149" s="117"/>
      <c r="U149" s="117"/>
      <c r="V149" s="85"/>
      <c r="W149" s="146"/>
      <c r="X149" s="137"/>
      <c r="Y149" s="137"/>
      <c r="Z149" s="137"/>
      <c r="AA149" s="137"/>
      <c r="AB149" s="137"/>
      <c r="AC149" s="137"/>
      <c r="AD149" s="137"/>
      <c r="AE149" s="137"/>
      <c r="AF149" s="141"/>
      <c r="AG149" s="146"/>
      <c r="AH149" s="146"/>
      <c r="AI149" s="146"/>
      <c r="AJ149" s="146"/>
      <c r="AK149" s="146"/>
      <c r="AL149" s="81"/>
      <c r="AM149" s="81"/>
      <c r="AN149" s="152"/>
      <c r="AO149" s="152"/>
      <c r="AP149" s="152"/>
      <c r="AQ149" s="152"/>
      <c r="AR149" s="81"/>
      <c r="AS149" s="81"/>
      <c r="AT149" s="82"/>
      <c r="AU149" s="82"/>
      <c r="AV149" s="176"/>
      <c r="AW149" s="89"/>
      <c r="AX149" s="89"/>
      <c r="AY149" s="89"/>
      <c r="AZ149" s="89"/>
      <c r="BA149" s="89"/>
      <c r="BB149" s="89"/>
      <c r="BC149" s="89"/>
      <c r="BD149" s="89"/>
      <c r="BE149" s="141"/>
      <c r="BF149" s="176"/>
      <c r="BG149" s="176"/>
      <c r="BH149" s="176"/>
      <c r="BI149" s="176"/>
    </row>
    <row r="150" spans="1:61" s="90" customFormat="1">
      <c r="A150" s="83">
        <v>147</v>
      </c>
      <c r="B150" s="85"/>
      <c r="C150" s="84"/>
      <c r="D150" s="112"/>
      <c r="E150" s="112"/>
      <c r="F150" s="112"/>
      <c r="G150" s="290"/>
      <c r="H150" s="280">
        <f t="shared" si="16"/>
        <v>0</v>
      </c>
      <c r="I150" s="280">
        <f t="shared" si="17"/>
        <v>0</v>
      </c>
      <c r="J150" s="280">
        <f t="shared" si="18"/>
        <v>0</v>
      </c>
      <c r="K150" s="120" t="str">
        <f t="shared" si="14"/>
        <v/>
      </c>
      <c r="L150" s="287"/>
      <c r="M150" s="91"/>
      <c r="N150" s="99"/>
      <c r="O150" s="116"/>
      <c r="P150" s="86"/>
      <c r="Q150" s="92"/>
      <c r="R150" s="120">
        <f t="shared" si="15"/>
        <v>0</v>
      </c>
      <c r="S150" s="93"/>
      <c r="T150" s="117"/>
      <c r="U150" s="117"/>
      <c r="V150" s="85"/>
      <c r="W150" s="146"/>
      <c r="X150" s="137"/>
      <c r="Y150" s="137"/>
      <c r="Z150" s="137"/>
      <c r="AA150" s="137"/>
      <c r="AB150" s="137"/>
      <c r="AC150" s="137"/>
      <c r="AD150" s="137"/>
      <c r="AE150" s="137"/>
      <c r="AF150" s="141"/>
      <c r="AG150" s="146"/>
      <c r="AH150" s="146"/>
      <c r="AI150" s="146"/>
      <c r="AJ150" s="146"/>
      <c r="AK150" s="146"/>
      <c r="AL150" s="81"/>
      <c r="AM150" s="81"/>
      <c r="AN150" s="152"/>
      <c r="AO150" s="152"/>
      <c r="AP150" s="152"/>
      <c r="AQ150" s="152"/>
      <c r="AR150" s="81"/>
      <c r="AS150" s="81"/>
      <c r="AT150" s="82"/>
      <c r="AU150" s="82"/>
      <c r="AV150" s="176"/>
      <c r="AW150" s="89"/>
      <c r="AX150" s="89"/>
      <c r="AY150" s="89"/>
      <c r="AZ150" s="89"/>
      <c r="BA150" s="89"/>
      <c r="BB150" s="89"/>
      <c r="BC150" s="89"/>
      <c r="BD150" s="89"/>
      <c r="BE150" s="141"/>
      <c r="BF150" s="176"/>
      <c r="BG150" s="176"/>
      <c r="BH150" s="176"/>
      <c r="BI150" s="176"/>
    </row>
    <row r="151" spans="1:61" s="90" customFormat="1">
      <c r="A151" s="83">
        <v>148</v>
      </c>
      <c r="B151" s="85"/>
      <c r="C151" s="84"/>
      <c r="D151" s="112"/>
      <c r="E151" s="112"/>
      <c r="F151" s="112"/>
      <c r="G151" s="290"/>
      <c r="H151" s="280">
        <f t="shared" si="16"/>
        <v>0</v>
      </c>
      <c r="I151" s="280">
        <f t="shared" si="17"/>
        <v>0</v>
      </c>
      <c r="J151" s="280">
        <f t="shared" si="18"/>
        <v>0</v>
      </c>
      <c r="K151" s="120" t="str">
        <f t="shared" si="14"/>
        <v/>
      </c>
      <c r="L151" s="287"/>
      <c r="M151" s="91"/>
      <c r="N151" s="99"/>
      <c r="O151" s="116"/>
      <c r="P151" s="86"/>
      <c r="Q151" s="92"/>
      <c r="R151" s="120">
        <f t="shared" si="15"/>
        <v>0</v>
      </c>
      <c r="S151" s="93"/>
      <c r="T151" s="117"/>
      <c r="U151" s="117"/>
      <c r="V151" s="85"/>
      <c r="W151" s="146"/>
      <c r="X151" s="137"/>
      <c r="Y151" s="137"/>
      <c r="Z151" s="137"/>
      <c r="AA151" s="137"/>
      <c r="AB151" s="137"/>
      <c r="AC151" s="137"/>
      <c r="AD151" s="137"/>
      <c r="AE151" s="137"/>
      <c r="AF151" s="141"/>
      <c r="AG151" s="146"/>
      <c r="AH151" s="146"/>
      <c r="AI151" s="146"/>
      <c r="AJ151" s="146"/>
      <c r="AK151" s="146"/>
      <c r="AL151" s="81"/>
      <c r="AM151" s="81"/>
      <c r="AN151" s="152"/>
      <c r="AO151" s="152"/>
      <c r="AP151" s="152"/>
      <c r="AQ151" s="152"/>
      <c r="AR151" s="81"/>
      <c r="AS151" s="81"/>
      <c r="AT151" s="82"/>
      <c r="AU151" s="82"/>
      <c r="AV151" s="176"/>
      <c r="AW151" s="89"/>
      <c r="AX151" s="89"/>
      <c r="AY151" s="89"/>
      <c r="AZ151" s="89"/>
      <c r="BA151" s="89"/>
      <c r="BB151" s="89"/>
      <c r="BC151" s="89"/>
      <c r="BD151" s="89"/>
      <c r="BE151" s="141"/>
      <c r="BF151" s="176"/>
      <c r="BG151" s="176"/>
      <c r="BH151" s="176"/>
      <c r="BI151" s="176"/>
    </row>
    <row r="152" spans="1:61" s="90" customFormat="1">
      <c r="A152" s="83">
        <v>149</v>
      </c>
      <c r="B152" s="85"/>
      <c r="C152" s="84"/>
      <c r="D152" s="112"/>
      <c r="E152" s="112"/>
      <c r="F152" s="112"/>
      <c r="G152" s="290"/>
      <c r="H152" s="280">
        <f t="shared" si="16"/>
        <v>0</v>
      </c>
      <c r="I152" s="280">
        <f t="shared" si="17"/>
        <v>0</v>
      </c>
      <c r="J152" s="280">
        <f t="shared" si="18"/>
        <v>0</v>
      </c>
      <c r="K152" s="120" t="str">
        <f t="shared" si="14"/>
        <v/>
      </c>
      <c r="L152" s="287"/>
      <c r="M152" s="91"/>
      <c r="N152" s="99"/>
      <c r="O152" s="116"/>
      <c r="P152" s="86"/>
      <c r="Q152" s="92"/>
      <c r="R152" s="120">
        <f t="shared" si="15"/>
        <v>0</v>
      </c>
      <c r="S152" s="93"/>
      <c r="T152" s="117"/>
      <c r="U152" s="117"/>
      <c r="V152" s="85"/>
      <c r="W152" s="146"/>
      <c r="X152" s="137"/>
      <c r="Y152" s="137"/>
      <c r="Z152" s="137"/>
      <c r="AA152" s="137"/>
      <c r="AB152" s="137"/>
      <c r="AC152" s="137"/>
      <c r="AD152" s="137"/>
      <c r="AE152" s="137"/>
      <c r="AF152" s="141"/>
      <c r="AG152" s="146"/>
      <c r="AH152" s="146"/>
      <c r="AI152" s="146"/>
      <c r="AJ152" s="146"/>
      <c r="AK152" s="146"/>
      <c r="AL152" s="81"/>
      <c r="AM152" s="81"/>
      <c r="AN152" s="152"/>
      <c r="AO152" s="152"/>
      <c r="AP152" s="152"/>
      <c r="AQ152" s="152"/>
      <c r="AR152" s="81"/>
      <c r="AS152" s="81"/>
      <c r="AT152" s="82"/>
      <c r="AU152" s="82"/>
      <c r="AV152" s="176"/>
      <c r="AW152" s="89"/>
      <c r="AX152" s="89"/>
      <c r="AY152" s="89"/>
      <c r="AZ152" s="89"/>
      <c r="BA152" s="89"/>
      <c r="BB152" s="89"/>
      <c r="BC152" s="89"/>
      <c r="BD152" s="89"/>
      <c r="BE152" s="141"/>
      <c r="BF152" s="176"/>
      <c r="BG152" s="176"/>
      <c r="BH152" s="176"/>
      <c r="BI152" s="176"/>
    </row>
    <row r="153" spans="1:61" s="90" customFormat="1">
      <c r="A153" s="83">
        <v>150</v>
      </c>
      <c r="B153" s="85"/>
      <c r="C153" s="84"/>
      <c r="D153" s="112"/>
      <c r="E153" s="112"/>
      <c r="F153" s="112"/>
      <c r="G153" s="290"/>
      <c r="H153" s="280">
        <f t="shared" si="16"/>
        <v>0</v>
      </c>
      <c r="I153" s="280">
        <f t="shared" si="17"/>
        <v>0</v>
      </c>
      <c r="J153" s="280">
        <f t="shared" si="18"/>
        <v>0</v>
      </c>
      <c r="K153" s="120" t="str">
        <f t="shared" si="14"/>
        <v/>
      </c>
      <c r="L153" s="287"/>
      <c r="M153" s="91"/>
      <c r="N153" s="99"/>
      <c r="O153" s="116"/>
      <c r="P153" s="86"/>
      <c r="Q153" s="92"/>
      <c r="R153" s="120">
        <f t="shared" si="15"/>
        <v>0</v>
      </c>
      <c r="S153" s="93"/>
      <c r="T153" s="117"/>
      <c r="U153" s="117"/>
      <c r="V153" s="85"/>
      <c r="W153" s="146"/>
      <c r="X153" s="137"/>
      <c r="Y153" s="137"/>
      <c r="Z153" s="137"/>
      <c r="AA153" s="137"/>
      <c r="AB153" s="137"/>
      <c r="AC153" s="137"/>
      <c r="AD153" s="137"/>
      <c r="AE153" s="137"/>
      <c r="AF153" s="141"/>
      <c r="AG153" s="146"/>
      <c r="AH153" s="146"/>
      <c r="AI153" s="146"/>
      <c r="AJ153" s="146"/>
      <c r="AK153" s="146"/>
      <c r="AL153" s="81"/>
      <c r="AM153" s="81"/>
      <c r="AN153" s="152"/>
      <c r="AO153" s="152"/>
      <c r="AP153" s="152"/>
      <c r="AQ153" s="152"/>
      <c r="AR153" s="81"/>
      <c r="AS153" s="81"/>
      <c r="AT153" s="82"/>
      <c r="AU153" s="82"/>
      <c r="AV153" s="176"/>
      <c r="AW153" s="89"/>
      <c r="AX153" s="89"/>
      <c r="AY153" s="89"/>
      <c r="AZ153" s="89"/>
      <c r="BA153" s="89"/>
      <c r="BB153" s="89"/>
      <c r="BC153" s="89"/>
      <c r="BD153" s="89"/>
      <c r="BE153" s="141"/>
      <c r="BF153" s="176"/>
      <c r="BG153" s="176"/>
      <c r="BH153" s="176"/>
      <c r="BI153" s="176"/>
    </row>
    <row r="154" spans="1:61" s="90" customFormat="1">
      <c r="A154" s="83">
        <v>151</v>
      </c>
      <c r="B154" s="85"/>
      <c r="C154" s="84"/>
      <c r="D154" s="112"/>
      <c r="E154" s="112"/>
      <c r="F154" s="112"/>
      <c r="G154" s="290"/>
      <c r="H154" s="280">
        <f t="shared" si="16"/>
        <v>0</v>
      </c>
      <c r="I154" s="280">
        <f t="shared" si="17"/>
        <v>0</v>
      </c>
      <c r="J154" s="280">
        <f t="shared" si="18"/>
        <v>0</v>
      </c>
      <c r="K154" s="120" t="str">
        <f t="shared" si="14"/>
        <v/>
      </c>
      <c r="L154" s="287"/>
      <c r="M154" s="91"/>
      <c r="N154" s="99"/>
      <c r="O154" s="116"/>
      <c r="P154" s="86"/>
      <c r="Q154" s="92"/>
      <c r="R154" s="120">
        <f t="shared" si="15"/>
        <v>0</v>
      </c>
      <c r="S154" s="93"/>
      <c r="T154" s="117"/>
      <c r="U154" s="117"/>
      <c r="V154" s="85"/>
      <c r="W154" s="146"/>
      <c r="X154" s="137"/>
      <c r="Y154" s="137"/>
      <c r="Z154" s="137"/>
      <c r="AA154" s="137"/>
      <c r="AB154" s="137"/>
      <c r="AC154" s="137"/>
      <c r="AD154" s="137"/>
      <c r="AE154" s="137"/>
      <c r="AF154" s="141"/>
      <c r="AG154" s="146"/>
      <c r="AH154" s="146"/>
      <c r="AI154" s="146"/>
      <c r="AJ154" s="146"/>
      <c r="AK154" s="146"/>
      <c r="AL154" s="81"/>
      <c r="AM154" s="81"/>
      <c r="AN154" s="152"/>
      <c r="AO154" s="152"/>
      <c r="AP154" s="152"/>
      <c r="AQ154" s="152"/>
      <c r="AR154" s="81"/>
      <c r="AS154" s="81"/>
      <c r="AT154" s="82"/>
      <c r="AU154" s="82"/>
      <c r="AV154" s="176"/>
      <c r="AW154" s="89"/>
      <c r="AX154" s="89"/>
      <c r="AY154" s="89"/>
      <c r="AZ154" s="89"/>
      <c r="BA154" s="89"/>
      <c r="BB154" s="89"/>
      <c r="BC154" s="89"/>
      <c r="BD154" s="89"/>
      <c r="BE154" s="141"/>
      <c r="BF154" s="176"/>
      <c r="BG154" s="176"/>
      <c r="BH154" s="176"/>
      <c r="BI154" s="176"/>
    </row>
    <row r="155" spans="1:61" s="90" customFormat="1">
      <c r="A155" s="83">
        <v>152</v>
      </c>
      <c r="B155" s="85"/>
      <c r="C155" s="84"/>
      <c r="D155" s="112"/>
      <c r="E155" s="112"/>
      <c r="F155" s="112"/>
      <c r="G155" s="290"/>
      <c r="H155" s="280">
        <f t="shared" si="16"/>
        <v>0</v>
      </c>
      <c r="I155" s="280">
        <f t="shared" si="17"/>
        <v>0</v>
      </c>
      <c r="J155" s="280">
        <f t="shared" si="18"/>
        <v>0</v>
      </c>
      <c r="K155" s="120" t="str">
        <f t="shared" si="14"/>
        <v/>
      </c>
      <c r="L155" s="287"/>
      <c r="M155" s="91"/>
      <c r="N155" s="99"/>
      <c r="O155" s="116"/>
      <c r="P155" s="86"/>
      <c r="Q155" s="92"/>
      <c r="R155" s="120">
        <f t="shared" si="15"/>
        <v>0</v>
      </c>
      <c r="S155" s="93"/>
      <c r="T155" s="117"/>
      <c r="U155" s="117"/>
      <c r="V155" s="85"/>
      <c r="W155" s="146"/>
      <c r="X155" s="137"/>
      <c r="Y155" s="137"/>
      <c r="Z155" s="137"/>
      <c r="AA155" s="137"/>
      <c r="AB155" s="137"/>
      <c r="AC155" s="137"/>
      <c r="AD155" s="137"/>
      <c r="AE155" s="137"/>
      <c r="AF155" s="141"/>
      <c r="AG155" s="146"/>
      <c r="AH155" s="146"/>
      <c r="AI155" s="146"/>
      <c r="AJ155" s="146"/>
      <c r="AK155" s="146"/>
      <c r="AL155" s="81"/>
      <c r="AM155" s="81"/>
      <c r="AN155" s="152"/>
      <c r="AO155" s="152"/>
      <c r="AP155" s="152"/>
      <c r="AQ155" s="152"/>
      <c r="AR155" s="81"/>
      <c r="AS155" s="81"/>
      <c r="AT155" s="82"/>
      <c r="AU155" s="82"/>
      <c r="AV155" s="176"/>
      <c r="AW155" s="89"/>
      <c r="AX155" s="89"/>
      <c r="AY155" s="89"/>
      <c r="AZ155" s="89"/>
      <c r="BA155" s="89"/>
      <c r="BB155" s="89"/>
      <c r="BC155" s="89"/>
      <c r="BD155" s="89"/>
      <c r="BE155" s="141"/>
      <c r="BF155" s="176"/>
      <c r="BG155" s="176"/>
      <c r="BH155" s="176"/>
      <c r="BI155" s="176"/>
    </row>
    <row r="156" spans="1:61" s="90" customFormat="1">
      <c r="A156" s="83">
        <v>153</v>
      </c>
      <c r="B156" s="85"/>
      <c r="C156" s="84"/>
      <c r="D156" s="112"/>
      <c r="E156" s="112"/>
      <c r="F156" s="112"/>
      <c r="G156" s="290"/>
      <c r="H156" s="280">
        <f t="shared" si="16"/>
        <v>0</v>
      </c>
      <c r="I156" s="280">
        <f t="shared" si="17"/>
        <v>0</v>
      </c>
      <c r="J156" s="280">
        <f t="shared" si="18"/>
        <v>0</v>
      </c>
      <c r="K156" s="120" t="str">
        <f t="shared" si="14"/>
        <v/>
      </c>
      <c r="L156" s="287"/>
      <c r="M156" s="91"/>
      <c r="N156" s="99"/>
      <c r="O156" s="116"/>
      <c r="P156" s="86"/>
      <c r="Q156" s="92"/>
      <c r="R156" s="120">
        <f t="shared" si="15"/>
        <v>0</v>
      </c>
      <c r="S156" s="93"/>
      <c r="T156" s="117"/>
      <c r="U156" s="117"/>
      <c r="V156" s="85"/>
      <c r="W156" s="146"/>
      <c r="X156" s="137"/>
      <c r="Y156" s="137"/>
      <c r="Z156" s="137"/>
      <c r="AA156" s="137"/>
      <c r="AB156" s="137"/>
      <c r="AC156" s="137"/>
      <c r="AD156" s="137"/>
      <c r="AE156" s="137"/>
      <c r="AF156" s="141"/>
      <c r="AG156" s="146"/>
      <c r="AH156" s="146"/>
      <c r="AI156" s="146"/>
      <c r="AJ156" s="146"/>
      <c r="AK156" s="146"/>
      <c r="AL156" s="81"/>
      <c r="AM156" s="81"/>
      <c r="AN156" s="152"/>
      <c r="AO156" s="152"/>
      <c r="AP156" s="152"/>
      <c r="AQ156" s="152"/>
      <c r="AR156" s="81"/>
      <c r="AS156" s="81"/>
      <c r="AT156" s="82"/>
      <c r="AU156" s="82"/>
      <c r="AV156" s="176"/>
      <c r="AW156" s="89"/>
      <c r="AX156" s="89"/>
      <c r="AY156" s="89"/>
      <c r="AZ156" s="89"/>
      <c r="BA156" s="89"/>
      <c r="BB156" s="89"/>
      <c r="BC156" s="89"/>
      <c r="BD156" s="89"/>
      <c r="BE156" s="141"/>
      <c r="BF156" s="176"/>
      <c r="BG156" s="176"/>
      <c r="BH156" s="176"/>
      <c r="BI156" s="176"/>
    </row>
    <row r="157" spans="1:61" s="90" customFormat="1">
      <c r="A157" s="83">
        <v>154</v>
      </c>
      <c r="B157" s="85"/>
      <c r="C157" s="84"/>
      <c r="D157" s="112"/>
      <c r="E157" s="112"/>
      <c r="F157" s="112"/>
      <c r="G157" s="290"/>
      <c r="H157" s="280">
        <f t="shared" si="16"/>
        <v>0</v>
      </c>
      <c r="I157" s="280">
        <f t="shared" si="17"/>
        <v>0</v>
      </c>
      <c r="J157" s="280">
        <f t="shared" si="18"/>
        <v>0</v>
      </c>
      <c r="K157" s="120" t="str">
        <f t="shared" si="14"/>
        <v/>
      </c>
      <c r="L157" s="287"/>
      <c r="M157" s="91"/>
      <c r="N157" s="99"/>
      <c r="O157" s="116"/>
      <c r="P157" s="86"/>
      <c r="Q157" s="92"/>
      <c r="R157" s="120">
        <f t="shared" si="15"/>
        <v>0</v>
      </c>
      <c r="S157" s="93"/>
      <c r="T157" s="117"/>
      <c r="U157" s="117"/>
      <c r="V157" s="85"/>
      <c r="W157" s="146"/>
      <c r="X157" s="137"/>
      <c r="Y157" s="137"/>
      <c r="Z157" s="137"/>
      <c r="AA157" s="137"/>
      <c r="AB157" s="137"/>
      <c r="AC157" s="137"/>
      <c r="AD157" s="137"/>
      <c r="AE157" s="137"/>
      <c r="AF157" s="141"/>
      <c r="AG157" s="146"/>
      <c r="AH157" s="146"/>
      <c r="AI157" s="146"/>
      <c r="AJ157" s="146"/>
      <c r="AK157" s="146"/>
      <c r="AL157" s="81"/>
      <c r="AM157" s="81"/>
      <c r="AN157" s="152"/>
      <c r="AO157" s="152"/>
      <c r="AP157" s="152"/>
      <c r="AQ157" s="152"/>
      <c r="AR157" s="81"/>
      <c r="AS157" s="81"/>
      <c r="AT157" s="82"/>
      <c r="AU157" s="82"/>
      <c r="AV157" s="176"/>
      <c r="AW157" s="89"/>
      <c r="AX157" s="89"/>
      <c r="AY157" s="89"/>
      <c r="AZ157" s="89"/>
      <c r="BA157" s="89"/>
      <c r="BB157" s="89"/>
      <c r="BC157" s="89"/>
      <c r="BD157" s="89"/>
      <c r="BE157" s="141"/>
      <c r="BF157" s="176"/>
      <c r="BG157" s="176"/>
      <c r="BH157" s="176"/>
      <c r="BI157" s="176"/>
    </row>
    <row r="158" spans="1:61" s="90" customFormat="1">
      <c r="A158" s="83">
        <v>155</v>
      </c>
      <c r="B158" s="85"/>
      <c r="C158" s="84"/>
      <c r="D158" s="112"/>
      <c r="E158" s="112"/>
      <c r="F158" s="112"/>
      <c r="G158" s="290"/>
      <c r="H158" s="280">
        <f t="shared" si="16"/>
        <v>0</v>
      </c>
      <c r="I158" s="280">
        <f t="shared" si="17"/>
        <v>0</v>
      </c>
      <c r="J158" s="280">
        <f t="shared" si="18"/>
        <v>0</v>
      </c>
      <c r="K158" s="120" t="str">
        <f t="shared" si="14"/>
        <v/>
      </c>
      <c r="L158" s="287"/>
      <c r="M158" s="91"/>
      <c r="N158" s="99"/>
      <c r="O158" s="116"/>
      <c r="P158" s="86"/>
      <c r="Q158" s="92"/>
      <c r="R158" s="120">
        <f t="shared" si="15"/>
        <v>0</v>
      </c>
      <c r="S158" s="93"/>
      <c r="T158" s="117"/>
      <c r="U158" s="117"/>
      <c r="V158" s="85"/>
      <c r="W158" s="146"/>
      <c r="X158" s="137"/>
      <c r="Y158" s="137"/>
      <c r="Z158" s="137"/>
      <c r="AA158" s="137"/>
      <c r="AB158" s="137"/>
      <c r="AC158" s="137"/>
      <c r="AD158" s="137"/>
      <c r="AE158" s="137"/>
      <c r="AF158" s="141"/>
      <c r="AG158" s="146"/>
      <c r="AH158" s="146"/>
      <c r="AI158" s="146"/>
      <c r="AJ158" s="146"/>
      <c r="AK158" s="146"/>
      <c r="AL158" s="81"/>
      <c r="AM158" s="81"/>
      <c r="AN158" s="152"/>
      <c r="AO158" s="152"/>
      <c r="AP158" s="152"/>
      <c r="AQ158" s="152"/>
      <c r="AR158" s="81"/>
      <c r="AS158" s="81"/>
      <c r="AT158" s="82"/>
      <c r="AU158" s="82"/>
      <c r="AV158" s="176"/>
      <c r="AW158" s="89"/>
      <c r="AX158" s="89"/>
      <c r="AY158" s="89"/>
      <c r="AZ158" s="89"/>
      <c r="BA158" s="89"/>
      <c r="BB158" s="89"/>
      <c r="BC158" s="89"/>
      <c r="BD158" s="89"/>
      <c r="BE158" s="141"/>
      <c r="BF158" s="176"/>
      <c r="BG158" s="176"/>
      <c r="BH158" s="176"/>
      <c r="BI158" s="176"/>
    </row>
    <row r="159" spans="1:61" s="90" customFormat="1">
      <c r="A159" s="83">
        <v>156</v>
      </c>
      <c r="B159" s="85"/>
      <c r="C159" s="84"/>
      <c r="D159" s="112"/>
      <c r="E159" s="112"/>
      <c r="F159" s="112"/>
      <c r="G159" s="290"/>
      <c r="H159" s="280">
        <f t="shared" si="16"/>
        <v>0</v>
      </c>
      <c r="I159" s="280">
        <f t="shared" si="17"/>
        <v>0</v>
      </c>
      <c r="J159" s="280">
        <f t="shared" si="18"/>
        <v>0</v>
      </c>
      <c r="K159" s="120" t="str">
        <f t="shared" si="14"/>
        <v/>
      </c>
      <c r="L159" s="287"/>
      <c r="M159" s="91"/>
      <c r="N159" s="99"/>
      <c r="O159" s="116"/>
      <c r="P159" s="86"/>
      <c r="Q159" s="92"/>
      <c r="R159" s="120">
        <f t="shared" si="15"/>
        <v>0</v>
      </c>
      <c r="S159" s="93"/>
      <c r="T159" s="117"/>
      <c r="U159" s="117"/>
      <c r="V159" s="85"/>
      <c r="W159" s="146"/>
      <c r="X159" s="137"/>
      <c r="Y159" s="137"/>
      <c r="Z159" s="137"/>
      <c r="AA159" s="137"/>
      <c r="AB159" s="137"/>
      <c r="AC159" s="137"/>
      <c r="AD159" s="137"/>
      <c r="AE159" s="137"/>
      <c r="AF159" s="141"/>
      <c r="AG159" s="146"/>
      <c r="AH159" s="146"/>
      <c r="AI159" s="146"/>
      <c r="AJ159" s="146"/>
      <c r="AK159" s="146"/>
      <c r="AL159" s="81"/>
      <c r="AM159" s="81"/>
      <c r="AN159" s="152"/>
      <c r="AO159" s="152"/>
      <c r="AP159" s="152"/>
      <c r="AQ159" s="152"/>
      <c r="AR159" s="81"/>
      <c r="AS159" s="81"/>
      <c r="AT159" s="82"/>
      <c r="AU159" s="82"/>
      <c r="AV159" s="176"/>
      <c r="AW159" s="89"/>
      <c r="AX159" s="89"/>
      <c r="AY159" s="89"/>
      <c r="AZ159" s="89"/>
      <c r="BA159" s="89"/>
      <c r="BB159" s="89"/>
      <c r="BC159" s="89"/>
      <c r="BD159" s="89"/>
      <c r="BE159" s="141"/>
      <c r="BF159" s="176"/>
      <c r="BG159" s="176"/>
      <c r="BH159" s="176"/>
      <c r="BI159" s="176"/>
    </row>
    <row r="160" spans="1:61" s="90" customFormat="1">
      <c r="A160" s="83">
        <v>157</v>
      </c>
      <c r="B160" s="85"/>
      <c r="C160" s="84"/>
      <c r="D160" s="112"/>
      <c r="E160" s="112"/>
      <c r="F160" s="112"/>
      <c r="G160" s="290"/>
      <c r="H160" s="280">
        <f t="shared" si="16"/>
        <v>0</v>
      </c>
      <c r="I160" s="280">
        <f t="shared" si="17"/>
        <v>0</v>
      </c>
      <c r="J160" s="280">
        <f t="shared" si="18"/>
        <v>0</v>
      </c>
      <c r="K160" s="120" t="str">
        <f t="shared" si="14"/>
        <v/>
      </c>
      <c r="L160" s="287"/>
      <c r="M160" s="91"/>
      <c r="N160" s="99"/>
      <c r="O160" s="116"/>
      <c r="P160" s="86"/>
      <c r="Q160" s="92"/>
      <c r="R160" s="120">
        <f t="shared" si="15"/>
        <v>0</v>
      </c>
      <c r="S160" s="93"/>
      <c r="T160" s="117"/>
      <c r="U160" s="117"/>
      <c r="V160" s="85"/>
      <c r="W160" s="146"/>
      <c r="X160" s="137"/>
      <c r="Y160" s="137"/>
      <c r="Z160" s="137"/>
      <c r="AA160" s="137"/>
      <c r="AB160" s="137"/>
      <c r="AC160" s="137"/>
      <c r="AD160" s="137"/>
      <c r="AE160" s="137"/>
      <c r="AF160" s="141"/>
      <c r="AG160" s="146"/>
      <c r="AH160" s="146"/>
      <c r="AI160" s="146"/>
      <c r="AJ160" s="146"/>
      <c r="AK160" s="146"/>
      <c r="AL160" s="81"/>
      <c r="AM160" s="81"/>
      <c r="AN160" s="152"/>
      <c r="AO160" s="152"/>
      <c r="AP160" s="152"/>
      <c r="AQ160" s="152"/>
      <c r="AR160" s="81"/>
      <c r="AS160" s="81"/>
      <c r="AT160" s="82"/>
      <c r="AU160" s="82"/>
      <c r="AV160" s="176"/>
      <c r="AW160" s="89"/>
      <c r="AX160" s="89"/>
      <c r="AY160" s="89"/>
      <c r="AZ160" s="89"/>
      <c r="BA160" s="89"/>
      <c r="BB160" s="89"/>
      <c r="BC160" s="89"/>
      <c r="BD160" s="89"/>
      <c r="BE160" s="141"/>
      <c r="BF160" s="176"/>
      <c r="BG160" s="176"/>
      <c r="BH160" s="176"/>
      <c r="BI160" s="176"/>
    </row>
    <row r="161" spans="1:61" s="90" customFormat="1">
      <c r="A161" s="83">
        <v>158</v>
      </c>
      <c r="B161" s="85"/>
      <c r="C161" s="84"/>
      <c r="D161" s="112"/>
      <c r="E161" s="112"/>
      <c r="F161" s="112"/>
      <c r="G161" s="290"/>
      <c r="H161" s="280">
        <f t="shared" si="16"/>
        <v>0</v>
      </c>
      <c r="I161" s="280">
        <f t="shared" si="17"/>
        <v>0</v>
      </c>
      <c r="J161" s="280">
        <f t="shared" si="18"/>
        <v>0</v>
      </c>
      <c r="K161" s="120" t="str">
        <f t="shared" si="14"/>
        <v/>
      </c>
      <c r="L161" s="287"/>
      <c r="M161" s="91"/>
      <c r="N161" s="99"/>
      <c r="O161" s="116"/>
      <c r="P161" s="86"/>
      <c r="Q161" s="92"/>
      <c r="R161" s="120">
        <f t="shared" si="15"/>
        <v>0</v>
      </c>
      <c r="S161" s="93"/>
      <c r="T161" s="117"/>
      <c r="U161" s="117"/>
      <c r="V161" s="85"/>
      <c r="W161" s="146"/>
      <c r="X161" s="137"/>
      <c r="Y161" s="137"/>
      <c r="Z161" s="137"/>
      <c r="AA161" s="137"/>
      <c r="AB161" s="137"/>
      <c r="AC161" s="137"/>
      <c r="AD161" s="137"/>
      <c r="AE161" s="137"/>
      <c r="AF161" s="141"/>
      <c r="AG161" s="146"/>
      <c r="AH161" s="146"/>
      <c r="AI161" s="146"/>
      <c r="AJ161" s="146"/>
      <c r="AK161" s="146"/>
      <c r="AL161" s="81"/>
      <c r="AM161" s="81"/>
      <c r="AN161" s="152"/>
      <c r="AO161" s="152"/>
      <c r="AP161" s="152"/>
      <c r="AQ161" s="152"/>
      <c r="AR161" s="81"/>
      <c r="AS161" s="81"/>
      <c r="AT161" s="82"/>
      <c r="AU161" s="82"/>
      <c r="AV161" s="176"/>
      <c r="AW161" s="89"/>
      <c r="AX161" s="89"/>
      <c r="AY161" s="89"/>
      <c r="AZ161" s="89"/>
      <c r="BA161" s="89"/>
      <c r="BB161" s="89"/>
      <c r="BC161" s="89"/>
      <c r="BD161" s="89"/>
      <c r="BE161" s="141"/>
      <c r="BF161" s="176"/>
      <c r="BG161" s="176"/>
      <c r="BH161" s="176"/>
      <c r="BI161" s="176"/>
    </row>
    <row r="162" spans="1:61" s="90" customFormat="1">
      <c r="A162" s="83">
        <v>159</v>
      </c>
      <c r="B162" s="85"/>
      <c r="C162" s="84"/>
      <c r="D162" s="112"/>
      <c r="E162" s="112"/>
      <c r="F162" s="112"/>
      <c r="G162" s="290"/>
      <c r="H162" s="280">
        <f t="shared" si="16"/>
        <v>0</v>
      </c>
      <c r="I162" s="280">
        <f t="shared" si="17"/>
        <v>0</v>
      </c>
      <c r="J162" s="280">
        <f t="shared" si="18"/>
        <v>0</v>
      </c>
      <c r="K162" s="120" t="str">
        <f t="shared" si="14"/>
        <v/>
      </c>
      <c r="L162" s="287"/>
      <c r="M162" s="91"/>
      <c r="N162" s="99"/>
      <c r="O162" s="116"/>
      <c r="P162" s="86"/>
      <c r="Q162" s="92"/>
      <c r="R162" s="120">
        <f t="shared" si="15"/>
        <v>0</v>
      </c>
      <c r="S162" s="93"/>
      <c r="T162" s="117"/>
      <c r="U162" s="117"/>
      <c r="V162" s="85"/>
      <c r="W162" s="146"/>
      <c r="X162" s="137"/>
      <c r="Y162" s="137"/>
      <c r="Z162" s="137"/>
      <c r="AA162" s="137"/>
      <c r="AB162" s="137"/>
      <c r="AC162" s="137"/>
      <c r="AD162" s="137"/>
      <c r="AE162" s="137"/>
      <c r="AF162" s="141"/>
      <c r="AG162" s="146"/>
      <c r="AH162" s="146"/>
      <c r="AI162" s="146"/>
      <c r="AJ162" s="146"/>
      <c r="AK162" s="146"/>
      <c r="AL162" s="81"/>
      <c r="AM162" s="81"/>
      <c r="AN162" s="152"/>
      <c r="AO162" s="152"/>
      <c r="AP162" s="152"/>
      <c r="AQ162" s="152"/>
      <c r="AR162" s="81"/>
      <c r="AS162" s="81"/>
      <c r="AT162" s="82"/>
      <c r="AU162" s="82"/>
      <c r="AV162" s="176"/>
      <c r="AW162" s="89"/>
      <c r="AX162" s="89"/>
      <c r="AY162" s="89"/>
      <c r="AZ162" s="89"/>
      <c r="BA162" s="89"/>
      <c r="BB162" s="89"/>
      <c r="BC162" s="89"/>
      <c r="BD162" s="89"/>
      <c r="BE162" s="141"/>
      <c r="BF162" s="176"/>
      <c r="BG162" s="176"/>
      <c r="BH162" s="176"/>
      <c r="BI162" s="176"/>
    </row>
    <row r="163" spans="1:61" s="90" customFormat="1">
      <c r="A163" s="83">
        <v>160</v>
      </c>
      <c r="B163" s="85"/>
      <c r="C163" s="84"/>
      <c r="D163" s="112"/>
      <c r="E163" s="112"/>
      <c r="F163" s="112"/>
      <c r="G163" s="290"/>
      <c r="H163" s="280">
        <f t="shared" si="16"/>
        <v>0</v>
      </c>
      <c r="I163" s="280">
        <f t="shared" si="17"/>
        <v>0</v>
      </c>
      <c r="J163" s="280">
        <f t="shared" si="18"/>
        <v>0</v>
      </c>
      <c r="K163" s="120" t="str">
        <f t="shared" si="14"/>
        <v/>
      </c>
      <c r="L163" s="287"/>
      <c r="M163" s="91"/>
      <c r="N163" s="99"/>
      <c r="O163" s="116"/>
      <c r="P163" s="86"/>
      <c r="Q163" s="92"/>
      <c r="R163" s="120">
        <f t="shared" si="15"/>
        <v>0</v>
      </c>
      <c r="S163" s="93"/>
      <c r="T163" s="117"/>
      <c r="U163" s="117"/>
      <c r="V163" s="85"/>
      <c r="W163" s="146"/>
      <c r="X163" s="137"/>
      <c r="Y163" s="137"/>
      <c r="Z163" s="137"/>
      <c r="AA163" s="137"/>
      <c r="AB163" s="137"/>
      <c r="AC163" s="137"/>
      <c r="AD163" s="137"/>
      <c r="AE163" s="137"/>
      <c r="AF163" s="141"/>
      <c r="AG163" s="146"/>
      <c r="AH163" s="146"/>
      <c r="AI163" s="146"/>
      <c r="AJ163" s="146"/>
      <c r="AK163" s="146"/>
      <c r="AL163" s="81"/>
      <c r="AM163" s="81"/>
      <c r="AN163" s="152"/>
      <c r="AO163" s="152"/>
      <c r="AP163" s="152"/>
      <c r="AQ163" s="152"/>
      <c r="AR163" s="81"/>
      <c r="AS163" s="81"/>
      <c r="AT163" s="82"/>
      <c r="AU163" s="82"/>
      <c r="AV163" s="176"/>
      <c r="AW163" s="89"/>
      <c r="AX163" s="89"/>
      <c r="AY163" s="89"/>
      <c r="AZ163" s="89"/>
      <c r="BA163" s="89"/>
      <c r="BB163" s="89"/>
      <c r="BC163" s="89"/>
      <c r="BD163" s="89"/>
      <c r="BE163" s="141"/>
      <c r="BF163" s="176"/>
      <c r="BG163" s="176"/>
      <c r="BH163" s="176"/>
      <c r="BI163" s="176"/>
    </row>
    <row r="164" spans="1:61" s="90" customFormat="1">
      <c r="A164" s="83">
        <v>161</v>
      </c>
      <c r="B164" s="85"/>
      <c r="C164" s="84"/>
      <c r="D164" s="112"/>
      <c r="E164" s="112"/>
      <c r="F164" s="112"/>
      <c r="G164" s="290"/>
      <c r="H164" s="280">
        <f t="shared" si="16"/>
        <v>0</v>
      </c>
      <c r="I164" s="280">
        <f t="shared" si="17"/>
        <v>0</v>
      </c>
      <c r="J164" s="280">
        <f t="shared" si="18"/>
        <v>0</v>
      </c>
      <c r="K164" s="120" t="str">
        <f t="shared" si="14"/>
        <v/>
      </c>
      <c r="L164" s="287"/>
      <c r="M164" s="91"/>
      <c r="N164" s="99"/>
      <c r="O164" s="116"/>
      <c r="P164" s="86"/>
      <c r="Q164" s="92"/>
      <c r="R164" s="120">
        <f t="shared" si="15"/>
        <v>0</v>
      </c>
      <c r="S164" s="93"/>
      <c r="T164" s="117"/>
      <c r="U164" s="117"/>
      <c r="V164" s="85"/>
      <c r="W164" s="146"/>
      <c r="X164" s="137"/>
      <c r="Y164" s="137"/>
      <c r="Z164" s="137"/>
      <c r="AA164" s="137"/>
      <c r="AB164" s="137"/>
      <c r="AC164" s="137"/>
      <c r="AD164" s="137"/>
      <c r="AE164" s="137"/>
      <c r="AF164" s="141"/>
      <c r="AG164" s="146"/>
      <c r="AH164" s="146"/>
      <c r="AI164" s="146"/>
      <c r="AJ164" s="146"/>
      <c r="AK164" s="146"/>
      <c r="AL164" s="81"/>
      <c r="AM164" s="81"/>
      <c r="AN164" s="152"/>
      <c r="AO164" s="152"/>
      <c r="AP164" s="152"/>
      <c r="AQ164" s="152"/>
      <c r="AR164" s="81"/>
      <c r="AS164" s="81"/>
      <c r="AT164" s="82"/>
      <c r="AU164" s="82"/>
      <c r="AV164" s="176"/>
      <c r="AW164" s="89"/>
      <c r="AX164" s="89"/>
      <c r="AY164" s="89"/>
      <c r="AZ164" s="89"/>
      <c r="BA164" s="89"/>
      <c r="BB164" s="89"/>
      <c r="BC164" s="89"/>
      <c r="BD164" s="89"/>
      <c r="BE164" s="141"/>
      <c r="BF164" s="176"/>
      <c r="BG164" s="176"/>
      <c r="BH164" s="176"/>
      <c r="BI164" s="176"/>
    </row>
    <row r="165" spans="1:61" s="90" customFormat="1">
      <c r="A165" s="83">
        <v>162</v>
      </c>
      <c r="B165" s="85"/>
      <c r="C165" s="84"/>
      <c r="D165" s="112"/>
      <c r="E165" s="112"/>
      <c r="F165" s="112"/>
      <c r="G165" s="290"/>
      <c r="H165" s="280">
        <f t="shared" si="16"/>
        <v>0</v>
      </c>
      <c r="I165" s="280">
        <f t="shared" si="17"/>
        <v>0</v>
      </c>
      <c r="J165" s="280">
        <f t="shared" si="18"/>
        <v>0</v>
      </c>
      <c r="K165" s="120" t="str">
        <f t="shared" si="14"/>
        <v/>
      </c>
      <c r="L165" s="287"/>
      <c r="M165" s="91"/>
      <c r="N165" s="99"/>
      <c r="O165" s="116"/>
      <c r="P165" s="86"/>
      <c r="Q165" s="92"/>
      <c r="R165" s="120">
        <f t="shared" si="15"/>
        <v>0</v>
      </c>
      <c r="S165" s="93"/>
      <c r="T165" s="117"/>
      <c r="U165" s="117"/>
      <c r="V165" s="85"/>
      <c r="W165" s="146"/>
      <c r="X165" s="137"/>
      <c r="Y165" s="137"/>
      <c r="Z165" s="137"/>
      <c r="AA165" s="137"/>
      <c r="AB165" s="137"/>
      <c r="AC165" s="137"/>
      <c r="AD165" s="137"/>
      <c r="AE165" s="137"/>
      <c r="AF165" s="141"/>
      <c r="AG165" s="146"/>
      <c r="AH165" s="146"/>
      <c r="AI165" s="146"/>
      <c r="AJ165" s="146"/>
      <c r="AK165" s="146"/>
      <c r="AL165" s="81"/>
      <c r="AM165" s="81"/>
      <c r="AN165" s="152"/>
      <c r="AO165" s="152"/>
      <c r="AP165" s="152"/>
      <c r="AQ165" s="152"/>
      <c r="AR165" s="81"/>
      <c r="AS165" s="81"/>
      <c r="AT165" s="82"/>
      <c r="AU165" s="82"/>
      <c r="AV165" s="176"/>
      <c r="AW165" s="89"/>
      <c r="AX165" s="89"/>
      <c r="AY165" s="89"/>
      <c r="AZ165" s="89"/>
      <c r="BA165" s="89"/>
      <c r="BB165" s="89"/>
      <c r="BC165" s="89"/>
      <c r="BD165" s="89"/>
      <c r="BE165" s="141"/>
      <c r="BF165" s="176"/>
      <c r="BG165" s="176"/>
      <c r="BH165" s="176"/>
      <c r="BI165" s="176"/>
    </row>
    <row r="166" spans="1:61" s="90" customFormat="1">
      <c r="A166" s="83">
        <v>163</v>
      </c>
      <c r="B166" s="85"/>
      <c r="C166" s="84"/>
      <c r="D166" s="112"/>
      <c r="E166" s="112"/>
      <c r="F166" s="112"/>
      <c r="G166" s="290"/>
      <c r="H166" s="280">
        <f t="shared" si="16"/>
        <v>0</v>
      </c>
      <c r="I166" s="280">
        <f t="shared" si="17"/>
        <v>0</v>
      </c>
      <c r="J166" s="280">
        <f t="shared" si="18"/>
        <v>0</v>
      </c>
      <c r="K166" s="120" t="str">
        <f t="shared" si="14"/>
        <v/>
      </c>
      <c r="L166" s="287"/>
      <c r="M166" s="91"/>
      <c r="N166" s="99"/>
      <c r="O166" s="116"/>
      <c r="P166" s="86"/>
      <c r="Q166" s="92"/>
      <c r="R166" s="120">
        <f t="shared" si="15"/>
        <v>0</v>
      </c>
      <c r="S166" s="93"/>
      <c r="T166" s="117"/>
      <c r="U166" s="117"/>
      <c r="V166" s="85"/>
      <c r="W166" s="146"/>
      <c r="X166" s="137"/>
      <c r="Y166" s="137"/>
      <c r="Z166" s="137"/>
      <c r="AA166" s="137"/>
      <c r="AB166" s="137"/>
      <c r="AC166" s="137"/>
      <c r="AD166" s="137"/>
      <c r="AE166" s="137"/>
      <c r="AF166" s="141"/>
      <c r="AG166" s="146"/>
      <c r="AH166" s="146"/>
      <c r="AI166" s="146"/>
      <c r="AJ166" s="146"/>
      <c r="AK166" s="146"/>
      <c r="AL166" s="81"/>
      <c r="AM166" s="81"/>
      <c r="AN166" s="152"/>
      <c r="AO166" s="152"/>
      <c r="AP166" s="152"/>
      <c r="AQ166" s="152"/>
      <c r="AR166" s="81"/>
      <c r="AS166" s="81"/>
      <c r="AT166" s="82"/>
      <c r="AU166" s="82"/>
      <c r="AV166" s="176"/>
      <c r="AW166" s="89"/>
      <c r="AX166" s="89"/>
      <c r="AY166" s="89"/>
      <c r="AZ166" s="89"/>
      <c r="BA166" s="89"/>
      <c r="BB166" s="89"/>
      <c r="BC166" s="89"/>
      <c r="BD166" s="89"/>
      <c r="BE166" s="141"/>
      <c r="BF166" s="176"/>
      <c r="BG166" s="176"/>
      <c r="BH166" s="176"/>
      <c r="BI166" s="176"/>
    </row>
    <row r="167" spans="1:61" s="90" customFormat="1">
      <c r="A167" s="83">
        <v>164</v>
      </c>
      <c r="B167" s="85"/>
      <c r="C167" s="84"/>
      <c r="D167" s="112"/>
      <c r="E167" s="112"/>
      <c r="F167" s="112"/>
      <c r="G167" s="290"/>
      <c r="H167" s="280">
        <f t="shared" si="16"/>
        <v>0</v>
      </c>
      <c r="I167" s="280">
        <f t="shared" si="17"/>
        <v>0</v>
      </c>
      <c r="J167" s="280">
        <f t="shared" si="18"/>
        <v>0</v>
      </c>
      <c r="K167" s="120" t="str">
        <f t="shared" si="14"/>
        <v/>
      </c>
      <c r="L167" s="287"/>
      <c r="M167" s="91"/>
      <c r="N167" s="99"/>
      <c r="O167" s="116"/>
      <c r="P167" s="86"/>
      <c r="Q167" s="92"/>
      <c r="R167" s="120">
        <f t="shared" si="15"/>
        <v>0</v>
      </c>
      <c r="S167" s="93"/>
      <c r="T167" s="117"/>
      <c r="U167" s="117"/>
      <c r="V167" s="85"/>
      <c r="W167" s="146"/>
      <c r="X167" s="137"/>
      <c r="Y167" s="137"/>
      <c r="Z167" s="137"/>
      <c r="AA167" s="137"/>
      <c r="AB167" s="137"/>
      <c r="AC167" s="137"/>
      <c r="AD167" s="137"/>
      <c r="AE167" s="137"/>
      <c r="AF167" s="141"/>
      <c r="AG167" s="146"/>
      <c r="AH167" s="146"/>
      <c r="AI167" s="146"/>
      <c r="AJ167" s="146"/>
      <c r="AK167" s="146"/>
      <c r="AL167" s="81"/>
      <c r="AM167" s="81"/>
      <c r="AN167" s="152"/>
      <c r="AO167" s="152"/>
      <c r="AP167" s="152"/>
      <c r="AQ167" s="152"/>
      <c r="AR167" s="81"/>
      <c r="AS167" s="81"/>
      <c r="AT167" s="82"/>
      <c r="AU167" s="82"/>
      <c r="AV167" s="176"/>
      <c r="AW167" s="89"/>
      <c r="AX167" s="89"/>
      <c r="AY167" s="89"/>
      <c r="AZ167" s="89"/>
      <c r="BA167" s="89"/>
      <c r="BB167" s="89"/>
      <c r="BC167" s="89"/>
      <c r="BD167" s="89"/>
      <c r="BE167" s="141"/>
      <c r="BF167" s="176"/>
      <c r="BG167" s="176"/>
      <c r="BH167" s="176"/>
      <c r="BI167" s="176"/>
    </row>
    <row r="168" spans="1:61" s="90" customFormat="1">
      <c r="A168" s="83">
        <v>165</v>
      </c>
      <c r="B168" s="85"/>
      <c r="C168" s="84"/>
      <c r="D168" s="112"/>
      <c r="E168" s="112"/>
      <c r="F168" s="112"/>
      <c r="G168" s="290"/>
      <c r="H168" s="280">
        <f t="shared" si="16"/>
        <v>0</v>
      </c>
      <c r="I168" s="280">
        <f t="shared" si="17"/>
        <v>0</v>
      </c>
      <c r="J168" s="280">
        <f t="shared" si="18"/>
        <v>0</v>
      </c>
      <c r="K168" s="120" t="str">
        <f t="shared" si="14"/>
        <v/>
      </c>
      <c r="L168" s="287"/>
      <c r="M168" s="91"/>
      <c r="N168" s="99"/>
      <c r="O168" s="116"/>
      <c r="P168" s="86"/>
      <c r="Q168" s="92"/>
      <c r="R168" s="120">
        <f t="shared" si="15"/>
        <v>0</v>
      </c>
      <c r="S168" s="93"/>
      <c r="T168" s="117"/>
      <c r="U168" s="117"/>
      <c r="V168" s="85"/>
      <c r="W168" s="146"/>
      <c r="X168" s="137"/>
      <c r="Y168" s="137"/>
      <c r="Z168" s="137"/>
      <c r="AA168" s="137"/>
      <c r="AB168" s="137"/>
      <c r="AC168" s="137"/>
      <c r="AD168" s="137"/>
      <c r="AE168" s="137"/>
      <c r="AF168" s="141"/>
      <c r="AG168" s="146"/>
      <c r="AH168" s="146"/>
      <c r="AI168" s="146"/>
      <c r="AJ168" s="146"/>
      <c r="AK168" s="146"/>
      <c r="AL168" s="81"/>
      <c r="AM168" s="81"/>
      <c r="AN168" s="152"/>
      <c r="AO168" s="152"/>
      <c r="AP168" s="152"/>
      <c r="AQ168" s="152"/>
      <c r="AR168" s="81"/>
      <c r="AS168" s="81"/>
      <c r="AT168" s="82"/>
      <c r="AU168" s="82"/>
      <c r="AV168" s="176"/>
      <c r="AW168" s="89"/>
      <c r="AX168" s="89"/>
      <c r="AY168" s="89"/>
      <c r="AZ168" s="89"/>
      <c r="BA168" s="89"/>
      <c r="BB168" s="89"/>
      <c r="BC168" s="89"/>
      <c r="BD168" s="89"/>
      <c r="BE168" s="141"/>
      <c r="BF168" s="176"/>
      <c r="BG168" s="176"/>
      <c r="BH168" s="176"/>
      <c r="BI168" s="176"/>
    </row>
    <row r="169" spans="1:61" s="90" customFormat="1">
      <c r="A169" s="83">
        <v>166</v>
      </c>
      <c r="B169" s="85"/>
      <c r="C169" s="84"/>
      <c r="D169" s="112"/>
      <c r="E169" s="112"/>
      <c r="F169" s="112"/>
      <c r="G169" s="290"/>
      <c r="H169" s="280">
        <f t="shared" si="16"/>
        <v>0</v>
      </c>
      <c r="I169" s="280">
        <f t="shared" si="17"/>
        <v>0</v>
      </c>
      <c r="J169" s="280">
        <f t="shared" si="18"/>
        <v>0</v>
      </c>
      <c r="K169" s="120" t="str">
        <f t="shared" si="14"/>
        <v/>
      </c>
      <c r="L169" s="287"/>
      <c r="M169" s="91"/>
      <c r="N169" s="99"/>
      <c r="O169" s="116"/>
      <c r="P169" s="86"/>
      <c r="Q169" s="92"/>
      <c r="R169" s="120">
        <f t="shared" si="15"/>
        <v>0</v>
      </c>
      <c r="S169" s="93"/>
      <c r="T169" s="117"/>
      <c r="U169" s="117"/>
      <c r="V169" s="85"/>
      <c r="W169" s="146"/>
      <c r="X169" s="137"/>
      <c r="Y169" s="137"/>
      <c r="Z169" s="137"/>
      <c r="AA169" s="137"/>
      <c r="AB169" s="137"/>
      <c r="AC169" s="137"/>
      <c r="AD169" s="137"/>
      <c r="AE169" s="137"/>
      <c r="AF169" s="141"/>
      <c r="AG169" s="146"/>
      <c r="AH169" s="146"/>
      <c r="AI169" s="146"/>
      <c r="AJ169" s="146"/>
      <c r="AK169" s="146"/>
      <c r="AL169" s="81"/>
      <c r="AM169" s="81"/>
      <c r="AN169" s="152"/>
      <c r="AO169" s="152"/>
      <c r="AP169" s="152"/>
      <c r="AQ169" s="152"/>
      <c r="AR169" s="81"/>
      <c r="AS169" s="81"/>
      <c r="AT169" s="82"/>
      <c r="AU169" s="82"/>
      <c r="AV169" s="176"/>
      <c r="AW169" s="89"/>
      <c r="AX169" s="89"/>
      <c r="AY169" s="89"/>
      <c r="AZ169" s="89"/>
      <c r="BA169" s="89"/>
      <c r="BB169" s="89"/>
      <c r="BC169" s="89"/>
      <c r="BD169" s="89"/>
      <c r="BE169" s="141"/>
      <c r="BF169" s="176"/>
      <c r="BG169" s="176"/>
      <c r="BH169" s="176"/>
      <c r="BI169" s="176"/>
    </row>
    <row r="170" spans="1:61" s="90" customFormat="1">
      <c r="A170" s="83">
        <v>167</v>
      </c>
      <c r="B170" s="85"/>
      <c r="C170" s="84"/>
      <c r="D170" s="112"/>
      <c r="E170" s="112"/>
      <c r="F170" s="112"/>
      <c r="G170" s="290"/>
      <c r="H170" s="280">
        <f t="shared" si="16"/>
        <v>0</v>
      </c>
      <c r="I170" s="280">
        <f t="shared" si="17"/>
        <v>0</v>
      </c>
      <c r="J170" s="280">
        <f t="shared" si="18"/>
        <v>0</v>
      </c>
      <c r="K170" s="120" t="str">
        <f t="shared" si="14"/>
        <v/>
      </c>
      <c r="L170" s="287"/>
      <c r="M170" s="91"/>
      <c r="N170" s="99"/>
      <c r="O170" s="116"/>
      <c r="P170" s="86"/>
      <c r="Q170" s="92"/>
      <c r="R170" s="120">
        <f t="shared" si="15"/>
        <v>0</v>
      </c>
      <c r="S170" s="93"/>
      <c r="T170" s="117"/>
      <c r="U170" s="117"/>
      <c r="V170" s="85"/>
      <c r="W170" s="146"/>
      <c r="X170" s="137"/>
      <c r="Y170" s="137"/>
      <c r="Z170" s="137"/>
      <c r="AA170" s="137"/>
      <c r="AB170" s="137"/>
      <c r="AC170" s="137"/>
      <c r="AD170" s="137"/>
      <c r="AE170" s="137"/>
      <c r="AF170" s="141"/>
      <c r="AG170" s="146"/>
      <c r="AH170" s="146"/>
      <c r="AI170" s="146"/>
      <c r="AJ170" s="146"/>
      <c r="AK170" s="146"/>
      <c r="AL170" s="81"/>
      <c r="AM170" s="81"/>
      <c r="AN170" s="152"/>
      <c r="AO170" s="152"/>
      <c r="AP170" s="152"/>
      <c r="AQ170" s="152"/>
      <c r="AR170" s="81"/>
      <c r="AS170" s="81"/>
      <c r="AT170" s="82"/>
      <c r="AU170" s="82"/>
      <c r="AV170" s="176"/>
      <c r="AW170" s="89"/>
      <c r="AX170" s="89"/>
      <c r="AY170" s="89"/>
      <c r="AZ170" s="89"/>
      <c r="BA170" s="89"/>
      <c r="BB170" s="89"/>
      <c r="BC170" s="89"/>
      <c r="BD170" s="89"/>
      <c r="BE170" s="141"/>
      <c r="BF170" s="176"/>
      <c r="BG170" s="176"/>
      <c r="BH170" s="176"/>
      <c r="BI170" s="176"/>
    </row>
    <row r="171" spans="1:61" s="90" customFormat="1">
      <c r="A171" s="83">
        <v>168</v>
      </c>
      <c r="B171" s="85"/>
      <c r="C171" s="84"/>
      <c r="D171" s="112"/>
      <c r="E171" s="112"/>
      <c r="F171" s="112"/>
      <c r="G171" s="290"/>
      <c r="H171" s="280">
        <f t="shared" si="16"/>
        <v>0</v>
      </c>
      <c r="I171" s="280">
        <f t="shared" si="17"/>
        <v>0</v>
      </c>
      <c r="J171" s="280">
        <f t="shared" si="18"/>
        <v>0</v>
      </c>
      <c r="K171" s="120" t="str">
        <f t="shared" si="14"/>
        <v/>
      </c>
      <c r="L171" s="287"/>
      <c r="M171" s="91"/>
      <c r="N171" s="99"/>
      <c r="O171" s="116"/>
      <c r="P171" s="86"/>
      <c r="Q171" s="92"/>
      <c r="R171" s="120">
        <f t="shared" si="15"/>
        <v>0</v>
      </c>
      <c r="S171" s="93"/>
      <c r="T171" s="117"/>
      <c r="U171" s="117"/>
      <c r="V171" s="85"/>
      <c r="W171" s="146"/>
      <c r="X171" s="137"/>
      <c r="Y171" s="137"/>
      <c r="Z171" s="137"/>
      <c r="AA171" s="137"/>
      <c r="AB171" s="137"/>
      <c r="AC171" s="137"/>
      <c r="AD171" s="137"/>
      <c r="AE171" s="137"/>
      <c r="AF171" s="141"/>
      <c r="AG171" s="146"/>
      <c r="AH171" s="146"/>
      <c r="AI171" s="146"/>
      <c r="AJ171" s="146"/>
      <c r="AK171" s="146"/>
      <c r="AL171" s="81"/>
      <c r="AM171" s="81"/>
      <c r="AN171" s="152"/>
      <c r="AO171" s="152"/>
      <c r="AP171" s="152"/>
      <c r="AQ171" s="152"/>
      <c r="AR171" s="81"/>
      <c r="AS171" s="81"/>
      <c r="AT171" s="82"/>
      <c r="AU171" s="82"/>
      <c r="AV171" s="176"/>
      <c r="AW171" s="89"/>
      <c r="AX171" s="89"/>
      <c r="AY171" s="89"/>
      <c r="AZ171" s="89"/>
      <c r="BA171" s="89"/>
      <c r="BB171" s="89"/>
      <c r="BC171" s="89"/>
      <c r="BD171" s="89"/>
      <c r="BE171" s="141"/>
      <c r="BF171" s="176"/>
      <c r="BG171" s="176"/>
      <c r="BH171" s="176"/>
      <c r="BI171" s="176"/>
    </row>
    <row r="172" spans="1:61" s="90" customFormat="1">
      <c r="A172" s="83">
        <v>169</v>
      </c>
      <c r="B172" s="85"/>
      <c r="C172" s="84"/>
      <c r="D172" s="112"/>
      <c r="E172" s="112"/>
      <c r="F172" s="112"/>
      <c r="G172" s="290"/>
      <c r="H172" s="280">
        <f t="shared" si="16"/>
        <v>0</v>
      </c>
      <c r="I172" s="280">
        <f t="shared" si="17"/>
        <v>0</v>
      </c>
      <c r="J172" s="280">
        <f t="shared" si="18"/>
        <v>0</v>
      </c>
      <c r="K172" s="120" t="str">
        <f t="shared" si="14"/>
        <v/>
      </c>
      <c r="L172" s="287"/>
      <c r="M172" s="91"/>
      <c r="N172" s="99"/>
      <c r="O172" s="116"/>
      <c r="P172" s="86"/>
      <c r="Q172" s="92"/>
      <c r="R172" s="120">
        <f t="shared" si="15"/>
        <v>0</v>
      </c>
      <c r="S172" s="93"/>
      <c r="T172" s="117"/>
      <c r="U172" s="117"/>
      <c r="V172" s="85"/>
      <c r="W172" s="146"/>
      <c r="X172" s="137"/>
      <c r="Y172" s="137"/>
      <c r="Z172" s="137"/>
      <c r="AA172" s="137"/>
      <c r="AB172" s="137"/>
      <c r="AC172" s="137"/>
      <c r="AD172" s="137"/>
      <c r="AE172" s="137"/>
      <c r="AF172" s="141"/>
      <c r="AG172" s="146"/>
      <c r="AH172" s="146"/>
      <c r="AI172" s="146"/>
      <c r="AJ172" s="146"/>
      <c r="AK172" s="146"/>
      <c r="AL172" s="81"/>
      <c r="AM172" s="81"/>
      <c r="AN172" s="152"/>
      <c r="AO172" s="152"/>
      <c r="AP172" s="152"/>
      <c r="AQ172" s="152"/>
      <c r="AR172" s="81"/>
      <c r="AS172" s="81"/>
      <c r="AT172" s="82"/>
      <c r="AU172" s="82"/>
      <c r="AV172" s="176"/>
      <c r="AW172" s="89"/>
      <c r="AX172" s="89"/>
      <c r="AY172" s="89"/>
      <c r="AZ172" s="89"/>
      <c r="BA172" s="89"/>
      <c r="BB172" s="89"/>
      <c r="BC172" s="89"/>
      <c r="BD172" s="89"/>
      <c r="BE172" s="141"/>
      <c r="BF172" s="176"/>
      <c r="BG172" s="176"/>
      <c r="BH172" s="176"/>
      <c r="BI172" s="176"/>
    </row>
    <row r="173" spans="1:61" s="90" customFormat="1">
      <c r="A173" s="83">
        <v>170</v>
      </c>
      <c r="B173" s="85"/>
      <c r="C173" s="84"/>
      <c r="D173" s="112"/>
      <c r="E173" s="112"/>
      <c r="F173" s="112"/>
      <c r="G173" s="290"/>
      <c r="H173" s="280">
        <f t="shared" si="16"/>
        <v>0</v>
      </c>
      <c r="I173" s="280">
        <f t="shared" si="17"/>
        <v>0</v>
      </c>
      <c r="J173" s="280">
        <f t="shared" si="18"/>
        <v>0</v>
      </c>
      <c r="K173" s="120" t="str">
        <f t="shared" si="14"/>
        <v/>
      </c>
      <c r="L173" s="287"/>
      <c r="M173" s="91"/>
      <c r="N173" s="99"/>
      <c r="O173" s="116"/>
      <c r="P173" s="86"/>
      <c r="Q173" s="92"/>
      <c r="R173" s="120">
        <f t="shared" si="15"/>
        <v>0</v>
      </c>
      <c r="S173" s="93"/>
      <c r="T173" s="117"/>
      <c r="U173" s="117"/>
      <c r="V173" s="85"/>
      <c r="W173" s="146"/>
      <c r="X173" s="137"/>
      <c r="Y173" s="137"/>
      <c r="Z173" s="137"/>
      <c r="AA173" s="137"/>
      <c r="AB173" s="137"/>
      <c r="AC173" s="137"/>
      <c r="AD173" s="137"/>
      <c r="AE173" s="137"/>
      <c r="AF173" s="141"/>
      <c r="AG173" s="146"/>
      <c r="AH173" s="146"/>
      <c r="AI173" s="146"/>
      <c r="AJ173" s="146"/>
      <c r="AK173" s="146"/>
      <c r="AL173" s="81"/>
      <c r="AM173" s="81"/>
      <c r="AN173" s="152"/>
      <c r="AO173" s="152"/>
      <c r="AP173" s="152"/>
      <c r="AQ173" s="152"/>
      <c r="AR173" s="81"/>
      <c r="AS173" s="81"/>
      <c r="AT173" s="82"/>
      <c r="AU173" s="82"/>
      <c r="AV173" s="176"/>
      <c r="AW173" s="89"/>
      <c r="AX173" s="89"/>
      <c r="AY173" s="89"/>
      <c r="AZ173" s="89"/>
      <c r="BA173" s="89"/>
      <c r="BB173" s="89"/>
      <c r="BC173" s="89"/>
      <c r="BD173" s="89"/>
      <c r="BE173" s="141"/>
      <c r="BF173" s="176"/>
      <c r="BG173" s="176"/>
      <c r="BH173" s="176"/>
      <c r="BI173" s="176"/>
    </row>
    <row r="174" spans="1:61" s="90" customFormat="1">
      <c r="A174" s="83">
        <v>171</v>
      </c>
      <c r="B174" s="85"/>
      <c r="C174" s="84"/>
      <c r="D174" s="112"/>
      <c r="E174" s="112"/>
      <c r="F174" s="112"/>
      <c r="G174" s="290"/>
      <c r="H174" s="280">
        <f t="shared" si="16"/>
        <v>0</v>
      </c>
      <c r="I174" s="280">
        <f t="shared" si="17"/>
        <v>0</v>
      </c>
      <c r="J174" s="280">
        <f t="shared" si="18"/>
        <v>0</v>
      </c>
      <c r="K174" s="120" t="str">
        <f t="shared" si="14"/>
        <v/>
      </c>
      <c r="L174" s="287"/>
      <c r="M174" s="91"/>
      <c r="N174" s="99"/>
      <c r="O174" s="116"/>
      <c r="P174" s="86"/>
      <c r="Q174" s="92"/>
      <c r="R174" s="120">
        <f t="shared" si="15"/>
        <v>0</v>
      </c>
      <c r="S174" s="93"/>
      <c r="T174" s="117"/>
      <c r="U174" s="117"/>
      <c r="V174" s="85"/>
      <c r="W174" s="146"/>
      <c r="X174" s="137"/>
      <c r="Y174" s="137"/>
      <c r="Z174" s="137"/>
      <c r="AA174" s="137"/>
      <c r="AB174" s="137"/>
      <c r="AC174" s="137"/>
      <c r="AD174" s="137"/>
      <c r="AE174" s="137"/>
      <c r="AF174" s="141"/>
      <c r="AG174" s="146"/>
      <c r="AH174" s="146"/>
      <c r="AI174" s="146"/>
      <c r="AJ174" s="146"/>
      <c r="AK174" s="146"/>
      <c r="AL174" s="81"/>
      <c r="AM174" s="81"/>
      <c r="AN174" s="152"/>
      <c r="AO174" s="152"/>
      <c r="AP174" s="152"/>
      <c r="AQ174" s="152"/>
      <c r="AR174" s="81"/>
      <c r="AS174" s="81"/>
      <c r="AT174" s="82"/>
      <c r="AU174" s="82"/>
      <c r="AV174" s="176"/>
      <c r="AW174" s="89"/>
      <c r="AX174" s="89"/>
      <c r="AY174" s="89"/>
      <c r="AZ174" s="89"/>
      <c r="BA174" s="89"/>
      <c r="BB174" s="89"/>
      <c r="BC174" s="89"/>
      <c r="BD174" s="89"/>
      <c r="BE174" s="141"/>
      <c r="BF174" s="176"/>
      <c r="BG174" s="176"/>
      <c r="BH174" s="176"/>
      <c r="BI174" s="176"/>
    </row>
    <row r="175" spans="1:61" s="90" customFormat="1">
      <c r="A175" s="83">
        <v>172</v>
      </c>
      <c r="B175" s="85"/>
      <c r="C175" s="84"/>
      <c r="D175" s="112"/>
      <c r="E175" s="112"/>
      <c r="F175" s="112"/>
      <c r="G175" s="290"/>
      <c r="H175" s="280">
        <f t="shared" si="16"/>
        <v>0</v>
      </c>
      <c r="I175" s="280">
        <f t="shared" si="17"/>
        <v>0</v>
      </c>
      <c r="J175" s="280">
        <f t="shared" si="18"/>
        <v>0</v>
      </c>
      <c r="K175" s="120" t="str">
        <f t="shared" si="14"/>
        <v/>
      </c>
      <c r="L175" s="287"/>
      <c r="M175" s="91"/>
      <c r="N175" s="99"/>
      <c r="O175" s="116"/>
      <c r="P175" s="86"/>
      <c r="Q175" s="92"/>
      <c r="R175" s="120">
        <f t="shared" si="15"/>
        <v>0</v>
      </c>
      <c r="S175" s="93"/>
      <c r="T175" s="117"/>
      <c r="U175" s="117"/>
      <c r="V175" s="85"/>
      <c r="W175" s="146"/>
      <c r="X175" s="137"/>
      <c r="Y175" s="137"/>
      <c r="Z175" s="137"/>
      <c r="AA175" s="137"/>
      <c r="AB175" s="137"/>
      <c r="AC175" s="137"/>
      <c r="AD175" s="137"/>
      <c r="AE175" s="137"/>
      <c r="AF175" s="141"/>
      <c r="AG175" s="146"/>
      <c r="AH175" s="146"/>
      <c r="AI175" s="146"/>
      <c r="AJ175" s="146"/>
      <c r="AK175" s="146"/>
      <c r="AL175" s="81"/>
      <c r="AM175" s="81"/>
      <c r="AN175" s="152"/>
      <c r="AO175" s="152"/>
      <c r="AP175" s="152"/>
      <c r="AQ175" s="152"/>
      <c r="AR175" s="81"/>
      <c r="AS175" s="81"/>
      <c r="AT175" s="82"/>
      <c r="AU175" s="82"/>
      <c r="AV175" s="176"/>
      <c r="AW175" s="89"/>
      <c r="AX175" s="89"/>
      <c r="AY175" s="89"/>
      <c r="AZ175" s="89"/>
      <c r="BA175" s="89"/>
      <c r="BB175" s="89"/>
      <c r="BC175" s="89"/>
      <c r="BD175" s="89"/>
      <c r="BE175" s="141"/>
      <c r="BF175" s="176"/>
      <c r="BG175" s="176"/>
      <c r="BH175" s="176"/>
      <c r="BI175" s="176"/>
    </row>
    <row r="176" spans="1:61" s="90" customFormat="1">
      <c r="A176" s="83">
        <v>173</v>
      </c>
      <c r="B176" s="85"/>
      <c r="C176" s="84"/>
      <c r="D176" s="112"/>
      <c r="E176" s="112"/>
      <c r="F176" s="112"/>
      <c r="G176" s="290"/>
      <c r="H176" s="280">
        <f t="shared" si="16"/>
        <v>0</v>
      </c>
      <c r="I176" s="280">
        <f t="shared" si="17"/>
        <v>0</v>
      </c>
      <c r="J176" s="280">
        <f t="shared" si="18"/>
        <v>0</v>
      </c>
      <c r="K176" s="120" t="str">
        <f t="shared" si="14"/>
        <v/>
      </c>
      <c r="L176" s="287"/>
      <c r="M176" s="91"/>
      <c r="N176" s="99"/>
      <c r="O176" s="116"/>
      <c r="P176" s="86"/>
      <c r="Q176" s="92"/>
      <c r="R176" s="120">
        <f t="shared" si="15"/>
        <v>0</v>
      </c>
      <c r="S176" s="93"/>
      <c r="T176" s="117"/>
      <c r="U176" s="117"/>
      <c r="V176" s="85"/>
      <c r="W176" s="146"/>
      <c r="X176" s="137"/>
      <c r="Y176" s="137"/>
      <c r="Z176" s="137"/>
      <c r="AA176" s="137"/>
      <c r="AB176" s="137"/>
      <c r="AC176" s="137"/>
      <c r="AD176" s="137"/>
      <c r="AE176" s="137"/>
      <c r="AF176" s="141"/>
      <c r="AG176" s="146"/>
      <c r="AH176" s="146"/>
      <c r="AI176" s="146"/>
      <c r="AJ176" s="146"/>
      <c r="AK176" s="146"/>
      <c r="AL176" s="81"/>
      <c r="AM176" s="81"/>
      <c r="AN176" s="152"/>
      <c r="AO176" s="152"/>
      <c r="AP176" s="152"/>
      <c r="AQ176" s="152"/>
      <c r="AR176" s="81"/>
      <c r="AS176" s="81"/>
      <c r="AT176" s="82"/>
      <c r="AU176" s="82"/>
      <c r="AV176" s="176"/>
      <c r="AW176" s="89"/>
      <c r="AX176" s="89"/>
      <c r="AY176" s="89"/>
      <c r="AZ176" s="89"/>
      <c r="BA176" s="89"/>
      <c r="BB176" s="89"/>
      <c r="BC176" s="89"/>
      <c r="BD176" s="89"/>
      <c r="BE176" s="141"/>
      <c r="BF176" s="176"/>
      <c r="BG176" s="176"/>
      <c r="BH176" s="176"/>
      <c r="BI176" s="176"/>
    </row>
    <row r="177" spans="1:61" s="90" customFormat="1">
      <c r="A177" s="83">
        <v>174</v>
      </c>
      <c r="B177" s="85"/>
      <c r="C177" s="84"/>
      <c r="D177" s="112"/>
      <c r="E177" s="112"/>
      <c r="F177" s="112"/>
      <c r="G177" s="290"/>
      <c r="H177" s="280">
        <f t="shared" si="16"/>
        <v>0</v>
      </c>
      <c r="I177" s="280">
        <f t="shared" si="17"/>
        <v>0</v>
      </c>
      <c r="J177" s="280">
        <f t="shared" si="18"/>
        <v>0</v>
      </c>
      <c r="K177" s="120" t="str">
        <f t="shared" si="14"/>
        <v/>
      </c>
      <c r="L177" s="287"/>
      <c r="M177" s="91"/>
      <c r="N177" s="99"/>
      <c r="O177" s="116"/>
      <c r="P177" s="86"/>
      <c r="Q177" s="92"/>
      <c r="R177" s="120">
        <f t="shared" si="15"/>
        <v>0</v>
      </c>
      <c r="S177" s="93"/>
      <c r="T177" s="117"/>
      <c r="U177" s="117"/>
      <c r="V177" s="85"/>
      <c r="W177" s="146"/>
      <c r="X177" s="137"/>
      <c r="Y177" s="137"/>
      <c r="Z177" s="137"/>
      <c r="AA177" s="137"/>
      <c r="AB177" s="137"/>
      <c r="AC177" s="137"/>
      <c r="AD177" s="137"/>
      <c r="AE177" s="137"/>
      <c r="AF177" s="141"/>
      <c r="AG177" s="146"/>
      <c r="AH177" s="146"/>
      <c r="AI177" s="146"/>
      <c r="AJ177" s="146"/>
      <c r="AK177" s="146"/>
      <c r="AL177" s="81"/>
      <c r="AM177" s="81"/>
      <c r="AN177" s="152"/>
      <c r="AO177" s="152"/>
      <c r="AP177" s="152"/>
      <c r="AQ177" s="152"/>
      <c r="AR177" s="81"/>
      <c r="AS177" s="81"/>
      <c r="AT177" s="82"/>
      <c r="AU177" s="82"/>
      <c r="AV177" s="176"/>
      <c r="AW177" s="89"/>
      <c r="AX177" s="89"/>
      <c r="AY177" s="89"/>
      <c r="AZ177" s="89"/>
      <c r="BA177" s="89"/>
      <c r="BB177" s="89"/>
      <c r="BC177" s="89"/>
      <c r="BD177" s="89"/>
      <c r="BE177" s="141"/>
      <c r="BF177" s="176"/>
      <c r="BG177" s="176"/>
      <c r="BH177" s="176"/>
      <c r="BI177" s="176"/>
    </row>
    <row r="178" spans="1:61" s="90" customFormat="1">
      <c r="A178" s="83">
        <v>175</v>
      </c>
      <c r="B178" s="85"/>
      <c r="C178" s="84"/>
      <c r="D178" s="112"/>
      <c r="E178" s="112"/>
      <c r="F178" s="112"/>
      <c r="G178" s="290"/>
      <c r="H178" s="280">
        <f t="shared" si="16"/>
        <v>0</v>
      </c>
      <c r="I178" s="280">
        <f t="shared" si="17"/>
        <v>0</v>
      </c>
      <c r="J178" s="280">
        <f t="shared" si="18"/>
        <v>0</v>
      </c>
      <c r="K178" s="120" t="str">
        <f t="shared" si="14"/>
        <v/>
      </c>
      <c r="L178" s="287"/>
      <c r="M178" s="91"/>
      <c r="N178" s="99"/>
      <c r="O178" s="116"/>
      <c r="P178" s="86"/>
      <c r="Q178" s="92"/>
      <c r="R178" s="120">
        <f t="shared" si="15"/>
        <v>0</v>
      </c>
      <c r="S178" s="93"/>
      <c r="T178" s="117"/>
      <c r="U178" s="117"/>
      <c r="V178" s="85"/>
      <c r="W178" s="146"/>
      <c r="X178" s="137"/>
      <c r="Y178" s="137"/>
      <c r="Z178" s="137"/>
      <c r="AA178" s="137"/>
      <c r="AB178" s="137"/>
      <c r="AC178" s="137"/>
      <c r="AD178" s="137"/>
      <c r="AE178" s="137"/>
      <c r="AF178" s="141"/>
      <c r="AG178" s="146"/>
      <c r="AH178" s="146"/>
      <c r="AI178" s="146"/>
      <c r="AJ178" s="146"/>
      <c r="AK178" s="146"/>
      <c r="AL178" s="81"/>
      <c r="AM178" s="81"/>
      <c r="AN178" s="152"/>
      <c r="AO178" s="152"/>
      <c r="AP178" s="152"/>
      <c r="AQ178" s="152"/>
      <c r="AR178" s="81"/>
      <c r="AS178" s="81"/>
      <c r="AT178" s="82"/>
      <c r="AU178" s="82"/>
      <c r="AV178" s="176"/>
      <c r="AW178" s="89"/>
      <c r="AX178" s="89"/>
      <c r="AY178" s="89"/>
      <c r="AZ178" s="89"/>
      <c r="BA178" s="89"/>
      <c r="BB178" s="89"/>
      <c r="BC178" s="89"/>
      <c r="BD178" s="89"/>
      <c r="BE178" s="141"/>
      <c r="BF178" s="176"/>
      <c r="BG178" s="176"/>
      <c r="BH178" s="176"/>
      <c r="BI178" s="176"/>
    </row>
    <row r="179" spans="1:61" s="90" customFormat="1">
      <c r="A179" s="83">
        <v>176</v>
      </c>
      <c r="B179" s="85"/>
      <c r="C179" s="84"/>
      <c r="D179" s="112"/>
      <c r="E179" s="112"/>
      <c r="F179" s="112"/>
      <c r="G179" s="290"/>
      <c r="H179" s="280">
        <f t="shared" si="16"/>
        <v>0</v>
      </c>
      <c r="I179" s="280">
        <f t="shared" si="17"/>
        <v>0</v>
      </c>
      <c r="J179" s="280">
        <f t="shared" si="18"/>
        <v>0</v>
      </c>
      <c r="K179" s="120" t="str">
        <f t="shared" si="14"/>
        <v/>
      </c>
      <c r="L179" s="287"/>
      <c r="M179" s="91"/>
      <c r="N179" s="99"/>
      <c r="O179" s="116"/>
      <c r="P179" s="86"/>
      <c r="Q179" s="92"/>
      <c r="R179" s="120">
        <f t="shared" si="15"/>
        <v>0</v>
      </c>
      <c r="S179" s="93"/>
      <c r="T179" s="117"/>
      <c r="U179" s="117"/>
      <c r="V179" s="85"/>
      <c r="W179" s="146"/>
      <c r="X179" s="137"/>
      <c r="Y179" s="137"/>
      <c r="Z179" s="137"/>
      <c r="AA179" s="137"/>
      <c r="AB179" s="137"/>
      <c r="AC179" s="137"/>
      <c r="AD179" s="137"/>
      <c r="AE179" s="137"/>
      <c r="AF179" s="141"/>
      <c r="AG179" s="146"/>
      <c r="AH179" s="146"/>
      <c r="AI179" s="146"/>
      <c r="AJ179" s="146"/>
      <c r="AK179" s="146"/>
      <c r="AL179" s="81"/>
      <c r="AM179" s="81"/>
      <c r="AN179" s="152"/>
      <c r="AO179" s="152"/>
      <c r="AP179" s="152"/>
      <c r="AQ179" s="152"/>
      <c r="AR179" s="81"/>
      <c r="AS179" s="81"/>
      <c r="AT179" s="82"/>
      <c r="AU179" s="82"/>
      <c r="AV179" s="176"/>
      <c r="AW179" s="89"/>
      <c r="AX179" s="89"/>
      <c r="AY179" s="89"/>
      <c r="AZ179" s="89"/>
      <c r="BA179" s="89"/>
      <c r="BB179" s="89"/>
      <c r="BC179" s="89"/>
      <c r="BD179" s="89"/>
      <c r="BE179" s="141"/>
      <c r="BF179" s="176"/>
      <c r="BG179" s="176"/>
      <c r="BH179" s="176"/>
      <c r="BI179" s="176"/>
    </row>
    <row r="180" spans="1:61" s="90" customFormat="1">
      <c r="A180" s="83">
        <v>177</v>
      </c>
      <c r="B180" s="85"/>
      <c r="C180" s="84"/>
      <c r="D180" s="112"/>
      <c r="E180" s="112"/>
      <c r="F180" s="112"/>
      <c r="G180" s="290"/>
      <c r="H180" s="280">
        <f t="shared" si="16"/>
        <v>0</v>
      </c>
      <c r="I180" s="280">
        <f t="shared" si="17"/>
        <v>0</v>
      </c>
      <c r="J180" s="280">
        <f t="shared" si="18"/>
        <v>0</v>
      </c>
      <c r="K180" s="120" t="str">
        <f t="shared" si="14"/>
        <v/>
      </c>
      <c r="L180" s="287"/>
      <c r="M180" s="91"/>
      <c r="N180" s="99"/>
      <c r="O180" s="116"/>
      <c r="P180" s="86"/>
      <c r="Q180" s="92"/>
      <c r="R180" s="120">
        <f t="shared" si="15"/>
        <v>0</v>
      </c>
      <c r="S180" s="93"/>
      <c r="T180" s="117"/>
      <c r="U180" s="117"/>
      <c r="V180" s="85"/>
      <c r="W180" s="146"/>
      <c r="X180" s="137"/>
      <c r="Y180" s="137"/>
      <c r="Z180" s="137"/>
      <c r="AA180" s="137"/>
      <c r="AB180" s="137"/>
      <c r="AC180" s="137"/>
      <c r="AD180" s="137"/>
      <c r="AE180" s="137"/>
      <c r="AF180" s="141"/>
      <c r="AG180" s="146"/>
      <c r="AH180" s="146"/>
      <c r="AI180" s="146"/>
      <c r="AJ180" s="146"/>
      <c r="AK180" s="146"/>
      <c r="AL180" s="81"/>
      <c r="AM180" s="81"/>
      <c r="AN180" s="152"/>
      <c r="AO180" s="152"/>
      <c r="AP180" s="152"/>
      <c r="AQ180" s="152"/>
      <c r="AR180" s="81"/>
      <c r="AS180" s="81"/>
      <c r="AT180" s="82"/>
      <c r="AU180" s="82"/>
      <c r="AV180" s="176"/>
      <c r="AW180" s="89"/>
      <c r="AX180" s="89"/>
      <c r="AY180" s="89"/>
      <c r="AZ180" s="89"/>
      <c r="BA180" s="89"/>
      <c r="BB180" s="89"/>
      <c r="BC180" s="89"/>
      <c r="BD180" s="89"/>
      <c r="BE180" s="141"/>
      <c r="BF180" s="176"/>
      <c r="BG180" s="176"/>
      <c r="BH180" s="176"/>
      <c r="BI180" s="176"/>
    </row>
    <row r="181" spans="1:61" s="90" customFormat="1">
      <c r="A181" s="83">
        <v>178</v>
      </c>
      <c r="B181" s="85"/>
      <c r="C181" s="84"/>
      <c r="D181" s="112"/>
      <c r="E181" s="112"/>
      <c r="F181" s="112"/>
      <c r="G181" s="290"/>
      <c r="H181" s="280">
        <f t="shared" si="16"/>
        <v>0</v>
      </c>
      <c r="I181" s="280">
        <f t="shared" si="17"/>
        <v>0</v>
      </c>
      <c r="J181" s="280">
        <f t="shared" si="18"/>
        <v>0</v>
      </c>
      <c r="K181" s="120" t="str">
        <f t="shared" si="14"/>
        <v/>
      </c>
      <c r="L181" s="287"/>
      <c r="M181" s="91"/>
      <c r="N181" s="99"/>
      <c r="O181" s="116"/>
      <c r="P181" s="86"/>
      <c r="Q181" s="92"/>
      <c r="R181" s="120">
        <f t="shared" si="15"/>
        <v>0</v>
      </c>
      <c r="S181" s="93"/>
      <c r="T181" s="117"/>
      <c r="U181" s="117"/>
      <c r="V181" s="85"/>
      <c r="W181" s="146"/>
      <c r="X181" s="137"/>
      <c r="Y181" s="137"/>
      <c r="Z181" s="137"/>
      <c r="AA181" s="137"/>
      <c r="AB181" s="137"/>
      <c r="AC181" s="137"/>
      <c r="AD181" s="137"/>
      <c r="AE181" s="137"/>
      <c r="AF181" s="141"/>
      <c r="AG181" s="146"/>
      <c r="AH181" s="146"/>
      <c r="AI181" s="146"/>
      <c r="AJ181" s="146"/>
      <c r="AK181" s="146"/>
      <c r="AL181" s="81"/>
      <c r="AM181" s="81"/>
      <c r="AN181" s="152"/>
      <c r="AO181" s="152"/>
      <c r="AP181" s="152"/>
      <c r="AQ181" s="152"/>
      <c r="AR181" s="81"/>
      <c r="AS181" s="81"/>
      <c r="AT181" s="82"/>
      <c r="AU181" s="82"/>
      <c r="AV181" s="176"/>
      <c r="AW181" s="89"/>
      <c r="AX181" s="89"/>
      <c r="AY181" s="89"/>
      <c r="AZ181" s="89"/>
      <c r="BA181" s="89"/>
      <c r="BB181" s="89"/>
      <c r="BC181" s="89"/>
      <c r="BD181" s="89"/>
      <c r="BE181" s="141"/>
      <c r="BF181" s="176"/>
      <c r="BG181" s="176"/>
      <c r="BH181" s="176"/>
      <c r="BI181" s="176"/>
    </row>
    <row r="182" spans="1:61" s="90" customFormat="1">
      <c r="A182" s="83">
        <v>179</v>
      </c>
      <c r="B182" s="85"/>
      <c r="C182" s="84"/>
      <c r="D182" s="112"/>
      <c r="E182" s="112"/>
      <c r="F182" s="112"/>
      <c r="G182" s="290"/>
      <c r="H182" s="280">
        <f t="shared" si="16"/>
        <v>0</v>
      </c>
      <c r="I182" s="280">
        <f t="shared" si="17"/>
        <v>0</v>
      </c>
      <c r="J182" s="280">
        <f t="shared" si="18"/>
        <v>0</v>
      </c>
      <c r="K182" s="120" t="str">
        <f t="shared" si="14"/>
        <v/>
      </c>
      <c r="L182" s="287"/>
      <c r="M182" s="91"/>
      <c r="N182" s="99"/>
      <c r="O182" s="116"/>
      <c r="P182" s="86"/>
      <c r="Q182" s="92"/>
      <c r="R182" s="120">
        <f t="shared" si="15"/>
        <v>0</v>
      </c>
      <c r="S182" s="93"/>
      <c r="T182" s="117"/>
      <c r="U182" s="117"/>
      <c r="V182" s="85"/>
      <c r="W182" s="146"/>
      <c r="X182" s="137"/>
      <c r="Y182" s="137"/>
      <c r="Z182" s="137"/>
      <c r="AA182" s="137"/>
      <c r="AB182" s="137"/>
      <c r="AC182" s="137"/>
      <c r="AD182" s="137"/>
      <c r="AE182" s="137"/>
      <c r="AF182" s="141"/>
      <c r="AG182" s="146"/>
      <c r="AH182" s="146"/>
      <c r="AI182" s="146"/>
      <c r="AJ182" s="146"/>
      <c r="AK182" s="146"/>
      <c r="AL182" s="81"/>
      <c r="AM182" s="81"/>
      <c r="AN182" s="152"/>
      <c r="AO182" s="152"/>
      <c r="AP182" s="152"/>
      <c r="AQ182" s="152"/>
      <c r="AR182" s="81"/>
      <c r="AS182" s="81"/>
      <c r="AT182" s="82"/>
      <c r="AU182" s="82"/>
      <c r="AV182" s="176"/>
      <c r="AW182" s="89"/>
      <c r="AX182" s="89"/>
      <c r="AY182" s="89"/>
      <c r="AZ182" s="89"/>
      <c r="BA182" s="89"/>
      <c r="BB182" s="89"/>
      <c r="BC182" s="89"/>
      <c r="BD182" s="89"/>
      <c r="BE182" s="141"/>
      <c r="BF182" s="176"/>
      <c r="BG182" s="176"/>
      <c r="BH182" s="176"/>
      <c r="BI182" s="176"/>
    </row>
    <row r="183" spans="1:61" s="90" customFormat="1">
      <c r="A183" s="83">
        <v>180</v>
      </c>
      <c r="B183" s="85"/>
      <c r="C183" s="84"/>
      <c r="D183" s="112"/>
      <c r="E183" s="112"/>
      <c r="F183" s="112"/>
      <c r="G183" s="290"/>
      <c r="H183" s="280">
        <f t="shared" si="16"/>
        <v>0</v>
      </c>
      <c r="I183" s="280">
        <f t="shared" si="17"/>
        <v>0</v>
      </c>
      <c r="J183" s="280">
        <f t="shared" si="18"/>
        <v>0</v>
      </c>
      <c r="K183" s="120" t="str">
        <f t="shared" si="14"/>
        <v/>
      </c>
      <c r="L183" s="287"/>
      <c r="M183" s="91"/>
      <c r="N183" s="99"/>
      <c r="O183" s="116"/>
      <c r="P183" s="86"/>
      <c r="Q183" s="92"/>
      <c r="R183" s="120">
        <f t="shared" si="15"/>
        <v>0</v>
      </c>
      <c r="S183" s="93"/>
      <c r="T183" s="117"/>
      <c r="U183" s="117"/>
      <c r="V183" s="85"/>
      <c r="W183" s="146"/>
      <c r="X183" s="137"/>
      <c r="Y183" s="137"/>
      <c r="Z183" s="137"/>
      <c r="AA183" s="137"/>
      <c r="AB183" s="137"/>
      <c r="AC183" s="137"/>
      <c r="AD183" s="137"/>
      <c r="AE183" s="137"/>
      <c r="AF183" s="141"/>
      <c r="AG183" s="146"/>
      <c r="AH183" s="146"/>
      <c r="AI183" s="146"/>
      <c r="AJ183" s="146"/>
      <c r="AK183" s="146"/>
      <c r="AL183" s="81"/>
      <c r="AM183" s="81"/>
      <c r="AN183" s="152"/>
      <c r="AO183" s="152"/>
      <c r="AP183" s="152"/>
      <c r="AQ183" s="152"/>
      <c r="AR183" s="81"/>
      <c r="AS183" s="81"/>
      <c r="AT183" s="82"/>
      <c r="AU183" s="82"/>
      <c r="AV183" s="176"/>
      <c r="AW183" s="89"/>
      <c r="AX183" s="89"/>
      <c r="AY183" s="89"/>
      <c r="AZ183" s="89"/>
      <c r="BA183" s="89"/>
      <c r="BB183" s="89"/>
      <c r="BC183" s="89"/>
      <c r="BD183" s="89"/>
      <c r="BE183" s="141"/>
      <c r="BF183" s="176"/>
      <c r="BG183" s="176"/>
      <c r="BH183" s="176"/>
      <c r="BI183" s="176"/>
    </row>
    <row r="184" spans="1:61" s="90" customFormat="1">
      <c r="A184" s="83">
        <v>181</v>
      </c>
      <c r="B184" s="85"/>
      <c r="C184" s="84"/>
      <c r="D184" s="112"/>
      <c r="E184" s="112"/>
      <c r="F184" s="112"/>
      <c r="G184" s="290"/>
      <c r="H184" s="280">
        <f t="shared" si="16"/>
        <v>0</v>
      </c>
      <c r="I184" s="280">
        <f t="shared" si="17"/>
        <v>0</v>
      </c>
      <c r="J184" s="280">
        <f t="shared" si="18"/>
        <v>0</v>
      </c>
      <c r="K184" s="120" t="str">
        <f t="shared" si="14"/>
        <v/>
      </c>
      <c r="L184" s="287"/>
      <c r="M184" s="91"/>
      <c r="N184" s="99"/>
      <c r="O184" s="116"/>
      <c r="P184" s="86"/>
      <c r="Q184" s="92"/>
      <c r="R184" s="120">
        <f t="shared" si="15"/>
        <v>0</v>
      </c>
      <c r="S184" s="93"/>
      <c r="T184" s="117"/>
      <c r="U184" s="117"/>
      <c r="V184" s="85"/>
      <c r="W184" s="146"/>
      <c r="X184" s="137"/>
      <c r="Y184" s="137"/>
      <c r="Z184" s="137"/>
      <c r="AA184" s="137"/>
      <c r="AB184" s="137"/>
      <c r="AC184" s="137"/>
      <c r="AD184" s="137"/>
      <c r="AE184" s="137"/>
      <c r="AF184" s="141"/>
      <c r="AG184" s="146"/>
      <c r="AH184" s="146"/>
      <c r="AI184" s="146"/>
      <c r="AJ184" s="146"/>
      <c r="AK184" s="146"/>
      <c r="AL184" s="81"/>
      <c r="AM184" s="81"/>
      <c r="AN184" s="152"/>
      <c r="AO184" s="152"/>
      <c r="AP184" s="152"/>
      <c r="AQ184" s="152"/>
      <c r="AR184" s="81"/>
      <c r="AS184" s="81"/>
      <c r="AT184" s="82"/>
      <c r="AU184" s="82"/>
      <c r="AV184" s="176"/>
      <c r="AW184" s="89"/>
      <c r="AX184" s="89"/>
      <c r="AY184" s="89"/>
      <c r="AZ184" s="89"/>
      <c r="BA184" s="89"/>
      <c r="BB184" s="89"/>
      <c r="BC184" s="89"/>
      <c r="BD184" s="89"/>
      <c r="BE184" s="141"/>
      <c r="BF184" s="176"/>
      <c r="BG184" s="176"/>
      <c r="BH184" s="176"/>
      <c r="BI184" s="176"/>
    </row>
    <row r="185" spans="1:61" s="90" customFormat="1">
      <c r="A185" s="83">
        <v>182</v>
      </c>
      <c r="B185" s="85"/>
      <c r="C185" s="84"/>
      <c r="D185" s="112"/>
      <c r="E185" s="112"/>
      <c r="F185" s="112"/>
      <c r="G185" s="290"/>
      <c r="H185" s="280">
        <f t="shared" si="16"/>
        <v>0</v>
      </c>
      <c r="I185" s="280">
        <f t="shared" si="17"/>
        <v>0</v>
      </c>
      <c r="J185" s="280">
        <f t="shared" si="18"/>
        <v>0</v>
      </c>
      <c r="K185" s="120" t="str">
        <f t="shared" si="14"/>
        <v/>
      </c>
      <c r="L185" s="287"/>
      <c r="M185" s="91"/>
      <c r="N185" s="99"/>
      <c r="O185" s="116"/>
      <c r="P185" s="86"/>
      <c r="Q185" s="92"/>
      <c r="R185" s="120">
        <f t="shared" si="15"/>
        <v>0</v>
      </c>
      <c r="S185" s="93"/>
      <c r="T185" s="117"/>
      <c r="U185" s="117"/>
      <c r="V185" s="85"/>
      <c r="W185" s="146"/>
      <c r="X185" s="137"/>
      <c r="Y185" s="137"/>
      <c r="Z185" s="137"/>
      <c r="AA185" s="137"/>
      <c r="AB185" s="137"/>
      <c r="AC185" s="137"/>
      <c r="AD185" s="137"/>
      <c r="AE185" s="137"/>
      <c r="AF185" s="141"/>
      <c r="AG185" s="146"/>
      <c r="AH185" s="146"/>
      <c r="AI185" s="146"/>
      <c r="AJ185" s="146"/>
      <c r="AK185" s="146"/>
      <c r="AL185" s="81"/>
      <c r="AM185" s="81"/>
      <c r="AN185" s="152"/>
      <c r="AO185" s="152"/>
      <c r="AP185" s="152"/>
      <c r="AQ185" s="152"/>
      <c r="AR185" s="81"/>
      <c r="AS185" s="81"/>
      <c r="AT185" s="82"/>
      <c r="AU185" s="82"/>
      <c r="AV185" s="176"/>
      <c r="AW185" s="89"/>
      <c r="AX185" s="89"/>
      <c r="AY185" s="89"/>
      <c r="AZ185" s="89"/>
      <c r="BA185" s="89"/>
      <c r="BB185" s="89"/>
      <c r="BC185" s="89"/>
      <c r="BD185" s="89"/>
      <c r="BE185" s="141"/>
      <c r="BF185" s="176"/>
      <c r="BG185" s="176"/>
      <c r="BH185" s="176"/>
      <c r="BI185" s="176"/>
    </row>
    <row r="186" spans="1:61" s="90" customFormat="1">
      <c r="A186" s="83">
        <v>183</v>
      </c>
      <c r="B186" s="85"/>
      <c r="C186" s="84"/>
      <c r="D186" s="112"/>
      <c r="E186" s="112"/>
      <c r="F186" s="112"/>
      <c r="G186" s="290"/>
      <c r="H186" s="280">
        <f t="shared" si="16"/>
        <v>0</v>
      </c>
      <c r="I186" s="280">
        <f t="shared" si="17"/>
        <v>0</v>
      </c>
      <c r="J186" s="280">
        <f t="shared" si="18"/>
        <v>0</v>
      </c>
      <c r="K186" s="120" t="str">
        <f t="shared" si="14"/>
        <v/>
      </c>
      <c r="L186" s="287"/>
      <c r="M186" s="91"/>
      <c r="N186" s="99"/>
      <c r="O186" s="116"/>
      <c r="P186" s="86"/>
      <c r="Q186" s="92"/>
      <c r="R186" s="120">
        <f t="shared" si="15"/>
        <v>0</v>
      </c>
      <c r="S186" s="93"/>
      <c r="T186" s="117"/>
      <c r="U186" s="117"/>
      <c r="V186" s="85"/>
      <c r="W186" s="146"/>
      <c r="X186" s="137"/>
      <c r="Y186" s="137"/>
      <c r="Z186" s="137"/>
      <c r="AA186" s="137"/>
      <c r="AB186" s="137"/>
      <c r="AC186" s="137"/>
      <c r="AD186" s="137"/>
      <c r="AE186" s="137"/>
      <c r="AF186" s="141"/>
      <c r="AG186" s="146"/>
      <c r="AH186" s="146"/>
      <c r="AI186" s="146"/>
      <c r="AJ186" s="146"/>
      <c r="AK186" s="146"/>
      <c r="AL186" s="81"/>
      <c r="AM186" s="81"/>
      <c r="AN186" s="152"/>
      <c r="AO186" s="152"/>
      <c r="AP186" s="152"/>
      <c r="AQ186" s="152"/>
      <c r="AR186" s="81"/>
      <c r="AS186" s="81"/>
      <c r="AT186" s="82"/>
      <c r="AU186" s="82"/>
      <c r="AV186" s="176"/>
      <c r="AW186" s="89"/>
      <c r="AX186" s="89"/>
      <c r="AY186" s="89"/>
      <c r="AZ186" s="89"/>
      <c r="BA186" s="89"/>
      <c r="BB186" s="89"/>
      <c r="BC186" s="89"/>
      <c r="BD186" s="89"/>
      <c r="BE186" s="141"/>
      <c r="BF186" s="176"/>
      <c r="BG186" s="176"/>
      <c r="BH186" s="176"/>
      <c r="BI186" s="176"/>
    </row>
    <row r="187" spans="1:61" s="90" customFormat="1">
      <c r="A187" s="83">
        <v>184</v>
      </c>
      <c r="B187" s="85"/>
      <c r="C187" s="84"/>
      <c r="D187" s="112"/>
      <c r="E187" s="112"/>
      <c r="F187" s="112"/>
      <c r="G187" s="290"/>
      <c r="H187" s="280">
        <f t="shared" si="16"/>
        <v>0</v>
      </c>
      <c r="I187" s="280">
        <f t="shared" si="17"/>
        <v>0</v>
      </c>
      <c r="J187" s="280">
        <f t="shared" si="18"/>
        <v>0</v>
      </c>
      <c r="K187" s="120" t="str">
        <f t="shared" si="14"/>
        <v/>
      </c>
      <c r="L187" s="287"/>
      <c r="M187" s="91"/>
      <c r="N187" s="99"/>
      <c r="O187" s="116"/>
      <c r="P187" s="86"/>
      <c r="Q187" s="92"/>
      <c r="R187" s="120">
        <f t="shared" si="15"/>
        <v>0</v>
      </c>
      <c r="S187" s="93"/>
      <c r="T187" s="117"/>
      <c r="U187" s="117"/>
      <c r="V187" s="85"/>
      <c r="W187" s="146"/>
      <c r="X187" s="137"/>
      <c r="Y187" s="137"/>
      <c r="Z187" s="137"/>
      <c r="AA187" s="137"/>
      <c r="AB187" s="137"/>
      <c r="AC187" s="137"/>
      <c r="AD187" s="137"/>
      <c r="AE187" s="137"/>
      <c r="AF187" s="141"/>
      <c r="AG187" s="146"/>
      <c r="AH187" s="146"/>
      <c r="AI187" s="146"/>
      <c r="AJ187" s="146"/>
      <c r="AK187" s="146"/>
      <c r="AL187" s="81"/>
      <c r="AM187" s="81"/>
      <c r="AN187" s="152"/>
      <c r="AO187" s="152"/>
      <c r="AP187" s="152"/>
      <c r="AQ187" s="152"/>
      <c r="AR187" s="81"/>
      <c r="AS187" s="81"/>
      <c r="AT187" s="82"/>
      <c r="AU187" s="82"/>
      <c r="AV187" s="176"/>
      <c r="AW187" s="89"/>
      <c r="AX187" s="89"/>
      <c r="AY187" s="89"/>
      <c r="AZ187" s="89"/>
      <c r="BA187" s="89"/>
      <c r="BB187" s="89"/>
      <c r="BC187" s="89"/>
      <c r="BD187" s="89"/>
      <c r="BE187" s="141"/>
      <c r="BF187" s="176"/>
      <c r="BG187" s="176"/>
      <c r="BH187" s="176"/>
      <c r="BI187" s="176"/>
    </row>
    <row r="188" spans="1:61" s="90" customFormat="1">
      <c r="A188" s="83">
        <v>185</v>
      </c>
      <c r="B188" s="85"/>
      <c r="C188" s="84"/>
      <c r="D188" s="112"/>
      <c r="E188" s="112"/>
      <c r="F188" s="112"/>
      <c r="G188" s="290"/>
      <c r="H188" s="280">
        <f t="shared" si="16"/>
        <v>0</v>
      </c>
      <c r="I188" s="280">
        <f t="shared" si="17"/>
        <v>0</v>
      </c>
      <c r="J188" s="280">
        <f t="shared" si="18"/>
        <v>0</v>
      </c>
      <c r="K188" s="120" t="str">
        <f t="shared" si="14"/>
        <v/>
      </c>
      <c r="L188" s="287"/>
      <c r="M188" s="91"/>
      <c r="N188" s="99"/>
      <c r="O188" s="116"/>
      <c r="P188" s="86"/>
      <c r="Q188" s="92"/>
      <c r="R188" s="120">
        <f t="shared" si="15"/>
        <v>0</v>
      </c>
      <c r="S188" s="93"/>
      <c r="T188" s="117"/>
      <c r="U188" s="117"/>
      <c r="V188" s="85"/>
      <c r="W188" s="146"/>
      <c r="X188" s="137"/>
      <c r="Y188" s="137"/>
      <c r="Z188" s="137"/>
      <c r="AA188" s="137"/>
      <c r="AB188" s="137"/>
      <c r="AC188" s="137"/>
      <c r="AD188" s="137"/>
      <c r="AE188" s="137"/>
      <c r="AF188" s="141"/>
      <c r="AG188" s="146"/>
      <c r="AH188" s="146"/>
      <c r="AI188" s="146"/>
      <c r="AJ188" s="146"/>
      <c r="AK188" s="146"/>
      <c r="AL188" s="81"/>
      <c r="AM188" s="81"/>
      <c r="AN188" s="152"/>
      <c r="AO188" s="152"/>
      <c r="AP188" s="152"/>
      <c r="AQ188" s="152"/>
      <c r="AR188" s="81"/>
      <c r="AS188" s="81"/>
      <c r="AT188" s="82"/>
      <c r="AU188" s="82"/>
      <c r="AV188" s="176"/>
      <c r="AW188" s="89"/>
      <c r="AX188" s="89"/>
      <c r="AY188" s="89"/>
      <c r="AZ188" s="89"/>
      <c r="BA188" s="89"/>
      <c r="BB188" s="89"/>
      <c r="BC188" s="89"/>
      <c r="BD188" s="89"/>
      <c r="BE188" s="141"/>
      <c r="BF188" s="176"/>
      <c r="BG188" s="176"/>
      <c r="BH188" s="176"/>
      <c r="BI188" s="176"/>
    </row>
    <row r="189" spans="1:61" s="90" customFormat="1">
      <c r="A189" s="83">
        <v>186</v>
      </c>
      <c r="B189" s="85"/>
      <c r="C189" s="84"/>
      <c r="D189" s="112"/>
      <c r="E189" s="112"/>
      <c r="F189" s="112"/>
      <c r="G189" s="290"/>
      <c r="H189" s="280">
        <f t="shared" si="16"/>
        <v>0</v>
      </c>
      <c r="I189" s="280">
        <f t="shared" si="17"/>
        <v>0</v>
      </c>
      <c r="J189" s="280">
        <f t="shared" si="18"/>
        <v>0</v>
      </c>
      <c r="K189" s="120" t="str">
        <f t="shared" si="14"/>
        <v/>
      </c>
      <c r="L189" s="287"/>
      <c r="M189" s="91"/>
      <c r="N189" s="99"/>
      <c r="O189" s="116"/>
      <c r="P189" s="86"/>
      <c r="Q189" s="92"/>
      <c r="R189" s="120">
        <f t="shared" si="15"/>
        <v>0</v>
      </c>
      <c r="S189" s="93"/>
      <c r="T189" s="117"/>
      <c r="U189" s="117"/>
      <c r="V189" s="85"/>
      <c r="W189" s="146"/>
      <c r="X189" s="137"/>
      <c r="Y189" s="137"/>
      <c r="Z189" s="137"/>
      <c r="AA189" s="137"/>
      <c r="AB189" s="137"/>
      <c r="AC189" s="137"/>
      <c r="AD189" s="137"/>
      <c r="AE189" s="137"/>
      <c r="AF189" s="141"/>
      <c r="AG189" s="146"/>
      <c r="AH189" s="146"/>
      <c r="AI189" s="146"/>
      <c r="AJ189" s="146"/>
      <c r="AK189" s="146"/>
      <c r="AL189" s="81"/>
      <c r="AM189" s="81"/>
      <c r="AN189" s="152"/>
      <c r="AO189" s="152"/>
      <c r="AP189" s="152"/>
      <c r="AQ189" s="152"/>
      <c r="AR189" s="81"/>
      <c r="AS189" s="81"/>
      <c r="AT189" s="82"/>
      <c r="AU189" s="82"/>
      <c r="AV189" s="176"/>
      <c r="AW189" s="89"/>
      <c r="AX189" s="89"/>
      <c r="AY189" s="89"/>
      <c r="AZ189" s="89"/>
      <c r="BA189" s="89"/>
      <c r="BB189" s="89"/>
      <c r="BC189" s="89"/>
      <c r="BD189" s="89"/>
      <c r="BE189" s="141"/>
      <c r="BF189" s="176"/>
      <c r="BG189" s="176"/>
      <c r="BH189" s="176"/>
      <c r="BI189" s="176"/>
    </row>
    <row r="190" spans="1:61" s="90" customFormat="1">
      <c r="A190" s="83">
        <v>187</v>
      </c>
      <c r="B190" s="85"/>
      <c r="C190" s="84"/>
      <c r="D190" s="112"/>
      <c r="E190" s="112"/>
      <c r="F190" s="112"/>
      <c r="G190" s="290"/>
      <c r="H190" s="280">
        <f t="shared" si="16"/>
        <v>0</v>
      </c>
      <c r="I190" s="280">
        <f t="shared" si="17"/>
        <v>0</v>
      </c>
      <c r="J190" s="280">
        <f t="shared" si="18"/>
        <v>0</v>
      </c>
      <c r="K190" s="120" t="str">
        <f t="shared" si="14"/>
        <v/>
      </c>
      <c r="L190" s="287"/>
      <c r="M190" s="91"/>
      <c r="N190" s="99"/>
      <c r="O190" s="116"/>
      <c r="P190" s="86"/>
      <c r="Q190" s="92"/>
      <c r="R190" s="120">
        <f t="shared" si="15"/>
        <v>0</v>
      </c>
      <c r="S190" s="93"/>
      <c r="T190" s="117"/>
      <c r="U190" s="117"/>
      <c r="V190" s="85"/>
      <c r="W190" s="146"/>
      <c r="X190" s="137"/>
      <c r="Y190" s="137"/>
      <c r="Z190" s="137"/>
      <c r="AA190" s="137"/>
      <c r="AB190" s="137"/>
      <c r="AC190" s="137"/>
      <c r="AD190" s="137"/>
      <c r="AE190" s="137"/>
      <c r="AF190" s="141"/>
      <c r="AG190" s="146"/>
      <c r="AH190" s="146"/>
      <c r="AI190" s="146"/>
      <c r="AJ190" s="146"/>
      <c r="AK190" s="146"/>
      <c r="AL190" s="81"/>
      <c r="AM190" s="81"/>
      <c r="AN190" s="152"/>
      <c r="AO190" s="152"/>
      <c r="AP190" s="152"/>
      <c r="AQ190" s="152"/>
      <c r="AR190" s="81"/>
      <c r="AS190" s="81"/>
      <c r="AT190" s="82"/>
      <c r="AU190" s="82"/>
      <c r="AV190" s="176"/>
      <c r="AW190" s="89"/>
      <c r="AX190" s="89"/>
      <c r="AY190" s="89"/>
      <c r="AZ190" s="89"/>
      <c r="BA190" s="89"/>
      <c r="BB190" s="89"/>
      <c r="BC190" s="89"/>
      <c r="BD190" s="89"/>
      <c r="BE190" s="141"/>
      <c r="BF190" s="176"/>
      <c r="BG190" s="176"/>
      <c r="BH190" s="176"/>
      <c r="BI190" s="176"/>
    </row>
    <row r="191" spans="1:61" s="90" customFormat="1">
      <c r="A191" s="83">
        <v>188</v>
      </c>
      <c r="B191" s="85"/>
      <c r="C191" s="84"/>
      <c r="D191" s="112"/>
      <c r="E191" s="112"/>
      <c r="F191" s="112"/>
      <c r="G191" s="290"/>
      <c r="H191" s="280">
        <f t="shared" si="16"/>
        <v>0</v>
      </c>
      <c r="I191" s="280">
        <f t="shared" si="17"/>
        <v>0</v>
      </c>
      <c r="J191" s="280">
        <f t="shared" si="18"/>
        <v>0</v>
      </c>
      <c r="K191" s="120" t="str">
        <f t="shared" si="14"/>
        <v/>
      </c>
      <c r="L191" s="287"/>
      <c r="M191" s="91"/>
      <c r="N191" s="99"/>
      <c r="O191" s="116"/>
      <c r="P191" s="86"/>
      <c r="Q191" s="92"/>
      <c r="R191" s="120">
        <f t="shared" si="15"/>
        <v>0</v>
      </c>
      <c r="S191" s="93"/>
      <c r="T191" s="117"/>
      <c r="U191" s="117"/>
      <c r="V191" s="85"/>
      <c r="W191" s="146"/>
      <c r="X191" s="137"/>
      <c r="Y191" s="137"/>
      <c r="Z191" s="137"/>
      <c r="AA191" s="137"/>
      <c r="AB191" s="137"/>
      <c r="AC191" s="137"/>
      <c r="AD191" s="137"/>
      <c r="AE191" s="137"/>
      <c r="AF191" s="141"/>
      <c r="AG191" s="146"/>
      <c r="AH191" s="146"/>
      <c r="AI191" s="146"/>
      <c r="AJ191" s="146"/>
      <c r="AK191" s="146"/>
      <c r="AL191" s="81"/>
      <c r="AM191" s="81"/>
      <c r="AN191" s="152"/>
      <c r="AO191" s="152"/>
      <c r="AP191" s="152"/>
      <c r="AQ191" s="152"/>
      <c r="AR191" s="81"/>
      <c r="AS191" s="81"/>
      <c r="AT191" s="82"/>
      <c r="AU191" s="82"/>
      <c r="AV191" s="176"/>
      <c r="AW191" s="89"/>
      <c r="AX191" s="89"/>
      <c r="AY191" s="89"/>
      <c r="AZ191" s="89"/>
      <c r="BA191" s="89"/>
      <c r="BB191" s="89"/>
      <c r="BC191" s="89"/>
      <c r="BD191" s="89"/>
      <c r="BE191" s="141"/>
      <c r="BF191" s="176"/>
      <c r="BG191" s="176"/>
      <c r="BH191" s="176"/>
      <c r="BI191" s="176"/>
    </row>
    <row r="192" spans="1:61" s="90" customFormat="1">
      <c r="A192" s="83">
        <v>189</v>
      </c>
      <c r="B192" s="85"/>
      <c r="C192" s="84"/>
      <c r="D192" s="112"/>
      <c r="E192" s="112"/>
      <c r="F192" s="112"/>
      <c r="G192" s="290"/>
      <c r="H192" s="280">
        <f t="shared" si="16"/>
        <v>0</v>
      </c>
      <c r="I192" s="280">
        <f t="shared" si="17"/>
        <v>0</v>
      </c>
      <c r="J192" s="280">
        <f t="shared" si="18"/>
        <v>0</v>
      </c>
      <c r="K192" s="120" t="str">
        <f t="shared" si="14"/>
        <v/>
      </c>
      <c r="L192" s="287"/>
      <c r="M192" s="91"/>
      <c r="N192" s="99"/>
      <c r="O192" s="116"/>
      <c r="P192" s="86"/>
      <c r="Q192" s="92"/>
      <c r="R192" s="120">
        <f t="shared" si="15"/>
        <v>0</v>
      </c>
      <c r="S192" s="93"/>
      <c r="T192" s="117"/>
      <c r="U192" s="117"/>
      <c r="V192" s="85"/>
      <c r="W192" s="146"/>
      <c r="X192" s="137"/>
      <c r="Y192" s="137"/>
      <c r="Z192" s="137"/>
      <c r="AA192" s="137"/>
      <c r="AB192" s="137"/>
      <c r="AC192" s="137"/>
      <c r="AD192" s="137"/>
      <c r="AE192" s="137"/>
      <c r="AF192" s="141"/>
      <c r="AG192" s="146"/>
      <c r="AH192" s="146"/>
      <c r="AI192" s="146"/>
      <c r="AJ192" s="146"/>
      <c r="AK192" s="146"/>
      <c r="AL192" s="81"/>
      <c r="AM192" s="81"/>
      <c r="AN192" s="152"/>
      <c r="AO192" s="152"/>
      <c r="AP192" s="152"/>
      <c r="AQ192" s="152"/>
      <c r="AR192" s="81"/>
      <c r="AS192" s="81"/>
      <c r="AT192" s="82"/>
      <c r="AU192" s="82"/>
      <c r="AV192" s="176"/>
      <c r="AW192" s="89"/>
      <c r="AX192" s="89"/>
      <c r="AY192" s="89"/>
      <c r="AZ192" s="89"/>
      <c r="BA192" s="89"/>
      <c r="BB192" s="89"/>
      <c r="BC192" s="89"/>
      <c r="BD192" s="89"/>
      <c r="BE192" s="141"/>
      <c r="BF192" s="176"/>
      <c r="BG192" s="176"/>
      <c r="BH192" s="176"/>
      <c r="BI192" s="176"/>
    </row>
    <row r="193" spans="1:61" s="90" customFormat="1">
      <c r="A193" s="83">
        <v>190</v>
      </c>
      <c r="B193" s="85"/>
      <c r="C193" s="84"/>
      <c r="D193" s="112"/>
      <c r="E193" s="112"/>
      <c r="F193" s="112"/>
      <c r="G193" s="290"/>
      <c r="H193" s="280">
        <f t="shared" si="16"/>
        <v>0</v>
      </c>
      <c r="I193" s="280">
        <f t="shared" si="17"/>
        <v>0</v>
      </c>
      <c r="J193" s="280">
        <f t="shared" si="18"/>
        <v>0</v>
      </c>
      <c r="K193" s="120" t="str">
        <f t="shared" si="14"/>
        <v/>
      </c>
      <c r="L193" s="287"/>
      <c r="M193" s="91"/>
      <c r="N193" s="99"/>
      <c r="O193" s="116"/>
      <c r="P193" s="86"/>
      <c r="Q193" s="92"/>
      <c r="R193" s="120">
        <f t="shared" si="15"/>
        <v>0</v>
      </c>
      <c r="S193" s="93"/>
      <c r="T193" s="117"/>
      <c r="U193" s="117"/>
      <c r="V193" s="85"/>
      <c r="W193" s="146"/>
      <c r="X193" s="137"/>
      <c r="Y193" s="137"/>
      <c r="Z193" s="137"/>
      <c r="AA193" s="137"/>
      <c r="AB193" s="137"/>
      <c r="AC193" s="137"/>
      <c r="AD193" s="137"/>
      <c r="AE193" s="137"/>
      <c r="AF193" s="141"/>
      <c r="AG193" s="146"/>
      <c r="AH193" s="146"/>
      <c r="AI193" s="146"/>
      <c r="AJ193" s="146"/>
      <c r="AK193" s="146"/>
      <c r="AL193" s="81"/>
      <c r="AM193" s="81"/>
      <c r="AN193" s="152"/>
      <c r="AO193" s="152"/>
      <c r="AP193" s="152"/>
      <c r="AQ193" s="152"/>
      <c r="AR193" s="81"/>
      <c r="AS193" s="81"/>
      <c r="AT193" s="82"/>
      <c r="AU193" s="82"/>
      <c r="AV193" s="176"/>
      <c r="AW193" s="89"/>
      <c r="AX193" s="89"/>
      <c r="AY193" s="89"/>
      <c r="AZ193" s="89"/>
      <c r="BA193" s="89"/>
      <c r="BB193" s="89"/>
      <c r="BC193" s="89"/>
      <c r="BD193" s="89"/>
      <c r="BE193" s="141"/>
      <c r="BF193" s="176"/>
      <c r="BG193" s="176"/>
      <c r="BH193" s="176"/>
      <c r="BI193" s="176"/>
    </row>
    <row r="194" spans="1:61" s="90" customFormat="1">
      <c r="A194" s="83">
        <v>191</v>
      </c>
      <c r="B194" s="85"/>
      <c r="C194" s="84"/>
      <c r="D194" s="112"/>
      <c r="E194" s="112"/>
      <c r="F194" s="112"/>
      <c r="G194" s="290"/>
      <c r="H194" s="280">
        <f t="shared" si="16"/>
        <v>0</v>
      </c>
      <c r="I194" s="280">
        <f t="shared" si="17"/>
        <v>0</v>
      </c>
      <c r="J194" s="280">
        <f t="shared" si="18"/>
        <v>0</v>
      </c>
      <c r="K194" s="120" t="str">
        <f t="shared" si="14"/>
        <v/>
      </c>
      <c r="L194" s="287"/>
      <c r="M194" s="91"/>
      <c r="N194" s="99"/>
      <c r="O194" s="116"/>
      <c r="P194" s="86"/>
      <c r="Q194" s="92"/>
      <c r="R194" s="120">
        <f t="shared" si="15"/>
        <v>0</v>
      </c>
      <c r="S194" s="93"/>
      <c r="T194" s="117"/>
      <c r="U194" s="117"/>
      <c r="V194" s="85"/>
      <c r="W194" s="146"/>
      <c r="X194" s="137"/>
      <c r="Y194" s="137"/>
      <c r="Z194" s="137"/>
      <c r="AA194" s="137"/>
      <c r="AB194" s="137"/>
      <c r="AC194" s="137"/>
      <c r="AD194" s="137"/>
      <c r="AE194" s="137"/>
      <c r="AF194" s="141"/>
      <c r="AG194" s="146"/>
      <c r="AH194" s="146"/>
      <c r="AI194" s="146"/>
      <c r="AJ194" s="146"/>
      <c r="AK194" s="146"/>
      <c r="AL194" s="81"/>
      <c r="AM194" s="81"/>
      <c r="AN194" s="152"/>
      <c r="AO194" s="152"/>
      <c r="AP194" s="152"/>
      <c r="AQ194" s="152"/>
      <c r="AR194" s="81"/>
      <c r="AS194" s="81"/>
      <c r="AT194" s="82"/>
      <c r="AU194" s="82"/>
      <c r="AV194" s="176"/>
      <c r="AW194" s="89"/>
      <c r="AX194" s="89"/>
      <c r="AY194" s="89"/>
      <c r="AZ194" s="89"/>
      <c r="BA194" s="89"/>
      <c r="BB194" s="89"/>
      <c r="BC194" s="89"/>
      <c r="BD194" s="89"/>
      <c r="BE194" s="141"/>
      <c r="BF194" s="176"/>
      <c r="BG194" s="176"/>
      <c r="BH194" s="176"/>
      <c r="BI194" s="176"/>
    </row>
    <row r="195" spans="1:61" s="90" customFormat="1">
      <c r="A195" s="83">
        <v>192</v>
      </c>
      <c r="B195" s="85"/>
      <c r="C195" s="84"/>
      <c r="D195" s="112"/>
      <c r="E195" s="112"/>
      <c r="F195" s="112"/>
      <c r="G195" s="290"/>
      <c r="H195" s="280">
        <f t="shared" si="16"/>
        <v>0</v>
      </c>
      <c r="I195" s="280">
        <f t="shared" si="17"/>
        <v>0</v>
      </c>
      <c r="J195" s="280">
        <f t="shared" si="18"/>
        <v>0</v>
      </c>
      <c r="K195" s="120" t="str">
        <f t="shared" si="14"/>
        <v/>
      </c>
      <c r="L195" s="287"/>
      <c r="M195" s="91"/>
      <c r="N195" s="99"/>
      <c r="O195" s="116"/>
      <c r="P195" s="86"/>
      <c r="Q195" s="92"/>
      <c r="R195" s="120">
        <f t="shared" si="15"/>
        <v>0</v>
      </c>
      <c r="S195" s="93"/>
      <c r="T195" s="117"/>
      <c r="U195" s="117"/>
      <c r="V195" s="85"/>
      <c r="W195" s="146"/>
      <c r="X195" s="137"/>
      <c r="Y195" s="137"/>
      <c r="Z195" s="137"/>
      <c r="AA195" s="137"/>
      <c r="AB195" s="137"/>
      <c r="AC195" s="137"/>
      <c r="AD195" s="137"/>
      <c r="AE195" s="137"/>
      <c r="AF195" s="141"/>
      <c r="AG195" s="146"/>
      <c r="AH195" s="146"/>
      <c r="AI195" s="146"/>
      <c r="AJ195" s="146"/>
      <c r="AK195" s="146"/>
      <c r="AL195" s="81"/>
      <c r="AM195" s="81"/>
      <c r="AN195" s="152"/>
      <c r="AO195" s="152"/>
      <c r="AP195" s="152"/>
      <c r="AQ195" s="152"/>
      <c r="AR195" s="81"/>
      <c r="AS195" s="81"/>
      <c r="AT195" s="82"/>
      <c r="AU195" s="82"/>
      <c r="AV195" s="176"/>
      <c r="AW195" s="89"/>
      <c r="AX195" s="89"/>
      <c r="AY195" s="89"/>
      <c r="AZ195" s="89"/>
      <c r="BA195" s="89"/>
      <c r="BB195" s="89"/>
      <c r="BC195" s="89"/>
      <c r="BD195" s="89"/>
      <c r="BE195" s="141"/>
      <c r="BF195" s="176"/>
      <c r="BG195" s="176"/>
      <c r="BH195" s="176"/>
      <c r="BI195" s="176"/>
    </row>
    <row r="196" spans="1:61" s="90" customFormat="1">
      <c r="A196" s="83">
        <v>193</v>
      </c>
      <c r="B196" s="85"/>
      <c r="C196" s="84"/>
      <c r="D196" s="112"/>
      <c r="E196" s="112"/>
      <c r="F196" s="112"/>
      <c r="G196" s="290"/>
      <c r="H196" s="280">
        <f t="shared" si="16"/>
        <v>0</v>
      </c>
      <c r="I196" s="280">
        <f t="shared" si="17"/>
        <v>0</v>
      </c>
      <c r="J196" s="280">
        <f t="shared" si="18"/>
        <v>0</v>
      </c>
      <c r="K196" s="120" t="str">
        <f t="shared" ref="K196:K259" si="19">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287"/>
      <c r="M196" s="91"/>
      <c r="N196" s="99"/>
      <c r="O196" s="116"/>
      <c r="P196" s="86"/>
      <c r="Q196" s="92"/>
      <c r="R196" s="120">
        <f t="shared" si="15"/>
        <v>0</v>
      </c>
      <c r="S196" s="93"/>
      <c r="T196" s="117"/>
      <c r="U196" s="117"/>
      <c r="V196" s="85"/>
      <c r="W196" s="146"/>
      <c r="X196" s="137"/>
      <c r="Y196" s="137"/>
      <c r="Z196" s="137"/>
      <c r="AA196" s="137"/>
      <c r="AB196" s="137"/>
      <c r="AC196" s="137"/>
      <c r="AD196" s="137"/>
      <c r="AE196" s="137"/>
      <c r="AF196" s="141"/>
      <c r="AG196" s="146"/>
      <c r="AH196" s="146"/>
      <c r="AI196" s="146"/>
      <c r="AJ196" s="146"/>
      <c r="AK196" s="146"/>
      <c r="AL196" s="81"/>
      <c r="AM196" s="81"/>
      <c r="AN196" s="152"/>
      <c r="AO196" s="152"/>
      <c r="AP196" s="152"/>
      <c r="AQ196" s="152"/>
      <c r="AR196" s="81"/>
      <c r="AS196" s="81"/>
      <c r="AT196" s="82"/>
      <c r="AU196" s="82"/>
      <c r="AV196" s="176"/>
      <c r="AW196" s="89"/>
      <c r="AX196" s="89"/>
      <c r="AY196" s="89"/>
      <c r="AZ196" s="89"/>
      <c r="BA196" s="89"/>
      <c r="BB196" s="89"/>
      <c r="BC196" s="89"/>
      <c r="BD196" s="89"/>
      <c r="BE196" s="141"/>
      <c r="BF196" s="176"/>
      <c r="BG196" s="176"/>
      <c r="BH196" s="176"/>
      <c r="BI196" s="176"/>
    </row>
    <row r="197" spans="1:61" s="90" customFormat="1">
      <c r="A197" s="83">
        <v>194</v>
      </c>
      <c r="B197" s="85"/>
      <c r="C197" s="84"/>
      <c r="D197" s="112"/>
      <c r="E197" s="112"/>
      <c r="F197" s="112"/>
      <c r="G197" s="290"/>
      <c r="H197" s="280">
        <f t="shared" si="16"/>
        <v>0</v>
      </c>
      <c r="I197" s="280">
        <f t="shared" si="17"/>
        <v>0</v>
      </c>
      <c r="J197" s="280">
        <f t="shared" si="18"/>
        <v>0</v>
      </c>
      <c r="K197" s="120" t="str">
        <f t="shared" si="19"/>
        <v/>
      </c>
      <c r="L197" s="287"/>
      <c r="M197" s="91"/>
      <c r="N197" s="99"/>
      <c r="O197" s="116"/>
      <c r="P197" s="86"/>
      <c r="Q197" s="92"/>
      <c r="R197" s="120">
        <f t="shared" ref="R197:R260" si="20">IFERROR(SUM(F197-D197),"NA")</f>
        <v>0</v>
      </c>
      <c r="S197" s="93"/>
      <c r="T197" s="117"/>
      <c r="U197" s="117"/>
      <c r="V197" s="85"/>
      <c r="W197" s="146"/>
      <c r="X197" s="137"/>
      <c r="Y197" s="137"/>
      <c r="Z197" s="137"/>
      <c r="AA197" s="137"/>
      <c r="AB197" s="137"/>
      <c r="AC197" s="137"/>
      <c r="AD197" s="137"/>
      <c r="AE197" s="137"/>
      <c r="AF197" s="141"/>
      <c r="AG197" s="146"/>
      <c r="AH197" s="146"/>
      <c r="AI197" s="146"/>
      <c r="AJ197" s="146"/>
      <c r="AK197" s="146"/>
      <c r="AL197" s="81"/>
      <c r="AM197" s="81"/>
      <c r="AN197" s="152"/>
      <c r="AO197" s="152"/>
      <c r="AP197" s="152"/>
      <c r="AQ197" s="152"/>
      <c r="AR197" s="81"/>
      <c r="AS197" s="81"/>
      <c r="AT197" s="82"/>
      <c r="AU197" s="82"/>
      <c r="AV197" s="176"/>
      <c r="AW197" s="89"/>
      <c r="AX197" s="89"/>
      <c r="AY197" s="89"/>
      <c r="AZ197" s="89"/>
      <c r="BA197" s="89"/>
      <c r="BB197" s="89"/>
      <c r="BC197" s="89"/>
      <c r="BD197" s="89"/>
      <c r="BE197" s="141"/>
      <c r="BF197" s="176"/>
      <c r="BG197" s="176"/>
      <c r="BH197" s="176"/>
      <c r="BI197" s="176"/>
    </row>
    <row r="198" spans="1:61" s="90" customFormat="1">
      <c r="A198" s="83">
        <v>195</v>
      </c>
      <c r="B198" s="85"/>
      <c r="C198" s="84"/>
      <c r="D198" s="112"/>
      <c r="E198" s="112"/>
      <c r="F198" s="112"/>
      <c r="G198" s="290"/>
      <c r="H198" s="280">
        <f t="shared" si="16"/>
        <v>0</v>
      </c>
      <c r="I198" s="280">
        <f t="shared" si="17"/>
        <v>0</v>
      </c>
      <c r="J198" s="280">
        <f t="shared" si="18"/>
        <v>0</v>
      </c>
      <c r="K198" s="120" t="str">
        <f t="shared" si="19"/>
        <v/>
      </c>
      <c r="L198" s="287"/>
      <c r="M198" s="91"/>
      <c r="N198" s="99"/>
      <c r="O198" s="116"/>
      <c r="P198" s="86"/>
      <c r="Q198" s="92"/>
      <c r="R198" s="120">
        <f t="shared" si="20"/>
        <v>0</v>
      </c>
      <c r="S198" s="93"/>
      <c r="T198" s="117"/>
      <c r="U198" s="117"/>
      <c r="V198" s="85"/>
      <c r="W198" s="146"/>
      <c r="X198" s="137"/>
      <c r="Y198" s="137"/>
      <c r="Z198" s="137"/>
      <c r="AA198" s="137"/>
      <c r="AB198" s="137"/>
      <c r="AC198" s="137"/>
      <c r="AD198" s="137"/>
      <c r="AE198" s="137"/>
      <c r="AF198" s="141"/>
      <c r="AG198" s="146"/>
      <c r="AH198" s="146"/>
      <c r="AI198" s="146"/>
      <c r="AJ198" s="146"/>
      <c r="AK198" s="146"/>
      <c r="AL198" s="81"/>
      <c r="AM198" s="81"/>
      <c r="AN198" s="152"/>
      <c r="AO198" s="152"/>
      <c r="AP198" s="152"/>
      <c r="AQ198" s="152"/>
      <c r="AR198" s="81"/>
      <c r="AS198" s="81"/>
      <c r="AT198" s="82"/>
      <c r="AU198" s="82"/>
      <c r="AV198" s="176"/>
      <c r="AW198" s="89"/>
      <c r="AX198" s="89"/>
      <c r="AY198" s="89"/>
      <c r="AZ198" s="89"/>
      <c r="BA198" s="89"/>
      <c r="BB198" s="89"/>
      <c r="BC198" s="89"/>
      <c r="BD198" s="89"/>
      <c r="BE198" s="141"/>
      <c r="BF198" s="176"/>
      <c r="BG198" s="176"/>
      <c r="BH198" s="176"/>
      <c r="BI198" s="176"/>
    </row>
    <row r="199" spans="1:61" s="90" customFormat="1">
      <c r="A199" s="83">
        <v>196</v>
      </c>
      <c r="B199" s="85"/>
      <c r="C199" s="84"/>
      <c r="D199" s="112"/>
      <c r="E199" s="112"/>
      <c r="F199" s="112"/>
      <c r="G199" s="290"/>
      <c r="H199" s="280">
        <f t="shared" si="16"/>
        <v>0</v>
      </c>
      <c r="I199" s="280">
        <f t="shared" si="17"/>
        <v>0</v>
      </c>
      <c r="J199" s="280">
        <f t="shared" si="18"/>
        <v>0</v>
      </c>
      <c r="K199" s="120" t="str">
        <f t="shared" si="19"/>
        <v/>
      </c>
      <c r="L199" s="287"/>
      <c r="M199" s="91"/>
      <c r="N199" s="99"/>
      <c r="O199" s="116"/>
      <c r="P199" s="86"/>
      <c r="Q199" s="92"/>
      <c r="R199" s="120">
        <f t="shared" si="20"/>
        <v>0</v>
      </c>
      <c r="S199" s="93"/>
      <c r="T199" s="117"/>
      <c r="U199" s="117"/>
      <c r="V199" s="85"/>
      <c r="W199" s="146"/>
      <c r="X199" s="137"/>
      <c r="Y199" s="137"/>
      <c r="Z199" s="137"/>
      <c r="AA199" s="137"/>
      <c r="AB199" s="137"/>
      <c r="AC199" s="137"/>
      <c r="AD199" s="137"/>
      <c r="AE199" s="137"/>
      <c r="AF199" s="141"/>
      <c r="AG199" s="146"/>
      <c r="AH199" s="146"/>
      <c r="AI199" s="146"/>
      <c r="AJ199" s="146"/>
      <c r="AK199" s="146"/>
      <c r="AL199" s="81"/>
      <c r="AM199" s="81"/>
      <c r="AN199" s="152"/>
      <c r="AO199" s="152"/>
      <c r="AP199" s="152"/>
      <c r="AQ199" s="152"/>
      <c r="AR199" s="81"/>
      <c r="AS199" s="81"/>
      <c r="AT199" s="82"/>
      <c r="AU199" s="82"/>
      <c r="AV199" s="176"/>
      <c r="AW199" s="89"/>
      <c r="AX199" s="89"/>
      <c r="AY199" s="89"/>
      <c r="AZ199" s="89"/>
      <c r="BA199" s="89"/>
      <c r="BB199" s="89"/>
      <c r="BC199" s="89"/>
      <c r="BD199" s="89"/>
      <c r="BE199" s="141"/>
      <c r="BF199" s="176"/>
      <c r="BG199" s="176"/>
      <c r="BH199" s="176"/>
      <c r="BI199" s="176"/>
    </row>
    <row r="200" spans="1:61" s="90" customFormat="1">
      <c r="A200" s="83">
        <v>197</v>
      </c>
      <c r="B200" s="85"/>
      <c r="C200" s="84"/>
      <c r="D200" s="112"/>
      <c r="E200" s="112"/>
      <c r="F200" s="112"/>
      <c r="G200" s="290"/>
      <c r="H200" s="280">
        <f t="shared" si="16"/>
        <v>0</v>
      </c>
      <c r="I200" s="280">
        <f t="shared" si="17"/>
        <v>0</v>
      </c>
      <c r="J200" s="280">
        <f t="shared" si="18"/>
        <v>0</v>
      </c>
      <c r="K200" s="120" t="str">
        <f t="shared" si="19"/>
        <v/>
      </c>
      <c r="L200" s="287"/>
      <c r="M200" s="91"/>
      <c r="N200" s="99"/>
      <c r="O200" s="116"/>
      <c r="P200" s="86"/>
      <c r="Q200" s="92"/>
      <c r="R200" s="120">
        <f t="shared" si="20"/>
        <v>0</v>
      </c>
      <c r="S200" s="93"/>
      <c r="T200" s="117"/>
      <c r="U200" s="117"/>
      <c r="V200" s="85"/>
      <c r="W200" s="146"/>
      <c r="X200" s="137"/>
      <c r="Y200" s="137"/>
      <c r="Z200" s="137"/>
      <c r="AA200" s="137"/>
      <c r="AB200" s="137"/>
      <c r="AC200" s="137"/>
      <c r="AD200" s="137"/>
      <c r="AE200" s="137"/>
      <c r="AF200" s="141"/>
      <c r="AG200" s="146"/>
      <c r="AH200" s="146"/>
      <c r="AI200" s="146"/>
      <c r="AJ200" s="146"/>
      <c r="AK200" s="146"/>
      <c r="AL200" s="81"/>
      <c r="AM200" s="81"/>
      <c r="AN200" s="152"/>
      <c r="AO200" s="152"/>
      <c r="AP200" s="152"/>
      <c r="AQ200" s="152"/>
      <c r="AR200" s="81"/>
      <c r="AS200" s="81"/>
      <c r="AT200" s="82"/>
      <c r="AU200" s="82"/>
      <c r="AV200" s="176"/>
      <c r="AW200" s="89"/>
      <c r="AX200" s="89"/>
      <c r="AY200" s="89"/>
      <c r="AZ200" s="89"/>
      <c r="BA200" s="89"/>
      <c r="BB200" s="89"/>
      <c r="BC200" s="89"/>
      <c r="BD200" s="89"/>
      <c r="BE200" s="141"/>
      <c r="BF200" s="176"/>
      <c r="BG200" s="176"/>
      <c r="BH200" s="176"/>
      <c r="BI200" s="176"/>
    </row>
    <row r="201" spans="1:61" s="90" customFormat="1">
      <c r="A201" s="83">
        <v>198</v>
      </c>
      <c r="B201" s="85"/>
      <c r="C201" s="84"/>
      <c r="D201" s="112"/>
      <c r="E201" s="112"/>
      <c r="F201" s="112"/>
      <c r="G201" s="290"/>
      <c r="H201" s="280">
        <f t="shared" si="16"/>
        <v>0</v>
      </c>
      <c r="I201" s="280">
        <f t="shared" si="17"/>
        <v>0</v>
      </c>
      <c r="J201" s="280">
        <f t="shared" si="18"/>
        <v>0</v>
      </c>
      <c r="K201" s="120" t="str">
        <f t="shared" si="19"/>
        <v/>
      </c>
      <c r="L201" s="287"/>
      <c r="M201" s="91"/>
      <c r="N201" s="99"/>
      <c r="O201" s="116"/>
      <c r="P201" s="86"/>
      <c r="Q201" s="92"/>
      <c r="R201" s="120">
        <f t="shared" si="20"/>
        <v>0</v>
      </c>
      <c r="S201" s="93"/>
      <c r="T201" s="117"/>
      <c r="U201" s="117"/>
      <c r="V201" s="85"/>
      <c r="W201" s="146"/>
      <c r="X201" s="137"/>
      <c r="Y201" s="137"/>
      <c r="Z201" s="137"/>
      <c r="AA201" s="137"/>
      <c r="AB201" s="137"/>
      <c r="AC201" s="137"/>
      <c r="AD201" s="137"/>
      <c r="AE201" s="137"/>
      <c r="AF201" s="141"/>
      <c r="AG201" s="146"/>
      <c r="AH201" s="146"/>
      <c r="AI201" s="146"/>
      <c r="AJ201" s="146"/>
      <c r="AK201" s="146"/>
      <c r="AL201" s="81"/>
      <c r="AM201" s="81"/>
      <c r="AN201" s="152"/>
      <c r="AO201" s="152"/>
      <c r="AP201" s="152"/>
      <c r="AQ201" s="152"/>
      <c r="AR201" s="81"/>
      <c r="AS201" s="81"/>
      <c r="AT201" s="82"/>
      <c r="AU201" s="82"/>
      <c r="AV201" s="176"/>
      <c r="AW201" s="89"/>
      <c r="AX201" s="89"/>
      <c r="AY201" s="89"/>
      <c r="AZ201" s="89"/>
      <c r="BA201" s="89"/>
      <c r="BB201" s="89"/>
      <c r="BC201" s="89"/>
      <c r="BD201" s="89"/>
      <c r="BE201" s="141"/>
      <c r="BF201" s="176"/>
      <c r="BG201" s="176"/>
      <c r="BH201" s="176"/>
      <c r="BI201" s="176"/>
    </row>
    <row r="202" spans="1:61" s="90" customFormat="1">
      <c r="A202" s="83">
        <v>199</v>
      </c>
      <c r="B202" s="85"/>
      <c r="C202" s="84"/>
      <c r="D202" s="112"/>
      <c r="E202" s="112"/>
      <c r="F202" s="112"/>
      <c r="G202" s="290"/>
      <c r="H202" s="280">
        <f t="shared" ref="H202:H250" si="21">IF($G202="Attribute","NA",D202)</f>
        <v>0</v>
      </c>
      <c r="I202" s="280">
        <f t="shared" ref="I202:I250" si="22">IF($G202="Attribute","NA",E202)</f>
        <v>0</v>
      </c>
      <c r="J202" s="280">
        <f t="shared" ref="J202:J250" si="23">IF($G202="Attribute","NA",F202)</f>
        <v>0</v>
      </c>
      <c r="K202" s="120" t="str">
        <f t="shared" si="19"/>
        <v/>
      </c>
      <c r="L202" s="287"/>
      <c r="M202" s="91"/>
      <c r="N202" s="99"/>
      <c r="O202" s="116"/>
      <c r="P202" s="86"/>
      <c r="Q202" s="92"/>
      <c r="R202" s="120">
        <f t="shared" si="20"/>
        <v>0</v>
      </c>
      <c r="S202" s="93"/>
      <c r="T202" s="117"/>
      <c r="U202" s="117"/>
      <c r="V202" s="85"/>
      <c r="W202" s="146"/>
      <c r="X202" s="137"/>
      <c r="Y202" s="137"/>
      <c r="Z202" s="137"/>
      <c r="AA202" s="137"/>
      <c r="AB202" s="137"/>
      <c r="AC202" s="137"/>
      <c r="AD202" s="137"/>
      <c r="AE202" s="137"/>
      <c r="AF202" s="141"/>
      <c r="AG202" s="146"/>
      <c r="AH202" s="146"/>
      <c r="AI202" s="146"/>
      <c r="AJ202" s="146"/>
      <c r="AK202" s="146"/>
      <c r="AL202" s="81"/>
      <c r="AM202" s="81"/>
      <c r="AN202" s="152"/>
      <c r="AO202" s="152"/>
      <c r="AP202" s="152"/>
      <c r="AQ202" s="152"/>
      <c r="AR202" s="81"/>
      <c r="AS202" s="81"/>
      <c r="AT202" s="82"/>
      <c r="AU202" s="82"/>
      <c r="AV202" s="176"/>
      <c r="AW202" s="89"/>
      <c r="AX202" s="89"/>
      <c r="AY202" s="89"/>
      <c r="AZ202" s="89"/>
      <c r="BA202" s="89"/>
      <c r="BB202" s="89"/>
      <c r="BC202" s="89"/>
      <c r="BD202" s="89"/>
      <c r="BE202" s="141"/>
      <c r="BF202" s="176"/>
      <c r="BG202" s="176"/>
      <c r="BH202" s="176"/>
      <c r="BI202" s="176"/>
    </row>
    <row r="203" spans="1:61" s="90" customFormat="1">
      <c r="A203" s="83">
        <v>200</v>
      </c>
      <c r="B203" s="85"/>
      <c r="C203" s="84"/>
      <c r="D203" s="112"/>
      <c r="E203" s="112"/>
      <c r="F203" s="112"/>
      <c r="G203" s="290"/>
      <c r="H203" s="280">
        <f t="shared" si="21"/>
        <v>0</v>
      </c>
      <c r="I203" s="280">
        <f t="shared" si="22"/>
        <v>0</v>
      </c>
      <c r="J203" s="280">
        <f t="shared" si="23"/>
        <v>0</v>
      </c>
      <c r="K203" s="120" t="str">
        <f t="shared" si="19"/>
        <v/>
      </c>
      <c r="L203" s="287"/>
      <c r="M203" s="91"/>
      <c r="N203" s="99"/>
      <c r="O203" s="116"/>
      <c r="P203" s="86"/>
      <c r="Q203" s="92"/>
      <c r="R203" s="120">
        <f t="shared" si="20"/>
        <v>0</v>
      </c>
      <c r="S203" s="93"/>
      <c r="T203" s="117"/>
      <c r="U203" s="117"/>
      <c r="V203" s="85"/>
      <c r="W203" s="146"/>
      <c r="X203" s="137"/>
      <c r="Y203" s="137"/>
      <c r="Z203" s="137"/>
      <c r="AA203" s="137"/>
      <c r="AB203" s="137"/>
      <c r="AC203" s="137"/>
      <c r="AD203" s="137"/>
      <c r="AE203" s="137"/>
      <c r="AF203" s="141"/>
      <c r="AG203" s="146"/>
      <c r="AH203" s="146"/>
      <c r="AI203" s="146"/>
      <c r="AJ203" s="146"/>
      <c r="AK203" s="146"/>
      <c r="AL203" s="81"/>
      <c r="AM203" s="81"/>
      <c r="AN203" s="152"/>
      <c r="AO203" s="152"/>
      <c r="AP203" s="152"/>
      <c r="AQ203" s="152"/>
      <c r="AR203" s="81"/>
      <c r="AS203" s="81"/>
      <c r="AT203" s="82"/>
      <c r="AU203" s="82"/>
      <c r="AV203" s="176"/>
      <c r="AW203" s="89"/>
      <c r="AX203" s="89"/>
      <c r="AY203" s="89"/>
      <c r="AZ203" s="89"/>
      <c r="BA203" s="89"/>
      <c r="BB203" s="89"/>
      <c r="BC203" s="89"/>
      <c r="BD203" s="89"/>
      <c r="BE203" s="141"/>
      <c r="BF203" s="176"/>
      <c r="BG203" s="176"/>
      <c r="BH203" s="176"/>
      <c r="BI203" s="176"/>
    </row>
    <row r="204" spans="1:61" s="90" customFormat="1">
      <c r="A204" s="83">
        <v>201</v>
      </c>
      <c r="B204" s="85"/>
      <c r="C204" s="84"/>
      <c r="D204" s="112"/>
      <c r="E204" s="112"/>
      <c r="F204" s="112"/>
      <c r="G204" s="290"/>
      <c r="H204" s="280">
        <f t="shared" si="21"/>
        <v>0</v>
      </c>
      <c r="I204" s="280">
        <f t="shared" si="22"/>
        <v>0</v>
      </c>
      <c r="J204" s="280">
        <f t="shared" si="23"/>
        <v>0</v>
      </c>
      <c r="K204" s="120" t="str">
        <f t="shared" si="19"/>
        <v/>
      </c>
      <c r="L204" s="287"/>
      <c r="M204" s="91"/>
      <c r="N204" s="99"/>
      <c r="O204" s="116"/>
      <c r="P204" s="86"/>
      <c r="Q204" s="92"/>
      <c r="R204" s="120">
        <f t="shared" si="20"/>
        <v>0</v>
      </c>
      <c r="S204" s="93"/>
      <c r="T204" s="117"/>
      <c r="U204" s="117"/>
      <c r="V204" s="85"/>
      <c r="W204" s="146"/>
      <c r="X204" s="137"/>
      <c r="Y204" s="137"/>
      <c r="Z204" s="137"/>
      <c r="AA204" s="137"/>
      <c r="AB204" s="137"/>
      <c r="AC204" s="137"/>
      <c r="AD204" s="137"/>
      <c r="AE204" s="137"/>
      <c r="AF204" s="141"/>
      <c r="AG204" s="146"/>
      <c r="AH204" s="146"/>
      <c r="AI204" s="146"/>
      <c r="AJ204" s="146"/>
      <c r="AK204" s="146"/>
      <c r="AL204" s="81"/>
      <c r="AM204" s="81"/>
      <c r="AN204" s="152"/>
      <c r="AO204" s="152"/>
      <c r="AP204" s="152"/>
      <c r="AQ204" s="152"/>
      <c r="AR204" s="81"/>
      <c r="AS204" s="81"/>
      <c r="AT204" s="82"/>
      <c r="AU204" s="82"/>
      <c r="AV204" s="176"/>
      <c r="AW204" s="89"/>
      <c r="AX204" s="89"/>
      <c r="AY204" s="89"/>
      <c r="AZ204" s="89"/>
      <c r="BA204" s="89"/>
      <c r="BB204" s="89"/>
      <c r="BC204" s="89"/>
      <c r="BD204" s="89"/>
      <c r="BE204" s="141"/>
      <c r="BF204" s="176"/>
      <c r="BG204" s="176"/>
      <c r="BH204" s="176"/>
      <c r="BI204" s="176"/>
    </row>
    <row r="205" spans="1:61" s="90" customFormat="1">
      <c r="A205" s="83">
        <v>202</v>
      </c>
      <c r="B205" s="85"/>
      <c r="C205" s="84"/>
      <c r="D205" s="112"/>
      <c r="E205" s="112"/>
      <c r="F205" s="112"/>
      <c r="G205" s="290"/>
      <c r="H205" s="280">
        <f t="shared" si="21"/>
        <v>0</v>
      </c>
      <c r="I205" s="280">
        <f t="shared" si="22"/>
        <v>0</v>
      </c>
      <c r="J205" s="280">
        <f t="shared" si="23"/>
        <v>0</v>
      </c>
      <c r="K205" s="120" t="str">
        <f t="shared" si="19"/>
        <v/>
      </c>
      <c r="L205" s="287"/>
      <c r="M205" s="91"/>
      <c r="N205" s="99"/>
      <c r="O205" s="116"/>
      <c r="P205" s="86"/>
      <c r="Q205" s="92"/>
      <c r="R205" s="120">
        <f t="shared" si="20"/>
        <v>0</v>
      </c>
      <c r="S205" s="93"/>
      <c r="T205" s="117"/>
      <c r="U205" s="117"/>
      <c r="V205" s="85"/>
      <c r="W205" s="146"/>
      <c r="X205" s="137"/>
      <c r="Y205" s="137"/>
      <c r="Z205" s="137"/>
      <c r="AA205" s="137"/>
      <c r="AB205" s="137"/>
      <c r="AC205" s="137"/>
      <c r="AD205" s="137"/>
      <c r="AE205" s="137"/>
      <c r="AF205" s="141"/>
      <c r="AG205" s="146"/>
      <c r="AH205" s="146"/>
      <c r="AI205" s="146"/>
      <c r="AJ205" s="146"/>
      <c r="AK205" s="146"/>
      <c r="AL205" s="81"/>
      <c r="AM205" s="81"/>
      <c r="AN205" s="152"/>
      <c r="AO205" s="152"/>
      <c r="AP205" s="152"/>
      <c r="AQ205" s="152"/>
      <c r="AR205" s="81"/>
      <c r="AS205" s="81"/>
      <c r="AT205" s="82"/>
      <c r="AU205" s="82"/>
      <c r="AV205" s="176"/>
      <c r="AW205" s="89"/>
      <c r="AX205" s="89"/>
      <c r="AY205" s="89"/>
      <c r="AZ205" s="89"/>
      <c r="BA205" s="89"/>
      <c r="BB205" s="89"/>
      <c r="BC205" s="89"/>
      <c r="BD205" s="89"/>
      <c r="BE205" s="141"/>
      <c r="BF205" s="176"/>
      <c r="BG205" s="176"/>
      <c r="BH205" s="176"/>
      <c r="BI205" s="176"/>
    </row>
    <row r="206" spans="1:61" s="90" customFormat="1">
      <c r="A206" s="83">
        <v>203</v>
      </c>
      <c r="B206" s="85"/>
      <c r="C206" s="84"/>
      <c r="D206" s="112"/>
      <c r="E206" s="112"/>
      <c r="F206" s="112"/>
      <c r="G206" s="290"/>
      <c r="H206" s="280">
        <f t="shared" si="21"/>
        <v>0</v>
      </c>
      <c r="I206" s="280">
        <f t="shared" si="22"/>
        <v>0</v>
      </c>
      <c r="J206" s="280">
        <f t="shared" si="23"/>
        <v>0</v>
      </c>
      <c r="K206" s="120" t="str">
        <f t="shared" si="19"/>
        <v/>
      </c>
      <c r="L206" s="287"/>
      <c r="M206" s="91"/>
      <c r="N206" s="99"/>
      <c r="O206" s="116"/>
      <c r="P206" s="86"/>
      <c r="Q206" s="92"/>
      <c r="R206" s="120">
        <f t="shared" si="20"/>
        <v>0</v>
      </c>
      <c r="S206" s="93"/>
      <c r="T206" s="117"/>
      <c r="U206" s="117"/>
      <c r="V206" s="85"/>
      <c r="W206" s="146"/>
      <c r="X206" s="137"/>
      <c r="Y206" s="137"/>
      <c r="Z206" s="137"/>
      <c r="AA206" s="137"/>
      <c r="AB206" s="137"/>
      <c r="AC206" s="137"/>
      <c r="AD206" s="137"/>
      <c r="AE206" s="137"/>
      <c r="AF206" s="141"/>
      <c r="AG206" s="146"/>
      <c r="AH206" s="146"/>
      <c r="AI206" s="146"/>
      <c r="AJ206" s="146"/>
      <c r="AK206" s="146"/>
      <c r="AL206" s="81"/>
      <c r="AM206" s="81"/>
      <c r="AN206" s="152"/>
      <c r="AO206" s="152"/>
      <c r="AP206" s="152"/>
      <c r="AQ206" s="152"/>
      <c r="AR206" s="81"/>
      <c r="AS206" s="81"/>
      <c r="AT206" s="82"/>
      <c r="AU206" s="82"/>
      <c r="AV206" s="176"/>
      <c r="AW206" s="89"/>
      <c r="AX206" s="89"/>
      <c r="AY206" s="89"/>
      <c r="AZ206" s="89"/>
      <c r="BA206" s="89"/>
      <c r="BB206" s="89"/>
      <c r="BC206" s="89"/>
      <c r="BD206" s="89"/>
      <c r="BE206" s="141"/>
      <c r="BF206" s="176"/>
      <c r="BG206" s="176"/>
      <c r="BH206" s="176"/>
      <c r="BI206" s="176"/>
    </row>
    <row r="207" spans="1:61" s="90" customFormat="1">
      <c r="A207" s="83">
        <v>204</v>
      </c>
      <c r="B207" s="85"/>
      <c r="C207" s="84"/>
      <c r="D207" s="112"/>
      <c r="E207" s="112"/>
      <c r="F207" s="112"/>
      <c r="G207" s="290"/>
      <c r="H207" s="280">
        <f t="shared" si="21"/>
        <v>0</v>
      </c>
      <c r="I207" s="280">
        <f t="shared" si="22"/>
        <v>0</v>
      </c>
      <c r="J207" s="280">
        <f t="shared" si="23"/>
        <v>0</v>
      </c>
      <c r="K207" s="120" t="str">
        <f t="shared" si="19"/>
        <v/>
      </c>
      <c r="L207" s="287"/>
      <c r="M207" s="91"/>
      <c r="N207" s="99"/>
      <c r="O207" s="116"/>
      <c r="P207" s="86"/>
      <c r="Q207" s="92"/>
      <c r="R207" s="120">
        <f t="shared" si="20"/>
        <v>0</v>
      </c>
      <c r="S207" s="93"/>
      <c r="T207" s="117"/>
      <c r="U207" s="117"/>
      <c r="V207" s="85"/>
      <c r="W207" s="146"/>
      <c r="X207" s="137"/>
      <c r="Y207" s="137"/>
      <c r="Z207" s="137"/>
      <c r="AA207" s="137"/>
      <c r="AB207" s="137"/>
      <c r="AC207" s="137"/>
      <c r="AD207" s="137"/>
      <c r="AE207" s="137"/>
      <c r="AF207" s="141"/>
      <c r="AG207" s="146"/>
      <c r="AH207" s="146"/>
      <c r="AI207" s="146"/>
      <c r="AJ207" s="146"/>
      <c r="AK207" s="146"/>
      <c r="AL207" s="81"/>
      <c r="AM207" s="81"/>
      <c r="AN207" s="152"/>
      <c r="AO207" s="152"/>
      <c r="AP207" s="152"/>
      <c r="AQ207" s="152"/>
      <c r="AR207" s="81"/>
      <c r="AS207" s="81"/>
      <c r="AT207" s="82"/>
      <c r="AU207" s="82"/>
      <c r="AV207" s="176"/>
      <c r="AW207" s="89"/>
      <c r="AX207" s="89"/>
      <c r="AY207" s="89"/>
      <c r="AZ207" s="89"/>
      <c r="BA207" s="89"/>
      <c r="BB207" s="89"/>
      <c r="BC207" s="89"/>
      <c r="BD207" s="89"/>
      <c r="BE207" s="141"/>
      <c r="BF207" s="176"/>
      <c r="BG207" s="176"/>
      <c r="BH207" s="176"/>
      <c r="BI207" s="176"/>
    </row>
    <row r="208" spans="1:61" s="90" customFormat="1">
      <c r="A208" s="83">
        <v>205</v>
      </c>
      <c r="B208" s="85"/>
      <c r="C208" s="84"/>
      <c r="D208" s="112"/>
      <c r="E208" s="112"/>
      <c r="F208" s="112"/>
      <c r="G208" s="290"/>
      <c r="H208" s="280">
        <f t="shared" si="21"/>
        <v>0</v>
      </c>
      <c r="I208" s="280">
        <f t="shared" si="22"/>
        <v>0</v>
      </c>
      <c r="J208" s="280">
        <f t="shared" si="23"/>
        <v>0</v>
      </c>
      <c r="K208" s="120" t="str">
        <f t="shared" si="19"/>
        <v/>
      </c>
      <c r="L208" s="287"/>
      <c r="M208" s="91"/>
      <c r="N208" s="99"/>
      <c r="O208" s="116"/>
      <c r="P208" s="86"/>
      <c r="Q208" s="92"/>
      <c r="R208" s="120">
        <f t="shared" si="20"/>
        <v>0</v>
      </c>
      <c r="S208" s="93"/>
      <c r="T208" s="117"/>
      <c r="U208" s="117"/>
      <c r="V208" s="85"/>
      <c r="W208" s="146"/>
      <c r="X208" s="137"/>
      <c r="Y208" s="137"/>
      <c r="Z208" s="137"/>
      <c r="AA208" s="137"/>
      <c r="AB208" s="137"/>
      <c r="AC208" s="137"/>
      <c r="AD208" s="137"/>
      <c r="AE208" s="137"/>
      <c r="AF208" s="141"/>
      <c r="AG208" s="146"/>
      <c r="AH208" s="146"/>
      <c r="AI208" s="146"/>
      <c r="AJ208" s="146"/>
      <c r="AK208" s="146"/>
      <c r="AL208" s="81"/>
      <c r="AM208" s="81"/>
      <c r="AN208" s="152"/>
      <c r="AO208" s="152"/>
      <c r="AP208" s="152"/>
      <c r="AQ208" s="152"/>
      <c r="AR208" s="81"/>
      <c r="AS208" s="81"/>
      <c r="AT208" s="82"/>
      <c r="AU208" s="82"/>
      <c r="AV208" s="176"/>
      <c r="AW208" s="89"/>
      <c r="AX208" s="89"/>
      <c r="AY208" s="89"/>
      <c r="AZ208" s="89"/>
      <c r="BA208" s="89"/>
      <c r="BB208" s="89"/>
      <c r="BC208" s="89"/>
      <c r="BD208" s="89"/>
      <c r="BE208" s="141"/>
      <c r="BF208" s="176"/>
      <c r="BG208" s="176"/>
      <c r="BH208" s="176"/>
      <c r="BI208" s="176"/>
    </row>
    <row r="209" spans="1:61" s="90" customFormat="1">
      <c r="A209" s="83">
        <v>206</v>
      </c>
      <c r="B209" s="85"/>
      <c r="C209" s="84"/>
      <c r="D209" s="112"/>
      <c r="E209" s="112"/>
      <c r="F209" s="112"/>
      <c r="G209" s="290"/>
      <c r="H209" s="280">
        <f t="shared" si="21"/>
        <v>0</v>
      </c>
      <c r="I209" s="280">
        <f t="shared" si="22"/>
        <v>0</v>
      </c>
      <c r="J209" s="280">
        <f t="shared" si="23"/>
        <v>0</v>
      </c>
      <c r="K209" s="120" t="str">
        <f t="shared" si="19"/>
        <v/>
      </c>
      <c r="L209" s="287"/>
      <c r="M209" s="91"/>
      <c r="N209" s="99"/>
      <c r="O209" s="116"/>
      <c r="P209" s="86"/>
      <c r="Q209" s="92"/>
      <c r="R209" s="120">
        <f t="shared" si="20"/>
        <v>0</v>
      </c>
      <c r="S209" s="93"/>
      <c r="T209" s="117"/>
      <c r="U209" s="117"/>
      <c r="V209" s="85"/>
      <c r="W209" s="146"/>
      <c r="X209" s="137"/>
      <c r="Y209" s="137"/>
      <c r="Z209" s="137"/>
      <c r="AA209" s="137"/>
      <c r="AB209" s="137"/>
      <c r="AC209" s="137"/>
      <c r="AD209" s="137"/>
      <c r="AE209" s="137"/>
      <c r="AF209" s="141"/>
      <c r="AG209" s="146"/>
      <c r="AH209" s="146"/>
      <c r="AI209" s="146"/>
      <c r="AJ209" s="146"/>
      <c r="AK209" s="146"/>
      <c r="AL209" s="81"/>
      <c r="AM209" s="81"/>
      <c r="AN209" s="152"/>
      <c r="AO209" s="152"/>
      <c r="AP209" s="152"/>
      <c r="AQ209" s="152"/>
      <c r="AR209" s="81"/>
      <c r="AS209" s="81"/>
      <c r="AT209" s="82"/>
      <c r="AU209" s="82"/>
      <c r="AV209" s="176"/>
      <c r="AW209" s="89"/>
      <c r="AX209" s="89"/>
      <c r="AY209" s="89"/>
      <c r="AZ209" s="89"/>
      <c r="BA209" s="89"/>
      <c r="BB209" s="89"/>
      <c r="BC209" s="89"/>
      <c r="BD209" s="89"/>
      <c r="BE209" s="141"/>
      <c r="BF209" s="176"/>
      <c r="BG209" s="176"/>
      <c r="BH209" s="176"/>
      <c r="BI209" s="176"/>
    </row>
    <row r="210" spans="1:61" s="90" customFormat="1">
      <c r="A210" s="83">
        <v>207</v>
      </c>
      <c r="B210" s="85"/>
      <c r="C210" s="84"/>
      <c r="D210" s="112"/>
      <c r="E210" s="112"/>
      <c r="F210" s="112"/>
      <c r="G210" s="290"/>
      <c r="H210" s="280">
        <f t="shared" si="21"/>
        <v>0</v>
      </c>
      <c r="I210" s="280">
        <f t="shared" si="22"/>
        <v>0</v>
      </c>
      <c r="J210" s="280">
        <f t="shared" si="23"/>
        <v>0</v>
      </c>
      <c r="K210" s="120" t="str">
        <f t="shared" si="19"/>
        <v/>
      </c>
      <c r="L210" s="287"/>
      <c r="M210" s="91"/>
      <c r="N210" s="99"/>
      <c r="O210" s="116"/>
      <c r="P210" s="86"/>
      <c r="Q210" s="92"/>
      <c r="R210" s="120">
        <f t="shared" si="20"/>
        <v>0</v>
      </c>
      <c r="S210" s="93"/>
      <c r="T210" s="117"/>
      <c r="U210" s="117"/>
      <c r="V210" s="85"/>
      <c r="W210" s="146"/>
      <c r="X210" s="137"/>
      <c r="Y210" s="137"/>
      <c r="Z210" s="137"/>
      <c r="AA210" s="137"/>
      <c r="AB210" s="137"/>
      <c r="AC210" s="137"/>
      <c r="AD210" s="137"/>
      <c r="AE210" s="137"/>
      <c r="AF210" s="141"/>
      <c r="AG210" s="146"/>
      <c r="AH210" s="146"/>
      <c r="AI210" s="146"/>
      <c r="AJ210" s="146"/>
      <c r="AK210" s="146"/>
      <c r="AL210" s="81"/>
      <c r="AM210" s="81"/>
      <c r="AN210" s="152"/>
      <c r="AO210" s="152"/>
      <c r="AP210" s="152"/>
      <c r="AQ210" s="152"/>
      <c r="AR210" s="81"/>
      <c r="AS210" s="81"/>
      <c r="AT210" s="82"/>
      <c r="AU210" s="82"/>
      <c r="AV210" s="176"/>
      <c r="AW210" s="89"/>
      <c r="AX210" s="89"/>
      <c r="AY210" s="89"/>
      <c r="AZ210" s="89"/>
      <c r="BA210" s="89"/>
      <c r="BB210" s="89"/>
      <c r="BC210" s="89"/>
      <c r="BD210" s="89"/>
      <c r="BE210" s="141"/>
      <c r="BF210" s="176"/>
      <c r="BG210" s="176"/>
      <c r="BH210" s="176"/>
      <c r="BI210" s="176"/>
    </row>
    <row r="211" spans="1:61" s="90" customFormat="1">
      <c r="A211" s="83">
        <v>208</v>
      </c>
      <c r="B211" s="85"/>
      <c r="C211" s="84"/>
      <c r="D211" s="112"/>
      <c r="E211" s="112"/>
      <c r="F211" s="112"/>
      <c r="G211" s="290"/>
      <c r="H211" s="280">
        <f t="shared" si="21"/>
        <v>0</v>
      </c>
      <c r="I211" s="280">
        <f t="shared" si="22"/>
        <v>0</v>
      </c>
      <c r="J211" s="280">
        <f t="shared" si="23"/>
        <v>0</v>
      </c>
      <c r="K211" s="120" t="str">
        <f t="shared" si="19"/>
        <v/>
      </c>
      <c r="L211" s="287"/>
      <c r="M211" s="91"/>
      <c r="N211" s="99"/>
      <c r="O211" s="116"/>
      <c r="P211" s="86"/>
      <c r="Q211" s="92"/>
      <c r="R211" s="120">
        <f t="shared" si="20"/>
        <v>0</v>
      </c>
      <c r="S211" s="93"/>
      <c r="T211" s="117"/>
      <c r="U211" s="117"/>
      <c r="V211" s="85"/>
      <c r="W211" s="146"/>
      <c r="X211" s="137"/>
      <c r="Y211" s="137"/>
      <c r="Z211" s="137"/>
      <c r="AA211" s="137"/>
      <c r="AB211" s="137"/>
      <c r="AC211" s="137"/>
      <c r="AD211" s="137"/>
      <c r="AE211" s="137"/>
      <c r="AF211" s="141"/>
      <c r="AG211" s="146"/>
      <c r="AH211" s="146"/>
      <c r="AI211" s="146"/>
      <c r="AJ211" s="146"/>
      <c r="AK211" s="146"/>
      <c r="AL211" s="81"/>
      <c r="AM211" s="81"/>
      <c r="AN211" s="152"/>
      <c r="AO211" s="152"/>
      <c r="AP211" s="152"/>
      <c r="AQ211" s="152"/>
      <c r="AR211" s="81"/>
      <c r="AS211" s="81"/>
      <c r="AT211" s="82"/>
      <c r="AU211" s="82"/>
      <c r="AV211" s="176"/>
      <c r="AW211" s="89"/>
      <c r="AX211" s="89"/>
      <c r="AY211" s="89"/>
      <c r="AZ211" s="89"/>
      <c r="BA211" s="89"/>
      <c r="BB211" s="89"/>
      <c r="BC211" s="89"/>
      <c r="BD211" s="89"/>
      <c r="BE211" s="141"/>
      <c r="BF211" s="176"/>
      <c r="BG211" s="176"/>
      <c r="BH211" s="176"/>
      <c r="BI211" s="176"/>
    </row>
    <row r="212" spans="1:61" s="90" customFormat="1">
      <c r="A212" s="83">
        <v>209</v>
      </c>
      <c r="B212" s="85"/>
      <c r="C212" s="84"/>
      <c r="D212" s="112"/>
      <c r="E212" s="112"/>
      <c r="F212" s="112"/>
      <c r="G212" s="290"/>
      <c r="H212" s="280">
        <f t="shared" si="21"/>
        <v>0</v>
      </c>
      <c r="I212" s="280">
        <f t="shared" si="22"/>
        <v>0</v>
      </c>
      <c r="J212" s="280">
        <f t="shared" si="23"/>
        <v>0</v>
      </c>
      <c r="K212" s="120" t="str">
        <f t="shared" si="19"/>
        <v/>
      </c>
      <c r="L212" s="287"/>
      <c r="M212" s="91"/>
      <c r="N212" s="99"/>
      <c r="O212" s="116"/>
      <c r="P212" s="86"/>
      <c r="Q212" s="92"/>
      <c r="R212" s="120">
        <f t="shared" si="20"/>
        <v>0</v>
      </c>
      <c r="S212" s="93"/>
      <c r="T212" s="117"/>
      <c r="U212" s="117"/>
      <c r="V212" s="85"/>
      <c r="W212" s="146"/>
      <c r="X212" s="137"/>
      <c r="Y212" s="137"/>
      <c r="Z212" s="137"/>
      <c r="AA212" s="137"/>
      <c r="AB212" s="137"/>
      <c r="AC212" s="137"/>
      <c r="AD212" s="137"/>
      <c r="AE212" s="137"/>
      <c r="AF212" s="141"/>
      <c r="AG212" s="146"/>
      <c r="AH212" s="146"/>
      <c r="AI212" s="146"/>
      <c r="AJ212" s="146"/>
      <c r="AK212" s="146"/>
      <c r="AL212" s="81"/>
      <c r="AM212" s="81"/>
      <c r="AN212" s="152"/>
      <c r="AO212" s="152"/>
      <c r="AP212" s="152"/>
      <c r="AQ212" s="152"/>
      <c r="AR212" s="81"/>
      <c r="AS212" s="81"/>
      <c r="AT212" s="82"/>
      <c r="AU212" s="82"/>
      <c r="AV212" s="176"/>
      <c r="AW212" s="89"/>
      <c r="AX212" s="89"/>
      <c r="AY212" s="89"/>
      <c r="AZ212" s="89"/>
      <c r="BA212" s="89"/>
      <c r="BB212" s="89"/>
      <c r="BC212" s="89"/>
      <c r="BD212" s="89"/>
      <c r="BE212" s="141"/>
      <c r="BF212" s="176"/>
      <c r="BG212" s="176"/>
      <c r="BH212" s="176"/>
      <c r="BI212" s="176"/>
    </row>
    <row r="213" spans="1:61" s="90" customFormat="1">
      <c r="A213" s="83">
        <v>210</v>
      </c>
      <c r="B213" s="85"/>
      <c r="C213" s="84"/>
      <c r="D213" s="112"/>
      <c r="E213" s="112"/>
      <c r="F213" s="112"/>
      <c r="G213" s="290"/>
      <c r="H213" s="280">
        <f t="shared" si="21"/>
        <v>0</v>
      </c>
      <c r="I213" s="280">
        <f t="shared" si="22"/>
        <v>0</v>
      </c>
      <c r="J213" s="280">
        <f t="shared" si="23"/>
        <v>0</v>
      </c>
      <c r="K213" s="120" t="str">
        <f t="shared" si="19"/>
        <v/>
      </c>
      <c r="L213" s="287"/>
      <c r="M213" s="91"/>
      <c r="N213" s="99"/>
      <c r="O213" s="116"/>
      <c r="P213" s="86"/>
      <c r="Q213" s="92"/>
      <c r="R213" s="120">
        <f t="shared" si="20"/>
        <v>0</v>
      </c>
      <c r="S213" s="93"/>
      <c r="T213" s="117"/>
      <c r="U213" s="117"/>
      <c r="V213" s="85"/>
      <c r="W213" s="146"/>
      <c r="X213" s="137"/>
      <c r="Y213" s="137"/>
      <c r="Z213" s="137"/>
      <c r="AA213" s="137"/>
      <c r="AB213" s="137"/>
      <c r="AC213" s="137"/>
      <c r="AD213" s="137"/>
      <c r="AE213" s="137"/>
      <c r="AF213" s="141"/>
      <c r="AG213" s="146"/>
      <c r="AH213" s="146"/>
      <c r="AI213" s="146"/>
      <c r="AJ213" s="146"/>
      <c r="AK213" s="146"/>
      <c r="AL213" s="81"/>
      <c r="AM213" s="81"/>
      <c r="AN213" s="152"/>
      <c r="AO213" s="152"/>
      <c r="AP213" s="152"/>
      <c r="AQ213" s="152"/>
      <c r="AR213" s="81"/>
      <c r="AS213" s="81"/>
      <c r="AT213" s="82"/>
      <c r="AU213" s="82"/>
      <c r="AV213" s="176"/>
      <c r="AW213" s="89"/>
      <c r="AX213" s="89"/>
      <c r="AY213" s="89"/>
      <c r="AZ213" s="89"/>
      <c r="BA213" s="89"/>
      <c r="BB213" s="89"/>
      <c r="BC213" s="89"/>
      <c r="BD213" s="89"/>
      <c r="BE213" s="141"/>
      <c r="BF213" s="176"/>
      <c r="BG213" s="176"/>
      <c r="BH213" s="176"/>
      <c r="BI213" s="176"/>
    </row>
    <row r="214" spans="1:61" s="90" customFormat="1">
      <c r="A214" s="83">
        <v>211</v>
      </c>
      <c r="B214" s="85"/>
      <c r="C214" s="84"/>
      <c r="D214" s="112"/>
      <c r="E214" s="112"/>
      <c r="F214" s="112"/>
      <c r="G214" s="290"/>
      <c r="H214" s="280">
        <f t="shared" si="21"/>
        <v>0</v>
      </c>
      <c r="I214" s="280">
        <f t="shared" si="22"/>
        <v>0</v>
      </c>
      <c r="J214" s="280">
        <f t="shared" si="23"/>
        <v>0</v>
      </c>
      <c r="K214" s="120" t="str">
        <f t="shared" si="19"/>
        <v/>
      </c>
      <c r="L214" s="287"/>
      <c r="M214" s="91"/>
      <c r="N214" s="99"/>
      <c r="O214" s="116"/>
      <c r="P214" s="86"/>
      <c r="Q214" s="92"/>
      <c r="R214" s="120">
        <f t="shared" si="20"/>
        <v>0</v>
      </c>
      <c r="S214" s="93"/>
      <c r="T214" s="117"/>
      <c r="U214" s="117"/>
      <c r="V214" s="85"/>
      <c r="W214" s="146"/>
      <c r="X214" s="137"/>
      <c r="Y214" s="137"/>
      <c r="Z214" s="137"/>
      <c r="AA214" s="137"/>
      <c r="AB214" s="137"/>
      <c r="AC214" s="137"/>
      <c r="AD214" s="137"/>
      <c r="AE214" s="137"/>
      <c r="AF214" s="141"/>
      <c r="AG214" s="146"/>
      <c r="AH214" s="146"/>
      <c r="AI214" s="146"/>
      <c r="AJ214" s="146"/>
      <c r="AK214" s="146"/>
      <c r="AL214" s="81"/>
      <c r="AM214" s="81"/>
      <c r="AN214" s="152"/>
      <c r="AO214" s="152"/>
      <c r="AP214" s="152"/>
      <c r="AQ214" s="152"/>
      <c r="AR214" s="81"/>
      <c r="AS214" s="81"/>
      <c r="AT214" s="82"/>
      <c r="AU214" s="82"/>
      <c r="AV214" s="176"/>
      <c r="AW214" s="89"/>
      <c r="AX214" s="89"/>
      <c r="AY214" s="89"/>
      <c r="AZ214" s="89"/>
      <c r="BA214" s="89"/>
      <c r="BB214" s="89"/>
      <c r="BC214" s="89"/>
      <c r="BD214" s="89"/>
      <c r="BE214" s="141"/>
      <c r="BF214" s="176"/>
      <c r="BG214" s="176"/>
      <c r="BH214" s="176"/>
      <c r="BI214" s="176"/>
    </row>
    <row r="215" spans="1:61" s="90" customFormat="1">
      <c r="A215" s="83">
        <v>212</v>
      </c>
      <c r="B215" s="85"/>
      <c r="C215" s="84"/>
      <c r="D215" s="112"/>
      <c r="E215" s="112"/>
      <c r="F215" s="112"/>
      <c r="G215" s="290"/>
      <c r="H215" s="280">
        <f t="shared" si="21"/>
        <v>0</v>
      </c>
      <c r="I215" s="280">
        <f t="shared" si="22"/>
        <v>0</v>
      </c>
      <c r="J215" s="280">
        <f t="shared" si="23"/>
        <v>0</v>
      </c>
      <c r="K215" s="120" t="str">
        <f t="shared" si="19"/>
        <v/>
      </c>
      <c r="L215" s="287"/>
      <c r="M215" s="91"/>
      <c r="N215" s="99"/>
      <c r="O215" s="116"/>
      <c r="P215" s="86"/>
      <c r="Q215" s="92"/>
      <c r="R215" s="120">
        <f t="shared" si="20"/>
        <v>0</v>
      </c>
      <c r="S215" s="93"/>
      <c r="T215" s="117"/>
      <c r="U215" s="117"/>
      <c r="V215" s="85"/>
      <c r="W215" s="146"/>
      <c r="X215" s="137"/>
      <c r="Y215" s="137"/>
      <c r="Z215" s="137"/>
      <c r="AA215" s="137"/>
      <c r="AB215" s="137"/>
      <c r="AC215" s="137"/>
      <c r="AD215" s="137"/>
      <c r="AE215" s="137"/>
      <c r="AF215" s="141"/>
      <c r="AG215" s="146"/>
      <c r="AH215" s="146"/>
      <c r="AI215" s="146"/>
      <c r="AJ215" s="146"/>
      <c r="AK215" s="146"/>
      <c r="AL215" s="81"/>
      <c r="AM215" s="81"/>
      <c r="AN215" s="152"/>
      <c r="AO215" s="152"/>
      <c r="AP215" s="152"/>
      <c r="AQ215" s="152"/>
      <c r="AR215" s="81"/>
      <c r="AS215" s="81"/>
      <c r="AT215" s="82"/>
      <c r="AU215" s="82"/>
      <c r="AV215" s="176"/>
      <c r="AW215" s="89"/>
      <c r="AX215" s="89"/>
      <c r="AY215" s="89"/>
      <c r="AZ215" s="89"/>
      <c r="BA215" s="89"/>
      <c r="BB215" s="89"/>
      <c r="BC215" s="89"/>
      <c r="BD215" s="89"/>
      <c r="BE215" s="141"/>
      <c r="BF215" s="176"/>
      <c r="BG215" s="176"/>
      <c r="BH215" s="176"/>
      <c r="BI215" s="176"/>
    </row>
    <row r="216" spans="1:61" s="90" customFormat="1">
      <c r="A216" s="83">
        <v>213</v>
      </c>
      <c r="B216" s="85"/>
      <c r="C216" s="84"/>
      <c r="D216" s="112"/>
      <c r="E216" s="112"/>
      <c r="F216" s="112"/>
      <c r="G216" s="290"/>
      <c r="H216" s="280">
        <f t="shared" si="21"/>
        <v>0</v>
      </c>
      <c r="I216" s="280">
        <f t="shared" si="22"/>
        <v>0</v>
      </c>
      <c r="J216" s="280">
        <f t="shared" si="23"/>
        <v>0</v>
      </c>
      <c r="K216" s="120" t="str">
        <f t="shared" si="19"/>
        <v/>
      </c>
      <c r="L216" s="287"/>
      <c r="M216" s="91"/>
      <c r="N216" s="99"/>
      <c r="O216" s="116"/>
      <c r="P216" s="86"/>
      <c r="Q216" s="92"/>
      <c r="R216" s="120">
        <f t="shared" si="20"/>
        <v>0</v>
      </c>
      <c r="S216" s="93"/>
      <c r="T216" s="117"/>
      <c r="U216" s="117"/>
      <c r="V216" s="85"/>
      <c r="W216" s="146"/>
      <c r="X216" s="137"/>
      <c r="Y216" s="137"/>
      <c r="Z216" s="137"/>
      <c r="AA216" s="137"/>
      <c r="AB216" s="137"/>
      <c r="AC216" s="137"/>
      <c r="AD216" s="137"/>
      <c r="AE216" s="137"/>
      <c r="AF216" s="141"/>
      <c r="AG216" s="146"/>
      <c r="AH216" s="146"/>
      <c r="AI216" s="146"/>
      <c r="AJ216" s="146"/>
      <c r="AK216" s="146"/>
      <c r="AL216" s="81"/>
      <c r="AM216" s="81"/>
      <c r="AN216" s="152"/>
      <c r="AO216" s="152"/>
      <c r="AP216" s="152"/>
      <c r="AQ216" s="152"/>
      <c r="AR216" s="81"/>
      <c r="AS216" s="81"/>
      <c r="AT216" s="82"/>
      <c r="AU216" s="82"/>
      <c r="AV216" s="176"/>
      <c r="AW216" s="89"/>
      <c r="AX216" s="89"/>
      <c r="AY216" s="89"/>
      <c r="AZ216" s="89"/>
      <c r="BA216" s="89"/>
      <c r="BB216" s="89"/>
      <c r="BC216" s="89"/>
      <c r="BD216" s="89"/>
      <c r="BE216" s="141"/>
      <c r="BF216" s="176"/>
      <c r="BG216" s="176"/>
      <c r="BH216" s="176"/>
      <c r="BI216" s="176"/>
    </row>
    <row r="217" spans="1:61" s="90" customFormat="1">
      <c r="A217" s="83">
        <v>214</v>
      </c>
      <c r="B217" s="85"/>
      <c r="C217" s="84"/>
      <c r="D217" s="112"/>
      <c r="E217" s="112"/>
      <c r="F217" s="112"/>
      <c r="G217" s="290"/>
      <c r="H217" s="280">
        <f t="shared" si="21"/>
        <v>0</v>
      </c>
      <c r="I217" s="280">
        <f t="shared" si="22"/>
        <v>0</v>
      </c>
      <c r="J217" s="280">
        <f t="shared" si="23"/>
        <v>0</v>
      </c>
      <c r="K217" s="120" t="str">
        <f t="shared" si="19"/>
        <v/>
      </c>
      <c r="L217" s="287"/>
      <c r="M217" s="91"/>
      <c r="N217" s="99"/>
      <c r="O217" s="116"/>
      <c r="P217" s="86"/>
      <c r="Q217" s="92"/>
      <c r="R217" s="120">
        <f t="shared" si="20"/>
        <v>0</v>
      </c>
      <c r="S217" s="93"/>
      <c r="T217" s="117"/>
      <c r="U217" s="117"/>
      <c r="V217" s="85"/>
      <c r="W217" s="146"/>
      <c r="X217" s="137"/>
      <c r="Y217" s="137"/>
      <c r="Z217" s="137"/>
      <c r="AA217" s="137"/>
      <c r="AB217" s="137"/>
      <c r="AC217" s="137"/>
      <c r="AD217" s="137"/>
      <c r="AE217" s="137"/>
      <c r="AF217" s="141"/>
      <c r="AG217" s="146"/>
      <c r="AH217" s="146"/>
      <c r="AI217" s="146"/>
      <c r="AJ217" s="146"/>
      <c r="AK217" s="146"/>
      <c r="AL217" s="81"/>
      <c r="AM217" s="81"/>
      <c r="AN217" s="152"/>
      <c r="AO217" s="152"/>
      <c r="AP217" s="152"/>
      <c r="AQ217" s="152"/>
      <c r="AR217" s="81"/>
      <c r="AS217" s="81"/>
      <c r="AT217" s="82"/>
      <c r="AU217" s="82"/>
      <c r="AV217" s="176"/>
      <c r="AW217" s="89"/>
      <c r="AX217" s="89"/>
      <c r="AY217" s="89"/>
      <c r="AZ217" s="89"/>
      <c r="BA217" s="89"/>
      <c r="BB217" s="89"/>
      <c r="BC217" s="89"/>
      <c r="BD217" s="89"/>
      <c r="BE217" s="141"/>
      <c r="BF217" s="176"/>
      <c r="BG217" s="176"/>
      <c r="BH217" s="176"/>
      <c r="BI217" s="176"/>
    </row>
    <row r="218" spans="1:61" s="90" customFormat="1">
      <c r="A218" s="83">
        <v>215</v>
      </c>
      <c r="B218" s="85"/>
      <c r="C218" s="84"/>
      <c r="D218" s="112"/>
      <c r="E218" s="112"/>
      <c r="F218" s="112"/>
      <c r="G218" s="290"/>
      <c r="H218" s="280">
        <f t="shared" si="21"/>
        <v>0</v>
      </c>
      <c r="I218" s="280">
        <f t="shared" si="22"/>
        <v>0</v>
      </c>
      <c r="J218" s="280">
        <f t="shared" si="23"/>
        <v>0</v>
      </c>
      <c r="K218" s="120" t="str">
        <f t="shared" si="19"/>
        <v/>
      </c>
      <c r="L218" s="287"/>
      <c r="M218" s="91"/>
      <c r="N218" s="99"/>
      <c r="O218" s="116"/>
      <c r="P218" s="86"/>
      <c r="Q218" s="92"/>
      <c r="R218" s="120">
        <f t="shared" si="20"/>
        <v>0</v>
      </c>
      <c r="S218" s="93"/>
      <c r="T218" s="117"/>
      <c r="U218" s="117"/>
      <c r="V218" s="85"/>
      <c r="W218" s="146"/>
      <c r="X218" s="137"/>
      <c r="Y218" s="137"/>
      <c r="Z218" s="137"/>
      <c r="AA218" s="137"/>
      <c r="AB218" s="137"/>
      <c r="AC218" s="137"/>
      <c r="AD218" s="137"/>
      <c r="AE218" s="137"/>
      <c r="AF218" s="141"/>
      <c r="AG218" s="146"/>
      <c r="AH218" s="146"/>
      <c r="AI218" s="146"/>
      <c r="AJ218" s="146"/>
      <c r="AK218" s="146"/>
      <c r="AL218" s="81"/>
      <c r="AM218" s="81"/>
      <c r="AN218" s="152"/>
      <c r="AO218" s="152"/>
      <c r="AP218" s="152"/>
      <c r="AQ218" s="152"/>
      <c r="AR218" s="81"/>
      <c r="AS218" s="81"/>
      <c r="AT218" s="82"/>
      <c r="AU218" s="82"/>
      <c r="AV218" s="176"/>
      <c r="AW218" s="89"/>
      <c r="AX218" s="89"/>
      <c r="AY218" s="89"/>
      <c r="AZ218" s="89"/>
      <c r="BA218" s="89"/>
      <c r="BB218" s="89"/>
      <c r="BC218" s="89"/>
      <c r="BD218" s="89"/>
      <c r="BE218" s="141"/>
      <c r="BF218" s="176"/>
      <c r="BG218" s="176"/>
      <c r="BH218" s="176"/>
      <c r="BI218" s="176"/>
    </row>
    <row r="219" spans="1:61" s="90" customFormat="1">
      <c r="A219" s="83">
        <v>216</v>
      </c>
      <c r="B219" s="85"/>
      <c r="C219" s="84"/>
      <c r="D219" s="112"/>
      <c r="E219" s="112"/>
      <c r="F219" s="112"/>
      <c r="G219" s="290"/>
      <c r="H219" s="280">
        <f t="shared" si="21"/>
        <v>0</v>
      </c>
      <c r="I219" s="280">
        <f t="shared" si="22"/>
        <v>0</v>
      </c>
      <c r="J219" s="280">
        <f t="shared" si="23"/>
        <v>0</v>
      </c>
      <c r="K219" s="120" t="str">
        <f t="shared" si="19"/>
        <v/>
      </c>
      <c r="L219" s="287"/>
      <c r="M219" s="91"/>
      <c r="N219" s="99"/>
      <c r="O219" s="116"/>
      <c r="P219" s="86"/>
      <c r="Q219" s="92"/>
      <c r="R219" s="120">
        <f t="shared" si="20"/>
        <v>0</v>
      </c>
      <c r="S219" s="93"/>
      <c r="T219" s="117"/>
      <c r="U219" s="117"/>
      <c r="V219" s="85"/>
      <c r="W219" s="146"/>
      <c r="X219" s="137"/>
      <c r="Y219" s="137"/>
      <c r="Z219" s="137"/>
      <c r="AA219" s="137"/>
      <c r="AB219" s="137"/>
      <c r="AC219" s="137"/>
      <c r="AD219" s="137"/>
      <c r="AE219" s="137"/>
      <c r="AF219" s="141"/>
      <c r="AG219" s="146"/>
      <c r="AH219" s="146"/>
      <c r="AI219" s="146"/>
      <c r="AJ219" s="146"/>
      <c r="AK219" s="146"/>
      <c r="AL219" s="81"/>
      <c r="AM219" s="81"/>
      <c r="AN219" s="152"/>
      <c r="AO219" s="152"/>
      <c r="AP219" s="152"/>
      <c r="AQ219" s="152"/>
      <c r="AR219" s="81"/>
      <c r="AS219" s="81"/>
      <c r="AT219" s="82"/>
      <c r="AU219" s="82"/>
      <c r="AV219" s="176"/>
      <c r="AW219" s="89"/>
      <c r="AX219" s="89"/>
      <c r="AY219" s="89"/>
      <c r="AZ219" s="89"/>
      <c r="BA219" s="89"/>
      <c r="BB219" s="89"/>
      <c r="BC219" s="89"/>
      <c r="BD219" s="89"/>
      <c r="BE219" s="141"/>
      <c r="BF219" s="176"/>
      <c r="BG219" s="176"/>
      <c r="BH219" s="176"/>
      <c r="BI219" s="176"/>
    </row>
    <row r="220" spans="1:61" s="90" customFormat="1">
      <c r="A220" s="83">
        <v>217</v>
      </c>
      <c r="B220" s="85"/>
      <c r="C220" s="84"/>
      <c r="D220" s="112"/>
      <c r="E220" s="112"/>
      <c r="F220" s="112"/>
      <c r="G220" s="290"/>
      <c r="H220" s="280">
        <f t="shared" si="21"/>
        <v>0</v>
      </c>
      <c r="I220" s="280">
        <f t="shared" si="22"/>
        <v>0</v>
      </c>
      <c r="J220" s="280">
        <f t="shared" si="23"/>
        <v>0</v>
      </c>
      <c r="K220" s="120" t="str">
        <f t="shared" si="19"/>
        <v/>
      </c>
      <c r="L220" s="287"/>
      <c r="M220" s="91"/>
      <c r="N220" s="99"/>
      <c r="O220" s="116"/>
      <c r="P220" s="86"/>
      <c r="Q220" s="92"/>
      <c r="R220" s="120">
        <f t="shared" si="20"/>
        <v>0</v>
      </c>
      <c r="S220" s="93"/>
      <c r="T220" s="117"/>
      <c r="U220" s="117"/>
      <c r="V220" s="85"/>
      <c r="W220" s="146"/>
      <c r="X220" s="137"/>
      <c r="Y220" s="137"/>
      <c r="Z220" s="137"/>
      <c r="AA220" s="137"/>
      <c r="AB220" s="137"/>
      <c r="AC220" s="137"/>
      <c r="AD220" s="137"/>
      <c r="AE220" s="137"/>
      <c r="AF220" s="141"/>
      <c r="AG220" s="146"/>
      <c r="AH220" s="146"/>
      <c r="AI220" s="146"/>
      <c r="AJ220" s="146"/>
      <c r="AK220" s="146"/>
      <c r="AL220" s="81"/>
      <c r="AM220" s="81"/>
      <c r="AN220" s="152"/>
      <c r="AO220" s="152"/>
      <c r="AP220" s="152"/>
      <c r="AQ220" s="152"/>
      <c r="AR220" s="81"/>
      <c r="AS220" s="81"/>
      <c r="AT220" s="82"/>
      <c r="AU220" s="82"/>
      <c r="AV220" s="176"/>
      <c r="AW220" s="89"/>
      <c r="AX220" s="89"/>
      <c r="AY220" s="89"/>
      <c r="AZ220" s="89"/>
      <c r="BA220" s="89"/>
      <c r="BB220" s="89"/>
      <c r="BC220" s="89"/>
      <c r="BD220" s="89"/>
      <c r="BE220" s="141"/>
      <c r="BF220" s="176"/>
      <c r="BG220" s="176"/>
      <c r="BH220" s="176"/>
      <c r="BI220" s="176"/>
    </row>
    <row r="221" spans="1:61" s="90" customFormat="1">
      <c r="A221" s="83">
        <v>218</v>
      </c>
      <c r="B221" s="85"/>
      <c r="C221" s="84"/>
      <c r="D221" s="112"/>
      <c r="E221" s="112"/>
      <c r="F221" s="112"/>
      <c r="G221" s="290"/>
      <c r="H221" s="280">
        <f t="shared" si="21"/>
        <v>0</v>
      </c>
      <c r="I221" s="280">
        <f t="shared" si="22"/>
        <v>0</v>
      </c>
      <c r="J221" s="280">
        <f t="shared" si="23"/>
        <v>0</v>
      </c>
      <c r="K221" s="120" t="str">
        <f t="shared" si="19"/>
        <v/>
      </c>
      <c r="L221" s="287"/>
      <c r="M221" s="91"/>
      <c r="N221" s="99"/>
      <c r="O221" s="116"/>
      <c r="P221" s="86"/>
      <c r="Q221" s="92"/>
      <c r="R221" s="120">
        <f t="shared" si="20"/>
        <v>0</v>
      </c>
      <c r="S221" s="93"/>
      <c r="T221" s="117"/>
      <c r="U221" s="117"/>
      <c r="V221" s="85"/>
      <c r="W221" s="146"/>
      <c r="X221" s="137"/>
      <c r="Y221" s="137"/>
      <c r="Z221" s="137"/>
      <c r="AA221" s="137"/>
      <c r="AB221" s="137"/>
      <c r="AC221" s="137"/>
      <c r="AD221" s="137"/>
      <c r="AE221" s="137"/>
      <c r="AF221" s="141"/>
      <c r="AG221" s="146"/>
      <c r="AH221" s="146"/>
      <c r="AI221" s="146"/>
      <c r="AJ221" s="146"/>
      <c r="AK221" s="146"/>
      <c r="AL221" s="81"/>
      <c r="AM221" s="81"/>
      <c r="AN221" s="152"/>
      <c r="AO221" s="152"/>
      <c r="AP221" s="152"/>
      <c r="AQ221" s="152"/>
      <c r="AR221" s="81"/>
      <c r="AS221" s="81"/>
      <c r="AT221" s="82"/>
      <c r="AU221" s="82"/>
      <c r="AV221" s="176"/>
      <c r="AW221" s="89"/>
      <c r="AX221" s="89"/>
      <c r="AY221" s="89"/>
      <c r="AZ221" s="89"/>
      <c r="BA221" s="89"/>
      <c r="BB221" s="89"/>
      <c r="BC221" s="89"/>
      <c r="BD221" s="89"/>
      <c r="BE221" s="141"/>
      <c r="BF221" s="176"/>
      <c r="BG221" s="176"/>
      <c r="BH221" s="176"/>
      <c r="BI221" s="176"/>
    </row>
    <row r="222" spans="1:61" s="90" customFormat="1">
      <c r="A222" s="83">
        <v>219</v>
      </c>
      <c r="B222" s="85"/>
      <c r="C222" s="84"/>
      <c r="D222" s="112"/>
      <c r="E222" s="112"/>
      <c r="F222" s="112"/>
      <c r="G222" s="290"/>
      <c r="H222" s="280">
        <f t="shared" si="21"/>
        <v>0</v>
      </c>
      <c r="I222" s="280">
        <f t="shared" si="22"/>
        <v>0</v>
      </c>
      <c r="J222" s="280">
        <f t="shared" si="23"/>
        <v>0</v>
      </c>
      <c r="K222" s="120" t="str">
        <f t="shared" si="19"/>
        <v/>
      </c>
      <c r="L222" s="287"/>
      <c r="M222" s="91"/>
      <c r="N222" s="99"/>
      <c r="O222" s="116"/>
      <c r="P222" s="86"/>
      <c r="Q222" s="92"/>
      <c r="R222" s="120">
        <f t="shared" si="20"/>
        <v>0</v>
      </c>
      <c r="S222" s="93"/>
      <c r="T222" s="117"/>
      <c r="U222" s="117"/>
      <c r="V222" s="85"/>
      <c r="W222" s="146"/>
      <c r="X222" s="137"/>
      <c r="Y222" s="137"/>
      <c r="Z222" s="137"/>
      <c r="AA222" s="137"/>
      <c r="AB222" s="137"/>
      <c r="AC222" s="137"/>
      <c r="AD222" s="137"/>
      <c r="AE222" s="137"/>
      <c r="AF222" s="141"/>
      <c r="AG222" s="146"/>
      <c r="AH222" s="146"/>
      <c r="AI222" s="146"/>
      <c r="AJ222" s="146"/>
      <c r="AK222" s="146"/>
      <c r="AL222" s="81"/>
      <c r="AM222" s="81"/>
      <c r="AN222" s="152"/>
      <c r="AO222" s="152"/>
      <c r="AP222" s="152"/>
      <c r="AQ222" s="152"/>
      <c r="AR222" s="81"/>
      <c r="AS222" s="81"/>
      <c r="AT222" s="82"/>
      <c r="AU222" s="82"/>
      <c r="AV222" s="176"/>
      <c r="AW222" s="89"/>
      <c r="AX222" s="89"/>
      <c r="AY222" s="89"/>
      <c r="AZ222" s="89"/>
      <c r="BA222" s="89"/>
      <c r="BB222" s="89"/>
      <c r="BC222" s="89"/>
      <c r="BD222" s="89"/>
      <c r="BE222" s="141"/>
      <c r="BF222" s="176"/>
      <c r="BG222" s="176"/>
      <c r="BH222" s="176"/>
      <c r="BI222" s="176"/>
    </row>
    <row r="223" spans="1:61" s="90" customFormat="1">
      <c r="A223" s="83">
        <v>220</v>
      </c>
      <c r="B223" s="85"/>
      <c r="C223" s="84"/>
      <c r="D223" s="112"/>
      <c r="E223" s="112"/>
      <c r="F223" s="112"/>
      <c r="G223" s="290"/>
      <c r="H223" s="280">
        <f t="shared" si="21"/>
        <v>0</v>
      </c>
      <c r="I223" s="280">
        <f t="shared" si="22"/>
        <v>0</v>
      </c>
      <c r="J223" s="280">
        <f t="shared" si="23"/>
        <v>0</v>
      </c>
      <c r="K223" s="120" t="str">
        <f t="shared" si="19"/>
        <v/>
      </c>
      <c r="L223" s="287"/>
      <c r="M223" s="91"/>
      <c r="N223" s="99"/>
      <c r="O223" s="116"/>
      <c r="P223" s="86"/>
      <c r="Q223" s="92"/>
      <c r="R223" s="120">
        <f t="shared" si="20"/>
        <v>0</v>
      </c>
      <c r="S223" s="93"/>
      <c r="T223" s="117"/>
      <c r="U223" s="117"/>
      <c r="V223" s="85"/>
      <c r="W223" s="146"/>
      <c r="X223" s="137"/>
      <c r="Y223" s="137"/>
      <c r="Z223" s="137"/>
      <c r="AA223" s="137"/>
      <c r="AB223" s="137"/>
      <c r="AC223" s="137"/>
      <c r="AD223" s="137"/>
      <c r="AE223" s="137"/>
      <c r="AF223" s="141"/>
      <c r="AG223" s="146"/>
      <c r="AH223" s="146"/>
      <c r="AI223" s="146"/>
      <c r="AJ223" s="146"/>
      <c r="AK223" s="146"/>
      <c r="AL223" s="81"/>
      <c r="AM223" s="81"/>
      <c r="AN223" s="152"/>
      <c r="AO223" s="152"/>
      <c r="AP223" s="152"/>
      <c r="AQ223" s="152"/>
      <c r="AR223" s="81"/>
      <c r="AS223" s="81"/>
      <c r="AT223" s="82"/>
      <c r="AU223" s="82"/>
      <c r="AV223" s="176"/>
      <c r="AW223" s="89"/>
      <c r="AX223" s="89"/>
      <c r="AY223" s="89"/>
      <c r="AZ223" s="89"/>
      <c r="BA223" s="89"/>
      <c r="BB223" s="89"/>
      <c r="BC223" s="89"/>
      <c r="BD223" s="89"/>
      <c r="BE223" s="141"/>
      <c r="BF223" s="176"/>
      <c r="BG223" s="176"/>
      <c r="BH223" s="176"/>
      <c r="BI223" s="176"/>
    </row>
    <row r="224" spans="1:61" s="90" customFormat="1">
      <c r="A224" s="83">
        <v>221</v>
      </c>
      <c r="B224" s="85"/>
      <c r="C224" s="84"/>
      <c r="D224" s="112"/>
      <c r="E224" s="112"/>
      <c r="F224" s="112"/>
      <c r="G224" s="290"/>
      <c r="H224" s="280">
        <f t="shared" si="21"/>
        <v>0</v>
      </c>
      <c r="I224" s="280">
        <f t="shared" si="22"/>
        <v>0</v>
      </c>
      <c r="J224" s="280">
        <f t="shared" si="23"/>
        <v>0</v>
      </c>
      <c r="K224" s="120" t="str">
        <f t="shared" si="19"/>
        <v/>
      </c>
      <c r="L224" s="287"/>
      <c r="M224" s="91"/>
      <c r="N224" s="99"/>
      <c r="O224" s="116"/>
      <c r="P224" s="86"/>
      <c r="Q224" s="92"/>
      <c r="R224" s="120">
        <f t="shared" si="20"/>
        <v>0</v>
      </c>
      <c r="S224" s="93"/>
      <c r="T224" s="117"/>
      <c r="U224" s="117"/>
      <c r="V224" s="85"/>
      <c r="W224" s="146"/>
      <c r="X224" s="137"/>
      <c r="Y224" s="137"/>
      <c r="Z224" s="137"/>
      <c r="AA224" s="137"/>
      <c r="AB224" s="137"/>
      <c r="AC224" s="137"/>
      <c r="AD224" s="137"/>
      <c r="AE224" s="137"/>
      <c r="AF224" s="141"/>
      <c r="AG224" s="146"/>
      <c r="AH224" s="146"/>
      <c r="AI224" s="146"/>
      <c r="AJ224" s="146"/>
      <c r="AK224" s="146"/>
      <c r="AL224" s="81"/>
      <c r="AM224" s="81"/>
      <c r="AN224" s="152"/>
      <c r="AO224" s="152"/>
      <c r="AP224" s="152"/>
      <c r="AQ224" s="152"/>
      <c r="AR224" s="81"/>
      <c r="AS224" s="81"/>
      <c r="AT224" s="82"/>
      <c r="AU224" s="82"/>
      <c r="AV224" s="176"/>
      <c r="AW224" s="89"/>
      <c r="AX224" s="89"/>
      <c r="AY224" s="89"/>
      <c r="AZ224" s="89"/>
      <c r="BA224" s="89"/>
      <c r="BB224" s="89"/>
      <c r="BC224" s="89"/>
      <c r="BD224" s="89"/>
      <c r="BE224" s="141"/>
      <c r="BF224" s="176"/>
      <c r="BG224" s="176"/>
      <c r="BH224" s="176"/>
      <c r="BI224" s="176"/>
    </row>
    <row r="225" spans="1:61" s="90" customFormat="1">
      <c r="A225" s="83">
        <v>222</v>
      </c>
      <c r="B225" s="85"/>
      <c r="C225" s="84"/>
      <c r="D225" s="112"/>
      <c r="E225" s="112"/>
      <c r="F225" s="112"/>
      <c r="G225" s="290"/>
      <c r="H225" s="280">
        <f t="shared" si="21"/>
        <v>0</v>
      </c>
      <c r="I225" s="280">
        <f t="shared" si="22"/>
        <v>0</v>
      </c>
      <c r="J225" s="280">
        <f t="shared" si="23"/>
        <v>0</v>
      </c>
      <c r="K225" s="120" t="str">
        <f t="shared" si="19"/>
        <v/>
      </c>
      <c r="L225" s="287"/>
      <c r="M225" s="91"/>
      <c r="N225" s="99"/>
      <c r="O225" s="116"/>
      <c r="P225" s="86"/>
      <c r="Q225" s="92"/>
      <c r="R225" s="120">
        <f t="shared" si="20"/>
        <v>0</v>
      </c>
      <c r="S225" s="93"/>
      <c r="T225" s="117"/>
      <c r="U225" s="117"/>
      <c r="V225" s="85"/>
      <c r="W225" s="146"/>
      <c r="X225" s="137"/>
      <c r="Y225" s="137"/>
      <c r="Z225" s="137"/>
      <c r="AA225" s="137"/>
      <c r="AB225" s="137"/>
      <c r="AC225" s="137"/>
      <c r="AD225" s="137"/>
      <c r="AE225" s="137"/>
      <c r="AF225" s="141"/>
      <c r="AG225" s="146"/>
      <c r="AH225" s="146"/>
      <c r="AI225" s="146"/>
      <c r="AJ225" s="146"/>
      <c r="AK225" s="146"/>
      <c r="AL225" s="81"/>
      <c r="AM225" s="81"/>
      <c r="AN225" s="152"/>
      <c r="AO225" s="152"/>
      <c r="AP225" s="152"/>
      <c r="AQ225" s="152"/>
      <c r="AR225" s="81"/>
      <c r="AS225" s="81"/>
      <c r="AT225" s="82"/>
      <c r="AU225" s="82"/>
      <c r="AV225" s="176"/>
      <c r="AW225" s="89"/>
      <c r="AX225" s="89"/>
      <c r="AY225" s="89"/>
      <c r="AZ225" s="89"/>
      <c r="BA225" s="89"/>
      <c r="BB225" s="89"/>
      <c r="BC225" s="89"/>
      <c r="BD225" s="89"/>
      <c r="BE225" s="141"/>
      <c r="BF225" s="176"/>
      <c r="BG225" s="176"/>
      <c r="BH225" s="176"/>
      <c r="BI225" s="176"/>
    </row>
    <row r="226" spans="1:61" s="90" customFormat="1">
      <c r="A226" s="83">
        <v>223</v>
      </c>
      <c r="B226" s="85"/>
      <c r="C226" s="84"/>
      <c r="D226" s="112"/>
      <c r="E226" s="112"/>
      <c r="F226" s="112"/>
      <c r="G226" s="290"/>
      <c r="H226" s="280">
        <f t="shared" si="21"/>
        <v>0</v>
      </c>
      <c r="I226" s="280">
        <f t="shared" si="22"/>
        <v>0</v>
      </c>
      <c r="J226" s="280">
        <f t="shared" si="23"/>
        <v>0</v>
      </c>
      <c r="K226" s="120" t="str">
        <f t="shared" si="19"/>
        <v/>
      </c>
      <c r="L226" s="287"/>
      <c r="M226" s="91"/>
      <c r="N226" s="99"/>
      <c r="O226" s="116"/>
      <c r="P226" s="86"/>
      <c r="Q226" s="92"/>
      <c r="R226" s="120">
        <f t="shared" si="20"/>
        <v>0</v>
      </c>
      <c r="S226" s="93"/>
      <c r="T226" s="117"/>
      <c r="U226" s="117"/>
      <c r="V226" s="85"/>
      <c r="W226" s="146"/>
      <c r="X226" s="137"/>
      <c r="Y226" s="137"/>
      <c r="Z226" s="137"/>
      <c r="AA226" s="137"/>
      <c r="AB226" s="137"/>
      <c r="AC226" s="137"/>
      <c r="AD226" s="137"/>
      <c r="AE226" s="137"/>
      <c r="AF226" s="141"/>
      <c r="AG226" s="146"/>
      <c r="AH226" s="146"/>
      <c r="AI226" s="146"/>
      <c r="AJ226" s="146"/>
      <c r="AK226" s="146"/>
      <c r="AL226" s="81"/>
      <c r="AM226" s="81"/>
      <c r="AN226" s="152"/>
      <c r="AO226" s="152"/>
      <c r="AP226" s="152"/>
      <c r="AQ226" s="152"/>
      <c r="AR226" s="81"/>
      <c r="AS226" s="81"/>
      <c r="AT226" s="82"/>
      <c r="AU226" s="82"/>
      <c r="AV226" s="176"/>
      <c r="AW226" s="89"/>
      <c r="AX226" s="89"/>
      <c r="AY226" s="89"/>
      <c r="AZ226" s="89"/>
      <c r="BA226" s="89"/>
      <c r="BB226" s="89"/>
      <c r="BC226" s="89"/>
      <c r="BD226" s="89"/>
      <c r="BE226" s="141"/>
      <c r="BF226" s="176"/>
      <c r="BG226" s="176"/>
      <c r="BH226" s="176"/>
      <c r="BI226" s="176"/>
    </row>
    <row r="227" spans="1:61" s="90" customFormat="1">
      <c r="A227" s="83">
        <v>224</v>
      </c>
      <c r="B227" s="85"/>
      <c r="C227" s="84"/>
      <c r="D227" s="112"/>
      <c r="E227" s="112"/>
      <c r="F227" s="112"/>
      <c r="G227" s="290"/>
      <c r="H227" s="280">
        <f t="shared" si="21"/>
        <v>0</v>
      </c>
      <c r="I227" s="280">
        <f t="shared" si="22"/>
        <v>0</v>
      </c>
      <c r="J227" s="280">
        <f t="shared" si="23"/>
        <v>0</v>
      </c>
      <c r="K227" s="120" t="str">
        <f t="shared" si="19"/>
        <v/>
      </c>
      <c r="L227" s="287"/>
      <c r="M227" s="91"/>
      <c r="N227" s="99"/>
      <c r="O227" s="116"/>
      <c r="P227" s="86"/>
      <c r="Q227" s="92"/>
      <c r="R227" s="120">
        <f t="shared" si="20"/>
        <v>0</v>
      </c>
      <c r="S227" s="93"/>
      <c r="T227" s="117"/>
      <c r="U227" s="117"/>
      <c r="V227" s="85"/>
      <c r="W227" s="146"/>
      <c r="X227" s="137"/>
      <c r="Y227" s="137"/>
      <c r="Z227" s="137"/>
      <c r="AA227" s="137"/>
      <c r="AB227" s="137"/>
      <c r="AC227" s="137"/>
      <c r="AD227" s="137"/>
      <c r="AE227" s="137"/>
      <c r="AF227" s="141"/>
      <c r="AG227" s="146"/>
      <c r="AH227" s="146"/>
      <c r="AI227" s="146"/>
      <c r="AJ227" s="146"/>
      <c r="AK227" s="146"/>
      <c r="AL227" s="81"/>
      <c r="AM227" s="81"/>
      <c r="AN227" s="152"/>
      <c r="AO227" s="152"/>
      <c r="AP227" s="152"/>
      <c r="AQ227" s="152"/>
      <c r="AR227" s="81"/>
      <c r="AS227" s="81"/>
      <c r="AT227" s="82"/>
      <c r="AU227" s="82"/>
      <c r="AV227" s="176"/>
      <c r="AW227" s="89"/>
      <c r="AX227" s="89"/>
      <c r="AY227" s="89"/>
      <c r="AZ227" s="89"/>
      <c r="BA227" s="89"/>
      <c r="BB227" s="89"/>
      <c r="BC227" s="89"/>
      <c r="BD227" s="89"/>
      <c r="BE227" s="141"/>
      <c r="BF227" s="176"/>
      <c r="BG227" s="176"/>
      <c r="BH227" s="176"/>
      <c r="BI227" s="176"/>
    </row>
    <row r="228" spans="1:61" s="90" customFormat="1">
      <c r="A228" s="83">
        <v>225</v>
      </c>
      <c r="B228" s="85"/>
      <c r="C228" s="84"/>
      <c r="D228" s="112"/>
      <c r="E228" s="112"/>
      <c r="F228" s="112"/>
      <c r="G228" s="290"/>
      <c r="H228" s="280">
        <f t="shared" si="21"/>
        <v>0</v>
      </c>
      <c r="I228" s="280">
        <f t="shared" si="22"/>
        <v>0</v>
      </c>
      <c r="J228" s="280">
        <f t="shared" si="23"/>
        <v>0</v>
      </c>
      <c r="K228" s="120" t="str">
        <f t="shared" si="19"/>
        <v/>
      </c>
      <c r="L228" s="287"/>
      <c r="M228" s="91"/>
      <c r="N228" s="99"/>
      <c r="O228" s="116"/>
      <c r="P228" s="86"/>
      <c r="Q228" s="92"/>
      <c r="R228" s="120">
        <f t="shared" si="20"/>
        <v>0</v>
      </c>
      <c r="S228" s="93"/>
      <c r="T228" s="117"/>
      <c r="U228" s="117"/>
      <c r="V228" s="85"/>
      <c r="W228" s="146"/>
      <c r="X228" s="137"/>
      <c r="Y228" s="137"/>
      <c r="Z228" s="137"/>
      <c r="AA228" s="137"/>
      <c r="AB228" s="137"/>
      <c r="AC228" s="137"/>
      <c r="AD228" s="137"/>
      <c r="AE228" s="137"/>
      <c r="AF228" s="141"/>
      <c r="AG228" s="146"/>
      <c r="AH228" s="146"/>
      <c r="AI228" s="146"/>
      <c r="AJ228" s="146"/>
      <c r="AK228" s="146"/>
      <c r="AL228" s="81"/>
      <c r="AM228" s="81"/>
      <c r="AN228" s="152"/>
      <c r="AO228" s="152"/>
      <c r="AP228" s="152"/>
      <c r="AQ228" s="152"/>
      <c r="AR228" s="81"/>
      <c r="AS228" s="81"/>
      <c r="AT228" s="82"/>
      <c r="AU228" s="82"/>
      <c r="AV228" s="176"/>
      <c r="AW228" s="89"/>
      <c r="AX228" s="89"/>
      <c r="AY228" s="89"/>
      <c r="AZ228" s="89"/>
      <c r="BA228" s="89"/>
      <c r="BB228" s="89"/>
      <c r="BC228" s="89"/>
      <c r="BD228" s="89"/>
      <c r="BE228" s="141"/>
      <c r="BF228" s="176"/>
      <c r="BG228" s="176"/>
      <c r="BH228" s="176"/>
      <c r="BI228" s="176"/>
    </row>
    <row r="229" spans="1:61" s="90" customFormat="1">
      <c r="A229" s="83">
        <v>226</v>
      </c>
      <c r="B229" s="85"/>
      <c r="C229" s="84"/>
      <c r="D229" s="112"/>
      <c r="E229" s="112"/>
      <c r="F229" s="112"/>
      <c r="G229" s="290"/>
      <c r="H229" s="280">
        <f t="shared" si="21"/>
        <v>0</v>
      </c>
      <c r="I229" s="280">
        <f t="shared" si="22"/>
        <v>0</v>
      </c>
      <c r="J229" s="280">
        <f t="shared" si="23"/>
        <v>0</v>
      </c>
      <c r="K229" s="120" t="str">
        <f t="shared" si="19"/>
        <v/>
      </c>
      <c r="L229" s="287"/>
      <c r="M229" s="91"/>
      <c r="N229" s="99"/>
      <c r="O229" s="116"/>
      <c r="P229" s="86"/>
      <c r="Q229" s="92"/>
      <c r="R229" s="120">
        <f t="shared" si="20"/>
        <v>0</v>
      </c>
      <c r="S229" s="93"/>
      <c r="T229" s="117"/>
      <c r="U229" s="117"/>
      <c r="V229" s="85"/>
      <c r="W229" s="146"/>
      <c r="X229" s="137"/>
      <c r="Y229" s="137"/>
      <c r="Z229" s="137"/>
      <c r="AA229" s="137"/>
      <c r="AB229" s="137"/>
      <c r="AC229" s="137"/>
      <c r="AD229" s="137"/>
      <c r="AE229" s="137"/>
      <c r="AF229" s="141"/>
      <c r="AG229" s="146"/>
      <c r="AH229" s="146"/>
      <c r="AI229" s="146"/>
      <c r="AJ229" s="146"/>
      <c r="AK229" s="146"/>
      <c r="AL229" s="81"/>
      <c r="AM229" s="81"/>
      <c r="AN229" s="152"/>
      <c r="AO229" s="152"/>
      <c r="AP229" s="152"/>
      <c r="AQ229" s="152"/>
      <c r="AR229" s="81"/>
      <c r="AS229" s="81"/>
      <c r="AT229" s="82"/>
      <c r="AU229" s="82"/>
      <c r="AV229" s="176"/>
      <c r="AW229" s="89"/>
      <c r="AX229" s="89"/>
      <c r="AY229" s="89"/>
      <c r="AZ229" s="89"/>
      <c r="BA229" s="89"/>
      <c r="BB229" s="89"/>
      <c r="BC229" s="89"/>
      <c r="BD229" s="89"/>
      <c r="BE229" s="141"/>
      <c r="BF229" s="176"/>
      <c r="BG229" s="176"/>
      <c r="BH229" s="176"/>
      <c r="BI229" s="176"/>
    </row>
    <row r="230" spans="1:61" s="90" customFormat="1">
      <c r="A230" s="83">
        <v>227</v>
      </c>
      <c r="B230" s="85"/>
      <c r="C230" s="84"/>
      <c r="D230" s="112"/>
      <c r="E230" s="112"/>
      <c r="F230" s="112"/>
      <c r="G230" s="290"/>
      <c r="H230" s="280">
        <f t="shared" si="21"/>
        <v>0</v>
      </c>
      <c r="I230" s="280">
        <f t="shared" si="22"/>
        <v>0</v>
      </c>
      <c r="J230" s="280">
        <f t="shared" si="23"/>
        <v>0</v>
      </c>
      <c r="K230" s="120" t="str">
        <f t="shared" si="19"/>
        <v/>
      </c>
      <c r="L230" s="287"/>
      <c r="M230" s="91"/>
      <c r="N230" s="99"/>
      <c r="O230" s="116"/>
      <c r="P230" s="86"/>
      <c r="Q230" s="92"/>
      <c r="R230" s="120">
        <f t="shared" si="20"/>
        <v>0</v>
      </c>
      <c r="S230" s="93"/>
      <c r="T230" s="117"/>
      <c r="U230" s="117"/>
      <c r="V230" s="85"/>
      <c r="W230" s="146"/>
      <c r="X230" s="137"/>
      <c r="Y230" s="137"/>
      <c r="Z230" s="137"/>
      <c r="AA230" s="137"/>
      <c r="AB230" s="137"/>
      <c r="AC230" s="137"/>
      <c r="AD230" s="137"/>
      <c r="AE230" s="137"/>
      <c r="AF230" s="141"/>
      <c r="AG230" s="146"/>
      <c r="AH230" s="146"/>
      <c r="AI230" s="146"/>
      <c r="AJ230" s="146"/>
      <c r="AK230" s="146"/>
      <c r="AL230" s="81"/>
      <c r="AM230" s="81"/>
      <c r="AN230" s="152"/>
      <c r="AO230" s="152"/>
      <c r="AP230" s="152"/>
      <c r="AQ230" s="152"/>
      <c r="AR230" s="81"/>
      <c r="AS230" s="81"/>
      <c r="AT230" s="82"/>
      <c r="AU230" s="82"/>
      <c r="AV230" s="176"/>
      <c r="AW230" s="89"/>
      <c r="AX230" s="89"/>
      <c r="AY230" s="89"/>
      <c r="AZ230" s="89"/>
      <c r="BA230" s="89"/>
      <c r="BB230" s="89"/>
      <c r="BC230" s="89"/>
      <c r="BD230" s="89"/>
      <c r="BE230" s="141"/>
      <c r="BF230" s="176"/>
      <c r="BG230" s="176"/>
      <c r="BH230" s="176"/>
      <c r="BI230" s="176"/>
    </row>
    <row r="231" spans="1:61" s="90" customFormat="1">
      <c r="A231" s="83">
        <v>228</v>
      </c>
      <c r="B231" s="85"/>
      <c r="C231" s="84"/>
      <c r="D231" s="112"/>
      <c r="E231" s="112"/>
      <c r="F231" s="112"/>
      <c r="G231" s="290"/>
      <c r="H231" s="280">
        <f t="shared" si="21"/>
        <v>0</v>
      </c>
      <c r="I231" s="280">
        <f t="shared" si="22"/>
        <v>0</v>
      </c>
      <c r="J231" s="280">
        <f t="shared" si="23"/>
        <v>0</v>
      </c>
      <c r="K231" s="120" t="str">
        <f t="shared" si="19"/>
        <v/>
      </c>
      <c r="L231" s="287"/>
      <c r="M231" s="91"/>
      <c r="N231" s="99"/>
      <c r="O231" s="116"/>
      <c r="P231" s="86"/>
      <c r="Q231" s="92"/>
      <c r="R231" s="120">
        <f t="shared" si="20"/>
        <v>0</v>
      </c>
      <c r="S231" s="93"/>
      <c r="T231" s="117"/>
      <c r="U231" s="117"/>
      <c r="V231" s="85"/>
      <c r="W231" s="146"/>
      <c r="X231" s="137"/>
      <c r="Y231" s="137"/>
      <c r="Z231" s="137"/>
      <c r="AA231" s="137"/>
      <c r="AB231" s="137"/>
      <c r="AC231" s="137"/>
      <c r="AD231" s="137"/>
      <c r="AE231" s="137"/>
      <c r="AF231" s="141"/>
      <c r="AG231" s="146"/>
      <c r="AH231" s="146"/>
      <c r="AI231" s="146"/>
      <c r="AJ231" s="146"/>
      <c r="AK231" s="146"/>
      <c r="AL231" s="81"/>
      <c r="AM231" s="81"/>
      <c r="AN231" s="152"/>
      <c r="AO231" s="152"/>
      <c r="AP231" s="152"/>
      <c r="AQ231" s="152"/>
      <c r="AR231" s="81"/>
      <c r="AS231" s="81"/>
      <c r="AT231" s="82"/>
      <c r="AU231" s="82"/>
      <c r="AV231" s="176"/>
      <c r="AW231" s="89"/>
      <c r="AX231" s="89"/>
      <c r="AY231" s="89"/>
      <c r="AZ231" s="89"/>
      <c r="BA231" s="89"/>
      <c r="BB231" s="89"/>
      <c r="BC231" s="89"/>
      <c r="BD231" s="89"/>
      <c r="BE231" s="141"/>
      <c r="BF231" s="176"/>
      <c r="BG231" s="176"/>
      <c r="BH231" s="176"/>
      <c r="BI231" s="176"/>
    </row>
    <row r="232" spans="1:61" s="90" customFormat="1">
      <c r="A232" s="83">
        <v>229</v>
      </c>
      <c r="B232" s="85"/>
      <c r="C232" s="84"/>
      <c r="D232" s="112"/>
      <c r="E232" s="112"/>
      <c r="F232" s="112"/>
      <c r="G232" s="290"/>
      <c r="H232" s="280">
        <f t="shared" si="21"/>
        <v>0</v>
      </c>
      <c r="I232" s="280">
        <f t="shared" si="22"/>
        <v>0</v>
      </c>
      <c r="J232" s="280">
        <f t="shared" si="23"/>
        <v>0</v>
      </c>
      <c r="K232" s="120" t="str">
        <f t="shared" si="19"/>
        <v/>
      </c>
      <c r="L232" s="287"/>
      <c r="M232" s="91"/>
      <c r="N232" s="99"/>
      <c r="O232" s="116"/>
      <c r="P232" s="86"/>
      <c r="Q232" s="92"/>
      <c r="R232" s="120">
        <f t="shared" si="20"/>
        <v>0</v>
      </c>
      <c r="S232" s="93"/>
      <c r="T232" s="117"/>
      <c r="U232" s="117"/>
      <c r="V232" s="85"/>
      <c r="W232" s="146"/>
      <c r="X232" s="137"/>
      <c r="Y232" s="137"/>
      <c r="Z232" s="137"/>
      <c r="AA232" s="137"/>
      <c r="AB232" s="137"/>
      <c r="AC232" s="137"/>
      <c r="AD232" s="137"/>
      <c r="AE232" s="137"/>
      <c r="AF232" s="141"/>
      <c r="AG232" s="146"/>
      <c r="AH232" s="146"/>
      <c r="AI232" s="146"/>
      <c r="AJ232" s="146"/>
      <c r="AK232" s="146"/>
      <c r="AL232" s="81"/>
      <c r="AM232" s="81"/>
      <c r="AN232" s="152"/>
      <c r="AO232" s="152"/>
      <c r="AP232" s="152"/>
      <c r="AQ232" s="152"/>
      <c r="AR232" s="81"/>
      <c r="AS232" s="81"/>
      <c r="AT232" s="82"/>
      <c r="AU232" s="82"/>
      <c r="AV232" s="176"/>
      <c r="AW232" s="89"/>
      <c r="AX232" s="89"/>
      <c r="AY232" s="89"/>
      <c r="AZ232" s="89"/>
      <c r="BA232" s="89"/>
      <c r="BB232" s="89"/>
      <c r="BC232" s="89"/>
      <c r="BD232" s="89"/>
      <c r="BE232" s="141"/>
      <c r="BF232" s="176"/>
      <c r="BG232" s="176"/>
      <c r="BH232" s="176"/>
      <c r="BI232" s="176"/>
    </row>
    <row r="233" spans="1:61" s="90" customFormat="1">
      <c r="A233" s="83">
        <v>230</v>
      </c>
      <c r="B233" s="85"/>
      <c r="C233" s="84"/>
      <c r="D233" s="112"/>
      <c r="E233" s="112"/>
      <c r="F233" s="112"/>
      <c r="G233" s="290"/>
      <c r="H233" s="280">
        <f t="shared" si="21"/>
        <v>0</v>
      </c>
      <c r="I233" s="280">
        <f t="shared" si="22"/>
        <v>0</v>
      </c>
      <c r="J233" s="280">
        <f t="shared" si="23"/>
        <v>0</v>
      </c>
      <c r="K233" s="120" t="str">
        <f t="shared" si="19"/>
        <v/>
      </c>
      <c r="L233" s="287"/>
      <c r="M233" s="91"/>
      <c r="N233" s="99"/>
      <c r="O233" s="116"/>
      <c r="P233" s="86"/>
      <c r="Q233" s="92"/>
      <c r="R233" s="120">
        <f t="shared" si="20"/>
        <v>0</v>
      </c>
      <c r="S233" s="93"/>
      <c r="T233" s="117"/>
      <c r="U233" s="117"/>
      <c r="V233" s="85"/>
      <c r="W233" s="146"/>
      <c r="X233" s="137"/>
      <c r="Y233" s="137"/>
      <c r="Z233" s="137"/>
      <c r="AA233" s="137"/>
      <c r="AB233" s="137"/>
      <c r="AC233" s="137"/>
      <c r="AD233" s="137"/>
      <c r="AE233" s="137"/>
      <c r="AF233" s="141"/>
      <c r="AG233" s="146"/>
      <c r="AH233" s="146"/>
      <c r="AI233" s="146"/>
      <c r="AJ233" s="146"/>
      <c r="AK233" s="146"/>
      <c r="AL233" s="81"/>
      <c r="AM233" s="81"/>
      <c r="AN233" s="152"/>
      <c r="AO233" s="152"/>
      <c r="AP233" s="152"/>
      <c r="AQ233" s="152"/>
      <c r="AR233" s="81"/>
      <c r="AS233" s="81"/>
      <c r="AT233" s="82"/>
      <c r="AU233" s="82"/>
      <c r="AV233" s="176"/>
      <c r="AW233" s="89"/>
      <c r="AX233" s="89"/>
      <c r="AY233" s="89"/>
      <c r="AZ233" s="89"/>
      <c r="BA233" s="89"/>
      <c r="BB233" s="89"/>
      <c r="BC233" s="89"/>
      <c r="BD233" s="89"/>
      <c r="BE233" s="141"/>
      <c r="BF233" s="176"/>
      <c r="BG233" s="176"/>
      <c r="BH233" s="176"/>
      <c r="BI233" s="176"/>
    </row>
    <row r="234" spans="1:61" s="90" customFormat="1">
      <c r="A234" s="83">
        <v>231</v>
      </c>
      <c r="B234" s="85"/>
      <c r="C234" s="84"/>
      <c r="D234" s="112"/>
      <c r="E234" s="112"/>
      <c r="F234" s="112"/>
      <c r="G234" s="290"/>
      <c r="H234" s="280">
        <f t="shared" si="21"/>
        <v>0</v>
      </c>
      <c r="I234" s="280">
        <f t="shared" si="22"/>
        <v>0</v>
      </c>
      <c r="J234" s="280">
        <f t="shared" si="23"/>
        <v>0</v>
      </c>
      <c r="K234" s="120" t="str">
        <f t="shared" si="19"/>
        <v/>
      </c>
      <c r="L234" s="287"/>
      <c r="M234" s="91"/>
      <c r="N234" s="99"/>
      <c r="O234" s="116"/>
      <c r="P234" s="86"/>
      <c r="Q234" s="92"/>
      <c r="R234" s="120">
        <f t="shared" si="20"/>
        <v>0</v>
      </c>
      <c r="S234" s="93"/>
      <c r="T234" s="117"/>
      <c r="U234" s="117"/>
      <c r="V234" s="85"/>
      <c r="W234" s="146"/>
      <c r="X234" s="137"/>
      <c r="Y234" s="137"/>
      <c r="Z234" s="137"/>
      <c r="AA234" s="137"/>
      <c r="AB234" s="137"/>
      <c r="AC234" s="137"/>
      <c r="AD234" s="137"/>
      <c r="AE234" s="137"/>
      <c r="AF234" s="141"/>
      <c r="AG234" s="146"/>
      <c r="AH234" s="146"/>
      <c r="AI234" s="146"/>
      <c r="AJ234" s="146"/>
      <c r="AK234" s="146"/>
      <c r="AL234" s="81"/>
      <c r="AM234" s="81"/>
      <c r="AN234" s="152"/>
      <c r="AO234" s="152"/>
      <c r="AP234" s="152"/>
      <c r="AQ234" s="152"/>
      <c r="AR234" s="81"/>
      <c r="AS234" s="81"/>
      <c r="AT234" s="82"/>
      <c r="AU234" s="82"/>
      <c r="AV234" s="176"/>
      <c r="AW234" s="89"/>
      <c r="AX234" s="89"/>
      <c r="AY234" s="89"/>
      <c r="AZ234" s="89"/>
      <c r="BA234" s="89"/>
      <c r="BB234" s="89"/>
      <c r="BC234" s="89"/>
      <c r="BD234" s="89"/>
      <c r="BE234" s="141"/>
      <c r="BF234" s="176"/>
      <c r="BG234" s="176"/>
      <c r="BH234" s="176"/>
      <c r="BI234" s="176"/>
    </row>
    <row r="235" spans="1:61" s="90" customFormat="1">
      <c r="A235" s="83">
        <v>232</v>
      </c>
      <c r="B235" s="85"/>
      <c r="C235" s="84"/>
      <c r="D235" s="112"/>
      <c r="E235" s="112"/>
      <c r="F235" s="112"/>
      <c r="G235" s="290"/>
      <c r="H235" s="280">
        <f t="shared" si="21"/>
        <v>0</v>
      </c>
      <c r="I235" s="280">
        <f t="shared" si="22"/>
        <v>0</v>
      </c>
      <c r="J235" s="280">
        <f t="shared" si="23"/>
        <v>0</v>
      </c>
      <c r="K235" s="120" t="str">
        <f t="shared" si="19"/>
        <v/>
      </c>
      <c r="L235" s="287"/>
      <c r="M235" s="91"/>
      <c r="N235" s="99"/>
      <c r="O235" s="116"/>
      <c r="P235" s="86"/>
      <c r="Q235" s="92"/>
      <c r="R235" s="120">
        <f t="shared" si="20"/>
        <v>0</v>
      </c>
      <c r="S235" s="93"/>
      <c r="T235" s="117"/>
      <c r="U235" s="117"/>
      <c r="V235" s="85"/>
      <c r="W235" s="146"/>
      <c r="X235" s="137"/>
      <c r="Y235" s="137"/>
      <c r="Z235" s="137"/>
      <c r="AA235" s="137"/>
      <c r="AB235" s="137"/>
      <c r="AC235" s="137"/>
      <c r="AD235" s="137"/>
      <c r="AE235" s="137"/>
      <c r="AF235" s="141"/>
      <c r="AG235" s="146"/>
      <c r="AH235" s="146"/>
      <c r="AI235" s="146"/>
      <c r="AJ235" s="146"/>
      <c r="AK235" s="146"/>
      <c r="AL235" s="81"/>
      <c r="AM235" s="81"/>
      <c r="AN235" s="152"/>
      <c r="AO235" s="152"/>
      <c r="AP235" s="152"/>
      <c r="AQ235" s="152"/>
      <c r="AR235" s="81"/>
      <c r="AS235" s="81"/>
      <c r="AT235" s="82"/>
      <c r="AU235" s="82"/>
      <c r="AV235" s="176"/>
      <c r="AW235" s="89"/>
      <c r="AX235" s="89"/>
      <c r="AY235" s="89"/>
      <c r="AZ235" s="89"/>
      <c r="BA235" s="89"/>
      <c r="BB235" s="89"/>
      <c r="BC235" s="89"/>
      <c r="BD235" s="89"/>
      <c r="BE235" s="141"/>
      <c r="BF235" s="176"/>
      <c r="BG235" s="176"/>
      <c r="BH235" s="176"/>
      <c r="BI235" s="176"/>
    </row>
    <row r="236" spans="1:61" s="90" customFormat="1">
      <c r="A236" s="83">
        <v>233</v>
      </c>
      <c r="B236" s="85"/>
      <c r="C236" s="84"/>
      <c r="D236" s="112"/>
      <c r="E236" s="112"/>
      <c r="F236" s="112"/>
      <c r="G236" s="290"/>
      <c r="H236" s="280">
        <f t="shared" si="21"/>
        <v>0</v>
      </c>
      <c r="I236" s="280">
        <f t="shared" si="22"/>
        <v>0</v>
      </c>
      <c r="J236" s="280">
        <f t="shared" si="23"/>
        <v>0</v>
      </c>
      <c r="K236" s="120" t="str">
        <f t="shared" si="19"/>
        <v/>
      </c>
      <c r="L236" s="287"/>
      <c r="M236" s="91"/>
      <c r="N236" s="99"/>
      <c r="O236" s="116"/>
      <c r="P236" s="86"/>
      <c r="Q236" s="92"/>
      <c r="R236" s="120">
        <f t="shared" si="20"/>
        <v>0</v>
      </c>
      <c r="S236" s="93"/>
      <c r="T236" s="117"/>
      <c r="U236" s="117"/>
      <c r="V236" s="85"/>
      <c r="W236" s="146"/>
      <c r="X236" s="137"/>
      <c r="Y236" s="137"/>
      <c r="Z236" s="137"/>
      <c r="AA236" s="137"/>
      <c r="AB236" s="137"/>
      <c r="AC236" s="137"/>
      <c r="AD236" s="137"/>
      <c r="AE236" s="137"/>
      <c r="AF236" s="141"/>
      <c r="AG236" s="146"/>
      <c r="AH236" s="146"/>
      <c r="AI236" s="146"/>
      <c r="AJ236" s="146"/>
      <c r="AK236" s="146"/>
      <c r="AL236" s="81"/>
      <c r="AM236" s="81"/>
      <c r="AN236" s="152"/>
      <c r="AO236" s="152"/>
      <c r="AP236" s="152"/>
      <c r="AQ236" s="152"/>
      <c r="AR236" s="81"/>
      <c r="AS236" s="81"/>
      <c r="AT236" s="82"/>
      <c r="AU236" s="82"/>
      <c r="AV236" s="176"/>
      <c r="AW236" s="89"/>
      <c r="AX236" s="89"/>
      <c r="AY236" s="89"/>
      <c r="AZ236" s="89"/>
      <c r="BA236" s="89"/>
      <c r="BB236" s="89"/>
      <c r="BC236" s="89"/>
      <c r="BD236" s="89"/>
      <c r="BE236" s="141"/>
      <c r="BF236" s="176"/>
      <c r="BG236" s="176"/>
      <c r="BH236" s="176"/>
      <c r="BI236" s="176"/>
    </row>
    <row r="237" spans="1:61" s="90" customFormat="1">
      <c r="A237" s="83">
        <v>234</v>
      </c>
      <c r="B237" s="85"/>
      <c r="C237" s="84"/>
      <c r="D237" s="112"/>
      <c r="E237" s="112"/>
      <c r="F237" s="112"/>
      <c r="G237" s="290"/>
      <c r="H237" s="280">
        <f t="shared" si="21"/>
        <v>0</v>
      </c>
      <c r="I237" s="280">
        <f t="shared" si="22"/>
        <v>0</v>
      </c>
      <c r="J237" s="280">
        <f t="shared" si="23"/>
        <v>0</v>
      </c>
      <c r="K237" s="120" t="str">
        <f t="shared" si="19"/>
        <v/>
      </c>
      <c r="L237" s="287"/>
      <c r="M237" s="91"/>
      <c r="N237" s="99"/>
      <c r="O237" s="116"/>
      <c r="P237" s="86"/>
      <c r="Q237" s="92"/>
      <c r="R237" s="120">
        <f t="shared" si="20"/>
        <v>0</v>
      </c>
      <c r="S237" s="93"/>
      <c r="T237" s="117"/>
      <c r="U237" s="117"/>
      <c r="V237" s="85"/>
      <c r="W237" s="146"/>
      <c r="X237" s="137"/>
      <c r="Y237" s="137"/>
      <c r="Z237" s="137"/>
      <c r="AA237" s="137"/>
      <c r="AB237" s="137"/>
      <c r="AC237" s="137"/>
      <c r="AD237" s="137"/>
      <c r="AE237" s="137"/>
      <c r="AF237" s="141"/>
      <c r="AG237" s="146"/>
      <c r="AH237" s="146"/>
      <c r="AI237" s="146"/>
      <c r="AJ237" s="146"/>
      <c r="AK237" s="146"/>
      <c r="AL237" s="81"/>
      <c r="AM237" s="81"/>
      <c r="AN237" s="152"/>
      <c r="AO237" s="152"/>
      <c r="AP237" s="152"/>
      <c r="AQ237" s="152"/>
      <c r="AR237" s="81"/>
      <c r="AS237" s="81"/>
      <c r="AT237" s="82"/>
      <c r="AU237" s="82"/>
      <c r="AV237" s="176"/>
      <c r="AW237" s="89"/>
      <c r="AX237" s="89"/>
      <c r="AY237" s="89"/>
      <c r="AZ237" s="89"/>
      <c r="BA237" s="89"/>
      <c r="BB237" s="89"/>
      <c r="BC237" s="89"/>
      <c r="BD237" s="89"/>
      <c r="BE237" s="141"/>
      <c r="BF237" s="176"/>
      <c r="BG237" s="176"/>
      <c r="BH237" s="176"/>
      <c r="BI237" s="176"/>
    </row>
    <row r="238" spans="1:61" s="90" customFormat="1">
      <c r="A238" s="83">
        <v>235</v>
      </c>
      <c r="B238" s="85"/>
      <c r="C238" s="84"/>
      <c r="D238" s="112"/>
      <c r="E238" s="112"/>
      <c r="F238" s="112"/>
      <c r="G238" s="290"/>
      <c r="H238" s="280">
        <f t="shared" si="21"/>
        <v>0</v>
      </c>
      <c r="I238" s="280">
        <f t="shared" si="22"/>
        <v>0</v>
      </c>
      <c r="J238" s="280">
        <f t="shared" si="23"/>
        <v>0</v>
      </c>
      <c r="K238" s="120" t="str">
        <f t="shared" si="19"/>
        <v/>
      </c>
      <c r="L238" s="287"/>
      <c r="M238" s="91"/>
      <c r="N238" s="99"/>
      <c r="O238" s="116"/>
      <c r="P238" s="86"/>
      <c r="Q238" s="92"/>
      <c r="R238" s="120">
        <f t="shared" si="20"/>
        <v>0</v>
      </c>
      <c r="S238" s="93"/>
      <c r="T238" s="117"/>
      <c r="U238" s="117"/>
      <c r="V238" s="85"/>
      <c r="W238" s="146"/>
      <c r="X238" s="137"/>
      <c r="Y238" s="137"/>
      <c r="Z238" s="137"/>
      <c r="AA238" s="137"/>
      <c r="AB238" s="137"/>
      <c r="AC238" s="137"/>
      <c r="AD238" s="137"/>
      <c r="AE238" s="137"/>
      <c r="AF238" s="141"/>
      <c r="AG238" s="146"/>
      <c r="AH238" s="146"/>
      <c r="AI238" s="146"/>
      <c r="AJ238" s="146"/>
      <c r="AK238" s="146"/>
      <c r="AL238" s="81"/>
      <c r="AM238" s="81"/>
      <c r="AN238" s="152"/>
      <c r="AO238" s="152"/>
      <c r="AP238" s="152"/>
      <c r="AQ238" s="152"/>
      <c r="AR238" s="81"/>
      <c r="AS238" s="81"/>
      <c r="AT238" s="82"/>
      <c r="AU238" s="82"/>
      <c r="AV238" s="176"/>
      <c r="AW238" s="89"/>
      <c r="AX238" s="89"/>
      <c r="AY238" s="89"/>
      <c r="AZ238" s="89"/>
      <c r="BA238" s="89"/>
      <c r="BB238" s="89"/>
      <c r="BC238" s="89"/>
      <c r="BD238" s="89"/>
      <c r="BE238" s="141"/>
      <c r="BF238" s="176"/>
      <c r="BG238" s="176"/>
      <c r="BH238" s="176"/>
      <c r="BI238" s="176"/>
    </row>
    <row r="239" spans="1:61" s="90" customFormat="1">
      <c r="A239" s="83">
        <v>236</v>
      </c>
      <c r="B239" s="85"/>
      <c r="C239" s="84"/>
      <c r="D239" s="112"/>
      <c r="E239" s="112"/>
      <c r="F239" s="112"/>
      <c r="G239" s="290"/>
      <c r="H239" s="280">
        <f t="shared" si="21"/>
        <v>0</v>
      </c>
      <c r="I239" s="280">
        <f t="shared" si="22"/>
        <v>0</v>
      </c>
      <c r="J239" s="280">
        <f t="shared" si="23"/>
        <v>0</v>
      </c>
      <c r="K239" s="120" t="str">
        <f t="shared" si="19"/>
        <v/>
      </c>
      <c r="L239" s="287"/>
      <c r="M239" s="91"/>
      <c r="N239" s="99"/>
      <c r="O239" s="116"/>
      <c r="P239" s="86"/>
      <c r="Q239" s="92"/>
      <c r="R239" s="120">
        <f t="shared" si="20"/>
        <v>0</v>
      </c>
      <c r="S239" s="93"/>
      <c r="T239" s="117"/>
      <c r="U239" s="117"/>
      <c r="V239" s="85"/>
      <c r="W239" s="146"/>
      <c r="X239" s="137"/>
      <c r="Y239" s="137"/>
      <c r="Z239" s="137"/>
      <c r="AA239" s="137"/>
      <c r="AB239" s="137"/>
      <c r="AC239" s="137"/>
      <c r="AD239" s="137"/>
      <c r="AE239" s="137"/>
      <c r="AF239" s="141"/>
      <c r="AG239" s="146"/>
      <c r="AH239" s="146"/>
      <c r="AI239" s="146"/>
      <c r="AJ239" s="146"/>
      <c r="AK239" s="146"/>
      <c r="AL239" s="81"/>
      <c r="AM239" s="81"/>
      <c r="AN239" s="152"/>
      <c r="AO239" s="152"/>
      <c r="AP239" s="152"/>
      <c r="AQ239" s="152"/>
      <c r="AR239" s="81"/>
      <c r="AS239" s="81"/>
      <c r="AT239" s="82"/>
      <c r="AU239" s="82"/>
      <c r="AV239" s="176"/>
      <c r="AW239" s="89"/>
      <c r="AX239" s="89"/>
      <c r="AY239" s="89"/>
      <c r="AZ239" s="89"/>
      <c r="BA239" s="89"/>
      <c r="BB239" s="89"/>
      <c r="BC239" s="89"/>
      <c r="BD239" s="89"/>
      <c r="BE239" s="141"/>
      <c r="BF239" s="176"/>
      <c r="BG239" s="176"/>
      <c r="BH239" s="176"/>
      <c r="BI239" s="176"/>
    </row>
    <row r="240" spans="1:61" s="90" customFormat="1">
      <c r="A240" s="83">
        <v>237</v>
      </c>
      <c r="B240" s="85"/>
      <c r="C240" s="84"/>
      <c r="D240" s="112"/>
      <c r="E240" s="112"/>
      <c r="F240" s="112"/>
      <c r="G240" s="290"/>
      <c r="H240" s="280">
        <f t="shared" si="21"/>
        <v>0</v>
      </c>
      <c r="I240" s="280">
        <f t="shared" si="22"/>
        <v>0</v>
      </c>
      <c r="J240" s="280">
        <f t="shared" si="23"/>
        <v>0</v>
      </c>
      <c r="K240" s="120" t="str">
        <f t="shared" si="19"/>
        <v/>
      </c>
      <c r="L240" s="287"/>
      <c r="M240" s="91"/>
      <c r="N240" s="99"/>
      <c r="O240" s="116"/>
      <c r="P240" s="86"/>
      <c r="Q240" s="92"/>
      <c r="R240" s="120">
        <f t="shared" si="20"/>
        <v>0</v>
      </c>
      <c r="S240" s="93"/>
      <c r="T240" s="117"/>
      <c r="U240" s="117"/>
      <c r="V240" s="85"/>
      <c r="W240" s="146"/>
      <c r="X240" s="137"/>
      <c r="Y240" s="137"/>
      <c r="Z240" s="137"/>
      <c r="AA240" s="137"/>
      <c r="AB240" s="137"/>
      <c r="AC240" s="137"/>
      <c r="AD240" s="137"/>
      <c r="AE240" s="137"/>
      <c r="AF240" s="141"/>
      <c r="AG240" s="146"/>
      <c r="AH240" s="146"/>
      <c r="AI240" s="146"/>
      <c r="AJ240" s="146"/>
      <c r="AK240" s="146"/>
      <c r="AL240" s="81"/>
      <c r="AM240" s="81"/>
      <c r="AN240" s="152"/>
      <c r="AO240" s="152"/>
      <c r="AP240" s="152"/>
      <c r="AQ240" s="152"/>
      <c r="AR240" s="81"/>
      <c r="AS240" s="81"/>
      <c r="AT240" s="82"/>
      <c r="AU240" s="82"/>
      <c r="AV240" s="176"/>
      <c r="AW240" s="89"/>
      <c r="AX240" s="89"/>
      <c r="AY240" s="89"/>
      <c r="AZ240" s="89"/>
      <c r="BA240" s="89"/>
      <c r="BB240" s="89"/>
      <c r="BC240" s="89"/>
      <c r="BD240" s="89"/>
      <c r="BE240" s="141"/>
      <c r="BF240" s="176"/>
      <c r="BG240" s="176"/>
      <c r="BH240" s="176"/>
      <c r="BI240" s="176"/>
    </row>
    <row r="241" spans="1:61" s="90" customFormat="1">
      <c r="A241" s="83">
        <v>238</v>
      </c>
      <c r="B241" s="85"/>
      <c r="C241" s="84"/>
      <c r="D241" s="112"/>
      <c r="E241" s="112"/>
      <c r="F241" s="112"/>
      <c r="G241" s="290"/>
      <c r="H241" s="280">
        <f t="shared" si="21"/>
        <v>0</v>
      </c>
      <c r="I241" s="280">
        <f t="shared" si="22"/>
        <v>0</v>
      </c>
      <c r="J241" s="280">
        <f t="shared" si="23"/>
        <v>0</v>
      </c>
      <c r="K241" s="120" t="str">
        <f t="shared" si="19"/>
        <v/>
      </c>
      <c r="L241" s="287"/>
      <c r="M241" s="91"/>
      <c r="N241" s="99"/>
      <c r="O241" s="116"/>
      <c r="P241" s="86"/>
      <c r="Q241" s="92"/>
      <c r="R241" s="120">
        <f t="shared" si="20"/>
        <v>0</v>
      </c>
      <c r="S241" s="93"/>
      <c r="T241" s="117"/>
      <c r="U241" s="117"/>
      <c r="V241" s="85"/>
      <c r="W241" s="146"/>
      <c r="X241" s="137"/>
      <c r="Y241" s="137"/>
      <c r="Z241" s="137"/>
      <c r="AA241" s="137"/>
      <c r="AB241" s="137"/>
      <c r="AC241" s="137"/>
      <c r="AD241" s="137"/>
      <c r="AE241" s="137"/>
      <c r="AF241" s="141"/>
      <c r="AG241" s="146"/>
      <c r="AH241" s="146"/>
      <c r="AI241" s="146"/>
      <c r="AJ241" s="146"/>
      <c r="AK241" s="146"/>
      <c r="AL241" s="81"/>
      <c r="AM241" s="81"/>
      <c r="AN241" s="152"/>
      <c r="AO241" s="152"/>
      <c r="AP241" s="152"/>
      <c r="AQ241" s="152"/>
      <c r="AR241" s="81"/>
      <c r="AS241" s="81"/>
      <c r="AT241" s="82"/>
      <c r="AU241" s="82"/>
      <c r="AV241" s="176"/>
      <c r="AW241" s="89"/>
      <c r="AX241" s="89"/>
      <c r="AY241" s="89"/>
      <c r="AZ241" s="89"/>
      <c r="BA241" s="89"/>
      <c r="BB241" s="89"/>
      <c r="BC241" s="89"/>
      <c r="BD241" s="89"/>
      <c r="BE241" s="141"/>
      <c r="BF241" s="176"/>
      <c r="BG241" s="176"/>
      <c r="BH241" s="176"/>
      <c r="BI241" s="176"/>
    </row>
    <row r="242" spans="1:61" s="90" customFormat="1">
      <c r="A242" s="83">
        <v>239</v>
      </c>
      <c r="B242" s="85"/>
      <c r="C242" s="84"/>
      <c r="D242" s="112"/>
      <c r="E242" s="112"/>
      <c r="F242" s="112"/>
      <c r="G242" s="290"/>
      <c r="H242" s="280">
        <f t="shared" si="21"/>
        <v>0</v>
      </c>
      <c r="I242" s="280">
        <f t="shared" si="22"/>
        <v>0</v>
      </c>
      <c r="J242" s="280">
        <f t="shared" si="23"/>
        <v>0</v>
      </c>
      <c r="K242" s="120" t="str">
        <f t="shared" si="19"/>
        <v/>
      </c>
      <c r="L242" s="287"/>
      <c r="M242" s="91"/>
      <c r="N242" s="99"/>
      <c r="O242" s="116"/>
      <c r="P242" s="86"/>
      <c r="Q242" s="92"/>
      <c r="R242" s="120">
        <f t="shared" si="20"/>
        <v>0</v>
      </c>
      <c r="S242" s="93"/>
      <c r="T242" s="117"/>
      <c r="U242" s="117"/>
      <c r="V242" s="85"/>
      <c r="W242" s="146"/>
      <c r="X242" s="137"/>
      <c r="Y242" s="137"/>
      <c r="Z242" s="137"/>
      <c r="AA242" s="137"/>
      <c r="AB242" s="137"/>
      <c r="AC242" s="137"/>
      <c r="AD242" s="137"/>
      <c r="AE242" s="137"/>
      <c r="AF242" s="141"/>
      <c r="AG242" s="146"/>
      <c r="AH242" s="146"/>
      <c r="AI242" s="146"/>
      <c r="AJ242" s="146"/>
      <c r="AK242" s="146"/>
      <c r="AL242" s="81"/>
      <c r="AM242" s="81"/>
      <c r="AN242" s="152"/>
      <c r="AO242" s="152"/>
      <c r="AP242" s="152"/>
      <c r="AQ242" s="152"/>
      <c r="AR242" s="81"/>
      <c r="AS242" s="81"/>
      <c r="AT242" s="82"/>
      <c r="AU242" s="82"/>
      <c r="AV242" s="176"/>
      <c r="AW242" s="89"/>
      <c r="AX242" s="89"/>
      <c r="AY242" s="89"/>
      <c r="AZ242" s="89"/>
      <c r="BA242" s="89"/>
      <c r="BB242" s="89"/>
      <c r="BC242" s="89"/>
      <c r="BD242" s="89"/>
      <c r="BE242" s="141"/>
      <c r="BF242" s="176"/>
      <c r="BG242" s="176"/>
      <c r="BH242" s="176"/>
      <c r="BI242" s="176"/>
    </row>
    <row r="243" spans="1:61" s="90" customFormat="1">
      <c r="A243" s="83">
        <v>240</v>
      </c>
      <c r="B243" s="85"/>
      <c r="C243" s="84"/>
      <c r="D243" s="112"/>
      <c r="E243" s="112"/>
      <c r="F243" s="112"/>
      <c r="G243" s="290"/>
      <c r="H243" s="280">
        <f t="shared" si="21"/>
        <v>0</v>
      </c>
      <c r="I243" s="280">
        <f t="shared" si="22"/>
        <v>0</v>
      </c>
      <c r="J243" s="280">
        <f t="shared" si="23"/>
        <v>0</v>
      </c>
      <c r="K243" s="120" t="str">
        <f t="shared" si="19"/>
        <v/>
      </c>
      <c r="L243" s="287"/>
      <c r="M243" s="91"/>
      <c r="N243" s="99"/>
      <c r="O243" s="116"/>
      <c r="P243" s="86"/>
      <c r="Q243" s="92"/>
      <c r="R243" s="120">
        <f t="shared" si="20"/>
        <v>0</v>
      </c>
      <c r="S243" s="93"/>
      <c r="T243" s="117"/>
      <c r="U243" s="117"/>
      <c r="V243" s="85"/>
      <c r="W243" s="146"/>
      <c r="X243" s="137"/>
      <c r="Y243" s="137"/>
      <c r="Z243" s="137"/>
      <c r="AA243" s="137"/>
      <c r="AB243" s="137"/>
      <c r="AC243" s="137"/>
      <c r="AD243" s="137"/>
      <c r="AE243" s="137"/>
      <c r="AF243" s="141"/>
      <c r="AG243" s="146"/>
      <c r="AH243" s="146"/>
      <c r="AI243" s="146"/>
      <c r="AJ243" s="146"/>
      <c r="AK243" s="146"/>
      <c r="AL243" s="81"/>
      <c r="AM243" s="81"/>
      <c r="AN243" s="152"/>
      <c r="AO243" s="152"/>
      <c r="AP243" s="152"/>
      <c r="AQ243" s="152"/>
      <c r="AR243" s="81"/>
      <c r="AS243" s="81"/>
      <c r="AT243" s="82"/>
      <c r="AU243" s="82"/>
      <c r="AV243" s="176"/>
      <c r="AW243" s="89"/>
      <c r="AX243" s="89"/>
      <c r="AY243" s="89"/>
      <c r="AZ243" s="89"/>
      <c r="BA243" s="89"/>
      <c r="BB243" s="89"/>
      <c r="BC243" s="89"/>
      <c r="BD243" s="89"/>
      <c r="BE243" s="141"/>
      <c r="BF243" s="176"/>
      <c r="BG243" s="176"/>
      <c r="BH243" s="176"/>
      <c r="BI243" s="176"/>
    </row>
    <row r="244" spans="1:61" s="90" customFormat="1">
      <c r="A244" s="83">
        <v>241</v>
      </c>
      <c r="B244" s="85"/>
      <c r="C244" s="84"/>
      <c r="D244" s="112"/>
      <c r="E244" s="112"/>
      <c r="F244" s="112"/>
      <c r="G244" s="290"/>
      <c r="H244" s="280">
        <f t="shared" si="21"/>
        <v>0</v>
      </c>
      <c r="I244" s="280">
        <f t="shared" si="22"/>
        <v>0</v>
      </c>
      <c r="J244" s="280">
        <f t="shared" si="23"/>
        <v>0</v>
      </c>
      <c r="K244" s="120" t="str">
        <f t="shared" si="19"/>
        <v/>
      </c>
      <c r="L244" s="287"/>
      <c r="M244" s="91"/>
      <c r="N244" s="99"/>
      <c r="O244" s="116"/>
      <c r="P244" s="86"/>
      <c r="Q244" s="92"/>
      <c r="R244" s="120">
        <f t="shared" si="20"/>
        <v>0</v>
      </c>
      <c r="S244" s="93"/>
      <c r="T244" s="117"/>
      <c r="U244" s="117"/>
      <c r="V244" s="85"/>
      <c r="W244" s="146"/>
      <c r="X244" s="137"/>
      <c r="Y244" s="137"/>
      <c r="Z244" s="137"/>
      <c r="AA244" s="137"/>
      <c r="AB244" s="137"/>
      <c r="AC244" s="137"/>
      <c r="AD244" s="137"/>
      <c r="AE244" s="137"/>
      <c r="AF244" s="141"/>
      <c r="AG244" s="146"/>
      <c r="AH244" s="146"/>
      <c r="AI244" s="146"/>
      <c r="AJ244" s="146"/>
      <c r="AK244" s="146"/>
      <c r="AL244" s="81"/>
      <c r="AM244" s="81"/>
      <c r="AN244" s="152"/>
      <c r="AO244" s="152"/>
      <c r="AP244" s="152"/>
      <c r="AQ244" s="152"/>
      <c r="AR244" s="81"/>
      <c r="AS244" s="81"/>
      <c r="AT244" s="82"/>
      <c r="AU244" s="82"/>
      <c r="AV244" s="176"/>
      <c r="AW244" s="89"/>
      <c r="AX244" s="89"/>
      <c r="AY244" s="89"/>
      <c r="AZ244" s="89"/>
      <c r="BA244" s="89"/>
      <c r="BB244" s="89"/>
      <c r="BC244" s="89"/>
      <c r="BD244" s="89"/>
      <c r="BE244" s="141"/>
      <c r="BF244" s="176"/>
      <c r="BG244" s="176"/>
      <c r="BH244" s="176"/>
      <c r="BI244" s="176"/>
    </row>
    <row r="245" spans="1:61" s="90" customFormat="1">
      <c r="A245" s="83">
        <v>242</v>
      </c>
      <c r="B245" s="85"/>
      <c r="C245" s="84"/>
      <c r="D245" s="112"/>
      <c r="E245" s="112"/>
      <c r="F245" s="112"/>
      <c r="G245" s="290"/>
      <c r="H245" s="280">
        <f t="shared" si="21"/>
        <v>0</v>
      </c>
      <c r="I245" s="280">
        <f t="shared" si="22"/>
        <v>0</v>
      </c>
      <c r="J245" s="280">
        <f t="shared" si="23"/>
        <v>0</v>
      </c>
      <c r="K245" s="120" t="str">
        <f t="shared" si="19"/>
        <v/>
      </c>
      <c r="L245" s="287"/>
      <c r="M245" s="91"/>
      <c r="N245" s="99"/>
      <c r="O245" s="116"/>
      <c r="P245" s="86"/>
      <c r="Q245" s="92"/>
      <c r="R245" s="120">
        <f t="shared" si="20"/>
        <v>0</v>
      </c>
      <c r="S245" s="93"/>
      <c r="T245" s="117"/>
      <c r="U245" s="117"/>
      <c r="V245" s="85"/>
      <c r="W245" s="146"/>
      <c r="X245" s="137"/>
      <c r="Y245" s="137"/>
      <c r="Z245" s="137"/>
      <c r="AA245" s="137"/>
      <c r="AB245" s="137"/>
      <c r="AC245" s="137"/>
      <c r="AD245" s="137"/>
      <c r="AE245" s="137"/>
      <c r="AF245" s="141"/>
      <c r="AG245" s="146"/>
      <c r="AH245" s="146"/>
      <c r="AI245" s="146"/>
      <c r="AJ245" s="146"/>
      <c r="AK245" s="146"/>
      <c r="AL245" s="81"/>
      <c r="AM245" s="81"/>
      <c r="AN245" s="152"/>
      <c r="AO245" s="152"/>
      <c r="AP245" s="152"/>
      <c r="AQ245" s="152"/>
      <c r="AR245" s="81"/>
      <c r="AS245" s="81"/>
      <c r="AT245" s="82"/>
      <c r="AU245" s="82"/>
      <c r="AV245" s="176"/>
      <c r="AW245" s="89"/>
      <c r="AX245" s="89"/>
      <c r="AY245" s="89"/>
      <c r="AZ245" s="89"/>
      <c r="BA245" s="89"/>
      <c r="BB245" s="89"/>
      <c r="BC245" s="89"/>
      <c r="BD245" s="89"/>
      <c r="BE245" s="141"/>
      <c r="BF245" s="176"/>
      <c r="BG245" s="176"/>
      <c r="BH245" s="176"/>
      <c r="BI245" s="176"/>
    </row>
    <row r="246" spans="1:61" s="90" customFormat="1">
      <c r="A246" s="83">
        <v>243</v>
      </c>
      <c r="B246" s="85"/>
      <c r="C246" s="84"/>
      <c r="D246" s="112"/>
      <c r="E246" s="112"/>
      <c r="F246" s="112"/>
      <c r="G246" s="290"/>
      <c r="H246" s="280">
        <f t="shared" si="21"/>
        <v>0</v>
      </c>
      <c r="I246" s="280">
        <f t="shared" si="22"/>
        <v>0</v>
      </c>
      <c r="J246" s="280">
        <f t="shared" si="23"/>
        <v>0</v>
      </c>
      <c r="K246" s="120" t="str">
        <f t="shared" si="19"/>
        <v/>
      </c>
      <c r="L246" s="287"/>
      <c r="M246" s="91"/>
      <c r="N246" s="99"/>
      <c r="O246" s="116"/>
      <c r="P246" s="86"/>
      <c r="Q246" s="92"/>
      <c r="R246" s="120">
        <f t="shared" si="20"/>
        <v>0</v>
      </c>
      <c r="S246" s="93"/>
      <c r="T246" s="117"/>
      <c r="U246" s="117"/>
      <c r="V246" s="85"/>
      <c r="W246" s="146"/>
      <c r="X246" s="137"/>
      <c r="Y246" s="137"/>
      <c r="Z246" s="137"/>
      <c r="AA246" s="137"/>
      <c r="AB246" s="137"/>
      <c r="AC246" s="137"/>
      <c r="AD246" s="137"/>
      <c r="AE246" s="137"/>
      <c r="AF246" s="141"/>
      <c r="AG246" s="146"/>
      <c r="AH246" s="146"/>
      <c r="AI246" s="146"/>
      <c r="AJ246" s="146"/>
      <c r="AK246" s="146"/>
      <c r="AL246" s="81"/>
      <c r="AM246" s="81"/>
      <c r="AN246" s="152"/>
      <c r="AO246" s="152"/>
      <c r="AP246" s="152"/>
      <c r="AQ246" s="152"/>
      <c r="AR246" s="81"/>
      <c r="AS246" s="81"/>
      <c r="AT246" s="82"/>
      <c r="AU246" s="82"/>
      <c r="AV246" s="176"/>
      <c r="AW246" s="89"/>
      <c r="AX246" s="89"/>
      <c r="AY246" s="89"/>
      <c r="AZ246" s="89"/>
      <c r="BA246" s="89"/>
      <c r="BB246" s="89"/>
      <c r="BC246" s="89"/>
      <c r="BD246" s="89"/>
      <c r="BE246" s="141"/>
      <c r="BF246" s="176"/>
      <c r="BG246" s="176"/>
      <c r="BH246" s="176"/>
      <c r="BI246" s="176"/>
    </row>
    <row r="247" spans="1:61" s="90" customFormat="1">
      <c r="A247" s="83">
        <v>244</v>
      </c>
      <c r="B247" s="85"/>
      <c r="C247" s="84"/>
      <c r="D247" s="112"/>
      <c r="E247" s="112"/>
      <c r="F247" s="112"/>
      <c r="G247" s="290"/>
      <c r="H247" s="280">
        <f t="shared" si="21"/>
        <v>0</v>
      </c>
      <c r="I247" s="280">
        <f t="shared" si="22"/>
        <v>0</v>
      </c>
      <c r="J247" s="280">
        <f t="shared" si="23"/>
        <v>0</v>
      </c>
      <c r="K247" s="120" t="str">
        <f t="shared" si="19"/>
        <v/>
      </c>
      <c r="L247" s="287"/>
      <c r="M247" s="91"/>
      <c r="N247" s="99"/>
      <c r="O247" s="116"/>
      <c r="P247" s="86"/>
      <c r="Q247" s="92"/>
      <c r="R247" s="120">
        <f t="shared" si="20"/>
        <v>0</v>
      </c>
      <c r="S247" s="93"/>
      <c r="T247" s="117"/>
      <c r="U247" s="117"/>
      <c r="V247" s="85"/>
      <c r="W247" s="146"/>
      <c r="X247" s="137"/>
      <c r="Y247" s="137"/>
      <c r="Z247" s="137"/>
      <c r="AA247" s="137"/>
      <c r="AB247" s="137"/>
      <c r="AC247" s="137"/>
      <c r="AD247" s="137"/>
      <c r="AE247" s="137"/>
      <c r="AF247" s="141"/>
      <c r="AG247" s="146"/>
      <c r="AH247" s="146"/>
      <c r="AI247" s="146"/>
      <c r="AJ247" s="146"/>
      <c r="AK247" s="146"/>
      <c r="AL247" s="81"/>
      <c r="AM247" s="81"/>
      <c r="AN247" s="152"/>
      <c r="AO247" s="152"/>
      <c r="AP247" s="152"/>
      <c r="AQ247" s="152"/>
      <c r="AR247" s="81"/>
      <c r="AS247" s="81"/>
      <c r="AT247" s="82"/>
      <c r="AU247" s="82"/>
      <c r="AV247" s="176"/>
      <c r="AW247" s="89"/>
      <c r="AX247" s="89"/>
      <c r="AY247" s="89"/>
      <c r="AZ247" s="89"/>
      <c r="BA247" s="89"/>
      <c r="BB247" s="89"/>
      <c r="BC247" s="89"/>
      <c r="BD247" s="89"/>
      <c r="BE247" s="141"/>
      <c r="BF247" s="176"/>
      <c r="BG247" s="176"/>
      <c r="BH247" s="176"/>
      <c r="BI247" s="176"/>
    </row>
    <row r="248" spans="1:61" s="90" customFormat="1">
      <c r="A248" s="83">
        <v>245</v>
      </c>
      <c r="B248" s="85"/>
      <c r="C248" s="84"/>
      <c r="D248" s="112"/>
      <c r="E248" s="112"/>
      <c r="F248" s="112"/>
      <c r="G248" s="290"/>
      <c r="H248" s="280">
        <f t="shared" si="21"/>
        <v>0</v>
      </c>
      <c r="I248" s="280">
        <f t="shared" si="22"/>
        <v>0</v>
      </c>
      <c r="J248" s="280">
        <f t="shared" si="23"/>
        <v>0</v>
      </c>
      <c r="K248" s="120" t="str">
        <f t="shared" si="19"/>
        <v/>
      </c>
      <c r="L248" s="287"/>
      <c r="M248" s="91"/>
      <c r="N248" s="99"/>
      <c r="O248" s="116"/>
      <c r="P248" s="86"/>
      <c r="Q248" s="92"/>
      <c r="R248" s="120">
        <f t="shared" si="20"/>
        <v>0</v>
      </c>
      <c r="S248" s="93"/>
      <c r="T248" s="117"/>
      <c r="U248" s="117"/>
      <c r="V248" s="85"/>
      <c r="W248" s="146"/>
      <c r="X248" s="137"/>
      <c r="Y248" s="137"/>
      <c r="Z248" s="137"/>
      <c r="AA248" s="137"/>
      <c r="AB248" s="137"/>
      <c r="AC248" s="137"/>
      <c r="AD248" s="137"/>
      <c r="AE248" s="137"/>
      <c r="AF248" s="141"/>
      <c r="AG248" s="146"/>
      <c r="AH248" s="146"/>
      <c r="AI248" s="146"/>
      <c r="AJ248" s="146"/>
      <c r="AK248" s="146"/>
      <c r="AL248" s="81"/>
      <c r="AM248" s="81"/>
      <c r="AN248" s="152"/>
      <c r="AO248" s="152"/>
      <c r="AP248" s="152"/>
      <c r="AQ248" s="152"/>
      <c r="AR248" s="81"/>
      <c r="AS248" s="81"/>
      <c r="AT248" s="82"/>
      <c r="AU248" s="82"/>
      <c r="AV248" s="176"/>
      <c r="AW248" s="89"/>
      <c r="AX248" s="89"/>
      <c r="AY248" s="89"/>
      <c r="AZ248" s="89"/>
      <c r="BA248" s="89"/>
      <c r="BB248" s="89"/>
      <c r="BC248" s="89"/>
      <c r="BD248" s="89"/>
      <c r="BE248" s="141"/>
      <c r="BF248" s="176"/>
      <c r="BG248" s="176"/>
      <c r="BH248" s="176"/>
      <c r="BI248" s="176"/>
    </row>
    <row r="249" spans="1:61" s="90" customFormat="1">
      <c r="A249" s="83">
        <v>246</v>
      </c>
      <c r="B249" s="85"/>
      <c r="C249" s="84"/>
      <c r="D249" s="112"/>
      <c r="E249" s="112"/>
      <c r="F249" s="112"/>
      <c r="G249" s="290"/>
      <c r="H249" s="280">
        <f t="shared" si="21"/>
        <v>0</v>
      </c>
      <c r="I249" s="280">
        <f t="shared" si="22"/>
        <v>0</v>
      </c>
      <c r="J249" s="280">
        <f t="shared" si="23"/>
        <v>0</v>
      </c>
      <c r="K249" s="120" t="str">
        <f t="shared" si="19"/>
        <v/>
      </c>
      <c r="L249" s="287"/>
      <c r="M249" s="91"/>
      <c r="N249" s="99"/>
      <c r="O249" s="116"/>
      <c r="P249" s="86"/>
      <c r="Q249" s="92"/>
      <c r="R249" s="120">
        <f t="shared" si="20"/>
        <v>0</v>
      </c>
      <c r="S249" s="93"/>
      <c r="T249" s="117"/>
      <c r="U249" s="117"/>
      <c r="V249" s="85"/>
      <c r="W249" s="146"/>
      <c r="X249" s="137"/>
      <c r="Y249" s="137"/>
      <c r="Z249" s="137"/>
      <c r="AA249" s="137"/>
      <c r="AB249" s="137"/>
      <c r="AC249" s="137"/>
      <c r="AD249" s="137"/>
      <c r="AE249" s="137"/>
      <c r="AF249" s="141"/>
      <c r="AG249" s="146"/>
      <c r="AH249" s="146"/>
      <c r="AI249" s="146"/>
      <c r="AJ249" s="146"/>
      <c r="AK249" s="146"/>
      <c r="AL249" s="81"/>
      <c r="AM249" s="81"/>
      <c r="AN249" s="152"/>
      <c r="AO249" s="152"/>
      <c r="AP249" s="152"/>
      <c r="AQ249" s="152"/>
      <c r="AR249" s="81"/>
      <c r="AS249" s="81"/>
      <c r="AT249" s="82"/>
      <c r="AU249" s="82"/>
      <c r="AV249" s="176"/>
      <c r="AW249" s="89"/>
      <c r="AX249" s="89"/>
      <c r="AY249" s="89"/>
      <c r="AZ249" s="89"/>
      <c r="BA249" s="89"/>
      <c r="BB249" s="89"/>
      <c r="BC249" s="89"/>
      <c r="BD249" s="89"/>
      <c r="BE249" s="141"/>
      <c r="BF249" s="176"/>
      <c r="BG249" s="176"/>
      <c r="BH249" s="176"/>
      <c r="BI249" s="176"/>
    </row>
    <row r="250" spans="1:61" s="90" customFormat="1">
      <c r="A250" s="83">
        <v>247</v>
      </c>
      <c r="B250" s="85"/>
      <c r="C250" s="84"/>
      <c r="D250" s="112"/>
      <c r="E250" s="112"/>
      <c r="F250" s="112"/>
      <c r="G250" s="290"/>
      <c r="H250" s="280">
        <f t="shared" si="21"/>
        <v>0</v>
      </c>
      <c r="I250" s="280">
        <f t="shared" si="22"/>
        <v>0</v>
      </c>
      <c r="J250" s="280">
        <f t="shared" si="23"/>
        <v>0</v>
      </c>
      <c r="K250" s="120" t="str">
        <f t="shared" si="19"/>
        <v/>
      </c>
      <c r="L250" s="287"/>
      <c r="M250" s="91"/>
      <c r="N250" s="99"/>
      <c r="O250" s="116"/>
      <c r="P250" s="86"/>
      <c r="Q250" s="92"/>
      <c r="R250" s="120">
        <f t="shared" si="20"/>
        <v>0</v>
      </c>
      <c r="S250" s="93"/>
      <c r="T250" s="117"/>
      <c r="U250" s="117"/>
      <c r="V250" s="85"/>
      <c r="W250" s="146"/>
      <c r="X250" s="137"/>
      <c r="Y250" s="137"/>
      <c r="Z250" s="137"/>
      <c r="AA250" s="137"/>
      <c r="AB250" s="137"/>
      <c r="AC250" s="137"/>
      <c r="AD250" s="137"/>
      <c r="AE250" s="137"/>
      <c r="AF250" s="141"/>
      <c r="AG250" s="146"/>
      <c r="AH250" s="146"/>
      <c r="AI250" s="146"/>
      <c r="AJ250" s="146"/>
      <c r="AK250" s="146"/>
      <c r="AL250" s="81"/>
      <c r="AM250" s="81"/>
      <c r="AN250" s="152"/>
      <c r="AO250" s="152"/>
      <c r="AP250" s="152"/>
      <c r="AQ250" s="152"/>
      <c r="AR250" s="81"/>
      <c r="AS250" s="81"/>
      <c r="AT250" s="82"/>
      <c r="AU250" s="82"/>
      <c r="AV250" s="176"/>
      <c r="AW250" s="89"/>
      <c r="AX250" s="89"/>
      <c r="AY250" s="89"/>
      <c r="AZ250" s="89"/>
      <c r="BA250" s="89"/>
      <c r="BB250" s="89"/>
      <c r="BC250" s="89"/>
      <c r="BD250" s="89"/>
      <c r="BE250" s="141"/>
      <c r="BF250" s="176"/>
      <c r="BG250" s="176"/>
      <c r="BH250" s="176"/>
      <c r="BI250" s="176"/>
    </row>
    <row r="251" spans="1:61" s="90" customFormat="1">
      <c r="A251" s="83">
        <v>248</v>
      </c>
      <c r="B251" s="85"/>
      <c r="C251" s="84"/>
      <c r="D251" s="112"/>
      <c r="E251" s="112"/>
      <c r="F251" s="112"/>
      <c r="G251" s="85"/>
      <c r="H251" s="280"/>
      <c r="I251" s="280"/>
      <c r="J251" s="280"/>
      <c r="K251" s="120" t="str">
        <f t="shared" si="19"/>
        <v/>
      </c>
      <c r="L251" s="287"/>
      <c r="M251" s="91"/>
      <c r="N251" s="99"/>
      <c r="O251" s="116"/>
      <c r="P251" s="86"/>
      <c r="Q251" s="92"/>
      <c r="R251" s="120">
        <f t="shared" si="20"/>
        <v>0</v>
      </c>
      <c r="S251" s="93"/>
      <c r="T251" s="117"/>
      <c r="U251" s="117"/>
      <c r="V251" s="85"/>
      <c r="W251" s="146"/>
      <c r="X251" s="137"/>
      <c r="Y251" s="137"/>
      <c r="Z251" s="137"/>
      <c r="AA251" s="137"/>
      <c r="AB251" s="137"/>
      <c r="AC251" s="137"/>
      <c r="AD251" s="137"/>
      <c r="AE251" s="137"/>
      <c r="AF251" s="141"/>
      <c r="AG251" s="146"/>
      <c r="AH251" s="146"/>
      <c r="AI251" s="146"/>
      <c r="AJ251" s="146"/>
      <c r="AK251" s="146"/>
      <c r="AL251" s="81"/>
      <c r="AM251" s="81"/>
      <c r="AN251" s="152"/>
      <c r="AO251" s="152"/>
      <c r="AP251" s="152"/>
      <c r="AQ251" s="152"/>
      <c r="AR251" s="81"/>
      <c r="AS251" s="81"/>
      <c r="AT251" s="82"/>
      <c r="AU251" s="82"/>
      <c r="AV251" s="176"/>
      <c r="AW251" s="89"/>
      <c r="AX251" s="89"/>
      <c r="AY251" s="89"/>
      <c r="AZ251" s="89"/>
      <c r="BA251" s="89"/>
      <c r="BB251" s="89"/>
      <c r="BC251" s="89"/>
      <c r="BD251" s="89"/>
      <c r="BE251" s="141"/>
      <c r="BF251" s="176"/>
      <c r="BG251" s="176"/>
      <c r="BH251" s="176"/>
      <c r="BI251" s="176"/>
    </row>
    <row r="252" spans="1:61" s="90" customFormat="1">
      <c r="A252" s="83">
        <v>249</v>
      </c>
      <c r="B252" s="85"/>
      <c r="C252" s="84"/>
      <c r="D252" s="112"/>
      <c r="E252" s="112"/>
      <c r="F252" s="112"/>
      <c r="G252" s="85"/>
      <c r="H252" s="280"/>
      <c r="I252" s="280"/>
      <c r="J252" s="280"/>
      <c r="K252" s="120" t="str">
        <f t="shared" si="19"/>
        <v/>
      </c>
      <c r="L252" s="287"/>
      <c r="M252" s="91"/>
      <c r="N252" s="99"/>
      <c r="O252" s="116"/>
      <c r="P252" s="86"/>
      <c r="Q252" s="92"/>
      <c r="R252" s="120">
        <f t="shared" si="20"/>
        <v>0</v>
      </c>
      <c r="S252" s="93"/>
      <c r="T252" s="117"/>
      <c r="U252" s="117"/>
      <c r="V252" s="85"/>
      <c r="W252" s="146"/>
      <c r="X252" s="137"/>
      <c r="Y252" s="137"/>
      <c r="Z252" s="137"/>
      <c r="AA252" s="137"/>
      <c r="AB252" s="137"/>
      <c r="AC252" s="137"/>
      <c r="AD252" s="137"/>
      <c r="AE252" s="137"/>
      <c r="AF252" s="141"/>
      <c r="AG252" s="146"/>
      <c r="AH252" s="146"/>
      <c r="AI252" s="146"/>
      <c r="AJ252" s="146"/>
      <c r="AK252" s="146"/>
      <c r="AL252" s="81"/>
      <c r="AM252" s="81"/>
      <c r="AN252" s="152"/>
      <c r="AO252" s="152"/>
      <c r="AP252" s="152"/>
      <c r="AQ252" s="152"/>
      <c r="AR252" s="81"/>
      <c r="AS252" s="81"/>
      <c r="AT252" s="82"/>
      <c r="AU252" s="82"/>
      <c r="AV252" s="176"/>
      <c r="AW252" s="89"/>
      <c r="AX252" s="89"/>
      <c r="AY252" s="89"/>
      <c r="AZ252" s="89"/>
      <c r="BA252" s="89"/>
      <c r="BB252" s="89"/>
      <c r="BC252" s="89"/>
      <c r="BD252" s="89"/>
      <c r="BE252" s="141"/>
      <c r="BF252" s="176"/>
      <c r="BG252" s="176"/>
      <c r="BH252" s="176"/>
      <c r="BI252" s="176"/>
    </row>
    <row r="253" spans="1:61" s="90" customFormat="1">
      <c r="A253" s="83">
        <v>250</v>
      </c>
      <c r="B253" s="85"/>
      <c r="C253" s="84"/>
      <c r="D253" s="112"/>
      <c r="E253" s="112"/>
      <c r="F253" s="112"/>
      <c r="G253" s="85"/>
      <c r="H253" s="280"/>
      <c r="I253" s="280"/>
      <c r="J253" s="280"/>
      <c r="K253" s="120" t="str">
        <f t="shared" si="19"/>
        <v/>
      </c>
      <c r="L253" s="287"/>
      <c r="M253" s="91"/>
      <c r="N253" s="99"/>
      <c r="O253" s="116"/>
      <c r="P253" s="86"/>
      <c r="Q253" s="92"/>
      <c r="R253" s="120">
        <f t="shared" si="20"/>
        <v>0</v>
      </c>
      <c r="S253" s="93"/>
      <c r="T253" s="117"/>
      <c r="U253" s="117"/>
      <c r="V253" s="85"/>
      <c r="W253" s="146"/>
      <c r="X253" s="137"/>
      <c r="Y253" s="137"/>
      <c r="Z253" s="137"/>
      <c r="AA253" s="137"/>
      <c r="AB253" s="137"/>
      <c r="AC253" s="137"/>
      <c r="AD253" s="137"/>
      <c r="AE253" s="137"/>
      <c r="AF253" s="141"/>
      <c r="AG253" s="146"/>
      <c r="AH253" s="146"/>
      <c r="AI253" s="146"/>
      <c r="AJ253" s="146"/>
      <c r="AK253" s="146"/>
      <c r="AL253" s="81"/>
      <c r="AM253" s="81"/>
      <c r="AN253" s="152"/>
      <c r="AO253" s="152"/>
      <c r="AP253" s="152"/>
      <c r="AQ253" s="152"/>
      <c r="AR253" s="81"/>
      <c r="AS253" s="81"/>
      <c r="AT253" s="82"/>
      <c r="AU253" s="82"/>
      <c r="AV253" s="176"/>
      <c r="AW253" s="89"/>
      <c r="AX253" s="89"/>
      <c r="AY253" s="89"/>
      <c r="AZ253" s="89"/>
      <c r="BA253" s="89"/>
      <c r="BB253" s="89"/>
      <c r="BC253" s="89"/>
      <c r="BD253" s="89"/>
      <c r="BE253" s="141"/>
      <c r="BF253" s="176"/>
      <c r="BG253" s="176"/>
      <c r="BH253" s="176"/>
      <c r="BI253" s="176"/>
    </row>
    <row r="254" spans="1:61" s="90" customFormat="1">
      <c r="A254" s="83">
        <v>251</v>
      </c>
      <c r="B254" s="85"/>
      <c r="C254" s="84"/>
      <c r="D254" s="112"/>
      <c r="E254" s="112"/>
      <c r="F254" s="112"/>
      <c r="G254" s="85"/>
      <c r="H254" s="120"/>
      <c r="I254" s="280"/>
      <c r="J254" s="120"/>
      <c r="K254" s="120" t="str">
        <f t="shared" si="19"/>
        <v/>
      </c>
      <c r="L254" s="287"/>
      <c r="M254" s="91"/>
      <c r="N254" s="99"/>
      <c r="O254" s="116"/>
      <c r="P254" s="86"/>
      <c r="Q254" s="92"/>
      <c r="R254" s="120">
        <f t="shared" si="20"/>
        <v>0</v>
      </c>
      <c r="S254" s="93"/>
      <c r="T254" s="117"/>
      <c r="U254" s="117"/>
      <c r="V254" s="85"/>
      <c r="W254" s="146"/>
      <c r="X254" s="137"/>
      <c r="Y254" s="137"/>
      <c r="Z254" s="137"/>
      <c r="AA254" s="137"/>
      <c r="AB254" s="137"/>
      <c r="AC254" s="137"/>
      <c r="AD254" s="137"/>
      <c r="AE254" s="137"/>
      <c r="AF254" s="141"/>
      <c r="AG254" s="146"/>
      <c r="AH254" s="146"/>
      <c r="AI254" s="146"/>
      <c r="AJ254" s="146"/>
      <c r="AK254" s="146"/>
      <c r="AL254" s="81"/>
      <c r="AM254" s="81"/>
      <c r="AN254" s="152"/>
      <c r="AO254" s="152"/>
      <c r="AP254" s="152"/>
      <c r="AQ254" s="152"/>
      <c r="AR254" s="81"/>
      <c r="AS254" s="81"/>
      <c r="AT254" s="82"/>
      <c r="AU254" s="82"/>
      <c r="AV254" s="176"/>
      <c r="AW254" s="89"/>
      <c r="AX254" s="89"/>
      <c r="AY254" s="89"/>
      <c r="AZ254" s="89"/>
      <c r="BA254" s="89"/>
      <c r="BB254" s="89"/>
      <c r="BC254" s="89"/>
      <c r="BD254" s="89"/>
      <c r="BE254" s="141"/>
      <c r="BF254" s="176"/>
      <c r="BG254" s="176"/>
      <c r="BH254" s="176"/>
      <c r="BI254" s="176"/>
    </row>
    <row r="255" spans="1:61" s="90" customFormat="1">
      <c r="A255" s="83">
        <v>252</v>
      </c>
      <c r="B255" s="85"/>
      <c r="C255" s="84"/>
      <c r="D255" s="112"/>
      <c r="E255" s="112"/>
      <c r="F255" s="112"/>
      <c r="G255" s="85"/>
      <c r="H255" s="120"/>
      <c r="I255" s="280"/>
      <c r="J255" s="120"/>
      <c r="K255" s="120" t="str">
        <f t="shared" si="19"/>
        <v/>
      </c>
      <c r="L255" s="287"/>
      <c r="M255" s="91"/>
      <c r="N255" s="99"/>
      <c r="O255" s="116"/>
      <c r="P255" s="86"/>
      <c r="Q255" s="92"/>
      <c r="R255" s="120">
        <f t="shared" si="20"/>
        <v>0</v>
      </c>
      <c r="S255" s="93"/>
      <c r="T255" s="117"/>
      <c r="U255" s="117"/>
      <c r="V255" s="85"/>
      <c r="W255" s="146"/>
      <c r="X255" s="137"/>
      <c r="Y255" s="137"/>
      <c r="Z255" s="137"/>
      <c r="AA255" s="137"/>
      <c r="AB255" s="137"/>
      <c r="AC255" s="137"/>
      <c r="AD255" s="137"/>
      <c r="AE255" s="137"/>
      <c r="AF255" s="141"/>
      <c r="AG255" s="146"/>
      <c r="AH255" s="146"/>
      <c r="AI255" s="146"/>
      <c r="AJ255" s="146"/>
      <c r="AK255" s="146"/>
      <c r="AL255" s="81"/>
      <c r="AM255" s="81"/>
      <c r="AN255" s="152"/>
      <c r="AO255" s="152"/>
      <c r="AP255" s="152"/>
      <c r="AQ255" s="152"/>
      <c r="AR255" s="81"/>
      <c r="AS255" s="81"/>
      <c r="AT255" s="82"/>
      <c r="AU255" s="82"/>
      <c r="AV255" s="176"/>
      <c r="AW255" s="89"/>
      <c r="AX255" s="89"/>
      <c r="AY255" s="89"/>
      <c r="AZ255" s="89"/>
      <c r="BA255" s="89"/>
      <c r="BB255" s="89"/>
      <c r="BC255" s="89"/>
      <c r="BD255" s="89"/>
      <c r="BE255" s="141"/>
      <c r="BF255" s="176"/>
      <c r="BG255" s="176"/>
      <c r="BH255" s="176"/>
      <c r="BI255" s="176"/>
    </row>
    <row r="256" spans="1:61" s="90" customFormat="1">
      <c r="A256" s="83">
        <v>253</v>
      </c>
      <c r="B256" s="85"/>
      <c r="C256" s="84"/>
      <c r="D256" s="112"/>
      <c r="E256" s="112"/>
      <c r="F256" s="112"/>
      <c r="G256" s="85"/>
      <c r="H256" s="120"/>
      <c r="I256" s="280"/>
      <c r="J256" s="120"/>
      <c r="K256" s="120" t="str">
        <f t="shared" si="19"/>
        <v/>
      </c>
      <c r="L256" s="287"/>
      <c r="M256" s="91"/>
      <c r="N256" s="99"/>
      <c r="O256" s="116"/>
      <c r="P256" s="86"/>
      <c r="Q256" s="92"/>
      <c r="R256" s="120">
        <f t="shared" si="20"/>
        <v>0</v>
      </c>
      <c r="S256" s="93"/>
      <c r="T256" s="117"/>
      <c r="U256" s="117"/>
      <c r="V256" s="85"/>
      <c r="W256" s="146"/>
      <c r="X256" s="137"/>
      <c r="Y256" s="137"/>
      <c r="Z256" s="137"/>
      <c r="AA256" s="137"/>
      <c r="AB256" s="137"/>
      <c r="AC256" s="137"/>
      <c r="AD256" s="137"/>
      <c r="AE256" s="137"/>
      <c r="AF256" s="141"/>
      <c r="AG256" s="146"/>
      <c r="AH256" s="146"/>
      <c r="AI256" s="146"/>
      <c r="AJ256" s="146"/>
      <c r="AK256" s="146"/>
      <c r="AL256" s="81"/>
      <c r="AM256" s="81"/>
      <c r="AN256" s="152"/>
      <c r="AO256" s="152"/>
      <c r="AP256" s="152"/>
      <c r="AQ256" s="152"/>
      <c r="AR256" s="81"/>
      <c r="AS256" s="81"/>
      <c r="AT256" s="82"/>
      <c r="AU256" s="82"/>
      <c r="AV256" s="176"/>
      <c r="AW256" s="89"/>
      <c r="AX256" s="89"/>
      <c r="AY256" s="89"/>
      <c r="AZ256" s="89"/>
      <c r="BA256" s="89"/>
      <c r="BB256" s="89"/>
      <c r="BC256" s="89"/>
      <c r="BD256" s="89"/>
      <c r="BE256" s="141"/>
      <c r="BF256" s="176"/>
      <c r="BG256" s="176"/>
      <c r="BH256" s="176"/>
      <c r="BI256" s="176"/>
    </row>
    <row r="257" spans="1:61" s="90" customFormat="1">
      <c r="A257" s="83">
        <v>254</v>
      </c>
      <c r="B257" s="85"/>
      <c r="C257" s="84"/>
      <c r="D257" s="112"/>
      <c r="E257" s="112"/>
      <c r="F257" s="112"/>
      <c r="G257" s="85"/>
      <c r="H257" s="120"/>
      <c r="I257" s="280"/>
      <c r="J257" s="120"/>
      <c r="K257" s="120" t="str">
        <f t="shared" si="19"/>
        <v/>
      </c>
      <c r="L257" s="287"/>
      <c r="M257" s="91"/>
      <c r="N257" s="99"/>
      <c r="O257" s="116"/>
      <c r="P257" s="86"/>
      <c r="Q257" s="92"/>
      <c r="R257" s="120">
        <f t="shared" si="20"/>
        <v>0</v>
      </c>
      <c r="S257" s="93"/>
      <c r="T257" s="117"/>
      <c r="U257" s="117"/>
      <c r="V257" s="85"/>
      <c r="W257" s="146"/>
      <c r="X257" s="137"/>
      <c r="Y257" s="137"/>
      <c r="Z257" s="137"/>
      <c r="AA257" s="137"/>
      <c r="AB257" s="137"/>
      <c r="AC257" s="137"/>
      <c r="AD257" s="137"/>
      <c r="AE257" s="137"/>
      <c r="AF257" s="141"/>
      <c r="AG257" s="146"/>
      <c r="AH257" s="146"/>
      <c r="AI257" s="146"/>
      <c r="AJ257" s="146"/>
      <c r="AK257" s="146"/>
      <c r="AL257" s="81"/>
      <c r="AM257" s="81"/>
      <c r="AN257" s="152"/>
      <c r="AO257" s="152"/>
      <c r="AP257" s="152"/>
      <c r="AQ257" s="152"/>
      <c r="AR257" s="81"/>
      <c r="AS257" s="81"/>
      <c r="AT257" s="82"/>
      <c r="AU257" s="82"/>
      <c r="AV257" s="176"/>
      <c r="AW257" s="89"/>
      <c r="AX257" s="89"/>
      <c r="AY257" s="89"/>
      <c r="AZ257" s="89"/>
      <c r="BA257" s="89"/>
      <c r="BB257" s="89"/>
      <c r="BC257" s="89"/>
      <c r="BD257" s="89"/>
      <c r="BE257" s="141"/>
      <c r="BF257" s="176"/>
      <c r="BG257" s="176"/>
      <c r="BH257" s="176"/>
      <c r="BI257" s="176"/>
    </row>
    <row r="258" spans="1:61" s="90" customFormat="1">
      <c r="A258" s="83">
        <v>255</v>
      </c>
      <c r="B258" s="85"/>
      <c r="C258" s="84"/>
      <c r="D258" s="112"/>
      <c r="E258" s="112"/>
      <c r="F258" s="112"/>
      <c r="G258" s="85"/>
      <c r="H258" s="120"/>
      <c r="I258" s="280"/>
      <c r="J258" s="120"/>
      <c r="K258" s="120" t="str">
        <f t="shared" si="19"/>
        <v/>
      </c>
      <c r="L258" s="287"/>
      <c r="M258" s="91"/>
      <c r="N258" s="99"/>
      <c r="O258" s="116"/>
      <c r="P258" s="86"/>
      <c r="Q258" s="92"/>
      <c r="R258" s="120">
        <f t="shared" si="20"/>
        <v>0</v>
      </c>
      <c r="S258" s="93"/>
      <c r="T258" s="117"/>
      <c r="U258" s="117"/>
      <c r="V258" s="85"/>
      <c r="W258" s="146"/>
      <c r="X258" s="137"/>
      <c r="Y258" s="137"/>
      <c r="Z258" s="137"/>
      <c r="AA258" s="137"/>
      <c r="AB258" s="137"/>
      <c r="AC258" s="137"/>
      <c r="AD258" s="137"/>
      <c r="AE258" s="137"/>
      <c r="AF258" s="141"/>
      <c r="AG258" s="146"/>
      <c r="AH258" s="146"/>
      <c r="AI258" s="146"/>
      <c r="AJ258" s="146"/>
      <c r="AK258" s="146"/>
      <c r="AL258" s="81"/>
      <c r="AM258" s="81"/>
      <c r="AN258" s="152"/>
      <c r="AO258" s="152"/>
      <c r="AP258" s="152"/>
      <c r="AQ258" s="152"/>
      <c r="AR258" s="81"/>
      <c r="AS258" s="81"/>
      <c r="AT258" s="82"/>
      <c r="AU258" s="82"/>
      <c r="AV258" s="176"/>
      <c r="AW258" s="89"/>
      <c r="AX258" s="89"/>
      <c r="AY258" s="89"/>
      <c r="AZ258" s="89"/>
      <c r="BA258" s="89"/>
      <c r="BB258" s="89"/>
      <c r="BC258" s="89"/>
      <c r="BD258" s="89"/>
      <c r="BE258" s="141"/>
      <c r="BF258" s="176"/>
      <c r="BG258" s="176"/>
      <c r="BH258" s="176"/>
      <c r="BI258" s="176"/>
    </row>
    <row r="259" spans="1:61" s="90" customFormat="1">
      <c r="A259" s="83">
        <v>256</v>
      </c>
      <c r="B259" s="85"/>
      <c r="C259" s="84"/>
      <c r="D259" s="112"/>
      <c r="E259" s="112"/>
      <c r="F259" s="112"/>
      <c r="G259" s="85"/>
      <c r="H259" s="120"/>
      <c r="I259" s="280"/>
      <c r="J259" s="120"/>
      <c r="K259" s="120" t="str">
        <f t="shared" si="19"/>
        <v/>
      </c>
      <c r="L259" s="287"/>
      <c r="M259" s="91"/>
      <c r="N259" s="99"/>
      <c r="O259" s="116"/>
      <c r="P259" s="86"/>
      <c r="Q259" s="92"/>
      <c r="R259" s="120">
        <f t="shared" si="20"/>
        <v>0</v>
      </c>
      <c r="S259" s="93"/>
      <c r="T259" s="117"/>
      <c r="U259" s="117"/>
      <c r="V259" s="85"/>
      <c r="W259" s="146"/>
      <c r="X259" s="137"/>
      <c r="Y259" s="137"/>
      <c r="Z259" s="137"/>
      <c r="AA259" s="137"/>
      <c r="AB259" s="137"/>
      <c r="AC259" s="137"/>
      <c r="AD259" s="137"/>
      <c r="AE259" s="137"/>
      <c r="AF259" s="141"/>
      <c r="AG259" s="146"/>
      <c r="AH259" s="146"/>
      <c r="AI259" s="146"/>
      <c r="AJ259" s="146"/>
      <c r="AK259" s="146"/>
      <c r="AL259" s="81"/>
      <c r="AM259" s="81"/>
      <c r="AN259" s="152"/>
      <c r="AO259" s="152"/>
      <c r="AP259" s="152"/>
      <c r="AQ259" s="152"/>
      <c r="AR259" s="81"/>
      <c r="AS259" s="81"/>
      <c r="AT259" s="82"/>
      <c r="AU259" s="82"/>
      <c r="AV259" s="176"/>
      <c r="AW259" s="89"/>
      <c r="AX259" s="89"/>
      <c r="AY259" s="89"/>
      <c r="AZ259" s="89"/>
      <c r="BA259" s="89"/>
      <c r="BB259" s="89"/>
      <c r="BC259" s="89"/>
      <c r="BD259" s="89"/>
      <c r="BE259" s="141"/>
      <c r="BF259" s="176"/>
      <c r="BG259" s="176"/>
      <c r="BH259" s="176"/>
      <c r="BI259" s="176"/>
    </row>
    <row r="260" spans="1:61" s="90" customFormat="1">
      <c r="A260" s="83">
        <v>257</v>
      </c>
      <c r="B260" s="85"/>
      <c r="C260" s="84"/>
      <c r="D260" s="112"/>
      <c r="E260" s="112"/>
      <c r="F260" s="112"/>
      <c r="G260" s="85"/>
      <c r="H260" s="120"/>
      <c r="I260" s="280"/>
      <c r="J260" s="120"/>
      <c r="K260" s="120" t="str">
        <f t="shared" ref="K260:K323" si="24">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287"/>
      <c r="M260" s="91"/>
      <c r="N260" s="99"/>
      <c r="O260" s="116"/>
      <c r="P260" s="86"/>
      <c r="Q260" s="92"/>
      <c r="R260" s="120">
        <f t="shared" si="20"/>
        <v>0</v>
      </c>
      <c r="S260" s="93"/>
      <c r="T260" s="117"/>
      <c r="U260" s="117"/>
      <c r="V260" s="85"/>
      <c r="W260" s="146"/>
      <c r="X260" s="137"/>
      <c r="Y260" s="137"/>
      <c r="Z260" s="137"/>
      <c r="AA260" s="137"/>
      <c r="AB260" s="137"/>
      <c r="AC260" s="137"/>
      <c r="AD260" s="137"/>
      <c r="AE260" s="137"/>
      <c r="AF260" s="141"/>
      <c r="AG260" s="146"/>
      <c r="AH260" s="146"/>
      <c r="AI260" s="146"/>
      <c r="AJ260" s="146"/>
      <c r="AK260" s="146"/>
      <c r="AL260" s="81"/>
      <c r="AM260" s="81"/>
      <c r="AN260" s="152"/>
      <c r="AO260" s="152"/>
      <c r="AP260" s="152"/>
      <c r="AQ260" s="152"/>
      <c r="AR260" s="81"/>
      <c r="AS260" s="81"/>
      <c r="AT260" s="82"/>
      <c r="AU260" s="82"/>
      <c r="AV260" s="176"/>
      <c r="AW260" s="89"/>
      <c r="AX260" s="89"/>
      <c r="AY260" s="89"/>
      <c r="AZ260" s="89"/>
      <c r="BA260" s="89"/>
      <c r="BB260" s="89"/>
      <c r="BC260" s="89"/>
      <c r="BD260" s="89"/>
      <c r="BE260" s="141"/>
      <c r="BF260" s="176"/>
      <c r="BG260" s="176"/>
      <c r="BH260" s="176"/>
      <c r="BI260" s="176"/>
    </row>
    <row r="261" spans="1:61" s="90" customFormat="1">
      <c r="A261" s="83">
        <v>258</v>
      </c>
      <c r="B261" s="85"/>
      <c r="C261" s="84"/>
      <c r="D261" s="112"/>
      <c r="E261" s="112"/>
      <c r="F261" s="112"/>
      <c r="G261" s="85"/>
      <c r="H261" s="120"/>
      <c r="I261" s="280"/>
      <c r="J261" s="120"/>
      <c r="K261" s="120" t="str">
        <f t="shared" si="24"/>
        <v/>
      </c>
      <c r="L261" s="287"/>
      <c r="M261" s="91"/>
      <c r="N261" s="99"/>
      <c r="O261" s="116"/>
      <c r="P261" s="86"/>
      <c r="Q261" s="92"/>
      <c r="R261" s="120">
        <f t="shared" ref="R261:R324" si="25">IFERROR(SUM(F261-D261),"NA")</f>
        <v>0</v>
      </c>
      <c r="S261" s="93"/>
      <c r="T261" s="117"/>
      <c r="U261" s="117"/>
      <c r="V261" s="85"/>
      <c r="W261" s="146"/>
      <c r="X261" s="137"/>
      <c r="Y261" s="137"/>
      <c r="Z261" s="137"/>
      <c r="AA261" s="137"/>
      <c r="AB261" s="137"/>
      <c r="AC261" s="137"/>
      <c r="AD261" s="137"/>
      <c r="AE261" s="137"/>
      <c r="AF261" s="141"/>
      <c r="AG261" s="146"/>
      <c r="AH261" s="146"/>
      <c r="AI261" s="146"/>
      <c r="AJ261" s="146"/>
      <c r="AK261" s="146"/>
      <c r="AL261" s="81"/>
      <c r="AM261" s="81"/>
      <c r="AN261" s="152"/>
      <c r="AO261" s="152"/>
      <c r="AP261" s="152"/>
      <c r="AQ261" s="152"/>
      <c r="AR261" s="81"/>
      <c r="AS261" s="81"/>
      <c r="AT261" s="82"/>
      <c r="AU261" s="82"/>
      <c r="AV261" s="176"/>
      <c r="AW261" s="89"/>
      <c r="AX261" s="89"/>
      <c r="AY261" s="89"/>
      <c r="AZ261" s="89"/>
      <c r="BA261" s="89"/>
      <c r="BB261" s="89"/>
      <c r="BC261" s="89"/>
      <c r="BD261" s="89"/>
      <c r="BE261" s="141"/>
      <c r="BF261" s="176"/>
      <c r="BG261" s="176"/>
      <c r="BH261" s="176"/>
      <c r="BI261" s="176"/>
    </row>
    <row r="262" spans="1:61" s="90" customFormat="1">
      <c r="A262" s="83">
        <v>259</v>
      </c>
      <c r="B262" s="85"/>
      <c r="C262" s="84"/>
      <c r="D262" s="112"/>
      <c r="E262" s="112"/>
      <c r="F262" s="112"/>
      <c r="G262" s="85"/>
      <c r="H262" s="120"/>
      <c r="I262" s="280"/>
      <c r="J262" s="120"/>
      <c r="K262" s="120" t="str">
        <f t="shared" si="24"/>
        <v/>
      </c>
      <c r="L262" s="287"/>
      <c r="M262" s="91"/>
      <c r="N262" s="99"/>
      <c r="O262" s="116"/>
      <c r="P262" s="86"/>
      <c r="Q262" s="92"/>
      <c r="R262" s="120">
        <f t="shared" si="25"/>
        <v>0</v>
      </c>
      <c r="S262" s="93"/>
      <c r="T262" s="117"/>
      <c r="U262" s="117"/>
      <c r="V262" s="85"/>
      <c r="W262" s="146"/>
      <c r="X262" s="137"/>
      <c r="Y262" s="137"/>
      <c r="Z262" s="137"/>
      <c r="AA262" s="137"/>
      <c r="AB262" s="137"/>
      <c r="AC262" s="137"/>
      <c r="AD262" s="137"/>
      <c r="AE262" s="137"/>
      <c r="AF262" s="141"/>
      <c r="AG262" s="146"/>
      <c r="AH262" s="146"/>
      <c r="AI262" s="146"/>
      <c r="AJ262" s="146"/>
      <c r="AK262" s="146"/>
      <c r="AL262" s="81"/>
      <c r="AM262" s="81"/>
      <c r="AN262" s="152"/>
      <c r="AO262" s="152"/>
      <c r="AP262" s="152"/>
      <c r="AQ262" s="152"/>
      <c r="AR262" s="81"/>
      <c r="AS262" s="81"/>
      <c r="AT262" s="82"/>
      <c r="AU262" s="82"/>
      <c r="AV262" s="176"/>
      <c r="AW262" s="89"/>
      <c r="AX262" s="89"/>
      <c r="AY262" s="89"/>
      <c r="AZ262" s="89"/>
      <c r="BA262" s="89"/>
      <c r="BB262" s="89"/>
      <c r="BC262" s="89"/>
      <c r="BD262" s="89"/>
      <c r="BE262" s="141"/>
      <c r="BF262" s="176"/>
      <c r="BG262" s="176"/>
      <c r="BH262" s="176"/>
      <c r="BI262" s="176"/>
    </row>
    <row r="263" spans="1:61" s="90" customFormat="1">
      <c r="A263" s="83">
        <v>260</v>
      </c>
      <c r="B263" s="85"/>
      <c r="C263" s="84"/>
      <c r="D263" s="112"/>
      <c r="E263" s="112"/>
      <c r="F263" s="112"/>
      <c r="G263" s="85"/>
      <c r="H263" s="120"/>
      <c r="I263" s="280"/>
      <c r="J263" s="120"/>
      <c r="K263" s="120" t="str">
        <f t="shared" si="24"/>
        <v/>
      </c>
      <c r="L263" s="287"/>
      <c r="M263" s="91"/>
      <c r="N263" s="99"/>
      <c r="O263" s="116"/>
      <c r="P263" s="86"/>
      <c r="Q263" s="92"/>
      <c r="R263" s="120">
        <f t="shared" si="25"/>
        <v>0</v>
      </c>
      <c r="S263" s="93"/>
      <c r="T263" s="117"/>
      <c r="U263" s="117"/>
      <c r="V263" s="85"/>
      <c r="W263" s="146"/>
      <c r="X263" s="137"/>
      <c r="Y263" s="137"/>
      <c r="Z263" s="137"/>
      <c r="AA263" s="137"/>
      <c r="AB263" s="137"/>
      <c r="AC263" s="137"/>
      <c r="AD263" s="137"/>
      <c r="AE263" s="137"/>
      <c r="AF263" s="141"/>
      <c r="AG263" s="146"/>
      <c r="AH263" s="146"/>
      <c r="AI263" s="146"/>
      <c r="AJ263" s="146"/>
      <c r="AK263" s="146"/>
      <c r="AL263" s="81"/>
      <c r="AM263" s="81"/>
      <c r="AN263" s="152"/>
      <c r="AO263" s="152"/>
      <c r="AP263" s="152"/>
      <c r="AQ263" s="152"/>
      <c r="AR263" s="81"/>
      <c r="AS263" s="81"/>
      <c r="AT263" s="82"/>
      <c r="AU263" s="82"/>
      <c r="AV263" s="176"/>
      <c r="AW263" s="89"/>
      <c r="AX263" s="89"/>
      <c r="AY263" s="89"/>
      <c r="AZ263" s="89"/>
      <c r="BA263" s="89"/>
      <c r="BB263" s="89"/>
      <c r="BC263" s="89"/>
      <c r="BD263" s="89"/>
      <c r="BE263" s="141"/>
      <c r="BF263" s="176"/>
      <c r="BG263" s="176"/>
      <c r="BH263" s="176"/>
      <c r="BI263" s="176"/>
    </row>
    <row r="264" spans="1:61" s="90" customFormat="1">
      <c r="A264" s="83">
        <v>261</v>
      </c>
      <c r="B264" s="85"/>
      <c r="C264" s="84"/>
      <c r="D264" s="112"/>
      <c r="E264" s="112"/>
      <c r="F264" s="112"/>
      <c r="G264" s="85"/>
      <c r="H264" s="120"/>
      <c r="I264" s="280"/>
      <c r="J264" s="120"/>
      <c r="K264" s="120" t="str">
        <f t="shared" si="24"/>
        <v/>
      </c>
      <c r="L264" s="287"/>
      <c r="M264" s="91"/>
      <c r="N264" s="99"/>
      <c r="O264" s="116"/>
      <c r="P264" s="86"/>
      <c r="Q264" s="92"/>
      <c r="R264" s="120">
        <f t="shared" si="25"/>
        <v>0</v>
      </c>
      <c r="S264" s="93"/>
      <c r="T264" s="117"/>
      <c r="U264" s="117"/>
      <c r="V264" s="85"/>
      <c r="W264" s="146"/>
      <c r="X264" s="137"/>
      <c r="Y264" s="137"/>
      <c r="Z264" s="137"/>
      <c r="AA264" s="137"/>
      <c r="AB264" s="137"/>
      <c r="AC264" s="137"/>
      <c r="AD264" s="137"/>
      <c r="AE264" s="137"/>
      <c r="AF264" s="141"/>
      <c r="AG264" s="146"/>
      <c r="AH264" s="146"/>
      <c r="AI264" s="146"/>
      <c r="AJ264" s="146"/>
      <c r="AK264" s="146"/>
      <c r="AL264" s="81"/>
      <c r="AM264" s="81"/>
      <c r="AN264" s="152"/>
      <c r="AO264" s="152"/>
      <c r="AP264" s="152"/>
      <c r="AQ264" s="152"/>
      <c r="AR264" s="81"/>
      <c r="AS264" s="81"/>
      <c r="AT264" s="82"/>
      <c r="AU264" s="82"/>
      <c r="AV264" s="176"/>
      <c r="AW264" s="89"/>
      <c r="AX264" s="89"/>
      <c r="AY264" s="89"/>
      <c r="AZ264" s="89"/>
      <c r="BA264" s="89"/>
      <c r="BB264" s="89"/>
      <c r="BC264" s="89"/>
      <c r="BD264" s="89"/>
      <c r="BE264" s="141"/>
      <c r="BF264" s="176"/>
      <c r="BG264" s="176"/>
      <c r="BH264" s="176"/>
      <c r="BI264" s="176"/>
    </row>
    <row r="265" spans="1:61" s="90" customFormat="1">
      <c r="A265" s="83">
        <v>262</v>
      </c>
      <c r="B265" s="85"/>
      <c r="C265" s="84"/>
      <c r="D265" s="112"/>
      <c r="E265" s="112"/>
      <c r="F265" s="112"/>
      <c r="G265" s="85"/>
      <c r="H265" s="120"/>
      <c r="I265" s="280"/>
      <c r="J265" s="120"/>
      <c r="K265" s="120" t="str">
        <f t="shared" si="24"/>
        <v/>
      </c>
      <c r="L265" s="287"/>
      <c r="M265" s="91"/>
      <c r="N265" s="99"/>
      <c r="O265" s="116"/>
      <c r="P265" s="86"/>
      <c r="Q265" s="92"/>
      <c r="R265" s="120">
        <f t="shared" si="25"/>
        <v>0</v>
      </c>
      <c r="S265" s="93"/>
      <c r="T265" s="117"/>
      <c r="U265" s="117"/>
      <c r="V265" s="85"/>
      <c r="W265" s="146"/>
      <c r="X265" s="137"/>
      <c r="Y265" s="137"/>
      <c r="Z265" s="137"/>
      <c r="AA265" s="137"/>
      <c r="AB265" s="137"/>
      <c r="AC265" s="137"/>
      <c r="AD265" s="137"/>
      <c r="AE265" s="137"/>
      <c r="AF265" s="141"/>
      <c r="AG265" s="146"/>
      <c r="AH265" s="146"/>
      <c r="AI265" s="146"/>
      <c r="AJ265" s="146"/>
      <c r="AK265" s="146"/>
      <c r="AL265" s="81"/>
      <c r="AM265" s="81"/>
      <c r="AN265" s="152"/>
      <c r="AO265" s="152"/>
      <c r="AP265" s="152"/>
      <c r="AQ265" s="152"/>
      <c r="AR265" s="81"/>
      <c r="AS265" s="81"/>
      <c r="AT265" s="82"/>
      <c r="AU265" s="82"/>
      <c r="AV265" s="176"/>
      <c r="AW265" s="89"/>
      <c r="AX265" s="89"/>
      <c r="AY265" s="89"/>
      <c r="AZ265" s="89"/>
      <c r="BA265" s="89"/>
      <c r="BB265" s="89"/>
      <c r="BC265" s="89"/>
      <c r="BD265" s="89"/>
      <c r="BE265" s="141"/>
      <c r="BF265" s="176"/>
      <c r="BG265" s="176"/>
      <c r="BH265" s="176"/>
      <c r="BI265" s="176"/>
    </row>
    <row r="266" spans="1:61" s="90" customFormat="1">
      <c r="A266" s="83"/>
      <c r="B266" s="85"/>
      <c r="C266" s="84"/>
      <c r="D266" s="112"/>
      <c r="E266" s="112"/>
      <c r="F266" s="112"/>
      <c r="G266" s="85"/>
      <c r="H266" s="120"/>
      <c r="I266" s="280"/>
      <c r="J266" s="120"/>
      <c r="K266" s="120" t="str">
        <f t="shared" si="24"/>
        <v/>
      </c>
      <c r="L266" s="287"/>
      <c r="M266" s="91"/>
      <c r="N266" s="99"/>
      <c r="O266" s="116"/>
      <c r="P266" s="86"/>
      <c r="Q266" s="92"/>
      <c r="R266" s="120">
        <f t="shared" si="25"/>
        <v>0</v>
      </c>
      <c r="S266" s="93"/>
      <c r="T266" s="117"/>
      <c r="U266" s="117"/>
      <c r="V266" s="85"/>
      <c r="W266" s="146"/>
      <c r="X266" s="137"/>
      <c r="Y266" s="137"/>
      <c r="Z266" s="137"/>
      <c r="AA266" s="137"/>
      <c r="AB266" s="137"/>
      <c r="AC266" s="137"/>
      <c r="AD266" s="137"/>
      <c r="AE266" s="137"/>
      <c r="AF266" s="141"/>
      <c r="AG266" s="146"/>
      <c r="AH266" s="146"/>
      <c r="AI266" s="146"/>
      <c r="AJ266" s="146"/>
      <c r="AK266" s="146"/>
      <c r="AL266" s="81"/>
      <c r="AM266" s="81"/>
      <c r="AN266" s="152"/>
      <c r="AO266" s="152"/>
      <c r="AP266" s="152"/>
      <c r="AQ266" s="152"/>
      <c r="AR266" s="81"/>
      <c r="AS266" s="81"/>
      <c r="AT266" s="82"/>
      <c r="AU266" s="82"/>
      <c r="AV266" s="176"/>
      <c r="AW266" s="89"/>
      <c r="AX266" s="89"/>
      <c r="AY266" s="89"/>
      <c r="AZ266" s="89"/>
      <c r="BA266" s="89"/>
      <c r="BB266" s="89"/>
      <c r="BC266" s="89"/>
      <c r="BD266" s="89"/>
      <c r="BE266" s="141"/>
      <c r="BF266" s="176"/>
      <c r="BG266" s="176"/>
      <c r="BH266" s="176"/>
      <c r="BI266" s="176"/>
    </row>
    <row r="267" spans="1:61" s="90" customFormat="1">
      <c r="A267" s="83"/>
      <c r="B267" s="85"/>
      <c r="C267" s="84"/>
      <c r="D267" s="112"/>
      <c r="E267" s="112"/>
      <c r="F267" s="112"/>
      <c r="G267" s="85"/>
      <c r="H267" s="120"/>
      <c r="I267" s="280"/>
      <c r="J267" s="120"/>
      <c r="K267" s="120" t="str">
        <f t="shared" si="24"/>
        <v/>
      </c>
      <c r="L267" s="287"/>
      <c r="M267" s="91"/>
      <c r="N267" s="99"/>
      <c r="O267" s="116"/>
      <c r="P267" s="86"/>
      <c r="Q267" s="92"/>
      <c r="R267" s="120">
        <f t="shared" si="25"/>
        <v>0</v>
      </c>
      <c r="S267" s="93"/>
      <c r="T267" s="117"/>
      <c r="U267" s="117"/>
      <c r="V267" s="85"/>
      <c r="W267" s="146"/>
      <c r="X267" s="137"/>
      <c r="Y267" s="137"/>
      <c r="Z267" s="137"/>
      <c r="AA267" s="137"/>
      <c r="AB267" s="137"/>
      <c r="AC267" s="137"/>
      <c r="AD267" s="137"/>
      <c r="AE267" s="137"/>
      <c r="AF267" s="141"/>
      <c r="AG267" s="146"/>
      <c r="AH267" s="146"/>
      <c r="AI267" s="146"/>
      <c r="AJ267" s="146"/>
      <c r="AK267" s="146"/>
      <c r="AL267" s="81"/>
      <c r="AM267" s="81"/>
      <c r="AN267" s="152"/>
      <c r="AO267" s="152"/>
      <c r="AP267" s="152"/>
      <c r="AQ267" s="152"/>
      <c r="AR267" s="81"/>
      <c r="AS267" s="81"/>
      <c r="AT267" s="82"/>
      <c r="AU267" s="82"/>
      <c r="AV267" s="176"/>
      <c r="AW267" s="89"/>
      <c r="AX267" s="89"/>
      <c r="AY267" s="89"/>
      <c r="AZ267" s="89"/>
      <c r="BA267" s="89"/>
      <c r="BB267" s="89"/>
      <c r="BC267" s="89"/>
      <c r="BD267" s="89"/>
      <c r="BE267" s="141"/>
      <c r="BF267" s="176"/>
      <c r="BG267" s="176"/>
      <c r="BH267" s="176"/>
      <c r="BI267" s="176"/>
    </row>
    <row r="268" spans="1:61" s="90" customFormat="1">
      <c r="A268" s="83"/>
      <c r="B268" s="85"/>
      <c r="C268" s="84"/>
      <c r="D268" s="112"/>
      <c r="E268" s="112"/>
      <c r="F268" s="112"/>
      <c r="G268" s="85"/>
      <c r="H268" s="120"/>
      <c r="I268" s="280"/>
      <c r="J268" s="120"/>
      <c r="K268" s="120" t="str">
        <f t="shared" si="24"/>
        <v/>
      </c>
      <c r="L268" s="287"/>
      <c r="M268" s="91"/>
      <c r="N268" s="99"/>
      <c r="O268" s="116"/>
      <c r="P268" s="86"/>
      <c r="Q268" s="92"/>
      <c r="R268" s="120">
        <f t="shared" si="25"/>
        <v>0</v>
      </c>
      <c r="S268" s="93"/>
      <c r="T268" s="117"/>
      <c r="U268" s="117"/>
      <c r="V268" s="85"/>
      <c r="W268" s="146"/>
      <c r="X268" s="137"/>
      <c r="Y268" s="137"/>
      <c r="Z268" s="137"/>
      <c r="AA268" s="137"/>
      <c r="AB268" s="137"/>
      <c r="AC268" s="137"/>
      <c r="AD268" s="137"/>
      <c r="AE268" s="137"/>
      <c r="AF268" s="141"/>
      <c r="AG268" s="146"/>
      <c r="AH268" s="146"/>
      <c r="AI268" s="146"/>
      <c r="AJ268" s="146"/>
      <c r="AK268" s="146"/>
      <c r="AL268" s="81"/>
      <c r="AM268" s="81"/>
      <c r="AN268" s="152"/>
      <c r="AO268" s="152"/>
      <c r="AP268" s="152"/>
      <c r="AQ268" s="152"/>
      <c r="AR268" s="81"/>
      <c r="AS268" s="81"/>
      <c r="AT268" s="82"/>
      <c r="AU268" s="82"/>
      <c r="AV268" s="176"/>
      <c r="AW268" s="89"/>
      <c r="AX268" s="89"/>
      <c r="AY268" s="89"/>
      <c r="AZ268" s="89"/>
      <c r="BA268" s="89"/>
      <c r="BB268" s="89"/>
      <c r="BC268" s="89"/>
      <c r="BD268" s="89"/>
      <c r="BE268" s="141"/>
      <c r="BF268" s="176"/>
      <c r="BG268" s="176"/>
      <c r="BH268" s="176"/>
      <c r="BI268" s="176"/>
    </row>
    <row r="269" spans="1:61" s="90" customFormat="1">
      <c r="A269" s="83"/>
      <c r="B269" s="85"/>
      <c r="C269" s="84"/>
      <c r="D269" s="112"/>
      <c r="E269" s="112"/>
      <c r="F269" s="112"/>
      <c r="G269" s="85"/>
      <c r="H269" s="120"/>
      <c r="I269" s="280"/>
      <c r="J269" s="120"/>
      <c r="K269" s="120" t="str">
        <f t="shared" si="24"/>
        <v/>
      </c>
      <c r="L269" s="287"/>
      <c r="M269" s="91"/>
      <c r="N269" s="99"/>
      <c r="O269" s="116"/>
      <c r="P269" s="86"/>
      <c r="Q269" s="92"/>
      <c r="R269" s="120">
        <f t="shared" si="25"/>
        <v>0</v>
      </c>
      <c r="S269" s="93"/>
      <c r="T269" s="117"/>
      <c r="U269" s="117"/>
      <c r="V269" s="85"/>
      <c r="W269" s="146"/>
      <c r="X269" s="137"/>
      <c r="Y269" s="137"/>
      <c r="Z269" s="137"/>
      <c r="AA269" s="137"/>
      <c r="AB269" s="137"/>
      <c r="AC269" s="137"/>
      <c r="AD269" s="137"/>
      <c r="AE269" s="137"/>
      <c r="AF269" s="141"/>
      <c r="AG269" s="146"/>
      <c r="AH269" s="146"/>
      <c r="AI269" s="146"/>
      <c r="AJ269" s="146"/>
      <c r="AK269" s="146"/>
      <c r="AL269" s="81"/>
      <c r="AM269" s="81"/>
      <c r="AN269" s="152"/>
      <c r="AO269" s="152"/>
      <c r="AP269" s="152"/>
      <c r="AQ269" s="152"/>
      <c r="AR269" s="81"/>
      <c r="AS269" s="81"/>
      <c r="AT269" s="82"/>
      <c r="AU269" s="82"/>
      <c r="AV269" s="176"/>
      <c r="AW269" s="89"/>
      <c r="AX269" s="89"/>
      <c r="AY269" s="89"/>
      <c r="AZ269" s="89"/>
      <c r="BA269" s="89"/>
      <c r="BB269" s="89"/>
      <c r="BC269" s="89"/>
      <c r="BD269" s="89"/>
      <c r="BE269" s="141"/>
      <c r="BF269" s="176"/>
      <c r="BG269" s="176"/>
      <c r="BH269" s="176"/>
      <c r="BI269" s="176"/>
    </row>
    <row r="270" spans="1:61" s="90" customFormat="1">
      <c r="A270" s="83"/>
      <c r="B270" s="85"/>
      <c r="C270" s="84"/>
      <c r="D270" s="112"/>
      <c r="E270" s="112"/>
      <c r="F270" s="112"/>
      <c r="G270" s="85"/>
      <c r="H270" s="120"/>
      <c r="I270" s="280"/>
      <c r="J270" s="120"/>
      <c r="K270" s="120" t="str">
        <f t="shared" si="24"/>
        <v/>
      </c>
      <c r="L270" s="287"/>
      <c r="M270" s="91"/>
      <c r="N270" s="99"/>
      <c r="O270" s="116"/>
      <c r="P270" s="86"/>
      <c r="Q270" s="92"/>
      <c r="R270" s="120">
        <f t="shared" si="25"/>
        <v>0</v>
      </c>
      <c r="S270" s="93"/>
      <c r="T270" s="117"/>
      <c r="U270" s="117"/>
      <c r="V270" s="85"/>
      <c r="W270" s="146"/>
      <c r="X270" s="137"/>
      <c r="Y270" s="137"/>
      <c r="Z270" s="137"/>
      <c r="AA270" s="137"/>
      <c r="AB270" s="137"/>
      <c r="AC270" s="137"/>
      <c r="AD270" s="137"/>
      <c r="AE270" s="137"/>
      <c r="AF270" s="141"/>
      <c r="AG270" s="146"/>
      <c r="AH270" s="146"/>
      <c r="AI270" s="146"/>
      <c r="AJ270" s="146"/>
      <c r="AK270" s="146"/>
      <c r="AL270" s="81"/>
      <c r="AM270" s="81"/>
      <c r="AN270" s="152"/>
      <c r="AO270" s="152"/>
      <c r="AP270" s="152"/>
      <c r="AQ270" s="152"/>
      <c r="AR270" s="81"/>
      <c r="AS270" s="81"/>
      <c r="AT270" s="82"/>
      <c r="AU270" s="82"/>
      <c r="AV270" s="176"/>
      <c r="AW270" s="89"/>
      <c r="AX270" s="89"/>
      <c r="AY270" s="89"/>
      <c r="AZ270" s="89"/>
      <c r="BA270" s="89"/>
      <c r="BB270" s="89"/>
      <c r="BC270" s="89"/>
      <c r="BD270" s="89"/>
      <c r="BE270" s="141"/>
      <c r="BF270" s="176"/>
      <c r="BG270" s="176"/>
      <c r="BH270" s="176"/>
      <c r="BI270" s="176"/>
    </row>
    <row r="271" spans="1:61" s="90" customFormat="1">
      <c r="A271" s="83"/>
      <c r="B271" s="85"/>
      <c r="C271" s="84"/>
      <c r="D271" s="112"/>
      <c r="E271" s="112"/>
      <c r="F271" s="112"/>
      <c r="G271" s="85"/>
      <c r="H271" s="120"/>
      <c r="I271" s="280"/>
      <c r="J271" s="120"/>
      <c r="K271" s="120" t="str">
        <f t="shared" si="24"/>
        <v/>
      </c>
      <c r="L271" s="287"/>
      <c r="M271" s="91"/>
      <c r="N271" s="99"/>
      <c r="O271" s="116"/>
      <c r="P271" s="86"/>
      <c r="Q271" s="92"/>
      <c r="R271" s="120">
        <f t="shared" si="25"/>
        <v>0</v>
      </c>
      <c r="S271" s="93"/>
      <c r="T271" s="117"/>
      <c r="U271" s="117"/>
      <c r="V271" s="85"/>
      <c r="W271" s="146"/>
      <c r="X271" s="137"/>
      <c r="Y271" s="137"/>
      <c r="Z271" s="137"/>
      <c r="AA271" s="137"/>
      <c r="AB271" s="137"/>
      <c r="AC271" s="137"/>
      <c r="AD271" s="137"/>
      <c r="AE271" s="137"/>
      <c r="AF271" s="141"/>
      <c r="AG271" s="146"/>
      <c r="AH271" s="146"/>
      <c r="AI271" s="146"/>
      <c r="AJ271" s="146"/>
      <c r="AK271" s="146"/>
      <c r="AL271" s="81"/>
      <c r="AM271" s="81"/>
      <c r="AN271" s="152"/>
      <c r="AO271" s="152"/>
      <c r="AP271" s="152"/>
      <c r="AQ271" s="152"/>
      <c r="AR271" s="81"/>
      <c r="AS271" s="81"/>
      <c r="AT271" s="82"/>
      <c r="AU271" s="82"/>
      <c r="AV271" s="176"/>
      <c r="AW271" s="89"/>
      <c r="AX271" s="89"/>
      <c r="AY271" s="89"/>
      <c r="AZ271" s="89"/>
      <c r="BA271" s="89"/>
      <c r="BB271" s="89"/>
      <c r="BC271" s="89"/>
      <c r="BD271" s="89"/>
      <c r="BE271" s="141"/>
      <c r="BF271" s="176"/>
      <c r="BG271" s="176"/>
      <c r="BH271" s="176"/>
      <c r="BI271" s="176"/>
    </row>
    <row r="272" spans="1:61" s="90" customFormat="1">
      <c r="A272" s="83"/>
      <c r="B272" s="85"/>
      <c r="C272" s="84"/>
      <c r="D272" s="112"/>
      <c r="E272" s="112"/>
      <c r="F272" s="112"/>
      <c r="G272" s="85"/>
      <c r="H272" s="120"/>
      <c r="I272" s="280"/>
      <c r="J272" s="120"/>
      <c r="K272" s="120" t="str">
        <f t="shared" si="24"/>
        <v/>
      </c>
      <c r="L272" s="287"/>
      <c r="M272" s="91"/>
      <c r="N272" s="99"/>
      <c r="O272" s="116"/>
      <c r="P272" s="86"/>
      <c r="Q272" s="92"/>
      <c r="R272" s="120">
        <f t="shared" si="25"/>
        <v>0</v>
      </c>
      <c r="S272" s="93"/>
      <c r="T272" s="117"/>
      <c r="U272" s="117"/>
      <c r="V272" s="85"/>
      <c r="W272" s="146"/>
      <c r="X272" s="137"/>
      <c r="Y272" s="137"/>
      <c r="Z272" s="137"/>
      <c r="AA272" s="137"/>
      <c r="AB272" s="137"/>
      <c r="AC272" s="137"/>
      <c r="AD272" s="137"/>
      <c r="AE272" s="137"/>
      <c r="AF272" s="141"/>
      <c r="AG272" s="146"/>
      <c r="AH272" s="146"/>
      <c r="AI272" s="146"/>
      <c r="AJ272" s="146"/>
      <c r="AK272" s="146"/>
      <c r="AL272" s="81"/>
      <c r="AM272" s="81"/>
      <c r="AN272" s="152"/>
      <c r="AO272" s="152"/>
      <c r="AP272" s="152"/>
      <c r="AQ272" s="152"/>
      <c r="AR272" s="81"/>
      <c r="AS272" s="81"/>
      <c r="AT272" s="82"/>
      <c r="AU272" s="82"/>
      <c r="AV272" s="176"/>
      <c r="AW272" s="89"/>
      <c r="AX272" s="89"/>
      <c r="AY272" s="89"/>
      <c r="AZ272" s="89"/>
      <c r="BA272" s="89"/>
      <c r="BB272" s="89"/>
      <c r="BC272" s="89"/>
      <c r="BD272" s="89"/>
      <c r="BE272" s="141"/>
      <c r="BF272" s="176"/>
      <c r="BG272" s="176"/>
      <c r="BH272" s="176"/>
      <c r="BI272" s="176"/>
    </row>
    <row r="273" spans="1:61" s="90" customFormat="1">
      <c r="A273" s="83"/>
      <c r="B273" s="85"/>
      <c r="C273" s="84"/>
      <c r="D273" s="112"/>
      <c r="E273" s="112"/>
      <c r="F273" s="112"/>
      <c r="G273" s="85"/>
      <c r="H273" s="120"/>
      <c r="I273" s="280"/>
      <c r="J273" s="120"/>
      <c r="K273" s="120" t="str">
        <f t="shared" si="24"/>
        <v/>
      </c>
      <c r="L273" s="287"/>
      <c r="M273" s="91"/>
      <c r="N273" s="99"/>
      <c r="O273" s="116"/>
      <c r="P273" s="86"/>
      <c r="Q273" s="92"/>
      <c r="R273" s="120">
        <f t="shared" si="25"/>
        <v>0</v>
      </c>
      <c r="S273" s="93"/>
      <c r="T273" s="117"/>
      <c r="U273" s="117"/>
      <c r="V273" s="85"/>
      <c r="W273" s="146"/>
      <c r="X273" s="137"/>
      <c r="Y273" s="137"/>
      <c r="Z273" s="137"/>
      <c r="AA273" s="137"/>
      <c r="AB273" s="137"/>
      <c r="AC273" s="137"/>
      <c r="AD273" s="137"/>
      <c r="AE273" s="137"/>
      <c r="AF273" s="141"/>
      <c r="AG273" s="146"/>
      <c r="AH273" s="146"/>
      <c r="AI273" s="146"/>
      <c r="AJ273" s="146"/>
      <c r="AK273" s="146"/>
      <c r="AL273" s="81"/>
      <c r="AM273" s="81"/>
      <c r="AN273" s="152"/>
      <c r="AO273" s="152"/>
      <c r="AP273" s="152"/>
      <c r="AQ273" s="152"/>
      <c r="AR273" s="81"/>
      <c r="AS273" s="81"/>
      <c r="AT273" s="82"/>
      <c r="AU273" s="82"/>
      <c r="AV273" s="176"/>
      <c r="AW273" s="89"/>
      <c r="AX273" s="89"/>
      <c r="AY273" s="89"/>
      <c r="AZ273" s="89"/>
      <c r="BA273" s="89"/>
      <c r="BB273" s="89"/>
      <c r="BC273" s="89"/>
      <c r="BD273" s="89"/>
      <c r="BE273" s="141"/>
      <c r="BF273" s="176"/>
      <c r="BG273" s="176"/>
      <c r="BH273" s="176"/>
      <c r="BI273" s="176"/>
    </row>
    <row r="274" spans="1:61" s="90" customFormat="1">
      <c r="A274" s="83"/>
      <c r="B274" s="85"/>
      <c r="C274" s="84"/>
      <c r="D274" s="112"/>
      <c r="E274" s="112"/>
      <c r="F274" s="112"/>
      <c r="G274" s="85"/>
      <c r="H274" s="120"/>
      <c r="I274" s="280"/>
      <c r="J274" s="120"/>
      <c r="K274" s="120" t="str">
        <f t="shared" si="24"/>
        <v/>
      </c>
      <c r="L274" s="287"/>
      <c r="M274" s="91"/>
      <c r="N274" s="99"/>
      <c r="O274" s="116"/>
      <c r="P274" s="86"/>
      <c r="Q274" s="92"/>
      <c r="R274" s="120">
        <f t="shared" si="25"/>
        <v>0</v>
      </c>
      <c r="S274" s="93"/>
      <c r="T274" s="117"/>
      <c r="U274" s="117"/>
      <c r="V274" s="85"/>
      <c r="W274" s="146"/>
      <c r="X274" s="137"/>
      <c r="Y274" s="137"/>
      <c r="Z274" s="137"/>
      <c r="AA274" s="137"/>
      <c r="AB274" s="137"/>
      <c r="AC274" s="137"/>
      <c r="AD274" s="137"/>
      <c r="AE274" s="137"/>
      <c r="AF274" s="141"/>
      <c r="AG274" s="146"/>
      <c r="AH274" s="146"/>
      <c r="AI274" s="146"/>
      <c r="AJ274" s="146"/>
      <c r="AK274" s="146"/>
      <c r="AL274" s="81"/>
      <c r="AM274" s="81"/>
      <c r="AN274" s="152"/>
      <c r="AO274" s="152"/>
      <c r="AP274" s="152"/>
      <c r="AQ274" s="152"/>
      <c r="AR274" s="81"/>
      <c r="AS274" s="81"/>
      <c r="AT274" s="82"/>
      <c r="AU274" s="82"/>
      <c r="AV274" s="176"/>
      <c r="AW274" s="89"/>
      <c r="AX274" s="89"/>
      <c r="AY274" s="89"/>
      <c r="AZ274" s="89"/>
      <c r="BA274" s="89"/>
      <c r="BB274" s="89"/>
      <c r="BC274" s="89"/>
      <c r="BD274" s="89"/>
      <c r="BE274" s="141"/>
      <c r="BF274" s="176"/>
      <c r="BG274" s="176"/>
      <c r="BH274" s="176"/>
      <c r="BI274" s="176"/>
    </row>
    <row r="275" spans="1:61" s="90" customFormat="1">
      <c r="A275" s="83"/>
      <c r="B275" s="85"/>
      <c r="C275" s="84"/>
      <c r="D275" s="112"/>
      <c r="E275" s="112"/>
      <c r="F275" s="112"/>
      <c r="G275" s="85"/>
      <c r="H275" s="120"/>
      <c r="I275" s="280"/>
      <c r="J275" s="120"/>
      <c r="K275" s="120" t="str">
        <f t="shared" si="24"/>
        <v/>
      </c>
      <c r="L275" s="287"/>
      <c r="M275" s="91"/>
      <c r="N275" s="99"/>
      <c r="O275" s="116"/>
      <c r="P275" s="86"/>
      <c r="Q275" s="92"/>
      <c r="R275" s="120">
        <f t="shared" si="25"/>
        <v>0</v>
      </c>
      <c r="S275" s="93"/>
      <c r="T275" s="117"/>
      <c r="U275" s="117"/>
      <c r="V275" s="85"/>
      <c r="W275" s="146"/>
      <c r="X275" s="137"/>
      <c r="Y275" s="137"/>
      <c r="Z275" s="137"/>
      <c r="AA275" s="137"/>
      <c r="AB275" s="137"/>
      <c r="AC275" s="137"/>
      <c r="AD275" s="137"/>
      <c r="AE275" s="137"/>
      <c r="AF275" s="141"/>
      <c r="AG275" s="146"/>
      <c r="AH275" s="146"/>
      <c r="AI275" s="146"/>
      <c r="AJ275" s="146"/>
      <c r="AK275" s="146"/>
      <c r="AL275" s="81"/>
      <c r="AM275" s="81"/>
      <c r="AN275" s="152"/>
      <c r="AO275" s="152"/>
      <c r="AP275" s="152"/>
      <c r="AQ275" s="152"/>
      <c r="AR275" s="81"/>
      <c r="AS275" s="81"/>
      <c r="AT275" s="82"/>
      <c r="AU275" s="82"/>
      <c r="AV275" s="176"/>
      <c r="AW275" s="89"/>
      <c r="AX275" s="89"/>
      <c r="AY275" s="89"/>
      <c r="AZ275" s="89"/>
      <c r="BA275" s="89"/>
      <c r="BB275" s="89"/>
      <c r="BC275" s="89"/>
      <c r="BD275" s="89"/>
      <c r="BE275" s="141"/>
      <c r="BF275" s="176"/>
      <c r="BG275" s="176"/>
      <c r="BH275" s="176"/>
      <c r="BI275" s="176"/>
    </row>
    <row r="276" spans="1:61" s="90" customFormat="1">
      <c r="A276" s="83"/>
      <c r="B276" s="85"/>
      <c r="C276" s="84"/>
      <c r="D276" s="112"/>
      <c r="E276" s="112"/>
      <c r="F276" s="112"/>
      <c r="G276" s="85"/>
      <c r="H276" s="120"/>
      <c r="I276" s="280"/>
      <c r="J276" s="120"/>
      <c r="K276" s="120" t="str">
        <f t="shared" si="24"/>
        <v/>
      </c>
      <c r="L276" s="287"/>
      <c r="M276" s="91"/>
      <c r="N276" s="99"/>
      <c r="O276" s="116"/>
      <c r="P276" s="86"/>
      <c r="Q276" s="92"/>
      <c r="R276" s="120">
        <f t="shared" si="25"/>
        <v>0</v>
      </c>
      <c r="S276" s="93"/>
      <c r="T276" s="117"/>
      <c r="U276" s="117"/>
      <c r="V276" s="85"/>
      <c r="W276" s="146"/>
      <c r="X276" s="137"/>
      <c r="Y276" s="137"/>
      <c r="Z276" s="137"/>
      <c r="AA276" s="137"/>
      <c r="AB276" s="137"/>
      <c r="AC276" s="137"/>
      <c r="AD276" s="137"/>
      <c r="AE276" s="137"/>
      <c r="AF276" s="141"/>
      <c r="AG276" s="146"/>
      <c r="AH276" s="146"/>
      <c r="AI276" s="146"/>
      <c r="AJ276" s="146"/>
      <c r="AK276" s="146"/>
      <c r="AL276" s="81"/>
      <c r="AM276" s="81"/>
      <c r="AN276" s="152"/>
      <c r="AO276" s="152"/>
      <c r="AP276" s="152"/>
      <c r="AQ276" s="152"/>
      <c r="AR276" s="81"/>
      <c r="AS276" s="81"/>
      <c r="AT276" s="82"/>
      <c r="AU276" s="82"/>
      <c r="AV276" s="176"/>
      <c r="AW276" s="89"/>
      <c r="AX276" s="89"/>
      <c r="AY276" s="89"/>
      <c r="AZ276" s="89"/>
      <c r="BA276" s="89"/>
      <c r="BB276" s="89"/>
      <c r="BC276" s="89"/>
      <c r="BD276" s="89"/>
      <c r="BE276" s="141"/>
      <c r="BF276" s="176"/>
      <c r="BG276" s="176"/>
      <c r="BH276" s="176"/>
      <c r="BI276" s="176"/>
    </row>
    <row r="277" spans="1:61" s="90" customFormat="1">
      <c r="A277" s="83"/>
      <c r="B277" s="85"/>
      <c r="C277" s="84"/>
      <c r="D277" s="112"/>
      <c r="E277" s="112"/>
      <c r="F277" s="112"/>
      <c r="G277" s="85"/>
      <c r="H277" s="120"/>
      <c r="I277" s="280"/>
      <c r="J277" s="120"/>
      <c r="K277" s="120" t="str">
        <f t="shared" si="24"/>
        <v/>
      </c>
      <c r="L277" s="287"/>
      <c r="M277" s="91"/>
      <c r="N277" s="99"/>
      <c r="O277" s="116"/>
      <c r="P277" s="86"/>
      <c r="Q277" s="92"/>
      <c r="R277" s="120">
        <f t="shared" si="25"/>
        <v>0</v>
      </c>
      <c r="S277" s="93"/>
      <c r="T277" s="117"/>
      <c r="U277" s="117"/>
      <c r="V277" s="85"/>
      <c r="W277" s="146"/>
      <c r="X277" s="137"/>
      <c r="Y277" s="137"/>
      <c r="Z277" s="137"/>
      <c r="AA277" s="137"/>
      <c r="AB277" s="137"/>
      <c r="AC277" s="137"/>
      <c r="AD277" s="137"/>
      <c r="AE277" s="137"/>
      <c r="AF277" s="141"/>
      <c r="AG277" s="146"/>
      <c r="AH277" s="146"/>
      <c r="AI277" s="146"/>
      <c r="AJ277" s="146"/>
      <c r="AK277" s="146"/>
      <c r="AL277" s="81"/>
      <c r="AM277" s="81"/>
      <c r="AN277" s="152"/>
      <c r="AO277" s="152"/>
      <c r="AP277" s="152"/>
      <c r="AQ277" s="152"/>
      <c r="AR277" s="81"/>
      <c r="AS277" s="81"/>
      <c r="AT277" s="82"/>
      <c r="AU277" s="82"/>
      <c r="AV277" s="176"/>
      <c r="AW277" s="89"/>
      <c r="AX277" s="89"/>
      <c r="AY277" s="89"/>
      <c r="AZ277" s="89"/>
      <c r="BA277" s="89"/>
      <c r="BB277" s="89"/>
      <c r="BC277" s="89"/>
      <c r="BD277" s="89"/>
      <c r="BE277" s="141"/>
      <c r="BF277" s="176"/>
      <c r="BG277" s="176"/>
      <c r="BH277" s="176"/>
      <c r="BI277" s="176"/>
    </row>
    <row r="278" spans="1:61" s="90" customFormat="1">
      <c r="A278" s="83"/>
      <c r="B278" s="85"/>
      <c r="C278" s="84"/>
      <c r="D278" s="112"/>
      <c r="E278" s="112"/>
      <c r="F278" s="112"/>
      <c r="G278" s="85"/>
      <c r="H278" s="120"/>
      <c r="I278" s="280"/>
      <c r="J278" s="120"/>
      <c r="K278" s="120" t="str">
        <f t="shared" si="24"/>
        <v/>
      </c>
      <c r="L278" s="287"/>
      <c r="M278" s="91"/>
      <c r="N278" s="99"/>
      <c r="O278" s="116"/>
      <c r="P278" s="86"/>
      <c r="Q278" s="92"/>
      <c r="R278" s="120">
        <f t="shared" si="25"/>
        <v>0</v>
      </c>
      <c r="S278" s="93"/>
      <c r="T278" s="117"/>
      <c r="U278" s="117"/>
      <c r="V278" s="85"/>
      <c r="W278" s="146"/>
      <c r="X278" s="137"/>
      <c r="Y278" s="137"/>
      <c r="Z278" s="137"/>
      <c r="AA278" s="137"/>
      <c r="AB278" s="137"/>
      <c r="AC278" s="137"/>
      <c r="AD278" s="137"/>
      <c r="AE278" s="137"/>
      <c r="AF278" s="141"/>
      <c r="AG278" s="146"/>
      <c r="AH278" s="146"/>
      <c r="AI278" s="146"/>
      <c r="AJ278" s="146"/>
      <c r="AK278" s="146"/>
      <c r="AL278" s="81"/>
      <c r="AM278" s="81"/>
      <c r="AN278" s="152"/>
      <c r="AO278" s="152"/>
      <c r="AP278" s="152"/>
      <c r="AQ278" s="152"/>
      <c r="AR278" s="81"/>
      <c r="AS278" s="81"/>
      <c r="AT278" s="82"/>
      <c r="AU278" s="82"/>
      <c r="AV278" s="176"/>
      <c r="AW278" s="89"/>
      <c r="AX278" s="89"/>
      <c r="AY278" s="89"/>
      <c r="AZ278" s="89"/>
      <c r="BA278" s="89"/>
      <c r="BB278" s="89"/>
      <c r="BC278" s="89"/>
      <c r="BD278" s="89"/>
      <c r="BE278" s="141"/>
      <c r="BF278" s="176"/>
      <c r="BG278" s="176"/>
      <c r="BH278" s="176"/>
      <c r="BI278" s="176"/>
    </row>
    <row r="279" spans="1:61" s="90" customFormat="1">
      <c r="A279" s="83"/>
      <c r="B279" s="85"/>
      <c r="C279" s="84"/>
      <c r="D279" s="112"/>
      <c r="E279" s="112"/>
      <c r="F279" s="112"/>
      <c r="G279" s="85"/>
      <c r="H279" s="120"/>
      <c r="I279" s="280"/>
      <c r="J279" s="120"/>
      <c r="K279" s="120" t="str">
        <f t="shared" si="24"/>
        <v/>
      </c>
      <c r="L279" s="287"/>
      <c r="M279" s="91"/>
      <c r="N279" s="99"/>
      <c r="O279" s="116"/>
      <c r="P279" s="86"/>
      <c r="Q279" s="92"/>
      <c r="R279" s="120">
        <f t="shared" si="25"/>
        <v>0</v>
      </c>
      <c r="S279" s="93"/>
      <c r="T279" s="117"/>
      <c r="U279" s="117"/>
      <c r="V279" s="85"/>
      <c r="W279" s="146"/>
      <c r="X279" s="137"/>
      <c r="Y279" s="137"/>
      <c r="Z279" s="137"/>
      <c r="AA279" s="137"/>
      <c r="AB279" s="137"/>
      <c r="AC279" s="137"/>
      <c r="AD279" s="137"/>
      <c r="AE279" s="137"/>
      <c r="AF279" s="141"/>
      <c r="AG279" s="146"/>
      <c r="AH279" s="146"/>
      <c r="AI279" s="146"/>
      <c r="AJ279" s="146"/>
      <c r="AK279" s="146"/>
      <c r="AL279" s="81"/>
      <c r="AM279" s="81"/>
      <c r="AN279" s="152"/>
      <c r="AO279" s="152"/>
      <c r="AP279" s="152"/>
      <c r="AQ279" s="152"/>
      <c r="AR279" s="81"/>
      <c r="AS279" s="81"/>
      <c r="AT279" s="82"/>
      <c r="AU279" s="82"/>
      <c r="AV279" s="176"/>
      <c r="AW279" s="89"/>
      <c r="AX279" s="89"/>
      <c r="AY279" s="89"/>
      <c r="AZ279" s="89"/>
      <c r="BA279" s="89"/>
      <c r="BB279" s="89"/>
      <c r="BC279" s="89"/>
      <c r="BD279" s="89"/>
      <c r="BE279" s="141"/>
      <c r="BF279" s="176"/>
      <c r="BG279" s="176"/>
      <c r="BH279" s="176"/>
      <c r="BI279" s="176"/>
    </row>
    <row r="280" spans="1:61" s="90" customFormat="1">
      <c r="A280" s="83"/>
      <c r="B280" s="85"/>
      <c r="C280" s="84"/>
      <c r="D280" s="112"/>
      <c r="E280" s="112"/>
      <c r="F280" s="112"/>
      <c r="G280" s="85"/>
      <c r="H280" s="120"/>
      <c r="I280" s="280"/>
      <c r="J280" s="120"/>
      <c r="K280" s="120" t="str">
        <f t="shared" si="24"/>
        <v/>
      </c>
      <c r="L280" s="287"/>
      <c r="M280" s="91"/>
      <c r="N280" s="99"/>
      <c r="O280" s="116"/>
      <c r="P280" s="86"/>
      <c r="Q280" s="92"/>
      <c r="R280" s="120">
        <f t="shared" si="25"/>
        <v>0</v>
      </c>
      <c r="S280" s="93"/>
      <c r="T280" s="117"/>
      <c r="U280" s="117"/>
      <c r="V280" s="85"/>
      <c r="W280" s="146"/>
      <c r="X280" s="137"/>
      <c r="Y280" s="137"/>
      <c r="Z280" s="137"/>
      <c r="AA280" s="137"/>
      <c r="AB280" s="137"/>
      <c r="AC280" s="137"/>
      <c r="AD280" s="137"/>
      <c r="AE280" s="137"/>
      <c r="AF280" s="141"/>
      <c r="AG280" s="146"/>
      <c r="AH280" s="146"/>
      <c r="AI280" s="146"/>
      <c r="AJ280" s="146"/>
      <c r="AK280" s="146"/>
      <c r="AL280" s="81"/>
      <c r="AM280" s="81"/>
      <c r="AN280" s="152"/>
      <c r="AO280" s="152"/>
      <c r="AP280" s="152"/>
      <c r="AQ280" s="152"/>
      <c r="AR280" s="81"/>
      <c r="AS280" s="81"/>
      <c r="AT280" s="82"/>
      <c r="AU280" s="82"/>
      <c r="AV280" s="176"/>
      <c r="AW280" s="89"/>
      <c r="AX280" s="89"/>
      <c r="AY280" s="89"/>
      <c r="AZ280" s="89"/>
      <c r="BA280" s="89"/>
      <c r="BB280" s="89"/>
      <c r="BC280" s="89"/>
      <c r="BD280" s="89"/>
      <c r="BE280" s="141"/>
      <c r="BF280" s="176"/>
      <c r="BG280" s="176"/>
      <c r="BH280" s="176"/>
      <c r="BI280" s="176"/>
    </row>
    <row r="281" spans="1:61" s="90" customFormat="1">
      <c r="A281" s="83"/>
      <c r="B281" s="85"/>
      <c r="C281" s="84"/>
      <c r="D281" s="112"/>
      <c r="E281" s="112"/>
      <c r="F281" s="112"/>
      <c r="G281" s="85"/>
      <c r="H281" s="120"/>
      <c r="I281" s="280"/>
      <c r="J281" s="120"/>
      <c r="K281" s="120" t="str">
        <f t="shared" si="24"/>
        <v/>
      </c>
      <c r="L281" s="287"/>
      <c r="M281" s="91"/>
      <c r="N281" s="99"/>
      <c r="O281" s="116"/>
      <c r="P281" s="86"/>
      <c r="Q281" s="92"/>
      <c r="R281" s="120">
        <f t="shared" si="25"/>
        <v>0</v>
      </c>
      <c r="S281" s="93"/>
      <c r="T281" s="117"/>
      <c r="U281" s="117"/>
      <c r="V281" s="85"/>
      <c r="W281" s="146"/>
      <c r="X281" s="137"/>
      <c r="Y281" s="137"/>
      <c r="Z281" s="137"/>
      <c r="AA281" s="137"/>
      <c r="AB281" s="137"/>
      <c r="AC281" s="137"/>
      <c r="AD281" s="137"/>
      <c r="AE281" s="137"/>
      <c r="AF281" s="141"/>
      <c r="AG281" s="146"/>
      <c r="AH281" s="146"/>
      <c r="AI281" s="146"/>
      <c r="AJ281" s="146"/>
      <c r="AK281" s="146"/>
      <c r="AL281" s="81"/>
      <c r="AM281" s="81"/>
      <c r="AN281" s="152"/>
      <c r="AO281" s="152"/>
      <c r="AP281" s="152"/>
      <c r="AQ281" s="152"/>
      <c r="AR281" s="81"/>
      <c r="AS281" s="81"/>
      <c r="AT281" s="82"/>
      <c r="AU281" s="82"/>
      <c r="AV281" s="176"/>
      <c r="AW281" s="89"/>
      <c r="AX281" s="89"/>
      <c r="AY281" s="89"/>
      <c r="AZ281" s="89"/>
      <c r="BA281" s="89"/>
      <c r="BB281" s="89"/>
      <c r="BC281" s="89"/>
      <c r="BD281" s="89"/>
      <c r="BE281" s="141"/>
      <c r="BF281" s="176"/>
      <c r="BG281" s="176"/>
      <c r="BH281" s="176"/>
      <c r="BI281" s="176"/>
    </row>
    <row r="282" spans="1:61" s="90" customFormat="1">
      <c r="A282" s="83"/>
      <c r="B282" s="85"/>
      <c r="C282" s="84"/>
      <c r="D282" s="112"/>
      <c r="E282" s="112"/>
      <c r="F282" s="112"/>
      <c r="G282" s="85"/>
      <c r="H282" s="120"/>
      <c r="I282" s="280"/>
      <c r="J282" s="120"/>
      <c r="K282" s="120" t="str">
        <f t="shared" si="24"/>
        <v/>
      </c>
      <c r="L282" s="287"/>
      <c r="M282" s="91"/>
      <c r="N282" s="99"/>
      <c r="O282" s="116"/>
      <c r="P282" s="86"/>
      <c r="Q282" s="92"/>
      <c r="R282" s="120">
        <f t="shared" si="25"/>
        <v>0</v>
      </c>
      <c r="S282" s="93"/>
      <c r="T282" s="117"/>
      <c r="U282" s="117"/>
      <c r="V282" s="85"/>
      <c r="W282" s="146"/>
      <c r="X282" s="137"/>
      <c r="Y282" s="137"/>
      <c r="Z282" s="137"/>
      <c r="AA282" s="137"/>
      <c r="AB282" s="137"/>
      <c r="AC282" s="137"/>
      <c r="AD282" s="137"/>
      <c r="AE282" s="137"/>
      <c r="AF282" s="141"/>
      <c r="AG282" s="146"/>
      <c r="AH282" s="146"/>
      <c r="AI282" s="146"/>
      <c r="AJ282" s="146"/>
      <c r="AK282" s="146"/>
      <c r="AL282" s="81"/>
      <c r="AM282" s="81"/>
      <c r="AN282" s="152"/>
      <c r="AO282" s="152"/>
      <c r="AP282" s="152"/>
      <c r="AQ282" s="152"/>
      <c r="AR282" s="81"/>
      <c r="AS282" s="81"/>
      <c r="AT282" s="82"/>
      <c r="AU282" s="82"/>
      <c r="AV282" s="176"/>
      <c r="AW282" s="89"/>
      <c r="AX282" s="89"/>
      <c r="AY282" s="89"/>
      <c r="AZ282" s="89"/>
      <c r="BA282" s="89"/>
      <c r="BB282" s="89"/>
      <c r="BC282" s="89"/>
      <c r="BD282" s="89"/>
      <c r="BE282" s="141"/>
      <c r="BF282" s="176"/>
      <c r="BG282" s="176"/>
      <c r="BH282" s="176"/>
      <c r="BI282" s="176"/>
    </row>
    <row r="283" spans="1:61" s="90" customFormat="1">
      <c r="A283" s="83"/>
      <c r="B283" s="85"/>
      <c r="C283" s="84"/>
      <c r="D283" s="112"/>
      <c r="E283" s="112"/>
      <c r="F283" s="112"/>
      <c r="G283" s="85"/>
      <c r="H283" s="120"/>
      <c r="I283" s="280"/>
      <c r="J283" s="120"/>
      <c r="K283" s="120" t="str">
        <f t="shared" si="24"/>
        <v/>
      </c>
      <c r="L283" s="287"/>
      <c r="M283" s="91"/>
      <c r="N283" s="99"/>
      <c r="O283" s="116"/>
      <c r="P283" s="86"/>
      <c r="Q283" s="92"/>
      <c r="R283" s="120">
        <f t="shared" si="25"/>
        <v>0</v>
      </c>
      <c r="S283" s="93"/>
      <c r="T283" s="117"/>
      <c r="U283" s="117"/>
      <c r="V283" s="85"/>
      <c r="W283" s="146"/>
      <c r="X283" s="137"/>
      <c r="Y283" s="137"/>
      <c r="Z283" s="137"/>
      <c r="AA283" s="137"/>
      <c r="AB283" s="137"/>
      <c r="AC283" s="137"/>
      <c r="AD283" s="137"/>
      <c r="AE283" s="137"/>
      <c r="AF283" s="141"/>
      <c r="AG283" s="146"/>
      <c r="AH283" s="146"/>
      <c r="AI283" s="146"/>
      <c r="AJ283" s="146"/>
      <c r="AK283" s="146"/>
      <c r="AL283" s="81"/>
      <c r="AM283" s="81"/>
      <c r="AN283" s="152"/>
      <c r="AO283" s="152"/>
      <c r="AP283" s="152"/>
      <c r="AQ283" s="152"/>
      <c r="AR283" s="81"/>
      <c r="AS283" s="81"/>
      <c r="AT283" s="82"/>
      <c r="AU283" s="82"/>
      <c r="AV283" s="176"/>
      <c r="AW283" s="89"/>
      <c r="AX283" s="89"/>
      <c r="AY283" s="89"/>
      <c r="AZ283" s="89"/>
      <c r="BA283" s="89"/>
      <c r="BB283" s="89"/>
      <c r="BC283" s="89"/>
      <c r="BD283" s="89"/>
      <c r="BE283" s="141"/>
      <c r="BF283" s="176"/>
      <c r="BG283" s="176"/>
      <c r="BH283" s="176"/>
      <c r="BI283" s="176"/>
    </row>
    <row r="284" spans="1:61" s="90" customFormat="1">
      <c r="A284" s="83"/>
      <c r="B284" s="85"/>
      <c r="C284" s="84"/>
      <c r="D284" s="112"/>
      <c r="E284" s="112"/>
      <c r="F284" s="112"/>
      <c r="G284" s="85"/>
      <c r="H284" s="120"/>
      <c r="I284" s="280"/>
      <c r="J284" s="120"/>
      <c r="K284" s="120" t="str">
        <f t="shared" si="24"/>
        <v/>
      </c>
      <c r="L284" s="287"/>
      <c r="M284" s="91"/>
      <c r="N284" s="99"/>
      <c r="O284" s="116"/>
      <c r="P284" s="86"/>
      <c r="Q284" s="92"/>
      <c r="R284" s="120">
        <f t="shared" si="25"/>
        <v>0</v>
      </c>
      <c r="S284" s="93"/>
      <c r="T284" s="117"/>
      <c r="U284" s="117"/>
      <c r="V284" s="85"/>
      <c r="W284" s="146"/>
      <c r="X284" s="137"/>
      <c r="Y284" s="137"/>
      <c r="Z284" s="137"/>
      <c r="AA284" s="137"/>
      <c r="AB284" s="137"/>
      <c r="AC284" s="137"/>
      <c r="AD284" s="137"/>
      <c r="AE284" s="137"/>
      <c r="AF284" s="141"/>
      <c r="AG284" s="146"/>
      <c r="AH284" s="146"/>
      <c r="AI284" s="146"/>
      <c r="AJ284" s="146"/>
      <c r="AK284" s="146"/>
      <c r="AL284" s="81"/>
      <c r="AM284" s="81"/>
      <c r="AN284" s="152"/>
      <c r="AO284" s="152"/>
      <c r="AP284" s="152"/>
      <c r="AQ284" s="152"/>
      <c r="AR284" s="81"/>
      <c r="AS284" s="81"/>
      <c r="AT284" s="82"/>
      <c r="AU284" s="82"/>
      <c r="AV284" s="176"/>
      <c r="AW284" s="89"/>
      <c r="AX284" s="89"/>
      <c r="AY284" s="89"/>
      <c r="AZ284" s="89"/>
      <c r="BA284" s="89"/>
      <c r="BB284" s="89"/>
      <c r="BC284" s="89"/>
      <c r="BD284" s="89"/>
      <c r="BE284" s="141"/>
      <c r="BF284" s="176"/>
      <c r="BG284" s="176"/>
      <c r="BH284" s="176"/>
      <c r="BI284" s="176"/>
    </row>
    <row r="285" spans="1:61" s="90" customFormat="1">
      <c r="A285" s="83"/>
      <c r="B285" s="85"/>
      <c r="C285" s="84"/>
      <c r="D285" s="112"/>
      <c r="E285" s="112"/>
      <c r="F285" s="112"/>
      <c r="G285" s="85"/>
      <c r="H285" s="120"/>
      <c r="I285" s="280"/>
      <c r="J285" s="120"/>
      <c r="K285" s="120" t="str">
        <f t="shared" si="24"/>
        <v/>
      </c>
      <c r="L285" s="287"/>
      <c r="M285" s="91"/>
      <c r="N285" s="99"/>
      <c r="O285" s="116"/>
      <c r="P285" s="86"/>
      <c r="Q285" s="92"/>
      <c r="R285" s="120">
        <f t="shared" si="25"/>
        <v>0</v>
      </c>
      <c r="S285" s="93"/>
      <c r="T285" s="117"/>
      <c r="U285" s="117"/>
      <c r="V285" s="85"/>
      <c r="W285" s="146"/>
      <c r="X285" s="137"/>
      <c r="Y285" s="137"/>
      <c r="Z285" s="137"/>
      <c r="AA285" s="137"/>
      <c r="AB285" s="137"/>
      <c r="AC285" s="137"/>
      <c r="AD285" s="137"/>
      <c r="AE285" s="137"/>
      <c r="AF285" s="141"/>
      <c r="AG285" s="146"/>
      <c r="AH285" s="146"/>
      <c r="AI285" s="146"/>
      <c r="AJ285" s="146"/>
      <c r="AK285" s="146"/>
      <c r="AL285" s="81"/>
      <c r="AM285" s="81"/>
      <c r="AN285" s="152"/>
      <c r="AO285" s="152"/>
      <c r="AP285" s="152"/>
      <c r="AQ285" s="152"/>
      <c r="AR285" s="81"/>
      <c r="AS285" s="81"/>
      <c r="AT285" s="82"/>
      <c r="AU285" s="82"/>
      <c r="AV285" s="176"/>
      <c r="AW285" s="89"/>
      <c r="AX285" s="89"/>
      <c r="AY285" s="89"/>
      <c r="AZ285" s="89"/>
      <c r="BA285" s="89"/>
      <c r="BB285" s="89"/>
      <c r="BC285" s="89"/>
      <c r="BD285" s="89"/>
      <c r="BE285" s="141"/>
      <c r="BF285" s="176"/>
      <c r="BG285" s="176"/>
      <c r="BH285" s="176"/>
      <c r="BI285" s="176"/>
    </row>
    <row r="286" spans="1:61" s="90" customFormat="1">
      <c r="A286" s="83"/>
      <c r="B286" s="85"/>
      <c r="C286" s="84"/>
      <c r="D286" s="112"/>
      <c r="E286" s="112"/>
      <c r="F286" s="112"/>
      <c r="G286" s="85"/>
      <c r="H286" s="120"/>
      <c r="I286" s="280"/>
      <c r="J286" s="120"/>
      <c r="K286" s="120" t="str">
        <f t="shared" si="24"/>
        <v/>
      </c>
      <c r="L286" s="287"/>
      <c r="M286" s="91"/>
      <c r="N286" s="99"/>
      <c r="O286" s="116"/>
      <c r="P286" s="86"/>
      <c r="Q286" s="92"/>
      <c r="R286" s="120">
        <f t="shared" si="25"/>
        <v>0</v>
      </c>
      <c r="S286" s="93"/>
      <c r="T286" s="117"/>
      <c r="U286" s="117"/>
      <c r="V286" s="85"/>
      <c r="W286" s="146"/>
      <c r="X286" s="137"/>
      <c r="Y286" s="137"/>
      <c r="Z286" s="137"/>
      <c r="AA286" s="137"/>
      <c r="AB286" s="137"/>
      <c r="AC286" s="137"/>
      <c r="AD286" s="137"/>
      <c r="AE286" s="137"/>
      <c r="AF286" s="141"/>
      <c r="AG286" s="146"/>
      <c r="AH286" s="146"/>
      <c r="AI286" s="146"/>
      <c r="AJ286" s="146"/>
      <c r="AK286" s="146"/>
      <c r="AL286" s="81"/>
      <c r="AM286" s="81"/>
      <c r="AN286" s="152"/>
      <c r="AO286" s="152"/>
      <c r="AP286" s="152"/>
      <c r="AQ286" s="152"/>
      <c r="AR286" s="81"/>
      <c r="AS286" s="81"/>
      <c r="AT286" s="82"/>
      <c r="AU286" s="82"/>
      <c r="AV286" s="176"/>
      <c r="AW286" s="89"/>
      <c r="AX286" s="89"/>
      <c r="AY286" s="89"/>
      <c r="AZ286" s="89"/>
      <c r="BA286" s="89"/>
      <c r="BB286" s="89"/>
      <c r="BC286" s="89"/>
      <c r="BD286" s="89"/>
      <c r="BE286" s="141"/>
      <c r="BF286" s="176"/>
      <c r="BG286" s="176"/>
      <c r="BH286" s="176"/>
      <c r="BI286" s="176"/>
    </row>
    <row r="287" spans="1:61" s="90" customFormat="1">
      <c r="A287" s="83"/>
      <c r="B287" s="85"/>
      <c r="C287" s="84"/>
      <c r="D287" s="112"/>
      <c r="E287" s="112"/>
      <c r="F287" s="112"/>
      <c r="G287" s="85"/>
      <c r="H287" s="120"/>
      <c r="I287" s="280"/>
      <c r="J287" s="120"/>
      <c r="K287" s="120" t="str">
        <f t="shared" si="24"/>
        <v/>
      </c>
      <c r="L287" s="287"/>
      <c r="M287" s="91"/>
      <c r="N287" s="99"/>
      <c r="O287" s="116"/>
      <c r="P287" s="86"/>
      <c r="Q287" s="92"/>
      <c r="R287" s="120">
        <f t="shared" si="25"/>
        <v>0</v>
      </c>
      <c r="S287" s="93"/>
      <c r="T287" s="117"/>
      <c r="U287" s="117"/>
      <c r="V287" s="85"/>
      <c r="W287" s="146"/>
      <c r="X287" s="137"/>
      <c r="Y287" s="137"/>
      <c r="Z287" s="137"/>
      <c r="AA287" s="137"/>
      <c r="AB287" s="137"/>
      <c r="AC287" s="137"/>
      <c r="AD287" s="137"/>
      <c r="AE287" s="137"/>
      <c r="AF287" s="141"/>
      <c r="AG287" s="146"/>
      <c r="AH287" s="146"/>
      <c r="AI287" s="146"/>
      <c r="AJ287" s="146"/>
      <c r="AK287" s="146"/>
      <c r="AL287" s="81"/>
      <c r="AM287" s="81"/>
      <c r="AN287" s="152"/>
      <c r="AO287" s="152"/>
      <c r="AP287" s="152"/>
      <c r="AQ287" s="152"/>
      <c r="AR287" s="81"/>
      <c r="AS287" s="81"/>
      <c r="AT287" s="82"/>
      <c r="AU287" s="82"/>
      <c r="AV287" s="176"/>
      <c r="AW287" s="89"/>
      <c r="AX287" s="89"/>
      <c r="AY287" s="89"/>
      <c r="AZ287" s="89"/>
      <c r="BA287" s="89"/>
      <c r="BB287" s="89"/>
      <c r="BC287" s="89"/>
      <c r="BD287" s="89"/>
      <c r="BE287" s="141"/>
      <c r="BF287" s="176"/>
      <c r="BG287" s="176"/>
      <c r="BH287" s="176"/>
      <c r="BI287" s="176"/>
    </row>
    <row r="288" spans="1:61" s="90" customFormat="1">
      <c r="A288" s="83"/>
      <c r="B288" s="85"/>
      <c r="C288" s="84"/>
      <c r="D288" s="112"/>
      <c r="E288" s="112"/>
      <c r="F288" s="112"/>
      <c r="G288" s="85"/>
      <c r="H288" s="120"/>
      <c r="I288" s="280"/>
      <c r="J288" s="120"/>
      <c r="K288" s="120" t="str">
        <f t="shared" si="24"/>
        <v/>
      </c>
      <c r="L288" s="287"/>
      <c r="M288" s="91"/>
      <c r="N288" s="99"/>
      <c r="O288" s="116"/>
      <c r="P288" s="86"/>
      <c r="Q288" s="92"/>
      <c r="R288" s="120">
        <f t="shared" si="25"/>
        <v>0</v>
      </c>
      <c r="S288" s="93"/>
      <c r="T288" s="117"/>
      <c r="U288" s="117"/>
      <c r="V288" s="85"/>
      <c r="W288" s="146"/>
      <c r="X288" s="137"/>
      <c r="Y288" s="137"/>
      <c r="Z288" s="137"/>
      <c r="AA288" s="137"/>
      <c r="AB288" s="137"/>
      <c r="AC288" s="137"/>
      <c r="AD288" s="137"/>
      <c r="AE288" s="137"/>
      <c r="AF288" s="141"/>
      <c r="AG288" s="146"/>
      <c r="AH288" s="146"/>
      <c r="AI288" s="146"/>
      <c r="AJ288" s="146"/>
      <c r="AK288" s="146"/>
      <c r="AL288" s="81"/>
      <c r="AM288" s="81"/>
      <c r="AN288" s="152"/>
      <c r="AO288" s="152"/>
      <c r="AP288" s="152"/>
      <c r="AQ288" s="152"/>
      <c r="AR288" s="81"/>
      <c r="AS288" s="81"/>
      <c r="AT288" s="82"/>
      <c r="AU288" s="82"/>
      <c r="AV288" s="176"/>
      <c r="AW288" s="89"/>
      <c r="AX288" s="89"/>
      <c r="AY288" s="89"/>
      <c r="AZ288" s="89"/>
      <c r="BA288" s="89"/>
      <c r="BB288" s="89"/>
      <c r="BC288" s="89"/>
      <c r="BD288" s="89"/>
      <c r="BE288" s="141"/>
      <c r="BF288" s="176"/>
      <c r="BG288" s="176"/>
      <c r="BH288" s="176"/>
      <c r="BI288" s="176"/>
    </row>
    <row r="289" spans="1:61" s="90" customFormat="1">
      <c r="A289" s="83"/>
      <c r="B289" s="85"/>
      <c r="C289" s="84"/>
      <c r="D289" s="112"/>
      <c r="E289" s="112"/>
      <c r="F289" s="112"/>
      <c r="G289" s="85"/>
      <c r="H289" s="120"/>
      <c r="I289" s="280"/>
      <c r="J289" s="120"/>
      <c r="K289" s="120" t="str">
        <f t="shared" si="24"/>
        <v/>
      </c>
      <c r="L289" s="287"/>
      <c r="M289" s="91"/>
      <c r="N289" s="99"/>
      <c r="O289" s="116"/>
      <c r="P289" s="86"/>
      <c r="Q289" s="92"/>
      <c r="R289" s="120">
        <f t="shared" si="25"/>
        <v>0</v>
      </c>
      <c r="S289" s="93"/>
      <c r="T289" s="117"/>
      <c r="U289" s="117"/>
      <c r="V289" s="85"/>
      <c r="W289" s="146"/>
      <c r="X289" s="137"/>
      <c r="Y289" s="137"/>
      <c r="Z289" s="137"/>
      <c r="AA289" s="137"/>
      <c r="AB289" s="137"/>
      <c r="AC289" s="137"/>
      <c r="AD289" s="137"/>
      <c r="AE289" s="137"/>
      <c r="AF289" s="141"/>
      <c r="AG289" s="146"/>
      <c r="AH289" s="146"/>
      <c r="AI289" s="146"/>
      <c r="AJ289" s="146"/>
      <c r="AK289" s="146"/>
      <c r="AL289" s="81"/>
      <c r="AM289" s="81"/>
      <c r="AN289" s="152"/>
      <c r="AO289" s="152"/>
      <c r="AP289" s="152"/>
      <c r="AQ289" s="152"/>
      <c r="AR289" s="81"/>
      <c r="AS289" s="81"/>
      <c r="AT289" s="82"/>
      <c r="AU289" s="82"/>
      <c r="AV289" s="176"/>
      <c r="AW289" s="89"/>
      <c r="AX289" s="89"/>
      <c r="AY289" s="89"/>
      <c r="AZ289" s="89"/>
      <c r="BA289" s="89"/>
      <c r="BB289" s="89"/>
      <c r="BC289" s="89"/>
      <c r="BD289" s="89"/>
      <c r="BE289" s="141"/>
      <c r="BF289" s="176"/>
      <c r="BG289" s="176"/>
      <c r="BH289" s="176"/>
      <c r="BI289" s="176"/>
    </row>
    <row r="290" spans="1:61" s="90" customFormat="1">
      <c r="A290" s="83"/>
      <c r="B290" s="85"/>
      <c r="C290" s="84"/>
      <c r="D290" s="112"/>
      <c r="E290" s="112"/>
      <c r="F290" s="112"/>
      <c r="G290" s="85"/>
      <c r="H290" s="120"/>
      <c r="I290" s="280"/>
      <c r="J290" s="120"/>
      <c r="K290" s="120" t="str">
        <f t="shared" si="24"/>
        <v/>
      </c>
      <c r="L290" s="287"/>
      <c r="M290" s="91"/>
      <c r="N290" s="99"/>
      <c r="O290" s="116"/>
      <c r="P290" s="86"/>
      <c r="Q290" s="92"/>
      <c r="R290" s="120">
        <f t="shared" si="25"/>
        <v>0</v>
      </c>
      <c r="S290" s="93"/>
      <c r="T290" s="117"/>
      <c r="U290" s="117"/>
      <c r="V290" s="85"/>
      <c r="W290" s="146"/>
      <c r="X290" s="137"/>
      <c r="Y290" s="137"/>
      <c r="Z290" s="137"/>
      <c r="AA290" s="137"/>
      <c r="AB290" s="137"/>
      <c r="AC290" s="137"/>
      <c r="AD290" s="137"/>
      <c r="AE290" s="137"/>
      <c r="AF290" s="141"/>
      <c r="AG290" s="146"/>
      <c r="AH290" s="146"/>
      <c r="AI290" s="146"/>
      <c r="AJ290" s="146"/>
      <c r="AK290" s="146"/>
      <c r="AL290" s="81"/>
      <c r="AM290" s="81"/>
      <c r="AN290" s="152"/>
      <c r="AO290" s="152"/>
      <c r="AP290" s="152"/>
      <c r="AQ290" s="152"/>
      <c r="AR290" s="81"/>
      <c r="AS290" s="81"/>
      <c r="AT290" s="82"/>
      <c r="AU290" s="82"/>
      <c r="AV290" s="176"/>
      <c r="AW290" s="89"/>
      <c r="AX290" s="89"/>
      <c r="AY290" s="89"/>
      <c r="AZ290" s="89"/>
      <c r="BA290" s="89"/>
      <c r="BB290" s="89"/>
      <c r="BC290" s="89"/>
      <c r="BD290" s="89"/>
      <c r="BE290" s="141"/>
      <c r="BF290" s="176"/>
      <c r="BG290" s="176"/>
      <c r="BH290" s="176"/>
      <c r="BI290" s="176"/>
    </row>
    <row r="291" spans="1:61" s="90" customFormat="1">
      <c r="A291" s="83"/>
      <c r="B291" s="85"/>
      <c r="C291" s="84"/>
      <c r="D291" s="112"/>
      <c r="E291" s="112"/>
      <c r="F291" s="112"/>
      <c r="G291" s="85"/>
      <c r="H291" s="120"/>
      <c r="I291" s="280"/>
      <c r="J291" s="120"/>
      <c r="K291" s="120" t="str">
        <f t="shared" si="24"/>
        <v/>
      </c>
      <c r="L291" s="287"/>
      <c r="M291" s="91"/>
      <c r="N291" s="99"/>
      <c r="O291" s="116"/>
      <c r="P291" s="86"/>
      <c r="Q291" s="92"/>
      <c r="R291" s="120">
        <f t="shared" si="25"/>
        <v>0</v>
      </c>
      <c r="S291" s="93"/>
      <c r="T291" s="117"/>
      <c r="U291" s="117"/>
      <c r="V291" s="85"/>
      <c r="W291" s="146"/>
      <c r="X291" s="137"/>
      <c r="Y291" s="137"/>
      <c r="Z291" s="137"/>
      <c r="AA291" s="137"/>
      <c r="AB291" s="137"/>
      <c r="AC291" s="137"/>
      <c r="AD291" s="137"/>
      <c r="AE291" s="137"/>
      <c r="AF291" s="141"/>
      <c r="AG291" s="146"/>
      <c r="AH291" s="146"/>
      <c r="AI291" s="146"/>
      <c r="AJ291" s="146"/>
      <c r="AK291" s="146"/>
      <c r="AL291" s="81"/>
      <c r="AM291" s="81"/>
      <c r="AN291" s="152"/>
      <c r="AO291" s="152"/>
      <c r="AP291" s="152"/>
      <c r="AQ291" s="152"/>
      <c r="AR291" s="81"/>
      <c r="AS291" s="81"/>
      <c r="AT291" s="82"/>
      <c r="AU291" s="82"/>
      <c r="AV291" s="176"/>
      <c r="AW291" s="89"/>
      <c r="AX291" s="89"/>
      <c r="AY291" s="89"/>
      <c r="AZ291" s="89"/>
      <c r="BA291" s="89"/>
      <c r="BB291" s="89"/>
      <c r="BC291" s="89"/>
      <c r="BD291" s="89"/>
      <c r="BE291" s="141"/>
      <c r="BF291" s="176"/>
      <c r="BG291" s="176"/>
      <c r="BH291" s="176"/>
      <c r="BI291" s="176"/>
    </row>
    <row r="292" spans="1:61" s="90" customFormat="1">
      <c r="A292" s="83"/>
      <c r="B292" s="85"/>
      <c r="C292" s="84"/>
      <c r="D292" s="112"/>
      <c r="E292" s="112"/>
      <c r="F292" s="112"/>
      <c r="G292" s="85"/>
      <c r="H292" s="120"/>
      <c r="I292" s="280"/>
      <c r="J292" s="120"/>
      <c r="K292" s="120" t="str">
        <f t="shared" si="24"/>
        <v/>
      </c>
      <c r="L292" s="287"/>
      <c r="M292" s="91"/>
      <c r="N292" s="99"/>
      <c r="O292" s="116"/>
      <c r="P292" s="86"/>
      <c r="Q292" s="92"/>
      <c r="R292" s="120">
        <f t="shared" si="25"/>
        <v>0</v>
      </c>
      <c r="S292" s="93"/>
      <c r="T292" s="117"/>
      <c r="U292" s="117"/>
      <c r="V292" s="85"/>
      <c r="W292" s="146"/>
      <c r="X292" s="137"/>
      <c r="Y292" s="137"/>
      <c r="Z292" s="137"/>
      <c r="AA292" s="137"/>
      <c r="AB292" s="137"/>
      <c r="AC292" s="137"/>
      <c r="AD292" s="137"/>
      <c r="AE292" s="137"/>
      <c r="AF292" s="141"/>
      <c r="AG292" s="146"/>
      <c r="AH292" s="146"/>
      <c r="AI292" s="146"/>
      <c r="AJ292" s="146"/>
      <c r="AK292" s="146"/>
      <c r="AL292" s="81"/>
      <c r="AM292" s="81"/>
      <c r="AN292" s="152"/>
      <c r="AO292" s="152"/>
      <c r="AP292" s="152"/>
      <c r="AQ292" s="152"/>
      <c r="AR292" s="81"/>
      <c r="AS292" s="81"/>
      <c r="AT292" s="82"/>
      <c r="AU292" s="82"/>
      <c r="AV292" s="176"/>
      <c r="AW292" s="89"/>
      <c r="AX292" s="89"/>
      <c r="AY292" s="89"/>
      <c r="AZ292" s="89"/>
      <c r="BA292" s="89"/>
      <c r="BB292" s="89"/>
      <c r="BC292" s="89"/>
      <c r="BD292" s="89"/>
      <c r="BE292" s="141"/>
      <c r="BF292" s="176"/>
      <c r="BG292" s="176"/>
      <c r="BH292" s="176"/>
      <c r="BI292" s="176"/>
    </row>
    <row r="293" spans="1:61" s="90" customFormat="1">
      <c r="A293" s="83"/>
      <c r="B293" s="85"/>
      <c r="C293" s="84"/>
      <c r="D293" s="112"/>
      <c r="E293" s="112"/>
      <c r="F293" s="112"/>
      <c r="G293" s="85"/>
      <c r="H293" s="120"/>
      <c r="I293" s="280"/>
      <c r="J293" s="120"/>
      <c r="K293" s="120" t="str">
        <f t="shared" si="24"/>
        <v/>
      </c>
      <c r="L293" s="287"/>
      <c r="M293" s="91"/>
      <c r="N293" s="99"/>
      <c r="O293" s="116"/>
      <c r="P293" s="86"/>
      <c r="Q293" s="92"/>
      <c r="R293" s="120">
        <f t="shared" si="25"/>
        <v>0</v>
      </c>
      <c r="S293" s="93"/>
      <c r="T293" s="117"/>
      <c r="U293" s="117"/>
      <c r="V293" s="85"/>
      <c r="W293" s="146"/>
      <c r="X293" s="137"/>
      <c r="Y293" s="137"/>
      <c r="Z293" s="137"/>
      <c r="AA293" s="137"/>
      <c r="AB293" s="137"/>
      <c r="AC293" s="137"/>
      <c r="AD293" s="137"/>
      <c r="AE293" s="137"/>
      <c r="AF293" s="141"/>
      <c r="AG293" s="146"/>
      <c r="AH293" s="146"/>
      <c r="AI293" s="146"/>
      <c r="AJ293" s="146"/>
      <c r="AK293" s="146"/>
      <c r="AL293" s="81"/>
      <c r="AM293" s="81"/>
      <c r="AN293" s="152"/>
      <c r="AO293" s="152"/>
      <c r="AP293" s="152"/>
      <c r="AQ293" s="152"/>
      <c r="AR293" s="81"/>
      <c r="AS293" s="81"/>
      <c r="AT293" s="82"/>
      <c r="AU293" s="82"/>
      <c r="AV293" s="176"/>
      <c r="AW293" s="89"/>
      <c r="AX293" s="89"/>
      <c r="AY293" s="89"/>
      <c r="AZ293" s="89"/>
      <c r="BA293" s="89"/>
      <c r="BB293" s="89"/>
      <c r="BC293" s="89"/>
      <c r="BD293" s="89"/>
      <c r="BE293" s="141"/>
      <c r="BF293" s="176"/>
      <c r="BG293" s="176"/>
      <c r="BH293" s="176"/>
      <c r="BI293" s="176"/>
    </row>
    <row r="294" spans="1:61" s="90" customFormat="1">
      <c r="A294" s="83"/>
      <c r="B294" s="85"/>
      <c r="C294" s="84"/>
      <c r="D294" s="112"/>
      <c r="E294" s="112"/>
      <c r="F294" s="112"/>
      <c r="G294" s="85"/>
      <c r="H294" s="120"/>
      <c r="I294" s="280"/>
      <c r="J294" s="120"/>
      <c r="K294" s="120" t="str">
        <f t="shared" si="24"/>
        <v/>
      </c>
      <c r="L294" s="287"/>
      <c r="M294" s="91"/>
      <c r="N294" s="99"/>
      <c r="O294" s="116"/>
      <c r="P294" s="86"/>
      <c r="Q294" s="92"/>
      <c r="R294" s="120">
        <f t="shared" si="25"/>
        <v>0</v>
      </c>
      <c r="S294" s="93"/>
      <c r="T294" s="117"/>
      <c r="U294" s="117"/>
      <c r="V294" s="85"/>
      <c r="W294" s="146"/>
      <c r="X294" s="137"/>
      <c r="Y294" s="137"/>
      <c r="Z294" s="137"/>
      <c r="AA294" s="137"/>
      <c r="AB294" s="137"/>
      <c r="AC294" s="137"/>
      <c r="AD294" s="137"/>
      <c r="AE294" s="137"/>
      <c r="AF294" s="141"/>
      <c r="AG294" s="146"/>
      <c r="AH294" s="146"/>
      <c r="AI294" s="146"/>
      <c r="AJ294" s="146"/>
      <c r="AK294" s="146"/>
      <c r="AL294" s="81"/>
      <c r="AM294" s="81"/>
      <c r="AN294" s="152"/>
      <c r="AO294" s="152"/>
      <c r="AP294" s="152"/>
      <c r="AQ294" s="152"/>
      <c r="AR294" s="81"/>
      <c r="AS294" s="81"/>
      <c r="AT294" s="82"/>
      <c r="AU294" s="82"/>
      <c r="AV294" s="176"/>
      <c r="AW294" s="89"/>
      <c r="AX294" s="89"/>
      <c r="AY294" s="89"/>
      <c r="AZ294" s="89"/>
      <c r="BA294" s="89"/>
      <c r="BB294" s="89"/>
      <c r="BC294" s="89"/>
      <c r="BD294" s="89"/>
      <c r="BE294" s="141"/>
      <c r="BF294" s="176"/>
      <c r="BG294" s="176"/>
      <c r="BH294" s="176"/>
      <c r="BI294" s="176"/>
    </row>
    <row r="295" spans="1:61" s="90" customFormat="1">
      <c r="A295" s="83"/>
      <c r="B295" s="85"/>
      <c r="C295" s="84"/>
      <c r="D295" s="112"/>
      <c r="E295" s="112"/>
      <c r="F295" s="112"/>
      <c r="G295" s="85"/>
      <c r="H295" s="120"/>
      <c r="I295" s="280"/>
      <c r="J295" s="120"/>
      <c r="K295" s="120" t="str">
        <f t="shared" si="24"/>
        <v/>
      </c>
      <c r="L295" s="287"/>
      <c r="M295" s="91"/>
      <c r="N295" s="99"/>
      <c r="O295" s="116"/>
      <c r="P295" s="86"/>
      <c r="Q295" s="92"/>
      <c r="R295" s="120">
        <f t="shared" si="25"/>
        <v>0</v>
      </c>
      <c r="S295" s="93"/>
      <c r="T295" s="117"/>
      <c r="U295" s="117"/>
      <c r="V295" s="85"/>
      <c r="W295" s="146"/>
      <c r="X295" s="137"/>
      <c r="Y295" s="137"/>
      <c r="Z295" s="137"/>
      <c r="AA295" s="137"/>
      <c r="AB295" s="137"/>
      <c r="AC295" s="137"/>
      <c r="AD295" s="137"/>
      <c r="AE295" s="137"/>
      <c r="AF295" s="141"/>
      <c r="AG295" s="146"/>
      <c r="AH295" s="146"/>
      <c r="AI295" s="146"/>
      <c r="AJ295" s="146"/>
      <c r="AK295" s="146"/>
      <c r="AL295" s="81"/>
      <c r="AM295" s="81"/>
      <c r="AN295" s="152"/>
      <c r="AO295" s="152"/>
      <c r="AP295" s="152"/>
      <c r="AQ295" s="152"/>
      <c r="AR295" s="81"/>
      <c r="AS295" s="81"/>
      <c r="AT295" s="82"/>
      <c r="AU295" s="82"/>
      <c r="AV295" s="176"/>
      <c r="AW295" s="89"/>
      <c r="AX295" s="89"/>
      <c r="AY295" s="89"/>
      <c r="AZ295" s="89"/>
      <c r="BA295" s="89"/>
      <c r="BB295" s="89"/>
      <c r="BC295" s="89"/>
      <c r="BD295" s="89"/>
      <c r="BE295" s="141"/>
      <c r="BF295" s="176"/>
      <c r="BG295" s="176"/>
      <c r="BH295" s="176"/>
      <c r="BI295" s="176"/>
    </row>
    <row r="296" spans="1:61" s="90" customFormat="1">
      <c r="A296" s="83"/>
      <c r="B296" s="85"/>
      <c r="C296" s="84"/>
      <c r="D296" s="112"/>
      <c r="E296" s="112"/>
      <c r="F296" s="112"/>
      <c r="G296" s="85"/>
      <c r="H296" s="120"/>
      <c r="I296" s="280"/>
      <c r="J296" s="120"/>
      <c r="K296" s="120" t="str">
        <f t="shared" si="24"/>
        <v/>
      </c>
      <c r="L296" s="287"/>
      <c r="M296" s="91"/>
      <c r="N296" s="99"/>
      <c r="O296" s="116"/>
      <c r="P296" s="86"/>
      <c r="Q296" s="92"/>
      <c r="R296" s="120">
        <f t="shared" si="25"/>
        <v>0</v>
      </c>
      <c r="S296" s="93"/>
      <c r="T296" s="117"/>
      <c r="U296" s="117"/>
      <c r="V296" s="85"/>
      <c r="W296" s="146"/>
      <c r="X296" s="137"/>
      <c r="Y296" s="137"/>
      <c r="Z296" s="137"/>
      <c r="AA296" s="137"/>
      <c r="AB296" s="137"/>
      <c r="AC296" s="137"/>
      <c r="AD296" s="137"/>
      <c r="AE296" s="137"/>
      <c r="AF296" s="141"/>
      <c r="AG296" s="146"/>
      <c r="AH296" s="146"/>
      <c r="AI296" s="146"/>
      <c r="AJ296" s="146"/>
      <c r="AK296" s="146"/>
      <c r="AL296" s="81"/>
      <c r="AM296" s="81"/>
      <c r="AN296" s="152"/>
      <c r="AO296" s="152"/>
      <c r="AP296" s="152"/>
      <c r="AQ296" s="152"/>
      <c r="AR296" s="81"/>
      <c r="AS296" s="81"/>
      <c r="AT296" s="82"/>
      <c r="AU296" s="82"/>
      <c r="AV296" s="176"/>
      <c r="AW296" s="89"/>
      <c r="AX296" s="89"/>
      <c r="AY296" s="89"/>
      <c r="AZ296" s="89"/>
      <c r="BA296" s="89"/>
      <c r="BB296" s="89"/>
      <c r="BC296" s="89"/>
      <c r="BD296" s="89"/>
      <c r="BE296" s="141"/>
      <c r="BF296" s="176"/>
      <c r="BG296" s="176"/>
      <c r="BH296" s="176"/>
      <c r="BI296" s="176"/>
    </row>
    <row r="297" spans="1:61" s="90" customFormat="1">
      <c r="A297" s="83"/>
      <c r="B297" s="85"/>
      <c r="C297" s="84"/>
      <c r="D297" s="112"/>
      <c r="E297" s="112"/>
      <c r="F297" s="112"/>
      <c r="G297" s="85"/>
      <c r="H297" s="120"/>
      <c r="I297" s="280"/>
      <c r="J297" s="120"/>
      <c r="K297" s="120" t="str">
        <f t="shared" si="24"/>
        <v/>
      </c>
      <c r="L297" s="287"/>
      <c r="M297" s="91"/>
      <c r="N297" s="99"/>
      <c r="O297" s="116"/>
      <c r="P297" s="86"/>
      <c r="Q297" s="92"/>
      <c r="R297" s="120">
        <f t="shared" si="25"/>
        <v>0</v>
      </c>
      <c r="S297" s="93"/>
      <c r="T297" s="117"/>
      <c r="U297" s="117"/>
      <c r="V297" s="85"/>
      <c r="W297" s="146"/>
      <c r="X297" s="137"/>
      <c r="Y297" s="137"/>
      <c r="Z297" s="137"/>
      <c r="AA297" s="137"/>
      <c r="AB297" s="137"/>
      <c r="AC297" s="137"/>
      <c r="AD297" s="137"/>
      <c r="AE297" s="137"/>
      <c r="AF297" s="141"/>
      <c r="AG297" s="146"/>
      <c r="AH297" s="146"/>
      <c r="AI297" s="146"/>
      <c r="AJ297" s="146"/>
      <c r="AK297" s="146"/>
      <c r="AL297" s="81"/>
      <c r="AM297" s="81"/>
      <c r="AN297" s="152"/>
      <c r="AO297" s="152"/>
      <c r="AP297" s="152"/>
      <c r="AQ297" s="152"/>
      <c r="AR297" s="81"/>
      <c r="AS297" s="81"/>
      <c r="AT297" s="82"/>
      <c r="AU297" s="82"/>
      <c r="AV297" s="176"/>
      <c r="AW297" s="89"/>
      <c r="AX297" s="89"/>
      <c r="AY297" s="89"/>
      <c r="AZ297" s="89"/>
      <c r="BA297" s="89"/>
      <c r="BB297" s="89"/>
      <c r="BC297" s="89"/>
      <c r="BD297" s="89"/>
      <c r="BE297" s="141"/>
      <c r="BF297" s="176"/>
      <c r="BG297" s="176"/>
      <c r="BH297" s="176"/>
      <c r="BI297" s="176"/>
    </row>
    <row r="298" spans="1:61" s="90" customFormat="1">
      <c r="A298" s="83"/>
      <c r="B298" s="85"/>
      <c r="C298" s="84"/>
      <c r="D298" s="112"/>
      <c r="E298" s="112"/>
      <c r="F298" s="112"/>
      <c r="G298" s="85"/>
      <c r="H298" s="120"/>
      <c r="I298" s="280"/>
      <c r="J298" s="120"/>
      <c r="K298" s="120" t="str">
        <f t="shared" si="24"/>
        <v/>
      </c>
      <c r="L298" s="287"/>
      <c r="M298" s="91"/>
      <c r="N298" s="99"/>
      <c r="O298" s="116"/>
      <c r="P298" s="86"/>
      <c r="Q298" s="92"/>
      <c r="R298" s="120">
        <f t="shared" si="25"/>
        <v>0</v>
      </c>
      <c r="S298" s="93"/>
      <c r="T298" s="117"/>
      <c r="U298" s="117"/>
      <c r="V298" s="85"/>
      <c r="W298" s="146"/>
      <c r="X298" s="137"/>
      <c r="Y298" s="137"/>
      <c r="Z298" s="137"/>
      <c r="AA298" s="137"/>
      <c r="AB298" s="137"/>
      <c r="AC298" s="137"/>
      <c r="AD298" s="137"/>
      <c r="AE298" s="137"/>
      <c r="AF298" s="141"/>
      <c r="AG298" s="146"/>
      <c r="AH298" s="146"/>
      <c r="AI298" s="146"/>
      <c r="AJ298" s="146"/>
      <c r="AK298" s="146"/>
      <c r="AL298" s="81"/>
      <c r="AM298" s="81"/>
      <c r="AN298" s="152"/>
      <c r="AO298" s="152"/>
      <c r="AP298" s="152"/>
      <c r="AQ298" s="152"/>
      <c r="AR298" s="81"/>
      <c r="AS298" s="81"/>
      <c r="AT298" s="82"/>
      <c r="AU298" s="82"/>
      <c r="AV298" s="176"/>
      <c r="AW298" s="89"/>
      <c r="AX298" s="89"/>
      <c r="AY298" s="89"/>
      <c r="AZ298" s="89"/>
      <c r="BA298" s="89"/>
      <c r="BB298" s="89"/>
      <c r="BC298" s="89"/>
      <c r="BD298" s="89"/>
      <c r="BE298" s="141"/>
      <c r="BF298" s="176"/>
      <c r="BG298" s="176"/>
      <c r="BH298" s="176"/>
      <c r="BI298" s="176"/>
    </row>
    <row r="299" spans="1:61" s="90" customFormat="1">
      <c r="A299" s="83"/>
      <c r="B299" s="85"/>
      <c r="C299" s="84"/>
      <c r="D299" s="112"/>
      <c r="E299" s="112"/>
      <c r="F299" s="112"/>
      <c r="G299" s="85"/>
      <c r="H299" s="120"/>
      <c r="I299" s="280"/>
      <c r="J299" s="120"/>
      <c r="K299" s="120" t="str">
        <f t="shared" si="24"/>
        <v/>
      </c>
      <c r="L299" s="287"/>
      <c r="M299" s="91"/>
      <c r="N299" s="99"/>
      <c r="O299" s="116"/>
      <c r="P299" s="86"/>
      <c r="Q299" s="92"/>
      <c r="R299" s="120">
        <f t="shared" si="25"/>
        <v>0</v>
      </c>
      <c r="S299" s="93"/>
      <c r="T299" s="117"/>
      <c r="U299" s="117"/>
      <c r="V299" s="85"/>
      <c r="W299" s="146"/>
      <c r="X299" s="137"/>
      <c r="Y299" s="137"/>
      <c r="Z299" s="137"/>
      <c r="AA299" s="137"/>
      <c r="AB299" s="137"/>
      <c r="AC299" s="137"/>
      <c r="AD299" s="137"/>
      <c r="AE299" s="137"/>
      <c r="AF299" s="141"/>
      <c r="AG299" s="146"/>
      <c r="AH299" s="146"/>
      <c r="AI299" s="146"/>
      <c r="AJ299" s="146"/>
      <c r="AK299" s="146"/>
      <c r="AL299" s="81"/>
      <c r="AM299" s="81"/>
      <c r="AN299" s="152"/>
      <c r="AO299" s="152"/>
      <c r="AP299" s="152"/>
      <c r="AQ299" s="152"/>
      <c r="AR299" s="81"/>
      <c r="AS299" s="81"/>
      <c r="AT299" s="82"/>
      <c r="AU299" s="82"/>
      <c r="AV299" s="176"/>
      <c r="AW299" s="89"/>
      <c r="AX299" s="89"/>
      <c r="AY299" s="89"/>
      <c r="AZ299" s="89"/>
      <c r="BA299" s="89"/>
      <c r="BB299" s="89"/>
      <c r="BC299" s="89"/>
      <c r="BD299" s="89"/>
      <c r="BE299" s="141"/>
      <c r="BF299" s="176"/>
      <c r="BG299" s="176"/>
      <c r="BH299" s="176"/>
      <c r="BI299" s="176"/>
    </row>
    <row r="300" spans="1:61" s="90" customFormat="1">
      <c r="A300" s="83"/>
      <c r="B300" s="85"/>
      <c r="C300" s="84"/>
      <c r="D300" s="112"/>
      <c r="E300" s="112"/>
      <c r="F300" s="112"/>
      <c r="G300" s="85"/>
      <c r="H300" s="120"/>
      <c r="I300" s="280"/>
      <c r="J300" s="120"/>
      <c r="K300" s="120" t="str">
        <f t="shared" si="24"/>
        <v/>
      </c>
      <c r="L300" s="287"/>
      <c r="M300" s="91"/>
      <c r="N300" s="99"/>
      <c r="O300" s="116"/>
      <c r="P300" s="86"/>
      <c r="Q300" s="92"/>
      <c r="R300" s="120">
        <f t="shared" si="25"/>
        <v>0</v>
      </c>
      <c r="S300" s="93"/>
      <c r="T300" s="117"/>
      <c r="U300" s="117"/>
      <c r="V300" s="85"/>
      <c r="W300" s="146"/>
      <c r="X300" s="137"/>
      <c r="Y300" s="137"/>
      <c r="Z300" s="137"/>
      <c r="AA300" s="137"/>
      <c r="AB300" s="137"/>
      <c r="AC300" s="137"/>
      <c r="AD300" s="137"/>
      <c r="AE300" s="137"/>
      <c r="AF300" s="141"/>
      <c r="AG300" s="146"/>
      <c r="AH300" s="146"/>
      <c r="AI300" s="146"/>
      <c r="AJ300" s="146"/>
      <c r="AK300" s="146"/>
      <c r="AL300" s="81"/>
      <c r="AM300" s="81"/>
      <c r="AN300" s="152"/>
      <c r="AO300" s="152"/>
      <c r="AP300" s="152"/>
      <c r="AQ300" s="152"/>
      <c r="AR300" s="81"/>
      <c r="AS300" s="81"/>
      <c r="AT300" s="82"/>
      <c r="AU300" s="82"/>
      <c r="AV300" s="176"/>
      <c r="AW300" s="89"/>
      <c r="AX300" s="89"/>
      <c r="AY300" s="89"/>
      <c r="AZ300" s="89"/>
      <c r="BA300" s="89"/>
      <c r="BB300" s="89"/>
      <c r="BC300" s="89"/>
      <c r="BD300" s="89"/>
      <c r="BE300" s="141"/>
      <c r="BF300" s="176"/>
      <c r="BG300" s="176"/>
      <c r="BH300" s="176"/>
      <c r="BI300" s="176"/>
    </row>
    <row r="301" spans="1:61" s="90" customFormat="1">
      <c r="A301" s="83"/>
      <c r="B301" s="85"/>
      <c r="C301" s="84"/>
      <c r="D301" s="112"/>
      <c r="E301" s="112"/>
      <c r="F301" s="112"/>
      <c r="G301" s="85"/>
      <c r="H301" s="120"/>
      <c r="I301" s="280"/>
      <c r="J301" s="120"/>
      <c r="K301" s="120" t="str">
        <f t="shared" si="24"/>
        <v/>
      </c>
      <c r="L301" s="287"/>
      <c r="M301" s="91"/>
      <c r="N301" s="99"/>
      <c r="O301" s="116"/>
      <c r="P301" s="86"/>
      <c r="Q301" s="92"/>
      <c r="R301" s="120">
        <f t="shared" si="25"/>
        <v>0</v>
      </c>
      <c r="S301" s="93"/>
      <c r="T301" s="117"/>
      <c r="U301" s="117"/>
      <c r="V301" s="85"/>
      <c r="W301" s="146"/>
      <c r="X301" s="137"/>
      <c r="Y301" s="137"/>
      <c r="Z301" s="137"/>
      <c r="AA301" s="137"/>
      <c r="AB301" s="137"/>
      <c r="AC301" s="137"/>
      <c r="AD301" s="137"/>
      <c r="AE301" s="137"/>
      <c r="AF301" s="141"/>
      <c r="AG301" s="146"/>
      <c r="AH301" s="146"/>
      <c r="AI301" s="146"/>
      <c r="AJ301" s="146"/>
      <c r="AK301" s="146"/>
      <c r="AL301" s="81"/>
      <c r="AM301" s="81"/>
      <c r="AN301" s="152"/>
      <c r="AO301" s="152"/>
      <c r="AP301" s="152"/>
      <c r="AQ301" s="152"/>
      <c r="AR301" s="81"/>
      <c r="AS301" s="81"/>
      <c r="AT301" s="82"/>
      <c r="AU301" s="82"/>
      <c r="AV301" s="176"/>
      <c r="AW301" s="89"/>
      <c r="AX301" s="89"/>
      <c r="AY301" s="89"/>
      <c r="AZ301" s="89"/>
      <c r="BA301" s="89"/>
      <c r="BB301" s="89"/>
      <c r="BC301" s="89"/>
      <c r="BD301" s="89"/>
      <c r="BE301" s="141"/>
      <c r="BF301" s="176"/>
      <c r="BG301" s="176"/>
      <c r="BH301" s="176"/>
      <c r="BI301" s="176"/>
    </row>
    <row r="302" spans="1:61" s="90" customFormat="1">
      <c r="A302" s="83"/>
      <c r="B302" s="85"/>
      <c r="C302" s="84"/>
      <c r="D302" s="112"/>
      <c r="E302" s="112"/>
      <c r="F302" s="112"/>
      <c r="G302" s="85"/>
      <c r="H302" s="120"/>
      <c r="I302" s="280"/>
      <c r="J302" s="120"/>
      <c r="K302" s="120" t="str">
        <f t="shared" si="24"/>
        <v/>
      </c>
      <c r="L302" s="287"/>
      <c r="M302" s="91"/>
      <c r="N302" s="99"/>
      <c r="O302" s="116"/>
      <c r="P302" s="86"/>
      <c r="Q302" s="92"/>
      <c r="R302" s="120">
        <f t="shared" si="25"/>
        <v>0</v>
      </c>
      <c r="S302" s="93"/>
      <c r="T302" s="117"/>
      <c r="U302" s="117"/>
      <c r="V302" s="85"/>
      <c r="W302" s="146"/>
      <c r="X302" s="137"/>
      <c r="Y302" s="137"/>
      <c r="Z302" s="137"/>
      <c r="AA302" s="137"/>
      <c r="AB302" s="137"/>
      <c r="AC302" s="137"/>
      <c r="AD302" s="137"/>
      <c r="AE302" s="137"/>
      <c r="AF302" s="141"/>
      <c r="AG302" s="146"/>
      <c r="AH302" s="146"/>
      <c r="AI302" s="146"/>
      <c r="AJ302" s="146"/>
      <c r="AK302" s="146"/>
      <c r="AL302" s="81"/>
      <c r="AM302" s="81"/>
      <c r="AN302" s="152"/>
      <c r="AO302" s="152"/>
      <c r="AP302" s="152"/>
      <c r="AQ302" s="152"/>
      <c r="AR302" s="81"/>
      <c r="AS302" s="81"/>
      <c r="AT302" s="82"/>
      <c r="AU302" s="82"/>
      <c r="AV302" s="176"/>
      <c r="AW302" s="89"/>
      <c r="AX302" s="89"/>
      <c r="AY302" s="89"/>
      <c r="AZ302" s="89"/>
      <c r="BA302" s="89"/>
      <c r="BB302" s="89"/>
      <c r="BC302" s="89"/>
      <c r="BD302" s="89"/>
      <c r="BE302" s="141"/>
      <c r="BF302" s="176"/>
      <c r="BG302" s="176"/>
      <c r="BH302" s="176"/>
      <c r="BI302" s="176"/>
    </row>
    <row r="303" spans="1:61" s="90" customFormat="1">
      <c r="A303" s="83"/>
      <c r="B303" s="85"/>
      <c r="C303" s="84"/>
      <c r="D303" s="112"/>
      <c r="E303" s="112"/>
      <c r="F303" s="112"/>
      <c r="G303" s="85"/>
      <c r="H303" s="120"/>
      <c r="I303" s="280"/>
      <c r="J303" s="120"/>
      <c r="K303" s="120" t="str">
        <f t="shared" si="24"/>
        <v/>
      </c>
      <c r="L303" s="287"/>
      <c r="M303" s="91"/>
      <c r="N303" s="99"/>
      <c r="O303" s="116"/>
      <c r="P303" s="86"/>
      <c r="Q303" s="92"/>
      <c r="R303" s="120">
        <f t="shared" si="25"/>
        <v>0</v>
      </c>
      <c r="S303" s="93"/>
      <c r="T303" s="117"/>
      <c r="U303" s="117"/>
      <c r="V303" s="85"/>
      <c r="W303" s="146"/>
      <c r="X303" s="137"/>
      <c r="Y303" s="137"/>
      <c r="Z303" s="137"/>
      <c r="AA303" s="137"/>
      <c r="AB303" s="137"/>
      <c r="AC303" s="137"/>
      <c r="AD303" s="137"/>
      <c r="AE303" s="137"/>
      <c r="AF303" s="141"/>
      <c r="AG303" s="146"/>
      <c r="AH303" s="146"/>
      <c r="AI303" s="146"/>
      <c r="AJ303" s="146"/>
      <c r="AK303" s="146"/>
      <c r="AL303" s="81"/>
      <c r="AM303" s="81"/>
      <c r="AN303" s="152"/>
      <c r="AO303" s="152"/>
      <c r="AP303" s="152"/>
      <c r="AQ303" s="152"/>
      <c r="AR303" s="81"/>
      <c r="AS303" s="81"/>
      <c r="AT303" s="82"/>
      <c r="AU303" s="82"/>
      <c r="AV303" s="176"/>
      <c r="AW303" s="89"/>
      <c r="AX303" s="89"/>
      <c r="AY303" s="89"/>
      <c r="AZ303" s="89"/>
      <c r="BA303" s="89"/>
      <c r="BB303" s="89"/>
      <c r="BC303" s="89"/>
      <c r="BD303" s="89"/>
      <c r="BE303" s="141"/>
      <c r="BF303" s="176"/>
      <c r="BG303" s="176"/>
      <c r="BH303" s="176"/>
      <c r="BI303" s="176"/>
    </row>
    <row r="304" spans="1:61" s="90" customFormat="1">
      <c r="A304" s="83"/>
      <c r="B304" s="85"/>
      <c r="C304" s="84"/>
      <c r="D304" s="112"/>
      <c r="E304" s="112"/>
      <c r="F304" s="112"/>
      <c r="G304" s="85"/>
      <c r="H304" s="120"/>
      <c r="I304" s="280"/>
      <c r="J304" s="120"/>
      <c r="K304" s="120" t="str">
        <f t="shared" si="24"/>
        <v/>
      </c>
      <c r="L304" s="287"/>
      <c r="M304" s="91"/>
      <c r="N304" s="99"/>
      <c r="O304" s="116"/>
      <c r="P304" s="86"/>
      <c r="Q304" s="92"/>
      <c r="R304" s="120">
        <f t="shared" si="25"/>
        <v>0</v>
      </c>
      <c r="S304" s="93"/>
      <c r="T304" s="117"/>
      <c r="U304" s="117"/>
      <c r="V304" s="85"/>
      <c r="W304" s="146"/>
      <c r="X304" s="137"/>
      <c r="Y304" s="137"/>
      <c r="Z304" s="137"/>
      <c r="AA304" s="137"/>
      <c r="AB304" s="137"/>
      <c r="AC304" s="137"/>
      <c r="AD304" s="137"/>
      <c r="AE304" s="137"/>
      <c r="AF304" s="141"/>
      <c r="AG304" s="146"/>
      <c r="AH304" s="146"/>
      <c r="AI304" s="146"/>
      <c r="AJ304" s="146"/>
      <c r="AK304" s="146"/>
      <c r="AL304" s="81"/>
      <c r="AM304" s="81"/>
      <c r="AN304" s="152"/>
      <c r="AO304" s="152"/>
      <c r="AP304" s="152"/>
      <c r="AQ304" s="152"/>
      <c r="AR304" s="81"/>
      <c r="AS304" s="81"/>
      <c r="AT304" s="82"/>
      <c r="AU304" s="82"/>
      <c r="AV304" s="176"/>
      <c r="AW304" s="89"/>
      <c r="AX304" s="89"/>
      <c r="AY304" s="89"/>
      <c r="AZ304" s="89"/>
      <c r="BA304" s="89"/>
      <c r="BB304" s="89"/>
      <c r="BC304" s="89"/>
      <c r="BD304" s="89"/>
      <c r="BE304" s="141"/>
      <c r="BF304" s="176"/>
      <c r="BG304" s="176"/>
      <c r="BH304" s="176"/>
      <c r="BI304" s="176"/>
    </row>
    <row r="305" spans="1:61" s="90" customFormat="1">
      <c r="A305" s="83"/>
      <c r="B305" s="85"/>
      <c r="C305" s="84"/>
      <c r="D305" s="112"/>
      <c r="E305" s="112"/>
      <c r="F305" s="112"/>
      <c r="G305" s="85"/>
      <c r="H305" s="120"/>
      <c r="I305" s="280"/>
      <c r="J305" s="120"/>
      <c r="K305" s="120" t="str">
        <f t="shared" si="24"/>
        <v/>
      </c>
      <c r="L305" s="287"/>
      <c r="M305" s="91"/>
      <c r="N305" s="99"/>
      <c r="O305" s="116"/>
      <c r="P305" s="86"/>
      <c r="Q305" s="92"/>
      <c r="R305" s="120">
        <f t="shared" si="25"/>
        <v>0</v>
      </c>
      <c r="S305" s="93"/>
      <c r="T305" s="117"/>
      <c r="U305" s="117"/>
      <c r="V305" s="85"/>
      <c r="W305" s="146"/>
      <c r="X305" s="137"/>
      <c r="Y305" s="137"/>
      <c r="Z305" s="137"/>
      <c r="AA305" s="137"/>
      <c r="AB305" s="137"/>
      <c r="AC305" s="137"/>
      <c r="AD305" s="137"/>
      <c r="AE305" s="137"/>
      <c r="AF305" s="141"/>
      <c r="AG305" s="146"/>
      <c r="AH305" s="146"/>
      <c r="AI305" s="146"/>
      <c r="AJ305" s="146"/>
      <c r="AK305" s="146"/>
      <c r="AL305" s="81"/>
      <c r="AM305" s="81"/>
      <c r="AN305" s="152"/>
      <c r="AO305" s="152"/>
      <c r="AP305" s="152"/>
      <c r="AQ305" s="152"/>
      <c r="AR305" s="81"/>
      <c r="AS305" s="81"/>
      <c r="AT305" s="82"/>
      <c r="AU305" s="82"/>
      <c r="AV305" s="176"/>
      <c r="AW305" s="89"/>
      <c r="AX305" s="89"/>
      <c r="AY305" s="89"/>
      <c r="AZ305" s="89"/>
      <c r="BA305" s="89"/>
      <c r="BB305" s="89"/>
      <c r="BC305" s="89"/>
      <c r="BD305" s="89"/>
      <c r="BE305" s="141"/>
      <c r="BF305" s="176"/>
      <c r="BG305" s="176"/>
      <c r="BH305" s="176"/>
      <c r="BI305" s="176"/>
    </row>
    <row r="306" spans="1:61" s="90" customFormat="1">
      <c r="A306" s="83"/>
      <c r="B306" s="85"/>
      <c r="C306" s="84"/>
      <c r="D306" s="112"/>
      <c r="E306" s="112"/>
      <c r="F306" s="112"/>
      <c r="G306" s="85"/>
      <c r="H306" s="120"/>
      <c r="I306" s="280"/>
      <c r="J306" s="120"/>
      <c r="K306" s="120" t="str">
        <f t="shared" si="24"/>
        <v/>
      </c>
      <c r="L306" s="287"/>
      <c r="M306" s="91"/>
      <c r="N306" s="99"/>
      <c r="O306" s="116"/>
      <c r="P306" s="86"/>
      <c r="Q306" s="92"/>
      <c r="R306" s="120">
        <f t="shared" si="25"/>
        <v>0</v>
      </c>
      <c r="S306" s="93"/>
      <c r="T306" s="117"/>
      <c r="U306" s="117"/>
      <c r="V306" s="85"/>
      <c r="W306" s="146"/>
      <c r="X306" s="137"/>
      <c r="Y306" s="137"/>
      <c r="Z306" s="137"/>
      <c r="AA306" s="137"/>
      <c r="AB306" s="137"/>
      <c r="AC306" s="137"/>
      <c r="AD306" s="137"/>
      <c r="AE306" s="137"/>
      <c r="AF306" s="141"/>
      <c r="AG306" s="146"/>
      <c r="AH306" s="146"/>
      <c r="AI306" s="146"/>
      <c r="AJ306" s="146"/>
      <c r="AK306" s="146"/>
      <c r="AL306" s="81"/>
      <c r="AM306" s="81"/>
      <c r="AN306" s="152"/>
      <c r="AO306" s="152"/>
      <c r="AP306" s="152"/>
      <c r="AQ306" s="152"/>
      <c r="AR306" s="81"/>
      <c r="AS306" s="81"/>
      <c r="AT306" s="82"/>
      <c r="AU306" s="82"/>
      <c r="AV306" s="176"/>
      <c r="AW306" s="89"/>
      <c r="AX306" s="89"/>
      <c r="AY306" s="89"/>
      <c r="AZ306" s="89"/>
      <c r="BA306" s="89"/>
      <c r="BB306" s="89"/>
      <c r="BC306" s="89"/>
      <c r="BD306" s="89"/>
      <c r="BE306" s="141"/>
      <c r="BF306" s="176"/>
      <c r="BG306" s="176"/>
      <c r="BH306" s="176"/>
      <c r="BI306" s="176"/>
    </row>
    <row r="307" spans="1:61" s="90" customFormat="1">
      <c r="A307" s="83"/>
      <c r="B307" s="85"/>
      <c r="C307" s="84"/>
      <c r="D307" s="112"/>
      <c r="E307" s="112"/>
      <c r="F307" s="112"/>
      <c r="G307" s="85"/>
      <c r="H307" s="120"/>
      <c r="I307" s="280"/>
      <c r="J307" s="120"/>
      <c r="K307" s="120" t="str">
        <f t="shared" si="24"/>
        <v/>
      </c>
      <c r="L307" s="287"/>
      <c r="M307" s="91"/>
      <c r="N307" s="99"/>
      <c r="O307" s="116"/>
      <c r="P307" s="86"/>
      <c r="Q307" s="92"/>
      <c r="R307" s="120">
        <f t="shared" si="25"/>
        <v>0</v>
      </c>
      <c r="S307" s="93"/>
      <c r="T307" s="117"/>
      <c r="U307" s="117"/>
      <c r="V307" s="85"/>
      <c r="W307" s="146"/>
      <c r="X307" s="137"/>
      <c r="Y307" s="137"/>
      <c r="Z307" s="137"/>
      <c r="AA307" s="137"/>
      <c r="AB307" s="137"/>
      <c r="AC307" s="137"/>
      <c r="AD307" s="137"/>
      <c r="AE307" s="137"/>
      <c r="AF307" s="141"/>
      <c r="AG307" s="146"/>
      <c r="AH307" s="146"/>
      <c r="AI307" s="146"/>
      <c r="AJ307" s="146"/>
      <c r="AK307" s="146"/>
      <c r="AL307" s="81"/>
      <c r="AM307" s="81"/>
      <c r="AN307" s="152"/>
      <c r="AO307" s="152"/>
      <c r="AP307" s="152"/>
      <c r="AQ307" s="152"/>
      <c r="AR307" s="81"/>
      <c r="AS307" s="81"/>
      <c r="AT307" s="82"/>
      <c r="AU307" s="82"/>
      <c r="AV307" s="176"/>
      <c r="AW307" s="89"/>
      <c r="AX307" s="89"/>
      <c r="AY307" s="89"/>
      <c r="AZ307" s="89"/>
      <c r="BA307" s="89"/>
      <c r="BB307" s="89"/>
      <c r="BC307" s="89"/>
      <c r="BD307" s="89"/>
      <c r="BE307" s="141"/>
      <c r="BF307" s="176"/>
      <c r="BG307" s="176"/>
      <c r="BH307" s="176"/>
      <c r="BI307" s="176"/>
    </row>
    <row r="308" spans="1:61" s="90" customFormat="1">
      <c r="A308" s="83"/>
      <c r="B308" s="85"/>
      <c r="C308" s="84"/>
      <c r="D308" s="112"/>
      <c r="E308" s="112"/>
      <c r="F308" s="112"/>
      <c r="G308" s="85"/>
      <c r="H308" s="120"/>
      <c r="I308" s="280"/>
      <c r="J308" s="120"/>
      <c r="K308" s="120" t="str">
        <f t="shared" si="24"/>
        <v/>
      </c>
      <c r="L308" s="287"/>
      <c r="M308" s="91"/>
      <c r="N308" s="99"/>
      <c r="O308" s="116"/>
      <c r="P308" s="86"/>
      <c r="Q308" s="92"/>
      <c r="R308" s="120">
        <f t="shared" si="25"/>
        <v>0</v>
      </c>
      <c r="S308" s="93"/>
      <c r="T308" s="117"/>
      <c r="U308" s="117"/>
      <c r="V308" s="85"/>
      <c r="W308" s="146"/>
      <c r="X308" s="137"/>
      <c r="Y308" s="137"/>
      <c r="Z308" s="137"/>
      <c r="AA308" s="137"/>
      <c r="AB308" s="137"/>
      <c r="AC308" s="137"/>
      <c r="AD308" s="137"/>
      <c r="AE308" s="137"/>
      <c r="AF308" s="141"/>
      <c r="AG308" s="146"/>
      <c r="AH308" s="146"/>
      <c r="AI308" s="146"/>
      <c r="AJ308" s="146"/>
      <c r="AK308" s="146"/>
      <c r="AL308" s="81"/>
      <c r="AM308" s="81"/>
      <c r="AN308" s="152"/>
      <c r="AO308" s="152"/>
      <c r="AP308" s="152"/>
      <c r="AQ308" s="152"/>
      <c r="AR308" s="81"/>
      <c r="AS308" s="81"/>
      <c r="AT308" s="82"/>
      <c r="AU308" s="82"/>
      <c r="AV308" s="176"/>
      <c r="AW308" s="89"/>
      <c r="AX308" s="89"/>
      <c r="AY308" s="89"/>
      <c r="AZ308" s="89"/>
      <c r="BA308" s="89"/>
      <c r="BB308" s="89"/>
      <c r="BC308" s="89"/>
      <c r="BD308" s="89"/>
      <c r="BE308" s="141"/>
      <c r="BF308" s="176"/>
      <c r="BG308" s="176"/>
      <c r="BH308" s="176"/>
      <c r="BI308" s="176"/>
    </row>
    <row r="309" spans="1:61" s="90" customFormat="1">
      <c r="A309" s="83"/>
      <c r="B309" s="85"/>
      <c r="C309" s="84"/>
      <c r="D309" s="112"/>
      <c r="E309" s="112"/>
      <c r="F309" s="112"/>
      <c r="G309" s="85"/>
      <c r="H309" s="120"/>
      <c r="I309" s="280"/>
      <c r="J309" s="120"/>
      <c r="K309" s="120" t="str">
        <f t="shared" si="24"/>
        <v/>
      </c>
      <c r="L309" s="287"/>
      <c r="M309" s="91"/>
      <c r="N309" s="99"/>
      <c r="O309" s="116"/>
      <c r="P309" s="86"/>
      <c r="Q309" s="92"/>
      <c r="R309" s="120">
        <f t="shared" si="25"/>
        <v>0</v>
      </c>
      <c r="S309" s="93"/>
      <c r="T309" s="117"/>
      <c r="U309" s="117"/>
      <c r="V309" s="85"/>
      <c r="W309" s="146"/>
      <c r="X309" s="137"/>
      <c r="Y309" s="137"/>
      <c r="Z309" s="137"/>
      <c r="AA309" s="137"/>
      <c r="AB309" s="137"/>
      <c r="AC309" s="137"/>
      <c r="AD309" s="137"/>
      <c r="AE309" s="137"/>
      <c r="AF309" s="141"/>
      <c r="AG309" s="146"/>
      <c r="AH309" s="146"/>
      <c r="AI309" s="146"/>
      <c r="AJ309" s="146"/>
      <c r="AK309" s="146"/>
      <c r="AL309" s="81"/>
      <c r="AM309" s="81"/>
      <c r="AN309" s="152"/>
      <c r="AO309" s="152"/>
      <c r="AP309" s="152"/>
      <c r="AQ309" s="152"/>
      <c r="AR309" s="81"/>
      <c r="AS309" s="81"/>
      <c r="AT309" s="82"/>
      <c r="AU309" s="82"/>
      <c r="AV309" s="176"/>
      <c r="AW309" s="89"/>
      <c r="AX309" s="89"/>
      <c r="AY309" s="89"/>
      <c r="AZ309" s="89"/>
      <c r="BA309" s="89"/>
      <c r="BB309" s="89"/>
      <c r="BC309" s="89"/>
      <c r="BD309" s="89"/>
      <c r="BE309" s="141"/>
      <c r="BF309" s="176"/>
      <c r="BG309" s="176"/>
      <c r="BH309" s="176"/>
      <c r="BI309" s="176"/>
    </row>
    <row r="310" spans="1:61" s="90" customFormat="1">
      <c r="A310" s="83"/>
      <c r="B310" s="85"/>
      <c r="C310" s="84"/>
      <c r="D310" s="112"/>
      <c r="E310" s="112"/>
      <c r="F310" s="112"/>
      <c r="G310" s="85"/>
      <c r="H310" s="120"/>
      <c r="I310" s="280"/>
      <c r="J310" s="120"/>
      <c r="K310" s="120" t="str">
        <f t="shared" si="24"/>
        <v/>
      </c>
      <c r="L310" s="287"/>
      <c r="M310" s="91"/>
      <c r="N310" s="99"/>
      <c r="O310" s="116"/>
      <c r="P310" s="86"/>
      <c r="Q310" s="92"/>
      <c r="R310" s="120">
        <f t="shared" si="25"/>
        <v>0</v>
      </c>
      <c r="S310" s="93"/>
      <c r="T310" s="117"/>
      <c r="U310" s="117"/>
      <c r="V310" s="85"/>
      <c r="W310" s="146"/>
      <c r="X310" s="137"/>
      <c r="Y310" s="137"/>
      <c r="Z310" s="137"/>
      <c r="AA310" s="137"/>
      <c r="AB310" s="137"/>
      <c r="AC310" s="137"/>
      <c r="AD310" s="137"/>
      <c r="AE310" s="137"/>
      <c r="AF310" s="141"/>
      <c r="AG310" s="146"/>
      <c r="AH310" s="146"/>
      <c r="AI310" s="146"/>
      <c r="AJ310" s="146"/>
      <c r="AK310" s="146"/>
      <c r="AL310" s="81"/>
      <c r="AM310" s="81"/>
      <c r="AN310" s="152"/>
      <c r="AO310" s="152"/>
      <c r="AP310" s="152"/>
      <c r="AQ310" s="152"/>
      <c r="AR310" s="81"/>
      <c r="AS310" s="81"/>
      <c r="AT310" s="82"/>
      <c r="AU310" s="82"/>
      <c r="AV310" s="176"/>
      <c r="AW310" s="89"/>
      <c r="AX310" s="89"/>
      <c r="AY310" s="89"/>
      <c r="AZ310" s="89"/>
      <c r="BA310" s="89"/>
      <c r="BB310" s="89"/>
      <c r="BC310" s="89"/>
      <c r="BD310" s="89"/>
      <c r="BE310" s="141"/>
      <c r="BF310" s="176"/>
      <c r="BG310" s="176"/>
      <c r="BH310" s="176"/>
      <c r="BI310" s="176"/>
    </row>
    <row r="311" spans="1:61" s="90" customFormat="1">
      <c r="A311" s="83"/>
      <c r="B311" s="85"/>
      <c r="C311" s="84"/>
      <c r="D311" s="112"/>
      <c r="E311" s="112"/>
      <c r="F311" s="112"/>
      <c r="G311" s="85"/>
      <c r="H311" s="120"/>
      <c r="I311" s="280"/>
      <c r="J311" s="120"/>
      <c r="K311" s="120" t="str">
        <f t="shared" si="24"/>
        <v/>
      </c>
      <c r="L311" s="287"/>
      <c r="M311" s="91"/>
      <c r="N311" s="99"/>
      <c r="O311" s="116"/>
      <c r="P311" s="86"/>
      <c r="Q311" s="92"/>
      <c r="R311" s="120">
        <f t="shared" si="25"/>
        <v>0</v>
      </c>
      <c r="S311" s="93"/>
      <c r="T311" s="117"/>
      <c r="U311" s="117"/>
      <c r="V311" s="85"/>
      <c r="W311" s="146"/>
      <c r="X311" s="137"/>
      <c r="Y311" s="137"/>
      <c r="Z311" s="137"/>
      <c r="AA311" s="137"/>
      <c r="AB311" s="137"/>
      <c r="AC311" s="137"/>
      <c r="AD311" s="137"/>
      <c r="AE311" s="137"/>
      <c r="AF311" s="141"/>
      <c r="AG311" s="146"/>
      <c r="AH311" s="146"/>
      <c r="AI311" s="146"/>
      <c r="AJ311" s="146"/>
      <c r="AK311" s="146"/>
      <c r="AL311" s="81"/>
      <c r="AM311" s="81"/>
      <c r="AN311" s="152"/>
      <c r="AO311" s="152"/>
      <c r="AP311" s="152"/>
      <c r="AQ311" s="152"/>
      <c r="AR311" s="81"/>
      <c r="AS311" s="81"/>
      <c r="AT311" s="82"/>
      <c r="AU311" s="82"/>
      <c r="AV311" s="176"/>
      <c r="AW311" s="89"/>
      <c r="AX311" s="89"/>
      <c r="AY311" s="89"/>
      <c r="AZ311" s="89"/>
      <c r="BA311" s="89"/>
      <c r="BB311" s="89"/>
      <c r="BC311" s="89"/>
      <c r="BD311" s="89"/>
      <c r="BE311" s="141"/>
      <c r="BF311" s="176"/>
      <c r="BG311" s="176"/>
      <c r="BH311" s="176"/>
      <c r="BI311" s="176"/>
    </row>
    <row r="312" spans="1:61" s="90" customFormat="1">
      <c r="A312" s="83"/>
      <c r="B312" s="85"/>
      <c r="C312" s="84"/>
      <c r="D312" s="112"/>
      <c r="E312" s="112"/>
      <c r="F312" s="112"/>
      <c r="G312" s="85"/>
      <c r="H312" s="120"/>
      <c r="I312" s="280"/>
      <c r="J312" s="120"/>
      <c r="K312" s="120" t="str">
        <f t="shared" si="24"/>
        <v/>
      </c>
      <c r="L312" s="287"/>
      <c r="M312" s="91"/>
      <c r="N312" s="99"/>
      <c r="O312" s="116"/>
      <c r="P312" s="86"/>
      <c r="Q312" s="92"/>
      <c r="R312" s="120">
        <f t="shared" si="25"/>
        <v>0</v>
      </c>
      <c r="S312" s="93"/>
      <c r="T312" s="117"/>
      <c r="U312" s="117"/>
      <c r="V312" s="85"/>
      <c r="W312" s="146"/>
      <c r="X312" s="137"/>
      <c r="Y312" s="137"/>
      <c r="Z312" s="137"/>
      <c r="AA312" s="137"/>
      <c r="AB312" s="137"/>
      <c r="AC312" s="137"/>
      <c r="AD312" s="137"/>
      <c r="AE312" s="137"/>
      <c r="AF312" s="141"/>
      <c r="AG312" s="146"/>
      <c r="AH312" s="146"/>
      <c r="AI312" s="146"/>
      <c r="AJ312" s="146"/>
      <c r="AK312" s="146"/>
      <c r="AL312" s="81"/>
      <c r="AM312" s="81"/>
      <c r="AN312" s="152"/>
      <c r="AO312" s="152"/>
      <c r="AP312" s="152"/>
      <c r="AQ312" s="152"/>
      <c r="AR312" s="81"/>
      <c r="AS312" s="81"/>
      <c r="AT312" s="82"/>
      <c r="AU312" s="82"/>
      <c r="AV312" s="176"/>
      <c r="AW312" s="89"/>
      <c r="AX312" s="89"/>
      <c r="AY312" s="89"/>
      <c r="AZ312" s="89"/>
      <c r="BA312" s="89"/>
      <c r="BB312" s="89"/>
      <c r="BC312" s="89"/>
      <c r="BD312" s="89"/>
      <c r="BE312" s="141"/>
      <c r="BF312" s="176"/>
      <c r="BG312" s="176"/>
      <c r="BH312" s="176"/>
      <c r="BI312" s="176"/>
    </row>
    <row r="313" spans="1:61" s="90" customFormat="1">
      <c r="A313" s="83"/>
      <c r="B313" s="85"/>
      <c r="C313" s="84"/>
      <c r="D313" s="112"/>
      <c r="E313" s="112"/>
      <c r="F313" s="112"/>
      <c r="G313" s="85"/>
      <c r="H313" s="120"/>
      <c r="I313" s="280"/>
      <c r="J313" s="120"/>
      <c r="K313" s="120" t="str">
        <f t="shared" si="24"/>
        <v/>
      </c>
      <c r="L313" s="287"/>
      <c r="M313" s="91"/>
      <c r="N313" s="99"/>
      <c r="O313" s="116"/>
      <c r="P313" s="86"/>
      <c r="Q313" s="92"/>
      <c r="R313" s="120">
        <f t="shared" si="25"/>
        <v>0</v>
      </c>
      <c r="S313" s="93"/>
      <c r="T313" s="117"/>
      <c r="U313" s="117"/>
      <c r="V313" s="85"/>
      <c r="W313" s="146"/>
      <c r="X313" s="137"/>
      <c r="Y313" s="137"/>
      <c r="Z313" s="137"/>
      <c r="AA313" s="137"/>
      <c r="AB313" s="137"/>
      <c r="AC313" s="137"/>
      <c r="AD313" s="137"/>
      <c r="AE313" s="137"/>
      <c r="AF313" s="141"/>
      <c r="AG313" s="146"/>
      <c r="AH313" s="146"/>
      <c r="AI313" s="146"/>
      <c r="AJ313" s="146"/>
      <c r="AK313" s="146"/>
      <c r="AL313" s="81"/>
      <c r="AM313" s="81"/>
      <c r="AN313" s="152"/>
      <c r="AO313" s="152"/>
      <c r="AP313" s="152"/>
      <c r="AQ313" s="152"/>
      <c r="AR313" s="81"/>
      <c r="AS313" s="81"/>
      <c r="AT313" s="82"/>
      <c r="AU313" s="82"/>
      <c r="AV313" s="176"/>
      <c r="AW313" s="89"/>
      <c r="AX313" s="89"/>
      <c r="AY313" s="89"/>
      <c r="AZ313" s="89"/>
      <c r="BA313" s="89"/>
      <c r="BB313" s="89"/>
      <c r="BC313" s="89"/>
      <c r="BD313" s="89"/>
      <c r="BE313" s="141"/>
      <c r="BF313" s="176"/>
      <c r="BG313" s="176"/>
      <c r="BH313" s="176"/>
      <c r="BI313" s="176"/>
    </row>
    <row r="314" spans="1:61" s="90" customFormat="1">
      <c r="A314" s="83"/>
      <c r="B314" s="85"/>
      <c r="C314" s="84"/>
      <c r="D314" s="112"/>
      <c r="E314" s="112"/>
      <c r="F314" s="112"/>
      <c r="G314" s="85"/>
      <c r="H314" s="120"/>
      <c r="I314" s="280"/>
      <c r="J314" s="120"/>
      <c r="K314" s="120" t="str">
        <f t="shared" si="24"/>
        <v/>
      </c>
      <c r="L314" s="287"/>
      <c r="M314" s="91"/>
      <c r="N314" s="99"/>
      <c r="O314" s="116"/>
      <c r="P314" s="86"/>
      <c r="Q314" s="92"/>
      <c r="R314" s="120">
        <f t="shared" si="25"/>
        <v>0</v>
      </c>
      <c r="S314" s="93"/>
      <c r="T314" s="117"/>
      <c r="U314" s="117"/>
      <c r="V314" s="85"/>
      <c r="W314" s="146"/>
      <c r="X314" s="137"/>
      <c r="Y314" s="137"/>
      <c r="Z314" s="137"/>
      <c r="AA314" s="137"/>
      <c r="AB314" s="137"/>
      <c r="AC314" s="137"/>
      <c r="AD314" s="137"/>
      <c r="AE314" s="137"/>
      <c r="AF314" s="141"/>
      <c r="AG314" s="146"/>
      <c r="AH314" s="146"/>
      <c r="AI314" s="146"/>
      <c r="AJ314" s="146"/>
      <c r="AK314" s="146"/>
      <c r="AL314" s="81"/>
      <c r="AM314" s="81"/>
      <c r="AN314" s="152"/>
      <c r="AO314" s="152"/>
      <c r="AP314" s="152"/>
      <c r="AQ314" s="152"/>
      <c r="AR314" s="81"/>
      <c r="AS314" s="81"/>
      <c r="AT314" s="82"/>
      <c r="AU314" s="82"/>
      <c r="AV314" s="176"/>
      <c r="AW314" s="89"/>
      <c r="AX314" s="89"/>
      <c r="AY314" s="89"/>
      <c r="AZ314" s="89"/>
      <c r="BA314" s="89"/>
      <c r="BB314" s="89"/>
      <c r="BC314" s="89"/>
      <c r="BD314" s="89"/>
      <c r="BE314" s="141"/>
      <c r="BF314" s="176"/>
      <c r="BG314" s="176"/>
      <c r="BH314" s="176"/>
      <c r="BI314" s="176"/>
    </row>
    <row r="315" spans="1:61" s="90" customFormat="1">
      <c r="A315" s="83"/>
      <c r="B315" s="85"/>
      <c r="C315" s="84"/>
      <c r="D315" s="112"/>
      <c r="E315" s="112"/>
      <c r="F315" s="112"/>
      <c r="G315" s="85"/>
      <c r="H315" s="120"/>
      <c r="I315" s="280"/>
      <c r="J315" s="120"/>
      <c r="K315" s="120" t="str">
        <f t="shared" si="24"/>
        <v/>
      </c>
      <c r="L315" s="287"/>
      <c r="M315" s="91"/>
      <c r="N315" s="99"/>
      <c r="O315" s="116"/>
      <c r="P315" s="86"/>
      <c r="Q315" s="92"/>
      <c r="R315" s="120">
        <f t="shared" si="25"/>
        <v>0</v>
      </c>
      <c r="S315" s="93"/>
      <c r="T315" s="117"/>
      <c r="U315" s="117"/>
      <c r="V315" s="85"/>
      <c r="W315" s="146"/>
      <c r="X315" s="137"/>
      <c r="Y315" s="137"/>
      <c r="Z315" s="137"/>
      <c r="AA315" s="137"/>
      <c r="AB315" s="137"/>
      <c r="AC315" s="137"/>
      <c r="AD315" s="137"/>
      <c r="AE315" s="137"/>
      <c r="AF315" s="141"/>
      <c r="AG315" s="146"/>
      <c r="AH315" s="146"/>
      <c r="AI315" s="146"/>
      <c r="AJ315" s="146"/>
      <c r="AK315" s="146"/>
      <c r="AL315" s="81"/>
      <c r="AM315" s="81"/>
      <c r="AN315" s="152"/>
      <c r="AO315" s="152"/>
      <c r="AP315" s="152"/>
      <c r="AQ315" s="152"/>
      <c r="AR315" s="81"/>
      <c r="AS315" s="81"/>
      <c r="AT315" s="82"/>
      <c r="AU315" s="82"/>
      <c r="AV315" s="176"/>
      <c r="AW315" s="89"/>
      <c r="AX315" s="89"/>
      <c r="AY315" s="89"/>
      <c r="AZ315" s="89"/>
      <c r="BA315" s="89"/>
      <c r="BB315" s="89"/>
      <c r="BC315" s="89"/>
      <c r="BD315" s="89"/>
      <c r="BE315" s="141"/>
      <c r="BF315" s="176"/>
      <c r="BG315" s="176"/>
      <c r="BH315" s="176"/>
      <c r="BI315" s="176"/>
    </row>
    <row r="316" spans="1:61" s="90" customFormat="1">
      <c r="A316" s="83"/>
      <c r="B316" s="85"/>
      <c r="C316" s="84"/>
      <c r="D316" s="112"/>
      <c r="E316" s="112"/>
      <c r="F316" s="112"/>
      <c r="G316" s="85"/>
      <c r="H316" s="120"/>
      <c r="I316" s="280"/>
      <c r="J316" s="120"/>
      <c r="K316" s="120" t="str">
        <f t="shared" si="24"/>
        <v/>
      </c>
      <c r="L316" s="287"/>
      <c r="M316" s="91"/>
      <c r="N316" s="99"/>
      <c r="O316" s="116"/>
      <c r="P316" s="86"/>
      <c r="Q316" s="92"/>
      <c r="R316" s="120">
        <f t="shared" si="25"/>
        <v>0</v>
      </c>
      <c r="S316" s="93"/>
      <c r="T316" s="117"/>
      <c r="U316" s="117"/>
      <c r="V316" s="85"/>
      <c r="W316" s="146"/>
      <c r="X316" s="137"/>
      <c r="Y316" s="137"/>
      <c r="Z316" s="137"/>
      <c r="AA316" s="137"/>
      <c r="AB316" s="137"/>
      <c r="AC316" s="137"/>
      <c r="AD316" s="137"/>
      <c r="AE316" s="137"/>
      <c r="AF316" s="141"/>
      <c r="AG316" s="146"/>
      <c r="AH316" s="146"/>
      <c r="AI316" s="146"/>
      <c r="AJ316" s="146"/>
      <c r="AK316" s="146"/>
      <c r="AL316" s="81"/>
      <c r="AM316" s="81"/>
      <c r="AN316" s="152"/>
      <c r="AO316" s="152"/>
      <c r="AP316" s="152"/>
      <c r="AQ316" s="152"/>
      <c r="AR316" s="81"/>
      <c r="AS316" s="81"/>
      <c r="AT316" s="82"/>
      <c r="AU316" s="82"/>
      <c r="AV316" s="176"/>
      <c r="AW316" s="89"/>
      <c r="AX316" s="89"/>
      <c r="AY316" s="89"/>
      <c r="AZ316" s="89"/>
      <c r="BA316" s="89"/>
      <c r="BB316" s="89"/>
      <c r="BC316" s="89"/>
      <c r="BD316" s="89"/>
      <c r="BE316" s="141"/>
      <c r="BF316" s="176"/>
      <c r="BG316" s="176"/>
      <c r="BH316" s="176"/>
      <c r="BI316" s="176"/>
    </row>
    <row r="317" spans="1:61" s="90" customFormat="1">
      <c r="A317" s="83"/>
      <c r="B317" s="85"/>
      <c r="C317" s="84"/>
      <c r="D317" s="112"/>
      <c r="E317" s="112"/>
      <c r="F317" s="112"/>
      <c r="G317" s="85"/>
      <c r="H317" s="120"/>
      <c r="I317" s="280"/>
      <c r="J317" s="120"/>
      <c r="K317" s="120" t="str">
        <f t="shared" si="24"/>
        <v/>
      </c>
      <c r="L317" s="287"/>
      <c r="M317" s="91"/>
      <c r="N317" s="99"/>
      <c r="O317" s="116"/>
      <c r="P317" s="86"/>
      <c r="Q317" s="92"/>
      <c r="R317" s="120">
        <f t="shared" si="25"/>
        <v>0</v>
      </c>
      <c r="S317" s="93"/>
      <c r="T317" s="117"/>
      <c r="U317" s="117"/>
      <c r="V317" s="85"/>
      <c r="W317" s="146"/>
      <c r="X317" s="137"/>
      <c r="Y317" s="137"/>
      <c r="Z317" s="137"/>
      <c r="AA317" s="137"/>
      <c r="AB317" s="137"/>
      <c r="AC317" s="137"/>
      <c r="AD317" s="137"/>
      <c r="AE317" s="137"/>
      <c r="AF317" s="141"/>
      <c r="AG317" s="146"/>
      <c r="AH317" s="146"/>
      <c r="AI317" s="146"/>
      <c r="AJ317" s="146"/>
      <c r="AK317" s="146"/>
      <c r="AL317" s="81"/>
      <c r="AM317" s="81"/>
      <c r="AN317" s="152"/>
      <c r="AO317" s="152"/>
      <c r="AP317" s="152"/>
      <c r="AQ317" s="152"/>
      <c r="AR317" s="81"/>
      <c r="AS317" s="81"/>
      <c r="AT317" s="82"/>
      <c r="AU317" s="82"/>
      <c r="AV317" s="176"/>
      <c r="AW317" s="89"/>
      <c r="AX317" s="89"/>
      <c r="AY317" s="89"/>
      <c r="AZ317" s="89"/>
      <c r="BA317" s="89"/>
      <c r="BB317" s="89"/>
      <c r="BC317" s="89"/>
      <c r="BD317" s="89"/>
      <c r="BE317" s="141"/>
      <c r="BF317" s="176"/>
      <c r="BG317" s="176"/>
      <c r="BH317" s="176"/>
      <c r="BI317" s="176"/>
    </row>
    <row r="318" spans="1:61" s="90" customFormat="1">
      <c r="A318" s="83"/>
      <c r="B318" s="85"/>
      <c r="C318" s="84"/>
      <c r="D318" s="112"/>
      <c r="E318" s="112"/>
      <c r="F318" s="112"/>
      <c r="G318" s="85"/>
      <c r="H318" s="120"/>
      <c r="I318" s="280"/>
      <c r="J318" s="120"/>
      <c r="K318" s="120" t="str">
        <f t="shared" si="24"/>
        <v/>
      </c>
      <c r="L318" s="287"/>
      <c r="M318" s="91"/>
      <c r="N318" s="99"/>
      <c r="O318" s="116"/>
      <c r="P318" s="86"/>
      <c r="Q318" s="92"/>
      <c r="R318" s="120">
        <f t="shared" si="25"/>
        <v>0</v>
      </c>
      <c r="S318" s="93"/>
      <c r="T318" s="117"/>
      <c r="U318" s="117"/>
      <c r="V318" s="85"/>
      <c r="W318" s="146"/>
      <c r="X318" s="137"/>
      <c r="Y318" s="137"/>
      <c r="Z318" s="137"/>
      <c r="AA318" s="137"/>
      <c r="AB318" s="137"/>
      <c r="AC318" s="137"/>
      <c r="AD318" s="137"/>
      <c r="AE318" s="137"/>
      <c r="AF318" s="141"/>
      <c r="AG318" s="146"/>
      <c r="AH318" s="146"/>
      <c r="AI318" s="146"/>
      <c r="AJ318" s="146"/>
      <c r="AK318" s="146"/>
      <c r="AL318" s="81"/>
      <c r="AM318" s="81"/>
      <c r="AN318" s="152"/>
      <c r="AO318" s="152"/>
      <c r="AP318" s="152"/>
      <c r="AQ318" s="152"/>
      <c r="AR318" s="81"/>
      <c r="AS318" s="81"/>
      <c r="AT318" s="82"/>
      <c r="AU318" s="82"/>
      <c r="AV318" s="176"/>
      <c r="AW318" s="89"/>
      <c r="AX318" s="89"/>
      <c r="AY318" s="89"/>
      <c r="AZ318" s="89"/>
      <c r="BA318" s="89"/>
      <c r="BB318" s="89"/>
      <c r="BC318" s="89"/>
      <c r="BD318" s="89"/>
      <c r="BE318" s="141"/>
      <c r="BF318" s="176"/>
      <c r="BG318" s="176"/>
      <c r="BH318" s="176"/>
      <c r="BI318" s="176"/>
    </row>
    <row r="319" spans="1:61" s="90" customFormat="1">
      <c r="A319" s="83"/>
      <c r="B319" s="85"/>
      <c r="C319" s="84"/>
      <c r="D319" s="112"/>
      <c r="E319" s="112"/>
      <c r="F319" s="112"/>
      <c r="G319" s="85"/>
      <c r="H319" s="120"/>
      <c r="I319" s="280"/>
      <c r="J319" s="120"/>
      <c r="K319" s="120" t="str">
        <f t="shared" si="24"/>
        <v/>
      </c>
      <c r="L319" s="287"/>
      <c r="M319" s="91"/>
      <c r="N319" s="99"/>
      <c r="O319" s="116"/>
      <c r="P319" s="86"/>
      <c r="Q319" s="92"/>
      <c r="R319" s="120">
        <f t="shared" si="25"/>
        <v>0</v>
      </c>
      <c r="S319" s="93"/>
      <c r="T319" s="117"/>
      <c r="U319" s="117"/>
      <c r="V319" s="85"/>
      <c r="W319" s="146"/>
      <c r="X319" s="137"/>
      <c r="Y319" s="137"/>
      <c r="Z319" s="137"/>
      <c r="AA319" s="137"/>
      <c r="AB319" s="137"/>
      <c r="AC319" s="137"/>
      <c r="AD319" s="137"/>
      <c r="AE319" s="137"/>
      <c r="AF319" s="141"/>
      <c r="AG319" s="146"/>
      <c r="AH319" s="146"/>
      <c r="AI319" s="146"/>
      <c r="AJ319" s="146"/>
      <c r="AK319" s="146"/>
      <c r="AL319" s="81"/>
      <c r="AM319" s="81"/>
      <c r="AN319" s="152"/>
      <c r="AO319" s="152"/>
      <c r="AP319" s="152"/>
      <c r="AQ319" s="152"/>
      <c r="AR319" s="81"/>
      <c r="AS319" s="81"/>
      <c r="AT319" s="82"/>
      <c r="AU319" s="82"/>
      <c r="AV319" s="176"/>
      <c r="AW319" s="89"/>
      <c r="AX319" s="89"/>
      <c r="AY319" s="89"/>
      <c r="AZ319" s="89"/>
      <c r="BA319" s="89"/>
      <c r="BB319" s="89"/>
      <c r="BC319" s="89"/>
      <c r="BD319" s="89"/>
      <c r="BE319" s="141"/>
      <c r="BF319" s="176"/>
      <c r="BG319" s="176"/>
      <c r="BH319" s="176"/>
      <c r="BI319" s="176"/>
    </row>
    <row r="320" spans="1:61" s="90" customFormat="1">
      <c r="A320" s="83"/>
      <c r="B320" s="85"/>
      <c r="C320" s="84"/>
      <c r="D320" s="112"/>
      <c r="E320" s="112"/>
      <c r="F320" s="112"/>
      <c r="G320" s="85"/>
      <c r="H320" s="120"/>
      <c r="I320" s="280"/>
      <c r="J320" s="120"/>
      <c r="K320" s="120" t="str">
        <f t="shared" si="24"/>
        <v/>
      </c>
      <c r="L320" s="287"/>
      <c r="M320" s="91"/>
      <c r="N320" s="99"/>
      <c r="O320" s="116"/>
      <c r="P320" s="86"/>
      <c r="Q320" s="92"/>
      <c r="R320" s="120">
        <f t="shared" si="25"/>
        <v>0</v>
      </c>
      <c r="S320" s="93"/>
      <c r="T320" s="117"/>
      <c r="U320" s="117"/>
      <c r="V320" s="85"/>
      <c r="W320" s="146"/>
      <c r="X320" s="137"/>
      <c r="Y320" s="137"/>
      <c r="Z320" s="137"/>
      <c r="AA320" s="137"/>
      <c r="AB320" s="137"/>
      <c r="AC320" s="137"/>
      <c r="AD320" s="137"/>
      <c r="AE320" s="137"/>
      <c r="AF320" s="141"/>
      <c r="AG320" s="146"/>
      <c r="AH320" s="146"/>
      <c r="AI320" s="146"/>
      <c r="AJ320" s="146"/>
      <c r="AK320" s="146"/>
      <c r="AL320" s="81"/>
      <c r="AM320" s="81"/>
      <c r="AN320" s="152"/>
      <c r="AO320" s="152"/>
      <c r="AP320" s="152"/>
      <c r="AQ320" s="152"/>
      <c r="AR320" s="81"/>
      <c r="AS320" s="81"/>
      <c r="AT320" s="82"/>
      <c r="AU320" s="82"/>
      <c r="AV320" s="176"/>
      <c r="AW320" s="89"/>
      <c r="AX320" s="89"/>
      <c r="AY320" s="89"/>
      <c r="AZ320" s="89"/>
      <c r="BA320" s="89"/>
      <c r="BB320" s="89"/>
      <c r="BC320" s="89"/>
      <c r="BD320" s="89"/>
      <c r="BE320" s="141"/>
      <c r="BF320" s="176"/>
      <c r="BG320" s="176"/>
      <c r="BH320" s="176"/>
      <c r="BI320" s="176"/>
    </row>
    <row r="321" spans="1:61" s="90" customFormat="1">
      <c r="A321" s="83"/>
      <c r="B321" s="85"/>
      <c r="C321" s="84"/>
      <c r="D321" s="112"/>
      <c r="E321" s="112"/>
      <c r="F321" s="112"/>
      <c r="G321" s="85"/>
      <c r="H321" s="120"/>
      <c r="I321" s="280"/>
      <c r="J321" s="120"/>
      <c r="K321" s="120" t="str">
        <f t="shared" si="24"/>
        <v/>
      </c>
      <c r="L321" s="287"/>
      <c r="M321" s="91"/>
      <c r="N321" s="99"/>
      <c r="O321" s="116"/>
      <c r="P321" s="86"/>
      <c r="Q321" s="92"/>
      <c r="R321" s="120">
        <f t="shared" si="25"/>
        <v>0</v>
      </c>
      <c r="S321" s="93"/>
      <c r="T321" s="117"/>
      <c r="U321" s="117"/>
      <c r="V321" s="85"/>
      <c r="W321" s="146"/>
      <c r="X321" s="137"/>
      <c r="Y321" s="137"/>
      <c r="Z321" s="137"/>
      <c r="AA321" s="137"/>
      <c r="AB321" s="137"/>
      <c r="AC321" s="137"/>
      <c r="AD321" s="137"/>
      <c r="AE321" s="137"/>
      <c r="AF321" s="141"/>
      <c r="AG321" s="146"/>
      <c r="AH321" s="146"/>
      <c r="AI321" s="146"/>
      <c r="AJ321" s="146"/>
      <c r="AK321" s="146"/>
      <c r="AL321" s="81"/>
      <c r="AM321" s="81"/>
      <c r="AN321" s="152"/>
      <c r="AO321" s="152"/>
      <c r="AP321" s="152"/>
      <c r="AQ321" s="152"/>
      <c r="AR321" s="81"/>
      <c r="AS321" s="81"/>
      <c r="AT321" s="82"/>
      <c r="AU321" s="82"/>
      <c r="AV321" s="176"/>
      <c r="AW321" s="89"/>
      <c r="AX321" s="89"/>
      <c r="AY321" s="89"/>
      <c r="AZ321" s="89"/>
      <c r="BA321" s="89"/>
      <c r="BB321" s="89"/>
      <c r="BC321" s="89"/>
      <c r="BD321" s="89"/>
      <c r="BE321" s="141"/>
      <c r="BF321" s="176"/>
      <c r="BG321" s="176"/>
      <c r="BH321" s="176"/>
      <c r="BI321" s="176"/>
    </row>
    <row r="322" spans="1:61" s="90" customFormat="1">
      <c r="A322" s="83"/>
      <c r="B322" s="85"/>
      <c r="C322" s="84"/>
      <c r="D322" s="112"/>
      <c r="E322" s="112"/>
      <c r="F322" s="112"/>
      <c r="G322" s="85"/>
      <c r="H322" s="120"/>
      <c r="I322" s="280"/>
      <c r="J322" s="120"/>
      <c r="K322" s="120" t="str">
        <f t="shared" si="24"/>
        <v/>
      </c>
      <c r="L322" s="287"/>
      <c r="M322" s="91"/>
      <c r="N322" s="99"/>
      <c r="O322" s="116"/>
      <c r="P322" s="86"/>
      <c r="Q322" s="92"/>
      <c r="R322" s="120">
        <f t="shared" si="25"/>
        <v>0</v>
      </c>
      <c r="S322" s="93"/>
      <c r="T322" s="117"/>
      <c r="U322" s="117"/>
      <c r="V322" s="85"/>
      <c r="W322" s="146"/>
      <c r="X322" s="137"/>
      <c r="Y322" s="137"/>
      <c r="Z322" s="137"/>
      <c r="AA322" s="137"/>
      <c r="AB322" s="137"/>
      <c r="AC322" s="137"/>
      <c r="AD322" s="137"/>
      <c r="AE322" s="137"/>
      <c r="AF322" s="141"/>
      <c r="AG322" s="146"/>
      <c r="AH322" s="146"/>
      <c r="AI322" s="146"/>
      <c r="AJ322" s="146"/>
      <c r="AK322" s="146"/>
      <c r="AL322" s="81"/>
      <c r="AM322" s="81"/>
      <c r="AN322" s="152"/>
      <c r="AO322" s="152"/>
      <c r="AP322" s="152"/>
      <c r="AQ322" s="152"/>
      <c r="AR322" s="81"/>
      <c r="AS322" s="81"/>
      <c r="AT322" s="82"/>
      <c r="AU322" s="82"/>
      <c r="AV322" s="176"/>
      <c r="AW322" s="89"/>
      <c r="AX322" s="89"/>
      <c r="AY322" s="89"/>
      <c r="AZ322" s="89"/>
      <c r="BA322" s="89"/>
      <c r="BB322" s="89"/>
      <c r="BC322" s="89"/>
      <c r="BD322" s="89"/>
      <c r="BE322" s="141"/>
      <c r="BF322" s="176"/>
      <c r="BG322" s="176"/>
      <c r="BH322" s="176"/>
      <c r="BI322" s="176"/>
    </row>
    <row r="323" spans="1:61" s="90" customFormat="1">
      <c r="A323" s="83"/>
      <c r="B323" s="85"/>
      <c r="C323" s="84"/>
      <c r="D323" s="112"/>
      <c r="E323" s="112"/>
      <c r="F323" s="112"/>
      <c r="G323" s="85"/>
      <c r="H323" s="120"/>
      <c r="I323" s="280"/>
      <c r="J323" s="120"/>
      <c r="K323" s="120" t="str">
        <f t="shared" si="24"/>
        <v/>
      </c>
      <c r="L323" s="287"/>
      <c r="M323" s="91"/>
      <c r="N323" s="99"/>
      <c r="O323" s="116"/>
      <c r="P323" s="86"/>
      <c r="Q323" s="92"/>
      <c r="R323" s="120">
        <f t="shared" si="25"/>
        <v>0</v>
      </c>
      <c r="S323" s="93"/>
      <c r="T323" s="117"/>
      <c r="U323" s="117"/>
      <c r="V323" s="85"/>
      <c r="W323" s="146"/>
      <c r="X323" s="137"/>
      <c r="Y323" s="137"/>
      <c r="Z323" s="137"/>
      <c r="AA323" s="137"/>
      <c r="AB323" s="137"/>
      <c r="AC323" s="137"/>
      <c r="AD323" s="137"/>
      <c r="AE323" s="137"/>
      <c r="AF323" s="141"/>
      <c r="AG323" s="146"/>
      <c r="AH323" s="146"/>
      <c r="AI323" s="146"/>
      <c r="AJ323" s="146"/>
      <c r="AK323" s="146"/>
      <c r="AL323" s="81"/>
      <c r="AM323" s="81"/>
      <c r="AN323" s="152"/>
      <c r="AO323" s="152"/>
      <c r="AP323" s="152"/>
      <c r="AQ323" s="152"/>
      <c r="AR323" s="81"/>
      <c r="AS323" s="81"/>
      <c r="AT323" s="82"/>
      <c r="AU323" s="82"/>
      <c r="AV323" s="176"/>
      <c r="AW323" s="89"/>
      <c r="AX323" s="89"/>
      <c r="AY323" s="89"/>
      <c r="AZ323" s="89"/>
      <c r="BA323" s="89"/>
      <c r="BB323" s="89"/>
      <c r="BC323" s="89"/>
      <c r="BD323" s="89"/>
      <c r="BE323" s="141"/>
      <c r="BF323" s="176"/>
      <c r="BG323" s="176"/>
      <c r="BH323" s="176"/>
      <c r="BI323" s="176"/>
    </row>
    <row r="324" spans="1:61" s="90" customFormat="1">
      <c r="A324" s="83"/>
      <c r="B324" s="85"/>
      <c r="C324" s="84"/>
      <c r="D324" s="112"/>
      <c r="E324" s="112"/>
      <c r="F324" s="112"/>
      <c r="G324" s="85"/>
      <c r="H324" s="120"/>
      <c r="I324" s="280"/>
      <c r="J324" s="120"/>
      <c r="K324" s="120" t="str">
        <f t="shared" ref="K324:K387" si="26">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287"/>
      <c r="M324" s="91"/>
      <c r="N324" s="99"/>
      <c r="O324" s="116"/>
      <c r="P324" s="86"/>
      <c r="Q324" s="92"/>
      <c r="R324" s="120">
        <f t="shared" si="25"/>
        <v>0</v>
      </c>
      <c r="S324" s="93"/>
      <c r="T324" s="117"/>
      <c r="U324" s="117"/>
      <c r="V324" s="85"/>
      <c r="W324" s="146"/>
      <c r="X324" s="137"/>
      <c r="Y324" s="137"/>
      <c r="Z324" s="137"/>
      <c r="AA324" s="137"/>
      <c r="AB324" s="137"/>
      <c r="AC324" s="137"/>
      <c r="AD324" s="137"/>
      <c r="AE324" s="137"/>
      <c r="AF324" s="141"/>
      <c r="AG324" s="146"/>
      <c r="AH324" s="146"/>
      <c r="AI324" s="146"/>
      <c r="AJ324" s="146"/>
      <c r="AK324" s="146"/>
      <c r="AL324" s="81"/>
      <c r="AM324" s="81"/>
      <c r="AN324" s="152"/>
      <c r="AO324" s="152"/>
      <c r="AP324" s="152"/>
      <c r="AQ324" s="152"/>
      <c r="AR324" s="81"/>
      <c r="AS324" s="81"/>
      <c r="AT324" s="82"/>
      <c r="AU324" s="82"/>
      <c r="AV324" s="176"/>
      <c r="AW324" s="89"/>
      <c r="AX324" s="89"/>
      <c r="AY324" s="89"/>
      <c r="AZ324" s="89"/>
      <c r="BA324" s="89"/>
      <c r="BB324" s="89"/>
      <c r="BC324" s="89"/>
      <c r="BD324" s="89"/>
      <c r="BE324" s="141"/>
      <c r="BF324" s="176"/>
      <c r="BG324" s="176"/>
      <c r="BH324" s="176"/>
      <c r="BI324" s="176"/>
    </row>
    <row r="325" spans="1:61" s="90" customFormat="1">
      <c r="A325" s="83"/>
      <c r="B325" s="85"/>
      <c r="C325" s="84"/>
      <c r="D325" s="112"/>
      <c r="E325" s="112"/>
      <c r="F325" s="112"/>
      <c r="G325" s="85"/>
      <c r="H325" s="120"/>
      <c r="I325" s="280"/>
      <c r="J325" s="120"/>
      <c r="K325" s="120" t="str">
        <f t="shared" si="26"/>
        <v/>
      </c>
      <c r="L325" s="287"/>
      <c r="M325" s="91"/>
      <c r="N325" s="99"/>
      <c r="O325" s="116"/>
      <c r="P325" s="86"/>
      <c r="Q325" s="92"/>
      <c r="R325" s="120">
        <f t="shared" ref="R325:R388" si="27">IFERROR(SUM(F325-D325),"NA")</f>
        <v>0</v>
      </c>
      <c r="S325" s="93"/>
      <c r="T325" s="117"/>
      <c r="U325" s="117"/>
      <c r="V325" s="85"/>
      <c r="W325" s="146"/>
      <c r="X325" s="137"/>
      <c r="Y325" s="137"/>
      <c r="Z325" s="137"/>
      <c r="AA325" s="137"/>
      <c r="AB325" s="137"/>
      <c r="AC325" s="137"/>
      <c r="AD325" s="137"/>
      <c r="AE325" s="137"/>
      <c r="AF325" s="141"/>
      <c r="AG325" s="146"/>
      <c r="AH325" s="146"/>
      <c r="AI325" s="146"/>
      <c r="AJ325" s="146"/>
      <c r="AK325" s="146"/>
      <c r="AL325" s="81"/>
      <c r="AM325" s="81"/>
      <c r="AN325" s="152"/>
      <c r="AO325" s="152"/>
      <c r="AP325" s="152"/>
      <c r="AQ325" s="152"/>
      <c r="AR325" s="81"/>
      <c r="AS325" s="81"/>
      <c r="AT325" s="82"/>
      <c r="AU325" s="82"/>
      <c r="AV325" s="176"/>
      <c r="AW325" s="89"/>
      <c r="AX325" s="89"/>
      <c r="AY325" s="89"/>
      <c r="AZ325" s="89"/>
      <c r="BA325" s="89"/>
      <c r="BB325" s="89"/>
      <c r="BC325" s="89"/>
      <c r="BD325" s="89"/>
      <c r="BE325" s="141"/>
      <c r="BF325" s="176"/>
      <c r="BG325" s="176"/>
      <c r="BH325" s="176"/>
      <c r="BI325" s="176"/>
    </row>
    <row r="326" spans="1:61" s="90" customFormat="1">
      <c r="A326" s="83"/>
      <c r="B326" s="85"/>
      <c r="C326" s="84"/>
      <c r="D326" s="112"/>
      <c r="E326" s="112"/>
      <c r="F326" s="112"/>
      <c r="G326" s="85"/>
      <c r="H326" s="120"/>
      <c r="I326" s="280"/>
      <c r="J326" s="120"/>
      <c r="K326" s="120" t="str">
        <f t="shared" si="26"/>
        <v/>
      </c>
      <c r="L326" s="287"/>
      <c r="M326" s="91"/>
      <c r="N326" s="99"/>
      <c r="O326" s="116"/>
      <c r="P326" s="86"/>
      <c r="Q326" s="92"/>
      <c r="R326" s="120">
        <f t="shared" si="27"/>
        <v>0</v>
      </c>
      <c r="S326" s="93"/>
      <c r="T326" s="117"/>
      <c r="U326" s="117"/>
      <c r="V326" s="85"/>
      <c r="W326" s="146"/>
      <c r="X326" s="137"/>
      <c r="Y326" s="137"/>
      <c r="Z326" s="137"/>
      <c r="AA326" s="137"/>
      <c r="AB326" s="137"/>
      <c r="AC326" s="137"/>
      <c r="AD326" s="137"/>
      <c r="AE326" s="137"/>
      <c r="AF326" s="141"/>
      <c r="AG326" s="146"/>
      <c r="AH326" s="146"/>
      <c r="AI326" s="146"/>
      <c r="AJ326" s="146"/>
      <c r="AK326" s="146"/>
      <c r="AL326" s="81"/>
      <c r="AM326" s="81"/>
      <c r="AN326" s="152"/>
      <c r="AO326" s="152"/>
      <c r="AP326" s="152"/>
      <c r="AQ326" s="152"/>
      <c r="AR326" s="81"/>
      <c r="AS326" s="81"/>
      <c r="AT326" s="82"/>
      <c r="AU326" s="82"/>
      <c r="AV326" s="176"/>
      <c r="AW326" s="89"/>
      <c r="AX326" s="89"/>
      <c r="AY326" s="89"/>
      <c r="AZ326" s="89"/>
      <c r="BA326" s="89"/>
      <c r="BB326" s="89"/>
      <c r="BC326" s="89"/>
      <c r="BD326" s="89"/>
      <c r="BE326" s="141"/>
      <c r="BF326" s="176"/>
      <c r="BG326" s="176"/>
      <c r="BH326" s="176"/>
      <c r="BI326" s="176"/>
    </row>
    <row r="327" spans="1:61" s="90" customFormat="1">
      <c r="A327" s="83"/>
      <c r="B327" s="85"/>
      <c r="C327" s="84"/>
      <c r="D327" s="112"/>
      <c r="E327" s="112"/>
      <c r="F327" s="112"/>
      <c r="G327" s="85"/>
      <c r="H327" s="120"/>
      <c r="I327" s="280"/>
      <c r="J327" s="120"/>
      <c r="K327" s="120" t="str">
        <f t="shared" si="26"/>
        <v/>
      </c>
      <c r="L327" s="287"/>
      <c r="M327" s="91"/>
      <c r="N327" s="99"/>
      <c r="O327" s="116"/>
      <c r="P327" s="86"/>
      <c r="Q327" s="92"/>
      <c r="R327" s="120">
        <f t="shared" si="27"/>
        <v>0</v>
      </c>
      <c r="S327" s="93"/>
      <c r="T327" s="117"/>
      <c r="U327" s="117"/>
      <c r="V327" s="85"/>
      <c r="W327" s="146"/>
      <c r="X327" s="137"/>
      <c r="Y327" s="137"/>
      <c r="Z327" s="137"/>
      <c r="AA327" s="137"/>
      <c r="AB327" s="137"/>
      <c r="AC327" s="137"/>
      <c r="AD327" s="137"/>
      <c r="AE327" s="137"/>
      <c r="AF327" s="141"/>
      <c r="AG327" s="146"/>
      <c r="AH327" s="146"/>
      <c r="AI327" s="146"/>
      <c r="AJ327" s="146"/>
      <c r="AK327" s="146"/>
      <c r="AL327" s="81"/>
      <c r="AM327" s="81"/>
      <c r="AN327" s="152"/>
      <c r="AO327" s="152"/>
      <c r="AP327" s="152"/>
      <c r="AQ327" s="152"/>
      <c r="AR327" s="81"/>
      <c r="AS327" s="81"/>
      <c r="AT327" s="82"/>
      <c r="AU327" s="82"/>
      <c r="AV327" s="176"/>
      <c r="AW327" s="89"/>
      <c r="AX327" s="89"/>
      <c r="AY327" s="89"/>
      <c r="AZ327" s="89"/>
      <c r="BA327" s="89"/>
      <c r="BB327" s="89"/>
      <c r="BC327" s="89"/>
      <c r="BD327" s="89"/>
      <c r="BE327" s="141"/>
      <c r="BF327" s="176"/>
      <c r="BG327" s="176"/>
      <c r="BH327" s="176"/>
      <c r="BI327" s="176"/>
    </row>
    <row r="328" spans="1:61" s="90" customFormat="1">
      <c r="A328" s="83"/>
      <c r="B328" s="85"/>
      <c r="C328" s="84"/>
      <c r="D328" s="112"/>
      <c r="E328" s="112"/>
      <c r="F328" s="112"/>
      <c r="G328" s="85"/>
      <c r="H328" s="120"/>
      <c r="I328" s="280"/>
      <c r="J328" s="120"/>
      <c r="K328" s="120" t="str">
        <f t="shared" si="26"/>
        <v/>
      </c>
      <c r="L328" s="287"/>
      <c r="M328" s="91"/>
      <c r="N328" s="99"/>
      <c r="O328" s="116"/>
      <c r="P328" s="86"/>
      <c r="Q328" s="92"/>
      <c r="R328" s="120">
        <f t="shared" si="27"/>
        <v>0</v>
      </c>
      <c r="S328" s="93"/>
      <c r="T328" s="117"/>
      <c r="U328" s="117"/>
      <c r="V328" s="85"/>
      <c r="W328" s="146"/>
      <c r="X328" s="137"/>
      <c r="Y328" s="137"/>
      <c r="Z328" s="137"/>
      <c r="AA328" s="137"/>
      <c r="AB328" s="137"/>
      <c r="AC328" s="137"/>
      <c r="AD328" s="137"/>
      <c r="AE328" s="137"/>
      <c r="AF328" s="141"/>
      <c r="AG328" s="146"/>
      <c r="AH328" s="146"/>
      <c r="AI328" s="146"/>
      <c r="AJ328" s="146"/>
      <c r="AK328" s="146"/>
      <c r="AL328" s="81"/>
      <c r="AM328" s="81"/>
      <c r="AN328" s="152"/>
      <c r="AO328" s="152"/>
      <c r="AP328" s="152"/>
      <c r="AQ328" s="152"/>
      <c r="AR328" s="81"/>
      <c r="AS328" s="81"/>
      <c r="AT328" s="82"/>
      <c r="AU328" s="82"/>
      <c r="AV328" s="176"/>
      <c r="AW328" s="89"/>
      <c r="AX328" s="89"/>
      <c r="AY328" s="89"/>
      <c r="AZ328" s="89"/>
      <c r="BA328" s="89"/>
      <c r="BB328" s="89"/>
      <c r="BC328" s="89"/>
      <c r="BD328" s="89"/>
      <c r="BE328" s="141"/>
      <c r="BF328" s="176"/>
      <c r="BG328" s="176"/>
      <c r="BH328" s="176"/>
      <c r="BI328" s="176"/>
    </row>
    <row r="329" spans="1:61" s="90" customFormat="1">
      <c r="A329" s="83"/>
      <c r="B329" s="85"/>
      <c r="C329" s="84"/>
      <c r="D329" s="112"/>
      <c r="E329" s="112"/>
      <c r="F329" s="112"/>
      <c r="G329" s="85"/>
      <c r="H329" s="120"/>
      <c r="I329" s="280"/>
      <c r="J329" s="120"/>
      <c r="K329" s="120" t="str">
        <f t="shared" si="26"/>
        <v/>
      </c>
      <c r="L329" s="287"/>
      <c r="M329" s="91"/>
      <c r="N329" s="99"/>
      <c r="O329" s="116"/>
      <c r="P329" s="86"/>
      <c r="Q329" s="92"/>
      <c r="R329" s="120">
        <f t="shared" si="27"/>
        <v>0</v>
      </c>
      <c r="S329" s="93"/>
      <c r="T329" s="117"/>
      <c r="U329" s="117"/>
      <c r="V329" s="85"/>
      <c r="W329" s="146"/>
      <c r="X329" s="137"/>
      <c r="Y329" s="137"/>
      <c r="Z329" s="137"/>
      <c r="AA329" s="137"/>
      <c r="AB329" s="137"/>
      <c r="AC329" s="137"/>
      <c r="AD329" s="137"/>
      <c r="AE329" s="137"/>
      <c r="AF329" s="141"/>
      <c r="AG329" s="146"/>
      <c r="AH329" s="146"/>
      <c r="AI329" s="146"/>
      <c r="AJ329" s="146"/>
      <c r="AK329" s="146"/>
      <c r="AL329" s="81"/>
      <c r="AM329" s="81"/>
      <c r="AN329" s="152"/>
      <c r="AO329" s="152"/>
      <c r="AP329" s="152"/>
      <c r="AQ329" s="152"/>
      <c r="AR329" s="81"/>
      <c r="AS329" s="81"/>
      <c r="AT329" s="82"/>
      <c r="AU329" s="82"/>
      <c r="AV329" s="176"/>
      <c r="AW329" s="89"/>
      <c r="AX329" s="89"/>
      <c r="AY329" s="89"/>
      <c r="AZ329" s="89"/>
      <c r="BA329" s="89"/>
      <c r="BB329" s="89"/>
      <c r="BC329" s="89"/>
      <c r="BD329" s="89"/>
      <c r="BE329" s="141"/>
      <c r="BF329" s="176"/>
      <c r="BG329" s="176"/>
      <c r="BH329" s="176"/>
      <c r="BI329" s="176"/>
    </row>
    <row r="330" spans="1:61" s="90" customFormat="1">
      <c r="A330" s="83"/>
      <c r="B330" s="85"/>
      <c r="C330" s="84"/>
      <c r="D330" s="112"/>
      <c r="E330" s="112"/>
      <c r="F330" s="112"/>
      <c r="G330" s="85"/>
      <c r="H330" s="120"/>
      <c r="I330" s="280"/>
      <c r="J330" s="120"/>
      <c r="K330" s="120" t="str">
        <f t="shared" si="26"/>
        <v/>
      </c>
      <c r="L330" s="287"/>
      <c r="M330" s="91"/>
      <c r="N330" s="99"/>
      <c r="O330" s="116"/>
      <c r="P330" s="86"/>
      <c r="Q330" s="92"/>
      <c r="R330" s="120">
        <f t="shared" si="27"/>
        <v>0</v>
      </c>
      <c r="S330" s="93"/>
      <c r="T330" s="117"/>
      <c r="U330" s="117"/>
      <c r="V330" s="85"/>
      <c r="W330" s="146"/>
      <c r="X330" s="137"/>
      <c r="Y330" s="137"/>
      <c r="Z330" s="137"/>
      <c r="AA330" s="137"/>
      <c r="AB330" s="137"/>
      <c r="AC330" s="137"/>
      <c r="AD330" s="137"/>
      <c r="AE330" s="137"/>
      <c r="AF330" s="141"/>
      <c r="AG330" s="146"/>
      <c r="AH330" s="146"/>
      <c r="AI330" s="146"/>
      <c r="AJ330" s="146"/>
      <c r="AK330" s="146"/>
      <c r="AL330" s="81"/>
      <c r="AM330" s="81"/>
      <c r="AN330" s="152"/>
      <c r="AO330" s="152"/>
      <c r="AP330" s="152"/>
      <c r="AQ330" s="152"/>
      <c r="AR330" s="81"/>
      <c r="AS330" s="81"/>
      <c r="AT330" s="82"/>
      <c r="AU330" s="82"/>
      <c r="AV330" s="176"/>
      <c r="AW330" s="89"/>
      <c r="AX330" s="89"/>
      <c r="AY330" s="89"/>
      <c r="AZ330" s="89"/>
      <c r="BA330" s="89"/>
      <c r="BB330" s="89"/>
      <c r="BC330" s="89"/>
      <c r="BD330" s="89"/>
      <c r="BE330" s="141"/>
      <c r="BF330" s="176"/>
      <c r="BG330" s="176"/>
      <c r="BH330" s="176"/>
      <c r="BI330" s="176"/>
    </row>
    <row r="331" spans="1:61" s="90" customFormat="1">
      <c r="A331" s="83"/>
      <c r="B331" s="85"/>
      <c r="C331" s="84"/>
      <c r="D331" s="112"/>
      <c r="E331" s="112"/>
      <c r="F331" s="112"/>
      <c r="G331" s="85"/>
      <c r="H331" s="120"/>
      <c r="I331" s="280"/>
      <c r="J331" s="120"/>
      <c r="K331" s="120" t="str">
        <f t="shared" si="26"/>
        <v/>
      </c>
      <c r="L331" s="287"/>
      <c r="M331" s="91"/>
      <c r="N331" s="99"/>
      <c r="O331" s="116"/>
      <c r="P331" s="86"/>
      <c r="Q331" s="92"/>
      <c r="R331" s="120">
        <f t="shared" si="27"/>
        <v>0</v>
      </c>
      <c r="S331" s="93"/>
      <c r="T331" s="117"/>
      <c r="U331" s="117"/>
      <c r="V331" s="85"/>
      <c r="W331" s="146"/>
      <c r="X331" s="137"/>
      <c r="Y331" s="137"/>
      <c r="Z331" s="137"/>
      <c r="AA331" s="137"/>
      <c r="AB331" s="137"/>
      <c r="AC331" s="137"/>
      <c r="AD331" s="137"/>
      <c r="AE331" s="137"/>
      <c r="AF331" s="141"/>
      <c r="AG331" s="146"/>
      <c r="AH331" s="146"/>
      <c r="AI331" s="146"/>
      <c r="AJ331" s="146"/>
      <c r="AK331" s="146"/>
      <c r="AL331" s="81"/>
      <c r="AM331" s="81"/>
      <c r="AN331" s="152"/>
      <c r="AO331" s="152"/>
      <c r="AP331" s="152"/>
      <c r="AQ331" s="152"/>
      <c r="AR331" s="81"/>
      <c r="AS331" s="81"/>
      <c r="AT331" s="82"/>
      <c r="AU331" s="82"/>
      <c r="AV331" s="176"/>
      <c r="AW331" s="89"/>
      <c r="AX331" s="89"/>
      <c r="AY331" s="89"/>
      <c r="AZ331" s="89"/>
      <c r="BA331" s="89"/>
      <c r="BB331" s="89"/>
      <c r="BC331" s="89"/>
      <c r="BD331" s="89"/>
      <c r="BE331" s="141"/>
      <c r="BF331" s="176"/>
      <c r="BG331" s="176"/>
      <c r="BH331" s="176"/>
      <c r="BI331" s="176"/>
    </row>
    <row r="332" spans="1:61" s="90" customFormat="1">
      <c r="A332" s="83"/>
      <c r="B332" s="85"/>
      <c r="C332" s="84"/>
      <c r="D332" s="112"/>
      <c r="E332" s="112"/>
      <c r="F332" s="112"/>
      <c r="G332" s="85"/>
      <c r="H332" s="120"/>
      <c r="I332" s="280"/>
      <c r="J332" s="120"/>
      <c r="K332" s="120" t="str">
        <f t="shared" si="26"/>
        <v/>
      </c>
      <c r="L332" s="287"/>
      <c r="M332" s="91"/>
      <c r="N332" s="99"/>
      <c r="O332" s="116"/>
      <c r="P332" s="86"/>
      <c r="Q332" s="92"/>
      <c r="R332" s="120">
        <f t="shared" si="27"/>
        <v>0</v>
      </c>
      <c r="S332" s="93"/>
      <c r="T332" s="117"/>
      <c r="U332" s="117"/>
      <c r="V332" s="85"/>
      <c r="W332" s="146"/>
      <c r="X332" s="137"/>
      <c r="Y332" s="137"/>
      <c r="Z332" s="137"/>
      <c r="AA332" s="137"/>
      <c r="AB332" s="137"/>
      <c r="AC332" s="137"/>
      <c r="AD332" s="137"/>
      <c r="AE332" s="137"/>
      <c r="AF332" s="141"/>
      <c r="AG332" s="146"/>
      <c r="AH332" s="146"/>
      <c r="AI332" s="146"/>
      <c r="AJ332" s="146"/>
      <c r="AK332" s="146"/>
      <c r="AL332" s="81"/>
      <c r="AM332" s="81"/>
      <c r="AN332" s="152"/>
      <c r="AO332" s="152"/>
      <c r="AP332" s="152"/>
      <c r="AQ332" s="152"/>
      <c r="AR332" s="81"/>
      <c r="AS332" s="81"/>
      <c r="AT332" s="82"/>
      <c r="AU332" s="82"/>
      <c r="AV332" s="176"/>
      <c r="AW332" s="89"/>
      <c r="AX332" s="89"/>
      <c r="AY332" s="89"/>
      <c r="AZ332" s="89"/>
      <c r="BA332" s="89"/>
      <c r="BB332" s="89"/>
      <c r="BC332" s="89"/>
      <c r="BD332" s="89"/>
      <c r="BE332" s="141"/>
      <c r="BF332" s="176"/>
      <c r="BG332" s="176"/>
      <c r="BH332" s="176"/>
      <c r="BI332" s="176"/>
    </row>
    <row r="333" spans="1:61" s="90" customFormat="1">
      <c r="A333" s="83"/>
      <c r="B333" s="85"/>
      <c r="C333" s="84"/>
      <c r="D333" s="112"/>
      <c r="E333" s="112"/>
      <c r="F333" s="112"/>
      <c r="G333" s="85"/>
      <c r="H333" s="120"/>
      <c r="I333" s="280"/>
      <c r="J333" s="120"/>
      <c r="K333" s="120" t="str">
        <f t="shared" si="26"/>
        <v/>
      </c>
      <c r="L333" s="287"/>
      <c r="M333" s="91"/>
      <c r="N333" s="99"/>
      <c r="O333" s="116"/>
      <c r="P333" s="86"/>
      <c r="Q333" s="92"/>
      <c r="R333" s="120">
        <f t="shared" si="27"/>
        <v>0</v>
      </c>
      <c r="S333" s="93"/>
      <c r="T333" s="117"/>
      <c r="U333" s="117"/>
      <c r="V333" s="85"/>
      <c r="W333" s="146"/>
      <c r="X333" s="137"/>
      <c r="Y333" s="137"/>
      <c r="Z333" s="137"/>
      <c r="AA333" s="137"/>
      <c r="AB333" s="137"/>
      <c r="AC333" s="137"/>
      <c r="AD333" s="137"/>
      <c r="AE333" s="137"/>
      <c r="AF333" s="141"/>
      <c r="AG333" s="146"/>
      <c r="AH333" s="146"/>
      <c r="AI333" s="146"/>
      <c r="AJ333" s="146"/>
      <c r="AK333" s="146"/>
      <c r="AL333" s="81"/>
      <c r="AM333" s="81"/>
      <c r="AN333" s="152"/>
      <c r="AO333" s="152"/>
      <c r="AP333" s="152"/>
      <c r="AQ333" s="152"/>
      <c r="AR333" s="81"/>
      <c r="AS333" s="81"/>
      <c r="AT333" s="82"/>
      <c r="AU333" s="82"/>
      <c r="AV333" s="176"/>
      <c r="AW333" s="89"/>
      <c r="AX333" s="89"/>
      <c r="AY333" s="89"/>
      <c r="AZ333" s="89"/>
      <c r="BA333" s="89"/>
      <c r="BB333" s="89"/>
      <c r="BC333" s="89"/>
      <c r="BD333" s="89"/>
      <c r="BE333" s="141"/>
      <c r="BF333" s="176"/>
      <c r="BG333" s="176"/>
      <c r="BH333" s="176"/>
      <c r="BI333" s="176"/>
    </row>
    <row r="334" spans="1:61" s="90" customFormat="1">
      <c r="A334" s="83"/>
      <c r="B334" s="85"/>
      <c r="C334" s="84"/>
      <c r="D334" s="112"/>
      <c r="E334" s="112"/>
      <c r="F334" s="112"/>
      <c r="G334" s="85"/>
      <c r="H334" s="120"/>
      <c r="I334" s="280"/>
      <c r="J334" s="120"/>
      <c r="K334" s="120" t="str">
        <f t="shared" si="26"/>
        <v/>
      </c>
      <c r="L334" s="287"/>
      <c r="M334" s="91"/>
      <c r="N334" s="99"/>
      <c r="O334" s="116"/>
      <c r="P334" s="86"/>
      <c r="Q334" s="92"/>
      <c r="R334" s="120">
        <f t="shared" si="27"/>
        <v>0</v>
      </c>
      <c r="S334" s="93"/>
      <c r="T334" s="117"/>
      <c r="U334" s="117"/>
      <c r="V334" s="85"/>
      <c r="W334" s="146"/>
      <c r="X334" s="137"/>
      <c r="Y334" s="137"/>
      <c r="Z334" s="137"/>
      <c r="AA334" s="137"/>
      <c r="AB334" s="137"/>
      <c r="AC334" s="137"/>
      <c r="AD334" s="137"/>
      <c r="AE334" s="137"/>
      <c r="AF334" s="141"/>
      <c r="AG334" s="146"/>
      <c r="AH334" s="146"/>
      <c r="AI334" s="146"/>
      <c r="AJ334" s="146"/>
      <c r="AK334" s="146"/>
      <c r="AL334" s="81"/>
      <c r="AM334" s="81"/>
      <c r="AN334" s="152"/>
      <c r="AO334" s="152"/>
      <c r="AP334" s="152"/>
      <c r="AQ334" s="152"/>
      <c r="AR334" s="81"/>
      <c r="AS334" s="81"/>
      <c r="AT334" s="82"/>
      <c r="AU334" s="82"/>
      <c r="AV334" s="176"/>
      <c r="AW334" s="89"/>
      <c r="AX334" s="89"/>
      <c r="AY334" s="89"/>
      <c r="AZ334" s="89"/>
      <c r="BA334" s="89"/>
      <c r="BB334" s="89"/>
      <c r="BC334" s="89"/>
      <c r="BD334" s="89"/>
      <c r="BE334" s="141"/>
      <c r="BF334" s="176"/>
      <c r="BG334" s="176"/>
      <c r="BH334" s="176"/>
      <c r="BI334" s="176"/>
    </row>
    <row r="335" spans="1:61" s="90" customFormat="1">
      <c r="A335" s="83"/>
      <c r="B335" s="85"/>
      <c r="C335" s="84"/>
      <c r="D335" s="112"/>
      <c r="E335" s="112"/>
      <c r="F335" s="112"/>
      <c r="G335" s="85"/>
      <c r="H335" s="120"/>
      <c r="I335" s="280"/>
      <c r="J335" s="120"/>
      <c r="K335" s="120" t="str">
        <f t="shared" si="26"/>
        <v/>
      </c>
      <c r="L335" s="287"/>
      <c r="M335" s="91"/>
      <c r="N335" s="99"/>
      <c r="O335" s="116"/>
      <c r="P335" s="86"/>
      <c r="Q335" s="92"/>
      <c r="R335" s="120">
        <f t="shared" si="27"/>
        <v>0</v>
      </c>
      <c r="S335" s="93"/>
      <c r="T335" s="117"/>
      <c r="U335" s="117"/>
      <c r="V335" s="85"/>
      <c r="W335" s="146"/>
      <c r="X335" s="137"/>
      <c r="Y335" s="137"/>
      <c r="Z335" s="137"/>
      <c r="AA335" s="137"/>
      <c r="AB335" s="137"/>
      <c r="AC335" s="137"/>
      <c r="AD335" s="137"/>
      <c r="AE335" s="137"/>
      <c r="AF335" s="141"/>
      <c r="AG335" s="146"/>
      <c r="AH335" s="146"/>
      <c r="AI335" s="146"/>
      <c r="AJ335" s="146"/>
      <c r="AK335" s="146"/>
      <c r="AL335" s="81"/>
      <c r="AM335" s="81"/>
      <c r="AN335" s="152"/>
      <c r="AO335" s="152"/>
      <c r="AP335" s="152"/>
      <c r="AQ335" s="152"/>
      <c r="AR335" s="81"/>
      <c r="AS335" s="81"/>
      <c r="AT335" s="82"/>
      <c r="AU335" s="82"/>
      <c r="AV335" s="176"/>
      <c r="AW335" s="89"/>
      <c r="AX335" s="89"/>
      <c r="AY335" s="89"/>
      <c r="AZ335" s="89"/>
      <c r="BA335" s="89"/>
      <c r="BB335" s="89"/>
      <c r="BC335" s="89"/>
      <c r="BD335" s="89"/>
      <c r="BE335" s="141"/>
      <c r="BF335" s="176"/>
      <c r="BG335" s="176"/>
      <c r="BH335" s="176"/>
      <c r="BI335" s="176"/>
    </row>
    <row r="336" spans="1:61" s="90" customFormat="1">
      <c r="A336" s="83"/>
      <c r="B336" s="85"/>
      <c r="C336" s="84"/>
      <c r="D336" s="112"/>
      <c r="E336" s="112"/>
      <c r="F336" s="112"/>
      <c r="G336" s="85"/>
      <c r="H336" s="120"/>
      <c r="I336" s="280"/>
      <c r="J336" s="120"/>
      <c r="K336" s="120" t="str">
        <f t="shared" si="26"/>
        <v/>
      </c>
      <c r="L336" s="287"/>
      <c r="M336" s="91"/>
      <c r="N336" s="99"/>
      <c r="O336" s="116"/>
      <c r="P336" s="86"/>
      <c r="Q336" s="92"/>
      <c r="R336" s="120">
        <f t="shared" si="27"/>
        <v>0</v>
      </c>
      <c r="S336" s="93"/>
      <c r="T336" s="117"/>
      <c r="U336" s="117"/>
      <c r="V336" s="85"/>
      <c r="W336" s="146"/>
      <c r="X336" s="137"/>
      <c r="Y336" s="137"/>
      <c r="Z336" s="137"/>
      <c r="AA336" s="137"/>
      <c r="AB336" s="137"/>
      <c r="AC336" s="137"/>
      <c r="AD336" s="137"/>
      <c r="AE336" s="137"/>
      <c r="AF336" s="141"/>
      <c r="AG336" s="146"/>
      <c r="AH336" s="146"/>
      <c r="AI336" s="146"/>
      <c r="AJ336" s="146"/>
      <c r="AK336" s="146"/>
      <c r="AL336" s="81"/>
      <c r="AM336" s="81"/>
      <c r="AN336" s="152"/>
      <c r="AO336" s="152"/>
      <c r="AP336" s="152"/>
      <c r="AQ336" s="152"/>
      <c r="AR336" s="81"/>
      <c r="AS336" s="81"/>
      <c r="AT336" s="82"/>
      <c r="AU336" s="82"/>
      <c r="AV336" s="176"/>
      <c r="AW336" s="89"/>
      <c r="AX336" s="89"/>
      <c r="AY336" s="89"/>
      <c r="AZ336" s="89"/>
      <c r="BA336" s="89"/>
      <c r="BB336" s="89"/>
      <c r="BC336" s="89"/>
      <c r="BD336" s="89"/>
      <c r="BE336" s="141"/>
      <c r="BF336" s="176"/>
      <c r="BG336" s="176"/>
      <c r="BH336" s="176"/>
      <c r="BI336" s="176"/>
    </row>
    <row r="337" spans="1:61" s="90" customFormat="1">
      <c r="A337" s="83"/>
      <c r="B337" s="85"/>
      <c r="C337" s="84"/>
      <c r="D337" s="112"/>
      <c r="E337" s="112"/>
      <c r="F337" s="112"/>
      <c r="G337" s="85"/>
      <c r="H337" s="120"/>
      <c r="I337" s="280"/>
      <c r="J337" s="120"/>
      <c r="K337" s="120" t="str">
        <f t="shared" si="26"/>
        <v/>
      </c>
      <c r="L337" s="287"/>
      <c r="M337" s="91"/>
      <c r="N337" s="99"/>
      <c r="O337" s="116"/>
      <c r="P337" s="86"/>
      <c r="Q337" s="92"/>
      <c r="R337" s="120">
        <f t="shared" si="27"/>
        <v>0</v>
      </c>
      <c r="S337" s="93"/>
      <c r="T337" s="117"/>
      <c r="U337" s="117"/>
      <c r="V337" s="85"/>
      <c r="W337" s="146"/>
      <c r="X337" s="137"/>
      <c r="Y337" s="137"/>
      <c r="Z337" s="137"/>
      <c r="AA337" s="137"/>
      <c r="AB337" s="137"/>
      <c r="AC337" s="137"/>
      <c r="AD337" s="137"/>
      <c r="AE337" s="137"/>
      <c r="AF337" s="141"/>
      <c r="AG337" s="146"/>
      <c r="AH337" s="146"/>
      <c r="AI337" s="146"/>
      <c r="AJ337" s="146"/>
      <c r="AK337" s="146"/>
      <c r="AL337" s="81"/>
      <c r="AM337" s="81"/>
      <c r="AN337" s="152"/>
      <c r="AO337" s="152"/>
      <c r="AP337" s="152"/>
      <c r="AQ337" s="152"/>
      <c r="AR337" s="81"/>
      <c r="AS337" s="81"/>
      <c r="AT337" s="82"/>
      <c r="AU337" s="82"/>
      <c r="AV337" s="176"/>
      <c r="AW337" s="89"/>
      <c r="AX337" s="89"/>
      <c r="AY337" s="89"/>
      <c r="AZ337" s="89"/>
      <c r="BA337" s="89"/>
      <c r="BB337" s="89"/>
      <c r="BC337" s="89"/>
      <c r="BD337" s="89"/>
      <c r="BE337" s="141"/>
      <c r="BF337" s="176"/>
      <c r="BG337" s="176"/>
      <c r="BH337" s="176"/>
      <c r="BI337" s="176"/>
    </row>
    <row r="338" spans="1:61" s="90" customFormat="1">
      <c r="A338" s="83"/>
      <c r="B338" s="85"/>
      <c r="C338" s="84"/>
      <c r="D338" s="112"/>
      <c r="E338" s="112"/>
      <c r="F338" s="112"/>
      <c r="G338" s="85"/>
      <c r="H338" s="120"/>
      <c r="I338" s="280"/>
      <c r="J338" s="120"/>
      <c r="K338" s="120" t="str">
        <f t="shared" si="26"/>
        <v/>
      </c>
      <c r="L338" s="287"/>
      <c r="M338" s="91"/>
      <c r="N338" s="99"/>
      <c r="O338" s="116"/>
      <c r="P338" s="86"/>
      <c r="Q338" s="92"/>
      <c r="R338" s="120">
        <f t="shared" si="27"/>
        <v>0</v>
      </c>
      <c r="S338" s="93"/>
      <c r="T338" s="117"/>
      <c r="U338" s="117"/>
      <c r="V338" s="85"/>
      <c r="W338" s="146"/>
      <c r="X338" s="137"/>
      <c r="Y338" s="137"/>
      <c r="Z338" s="137"/>
      <c r="AA338" s="137"/>
      <c r="AB338" s="137"/>
      <c r="AC338" s="137"/>
      <c r="AD338" s="137"/>
      <c r="AE338" s="137"/>
      <c r="AF338" s="141"/>
      <c r="AG338" s="146"/>
      <c r="AH338" s="146"/>
      <c r="AI338" s="146"/>
      <c r="AJ338" s="146"/>
      <c r="AK338" s="146"/>
      <c r="AL338" s="81"/>
      <c r="AM338" s="81"/>
      <c r="AN338" s="152"/>
      <c r="AO338" s="152"/>
      <c r="AP338" s="152"/>
      <c r="AQ338" s="152"/>
      <c r="AR338" s="81"/>
      <c r="AS338" s="81"/>
      <c r="AT338" s="82"/>
      <c r="AU338" s="82"/>
      <c r="AV338" s="176"/>
      <c r="AW338" s="89"/>
      <c r="AX338" s="89"/>
      <c r="AY338" s="89"/>
      <c r="AZ338" s="89"/>
      <c r="BA338" s="89"/>
      <c r="BB338" s="89"/>
      <c r="BC338" s="89"/>
      <c r="BD338" s="89"/>
      <c r="BE338" s="141"/>
      <c r="BF338" s="176"/>
      <c r="BG338" s="176"/>
      <c r="BH338" s="176"/>
      <c r="BI338" s="176"/>
    </row>
    <row r="339" spans="1:61" s="90" customFormat="1">
      <c r="A339" s="83"/>
      <c r="B339" s="85"/>
      <c r="C339" s="84"/>
      <c r="D339" s="112"/>
      <c r="E339" s="112"/>
      <c r="F339" s="112"/>
      <c r="G339" s="85"/>
      <c r="H339" s="120"/>
      <c r="I339" s="280"/>
      <c r="J339" s="120"/>
      <c r="K339" s="120" t="str">
        <f t="shared" si="26"/>
        <v/>
      </c>
      <c r="L339" s="287"/>
      <c r="M339" s="91"/>
      <c r="N339" s="99"/>
      <c r="O339" s="116"/>
      <c r="P339" s="86"/>
      <c r="Q339" s="92"/>
      <c r="R339" s="120">
        <f t="shared" si="27"/>
        <v>0</v>
      </c>
      <c r="S339" s="93"/>
      <c r="T339" s="117"/>
      <c r="U339" s="117"/>
      <c r="V339" s="85"/>
      <c r="W339" s="146"/>
      <c r="X339" s="137"/>
      <c r="Y339" s="137"/>
      <c r="Z339" s="137"/>
      <c r="AA339" s="137"/>
      <c r="AB339" s="137"/>
      <c r="AC339" s="137"/>
      <c r="AD339" s="137"/>
      <c r="AE339" s="137"/>
      <c r="AF339" s="141"/>
      <c r="AG339" s="146"/>
      <c r="AH339" s="146"/>
      <c r="AI339" s="146"/>
      <c r="AJ339" s="146"/>
      <c r="AK339" s="146"/>
      <c r="AL339" s="81"/>
      <c r="AM339" s="81"/>
      <c r="AN339" s="152"/>
      <c r="AO339" s="152"/>
      <c r="AP339" s="152"/>
      <c r="AQ339" s="152"/>
      <c r="AR339" s="81"/>
      <c r="AS339" s="81"/>
      <c r="AT339" s="82"/>
      <c r="AU339" s="82"/>
      <c r="AV339" s="176"/>
      <c r="AW339" s="89"/>
      <c r="AX339" s="89"/>
      <c r="AY339" s="89"/>
      <c r="AZ339" s="89"/>
      <c r="BA339" s="89"/>
      <c r="BB339" s="89"/>
      <c r="BC339" s="89"/>
      <c r="BD339" s="89"/>
      <c r="BE339" s="141"/>
      <c r="BF339" s="176"/>
      <c r="BG339" s="176"/>
      <c r="BH339" s="176"/>
      <c r="BI339" s="176"/>
    </row>
    <row r="340" spans="1:61" s="90" customFormat="1">
      <c r="A340" s="83"/>
      <c r="B340" s="85"/>
      <c r="C340" s="84"/>
      <c r="D340" s="112"/>
      <c r="E340" s="112"/>
      <c r="F340" s="112"/>
      <c r="G340" s="85"/>
      <c r="H340" s="120"/>
      <c r="I340" s="280"/>
      <c r="J340" s="120"/>
      <c r="K340" s="120" t="str">
        <f t="shared" si="26"/>
        <v/>
      </c>
      <c r="L340" s="287"/>
      <c r="M340" s="91"/>
      <c r="N340" s="99"/>
      <c r="O340" s="116"/>
      <c r="P340" s="86"/>
      <c r="Q340" s="92"/>
      <c r="R340" s="120">
        <f t="shared" si="27"/>
        <v>0</v>
      </c>
      <c r="S340" s="93"/>
      <c r="T340" s="117"/>
      <c r="U340" s="117"/>
      <c r="V340" s="85"/>
      <c r="W340" s="146"/>
      <c r="X340" s="137"/>
      <c r="Y340" s="137"/>
      <c r="Z340" s="137"/>
      <c r="AA340" s="137"/>
      <c r="AB340" s="137"/>
      <c r="AC340" s="137"/>
      <c r="AD340" s="137"/>
      <c r="AE340" s="137"/>
      <c r="AF340" s="141"/>
      <c r="AG340" s="146"/>
      <c r="AH340" s="146"/>
      <c r="AI340" s="146"/>
      <c r="AJ340" s="146"/>
      <c r="AK340" s="146"/>
      <c r="AL340" s="81"/>
      <c r="AM340" s="81"/>
      <c r="AN340" s="152"/>
      <c r="AO340" s="152"/>
      <c r="AP340" s="152"/>
      <c r="AQ340" s="152"/>
      <c r="AR340" s="81"/>
      <c r="AS340" s="81"/>
      <c r="AT340" s="82"/>
      <c r="AU340" s="82"/>
      <c r="AV340" s="176"/>
      <c r="AW340" s="89"/>
      <c r="AX340" s="89"/>
      <c r="AY340" s="89"/>
      <c r="AZ340" s="89"/>
      <c r="BA340" s="89"/>
      <c r="BB340" s="89"/>
      <c r="BC340" s="89"/>
      <c r="BD340" s="89"/>
      <c r="BE340" s="141"/>
      <c r="BF340" s="176"/>
      <c r="BG340" s="176"/>
      <c r="BH340" s="176"/>
      <c r="BI340" s="176"/>
    </row>
    <row r="341" spans="1:61" s="90" customFormat="1">
      <c r="A341" s="83"/>
      <c r="B341" s="85"/>
      <c r="C341" s="84"/>
      <c r="D341" s="112"/>
      <c r="E341" s="112"/>
      <c r="F341" s="112"/>
      <c r="G341" s="85"/>
      <c r="H341" s="120"/>
      <c r="I341" s="280"/>
      <c r="J341" s="120"/>
      <c r="K341" s="120" t="str">
        <f t="shared" si="26"/>
        <v/>
      </c>
      <c r="L341" s="287"/>
      <c r="M341" s="91"/>
      <c r="N341" s="99"/>
      <c r="O341" s="116"/>
      <c r="P341" s="86"/>
      <c r="Q341" s="92"/>
      <c r="R341" s="120">
        <f t="shared" si="27"/>
        <v>0</v>
      </c>
      <c r="S341" s="93"/>
      <c r="T341" s="117"/>
      <c r="U341" s="117"/>
      <c r="V341" s="85"/>
      <c r="W341" s="146"/>
      <c r="X341" s="137"/>
      <c r="Y341" s="137"/>
      <c r="Z341" s="137"/>
      <c r="AA341" s="137"/>
      <c r="AB341" s="137"/>
      <c r="AC341" s="137"/>
      <c r="AD341" s="137"/>
      <c r="AE341" s="137"/>
      <c r="AF341" s="141"/>
      <c r="AG341" s="146"/>
      <c r="AH341" s="146"/>
      <c r="AI341" s="146"/>
      <c r="AJ341" s="146"/>
      <c r="AK341" s="146"/>
      <c r="AL341" s="81"/>
      <c r="AM341" s="81"/>
      <c r="AN341" s="152"/>
      <c r="AO341" s="152"/>
      <c r="AP341" s="152"/>
      <c r="AQ341" s="152"/>
      <c r="AR341" s="81"/>
      <c r="AS341" s="81"/>
      <c r="AT341" s="82"/>
      <c r="AU341" s="82"/>
      <c r="AV341" s="176"/>
      <c r="AW341" s="89"/>
      <c r="AX341" s="89"/>
      <c r="AY341" s="89"/>
      <c r="AZ341" s="89"/>
      <c r="BA341" s="89"/>
      <c r="BB341" s="89"/>
      <c r="BC341" s="89"/>
      <c r="BD341" s="89"/>
      <c r="BE341" s="141"/>
      <c r="BF341" s="176"/>
      <c r="BG341" s="176"/>
      <c r="BH341" s="176"/>
      <c r="BI341" s="176"/>
    </row>
    <row r="342" spans="1:61" s="90" customFormat="1">
      <c r="A342" s="83"/>
      <c r="B342" s="85"/>
      <c r="C342" s="84"/>
      <c r="D342" s="112"/>
      <c r="E342" s="112"/>
      <c r="F342" s="112"/>
      <c r="G342" s="85"/>
      <c r="H342" s="120"/>
      <c r="I342" s="280"/>
      <c r="J342" s="120"/>
      <c r="K342" s="120" t="str">
        <f t="shared" si="26"/>
        <v/>
      </c>
      <c r="L342" s="287"/>
      <c r="M342" s="91"/>
      <c r="N342" s="99"/>
      <c r="O342" s="116"/>
      <c r="P342" s="86"/>
      <c r="Q342" s="92"/>
      <c r="R342" s="120">
        <f t="shared" si="27"/>
        <v>0</v>
      </c>
      <c r="S342" s="93"/>
      <c r="T342" s="117"/>
      <c r="U342" s="117"/>
      <c r="V342" s="85"/>
      <c r="W342" s="146"/>
      <c r="X342" s="137"/>
      <c r="Y342" s="137"/>
      <c r="Z342" s="137"/>
      <c r="AA342" s="137"/>
      <c r="AB342" s="137"/>
      <c r="AC342" s="137"/>
      <c r="AD342" s="137"/>
      <c r="AE342" s="137"/>
      <c r="AF342" s="141"/>
      <c r="AG342" s="146"/>
      <c r="AH342" s="146"/>
      <c r="AI342" s="146"/>
      <c r="AJ342" s="146"/>
      <c r="AK342" s="146"/>
      <c r="AL342" s="81"/>
      <c r="AM342" s="81"/>
      <c r="AN342" s="152"/>
      <c r="AO342" s="152"/>
      <c r="AP342" s="152"/>
      <c r="AQ342" s="152"/>
      <c r="AR342" s="81"/>
      <c r="AS342" s="81"/>
      <c r="AT342" s="82"/>
      <c r="AU342" s="82"/>
      <c r="AV342" s="176"/>
      <c r="AW342" s="89"/>
      <c r="AX342" s="89"/>
      <c r="AY342" s="89"/>
      <c r="AZ342" s="89"/>
      <c r="BA342" s="89"/>
      <c r="BB342" s="89"/>
      <c r="BC342" s="89"/>
      <c r="BD342" s="89"/>
      <c r="BE342" s="141"/>
      <c r="BF342" s="176"/>
      <c r="BG342" s="176"/>
      <c r="BH342" s="176"/>
      <c r="BI342" s="176"/>
    </row>
    <row r="343" spans="1:61" s="90" customFormat="1">
      <c r="A343" s="83"/>
      <c r="B343" s="85"/>
      <c r="C343" s="84"/>
      <c r="D343" s="112"/>
      <c r="E343" s="112"/>
      <c r="F343" s="112"/>
      <c r="G343" s="85"/>
      <c r="H343" s="120"/>
      <c r="I343" s="280"/>
      <c r="J343" s="120"/>
      <c r="K343" s="120" t="str">
        <f t="shared" si="26"/>
        <v/>
      </c>
      <c r="L343" s="287"/>
      <c r="M343" s="91"/>
      <c r="N343" s="99"/>
      <c r="O343" s="116"/>
      <c r="P343" s="86"/>
      <c r="Q343" s="92"/>
      <c r="R343" s="120">
        <f t="shared" si="27"/>
        <v>0</v>
      </c>
      <c r="S343" s="93"/>
      <c r="T343" s="117"/>
      <c r="U343" s="117"/>
      <c r="V343" s="85"/>
      <c r="W343" s="146"/>
      <c r="X343" s="137"/>
      <c r="Y343" s="137"/>
      <c r="Z343" s="137"/>
      <c r="AA343" s="137"/>
      <c r="AB343" s="137"/>
      <c r="AC343" s="137"/>
      <c r="AD343" s="137"/>
      <c r="AE343" s="137"/>
      <c r="AF343" s="141"/>
      <c r="AG343" s="146"/>
      <c r="AH343" s="146"/>
      <c r="AI343" s="146"/>
      <c r="AJ343" s="146"/>
      <c r="AK343" s="146"/>
      <c r="AL343" s="81"/>
      <c r="AM343" s="81"/>
      <c r="AN343" s="152"/>
      <c r="AO343" s="152"/>
      <c r="AP343" s="152"/>
      <c r="AQ343" s="152"/>
      <c r="AR343" s="81"/>
      <c r="AS343" s="81"/>
      <c r="AT343" s="82"/>
      <c r="AU343" s="82"/>
      <c r="AV343" s="176"/>
      <c r="AW343" s="89"/>
      <c r="AX343" s="89"/>
      <c r="AY343" s="89"/>
      <c r="AZ343" s="89"/>
      <c r="BA343" s="89"/>
      <c r="BB343" s="89"/>
      <c r="BC343" s="89"/>
      <c r="BD343" s="89"/>
      <c r="BE343" s="141"/>
      <c r="BF343" s="176"/>
      <c r="BG343" s="176"/>
      <c r="BH343" s="176"/>
      <c r="BI343" s="176"/>
    </row>
    <row r="344" spans="1:61" s="90" customFormat="1">
      <c r="A344" s="83"/>
      <c r="B344" s="85"/>
      <c r="C344" s="84"/>
      <c r="D344" s="112"/>
      <c r="E344" s="112"/>
      <c r="F344" s="112"/>
      <c r="G344" s="85"/>
      <c r="H344" s="120"/>
      <c r="I344" s="280"/>
      <c r="J344" s="120"/>
      <c r="K344" s="120" t="str">
        <f t="shared" si="26"/>
        <v/>
      </c>
      <c r="L344" s="287"/>
      <c r="M344" s="91"/>
      <c r="N344" s="99"/>
      <c r="O344" s="116"/>
      <c r="P344" s="86"/>
      <c r="Q344" s="92"/>
      <c r="R344" s="120">
        <f t="shared" si="27"/>
        <v>0</v>
      </c>
      <c r="S344" s="93"/>
      <c r="T344" s="117"/>
      <c r="U344" s="117"/>
      <c r="V344" s="85"/>
      <c r="W344" s="146"/>
      <c r="X344" s="137"/>
      <c r="Y344" s="137"/>
      <c r="Z344" s="137"/>
      <c r="AA344" s="137"/>
      <c r="AB344" s="137"/>
      <c r="AC344" s="137"/>
      <c r="AD344" s="137"/>
      <c r="AE344" s="137"/>
      <c r="AF344" s="141"/>
      <c r="AG344" s="146"/>
      <c r="AH344" s="146"/>
      <c r="AI344" s="146"/>
      <c r="AJ344" s="146"/>
      <c r="AK344" s="146"/>
      <c r="AL344" s="81"/>
      <c r="AM344" s="81"/>
      <c r="AN344" s="152"/>
      <c r="AO344" s="152"/>
      <c r="AP344" s="152"/>
      <c r="AQ344" s="152"/>
      <c r="AR344" s="81"/>
      <c r="AS344" s="81"/>
      <c r="AT344" s="82"/>
      <c r="AU344" s="82"/>
      <c r="AV344" s="176"/>
      <c r="AW344" s="89"/>
      <c r="AX344" s="89"/>
      <c r="AY344" s="89"/>
      <c r="AZ344" s="89"/>
      <c r="BA344" s="89"/>
      <c r="BB344" s="89"/>
      <c r="BC344" s="89"/>
      <c r="BD344" s="89"/>
      <c r="BE344" s="141"/>
      <c r="BF344" s="176"/>
      <c r="BG344" s="176"/>
      <c r="BH344" s="176"/>
      <c r="BI344" s="176"/>
    </row>
    <row r="345" spans="1:61" s="90" customFormat="1">
      <c r="A345" s="83"/>
      <c r="B345" s="85"/>
      <c r="C345" s="84"/>
      <c r="D345" s="112"/>
      <c r="E345" s="112"/>
      <c r="F345" s="112"/>
      <c r="G345" s="85"/>
      <c r="H345" s="120"/>
      <c r="I345" s="280"/>
      <c r="J345" s="120"/>
      <c r="K345" s="120" t="str">
        <f t="shared" si="26"/>
        <v/>
      </c>
      <c r="L345" s="287"/>
      <c r="M345" s="91"/>
      <c r="N345" s="99"/>
      <c r="O345" s="116"/>
      <c r="P345" s="86"/>
      <c r="Q345" s="92"/>
      <c r="R345" s="120">
        <f t="shared" si="27"/>
        <v>0</v>
      </c>
      <c r="S345" s="93"/>
      <c r="T345" s="117"/>
      <c r="U345" s="117"/>
      <c r="V345" s="85"/>
      <c r="W345" s="146"/>
      <c r="X345" s="137"/>
      <c r="Y345" s="137"/>
      <c r="Z345" s="137"/>
      <c r="AA345" s="137"/>
      <c r="AB345" s="137"/>
      <c r="AC345" s="137"/>
      <c r="AD345" s="137"/>
      <c r="AE345" s="137"/>
      <c r="AF345" s="141"/>
      <c r="AG345" s="146"/>
      <c r="AH345" s="146"/>
      <c r="AI345" s="146"/>
      <c r="AJ345" s="146"/>
      <c r="AK345" s="146"/>
      <c r="AL345" s="81"/>
      <c r="AM345" s="81"/>
      <c r="AN345" s="152"/>
      <c r="AO345" s="152"/>
      <c r="AP345" s="152"/>
      <c r="AQ345" s="152"/>
      <c r="AR345" s="81"/>
      <c r="AS345" s="81"/>
      <c r="AT345" s="82"/>
      <c r="AU345" s="82"/>
      <c r="AV345" s="176"/>
      <c r="AW345" s="89"/>
      <c r="AX345" s="89"/>
      <c r="AY345" s="89"/>
      <c r="AZ345" s="89"/>
      <c r="BA345" s="89"/>
      <c r="BB345" s="89"/>
      <c r="BC345" s="89"/>
      <c r="BD345" s="89"/>
      <c r="BE345" s="141"/>
      <c r="BF345" s="176"/>
      <c r="BG345" s="176"/>
      <c r="BH345" s="176"/>
      <c r="BI345" s="176"/>
    </row>
    <row r="346" spans="1:61" s="90" customFormat="1">
      <c r="A346" s="83"/>
      <c r="B346" s="85"/>
      <c r="C346" s="84"/>
      <c r="D346" s="112"/>
      <c r="E346" s="112"/>
      <c r="F346" s="112"/>
      <c r="G346" s="85"/>
      <c r="H346" s="120"/>
      <c r="I346" s="280"/>
      <c r="J346" s="120"/>
      <c r="K346" s="120" t="str">
        <f t="shared" si="26"/>
        <v/>
      </c>
      <c r="L346" s="287"/>
      <c r="M346" s="91"/>
      <c r="N346" s="99"/>
      <c r="O346" s="116"/>
      <c r="P346" s="86"/>
      <c r="Q346" s="92"/>
      <c r="R346" s="120">
        <f t="shared" si="27"/>
        <v>0</v>
      </c>
      <c r="S346" s="93"/>
      <c r="T346" s="117"/>
      <c r="U346" s="117"/>
      <c r="V346" s="85"/>
      <c r="W346" s="146"/>
      <c r="X346" s="137"/>
      <c r="Y346" s="137"/>
      <c r="Z346" s="137"/>
      <c r="AA346" s="137"/>
      <c r="AB346" s="137"/>
      <c r="AC346" s="137"/>
      <c r="AD346" s="137"/>
      <c r="AE346" s="137"/>
      <c r="AF346" s="141"/>
      <c r="AG346" s="146"/>
      <c r="AH346" s="146"/>
      <c r="AI346" s="146"/>
      <c r="AJ346" s="146"/>
      <c r="AK346" s="146"/>
      <c r="AL346" s="81"/>
      <c r="AM346" s="81"/>
      <c r="AN346" s="152"/>
      <c r="AO346" s="152"/>
      <c r="AP346" s="152"/>
      <c r="AQ346" s="152"/>
      <c r="AR346" s="81"/>
      <c r="AS346" s="81"/>
      <c r="AT346" s="82"/>
      <c r="AU346" s="82"/>
      <c r="AV346" s="176"/>
      <c r="AW346" s="89"/>
      <c r="AX346" s="89"/>
      <c r="AY346" s="89"/>
      <c r="AZ346" s="89"/>
      <c r="BA346" s="89"/>
      <c r="BB346" s="89"/>
      <c r="BC346" s="89"/>
      <c r="BD346" s="89"/>
      <c r="BE346" s="141"/>
      <c r="BF346" s="176"/>
      <c r="BG346" s="176"/>
      <c r="BH346" s="176"/>
      <c r="BI346" s="176"/>
    </row>
    <row r="347" spans="1:61" s="90" customFormat="1">
      <c r="A347" s="83"/>
      <c r="B347" s="85"/>
      <c r="C347" s="84"/>
      <c r="D347" s="112"/>
      <c r="E347" s="112"/>
      <c r="F347" s="112"/>
      <c r="G347" s="85"/>
      <c r="H347" s="120"/>
      <c r="I347" s="280"/>
      <c r="J347" s="120"/>
      <c r="K347" s="120" t="str">
        <f t="shared" si="26"/>
        <v/>
      </c>
      <c r="L347" s="287"/>
      <c r="M347" s="91"/>
      <c r="N347" s="99"/>
      <c r="O347" s="116"/>
      <c r="P347" s="86"/>
      <c r="Q347" s="92"/>
      <c r="R347" s="120">
        <f t="shared" si="27"/>
        <v>0</v>
      </c>
      <c r="S347" s="93"/>
      <c r="T347" s="117"/>
      <c r="U347" s="117"/>
      <c r="V347" s="85"/>
      <c r="W347" s="146"/>
      <c r="X347" s="137"/>
      <c r="Y347" s="137"/>
      <c r="Z347" s="137"/>
      <c r="AA347" s="137"/>
      <c r="AB347" s="137"/>
      <c r="AC347" s="137"/>
      <c r="AD347" s="137"/>
      <c r="AE347" s="137"/>
      <c r="AF347" s="141"/>
      <c r="AG347" s="146"/>
      <c r="AH347" s="146"/>
      <c r="AI347" s="146"/>
      <c r="AJ347" s="146"/>
      <c r="AK347" s="146"/>
      <c r="AL347" s="81"/>
      <c r="AM347" s="81"/>
      <c r="AN347" s="152"/>
      <c r="AO347" s="152"/>
      <c r="AP347" s="152"/>
      <c r="AQ347" s="152"/>
      <c r="AR347" s="81"/>
      <c r="AS347" s="81"/>
      <c r="AT347" s="82"/>
      <c r="AU347" s="82"/>
      <c r="AV347" s="176"/>
      <c r="AW347" s="89"/>
      <c r="AX347" s="89"/>
      <c r="AY347" s="89"/>
      <c r="AZ347" s="89"/>
      <c r="BA347" s="89"/>
      <c r="BB347" s="89"/>
      <c r="BC347" s="89"/>
      <c r="BD347" s="89"/>
      <c r="BE347" s="141"/>
      <c r="BF347" s="176"/>
      <c r="BG347" s="176"/>
      <c r="BH347" s="176"/>
      <c r="BI347" s="176"/>
    </row>
    <row r="348" spans="1:61" s="90" customFormat="1">
      <c r="A348" s="83"/>
      <c r="B348" s="85"/>
      <c r="C348" s="84"/>
      <c r="D348" s="112"/>
      <c r="E348" s="112"/>
      <c r="F348" s="112"/>
      <c r="G348" s="85"/>
      <c r="H348" s="120"/>
      <c r="I348" s="280"/>
      <c r="J348" s="120"/>
      <c r="K348" s="120" t="str">
        <f t="shared" si="26"/>
        <v/>
      </c>
      <c r="L348" s="287"/>
      <c r="M348" s="91"/>
      <c r="N348" s="99"/>
      <c r="O348" s="116"/>
      <c r="P348" s="86"/>
      <c r="Q348" s="92"/>
      <c r="R348" s="120">
        <f t="shared" si="27"/>
        <v>0</v>
      </c>
      <c r="S348" s="93"/>
      <c r="T348" s="117"/>
      <c r="U348" s="117"/>
      <c r="V348" s="85"/>
      <c r="W348" s="146"/>
      <c r="X348" s="137"/>
      <c r="Y348" s="137"/>
      <c r="Z348" s="137"/>
      <c r="AA348" s="137"/>
      <c r="AB348" s="137"/>
      <c r="AC348" s="137"/>
      <c r="AD348" s="137"/>
      <c r="AE348" s="137"/>
      <c r="AF348" s="141"/>
      <c r="AG348" s="146"/>
      <c r="AH348" s="146"/>
      <c r="AI348" s="146"/>
      <c r="AJ348" s="146"/>
      <c r="AK348" s="146"/>
      <c r="AL348" s="81"/>
      <c r="AM348" s="81"/>
      <c r="AN348" s="152"/>
      <c r="AO348" s="152"/>
      <c r="AP348" s="152"/>
      <c r="AQ348" s="152"/>
      <c r="AR348" s="81"/>
      <c r="AS348" s="81"/>
      <c r="AT348" s="82"/>
      <c r="AU348" s="82"/>
      <c r="AV348" s="176"/>
      <c r="AW348" s="89"/>
      <c r="AX348" s="89"/>
      <c r="AY348" s="89"/>
      <c r="AZ348" s="89"/>
      <c r="BA348" s="89"/>
      <c r="BB348" s="89"/>
      <c r="BC348" s="89"/>
      <c r="BD348" s="89"/>
      <c r="BE348" s="141"/>
      <c r="BF348" s="176"/>
      <c r="BG348" s="176"/>
      <c r="BH348" s="176"/>
      <c r="BI348" s="176"/>
    </row>
    <row r="349" spans="1:61" s="90" customFormat="1">
      <c r="A349" s="83"/>
      <c r="B349" s="85"/>
      <c r="C349" s="84"/>
      <c r="D349" s="112"/>
      <c r="E349" s="112"/>
      <c r="F349" s="112"/>
      <c r="G349" s="85"/>
      <c r="H349" s="120"/>
      <c r="I349" s="280"/>
      <c r="J349" s="120"/>
      <c r="K349" s="120" t="str">
        <f t="shared" si="26"/>
        <v/>
      </c>
      <c r="L349" s="287"/>
      <c r="M349" s="91"/>
      <c r="N349" s="99"/>
      <c r="O349" s="116"/>
      <c r="P349" s="86"/>
      <c r="Q349" s="92"/>
      <c r="R349" s="120">
        <f t="shared" si="27"/>
        <v>0</v>
      </c>
      <c r="S349" s="93"/>
      <c r="T349" s="117"/>
      <c r="U349" s="117"/>
      <c r="V349" s="85"/>
      <c r="W349" s="146"/>
      <c r="X349" s="137"/>
      <c r="Y349" s="137"/>
      <c r="Z349" s="137"/>
      <c r="AA349" s="137"/>
      <c r="AB349" s="137"/>
      <c r="AC349" s="137"/>
      <c r="AD349" s="137"/>
      <c r="AE349" s="137"/>
      <c r="AF349" s="141"/>
      <c r="AG349" s="146"/>
      <c r="AH349" s="146"/>
      <c r="AI349" s="146"/>
      <c r="AJ349" s="146"/>
      <c r="AK349" s="146"/>
      <c r="AL349" s="81"/>
      <c r="AM349" s="81"/>
      <c r="AN349" s="152"/>
      <c r="AO349" s="152"/>
      <c r="AP349" s="152"/>
      <c r="AQ349" s="152"/>
      <c r="AR349" s="81"/>
      <c r="AS349" s="81"/>
      <c r="AT349" s="82"/>
      <c r="AU349" s="82"/>
      <c r="AV349" s="176"/>
      <c r="AW349" s="89"/>
      <c r="AX349" s="89"/>
      <c r="AY349" s="89"/>
      <c r="AZ349" s="89"/>
      <c r="BA349" s="89"/>
      <c r="BB349" s="89"/>
      <c r="BC349" s="89"/>
      <c r="BD349" s="89"/>
      <c r="BE349" s="141"/>
      <c r="BF349" s="176"/>
      <c r="BG349" s="176"/>
      <c r="BH349" s="176"/>
      <c r="BI349" s="176"/>
    </row>
    <row r="350" spans="1:61" s="90" customFormat="1">
      <c r="A350" s="83"/>
      <c r="B350" s="85"/>
      <c r="C350" s="84"/>
      <c r="D350" s="112"/>
      <c r="E350" s="112"/>
      <c r="F350" s="112"/>
      <c r="G350" s="85"/>
      <c r="H350" s="120"/>
      <c r="I350" s="280"/>
      <c r="J350" s="120"/>
      <c r="K350" s="120" t="str">
        <f t="shared" si="26"/>
        <v/>
      </c>
      <c r="L350" s="287"/>
      <c r="M350" s="91"/>
      <c r="N350" s="99"/>
      <c r="O350" s="116"/>
      <c r="P350" s="86"/>
      <c r="Q350" s="92"/>
      <c r="R350" s="120">
        <f t="shared" si="27"/>
        <v>0</v>
      </c>
      <c r="S350" s="93"/>
      <c r="T350" s="117"/>
      <c r="U350" s="117"/>
      <c r="V350" s="85"/>
      <c r="W350" s="146"/>
      <c r="X350" s="137"/>
      <c r="Y350" s="137"/>
      <c r="Z350" s="137"/>
      <c r="AA350" s="137"/>
      <c r="AB350" s="137"/>
      <c r="AC350" s="137"/>
      <c r="AD350" s="137"/>
      <c r="AE350" s="137"/>
      <c r="AF350" s="141"/>
      <c r="AG350" s="146"/>
      <c r="AH350" s="146"/>
      <c r="AI350" s="146"/>
      <c r="AJ350" s="146"/>
      <c r="AK350" s="146"/>
      <c r="AL350" s="81"/>
      <c r="AM350" s="81"/>
      <c r="AN350" s="152"/>
      <c r="AO350" s="152"/>
      <c r="AP350" s="152"/>
      <c r="AQ350" s="152"/>
      <c r="AR350" s="81"/>
      <c r="AS350" s="81"/>
      <c r="AT350" s="82"/>
      <c r="AU350" s="82"/>
      <c r="AV350" s="176"/>
      <c r="AW350" s="89"/>
      <c r="AX350" s="89"/>
      <c r="AY350" s="89"/>
      <c r="AZ350" s="89"/>
      <c r="BA350" s="89"/>
      <c r="BB350" s="89"/>
      <c r="BC350" s="89"/>
      <c r="BD350" s="89"/>
      <c r="BE350" s="141"/>
      <c r="BF350" s="176"/>
      <c r="BG350" s="176"/>
      <c r="BH350" s="176"/>
      <c r="BI350" s="176"/>
    </row>
    <row r="351" spans="1:61" s="90" customFormat="1">
      <c r="A351" s="83"/>
      <c r="B351" s="85"/>
      <c r="C351" s="84"/>
      <c r="D351" s="112"/>
      <c r="E351" s="112"/>
      <c r="F351" s="112"/>
      <c r="G351" s="85"/>
      <c r="H351" s="120"/>
      <c r="I351" s="280"/>
      <c r="J351" s="120"/>
      <c r="K351" s="120" t="str">
        <f t="shared" si="26"/>
        <v/>
      </c>
      <c r="L351" s="287"/>
      <c r="M351" s="91"/>
      <c r="N351" s="99"/>
      <c r="O351" s="116"/>
      <c r="P351" s="86"/>
      <c r="Q351" s="92"/>
      <c r="R351" s="120">
        <f t="shared" si="27"/>
        <v>0</v>
      </c>
      <c r="S351" s="93"/>
      <c r="T351" s="117"/>
      <c r="U351" s="117"/>
      <c r="V351" s="85"/>
      <c r="W351" s="146"/>
      <c r="X351" s="137"/>
      <c r="Y351" s="137"/>
      <c r="Z351" s="137"/>
      <c r="AA351" s="137"/>
      <c r="AB351" s="137"/>
      <c r="AC351" s="137"/>
      <c r="AD351" s="137"/>
      <c r="AE351" s="137"/>
      <c r="AF351" s="141"/>
      <c r="AG351" s="146"/>
      <c r="AH351" s="146"/>
      <c r="AI351" s="146"/>
      <c r="AJ351" s="146"/>
      <c r="AK351" s="146"/>
      <c r="AL351" s="81"/>
      <c r="AM351" s="81"/>
      <c r="AN351" s="152"/>
      <c r="AO351" s="152"/>
      <c r="AP351" s="152"/>
      <c r="AQ351" s="152"/>
      <c r="AR351" s="81"/>
      <c r="AS351" s="81"/>
      <c r="AT351" s="82"/>
      <c r="AU351" s="82"/>
      <c r="AV351" s="176"/>
      <c r="AW351" s="89"/>
      <c r="AX351" s="89"/>
      <c r="AY351" s="89"/>
      <c r="AZ351" s="89"/>
      <c r="BA351" s="89"/>
      <c r="BB351" s="89"/>
      <c r="BC351" s="89"/>
      <c r="BD351" s="89"/>
      <c r="BE351" s="141"/>
      <c r="BF351" s="176"/>
      <c r="BG351" s="176"/>
      <c r="BH351" s="176"/>
      <c r="BI351" s="176"/>
    </row>
    <row r="352" spans="1:61" s="90" customFormat="1">
      <c r="A352" s="83"/>
      <c r="B352" s="85"/>
      <c r="C352" s="84"/>
      <c r="D352" s="112"/>
      <c r="E352" s="112"/>
      <c r="F352" s="112"/>
      <c r="G352" s="85"/>
      <c r="H352" s="120"/>
      <c r="I352" s="280"/>
      <c r="J352" s="120"/>
      <c r="K352" s="120" t="str">
        <f t="shared" si="26"/>
        <v/>
      </c>
      <c r="L352" s="287"/>
      <c r="M352" s="91"/>
      <c r="N352" s="99"/>
      <c r="O352" s="116"/>
      <c r="P352" s="86"/>
      <c r="Q352" s="92"/>
      <c r="R352" s="120">
        <f t="shared" si="27"/>
        <v>0</v>
      </c>
      <c r="S352" s="93"/>
      <c r="T352" s="117"/>
      <c r="U352" s="117"/>
      <c r="V352" s="85"/>
      <c r="W352" s="146"/>
      <c r="X352" s="137"/>
      <c r="Y352" s="137"/>
      <c r="Z352" s="137"/>
      <c r="AA352" s="137"/>
      <c r="AB352" s="137"/>
      <c r="AC352" s="137"/>
      <c r="AD352" s="137"/>
      <c r="AE352" s="137"/>
      <c r="AF352" s="141"/>
      <c r="AG352" s="146"/>
      <c r="AH352" s="146"/>
      <c r="AI352" s="146"/>
      <c r="AJ352" s="146"/>
      <c r="AK352" s="146"/>
      <c r="AL352" s="81"/>
      <c r="AM352" s="81"/>
      <c r="AN352" s="152"/>
      <c r="AO352" s="152"/>
      <c r="AP352" s="152"/>
      <c r="AQ352" s="152"/>
      <c r="AR352" s="81"/>
      <c r="AS352" s="81"/>
      <c r="AT352" s="82"/>
      <c r="AU352" s="82"/>
      <c r="AV352" s="176"/>
      <c r="AW352" s="89"/>
      <c r="AX352" s="89"/>
      <c r="AY352" s="89"/>
      <c r="AZ352" s="89"/>
      <c r="BA352" s="89"/>
      <c r="BB352" s="89"/>
      <c r="BC352" s="89"/>
      <c r="BD352" s="89"/>
      <c r="BE352" s="141"/>
      <c r="BF352" s="176"/>
      <c r="BG352" s="176"/>
      <c r="BH352" s="176"/>
      <c r="BI352" s="176"/>
    </row>
    <row r="353" spans="1:61" s="90" customFormat="1">
      <c r="A353" s="83"/>
      <c r="B353" s="85"/>
      <c r="C353" s="84"/>
      <c r="D353" s="112"/>
      <c r="E353" s="112"/>
      <c r="F353" s="112"/>
      <c r="G353" s="85"/>
      <c r="H353" s="120"/>
      <c r="I353" s="280"/>
      <c r="J353" s="120"/>
      <c r="K353" s="120" t="str">
        <f t="shared" si="26"/>
        <v/>
      </c>
      <c r="L353" s="287"/>
      <c r="M353" s="91"/>
      <c r="N353" s="99"/>
      <c r="O353" s="116"/>
      <c r="P353" s="86"/>
      <c r="Q353" s="92"/>
      <c r="R353" s="120">
        <f t="shared" si="27"/>
        <v>0</v>
      </c>
      <c r="S353" s="93"/>
      <c r="T353" s="117"/>
      <c r="U353" s="117"/>
      <c r="V353" s="85"/>
      <c r="W353" s="146"/>
      <c r="X353" s="137"/>
      <c r="Y353" s="137"/>
      <c r="Z353" s="137"/>
      <c r="AA353" s="137"/>
      <c r="AB353" s="137"/>
      <c r="AC353" s="137"/>
      <c r="AD353" s="137"/>
      <c r="AE353" s="137"/>
      <c r="AF353" s="141"/>
      <c r="AG353" s="146"/>
      <c r="AH353" s="146"/>
      <c r="AI353" s="146"/>
      <c r="AJ353" s="146"/>
      <c r="AK353" s="146"/>
      <c r="AL353" s="81"/>
      <c r="AM353" s="81"/>
      <c r="AN353" s="152"/>
      <c r="AO353" s="152"/>
      <c r="AP353" s="152"/>
      <c r="AQ353" s="152"/>
      <c r="AR353" s="81"/>
      <c r="AS353" s="81"/>
      <c r="AT353" s="82"/>
      <c r="AU353" s="82"/>
      <c r="AV353" s="176"/>
      <c r="AW353" s="89"/>
      <c r="AX353" s="89"/>
      <c r="AY353" s="89"/>
      <c r="AZ353" s="89"/>
      <c r="BA353" s="89"/>
      <c r="BB353" s="89"/>
      <c r="BC353" s="89"/>
      <c r="BD353" s="89"/>
      <c r="BE353" s="141"/>
      <c r="BF353" s="176"/>
      <c r="BG353" s="176"/>
      <c r="BH353" s="176"/>
      <c r="BI353" s="176"/>
    </row>
    <row r="354" spans="1:61" s="90" customFormat="1">
      <c r="A354" s="83"/>
      <c r="B354" s="85"/>
      <c r="C354" s="84"/>
      <c r="D354" s="112"/>
      <c r="E354" s="112"/>
      <c r="F354" s="112"/>
      <c r="G354" s="85"/>
      <c r="H354" s="120"/>
      <c r="I354" s="280"/>
      <c r="J354" s="120"/>
      <c r="K354" s="120" t="str">
        <f t="shared" si="26"/>
        <v/>
      </c>
      <c r="L354" s="287"/>
      <c r="M354" s="91"/>
      <c r="N354" s="99"/>
      <c r="O354" s="116"/>
      <c r="P354" s="86"/>
      <c r="Q354" s="92"/>
      <c r="R354" s="120">
        <f t="shared" si="27"/>
        <v>0</v>
      </c>
      <c r="S354" s="93"/>
      <c r="T354" s="117"/>
      <c r="U354" s="117"/>
      <c r="V354" s="85"/>
      <c r="W354" s="146"/>
      <c r="X354" s="137"/>
      <c r="Y354" s="137"/>
      <c r="Z354" s="137"/>
      <c r="AA354" s="137"/>
      <c r="AB354" s="137"/>
      <c r="AC354" s="137"/>
      <c r="AD354" s="137"/>
      <c r="AE354" s="137"/>
      <c r="AF354" s="141"/>
      <c r="AG354" s="146"/>
      <c r="AH354" s="146"/>
      <c r="AI354" s="146"/>
      <c r="AJ354" s="146"/>
      <c r="AK354" s="146"/>
      <c r="AL354" s="81"/>
      <c r="AM354" s="81"/>
      <c r="AN354" s="152"/>
      <c r="AO354" s="152"/>
      <c r="AP354" s="152"/>
      <c r="AQ354" s="152"/>
      <c r="AR354" s="81"/>
      <c r="AS354" s="81"/>
      <c r="AT354" s="82"/>
      <c r="AU354" s="82"/>
      <c r="AV354" s="176"/>
      <c r="AW354" s="89"/>
      <c r="AX354" s="89"/>
      <c r="AY354" s="89"/>
      <c r="AZ354" s="89"/>
      <c r="BA354" s="89"/>
      <c r="BB354" s="89"/>
      <c r="BC354" s="89"/>
      <c r="BD354" s="89"/>
      <c r="BE354" s="141"/>
      <c r="BF354" s="176"/>
      <c r="BG354" s="176"/>
      <c r="BH354" s="176"/>
      <c r="BI354" s="176"/>
    </row>
    <row r="355" spans="1:61" s="90" customFormat="1">
      <c r="A355" s="83"/>
      <c r="B355" s="85"/>
      <c r="C355" s="84"/>
      <c r="D355" s="112"/>
      <c r="E355" s="112"/>
      <c r="F355" s="112"/>
      <c r="G355" s="85"/>
      <c r="H355" s="120"/>
      <c r="I355" s="280"/>
      <c r="J355" s="120"/>
      <c r="K355" s="120" t="str">
        <f t="shared" si="26"/>
        <v/>
      </c>
      <c r="L355" s="287"/>
      <c r="M355" s="91"/>
      <c r="N355" s="99"/>
      <c r="O355" s="116"/>
      <c r="P355" s="86"/>
      <c r="Q355" s="92"/>
      <c r="R355" s="120">
        <f t="shared" si="27"/>
        <v>0</v>
      </c>
      <c r="S355" s="93"/>
      <c r="T355" s="117"/>
      <c r="U355" s="117"/>
      <c r="V355" s="85"/>
      <c r="W355" s="146"/>
      <c r="X355" s="137"/>
      <c r="Y355" s="137"/>
      <c r="Z355" s="137"/>
      <c r="AA355" s="137"/>
      <c r="AB355" s="137"/>
      <c r="AC355" s="137"/>
      <c r="AD355" s="137"/>
      <c r="AE355" s="137"/>
      <c r="AF355" s="141"/>
      <c r="AG355" s="146"/>
      <c r="AH355" s="146"/>
      <c r="AI355" s="146"/>
      <c r="AJ355" s="146"/>
      <c r="AK355" s="146"/>
      <c r="AL355" s="81"/>
      <c r="AM355" s="81"/>
      <c r="AN355" s="152"/>
      <c r="AO355" s="152"/>
      <c r="AP355" s="152"/>
      <c r="AQ355" s="152"/>
      <c r="AR355" s="81"/>
      <c r="AS355" s="81"/>
      <c r="AT355" s="82"/>
      <c r="AU355" s="82"/>
      <c r="AV355" s="176"/>
      <c r="AW355" s="89"/>
      <c r="AX355" s="89"/>
      <c r="AY355" s="89"/>
      <c r="AZ355" s="89"/>
      <c r="BA355" s="89"/>
      <c r="BB355" s="89"/>
      <c r="BC355" s="89"/>
      <c r="BD355" s="89"/>
      <c r="BE355" s="141"/>
      <c r="BF355" s="176"/>
      <c r="BG355" s="176"/>
      <c r="BH355" s="176"/>
      <c r="BI355" s="176"/>
    </row>
    <row r="356" spans="1:61" s="90" customFormat="1">
      <c r="A356" s="83"/>
      <c r="B356" s="85"/>
      <c r="C356" s="84"/>
      <c r="D356" s="112"/>
      <c r="E356" s="112"/>
      <c r="F356" s="112"/>
      <c r="G356" s="85"/>
      <c r="H356" s="120"/>
      <c r="I356" s="280"/>
      <c r="J356" s="120"/>
      <c r="K356" s="120" t="str">
        <f t="shared" si="26"/>
        <v/>
      </c>
      <c r="L356" s="287"/>
      <c r="M356" s="91"/>
      <c r="N356" s="99"/>
      <c r="O356" s="116"/>
      <c r="P356" s="86"/>
      <c r="Q356" s="92"/>
      <c r="R356" s="120">
        <f t="shared" si="27"/>
        <v>0</v>
      </c>
      <c r="S356" s="93"/>
      <c r="T356" s="117"/>
      <c r="U356" s="117"/>
      <c r="V356" s="85"/>
      <c r="W356" s="146"/>
      <c r="X356" s="137"/>
      <c r="Y356" s="137"/>
      <c r="Z356" s="137"/>
      <c r="AA356" s="137"/>
      <c r="AB356" s="137"/>
      <c r="AC356" s="137"/>
      <c r="AD356" s="137"/>
      <c r="AE356" s="137"/>
      <c r="AF356" s="141"/>
      <c r="AG356" s="146"/>
      <c r="AH356" s="146"/>
      <c r="AI356" s="146"/>
      <c r="AJ356" s="146"/>
      <c r="AK356" s="146"/>
      <c r="AL356" s="81"/>
      <c r="AM356" s="81"/>
      <c r="AN356" s="152"/>
      <c r="AO356" s="152"/>
      <c r="AP356" s="152"/>
      <c r="AQ356" s="152"/>
      <c r="AR356" s="81"/>
      <c r="AS356" s="81"/>
      <c r="AT356" s="82"/>
      <c r="AU356" s="82"/>
      <c r="AV356" s="176"/>
      <c r="AW356" s="89"/>
      <c r="AX356" s="89"/>
      <c r="AY356" s="89"/>
      <c r="AZ356" s="89"/>
      <c r="BA356" s="89"/>
      <c r="BB356" s="89"/>
      <c r="BC356" s="89"/>
      <c r="BD356" s="89"/>
      <c r="BE356" s="141"/>
      <c r="BF356" s="176"/>
      <c r="BG356" s="176"/>
      <c r="BH356" s="176"/>
      <c r="BI356" s="176"/>
    </row>
    <row r="357" spans="1:61" s="90" customFormat="1">
      <c r="A357" s="83"/>
      <c r="B357" s="85"/>
      <c r="C357" s="84"/>
      <c r="D357" s="112"/>
      <c r="E357" s="112"/>
      <c r="F357" s="112"/>
      <c r="G357" s="85"/>
      <c r="H357" s="120"/>
      <c r="I357" s="280"/>
      <c r="J357" s="120"/>
      <c r="K357" s="120" t="str">
        <f t="shared" si="26"/>
        <v/>
      </c>
      <c r="L357" s="287"/>
      <c r="M357" s="91"/>
      <c r="N357" s="99"/>
      <c r="O357" s="116"/>
      <c r="P357" s="86"/>
      <c r="Q357" s="92"/>
      <c r="R357" s="120">
        <f t="shared" si="27"/>
        <v>0</v>
      </c>
      <c r="S357" s="93"/>
      <c r="T357" s="117"/>
      <c r="U357" s="117"/>
      <c r="V357" s="85"/>
      <c r="W357" s="146"/>
      <c r="X357" s="137"/>
      <c r="Y357" s="137"/>
      <c r="Z357" s="137"/>
      <c r="AA357" s="137"/>
      <c r="AB357" s="137"/>
      <c r="AC357" s="137"/>
      <c r="AD357" s="137"/>
      <c r="AE357" s="137"/>
      <c r="AF357" s="141"/>
      <c r="AG357" s="146"/>
      <c r="AH357" s="146"/>
      <c r="AI357" s="146"/>
      <c r="AJ357" s="146"/>
      <c r="AK357" s="146"/>
      <c r="AL357" s="81"/>
      <c r="AM357" s="81"/>
      <c r="AN357" s="152"/>
      <c r="AO357" s="152"/>
      <c r="AP357" s="152"/>
      <c r="AQ357" s="152"/>
      <c r="AR357" s="81"/>
      <c r="AS357" s="81"/>
      <c r="AT357" s="82"/>
      <c r="AU357" s="82"/>
      <c r="AV357" s="176"/>
      <c r="AW357" s="89"/>
      <c r="AX357" s="89"/>
      <c r="AY357" s="89"/>
      <c r="AZ357" s="89"/>
      <c r="BA357" s="89"/>
      <c r="BB357" s="89"/>
      <c r="BC357" s="89"/>
      <c r="BD357" s="89"/>
      <c r="BE357" s="141"/>
      <c r="BF357" s="176"/>
      <c r="BG357" s="176"/>
      <c r="BH357" s="176"/>
      <c r="BI357" s="176"/>
    </row>
    <row r="358" spans="1:61" s="90" customFormat="1">
      <c r="A358" s="83"/>
      <c r="B358" s="85"/>
      <c r="C358" s="84"/>
      <c r="D358" s="112"/>
      <c r="E358" s="112"/>
      <c r="F358" s="112"/>
      <c r="G358" s="85"/>
      <c r="H358" s="120"/>
      <c r="I358" s="280"/>
      <c r="J358" s="120"/>
      <c r="K358" s="120" t="str">
        <f t="shared" si="26"/>
        <v/>
      </c>
      <c r="L358" s="287"/>
      <c r="M358" s="91"/>
      <c r="N358" s="99"/>
      <c r="O358" s="116"/>
      <c r="P358" s="86"/>
      <c r="Q358" s="92"/>
      <c r="R358" s="120">
        <f t="shared" si="27"/>
        <v>0</v>
      </c>
      <c r="S358" s="93"/>
      <c r="T358" s="117"/>
      <c r="U358" s="117"/>
      <c r="V358" s="85"/>
      <c r="W358" s="146"/>
      <c r="X358" s="137"/>
      <c r="Y358" s="137"/>
      <c r="Z358" s="137"/>
      <c r="AA358" s="137"/>
      <c r="AB358" s="137"/>
      <c r="AC358" s="137"/>
      <c r="AD358" s="137"/>
      <c r="AE358" s="137"/>
      <c r="AF358" s="141"/>
      <c r="AG358" s="146"/>
      <c r="AH358" s="146"/>
      <c r="AI358" s="146"/>
      <c r="AJ358" s="146"/>
      <c r="AK358" s="146"/>
      <c r="AL358" s="81"/>
      <c r="AM358" s="81"/>
      <c r="AN358" s="152"/>
      <c r="AO358" s="152"/>
      <c r="AP358" s="152"/>
      <c r="AQ358" s="152"/>
      <c r="AR358" s="81"/>
      <c r="AS358" s="81"/>
      <c r="AT358" s="82"/>
      <c r="AU358" s="82"/>
      <c r="AV358" s="176"/>
      <c r="AW358" s="89"/>
      <c r="AX358" s="89"/>
      <c r="AY358" s="89"/>
      <c r="AZ358" s="89"/>
      <c r="BA358" s="89"/>
      <c r="BB358" s="89"/>
      <c r="BC358" s="89"/>
      <c r="BD358" s="89"/>
      <c r="BE358" s="141"/>
      <c r="BF358" s="176"/>
      <c r="BG358" s="176"/>
      <c r="BH358" s="176"/>
      <c r="BI358" s="176"/>
    </row>
    <row r="359" spans="1:61" s="90" customFormat="1">
      <c r="A359" s="83"/>
      <c r="B359" s="85"/>
      <c r="C359" s="84"/>
      <c r="D359" s="112"/>
      <c r="E359" s="112"/>
      <c r="F359" s="112"/>
      <c r="G359" s="85"/>
      <c r="H359" s="120"/>
      <c r="I359" s="280"/>
      <c r="J359" s="120"/>
      <c r="K359" s="120" t="str">
        <f t="shared" si="26"/>
        <v/>
      </c>
      <c r="L359" s="287"/>
      <c r="M359" s="91"/>
      <c r="N359" s="99"/>
      <c r="O359" s="116"/>
      <c r="P359" s="86"/>
      <c r="Q359" s="92"/>
      <c r="R359" s="120">
        <f t="shared" si="27"/>
        <v>0</v>
      </c>
      <c r="S359" s="93"/>
      <c r="T359" s="117"/>
      <c r="U359" s="117"/>
      <c r="V359" s="85"/>
      <c r="W359" s="146"/>
      <c r="X359" s="137"/>
      <c r="Y359" s="137"/>
      <c r="Z359" s="137"/>
      <c r="AA359" s="137"/>
      <c r="AB359" s="137"/>
      <c r="AC359" s="137"/>
      <c r="AD359" s="137"/>
      <c r="AE359" s="137"/>
      <c r="AF359" s="141"/>
      <c r="AG359" s="146"/>
      <c r="AH359" s="146"/>
      <c r="AI359" s="146"/>
      <c r="AJ359" s="146"/>
      <c r="AK359" s="146"/>
      <c r="AL359" s="81"/>
      <c r="AM359" s="81"/>
      <c r="AN359" s="152"/>
      <c r="AO359" s="152"/>
      <c r="AP359" s="152"/>
      <c r="AQ359" s="152"/>
      <c r="AR359" s="81"/>
      <c r="AS359" s="81"/>
      <c r="AT359" s="82"/>
      <c r="AU359" s="82"/>
      <c r="AV359" s="176"/>
      <c r="AW359" s="89"/>
      <c r="AX359" s="89"/>
      <c r="AY359" s="89"/>
      <c r="AZ359" s="89"/>
      <c r="BA359" s="89"/>
      <c r="BB359" s="89"/>
      <c r="BC359" s="89"/>
      <c r="BD359" s="89"/>
      <c r="BE359" s="141"/>
      <c r="BF359" s="176"/>
      <c r="BG359" s="176"/>
      <c r="BH359" s="176"/>
      <c r="BI359" s="176"/>
    </row>
    <row r="360" spans="1:61" s="90" customFormat="1">
      <c r="A360" s="83"/>
      <c r="B360" s="85"/>
      <c r="C360" s="84"/>
      <c r="D360" s="112"/>
      <c r="E360" s="112"/>
      <c r="F360" s="112"/>
      <c r="G360" s="85"/>
      <c r="H360" s="120"/>
      <c r="I360" s="280"/>
      <c r="J360" s="120"/>
      <c r="K360" s="120" t="str">
        <f t="shared" si="26"/>
        <v/>
      </c>
      <c r="L360" s="287"/>
      <c r="M360" s="91"/>
      <c r="N360" s="99"/>
      <c r="O360" s="116"/>
      <c r="P360" s="86"/>
      <c r="Q360" s="92"/>
      <c r="R360" s="120">
        <f t="shared" si="27"/>
        <v>0</v>
      </c>
      <c r="S360" s="93"/>
      <c r="T360" s="117"/>
      <c r="U360" s="117"/>
      <c r="V360" s="85"/>
      <c r="W360" s="146"/>
      <c r="X360" s="137"/>
      <c r="Y360" s="137"/>
      <c r="Z360" s="137"/>
      <c r="AA360" s="137"/>
      <c r="AB360" s="137"/>
      <c r="AC360" s="137"/>
      <c r="AD360" s="137"/>
      <c r="AE360" s="137"/>
      <c r="AF360" s="141"/>
      <c r="AG360" s="146"/>
      <c r="AH360" s="146"/>
      <c r="AI360" s="146"/>
      <c r="AJ360" s="146"/>
      <c r="AK360" s="146"/>
      <c r="AL360" s="81"/>
      <c r="AM360" s="81"/>
      <c r="AN360" s="152"/>
      <c r="AO360" s="152"/>
      <c r="AP360" s="152"/>
      <c r="AQ360" s="152"/>
      <c r="AR360" s="81"/>
      <c r="AS360" s="81"/>
      <c r="AT360" s="82"/>
      <c r="AU360" s="82"/>
      <c r="AV360" s="176"/>
      <c r="AW360" s="89"/>
      <c r="AX360" s="89"/>
      <c r="AY360" s="89"/>
      <c r="AZ360" s="89"/>
      <c r="BA360" s="89"/>
      <c r="BB360" s="89"/>
      <c r="BC360" s="89"/>
      <c r="BD360" s="89"/>
      <c r="BE360" s="141"/>
      <c r="BF360" s="176"/>
      <c r="BG360" s="176"/>
      <c r="BH360" s="176"/>
      <c r="BI360" s="176"/>
    </row>
    <row r="361" spans="1:61" s="90" customFormat="1">
      <c r="A361" s="83"/>
      <c r="B361" s="85"/>
      <c r="C361" s="84"/>
      <c r="D361" s="112"/>
      <c r="E361" s="112"/>
      <c r="F361" s="112"/>
      <c r="G361" s="85"/>
      <c r="H361" s="120"/>
      <c r="I361" s="280"/>
      <c r="J361" s="120"/>
      <c r="K361" s="120" t="str">
        <f t="shared" si="26"/>
        <v/>
      </c>
      <c r="L361" s="287"/>
      <c r="M361" s="91"/>
      <c r="N361" s="99"/>
      <c r="O361" s="116"/>
      <c r="P361" s="86"/>
      <c r="Q361" s="92"/>
      <c r="R361" s="120">
        <f t="shared" si="27"/>
        <v>0</v>
      </c>
      <c r="S361" s="93"/>
      <c r="T361" s="117"/>
      <c r="U361" s="117"/>
      <c r="V361" s="85"/>
      <c r="W361" s="146"/>
      <c r="X361" s="137"/>
      <c r="Y361" s="137"/>
      <c r="Z361" s="137"/>
      <c r="AA361" s="137"/>
      <c r="AB361" s="137"/>
      <c r="AC361" s="137"/>
      <c r="AD361" s="137"/>
      <c r="AE361" s="137"/>
      <c r="AF361" s="141"/>
      <c r="AG361" s="146"/>
      <c r="AH361" s="146"/>
      <c r="AI361" s="146"/>
      <c r="AJ361" s="146"/>
      <c r="AK361" s="146"/>
      <c r="AL361" s="81"/>
      <c r="AM361" s="81"/>
      <c r="AN361" s="152"/>
      <c r="AO361" s="152"/>
      <c r="AP361" s="152"/>
      <c r="AQ361" s="152"/>
      <c r="AR361" s="81"/>
      <c r="AS361" s="81"/>
      <c r="AT361" s="82"/>
      <c r="AU361" s="82"/>
      <c r="AV361" s="176"/>
      <c r="AW361" s="89"/>
      <c r="AX361" s="89"/>
      <c r="AY361" s="89"/>
      <c r="AZ361" s="89"/>
      <c r="BA361" s="89"/>
      <c r="BB361" s="89"/>
      <c r="BC361" s="89"/>
      <c r="BD361" s="89"/>
      <c r="BE361" s="141"/>
      <c r="BF361" s="176"/>
      <c r="BG361" s="176"/>
      <c r="BH361" s="176"/>
      <c r="BI361" s="176"/>
    </row>
    <row r="362" spans="1:61" s="90" customFormat="1">
      <c r="A362" s="83"/>
      <c r="B362" s="85"/>
      <c r="C362" s="84"/>
      <c r="D362" s="112"/>
      <c r="E362" s="112"/>
      <c r="F362" s="112"/>
      <c r="G362" s="85"/>
      <c r="H362" s="120"/>
      <c r="I362" s="280"/>
      <c r="J362" s="120"/>
      <c r="K362" s="120" t="str">
        <f t="shared" si="26"/>
        <v/>
      </c>
      <c r="L362" s="287"/>
      <c r="M362" s="91"/>
      <c r="N362" s="99"/>
      <c r="O362" s="116"/>
      <c r="P362" s="86"/>
      <c r="Q362" s="92"/>
      <c r="R362" s="120">
        <f t="shared" si="27"/>
        <v>0</v>
      </c>
      <c r="S362" s="93"/>
      <c r="T362" s="117"/>
      <c r="U362" s="117"/>
      <c r="V362" s="85"/>
      <c r="W362" s="146"/>
      <c r="X362" s="137"/>
      <c r="Y362" s="137"/>
      <c r="Z362" s="137"/>
      <c r="AA362" s="137"/>
      <c r="AB362" s="137"/>
      <c r="AC362" s="137"/>
      <c r="AD362" s="137"/>
      <c r="AE362" s="137"/>
      <c r="AF362" s="141"/>
      <c r="AG362" s="146"/>
      <c r="AH362" s="146"/>
      <c r="AI362" s="146"/>
      <c r="AJ362" s="146"/>
      <c r="AK362" s="146"/>
      <c r="AL362" s="81"/>
      <c r="AM362" s="81"/>
      <c r="AN362" s="152"/>
      <c r="AO362" s="152"/>
      <c r="AP362" s="152"/>
      <c r="AQ362" s="152"/>
      <c r="AR362" s="81"/>
      <c r="AS362" s="81"/>
      <c r="AT362" s="82"/>
      <c r="AU362" s="82"/>
      <c r="AV362" s="176"/>
      <c r="AW362" s="89"/>
      <c r="AX362" s="89"/>
      <c r="AY362" s="89"/>
      <c r="AZ362" s="89"/>
      <c r="BA362" s="89"/>
      <c r="BB362" s="89"/>
      <c r="BC362" s="89"/>
      <c r="BD362" s="89"/>
      <c r="BE362" s="141"/>
      <c r="BF362" s="176"/>
      <c r="BG362" s="176"/>
      <c r="BH362" s="176"/>
      <c r="BI362" s="176"/>
    </row>
    <row r="363" spans="1:61" s="90" customFormat="1">
      <c r="A363" s="83"/>
      <c r="B363" s="85"/>
      <c r="C363" s="84"/>
      <c r="D363" s="112"/>
      <c r="E363" s="112"/>
      <c r="F363" s="112"/>
      <c r="G363" s="85"/>
      <c r="H363" s="120"/>
      <c r="I363" s="280"/>
      <c r="J363" s="120"/>
      <c r="K363" s="120" t="str">
        <f t="shared" si="26"/>
        <v/>
      </c>
      <c r="L363" s="287"/>
      <c r="M363" s="91"/>
      <c r="N363" s="99"/>
      <c r="O363" s="116"/>
      <c r="P363" s="86"/>
      <c r="Q363" s="92"/>
      <c r="R363" s="120">
        <f t="shared" si="27"/>
        <v>0</v>
      </c>
      <c r="S363" s="93"/>
      <c r="T363" s="117"/>
      <c r="U363" s="117"/>
      <c r="V363" s="85"/>
      <c r="W363" s="146"/>
      <c r="X363" s="137"/>
      <c r="Y363" s="137"/>
      <c r="Z363" s="137"/>
      <c r="AA363" s="137"/>
      <c r="AB363" s="137"/>
      <c r="AC363" s="137"/>
      <c r="AD363" s="137"/>
      <c r="AE363" s="137"/>
      <c r="AF363" s="141"/>
      <c r="AG363" s="146"/>
      <c r="AH363" s="146"/>
      <c r="AI363" s="146"/>
      <c r="AJ363" s="146"/>
      <c r="AK363" s="146"/>
      <c r="AL363" s="81"/>
      <c r="AM363" s="81"/>
      <c r="AN363" s="152"/>
      <c r="AO363" s="152"/>
      <c r="AP363" s="152"/>
      <c r="AQ363" s="152"/>
      <c r="AR363" s="81"/>
      <c r="AS363" s="81"/>
      <c r="AT363" s="82"/>
      <c r="AU363" s="82"/>
      <c r="AV363" s="176"/>
      <c r="AW363" s="89"/>
      <c r="AX363" s="89"/>
      <c r="AY363" s="89"/>
      <c r="AZ363" s="89"/>
      <c r="BA363" s="89"/>
      <c r="BB363" s="89"/>
      <c r="BC363" s="89"/>
      <c r="BD363" s="89"/>
      <c r="BE363" s="141"/>
      <c r="BF363" s="176"/>
      <c r="BG363" s="176"/>
      <c r="BH363" s="176"/>
      <c r="BI363" s="176"/>
    </row>
    <row r="364" spans="1:61" s="90" customFormat="1">
      <c r="A364" s="83"/>
      <c r="B364" s="85"/>
      <c r="C364" s="84"/>
      <c r="D364" s="112"/>
      <c r="E364" s="112"/>
      <c r="F364" s="112"/>
      <c r="G364" s="85"/>
      <c r="H364" s="120"/>
      <c r="I364" s="280"/>
      <c r="J364" s="120"/>
      <c r="K364" s="120" t="str">
        <f t="shared" si="26"/>
        <v/>
      </c>
      <c r="L364" s="287"/>
      <c r="M364" s="91"/>
      <c r="N364" s="99"/>
      <c r="O364" s="116"/>
      <c r="P364" s="86"/>
      <c r="Q364" s="92"/>
      <c r="R364" s="120">
        <f t="shared" si="27"/>
        <v>0</v>
      </c>
      <c r="S364" s="93"/>
      <c r="T364" s="117"/>
      <c r="U364" s="117"/>
      <c r="V364" s="85"/>
      <c r="W364" s="146"/>
      <c r="X364" s="137"/>
      <c r="Y364" s="137"/>
      <c r="Z364" s="137"/>
      <c r="AA364" s="137"/>
      <c r="AB364" s="137"/>
      <c r="AC364" s="137"/>
      <c r="AD364" s="137"/>
      <c r="AE364" s="137"/>
      <c r="AF364" s="141"/>
      <c r="AG364" s="146"/>
      <c r="AH364" s="146"/>
      <c r="AI364" s="146"/>
      <c r="AJ364" s="146"/>
      <c r="AK364" s="146"/>
      <c r="AL364" s="81"/>
      <c r="AM364" s="81"/>
      <c r="AN364" s="152"/>
      <c r="AO364" s="152"/>
      <c r="AP364" s="152"/>
      <c r="AQ364" s="152"/>
      <c r="AR364" s="81"/>
      <c r="AS364" s="81"/>
      <c r="AT364" s="82"/>
      <c r="AU364" s="82"/>
      <c r="AV364" s="176"/>
      <c r="AW364" s="89"/>
      <c r="AX364" s="89"/>
      <c r="AY364" s="89"/>
      <c r="AZ364" s="89"/>
      <c r="BA364" s="89"/>
      <c r="BB364" s="89"/>
      <c r="BC364" s="89"/>
      <c r="BD364" s="89"/>
      <c r="BE364" s="141"/>
      <c r="BF364" s="176"/>
      <c r="BG364" s="176"/>
      <c r="BH364" s="176"/>
      <c r="BI364" s="176"/>
    </row>
    <row r="365" spans="1:61" s="90" customFormat="1">
      <c r="A365" s="83"/>
      <c r="B365" s="85"/>
      <c r="C365" s="84"/>
      <c r="D365" s="112"/>
      <c r="E365" s="112"/>
      <c r="F365" s="112"/>
      <c r="G365" s="85"/>
      <c r="H365" s="120"/>
      <c r="I365" s="280"/>
      <c r="J365" s="120"/>
      <c r="K365" s="120" t="str">
        <f t="shared" si="26"/>
        <v/>
      </c>
      <c r="L365" s="287"/>
      <c r="M365" s="91"/>
      <c r="N365" s="99"/>
      <c r="O365" s="116"/>
      <c r="P365" s="86"/>
      <c r="Q365" s="92"/>
      <c r="R365" s="120">
        <f t="shared" si="27"/>
        <v>0</v>
      </c>
      <c r="S365" s="93"/>
      <c r="T365" s="117"/>
      <c r="U365" s="117"/>
      <c r="V365" s="85"/>
      <c r="W365" s="146"/>
      <c r="X365" s="137"/>
      <c r="Y365" s="137"/>
      <c r="Z365" s="137"/>
      <c r="AA365" s="137"/>
      <c r="AB365" s="137"/>
      <c r="AC365" s="137"/>
      <c r="AD365" s="137"/>
      <c r="AE365" s="137"/>
      <c r="AF365" s="141"/>
      <c r="AG365" s="146"/>
      <c r="AH365" s="146"/>
      <c r="AI365" s="146"/>
      <c r="AJ365" s="146"/>
      <c r="AK365" s="146"/>
      <c r="AL365" s="81"/>
      <c r="AM365" s="81"/>
      <c r="AN365" s="152"/>
      <c r="AO365" s="152"/>
      <c r="AP365" s="152"/>
      <c r="AQ365" s="152"/>
      <c r="AR365" s="81"/>
      <c r="AS365" s="81"/>
      <c r="AT365" s="82"/>
      <c r="AU365" s="82"/>
      <c r="AV365" s="176"/>
      <c r="AW365" s="89"/>
      <c r="AX365" s="89"/>
      <c r="AY365" s="89"/>
      <c r="AZ365" s="89"/>
      <c r="BA365" s="89"/>
      <c r="BB365" s="89"/>
      <c r="BC365" s="89"/>
      <c r="BD365" s="89"/>
      <c r="BE365" s="141"/>
      <c r="BF365" s="176"/>
      <c r="BG365" s="176"/>
      <c r="BH365" s="176"/>
      <c r="BI365" s="176"/>
    </row>
    <row r="366" spans="1:61" s="90" customFormat="1">
      <c r="A366" s="83"/>
      <c r="B366" s="85"/>
      <c r="C366" s="84"/>
      <c r="D366" s="112"/>
      <c r="E366" s="112"/>
      <c r="F366" s="112"/>
      <c r="G366" s="85"/>
      <c r="H366" s="120"/>
      <c r="I366" s="280"/>
      <c r="J366" s="120"/>
      <c r="K366" s="120" t="str">
        <f t="shared" si="26"/>
        <v/>
      </c>
      <c r="L366" s="287"/>
      <c r="M366" s="91"/>
      <c r="N366" s="99"/>
      <c r="O366" s="116"/>
      <c r="P366" s="86"/>
      <c r="Q366" s="92"/>
      <c r="R366" s="120">
        <f t="shared" si="27"/>
        <v>0</v>
      </c>
      <c r="S366" s="93"/>
      <c r="T366" s="117"/>
      <c r="U366" s="117"/>
      <c r="V366" s="85"/>
      <c r="W366" s="146"/>
      <c r="X366" s="137"/>
      <c r="Y366" s="137"/>
      <c r="Z366" s="137"/>
      <c r="AA366" s="137"/>
      <c r="AB366" s="137"/>
      <c r="AC366" s="137"/>
      <c r="AD366" s="137"/>
      <c r="AE366" s="137"/>
      <c r="AF366" s="141"/>
      <c r="AG366" s="146"/>
      <c r="AH366" s="146"/>
      <c r="AI366" s="146"/>
      <c r="AJ366" s="146"/>
      <c r="AK366" s="146"/>
      <c r="AL366" s="81"/>
      <c r="AM366" s="81"/>
      <c r="AN366" s="152"/>
      <c r="AO366" s="152"/>
      <c r="AP366" s="152"/>
      <c r="AQ366" s="152"/>
      <c r="AR366" s="81"/>
      <c r="AS366" s="81"/>
      <c r="AT366" s="82"/>
      <c r="AU366" s="82"/>
      <c r="AV366" s="176"/>
      <c r="AW366" s="89"/>
      <c r="AX366" s="89"/>
      <c r="AY366" s="89"/>
      <c r="AZ366" s="89"/>
      <c r="BA366" s="89"/>
      <c r="BB366" s="89"/>
      <c r="BC366" s="89"/>
      <c r="BD366" s="89"/>
      <c r="BE366" s="141"/>
      <c r="BF366" s="176"/>
      <c r="BG366" s="176"/>
      <c r="BH366" s="176"/>
      <c r="BI366" s="176"/>
    </row>
    <row r="367" spans="1:61" s="90" customFormat="1">
      <c r="A367" s="83"/>
      <c r="B367" s="85"/>
      <c r="C367" s="84"/>
      <c r="D367" s="112"/>
      <c r="E367" s="112"/>
      <c r="F367" s="112"/>
      <c r="G367" s="85"/>
      <c r="H367" s="120"/>
      <c r="I367" s="280"/>
      <c r="J367" s="120"/>
      <c r="K367" s="120" t="str">
        <f t="shared" si="26"/>
        <v/>
      </c>
      <c r="L367" s="287"/>
      <c r="M367" s="91"/>
      <c r="N367" s="99"/>
      <c r="O367" s="116"/>
      <c r="P367" s="86"/>
      <c r="Q367" s="92"/>
      <c r="R367" s="120">
        <f t="shared" si="27"/>
        <v>0</v>
      </c>
      <c r="S367" s="93"/>
      <c r="T367" s="117"/>
      <c r="U367" s="117"/>
      <c r="V367" s="85"/>
      <c r="W367" s="146"/>
      <c r="X367" s="137"/>
      <c r="Y367" s="137"/>
      <c r="Z367" s="137"/>
      <c r="AA367" s="137"/>
      <c r="AB367" s="137"/>
      <c r="AC367" s="137"/>
      <c r="AD367" s="137"/>
      <c r="AE367" s="137"/>
      <c r="AF367" s="141"/>
      <c r="AG367" s="146"/>
      <c r="AH367" s="146"/>
      <c r="AI367" s="146"/>
      <c r="AJ367" s="146"/>
      <c r="AK367" s="146"/>
      <c r="AL367" s="81"/>
      <c r="AM367" s="81"/>
      <c r="AN367" s="152"/>
      <c r="AO367" s="152"/>
      <c r="AP367" s="152"/>
      <c r="AQ367" s="152"/>
      <c r="AR367" s="81"/>
      <c r="AS367" s="81"/>
      <c r="AT367" s="82"/>
      <c r="AU367" s="82"/>
      <c r="AV367" s="176"/>
      <c r="AW367" s="89"/>
      <c r="AX367" s="89"/>
      <c r="AY367" s="89"/>
      <c r="AZ367" s="89"/>
      <c r="BA367" s="89"/>
      <c r="BB367" s="89"/>
      <c r="BC367" s="89"/>
      <c r="BD367" s="89"/>
      <c r="BE367" s="141"/>
      <c r="BF367" s="176"/>
      <c r="BG367" s="176"/>
      <c r="BH367" s="176"/>
      <c r="BI367" s="176"/>
    </row>
    <row r="368" spans="1:61" s="90" customFormat="1">
      <c r="A368" s="83"/>
      <c r="B368" s="85"/>
      <c r="C368" s="84"/>
      <c r="D368" s="112"/>
      <c r="E368" s="112"/>
      <c r="F368" s="112"/>
      <c r="G368" s="85"/>
      <c r="H368" s="120"/>
      <c r="I368" s="280"/>
      <c r="J368" s="120"/>
      <c r="K368" s="120" t="str">
        <f t="shared" si="26"/>
        <v/>
      </c>
      <c r="L368" s="287"/>
      <c r="M368" s="91"/>
      <c r="N368" s="99"/>
      <c r="O368" s="116"/>
      <c r="P368" s="86"/>
      <c r="Q368" s="92"/>
      <c r="R368" s="120">
        <f t="shared" si="27"/>
        <v>0</v>
      </c>
      <c r="S368" s="93"/>
      <c r="T368" s="117"/>
      <c r="U368" s="117"/>
      <c r="V368" s="85"/>
      <c r="W368" s="146"/>
      <c r="X368" s="137"/>
      <c r="Y368" s="137"/>
      <c r="Z368" s="137"/>
      <c r="AA368" s="137"/>
      <c r="AB368" s="137"/>
      <c r="AC368" s="137"/>
      <c r="AD368" s="137"/>
      <c r="AE368" s="137"/>
      <c r="AF368" s="141"/>
      <c r="AG368" s="146"/>
      <c r="AH368" s="146"/>
      <c r="AI368" s="146"/>
      <c r="AJ368" s="146"/>
      <c r="AK368" s="146"/>
      <c r="AL368" s="81"/>
      <c r="AM368" s="81"/>
      <c r="AN368" s="152"/>
      <c r="AO368" s="152"/>
      <c r="AP368" s="152"/>
      <c r="AQ368" s="152"/>
      <c r="AR368" s="81"/>
      <c r="AS368" s="81"/>
      <c r="AT368" s="82"/>
      <c r="AU368" s="82"/>
      <c r="AV368" s="176"/>
      <c r="AW368" s="89"/>
      <c r="AX368" s="89"/>
      <c r="AY368" s="89"/>
      <c r="AZ368" s="89"/>
      <c r="BA368" s="89"/>
      <c r="BB368" s="89"/>
      <c r="BC368" s="89"/>
      <c r="BD368" s="89"/>
      <c r="BE368" s="141"/>
      <c r="BF368" s="176"/>
      <c r="BG368" s="176"/>
      <c r="BH368" s="176"/>
      <c r="BI368" s="176"/>
    </row>
    <row r="369" spans="1:61" s="90" customFormat="1">
      <c r="A369" s="83"/>
      <c r="B369" s="85"/>
      <c r="C369" s="84"/>
      <c r="D369" s="112"/>
      <c r="E369" s="112"/>
      <c r="F369" s="112"/>
      <c r="G369" s="85"/>
      <c r="H369" s="120"/>
      <c r="I369" s="280"/>
      <c r="J369" s="120"/>
      <c r="K369" s="120" t="str">
        <f t="shared" si="26"/>
        <v/>
      </c>
      <c r="L369" s="287"/>
      <c r="M369" s="91"/>
      <c r="N369" s="99"/>
      <c r="O369" s="116"/>
      <c r="P369" s="86"/>
      <c r="Q369" s="92"/>
      <c r="R369" s="120">
        <f t="shared" si="27"/>
        <v>0</v>
      </c>
      <c r="S369" s="93"/>
      <c r="T369" s="117"/>
      <c r="U369" s="117"/>
      <c r="V369" s="85"/>
      <c r="W369" s="146"/>
      <c r="X369" s="137"/>
      <c r="Y369" s="137"/>
      <c r="Z369" s="137"/>
      <c r="AA369" s="137"/>
      <c r="AB369" s="137"/>
      <c r="AC369" s="137"/>
      <c r="AD369" s="137"/>
      <c r="AE369" s="137"/>
      <c r="AF369" s="141"/>
      <c r="AG369" s="146"/>
      <c r="AH369" s="146"/>
      <c r="AI369" s="146"/>
      <c r="AJ369" s="146"/>
      <c r="AK369" s="146"/>
      <c r="AL369" s="81"/>
      <c r="AM369" s="81"/>
      <c r="AN369" s="152"/>
      <c r="AO369" s="152"/>
      <c r="AP369" s="152"/>
      <c r="AQ369" s="152"/>
      <c r="AR369" s="81"/>
      <c r="AS369" s="81"/>
      <c r="AT369" s="82"/>
      <c r="AU369" s="82"/>
      <c r="AV369" s="176"/>
      <c r="AW369" s="89"/>
      <c r="AX369" s="89"/>
      <c r="AY369" s="89"/>
      <c r="AZ369" s="89"/>
      <c r="BA369" s="89"/>
      <c r="BB369" s="89"/>
      <c r="BC369" s="89"/>
      <c r="BD369" s="89"/>
      <c r="BE369" s="141"/>
      <c r="BF369" s="176"/>
      <c r="BG369" s="176"/>
      <c r="BH369" s="176"/>
      <c r="BI369" s="176"/>
    </row>
    <row r="370" spans="1:61" s="90" customFormat="1">
      <c r="A370" s="83"/>
      <c r="B370" s="85"/>
      <c r="C370" s="84"/>
      <c r="D370" s="112"/>
      <c r="E370" s="112"/>
      <c r="F370" s="112"/>
      <c r="G370" s="85"/>
      <c r="H370" s="120"/>
      <c r="I370" s="280"/>
      <c r="J370" s="120"/>
      <c r="K370" s="120" t="str">
        <f t="shared" si="26"/>
        <v/>
      </c>
      <c r="L370" s="287"/>
      <c r="M370" s="91"/>
      <c r="N370" s="99"/>
      <c r="O370" s="116"/>
      <c r="P370" s="86"/>
      <c r="Q370" s="92"/>
      <c r="R370" s="120">
        <f t="shared" si="27"/>
        <v>0</v>
      </c>
      <c r="S370" s="93"/>
      <c r="T370" s="117"/>
      <c r="U370" s="117"/>
      <c r="V370" s="85"/>
      <c r="W370" s="146"/>
      <c r="X370" s="137"/>
      <c r="Y370" s="137"/>
      <c r="Z370" s="137"/>
      <c r="AA370" s="137"/>
      <c r="AB370" s="137"/>
      <c r="AC370" s="137"/>
      <c r="AD370" s="137"/>
      <c r="AE370" s="137"/>
      <c r="AF370" s="141"/>
      <c r="AG370" s="146"/>
      <c r="AH370" s="146"/>
      <c r="AI370" s="146"/>
      <c r="AJ370" s="146"/>
      <c r="AK370" s="146"/>
      <c r="AL370" s="81"/>
      <c r="AM370" s="81"/>
      <c r="AN370" s="152"/>
      <c r="AO370" s="152"/>
      <c r="AP370" s="152"/>
      <c r="AQ370" s="152"/>
      <c r="AR370" s="81"/>
      <c r="AS370" s="81"/>
      <c r="AT370" s="82"/>
      <c r="AU370" s="82"/>
      <c r="AV370" s="176"/>
      <c r="AW370" s="89"/>
      <c r="AX370" s="89"/>
      <c r="AY370" s="89"/>
      <c r="AZ370" s="89"/>
      <c r="BA370" s="89"/>
      <c r="BB370" s="89"/>
      <c r="BC370" s="89"/>
      <c r="BD370" s="89"/>
      <c r="BE370" s="141"/>
      <c r="BF370" s="176"/>
      <c r="BG370" s="176"/>
      <c r="BH370" s="176"/>
      <c r="BI370" s="176"/>
    </row>
    <row r="371" spans="1:61" s="90" customFormat="1">
      <c r="A371" s="83"/>
      <c r="B371" s="85"/>
      <c r="C371" s="84"/>
      <c r="D371" s="112"/>
      <c r="E371" s="112"/>
      <c r="F371" s="112"/>
      <c r="G371" s="85"/>
      <c r="H371" s="120"/>
      <c r="I371" s="280"/>
      <c r="J371" s="120"/>
      <c r="K371" s="120" t="str">
        <f t="shared" si="26"/>
        <v/>
      </c>
      <c r="L371" s="287"/>
      <c r="M371" s="91"/>
      <c r="N371" s="99"/>
      <c r="O371" s="116"/>
      <c r="P371" s="86"/>
      <c r="Q371" s="92"/>
      <c r="R371" s="120">
        <f t="shared" si="27"/>
        <v>0</v>
      </c>
      <c r="S371" s="93"/>
      <c r="T371" s="117"/>
      <c r="U371" s="117"/>
      <c r="V371" s="85"/>
      <c r="W371" s="146"/>
      <c r="X371" s="137"/>
      <c r="Y371" s="137"/>
      <c r="Z371" s="137"/>
      <c r="AA371" s="137"/>
      <c r="AB371" s="137"/>
      <c r="AC371" s="137"/>
      <c r="AD371" s="137"/>
      <c r="AE371" s="137"/>
      <c r="AF371" s="141"/>
      <c r="AG371" s="146"/>
      <c r="AH371" s="146"/>
      <c r="AI371" s="146"/>
      <c r="AJ371" s="146"/>
      <c r="AK371" s="146"/>
      <c r="AL371" s="81"/>
      <c r="AM371" s="81"/>
      <c r="AN371" s="152"/>
      <c r="AO371" s="152"/>
      <c r="AP371" s="152"/>
      <c r="AQ371" s="152"/>
      <c r="AR371" s="81"/>
      <c r="AS371" s="81"/>
      <c r="AT371" s="82"/>
      <c r="AU371" s="82"/>
      <c r="AV371" s="176"/>
      <c r="AW371" s="89"/>
      <c r="AX371" s="89"/>
      <c r="AY371" s="89"/>
      <c r="AZ371" s="89"/>
      <c r="BA371" s="89"/>
      <c r="BB371" s="89"/>
      <c r="BC371" s="89"/>
      <c r="BD371" s="89"/>
      <c r="BE371" s="141"/>
      <c r="BF371" s="176"/>
      <c r="BG371" s="176"/>
      <c r="BH371" s="176"/>
      <c r="BI371" s="176"/>
    </row>
    <row r="372" spans="1:61" s="90" customFormat="1">
      <c r="A372" s="83"/>
      <c r="B372" s="85"/>
      <c r="C372" s="84"/>
      <c r="D372" s="112"/>
      <c r="E372" s="112"/>
      <c r="F372" s="112"/>
      <c r="G372" s="85"/>
      <c r="H372" s="120"/>
      <c r="I372" s="280"/>
      <c r="J372" s="120"/>
      <c r="K372" s="120" t="str">
        <f t="shared" si="26"/>
        <v/>
      </c>
      <c r="L372" s="287"/>
      <c r="M372" s="91"/>
      <c r="N372" s="99"/>
      <c r="O372" s="116"/>
      <c r="P372" s="86"/>
      <c r="Q372" s="92"/>
      <c r="R372" s="120">
        <f t="shared" si="27"/>
        <v>0</v>
      </c>
      <c r="S372" s="93"/>
      <c r="T372" s="117"/>
      <c r="U372" s="117"/>
      <c r="V372" s="85"/>
      <c r="W372" s="146"/>
      <c r="X372" s="137"/>
      <c r="Y372" s="137"/>
      <c r="Z372" s="137"/>
      <c r="AA372" s="137"/>
      <c r="AB372" s="137"/>
      <c r="AC372" s="137"/>
      <c r="AD372" s="137"/>
      <c r="AE372" s="137"/>
      <c r="AF372" s="141"/>
      <c r="AG372" s="146"/>
      <c r="AH372" s="146"/>
      <c r="AI372" s="146"/>
      <c r="AJ372" s="146"/>
      <c r="AK372" s="146"/>
      <c r="AL372" s="81"/>
      <c r="AM372" s="81"/>
      <c r="AN372" s="152"/>
      <c r="AO372" s="152"/>
      <c r="AP372" s="152"/>
      <c r="AQ372" s="152"/>
      <c r="AR372" s="81"/>
      <c r="AS372" s="81"/>
      <c r="AT372" s="82"/>
      <c r="AU372" s="82"/>
      <c r="AV372" s="176"/>
      <c r="AW372" s="89"/>
      <c r="AX372" s="89"/>
      <c r="AY372" s="89"/>
      <c r="AZ372" s="89"/>
      <c r="BA372" s="89"/>
      <c r="BB372" s="89"/>
      <c r="BC372" s="89"/>
      <c r="BD372" s="89"/>
      <c r="BE372" s="141"/>
      <c r="BF372" s="176"/>
      <c r="BG372" s="176"/>
      <c r="BH372" s="176"/>
      <c r="BI372" s="176"/>
    </row>
    <row r="373" spans="1:61" s="90" customFormat="1">
      <c r="A373" s="83"/>
      <c r="B373" s="85"/>
      <c r="C373" s="84"/>
      <c r="D373" s="112"/>
      <c r="E373" s="112"/>
      <c r="F373" s="112"/>
      <c r="G373" s="85"/>
      <c r="H373" s="120"/>
      <c r="I373" s="280"/>
      <c r="J373" s="120"/>
      <c r="K373" s="120" t="str">
        <f t="shared" si="26"/>
        <v/>
      </c>
      <c r="L373" s="287"/>
      <c r="M373" s="91"/>
      <c r="N373" s="99"/>
      <c r="O373" s="116"/>
      <c r="P373" s="86"/>
      <c r="Q373" s="92"/>
      <c r="R373" s="120">
        <f t="shared" si="27"/>
        <v>0</v>
      </c>
      <c r="S373" s="93"/>
      <c r="T373" s="117"/>
      <c r="U373" s="117"/>
      <c r="V373" s="85"/>
      <c r="W373" s="146"/>
      <c r="X373" s="137"/>
      <c r="Y373" s="137"/>
      <c r="Z373" s="137"/>
      <c r="AA373" s="137"/>
      <c r="AB373" s="137"/>
      <c r="AC373" s="137"/>
      <c r="AD373" s="137"/>
      <c r="AE373" s="137"/>
      <c r="AF373" s="141"/>
      <c r="AG373" s="146"/>
      <c r="AH373" s="146"/>
      <c r="AI373" s="146"/>
      <c r="AJ373" s="146"/>
      <c r="AK373" s="146"/>
      <c r="AL373" s="81"/>
      <c r="AM373" s="81"/>
      <c r="AN373" s="152"/>
      <c r="AO373" s="152"/>
      <c r="AP373" s="152"/>
      <c r="AQ373" s="152"/>
      <c r="AR373" s="81"/>
      <c r="AS373" s="81"/>
      <c r="AT373" s="82"/>
      <c r="AU373" s="82"/>
      <c r="AV373" s="176"/>
      <c r="AW373" s="89"/>
      <c r="AX373" s="89"/>
      <c r="AY373" s="89"/>
      <c r="AZ373" s="89"/>
      <c r="BA373" s="89"/>
      <c r="BB373" s="89"/>
      <c r="BC373" s="89"/>
      <c r="BD373" s="89"/>
      <c r="BE373" s="141"/>
      <c r="BF373" s="176"/>
      <c r="BG373" s="176"/>
      <c r="BH373" s="176"/>
      <c r="BI373" s="176"/>
    </row>
    <row r="374" spans="1:61" s="90" customFormat="1">
      <c r="A374" s="83"/>
      <c r="B374" s="85"/>
      <c r="C374" s="84"/>
      <c r="D374" s="112"/>
      <c r="E374" s="112"/>
      <c r="F374" s="112"/>
      <c r="G374" s="85"/>
      <c r="H374" s="120"/>
      <c r="I374" s="280"/>
      <c r="J374" s="120"/>
      <c r="K374" s="120" t="str">
        <f t="shared" si="26"/>
        <v/>
      </c>
      <c r="L374" s="287"/>
      <c r="M374" s="91"/>
      <c r="N374" s="99"/>
      <c r="O374" s="116"/>
      <c r="P374" s="86"/>
      <c r="Q374" s="92"/>
      <c r="R374" s="120">
        <f t="shared" si="27"/>
        <v>0</v>
      </c>
      <c r="S374" s="93"/>
      <c r="T374" s="117"/>
      <c r="U374" s="117"/>
      <c r="V374" s="85"/>
      <c r="W374" s="146"/>
      <c r="X374" s="137"/>
      <c r="Y374" s="137"/>
      <c r="Z374" s="137"/>
      <c r="AA374" s="137"/>
      <c r="AB374" s="137"/>
      <c r="AC374" s="137"/>
      <c r="AD374" s="137"/>
      <c r="AE374" s="137"/>
      <c r="AF374" s="141"/>
      <c r="AG374" s="146"/>
      <c r="AH374" s="146"/>
      <c r="AI374" s="146"/>
      <c r="AJ374" s="146"/>
      <c r="AK374" s="146"/>
      <c r="AL374" s="81"/>
      <c r="AM374" s="81"/>
      <c r="AN374" s="152"/>
      <c r="AO374" s="152"/>
      <c r="AP374" s="152"/>
      <c r="AQ374" s="152"/>
      <c r="AR374" s="81"/>
      <c r="AS374" s="81"/>
      <c r="AT374" s="82"/>
      <c r="AU374" s="82"/>
      <c r="AV374" s="176"/>
      <c r="AW374" s="89"/>
      <c r="AX374" s="89"/>
      <c r="AY374" s="89"/>
      <c r="AZ374" s="89"/>
      <c r="BA374" s="89"/>
      <c r="BB374" s="89"/>
      <c r="BC374" s="89"/>
      <c r="BD374" s="89"/>
      <c r="BE374" s="141"/>
      <c r="BF374" s="176"/>
      <c r="BG374" s="176"/>
      <c r="BH374" s="176"/>
      <c r="BI374" s="176"/>
    </row>
    <row r="375" spans="1:61" s="90" customFormat="1">
      <c r="A375" s="83"/>
      <c r="B375" s="85"/>
      <c r="C375" s="84"/>
      <c r="D375" s="112"/>
      <c r="E375" s="112"/>
      <c r="F375" s="112"/>
      <c r="G375" s="85"/>
      <c r="H375" s="120"/>
      <c r="I375" s="280"/>
      <c r="J375" s="120"/>
      <c r="K375" s="120" t="str">
        <f t="shared" si="26"/>
        <v/>
      </c>
      <c r="L375" s="287"/>
      <c r="M375" s="91"/>
      <c r="N375" s="99"/>
      <c r="O375" s="116"/>
      <c r="P375" s="86"/>
      <c r="Q375" s="92"/>
      <c r="R375" s="120">
        <f t="shared" si="27"/>
        <v>0</v>
      </c>
      <c r="S375" s="93"/>
      <c r="T375" s="117"/>
      <c r="U375" s="117"/>
      <c r="V375" s="85"/>
      <c r="W375" s="146"/>
      <c r="X375" s="137"/>
      <c r="Y375" s="137"/>
      <c r="Z375" s="137"/>
      <c r="AA375" s="137"/>
      <c r="AB375" s="137"/>
      <c r="AC375" s="137"/>
      <c r="AD375" s="137"/>
      <c r="AE375" s="137"/>
      <c r="AF375" s="141"/>
      <c r="AG375" s="146"/>
      <c r="AH375" s="146"/>
      <c r="AI375" s="146"/>
      <c r="AJ375" s="146"/>
      <c r="AK375" s="146"/>
      <c r="AL375" s="81"/>
      <c r="AM375" s="81"/>
      <c r="AN375" s="152"/>
      <c r="AO375" s="152"/>
      <c r="AP375" s="152"/>
      <c r="AQ375" s="152"/>
      <c r="AR375" s="81"/>
      <c r="AS375" s="81"/>
      <c r="AT375" s="82"/>
      <c r="AU375" s="82"/>
      <c r="AV375" s="176"/>
      <c r="AW375" s="89"/>
      <c r="AX375" s="89"/>
      <c r="AY375" s="89"/>
      <c r="AZ375" s="89"/>
      <c r="BA375" s="89"/>
      <c r="BB375" s="89"/>
      <c r="BC375" s="89"/>
      <c r="BD375" s="89"/>
      <c r="BE375" s="141"/>
      <c r="BF375" s="176"/>
      <c r="BG375" s="176"/>
      <c r="BH375" s="176"/>
      <c r="BI375" s="176"/>
    </row>
    <row r="376" spans="1:61" s="90" customFormat="1">
      <c r="A376" s="83"/>
      <c r="B376" s="85"/>
      <c r="C376" s="84"/>
      <c r="D376" s="112"/>
      <c r="E376" s="112"/>
      <c r="F376" s="112"/>
      <c r="G376" s="85"/>
      <c r="H376" s="120"/>
      <c r="I376" s="280"/>
      <c r="J376" s="120"/>
      <c r="K376" s="120" t="str">
        <f t="shared" si="26"/>
        <v/>
      </c>
      <c r="L376" s="287"/>
      <c r="M376" s="91"/>
      <c r="N376" s="99"/>
      <c r="O376" s="116"/>
      <c r="P376" s="86"/>
      <c r="Q376" s="92"/>
      <c r="R376" s="120">
        <f t="shared" si="27"/>
        <v>0</v>
      </c>
      <c r="S376" s="93"/>
      <c r="T376" s="117"/>
      <c r="U376" s="117"/>
      <c r="V376" s="85"/>
      <c r="W376" s="146"/>
      <c r="X376" s="137"/>
      <c r="Y376" s="137"/>
      <c r="Z376" s="137"/>
      <c r="AA376" s="137"/>
      <c r="AB376" s="137"/>
      <c r="AC376" s="137"/>
      <c r="AD376" s="137"/>
      <c r="AE376" s="137"/>
      <c r="AF376" s="141"/>
      <c r="AG376" s="146"/>
      <c r="AH376" s="146"/>
      <c r="AI376" s="146"/>
      <c r="AJ376" s="146"/>
      <c r="AK376" s="146"/>
      <c r="AL376" s="81"/>
      <c r="AM376" s="81"/>
      <c r="AN376" s="152"/>
      <c r="AO376" s="152"/>
      <c r="AP376" s="152"/>
      <c r="AQ376" s="152"/>
      <c r="AR376" s="81"/>
      <c r="AS376" s="81"/>
      <c r="AT376" s="82"/>
      <c r="AU376" s="82"/>
      <c r="AV376" s="176"/>
      <c r="AW376" s="89"/>
      <c r="AX376" s="89"/>
      <c r="AY376" s="89"/>
      <c r="AZ376" s="89"/>
      <c r="BA376" s="89"/>
      <c r="BB376" s="89"/>
      <c r="BC376" s="89"/>
      <c r="BD376" s="89"/>
      <c r="BE376" s="141"/>
      <c r="BF376" s="176"/>
      <c r="BG376" s="176"/>
      <c r="BH376" s="176"/>
      <c r="BI376" s="176"/>
    </row>
    <row r="377" spans="1:61" s="90" customFormat="1">
      <c r="A377" s="83"/>
      <c r="B377" s="85"/>
      <c r="C377" s="84"/>
      <c r="D377" s="112"/>
      <c r="E377" s="112"/>
      <c r="F377" s="112"/>
      <c r="G377" s="85"/>
      <c r="H377" s="120"/>
      <c r="I377" s="280"/>
      <c r="J377" s="120"/>
      <c r="K377" s="120" t="str">
        <f t="shared" si="26"/>
        <v/>
      </c>
      <c r="L377" s="287"/>
      <c r="M377" s="91"/>
      <c r="N377" s="99"/>
      <c r="O377" s="116"/>
      <c r="P377" s="86"/>
      <c r="Q377" s="92"/>
      <c r="R377" s="120">
        <f t="shared" si="27"/>
        <v>0</v>
      </c>
      <c r="S377" s="93"/>
      <c r="T377" s="117"/>
      <c r="U377" s="117"/>
      <c r="V377" s="85"/>
      <c r="W377" s="146"/>
      <c r="X377" s="137"/>
      <c r="Y377" s="137"/>
      <c r="Z377" s="137"/>
      <c r="AA377" s="137"/>
      <c r="AB377" s="137"/>
      <c r="AC377" s="137"/>
      <c r="AD377" s="137"/>
      <c r="AE377" s="137"/>
      <c r="AF377" s="141"/>
      <c r="AG377" s="146"/>
      <c r="AH377" s="146"/>
      <c r="AI377" s="146"/>
      <c r="AJ377" s="146"/>
      <c r="AK377" s="146"/>
      <c r="AL377" s="81"/>
      <c r="AM377" s="81"/>
      <c r="AN377" s="152"/>
      <c r="AO377" s="152"/>
      <c r="AP377" s="152"/>
      <c r="AQ377" s="152"/>
      <c r="AR377" s="81"/>
      <c r="AS377" s="81"/>
      <c r="AT377" s="82"/>
      <c r="AU377" s="82"/>
      <c r="AV377" s="176"/>
      <c r="AW377" s="89"/>
      <c r="AX377" s="89"/>
      <c r="AY377" s="89"/>
      <c r="AZ377" s="89"/>
      <c r="BA377" s="89"/>
      <c r="BB377" s="89"/>
      <c r="BC377" s="89"/>
      <c r="BD377" s="89"/>
      <c r="BE377" s="141"/>
      <c r="BF377" s="176"/>
      <c r="BG377" s="176"/>
      <c r="BH377" s="176"/>
      <c r="BI377" s="176"/>
    </row>
    <row r="378" spans="1:61" s="90" customFormat="1">
      <c r="A378" s="83"/>
      <c r="B378" s="85"/>
      <c r="C378" s="84"/>
      <c r="D378" s="112"/>
      <c r="E378" s="112"/>
      <c r="F378" s="112"/>
      <c r="G378" s="85"/>
      <c r="H378" s="120"/>
      <c r="I378" s="280"/>
      <c r="J378" s="120"/>
      <c r="K378" s="120" t="str">
        <f t="shared" si="26"/>
        <v/>
      </c>
      <c r="L378" s="287"/>
      <c r="M378" s="91"/>
      <c r="N378" s="99"/>
      <c r="O378" s="116"/>
      <c r="P378" s="86"/>
      <c r="Q378" s="92"/>
      <c r="R378" s="120">
        <f t="shared" si="27"/>
        <v>0</v>
      </c>
      <c r="S378" s="93"/>
      <c r="T378" s="117"/>
      <c r="U378" s="117"/>
      <c r="V378" s="85"/>
      <c r="W378" s="146"/>
      <c r="X378" s="137"/>
      <c r="Y378" s="137"/>
      <c r="Z378" s="137"/>
      <c r="AA378" s="137"/>
      <c r="AB378" s="137"/>
      <c r="AC378" s="137"/>
      <c r="AD378" s="137"/>
      <c r="AE378" s="137"/>
      <c r="AF378" s="141"/>
      <c r="AG378" s="146"/>
      <c r="AH378" s="146"/>
      <c r="AI378" s="146"/>
      <c r="AJ378" s="146"/>
      <c r="AK378" s="146"/>
      <c r="AL378" s="81"/>
      <c r="AM378" s="81"/>
      <c r="AN378" s="152"/>
      <c r="AO378" s="152"/>
      <c r="AP378" s="152"/>
      <c r="AQ378" s="152"/>
      <c r="AR378" s="81"/>
      <c r="AS378" s="81"/>
      <c r="AT378" s="82"/>
      <c r="AU378" s="82"/>
      <c r="AV378" s="176"/>
      <c r="AW378" s="89"/>
      <c r="AX378" s="89"/>
      <c r="AY378" s="89"/>
      <c r="AZ378" s="89"/>
      <c r="BA378" s="89"/>
      <c r="BB378" s="89"/>
      <c r="BC378" s="89"/>
      <c r="BD378" s="89"/>
      <c r="BE378" s="141"/>
      <c r="BF378" s="176"/>
      <c r="BG378" s="176"/>
      <c r="BH378" s="176"/>
      <c r="BI378" s="176"/>
    </row>
    <row r="379" spans="1:61" s="90" customFormat="1">
      <c r="A379" s="83"/>
      <c r="B379" s="85"/>
      <c r="C379" s="84"/>
      <c r="D379" s="112"/>
      <c r="E379" s="112"/>
      <c r="F379" s="112"/>
      <c r="G379" s="85"/>
      <c r="H379" s="120"/>
      <c r="I379" s="280"/>
      <c r="J379" s="120"/>
      <c r="K379" s="120" t="str">
        <f t="shared" si="26"/>
        <v/>
      </c>
      <c r="L379" s="287"/>
      <c r="M379" s="91"/>
      <c r="N379" s="99"/>
      <c r="O379" s="116"/>
      <c r="P379" s="86"/>
      <c r="Q379" s="92"/>
      <c r="R379" s="120">
        <f t="shared" si="27"/>
        <v>0</v>
      </c>
      <c r="S379" s="93"/>
      <c r="T379" s="117"/>
      <c r="U379" s="117"/>
      <c r="V379" s="85"/>
      <c r="W379" s="146"/>
      <c r="X379" s="137"/>
      <c r="Y379" s="137"/>
      <c r="Z379" s="137"/>
      <c r="AA379" s="137"/>
      <c r="AB379" s="137"/>
      <c r="AC379" s="137"/>
      <c r="AD379" s="137"/>
      <c r="AE379" s="137"/>
      <c r="AF379" s="141"/>
      <c r="AG379" s="146"/>
      <c r="AH379" s="146"/>
      <c r="AI379" s="146"/>
      <c r="AJ379" s="146"/>
      <c r="AK379" s="146"/>
      <c r="AL379" s="81"/>
      <c r="AM379" s="81"/>
      <c r="AN379" s="152"/>
      <c r="AO379" s="152"/>
      <c r="AP379" s="152"/>
      <c r="AQ379" s="152"/>
      <c r="AR379" s="81"/>
      <c r="AS379" s="81"/>
      <c r="AT379" s="82"/>
      <c r="AU379" s="82"/>
      <c r="AV379" s="176"/>
      <c r="AW379" s="89"/>
      <c r="AX379" s="89"/>
      <c r="AY379" s="89"/>
      <c r="AZ379" s="89"/>
      <c r="BA379" s="89"/>
      <c r="BB379" s="89"/>
      <c r="BC379" s="89"/>
      <c r="BD379" s="89"/>
      <c r="BE379" s="141"/>
      <c r="BF379" s="176"/>
      <c r="BG379" s="176"/>
      <c r="BH379" s="176"/>
      <c r="BI379" s="176"/>
    </row>
    <row r="380" spans="1:61" s="90" customFormat="1">
      <c r="A380" s="83"/>
      <c r="B380" s="85"/>
      <c r="C380" s="84"/>
      <c r="D380" s="112"/>
      <c r="E380" s="112"/>
      <c r="F380" s="112"/>
      <c r="G380" s="85"/>
      <c r="H380" s="120"/>
      <c r="I380" s="280"/>
      <c r="J380" s="120"/>
      <c r="K380" s="120" t="str">
        <f t="shared" si="26"/>
        <v/>
      </c>
      <c r="L380" s="287"/>
      <c r="M380" s="91"/>
      <c r="N380" s="99"/>
      <c r="O380" s="116"/>
      <c r="P380" s="86"/>
      <c r="Q380" s="92"/>
      <c r="R380" s="120">
        <f t="shared" si="27"/>
        <v>0</v>
      </c>
      <c r="S380" s="93"/>
      <c r="T380" s="117"/>
      <c r="U380" s="117"/>
      <c r="V380" s="85"/>
      <c r="W380" s="146"/>
      <c r="X380" s="137"/>
      <c r="Y380" s="137"/>
      <c r="Z380" s="137"/>
      <c r="AA380" s="137"/>
      <c r="AB380" s="137"/>
      <c r="AC380" s="137"/>
      <c r="AD380" s="137"/>
      <c r="AE380" s="137"/>
      <c r="AF380" s="141"/>
      <c r="AG380" s="146"/>
      <c r="AH380" s="146"/>
      <c r="AI380" s="146"/>
      <c r="AJ380" s="146"/>
      <c r="AK380" s="146"/>
      <c r="AL380" s="81"/>
      <c r="AM380" s="81"/>
      <c r="AN380" s="152"/>
      <c r="AO380" s="152"/>
      <c r="AP380" s="152"/>
      <c r="AQ380" s="152"/>
      <c r="AR380" s="81"/>
      <c r="AS380" s="81"/>
      <c r="AT380" s="82"/>
      <c r="AU380" s="82"/>
      <c r="AV380" s="176"/>
      <c r="AW380" s="89"/>
      <c r="AX380" s="89"/>
      <c r="AY380" s="89"/>
      <c r="AZ380" s="89"/>
      <c r="BA380" s="89"/>
      <c r="BB380" s="89"/>
      <c r="BC380" s="89"/>
      <c r="BD380" s="89"/>
      <c r="BE380" s="141"/>
      <c r="BF380" s="176"/>
      <c r="BG380" s="176"/>
      <c r="BH380" s="176"/>
      <c r="BI380" s="176"/>
    </row>
    <row r="381" spans="1:61" s="90" customFormat="1">
      <c r="A381" s="83"/>
      <c r="B381" s="85"/>
      <c r="C381" s="84"/>
      <c r="D381" s="112"/>
      <c r="E381" s="112"/>
      <c r="F381" s="112"/>
      <c r="G381" s="85"/>
      <c r="H381" s="120"/>
      <c r="I381" s="280"/>
      <c r="J381" s="120"/>
      <c r="K381" s="120" t="str">
        <f t="shared" si="26"/>
        <v/>
      </c>
      <c r="L381" s="287"/>
      <c r="M381" s="91"/>
      <c r="N381" s="99"/>
      <c r="O381" s="116"/>
      <c r="P381" s="86"/>
      <c r="Q381" s="92"/>
      <c r="R381" s="120">
        <f t="shared" si="27"/>
        <v>0</v>
      </c>
      <c r="S381" s="93"/>
      <c r="T381" s="117"/>
      <c r="U381" s="117"/>
      <c r="V381" s="85"/>
      <c r="W381" s="146"/>
      <c r="X381" s="137"/>
      <c r="Y381" s="137"/>
      <c r="Z381" s="137"/>
      <c r="AA381" s="137"/>
      <c r="AB381" s="137"/>
      <c r="AC381" s="137"/>
      <c r="AD381" s="137"/>
      <c r="AE381" s="137"/>
      <c r="AF381" s="141"/>
      <c r="AG381" s="146"/>
      <c r="AH381" s="146"/>
      <c r="AI381" s="146"/>
      <c r="AJ381" s="146"/>
      <c r="AK381" s="146"/>
      <c r="AL381" s="81"/>
      <c r="AM381" s="81"/>
      <c r="AN381" s="152"/>
      <c r="AO381" s="152"/>
      <c r="AP381" s="152"/>
      <c r="AQ381" s="152"/>
      <c r="AR381" s="81"/>
      <c r="AS381" s="81"/>
      <c r="AT381" s="82"/>
      <c r="AU381" s="82"/>
      <c r="AV381" s="176"/>
      <c r="AW381" s="89"/>
      <c r="AX381" s="89"/>
      <c r="AY381" s="89"/>
      <c r="AZ381" s="89"/>
      <c r="BA381" s="89"/>
      <c r="BB381" s="89"/>
      <c r="BC381" s="89"/>
      <c r="BD381" s="89"/>
      <c r="BE381" s="141"/>
      <c r="BF381" s="176"/>
      <c r="BG381" s="176"/>
      <c r="BH381" s="176"/>
      <c r="BI381" s="176"/>
    </row>
    <row r="382" spans="1:61" s="90" customFormat="1">
      <c r="A382" s="83"/>
      <c r="B382" s="85"/>
      <c r="C382" s="84"/>
      <c r="D382" s="112"/>
      <c r="E382" s="112"/>
      <c r="F382" s="112"/>
      <c r="G382" s="85"/>
      <c r="H382" s="120"/>
      <c r="I382" s="280"/>
      <c r="J382" s="120"/>
      <c r="K382" s="120" t="str">
        <f t="shared" si="26"/>
        <v/>
      </c>
      <c r="L382" s="287"/>
      <c r="M382" s="91"/>
      <c r="N382" s="99"/>
      <c r="O382" s="116"/>
      <c r="P382" s="86"/>
      <c r="Q382" s="92"/>
      <c r="R382" s="120">
        <f t="shared" si="27"/>
        <v>0</v>
      </c>
      <c r="S382" s="93"/>
      <c r="T382" s="117"/>
      <c r="U382" s="117"/>
      <c r="V382" s="85"/>
      <c r="W382" s="146"/>
      <c r="X382" s="137"/>
      <c r="Y382" s="137"/>
      <c r="Z382" s="137"/>
      <c r="AA382" s="137"/>
      <c r="AB382" s="137"/>
      <c r="AC382" s="137"/>
      <c r="AD382" s="137"/>
      <c r="AE382" s="137"/>
      <c r="AF382" s="141"/>
      <c r="AG382" s="146"/>
      <c r="AH382" s="146"/>
      <c r="AI382" s="146"/>
      <c r="AJ382" s="146"/>
      <c r="AK382" s="146"/>
      <c r="AL382" s="81"/>
      <c r="AM382" s="81"/>
      <c r="AN382" s="152"/>
      <c r="AO382" s="152"/>
      <c r="AP382" s="152"/>
      <c r="AQ382" s="152"/>
      <c r="AR382" s="81"/>
      <c r="AS382" s="81"/>
      <c r="AT382" s="82"/>
      <c r="AU382" s="82"/>
      <c r="AV382" s="176"/>
      <c r="AW382" s="89"/>
      <c r="AX382" s="89"/>
      <c r="AY382" s="89"/>
      <c r="AZ382" s="89"/>
      <c r="BA382" s="89"/>
      <c r="BB382" s="89"/>
      <c r="BC382" s="89"/>
      <c r="BD382" s="89"/>
      <c r="BE382" s="141"/>
      <c r="BF382" s="176"/>
      <c r="BG382" s="176"/>
      <c r="BH382" s="176"/>
      <c r="BI382" s="176"/>
    </row>
    <row r="383" spans="1:61" s="90" customFormat="1">
      <c r="A383" s="83"/>
      <c r="B383" s="85"/>
      <c r="C383" s="84"/>
      <c r="D383" s="112"/>
      <c r="E383" s="112"/>
      <c r="F383" s="112"/>
      <c r="G383" s="85"/>
      <c r="H383" s="120"/>
      <c r="I383" s="280"/>
      <c r="J383" s="120"/>
      <c r="K383" s="120" t="str">
        <f t="shared" si="26"/>
        <v/>
      </c>
      <c r="L383" s="287"/>
      <c r="M383" s="91"/>
      <c r="N383" s="99"/>
      <c r="O383" s="116"/>
      <c r="P383" s="86"/>
      <c r="Q383" s="92"/>
      <c r="R383" s="120">
        <f t="shared" si="27"/>
        <v>0</v>
      </c>
      <c r="S383" s="93"/>
      <c r="T383" s="117"/>
      <c r="U383" s="117"/>
      <c r="V383" s="85"/>
      <c r="W383" s="146"/>
      <c r="X383" s="137"/>
      <c r="Y383" s="137"/>
      <c r="Z383" s="137"/>
      <c r="AA383" s="137"/>
      <c r="AB383" s="137"/>
      <c r="AC383" s="137"/>
      <c r="AD383" s="137"/>
      <c r="AE383" s="137"/>
      <c r="AF383" s="141"/>
      <c r="AG383" s="146"/>
      <c r="AH383" s="146"/>
      <c r="AI383" s="146"/>
      <c r="AJ383" s="146"/>
      <c r="AK383" s="146"/>
      <c r="AL383" s="81"/>
      <c r="AM383" s="81"/>
      <c r="AN383" s="152"/>
      <c r="AO383" s="152"/>
      <c r="AP383" s="152"/>
      <c r="AQ383" s="152"/>
      <c r="AR383" s="81"/>
      <c r="AS383" s="81"/>
      <c r="AT383" s="82"/>
      <c r="AU383" s="82"/>
      <c r="AV383" s="176"/>
      <c r="AW383" s="89"/>
      <c r="AX383" s="89"/>
      <c r="AY383" s="89"/>
      <c r="AZ383" s="89"/>
      <c r="BA383" s="89"/>
      <c r="BB383" s="89"/>
      <c r="BC383" s="89"/>
      <c r="BD383" s="89"/>
      <c r="BE383" s="141"/>
      <c r="BF383" s="176"/>
      <c r="BG383" s="176"/>
      <c r="BH383" s="176"/>
      <c r="BI383" s="176"/>
    </row>
    <row r="384" spans="1:61" s="90" customFormat="1">
      <c r="A384" s="83"/>
      <c r="B384" s="85"/>
      <c r="C384" s="84"/>
      <c r="D384" s="112"/>
      <c r="E384" s="112"/>
      <c r="F384" s="112"/>
      <c r="G384" s="85"/>
      <c r="H384" s="120"/>
      <c r="I384" s="280"/>
      <c r="J384" s="120"/>
      <c r="K384" s="120" t="str">
        <f t="shared" si="26"/>
        <v/>
      </c>
      <c r="L384" s="287"/>
      <c r="M384" s="91"/>
      <c r="N384" s="99"/>
      <c r="O384" s="116"/>
      <c r="P384" s="86"/>
      <c r="Q384" s="92"/>
      <c r="R384" s="120">
        <f t="shared" si="27"/>
        <v>0</v>
      </c>
      <c r="S384" s="93"/>
      <c r="T384" s="117"/>
      <c r="U384" s="117"/>
      <c r="V384" s="85"/>
      <c r="W384" s="146"/>
      <c r="X384" s="137"/>
      <c r="Y384" s="137"/>
      <c r="Z384" s="137"/>
      <c r="AA384" s="137"/>
      <c r="AB384" s="137"/>
      <c r="AC384" s="137"/>
      <c r="AD384" s="137"/>
      <c r="AE384" s="137"/>
      <c r="AF384" s="141"/>
      <c r="AG384" s="146"/>
      <c r="AH384" s="146"/>
      <c r="AI384" s="146"/>
      <c r="AJ384" s="146"/>
      <c r="AK384" s="146"/>
      <c r="AL384" s="81"/>
      <c r="AM384" s="81"/>
      <c r="AN384" s="152"/>
      <c r="AO384" s="152"/>
      <c r="AP384" s="152"/>
      <c r="AQ384" s="152"/>
      <c r="AR384" s="81"/>
      <c r="AS384" s="81"/>
      <c r="AT384" s="82"/>
      <c r="AU384" s="82"/>
      <c r="AV384" s="176"/>
      <c r="AW384" s="89"/>
      <c r="AX384" s="89"/>
      <c r="AY384" s="89"/>
      <c r="AZ384" s="89"/>
      <c r="BA384" s="89"/>
      <c r="BB384" s="89"/>
      <c r="BC384" s="89"/>
      <c r="BD384" s="89"/>
      <c r="BE384" s="141"/>
      <c r="BF384" s="176"/>
      <c r="BG384" s="176"/>
      <c r="BH384" s="176"/>
      <c r="BI384" s="176"/>
    </row>
    <row r="385" spans="1:61" s="90" customFormat="1">
      <c r="A385" s="83"/>
      <c r="B385" s="85"/>
      <c r="C385" s="84"/>
      <c r="D385" s="112"/>
      <c r="E385" s="112"/>
      <c r="F385" s="112"/>
      <c r="G385" s="85"/>
      <c r="H385" s="120"/>
      <c r="I385" s="280"/>
      <c r="J385" s="120"/>
      <c r="K385" s="120" t="str">
        <f t="shared" si="26"/>
        <v/>
      </c>
      <c r="L385" s="287"/>
      <c r="M385" s="91"/>
      <c r="N385" s="99"/>
      <c r="O385" s="116"/>
      <c r="P385" s="86"/>
      <c r="Q385" s="92"/>
      <c r="R385" s="120">
        <f t="shared" si="27"/>
        <v>0</v>
      </c>
      <c r="S385" s="93"/>
      <c r="T385" s="117"/>
      <c r="U385" s="117"/>
      <c r="V385" s="85"/>
      <c r="W385" s="146"/>
      <c r="X385" s="137"/>
      <c r="Y385" s="137"/>
      <c r="Z385" s="137"/>
      <c r="AA385" s="137"/>
      <c r="AB385" s="137"/>
      <c r="AC385" s="137"/>
      <c r="AD385" s="137"/>
      <c r="AE385" s="137"/>
      <c r="AF385" s="141"/>
      <c r="AG385" s="146"/>
      <c r="AH385" s="146"/>
      <c r="AI385" s="146"/>
      <c r="AJ385" s="146"/>
      <c r="AK385" s="146"/>
      <c r="AL385" s="81"/>
      <c r="AM385" s="81"/>
      <c r="AN385" s="152"/>
      <c r="AO385" s="152"/>
      <c r="AP385" s="152"/>
      <c r="AQ385" s="152"/>
      <c r="AR385" s="81"/>
      <c r="AS385" s="81"/>
      <c r="AT385" s="82"/>
      <c r="AU385" s="82"/>
      <c r="AV385" s="176"/>
      <c r="AW385" s="89"/>
      <c r="AX385" s="89"/>
      <c r="AY385" s="89"/>
      <c r="AZ385" s="89"/>
      <c r="BA385" s="89"/>
      <c r="BB385" s="89"/>
      <c r="BC385" s="89"/>
      <c r="BD385" s="89"/>
      <c r="BE385" s="141"/>
      <c r="BF385" s="176"/>
      <c r="BG385" s="176"/>
      <c r="BH385" s="176"/>
      <c r="BI385" s="176"/>
    </row>
    <row r="386" spans="1:61" s="90" customFormat="1">
      <c r="A386" s="83"/>
      <c r="B386" s="85"/>
      <c r="C386" s="84"/>
      <c r="D386" s="112"/>
      <c r="E386" s="112"/>
      <c r="F386" s="112"/>
      <c r="G386" s="85"/>
      <c r="H386" s="120"/>
      <c r="I386" s="280"/>
      <c r="J386" s="120"/>
      <c r="K386" s="120" t="str">
        <f t="shared" si="26"/>
        <v/>
      </c>
      <c r="L386" s="287"/>
      <c r="M386" s="91"/>
      <c r="N386" s="99"/>
      <c r="O386" s="116"/>
      <c r="P386" s="86"/>
      <c r="Q386" s="92"/>
      <c r="R386" s="120">
        <f t="shared" si="27"/>
        <v>0</v>
      </c>
      <c r="S386" s="93"/>
      <c r="T386" s="117"/>
      <c r="U386" s="117"/>
      <c r="V386" s="85"/>
      <c r="W386" s="146"/>
      <c r="X386" s="137"/>
      <c r="Y386" s="137"/>
      <c r="Z386" s="137"/>
      <c r="AA386" s="137"/>
      <c r="AB386" s="137"/>
      <c r="AC386" s="137"/>
      <c r="AD386" s="137"/>
      <c r="AE386" s="137"/>
      <c r="AF386" s="141"/>
      <c r="AG386" s="146"/>
      <c r="AH386" s="146"/>
      <c r="AI386" s="146"/>
      <c r="AJ386" s="146"/>
      <c r="AK386" s="146"/>
      <c r="AL386" s="81"/>
      <c r="AM386" s="81"/>
      <c r="AN386" s="152"/>
      <c r="AO386" s="152"/>
      <c r="AP386" s="152"/>
      <c r="AQ386" s="152"/>
      <c r="AR386" s="81"/>
      <c r="AS386" s="81"/>
      <c r="AT386" s="82"/>
      <c r="AU386" s="82"/>
      <c r="AV386" s="176"/>
      <c r="AW386" s="89"/>
      <c r="AX386" s="89"/>
      <c r="AY386" s="89"/>
      <c r="AZ386" s="89"/>
      <c r="BA386" s="89"/>
      <c r="BB386" s="89"/>
      <c r="BC386" s="89"/>
      <c r="BD386" s="89"/>
      <c r="BE386" s="141"/>
      <c r="BF386" s="176"/>
      <c r="BG386" s="176"/>
      <c r="BH386" s="176"/>
      <c r="BI386" s="176"/>
    </row>
    <row r="387" spans="1:61" s="90" customFormat="1">
      <c r="A387" s="83"/>
      <c r="B387" s="85"/>
      <c r="C387" s="84"/>
      <c r="D387" s="112"/>
      <c r="E387" s="112"/>
      <c r="F387" s="112"/>
      <c r="G387" s="85"/>
      <c r="H387" s="120"/>
      <c r="I387" s="280"/>
      <c r="J387" s="120"/>
      <c r="K387" s="120" t="str">
        <f t="shared" si="26"/>
        <v/>
      </c>
      <c r="L387" s="287"/>
      <c r="M387" s="91"/>
      <c r="N387" s="99"/>
      <c r="O387" s="116"/>
      <c r="P387" s="86"/>
      <c r="Q387" s="92"/>
      <c r="R387" s="120">
        <f t="shared" si="27"/>
        <v>0</v>
      </c>
      <c r="S387" s="93"/>
      <c r="T387" s="117"/>
      <c r="U387" s="117"/>
      <c r="V387" s="85"/>
      <c r="W387" s="146"/>
      <c r="X387" s="137"/>
      <c r="Y387" s="137"/>
      <c r="Z387" s="137"/>
      <c r="AA387" s="137"/>
      <c r="AB387" s="137"/>
      <c r="AC387" s="137"/>
      <c r="AD387" s="137"/>
      <c r="AE387" s="137"/>
      <c r="AF387" s="141"/>
      <c r="AG387" s="146"/>
      <c r="AH387" s="146"/>
      <c r="AI387" s="146"/>
      <c r="AJ387" s="146"/>
      <c r="AK387" s="146"/>
      <c r="AL387" s="81"/>
      <c r="AM387" s="81"/>
      <c r="AN387" s="152"/>
      <c r="AO387" s="152"/>
      <c r="AP387" s="152"/>
      <c r="AQ387" s="152"/>
      <c r="AR387" s="81"/>
      <c r="AS387" s="81"/>
      <c r="AT387" s="82"/>
      <c r="AU387" s="82"/>
      <c r="AV387" s="176"/>
      <c r="AW387" s="89"/>
      <c r="AX387" s="89"/>
      <c r="AY387" s="89"/>
      <c r="AZ387" s="89"/>
      <c r="BA387" s="89"/>
      <c r="BB387" s="89"/>
      <c r="BC387" s="89"/>
      <c r="BD387" s="89"/>
      <c r="BE387" s="141"/>
      <c r="BF387" s="176"/>
      <c r="BG387" s="176"/>
      <c r="BH387" s="176"/>
      <c r="BI387" s="176"/>
    </row>
    <row r="388" spans="1:61" s="90" customFormat="1">
      <c r="A388" s="83"/>
      <c r="B388" s="85"/>
      <c r="C388" s="84"/>
      <c r="D388" s="112"/>
      <c r="E388" s="112"/>
      <c r="F388" s="112"/>
      <c r="G388" s="85"/>
      <c r="H388" s="120"/>
      <c r="I388" s="280"/>
      <c r="J388" s="120"/>
      <c r="K388" s="120" t="str">
        <f t="shared" ref="K388:K451" si="28">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287"/>
      <c r="M388" s="91"/>
      <c r="N388" s="99"/>
      <c r="O388" s="116"/>
      <c r="P388" s="86"/>
      <c r="Q388" s="92"/>
      <c r="R388" s="120">
        <f t="shared" si="27"/>
        <v>0</v>
      </c>
      <c r="S388" s="93"/>
      <c r="T388" s="117"/>
      <c r="U388" s="117"/>
      <c r="V388" s="85"/>
      <c r="W388" s="146"/>
      <c r="X388" s="137"/>
      <c r="Y388" s="137"/>
      <c r="Z388" s="137"/>
      <c r="AA388" s="137"/>
      <c r="AB388" s="137"/>
      <c r="AC388" s="137"/>
      <c r="AD388" s="137"/>
      <c r="AE388" s="137"/>
      <c r="AF388" s="141"/>
      <c r="AG388" s="146"/>
      <c r="AH388" s="146"/>
      <c r="AI388" s="146"/>
      <c r="AJ388" s="146"/>
      <c r="AK388" s="146"/>
      <c r="AL388" s="81"/>
      <c r="AM388" s="81"/>
      <c r="AN388" s="152"/>
      <c r="AO388" s="152"/>
      <c r="AP388" s="152"/>
      <c r="AQ388" s="152"/>
      <c r="AR388" s="81"/>
      <c r="AS388" s="81"/>
      <c r="AT388" s="82"/>
      <c r="AU388" s="82"/>
      <c r="AV388" s="176"/>
      <c r="AW388" s="89"/>
      <c r="AX388" s="89"/>
      <c r="AY388" s="89"/>
      <c r="AZ388" s="89"/>
      <c r="BA388" s="89"/>
      <c r="BB388" s="89"/>
      <c r="BC388" s="89"/>
      <c r="BD388" s="89"/>
      <c r="BE388" s="141"/>
      <c r="BF388" s="176"/>
      <c r="BG388" s="176"/>
      <c r="BH388" s="176"/>
      <c r="BI388" s="176"/>
    </row>
    <row r="389" spans="1:61" s="90" customFormat="1">
      <c r="A389" s="83"/>
      <c r="B389" s="85"/>
      <c r="C389" s="84"/>
      <c r="D389" s="112"/>
      <c r="E389" s="112"/>
      <c r="F389" s="112"/>
      <c r="G389" s="85"/>
      <c r="H389" s="120"/>
      <c r="I389" s="280"/>
      <c r="J389" s="120"/>
      <c r="K389" s="120" t="str">
        <f t="shared" si="28"/>
        <v/>
      </c>
      <c r="L389" s="287"/>
      <c r="M389" s="91"/>
      <c r="N389" s="99"/>
      <c r="O389" s="116"/>
      <c r="P389" s="86"/>
      <c r="Q389" s="92"/>
      <c r="R389" s="120">
        <f t="shared" ref="R389:R452" si="29">IFERROR(SUM(F389-D389),"NA")</f>
        <v>0</v>
      </c>
      <c r="S389" s="93"/>
      <c r="T389" s="117"/>
      <c r="U389" s="117"/>
      <c r="V389" s="85"/>
      <c r="W389" s="146"/>
      <c r="X389" s="137"/>
      <c r="Y389" s="137"/>
      <c r="Z389" s="137"/>
      <c r="AA389" s="137"/>
      <c r="AB389" s="137"/>
      <c r="AC389" s="137"/>
      <c r="AD389" s="137"/>
      <c r="AE389" s="137"/>
      <c r="AF389" s="141"/>
      <c r="AG389" s="146"/>
      <c r="AH389" s="146"/>
      <c r="AI389" s="146"/>
      <c r="AJ389" s="146"/>
      <c r="AK389" s="146"/>
      <c r="AL389" s="81"/>
      <c r="AM389" s="81"/>
      <c r="AN389" s="152"/>
      <c r="AO389" s="152"/>
      <c r="AP389" s="152"/>
      <c r="AQ389" s="152"/>
      <c r="AR389" s="81"/>
      <c r="AS389" s="81"/>
      <c r="AT389" s="82"/>
      <c r="AU389" s="82"/>
      <c r="AV389" s="176"/>
      <c r="AW389" s="89"/>
      <c r="AX389" s="89"/>
      <c r="AY389" s="89"/>
      <c r="AZ389" s="89"/>
      <c r="BA389" s="89"/>
      <c r="BB389" s="89"/>
      <c r="BC389" s="89"/>
      <c r="BD389" s="89"/>
      <c r="BE389" s="141"/>
      <c r="BF389" s="176"/>
      <c r="BG389" s="176"/>
      <c r="BH389" s="176"/>
      <c r="BI389" s="176"/>
    </row>
    <row r="390" spans="1:61" s="90" customFormat="1">
      <c r="A390" s="83"/>
      <c r="B390" s="85"/>
      <c r="C390" s="84"/>
      <c r="D390" s="112"/>
      <c r="E390" s="112"/>
      <c r="F390" s="112"/>
      <c r="G390" s="85"/>
      <c r="H390" s="120"/>
      <c r="I390" s="280"/>
      <c r="J390" s="120"/>
      <c r="K390" s="120" t="str">
        <f t="shared" si="28"/>
        <v/>
      </c>
      <c r="L390" s="287"/>
      <c r="M390" s="91"/>
      <c r="N390" s="99"/>
      <c r="O390" s="116"/>
      <c r="P390" s="86"/>
      <c r="Q390" s="92"/>
      <c r="R390" s="120">
        <f t="shared" si="29"/>
        <v>0</v>
      </c>
      <c r="S390" s="93"/>
      <c r="T390" s="117"/>
      <c r="U390" s="117"/>
      <c r="V390" s="85"/>
      <c r="W390" s="146"/>
      <c r="X390" s="137"/>
      <c r="Y390" s="137"/>
      <c r="Z390" s="137"/>
      <c r="AA390" s="137"/>
      <c r="AB390" s="137"/>
      <c r="AC390" s="137"/>
      <c r="AD390" s="137"/>
      <c r="AE390" s="137"/>
      <c r="AF390" s="141"/>
      <c r="AG390" s="146"/>
      <c r="AH390" s="146"/>
      <c r="AI390" s="146"/>
      <c r="AJ390" s="146"/>
      <c r="AK390" s="146"/>
      <c r="AL390" s="81"/>
      <c r="AM390" s="81"/>
      <c r="AN390" s="152"/>
      <c r="AO390" s="152"/>
      <c r="AP390" s="152"/>
      <c r="AQ390" s="152"/>
      <c r="AR390" s="81"/>
      <c r="AS390" s="81"/>
      <c r="AT390" s="82"/>
      <c r="AU390" s="82"/>
      <c r="AV390" s="176"/>
      <c r="AW390" s="89"/>
      <c r="AX390" s="89"/>
      <c r="AY390" s="89"/>
      <c r="AZ390" s="89"/>
      <c r="BA390" s="89"/>
      <c r="BB390" s="89"/>
      <c r="BC390" s="89"/>
      <c r="BD390" s="89"/>
      <c r="BE390" s="141"/>
      <c r="BF390" s="176"/>
      <c r="BG390" s="176"/>
      <c r="BH390" s="176"/>
      <c r="BI390" s="176"/>
    </row>
    <row r="391" spans="1:61" s="90" customFormat="1">
      <c r="A391" s="83"/>
      <c r="B391" s="85"/>
      <c r="C391" s="84"/>
      <c r="D391" s="112"/>
      <c r="E391" s="112"/>
      <c r="F391" s="112"/>
      <c r="G391" s="85"/>
      <c r="H391" s="120"/>
      <c r="I391" s="280"/>
      <c r="J391" s="120"/>
      <c r="K391" s="120" t="str">
        <f t="shared" si="28"/>
        <v/>
      </c>
      <c r="L391" s="287"/>
      <c r="M391" s="91"/>
      <c r="N391" s="99"/>
      <c r="O391" s="116"/>
      <c r="P391" s="86"/>
      <c r="Q391" s="92"/>
      <c r="R391" s="120">
        <f t="shared" si="29"/>
        <v>0</v>
      </c>
      <c r="S391" s="93"/>
      <c r="T391" s="117"/>
      <c r="U391" s="117"/>
      <c r="V391" s="85"/>
      <c r="W391" s="146"/>
      <c r="X391" s="137"/>
      <c r="Y391" s="137"/>
      <c r="Z391" s="137"/>
      <c r="AA391" s="137"/>
      <c r="AB391" s="137"/>
      <c r="AC391" s="137"/>
      <c r="AD391" s="137"/>
      <c r="AE391" s="137"/>
      <c r="AF391" s="141"/>
      <c r="AG391" s="146"/>
      <c r="AH391" s="146"/>
      <c r="AI391" s="146"/>
      <c r="AJ391" s="146"/>
      <c r="AK391" s="146"/>
      <c r="AL391" s="81"/>
      <c r="AM391" s="81"/>
      <c r="AN391" s="152"/>
      <c r="AO391" s="152"/>
      <c r="AP391" s="152"/>
      <c r="AQ391" s="152"/>
      <c r="AR391" s="81"/>
      <c r="AS391" s="81"/>
      <c r="AT391" s="82"/>
      <c r="AU391" s="82"/>
      <c r="AV391" s="176"/>
      <c r="AW391" s="89"/>
      <c r="AX391" s="89"/>
      <c r="AY391" s="89"/>
      <c r="AZ391" s="89"/>
      <c r="BA391" s="89"/>
      <c r="BB391" s="89"/>
      <c r="BC391" s="89"/>
      <c r="BD391" s="89"/>
      <c r="BE391" s="141"/>
      <c r="BF391" s="176"/>
      <c r="BG391" s="176"/>
      <c r="BH391" s="176"/>
      <c r="BI391" s="176"/>
    </row>
    <row r="392" spans="1:61" s="90" customFormat="1">
      <c r="A392" s="83"/>
      <c r="B392" s="85"/>
      <c r="C392" s="84"/>
      <c r="D392" s="112"/>
      <c r="E392" s="112"/>
      <c r="F392" s="112"/>
      <c r="G392" s="85"/>
      <c r="H392" s="120"/>
      <c r="I392" s="280"/>
      <c r="J392" s="120"/>
      <c r="K392" s="120" t="str">
        <f t="shared" si="28"/>
        <v/>
      </c>
      <c r="L392" s="287"/>
      <c r="M392" s="91"/>
      <c r="N392" s="99"/>
      <c r="O392" s="116"/>
      <c r="P392" s="86"/>
      <c r="Q392" s="92"/>
      <c r="R392" s="120">
        <f t="shared" si="29"/>
        <v>0</v>
      </c>
      <c r="S392" s="93"/>
      <c r="T392" s="117"/>
      <c r="U392" s="117"/>
      <c r="V392" s="85"/>
      <c r="W392" s="146"/>
      <c r="X392" s="137"/>
      <c r="Y392" s="137"/>
      <c r="Z392" s="137"/>
      <c r="AA392" s="137"/>
      <c r="AB392" s="137"/>
      <c r="AC392" s="137"/>
      <c r="AD392" s="137"/>
      <c r="AE392" s="137"/>
      <c r="AF392" s="141"/>
      <c r="AG392" s="146"/>
      <c r="AH392" s="146"/>
      <c r="AI392" s="146"/>
      <c r="AJ392" s="146"/>
      <c r="AK392" s="146"/>
      <c r="AL392" s="81"/>
      <c r="AM392" s="81"/>
      <c r="AN392" s="152"/>
      <c r="AO392" s="152"/>
      <c r="AP392" s="152"/>
      <c r="AQ392" s="152"/>
      <c r="AR392" s="81"/>
      <c r="AS392" s="81"/>
      <c r="AT392" s="82"/>
      <c r="AU392" s="82"/>
      <c r="AV392" s="176"/>
      <c r="AW392" s="89"/>
      <c r="AX392" s="89"/>
      <c r="AY392" s="89"/>
      <c r="AZ392" s="89"/>
      <c r="BA392" s="89"/>
      <c r="BB392" s="89"/>
      <c r="BC392" s="89"/>
      <c r="BD392" s="89"/>
      <c r="BE392" s="141"/>
      <c r="BF392" s="176"/>
      <c r="BG392" s="176"/>
      <c r="BH392" s="176"/>
      <c r="BI392" s="176"/>
    </row>
    <row r="393" spans="1:61" s="90" customFormat="1">
      <c r="A393" s="83"/>
      <c r="B393" s="85"/>
      <c r="C393" s="84"/>
      <c r="D393" s="112"/>
      <c r="E393" s="112"/>
      <c r="F393" s="112"/>
      <c r="G393" s="85"/>
      <c r="H393" s="120"/>
      <c r="I393" s="280"/>
      <c r="J393" s="120"/>
      <c r="K393" s="120" t="str">
        <f t="shared" si="28"/>
        <v/>
      </c>
      <c r="L393" s="287"/>
      <c r="M393" s="91"/>
      <c r="N393" s="99"/>
      <c r="O393" s="116"/>
      <c r="P393" s="86"/>
      <c r="Q393" s="92"/>
      <c r="R393" s="120">
        <f t="shared" si="29"/>
        <v>0</v>
      </c>
      <c r="S393" s="93"/>
      <c r="T393" s="117"/>
      <c r="U393" s="117"/>
      <c r="V393" s="85"/>
      <c r="W393" s="146"/>
      <c r="X393" s="137"/>
      <c r="Y393" s="137"/>
      <c r="Z393" s="137"/>
      <c r="AA393" s="137"/>
      <c r="AB393" s="137"/>
      <c r="AC393" s="137"/>
      <c r="AD393" s="137"/>
      <c r="AE393" s="137"/>
      <c r="AF393" s="141"/>
      <c r="AG393" s="146"/>
      <c r="AH393" s="146"/>
      <c r="AI393" s="146"/>
      <c r="AJ393" s="146"/>
      <c r="AK393" s="146"/>
      <c r="AL393" s="81"/>
      <c r="AM393" s="81"/>
      <c r="AN393" s="152"/>
      <c r="AO393" s="152"/>
      <c r="AP393" s="152"/>
      <c r="AQ393" s="152"/>
      <c r="AR393" s="81"/>
      <c r="AS393" s="81"/>
      <c r="AT393" s="82"/>
      <c r="AU393" s="82"/>
      <c r="AV393" s="176"/>
      <c r="AW393" s="89"/>
      <c r="AX393" s="89"/>
      <c r="AY393" s="89"/>
      <c r="AZ393" s="89"/>
      <c r="BA393" s="89"/>
      <c r="BB393" s="89"/>
      <c r="BC393" s="89"/>
      <c r="BD393" s="89"/>
      <c r="BE393" s="141"/>
      <c r="BF393" s="176"/>
      <c r="BG393" s="176"/>
      <c r="BH393" s="176"/>
      <c r="BI393" s="176"/>
    </row>
    <row r="394" spans="1:61" s="90" customFormat="1">
      <c r="A394" s="83"/>
      <c r="B394" s="85"/>
      <c r="C394" s="84"/>
      <c r="D394" s="112"/>
      <c r="E394" s="112"/>
      <c r="F394" s="112"/>
      <c r="G394" s="85"/>
      <c r="H394" s="120"/>
      <c r="I394" s="280"/>
      <c r="J394" s="120"/>
      <c r="K394" s="120" t="str">
        <f t="shared" si="28"/>
        <v/>
      </c>
      <c r="L394" s="287"/>
      <c r="M394" s="91"/>
      <c r="N394" s="99"/>
      <c r="O394" s="116"/>
      <c r="P394" s="86"/>
      <c r="Q394" s="92"/>
      <c r="R394" s="120">
        <f t="shared" si="29"/>
        <v>0</v>
      </c>
      <c r="S394" s="93"/>
      <c r="T394" s="117"/>
      <c r="U394" s="117"/>
      <c r="V394" s="85"/>
      <c r="W394" s="146"/>
      <c r="X394" s="137"/>
      <c r="Y394" s="137"/>
      <c r="Z394" s="137"/>
      <c r="AA394" s="137"/>
      <c r="AB394" s="137"/>
      <c r="AC394" s="137"/>
      <c r="AD394" s="137"/>
      <c r="AE394" s="137"/>
      <c r="AF394" s="141"/>
      <c r="AG394" s="146"/>
      <c r="AH394" s="146"/>
      <c r="AI394" s="146"/>
      <c r="AJ394" s="146"/>
      <c r="AK394" s="146"/>
      <c r="AL394" s="81"/>
      <c r="AM394" s="81"/>
      <c r="AN394" s="152"/>
      <c r="AO394" s="152"/>
      <c r="AP394" s="152"/>
      <c r="AQ394" s="152"/>
      <c r="AR394" s="81"/>
      <c r="AS394" s="81"/>
      <c r="AT394" s="82"/>
      <c r="AU394" s="82"/>
      <c r="AV394" s="176"/>
      <c r="AW394" s="89"/>
      <c r="AX394" s="89"/>
      <c r="AY394" s="89"/>
      <c r="AZ394" s="89"/>
      <c r="BA394" s="89"/>
      <c r="BB394" s="89"/>
      <c r="BC394" s="89"/>
      <c r="BD394" s="89"/>
      <c r="BE394" s="141"/>
      <c r="BF394" s="176"/>
      <c r="BG394" s="176"/>
      <c r="BH394" s="176"/>
      <c r="BI394" s="176"/>
    </row>
    <row r="395" spans="1:61" s="90" customFormat="1">
      <c r="A395" s="83"/>
      <c r="B395" s="85"/>
      <c r="C395" s="84"/>
      <c r="D395" s="112"/>
      <c r="E395" s="112"/>
      <c r="F395" s="112"/>
      <c r="G395" s="85"/>
      <c r="H395" s="120"/>
      <c r="I395" s="280"/>
      <c r="J395" s="120"/>
      <c r="K395" s="120" t="str">
        <f t="shared" si="28"/>
        <v/>
      </c>
      <c r="L395" s="287"/>
      <c r="M395" s="91"/>
      <c r="N395" s="99"/>
      <c r="O395" s="116"/>
      <c r="P395" s="86"/>
      <c r="Q395" s="92"/>
      <c r="R395" s="120">
        <f t="shared" si="29"/>
        <v>0</v>
      </c>
      <c r="S395" s="93"/>
      <c r="T395" s="117"/>
      <c r="U395" s="117"/>
      <c r="V395" s="85"/>
      <c r="W395" s="146"/>
      <c r="X395" s="137"/>
      <c r="Y395" s="137"/>
      <c r="Z395" s="137"/>
      <c r="AA395" s="137"/>
      <c r="AB395" s="137"/>
      <c r="AC395" s="137"/>
      <c r="AD395" s="137"/>
      <c r="AE395" s="137"/>
      <c r="AF395" s="141"/>
      <c r="AG395" s="146"/>
      <c r="AH395" s="146"/>
      <c r="AI395" s="146"/>
      <c r="AJ395" s="146"/>
      <c r="AK395" s="146"/>
      <c r="AL395" s="81"/>
      <c r="AM395" s="81"/>
      <c r="AN395" s="152"/>
      <c r="AO395" s="152"/>
      <c r="AP395" s="152"/>
      <c r="AQ395" s="152"/>
      <c r="AR395" s="81"/>
      <c r="AS395" s="81"/>
      <c r="AT395" s="82"/>
      <c r="AU395" s="82"/>
      <c r="AV395" s="176"/>
      <c r="AW395" s="89"/>
      <c r="AX395" s="89"/>
      <c r="AY395" s="89"/>
      <c r="AZ395" s="89"/>
      <c r="BA395" s="89"/>
      <c r="BB395" s="89"/>
      <c r="BC395" s="89"/>
      <c r="BD395" s="89"/>
      <c r="BE395" s="141"/>
      <c r="BF395" s="176"/>
      <c r="BG395" s="176"/>
      <c r="BH395" s="176"/>
      <c r="BI395" s="176"/>
    </row>
    <row r="396" spans="1:61" s="90" customFormat="1">
      <c r="A396" s="83"/>
      <c r="B396" s="85"/>
      <c r="C396" s="84"/>
      <c r="D396" s="112"/>
      <c r="E396" s="112"/>
      <c r="F396" s="112"/>
      <c r="G396" s="85"/>
      <c r="H396" s="120"/>
      <c r="I396" s="280"/>
      <c r="J396" s="120"/>
      <c r="K396" s="120" t="str">
        <f t="shared" si="28"/>
        <v/>
      </c>
      <c r="L396" s="287"/>
      <c r="M396" s="91"/>
      <c r="N396" s="99"/>
      <c r="O396" s="116"/>
      <c r="P396" s="86"/>
      <c r="Q396" s="92"/>
      <c r="R396" s="120">
        <f t="shared" si="29"/>
        <v>0</v>
      </c>
      <c r="S396" s="93"/>
      <c r="T396" s="117"/>
      <c r="U396" s="117"/>
      <c r="V396" s="85"/>
      <c r="W396" s="146"/>
      <c r="X396" s="137"/>
      <c r="Y396" s="137"/>
      <c r="Z396" s="137"/>
      <c r="AA396" s="137"/>
      <c r="AB396" s="137"/>
      <c r="AC396" s="137"/>
      <c r="AD396" s="137"/>
      <c r="AE396" s="137"/>
      <c r="AF396" s="141"/>
      <c r="AG396" s="146"/>
      <c r="AH396" s="146"/>
      <c r="AI396" s="146"/>
      <c r="AJ396" s="146"/>
      <c r="AK396" s="146"/>
      <c r="AL396" s="81"/>
      <c r="AM396" s="81"/>
      <c r="AN396" s="152"/>
      <c r="AO396" s="152"/>
      <c r="AP396" s="152"/>
      <c r="AQ396" s="152"/>
      <c r="AR396" s="81"/>
      <c r="AS396" s="81"/>
      <c r="AT396" s="82"/>
      <c r="AU396" s="82"/>
      <c r="AV396" s="176"/>
      <c r="AW396" s="89"/>
      <c r="AX396" s="89"/>
      <c r="AY396" s="89"/>
      <c r="AZ396" s="89"/>
      <c r="BA396" s="89"/>
      <c r="BB396" s="89"/>
      <c r="BC396" s="89"/>
      <c r="BD396" s="89"/>
      <c r="BE396" s="141"/>
      <c r="BF396" s="176"/>
      <c r="BG396" s="176"/>
      <c r="BH396" s="176"/>
      <c r="BI396" s="176"/>
    </row>
    <row r="397" spans="1:61" s="90" customFormat="1">
      <c r="A397" s="83"/>
      <c r="B397" s="85"/>
      <c r="C397" s="84"/>
      <c r="D397" s="112"/>
      <c r="E397" s="112"/>
      <c r="F397" s="112"/>
      <c r="G397" s="85"/>
      <c r="H397" s="120"/>
      <c r="I397" s="280"/>
      <c r="J397" s="120"/>
      <c r="K397" s="120" t="str">
        <f t="shared" si="28"/>
        <v/>
      </c>
      <c r="L397" s="287"/>
      <c r="M397" s="91"/>
      <c r="N397" s="99"/>
      <c r="O397" s="116"/>
      <c r="P397" s="86"/>
      <c r="Q397" s="92"/>
      <c r="R397" s="120">
        <f t="shared" si="29"/>
        <v>0</v>
      </c>
      <c r="S397" s="93"/>
      <c r="T397" s="117"/>
      <c r="U397" s="117"/>
      <c r="V397" s="85"/>
      <c r="W397" s="146"/>
      <c r="X397" s="137"/>
      <c r="Y397" s="137"/>
      <c r="Z397" s="137"/>
      <c r="AA397" s="137"/>
      <c r="AB397" s="137"/>
      <c r="AC397" s="137"/>
      <c r="AD397" s="137"/>
      <c r="AE397" s="137"/>
      <c r="AF397" s="141"/>
      <c r="AG397" s="146"/>
      <c r="AH397" s="146"/>
      <c r="AI397" s="146"/>
      <c r="AJ397" s="146"/>
      <c r="AK397" s="146"/>
      <c r="AL397" s="81"/>
      <c r="AM397" s="81"/>
      <c r="AN397" s="152"/>
      <c r="AO397" s="152"/>
      <c r="AP397" s="152"/>
      <c r="AQ397" s="152"/>
      <c r="AR397" s="81"/>
      <c r="AS397" s="81"/>
      <c r="AT397" s="82"/>
      <c r="AU397" s="82"/>
      <c r="AV397" s="176"/>
      <c r="AW397" s="89"/>
      <c r="AX397" s="89"/>
      <c r="AY397" s="89"/>
      <c r="AZ397" s="89"/>
      <c r="BA397" s="89"/>
      <c r="BB397" s="89"/>
      <c r="BC397" s="89"/>
      <c r="BD397" s="89"/>
      <c r="BE397" s="141"/>
      <c r="BF397" s="176"/>
      <c r="BG397" s="176"/>
      <c r="BH397" s="176"/>
      <c r="BI397" s="176"/>
    </row>
    <row r="398" spans="1:61" s="90" customFormat="1">
      <c r="A398" s="83"/>
      <c r="B398" s="85"/>
      <c r="C398" s="84"/>
      <c r="D398" s="112"/>
      <c r="E398" s="112"/>
      <c r="F398" s="112"/>
      <c r="G398" s="85"/>
      <c r="H398" s="120"/>
      <c r="I398" s="280"/>
      <c r="J398" s="120"/>
      <c r="K398" s="120" t="str">
        <f t="shared" si="28"/>
        <v/>
      </c>
      <c r="L398" s="287"/>
      <c r="M398" s="91"/>
      <c r="N398" s="99"/>
      <c r="O398" s="116"/>
      <c r="P398" s="86"/>
      <c r="Q398" s="92"/>
      <c r="R398" s="120">
        <f t="shared" si="29"/>
        <v>0</v>
      </c>
      <c r="S398" s="93"/>
      <c r="T398" s="117"/>
      <c r="U398" s="117"/>
      <c r="V398" s="85"/>
      <c r="W398" s="146"/>
      <c r="X398" s="137"/>
      <c r="Y398" s="137"/>
      <c r="Z398" s="137"/>
      <c r="AA398" s="137"/>
      <c r="AB398" s="137"/>
      <c r="AC398" s="137"/>
      <c r="AD398" s="137"/>
      <c r="AE398" s="137"/>
      <c r="AF398" s="141"/>
      <c r="AG398" s="146"/>
      <c r="AH398" s="146"/>
      <c r="AI398" s="146"/>
      <c r="AJ398" s="146"/>
      <c r="AK398" s="146"/>
      <c r="AL398" s="81"/>
      <c r="AM398" s="81"/>
      <c r="AN398" s="152"/>
      <c r="AO398" s="152"/>
      <c r="AP398" s="152"/>
      <c r="AQ398" s="152"/>
      <c r="AR398" s="81"/>
      <c r="AS398" s="81"/>
      <c r="AT398" s="82"/>
      <c r="AU398" s="82"/>
      <c r="AV398" s="176"/>
      <c r="AW398" s="89"/>
      <c r="AX398" s="89"/>
      <c r="AY398" s="89"/>
      <c r="AZ398" s="89"/>
      <c r="BA398" s="89"/>
      <c r="BB398" s="89"/>
      <c r="BC398" s="89"/>
      <c r="BD398" s="89"/>
      <c r="BE398" s="141"/>
      <c r="BF398" s="176"/>
      <c r="BG398" s="176"/>
      <c r="BH398" s="176"/>
      <c r="BI398" s="176"/>
    </row>
    <row r="399" spans="1:61" s="90" customFormat="1">
      <c r="A399" s="83"/>
      <c r="B399" s="85"/>
      <c r="C399" s="84"/>
      <c r="D399" s="112"/>
      <c r="E399" s="112"/>
      <c r="F399" s="112"/>
      <c r="G399" s="85"/>
      <c r="H399" s="120"/>
      <c r="I399" s="280"/>
      <c r="J399" s="120"/>
      <c r="K399" s="120" t="str">
        <f t="shared" si="28"/>
        <v/>
      </c>
      <c r="L399" s="287"/>
      <c r="M399" s="91"/>
      <c r="N399" s="99"/>
      <c r="O399" s="116"/>
      <c r="P399" s="86"/>
      <c r="Q399" s="92"/>
      <c r="R399" s="120">
        <f t="shared" si="29"/>
        <v>0</v>
      </c>
      <c r="S399" s="93"/>
      <c r="T399" s="117"/>
      <c r="U399" s="117"/>
      <c r="V399" s="85"/>
      <c r="W399" s="146"/>
      <c r="X399" s="137"/>
      <c r="Y399" s="137"/>
      <c r="Z399" s="137"/>
      <c r="AA399" s="137"/>
      <c r="AB399" s="137"/>
      <c r="AC399" s="137"/>
      <c r="AD399" s="137"/>
      <c r="AE399" s="137"/>
      <c r="AF399" s="141"/>
      <c r="AG399" s="146"/>
      <c r="AH399" s="146"/>
      <c r="AI399" s="146"/>
      <c r="AJ399" s="146"/>
      <c r="AK399" s="146"/>
      <c r="AL399" s="81"/>
      <c r="AM399" s="81"/>
      <c r="AN399" s="152"/>
      <c r="AO399" s="152"/>
      <c r="AP399" s="152"/>
      <c r="AQ399" s="152"/>
      <c r="AR399" s="81"/>
      <c r="AS399" s="81"/>
      <c r="AT399" s="82"/>
      <c r="AU399" s="82"/>
      <c r="AV399" s="176"/>
      <c r="AW399" s="89"/>
      <c r="AX399" s="89"/>
      <c r="AY399" s="89"/>
      <c r="AZ399" s="89"/>
      <c r="BA399" s="89"/>
      <c r="BB399" s="89"/>
      <c r="BC399" s="89"/>
      <c r="BD399" s="89"/>
      <c r="BE399" s="141"/>
      <c r="BF399" s="176"/>
      <c r="BG399" s="176"/>
      <c r="BH399" s="176"/>
      <c r="BI399" s="176"/>
    </row>
    <row r="400" spans="1:61" s="90" customFormat="1">
      <c r="A400" s="83"/>
      <c r="B400" s="85"/>
      <c r="C400" s="84"/>
      <c r="D400" s="112"/>
      <c r="E400" s="112"/>
      <c r="F400" s="112"/>
      <c r="G400" s="85"/>
      <c r="H400" s="120"/>
      <c r="I400" s="280"/>
      <c r="J400" s="120"/>
      <c r="K400" s="120" t="str">
        <f t="shared" si="28"/>
        <v/>
      </c>
      <c r="L400" s="287"/>
      <c r="M400" s="91"/>
      <c r="N400" s="99"/>
      <c r="O400" s="116"/>
      <c r="P400" s="86"/>
      <c r="Q400" s="92"/>
      <c r="R400" s="120">
        <f t="shared" si="29"/>
        <v>0</v>
      </c>
      <c r="S400" s="93"/>
      <c r="T400" s="117"/>
      <c r="U400" s="117"/>
      <c r="V400" s="85"/>
      <c r="W400" s="146"/>
      <c r="X400" s="137"/>
      <c r="Y400" s="137"/>
      <c r="Z400" s="137"/>
      <c r="AA400" s="137"/>
      <c r="AB400" s="137"/>
      <c r="AC400" s="137"/>
      <c r="AD400" s="137"/>
      <c r="AE400" s="137"/>
      <c r="AF400" s="141"/>
      <c r="AG400" s="146"/>
      <c r="AH400" s="146"/>
      <c r="AI400" s="146"/>
      <c r="AJ400" s="146"/>
      <c r="AK400" s="146"/>
      <c r="AL400" s="81"/>
      <c r="AM400" s="81"/>
      <c r="AN400" s="152"/>
      <c r="AO400" s="152"/>
      <c r="AP400" s="152"/>
      <c r="AQ400" s="152"/>
      <c r="AR400" s="81"/>
      <c r="AS400" s="81"/>
      <c r="AT400" s="82"/>
      <c r="AU400" s="82"/>
      <c r="AV400" s="176"/>
      <c r="AW400" s="89"/>
      <c r="AX400" s="89"/>
      <c r="AY400" s="89"/>
      <c r="AZ400" s="89"/>
      <c r="BA400" s="89"/>
      <c r="BB400" s="89"/>
      <c r="BC400" s="89"/>
      <c r="BD400" s="89"/>
      <c r="BE400" s="141"/>
      <c r="BF400" s="176"/>
      <c r="BG400" s="176"/>
      <c r="BH400" s="176"/>
      <c r="BI400" s="176"/>
    </row>
    <row r="401" spans="1:61" s="90" customFormat="1">
      <c r="A401" s="83"/>
      <c r="B401" s="85"/>
      <c r="C401" s="84"/>
      <c r="D401" s="112"/>
      <c r="E401" s="112"/>
      <c r="F401" s="112"/>
      <c r="G401" s="85"/>
      <c r="H401" s="120"/>
      <c r="I401" s="280"/>
      <c r="J401" s="120"/>
      <c r="K401" s="120" t="str">
        <f t="shared" si="28"/>
        <v/>
      </c>
      <c r="L401" s="287"/>
      <c r="M401" s="91"/>
      <c r="N401" s="87"/>
      <c r="O401" s="159"/>
      <c r="P401" s="86"/>
      <c r="Q401" s="92"/>
      <c r="R401" s="120">
        <f t="shared" si="29"/>
        <v>0</v>
      </c>
      <c r="S401" s="93"/>
      <c r="T401" s="117"/>
      <c r="U401" s="88"/>
      <c r="V401" s="85"/>
      <c r="W401" s="146"/>
      <c r="X401" s="137"/>
      <c r="Y401" s="137"/>
      <c r="Z401" s="137"/>
      <c r="AA401" s="137"/>
      <c r="AB401" s="137"/>
      <c r="AC401" s="137"/>
      <c r="AD401" s="137"/>
      <c r="AE401" s="137"/>
      <c r="AF401" s="141"/>
      <c r="AG401" s="146"/>
      <c r="AH401" s="146"/>
      <c r="AI401" s="146"/>
      <c r="AJ401" s="146"/>
      <c r="AK401" s="146"/>
      <c r="AL401" s="81"/>
      <c r="AM401" s="81"/>
      <c r="AN401" s="152"/>
      <c r="AO401" s="152"/>
      <c r="AP401" s="152"/>
      <c r="AQ401" s="152"/>
      <c r="AR401" s="81"/>
      <c r="AS401" s="81"/>
      <c r="AT401" s="82"/>
      <c r="AU401" s="82"/>
      <c r="AV401" s="176"/>
      <c r="AW401" s="89"/>
      <c r="AX401" s="89"/>
      <c r="AY401" s="89"/>
      <c r="AZ401" s="89"/>
      <c r="BA401" s="89"/>
      <c r="BB401" s="89"/>
      <c r="BC401" s="89"/>
      <c r="BD401" s="89"/>
      <c r="BE401" s="141"/>
      <c r="BF401" s="176"/>
      <c r="BG401" s="176"/>
      <c r="BH401" s="176"/>
      <c r="BI401" s="176"/>
    </row>
    <row r="402" spans="1:61" s="90" customFormat="1">
      <c r="A402" s="83"/>
      <c r="B402" s="85"/>
      <c r="C402" s="84"/>
      <c r="D402" s="112"/>
      <c r="E402" s="112"/>
      <c r="F402" s="112"/>
      <c r="G402" s="85"/>
      <c r="H402" s="120"/>
      <c r="I402" s="280"/>
      <c r="J402" s="120"/>
      <c r="K402" s="120" t="str">
        <f t="shared" si="28"/>
        <v/>
      </c>
      <c r="L402" s="287"/>
      <c r="M402" s="91"/>
      <c r="N402" s="87"/>
      <c r="O402" s="159"/>
      <c r="P402" s="86"/>
      <c r="Q402" s="92"/>
      <c r="R402" s="120">
        <f t="shared" si="29"/>
        <v>0</v>
      </c>
      <c r="S402" s="93"/>
      <c r="T402" s="117"/>
      <c r="U402" s="88"/>
      <c r="V402" s="85"/>
      <c r="W402" s="146"/>
      <c r="X402" s="137"/>
      <c r="Y402" s="137"/>
      <c r="Z402" s="137"/>
      <c r="AA402" s="137"/>
      <c r="AB402" s="137"/>
      <c r="AC402" s="137"/>
      <c r="AD402" s="137"/>
      <c r="AE402" s="137"/>
      <c r="AF402" s="141"/>
      <c r="AG402" s="146"/>
      <c r="AH402" s="146"/>
      <c r="AI402" s="146"/>
      <c r="AJ402" s="146"/>
      <c r="AK402" s="146"/>
      <c r="AL402" s="81"/>
      <c r="AM402" s="81"/>
      <c r="AN402" s="152"/>
      <c r="AO402" s="152"/>
      <c r="AP402" s="152"/>
      <c r="AQ402" s="152"/>
      <c r="AR402" s="81"/>
      <c r="AS402" s="81"/>
      <c r="AT402" s="82"/>
      <c r="AU402" s="82"/>
      <c r="AV402" s="176"/>
      <c r="AW402" s="89"/>
      <c r="AX402" s="89"/>
      <c r="AY402" s="89"/>
      <c r="AZ402" s="89"/>
      <c r="BA402" s="89"/>
      <c r="BB402" s="89"/>
      <c r="BC402" s="89"/>
      <c r="BD402" s="89"/>
      <c r="BE402" s="141"/>
      <c r="BF402" s="176"/>
      <c r="BG402" s="176"/>
      <c r="BH402" s="176"/>
      <c r="BI402" s="176"/>
    </row>
    <row r="403" spans="1:61" s="90" customFormat="1">
      <c r="A403" s="83"/>
      <c r="B403" s="85"/>
      <c r="C403" s="84"/>
      <c r="D403" s="112"/>
      <c r="E403" s="112"/>
      <c r="F403" s="112"/>
      <c r="G403" s="85"/>
      <c r="H403" s="120"/>
      <c r="I403" s="280"/>
      <c r="J403" s="120"/>
      <c r="K403" s="120" t="str">
        <f t="shared" si="28"/>
        <v/>
      </c>
      <c r="L403" s="287"/>
      <c r="M403" s="91"/>
      <c r="N403" s="87"/>
      <c r="O403" s="159"/>
      <c r="P403" s="86"/>
      <c r="Q403" s="92"/>
      <c r="R403" s="120">
        <f t="shared" si="29"/>
        <v>0</v>
      </c>
      <c r="S403" s="93"/>
      <c r="T403" s="117"/>
      <c r="U403" s="88"/>
      <c r="V403" s="85"/>
      <c r="W403" s="146"/>
      <c r="X403" s="137"/>
      <c r="Y403" s="137"/>
      <c r="Z403" s="137"/>
      <c r="AA403" s="137"/>
      <c r="AB403" s="137"/>
      <c r="AC403" s="137"/>
      <c r="AD403" s="137"/>
      <c r="AE403" s="137"/>
      <c r="AF403" s="141"/>
      <c r="AG403" s="146"/>
      <c r="AH403" s="146"/>
      <c r="AI403" s="146"/>
      <c r="AJ403" s="146"/>
      <c r="AK403" s="146"/>
      <c r="AL403" s="81"/>
      <c r="AM403" s="81"/>
      <c r="AN403" s="152"/>
      <c r="AO403" s="152"/>
      <c r="AP403" s="152"/>
      <c r="AQ403" s="152"/>
      <c r="AR403" s="81"/>
      <c r="AS403" s="81"/>
      <c r="AT403" s="82"/>
      <c r="AU403" s="82"/>
      <c r="AV403" s="176"/>
      <c r="AW403" s="89"/>
      <c r="AX403" s="89"/>
      <c r="AY403" s="89"/>
      <c r="AZ403" s="89"/>
      <c r="BA403" s="89"/>
      <c r="BB403" s="89"/>
      <c r="BC403" s="89"/>
      <c r="BD403" s="89"/>
      <c r="BE403" s="141"/>
      <c r="BF403" s="176"/>
      <c r="BG403" s="176"/>
      <c r="BH403" s="176"/>
      <c r="BI403" s="176"/>
    </row>
    <row r="404" spans="1:61" s="90" customFormat="1">
      <c r="A404" s="83"/>
      <c r="B404" s="85"/>
      <c r="C404" s="84"/>
      <c r="D404" s="112"/>
      <c r="E404" s="112"/>
      <c r="F404" s="112"/>
      <c r="G404" s="85"/>
      <c r="H404" s="120"/>
      <c r="I404" s="280"/>
      <c r="J404" s="120"/>
      <c r="K404" s="120" t="str">
        <f t="shared" si="28"/>
        <v/>
      </c>
      <c r="L404" s="287"/>
      <c r="M404" s="91"/>
      <c r="N404" s="87"/>
      <c r="O404" s="159"/>
      <c r="P404" s="86"/>
      <c r="Q404" s="92"/>
      <c r="R404" s="120">
        <f t="shared" si="29"/>
        <v>0</v>
      </c>
      <c r="S404" s="93"/>
      <c r="T404" s="117"/>
      <c r="U404" s="88"/>
      <c r="V404" s="85"/>
      <c r="W404" s="146"/>
      <c r="X404" s="137"/>
      <c r="Y404" s="137"/>
      <c r="Z404" s="137"/>
      <c r="AA404" s="137"/>
      <c r="AB404" s="137"/>
      <c r="AC404" s="137"/>
      <c r="AD404" s="137"/>
      <c r="AE404" s="137"/>
      <c r="AF404" s="141"/>
      <c r="AG404" s="146"/>
      <c r="AH404" s="146"/>
      <c r="AI404" s="146"/>
      <c r="AJ404" s="146"/>
      <c r="AK404" s="146"/>
      <c r="AL404" s="81"/>
      <c r="AM404" s="81"/>
      <c r="AN404" s="152"/>
      <c r="AO404" s="152"/>
      <c r="AP404" s="152"/>
      <c r="AQ404" s="152"/>
      <c r="AR404" s="81"/>
      <c r="AS404" s="81"/>
      <c r="AT404" s="82"/>
      <c r="AU404" s="82"/>
      <c r="AV404" s="176"/>
      <c r="AW404" s="89"/>
      <c r="AX404" s="89"/>
      <c r="AY404" s="89"/>
      <c r="AZ404" s="89"/>
      <c r="BA404" s="89"/>
      <c r="BB404" s="89"/>
      <c r="BC404" s="89"/>
      <c r="BD404" s="89"/>
      <c r="BE404" s="141"/>
      <c r="BF404" s="176"/>
      <c r="BG404" s="176"/>
      <c r="BH404" s="176"/>
      <c r="BI404" s="176"/>
    </row>
    <row r="405" spans="1:61" s="90" customFormat="1">
      <c r="A405" s="83"/>
      <c r="B405" s="85"/>
      <c r="C405" s="84"/>
      <c r="D405" s="112"/>
      <c r="E405" s="112"/>
      <c r="F405" s="112"/>
      <c r="G405" s="85"/>
      <c r="H405" s="120"/>
      <c r="I405" s="280"/>
      <c r="J405" s="120"/>
      <c r="K405" s="120" t="str">
        <f t="shared" si="28"/>
        <v/>
      </c>
      <c r="L405" s="287"/>
      <c r="M405" s="91"/>
      <c r="N405" s="87"/>
      <c r="O405" s="159"/>
      <c r="P405" s="86"/>
      <c r="Q405" s="92"/>
      <c r="R405" s="120">
        <f t="shared" si="29"/>
        <v>0</v>
      </c>
      <c r="S405" s="93"/>
      <c r="T405" s="117"/>
      <c r="U405" s="88"/>
      <c r="V405" s="85"/>
      <c r="W405" s="146"/>
      <c r="X405" s="137"/>
      <c r="Y405" s="137"/>
      <c r="Z405" s="137"/>
      <c r="AA405" s="137"/>
      <c r="AB405" s="137"/>
      <c r="AC405" s="137"/>
      <c r="AD405" s="137"/>
      <c r="AE405" s="137"/>
      <c r="AF405" s="141"/>
      <c r="AG405" s="146"/>
      <c r="AH405" s="146"/>
      <c r="AI405" s="146"/>
      <c r="AJ405" s="146"/>
      <c r="AK405" s="146"/>
      <c r="AL405" s="81"/>
      <c r="AM405" s="81"/>
      <c r="AN405" s="152"/>
      <c r="AO405" s="152"/>
      <c r="AP405" s="152"/>
      <c r="AQ405" s="152"/>
      <c r="AR405" s="81"/>
      <c r="AS405" s="81"/>
      <c r="AT405" s="82"/>
      <c r="AU405" s="82"/>
      <c r="AV405" s="176"/>
      <c r="AW405" s="89"/>
      <c r="AX405" s="89"/>
      <c r="AY405" s="89"/>
      <c r="AZ405" s="89"/>
      <c r="BA405" s="89"/>
      <c r="BB405" s="89"/>
      <c r="BC405" s="89"/>
      <c r="BD405" s="89"/>
      <c r="BE405" s="141"/>
      <c r="BF405" s="176"/>
      <c r="BG405" s="176"/>
      <c r="BH405" s="176"/>
      <c r="BI405" s="176"/>
    </row>
    <row r="406" spans="1:61" s="90" customFormat="1">
      <c r="A406" s="83"/>
      <c r="B406" s="85"/>
      <c r="C406" s="84"/>
      <c r="D406" s="112"/>
      <c r="E406" s="112"/>
      <c r="F406" s="112"/>
      <c r="G406" s="85"/>
      <c r="H406" s="120"/>
      <c r="I406" s="280"/>
      <c r="J406" s="120"/>
      <c r="K406" s="120" t="str">
        <f t="shared" si="28"/>
        <v/>
      </c>
      <c r="L406" s="287"/>
      <c r="M406" s="91"/>
      <c r="N406" s="87"/>
      <c r="O406" s="159"/>
      <c r="P406" s="86"/>
      <c r="Q406" s="92"/>
      <c r="R406" s="120">
        <f t="shared" si="29"/>
        <v>0</v>
      </c>
      <c r="S406" s="93"/>
      <c r="T406" s="117"/>
      <c r="U406" s="88"/>
      <c r="V406" s="85"/>
      <c r="W406" s="146"/>
      <c r="X406" s="137"/>
      <c r="Y406" s="137"/>
      <c r="Z406" s="137"/>
      <c r="AA406" s="137"/>
      <c r="AB406" s="137"/>
      <c r="AC406" s="137"/>
      <c r="AD406" s="137"/>
      <c r="AE406" s="137"/>
      <c r="AF406" s="141"/>
      <c r="AG406" s="146"/>
      <c r="AH406" s="146"/>
      <c r="AI406" s="146"/>
      <c r="AJ406" s="146"/>
      <c r="AK406" s="146"/>
      <c r="AL406" s="81"/>
      <c r="AM406" s="81"/>
      <c r="AN406" s="152"/>
      <c r="AO406" s="152"/>
      <c r="AP406" s="152"/>
      <c r="AQ406" s="152"/>
      <c r="AR406" s="81"/>
      <c r="AS406" s="81"/>
      <c r="AT406" s="82"/>
      <c r="AU406" s="82"/>
      <c r="AV406" s="176"/>
      <c r="AW406" s="89"/>
      <c r="AX406" s="89"/>
      <c r="AY406" s="89"/>
      <c r="AZ406" s="89"/>
      <c r="BA406" s="89"/>
      <c r="BB406" s="89"/>
      <c r="BC406" s="89"/>
      <c r="BD406" s="89"/>
      <c r="BE406" s="141"/>
      <c r="BF406" s="176"/>
      <c r="BG406" s="176"/>
      <c r="BH406" s="176"/>
      <c r="BI406" s="176"/>
    </row>
    <row r="407" spans="1:61" s="90" customFormat="1">
      <c r="A407" s="83"/>
      <c r="B407" s="85"/>
      <c r="C407" s="84"/>
      <c r="D407" s="112"/>
      <c r="E407" s="112"/>
      <c r="F407" s="112"/>
      <c r="G407" s="85"/>
      <c r="H407" s="120"/>
      <c r="I407" s="280"/>
      <c r="J407" s="120"/>
      <c r="K407" s="120" t="str">
        <f t="shared" si="28"/>
        <v/>
      </c>
      <c r="L407" s="287"/>
      <c r="M407" s="91"/>
      <c r="N407" s="87"/>
      <c r="O407" s="159"/>
      <c r="P407" s="86"/>
      <c r="Q407" s="92"/>
      <c r="R407" s="120">
        <f t="shared" si="29"/>
        <v>0</v>
      </c>
      <c r="S407" s="93"/>
      <c r="T407" s="117"/>
      <c r="U407" s="88"/>
      <c r="V407" s="85"/>
      <c r="W407" s="146"/>
      <c r="X407" s="137"/>
      <c r="Y407" s="137"/>
      <c r="Z407" s="137"/>
      <c r="AA407" s="137"/>
      <c r="AB407" s="137"/>
      <c r="AC407" s="137"/>
      <c r="AD407" s="137"/>
      <c r="AE407" s="137"/>
      <c r="AF407" s="141"/>
      <c r="AG407" s="146"/>
      <c r="AH407" s="146"/>
      <c r="AI407" s="146"/>
      <c r="AJ407" s="146"/>
      <c r="AK407" s="146"/>
      <c r="AL407" s="81"/>
      <c r="AM407" s="81"/>
      <c r="AN407" s="152"/>
      <c r="AO407" s="152"/>
      <c r="AP407" s="152"/>
      <c r="AQ407" s="152"/>
      <c r="AR407" s="81"/>
      <c r="AS407" s="81"/>
      <c r="AT407" s="82"/>
      <c r="AU407" s="82"/>
      <c r="AV407" s="176"/>
      <c r="AW407" s="89"/>
      <c r="AX407" s="89"/>
      <c r="AY407" s="89"/>
      <c r="AZ407" s="89"/>
      <c r="BA407" s="89"/>
      <c r="BB407" s="89"/>
      <c r="BC407" s="89"/>
      <c r="BD407" s="89"/>
      <c r="BE407" s="141"/>
      <c r="BF407" s="176"/>
      <c r="BG407" s="176"/>
      <c r="BH407" s="176"/>
      <c r="BI407" s="176"/>
    </row>
    <row r="408" spans="1:61" s="90" customFormat="1">
      <c r="A408" s="83"/>
      <c r="B408" s="85"/>
      <c r="C408" s="84"/>
      <c r="D408" s="112"/>
      <c r="E408" s="112"/>
      <c r="F408" s="112"/>
      <c r="G408" s="85"/>
      <c r="H408" s="120"/>
      <c r="I408" s="280"/>
      <c r="J408" s="120"/>
      <c r="K408" s="120" t="str">
        <f t="shared" si="28"/>
        <v/>
      </c>
      <c r="L408" s="287"/>
      <c r="M408" s="91"/>
      <c r="N408" s="87"/>
      <c r="O408" s="159"/>
      <c r="P408" s="86"/>
      <c r="Q408" s="92"/>
      <c r="R408" s="120">
        <f t="shared" si="29"/>
        <v>0</v>
      </c>
      <c r="S408" s="93"/>
      <c r="T408" s="117"/>
      <c r="U408" s="88"/>
      <c r="V408" s="85"/>
      <c r="W408" s="146"/>
      <c r="X408" s="137"/>
      <c r="Y408" s="137"/>
      <c r="Z408" s="137"/>
      <c r="AA408" s="137"/>
      <c r="AB408" s="137"/>
      <c r="AC408" s="137"/>
      <c r="AD408" s="137"/>
      <c r="AE408" s="137"/>
      <c r="AF408" s="141"/>
      <c r="AG408" s="146"/>
      <c r="AH408" s="146"/>
      <c r="AI408" s="146"/>
      <c r="AJ408" s="146"/>
      <c r="AK408" s="146"/>
      <c r="AL408" s="81"/>
      <c r="AM408" s="81"/>
      <c r="AN408" s="152"/>
      <c r="AO408" s="152"/>
      <c r="AP408" s="152"/>
      <c r="AQ408" s="152"/>
      <c r="AR408" s="81"/>
      <c r="AS408" s="81"/>
      <c r="AT408" s="82"/>
      <c r="AU408" s="82"/>
      <c r="AV408" s="176"/>
      <c r="AW408" s="89"/>
      <c r="AX408" s="89"/>
      <c r="AY408" s="89"/>
      <c r="AZ408" s="89"/>
      <c r="BA408" s="89"/>
      <c r="BB408" s="89"/>
      <c r="BC408" s="89"/>
      <c r="BD408" s="89"/>
      <c r="BE408" s="141"/>
      <c r="BF408" s="176"/>
      <c r="BG408" s="176"/>
      <c r="BH408" s="176"/>
      <c r="BI408" s="176"/>
    </row>
    <row r="409" spans="1:61" s="90" customFormat="1">
      <c r="A409" s="83"/>
      <c r="B409" s="85"/>
      <c r="C409" s="84"/>
      <c r="D409" s="112"/>
      <c r="E409" s="112"/>
      <c r="F409" s="112"/>
      <c r="G409" s="85"/>
      <c r="H409" s="120"/>
      <c r="I409" s="280"/>
      <c r="J409" s="120"/>
      <c r="K409" s="120" t="str">
        <f t="shared" si="28"/>
        <v/>
      </c>
      <c r="L409" s="287"/>
      <c r="M409" s="91"/>
      <c r="N409" s="87"/>
      <c r="O409" s="159"/>
      <c r="P409" s="86"/>
      <c r="Q409" s="92"/>
      <c r="R409" s="120">
        <f t="shared" si="29"/>
        <v>0</v>
      </c>
      <c r="S409" s="93"/>
      <c r="T409" s="117"/>
      <c r="U409" s="88"/>
      <c r="V409" s="85"/>
      <c r="W409" s="146"/>
      <c r="X409" s="137"/>
      <c r="Y409" s="137"/>
      <c r="Z409" s="137"/>
      <c r="AA409" s="137"/>
      <c r="AB409" s="137"/>
      <c r="AC409" s="137"/>
      <c r="AD409" s="137"/>
      <c r="AE409" s="137"/>
      <c r="AF409" s="141"/>
      <c r="AG409" s="146"/>
      <c r="AH409" s="146"/>
      <c r="AI409" s="146"/>
      <c r="AJ409" s="146"/>
      <c r="AK409" s="146"/>
      <c r="AL409" s="81"/>
      <c r="AM409" s="81"/>
      <c r="AN409" s="152"/>
      <c r="AO409" s="152"/>
      <c r="AP409" s="152"/>
      <c r="AQ409" s="152"/>
      <c r="AR409" s="81"/>
      <c r="AS409" s="81"/>
      <c r="AT409" s="82"/>
      <c r="AU409" s="82"/>
      <c r="AV409" s="176"/>
      <c r="AW409" s="89"/>
      <c r="AX409" s="89"/>
      <c r="AY409" s="89"/>
      <c r="AZ409" s="89"/>
      <c r="BA409" s="89"/>
      <c r="BB409" s="89"/>
      <c r="BC409" s="89"/>
      <c r="BD409" s="89"/>
      <c r="BE409" s="141"/>
      <c r="BF409" s="176"/>
      <c r="BG409" s="176"/>
      <c r="BH409" s="176"/>
      <c r="BI409" s="176"/>
    </row>
    <row r="410" spans="1:61" s="90" customFormat="1">
      <c r="A410" s="83"/>
      <c r="B410" s="85"/>
      <c r="C410" s="84"/>
      <c r="D410" s="112"/>
      <c r="E410" s="112"/>
      <c r="F410" s="112"/>
      <c r="G410" s="85"/>
      <c r="H410" s="120"/>
      <c r="I410" s="280"/>
      <c r="J410" s="120"/>
      <c r="K410" s="120" t="str">
        <f t="shared" si="28"/>
        <v/>
      </c>
      <c r="L410" s="287"/>
      <c r="M410" s="91"/>
      <c r="N410" s="87"/>
      <c r="O410" s="159"/>
      <c r="P410" s="86"/>
      <c r="Q410" s="92"/>
      <c r="R410" s="120">
        <f t="shared" si="29"/>
        <v>0</v>
      </c>
      <c r="S410" s="93"/>
      <c r="T410" s="117"/>
      <c r="U410" s="88"/>
      <c r="V410" s="85"/>
      <c r="W410" s="146"/>
      <c r="X410" s="137"/>
      <c r="Y410" s="137"/>
      <c r="Z410" s="137"/>
      <c r="AA410" s="137"/>
      <c r="AB410" s="137"/>
      <c r="AC410" s="137"/>
      <c r="AD410" s="137"/>
      <c r="AE410" s="137"/>
      <c r="AF410" s="141"/>
      <c r="AG410" s="146"/>
      <c r="AH410" s="146"/>
      <c r="AI410" s="146"/>
      <c r="AJ410" s="146"/>
      <c r="AK410" s="146"/>
      <c r="AL410" s="81"/>
      <c r="AM410" s="81"/>
      <c r="AN410" s="152"/>
      <c r="AO410" s="152"/>
      <c r="AP410" s="152"/>
      <c r="AQ410" s="152"/>
      <c r="AR410" s="81"/>
      <c r="AS410" s="81"/>
      <c r="AT410" s="82"/>
      <c r="AU410" s="82"/>
      <c r="AV410" s="176"/>
      <c r="AW410" s="89"/>
      <c r="AX410" s="89"/>
      <c r="AY410" s="89"/>
      <c r="AZ410" s="89"/>
      <c r="BA410" s="89"/>
      <c r="BB410" s="89"/>
      <c r="BC410" s="89"/>
      <c r="BD410" s="89"/>
      <c r="BE410" s="141"/>
      <c r="BF410" s="176"/>
      <c r="BG410" s="176"/>
      <c r="BH410" s="176"/>
      <c r="BI410" s="176"/>
    </row>
    <row r="411" spans="1:61" s="90" customFormat="1">
      <c r="A411" s="83"/>
      <c r="B411" s="85"/>
      <c r="C411" s="84"/>
      <c r="D411" s="112"/>
      <c r="E411" s="112"/>
      <c r="F411" s="112"/>
      <c r="G411" s="85"/>
      <c r="H411" s="120"/>
      <c r="I411" s="280"/>
      <c r="J411" s="120"/>
      <c r="K411" s="120" t="str">
        <f t="shared" si="28"/>
        <v/>
      </c>
      <c r="L411" s="287"/>
      <c r="M411" s="91"/>
      <c r="N411" s="87"/>
      <c r="O411" s="159"/>
      <c r="P411" s="86"/>
      <c r="Q411" s="92"/>
      <c r="R411" s="120">
        <f t="shared" si="29"/>
        <v>0</v>
      </c>
      <c r="S411" s="93"/>
      <c r="T411" s="117"/>
      <c r="U411" s="88"/>
      <c r="V411" s="85"/>
      <c r="W411" s="146"/>
      <c r="X411" s="137"/>
      <c r="Y411" s="137"/>
      <c r="Z411" s="137"/>
      <c r="AA411" s="137"/>
      <c r="AB411" s="137"/>
      <c r="AC411" s="137"/>
      <c r="AD411" s="137"/>
      <c r="AE411" s="137"/>
      <c r="AF411" s="141"/>
      <c r="AG411" s="146"/>
      <c r="AH411" s="146"/>
      <c r="AI411" s="146"/>
      <c r="AJ411" s="146"/>
      <c r="AK411" s="146"/>
      <c r="AL411" s="81"/>
      <c r="AM411" s="81"/>
      <c r="AN411" s="152"/>
      <c r="AO411" s="152"/>
      <c r="AP411" s="152"/>
      <c r="AQ411" s="152"/>
      <c r="AR411" s="81"/>
      <c r="AS411" s="81"/>
      <c r="AT411" s="82"/>
      <c r="AU411" s="82"/>
      <c r="AV411" s="176"/>
      <c r="AW411" s="89"/>
      <c r="AX411" s="89"/>
      <c r="AY411" s="89"/>
      <c r="AZ411" s="89"/>
      <c r="BA411" s="89"/>
      <c r="BB411" s="89"/>
      <c r="BC411" s="89"/>
      <c r="BD411" s="89"/>
      <c r="BE411" s="141"/>
      <c r="BF411" s="176"/>
      <c r="BG411" s="176"/>
      <c r="BH411" s="176"/>
      <c r="BI411" s="176"/>
    </row>
    <row r="412" spans="1:61" s="90" customFormat="1">
      <c r="A412" s="83"/>
      <c r="B412" s="85"/>
      <c r="C412" s="84"/>
      <c r="D412" s="112"/>
      <c r="E412" s="112"/>
      <c r="F412" s="112"/>
      <c r="G412" s="85"/>
      <c r="H412" s="120"/>
      <c r="I412" s="280"/>
      <c r="J412" s="120"/>
      <c r="K412" s="120" t="str">
        <f t="shared" si="28"/>
        <v/>
      </c>
      <c r="L412" s="287"/>
      <c r="M412" s="91"/>
      <c r="N412" s="87"/>
      <c r="O412" s="159"/>
      <c r="P412" s="86"/>
      <c r="Q412" s="92"/>
      <c r="R412" s="120">
        <f t="shared" si="29"/>
        <v>0</v>
      </c>
      <c r="S412" s="93"/>
      <c r="T412" s="117"/>
      <c r="U412" s="88"/>
      <c r="V412" s="85"/>
      <c r="W412" s="146"/>
      <c r="X412" s="137"/>
      <c r="Y412" s="137"/>
      <c r="Z412" s="137"/>
      <c r="AA412" s="137"/>
      <c r="AB412" s="137"/>
      <c r="AC412" s="137"/>
      <c r="AD412" s="137"/>
      <c r="AE412" s="137"/>
      <c r="AF412" s="141"/>
      <c r="AG412" s="146"/>
      <c r="AH412" s="146"/>
      <c r="AI412" s="146"/>
      <c r="AJ412" s="146"/>
      <c r="AK412" s="146"/>
      <c r="AL412" s="81"/>
      <c r="AM412" s="81"/>
      <c r="AN412" s="152"/>
      <c r="AO412" s="152"/>
      <c r="AP412" s="152"/>
      <c r="AQ412" s="152"/>
      <c r="AR412" s="81"/>
      <c r="AS412" s="81"/>
      <c r="AT412" s="82"/>
      <c r="AU412" s="82"/>
      <c r="AV412" s="176"/>
      <c r="AW412" s="89"/>
      <c r="AX412" s="89"/>
      <c r="AY412" s="89"/>
      <c r="AZ412" s="89"/>
      <c r="BA412" s="89"/>
      <c r="BB412" s="89"/>
      <c r="BC412" s="89"/>
      <c r="BD412" s="89"/>
      <c r="BE412" s="141"/>
      <c r="BF412" s="176"/>
      <c r="BG412" s="176"/>
      <c r="BH412" s="176"/>
      <c r="BI412" s="176"/>
    </row>
    <row r="413" spans="1:61" s="90" customFormat="1">
      <c r="A413" s="83"/>
      <c r="B413" s="85"/>
      <c r="C413" s="84"/>
      <c r="D413" s="112"/>
      <c r="E413" s="112"/>
      <c r="F413" s="112"/>
      <c r="G413" s="85"/>
      <c r="H413" s="120"/>
      <c r="I413" s="280"/>
      <c r="J413" s="120"/>
      <c r="K413" s="120" t="str">
        <f t="shared" si="28"/>
        <v/>
      </c>
      <c r="L413" s="287"/>
      <c r="M413" s="91"/>
      <c r="N413" s="87"/>
      <c r="O413" s="159"/>
      <c r="P413" s="86"/>
      <c r="Q413" s="92"/>
      <c r="R413" s="120">
        <f t="shared" si="29"/>
        <v>0</v>
      </c>
      <c r="S413" s="93"/>
      <c r="T413" s="117"/>
      <c r="U413" s="88"/>
      <c r="V413" s="85"/>
      <c r="W413" s="146"/>
      <c r="X413" s="137"/>
      <c r="Y413" s="137"/>
      <c r="Z413" s="137"/>
      <c r="AA413" s="137"/>
      <c r="AB413" s="137"/>
      <c r="AC413" s="137"/>
      <c r="AD413" s="137"/>
      <c r="AE413" s="137"/>
      <c r="AF413" s="141"/>
      <c r="AG413" s="146"/>
      <c r="AH413" s="146"/>
      <c r="AI413" s="146"/>
      <c r="AJ413" s="146"/>
      <c r="AK413" s="146"/>
      <c r="AL413" s="81"/>
      <c r="AM413" s="81"/>
      <c r="AN413" s="152"/>
      <c r="AO413" s="152"/>
      <c r="AP413" s="152"/>
      <c r="AQ413" s="152"/>
      <c r="AR413" s="81"/>
      <c r="AS413" s="81"/>
      <c r="AT413" s="82"/>
      <c r="AU413" s="82"/>
      <c r="AV413" s="176"/>
      <c r="AW413" s="89"/>
      <c r="AX413" s="89"/>
      <c r="AY413" s="89"/>
      <c r="AZ413" s="89"/>
      <c r="BA413" s="89"/>
      <c r="BB413" s="89"/>
      <c r="BC413" s="89"/>
      <c r="BD413" s="89"/>
      <c r="BE413" s="141"/>
      <c r="BF413" s="176"/>
      <c r="BG413" s="176"/>
      <c r="BH413" s="176"/>
      <c r="BI413" s="176"/>
    </row>
    <row r="414" spans="1:61" s="90" customFormat="1">
      <c r="A414" s="83"/>
      <c r="B414" s="85"/>
      <c r="C414" s="84"/>
      <c r="D414" s="112"/>
      <c r="E414" s="112"/>
      <c r="F414" s="112"/>
      <c r="G414" s="85"/>
      <c r="H414" s="120"/>
      <c r="I414" s="280"/>
      <c r="J414" s="120"/>
      <c r="K414" s="120" t="str">
        <f t="shared" si="28"/>
        <v/>
      </c>
      <c r="L414" s="287"/>
      <c r="M414" s="91"/>
      <c r="N414" s="87"/>
      <c r="O414" s="159"/>
      <c r="P414" s="86"/>
      <c r="Q414" s="92"/>
      <c r="R414" s="120">
        <f t="shared" si="29"/>
        <v>0</v>
      </c>
      <c r="S414" s="93"/>
      <c r="T414" s="117"/>
      <c r="U414" s="88"/>
      <c r="V414" s="85"/>
      <c r="W414" s="146"/>
      <c r="X414" s="137"/>
      <c r="Y414" s="137"/>
      <c r="Z414" s="137"/>
      <c r="AA414" s="137"/>
      <c r="AB414" s="137"/>
      <c r="AC414" s="137"/>
      <c r="AD414" s="137"/>
      <c r="AE414" s="137"/>
      <c r="AF414" s="141"/>
      <c r="AG414" s="146"/>
      <c r="AH414" s="146"/>
      <c r="AI414" s="146"/>
      <c r="AJ414" s="146"/>
      <c r="AK414" s="146"/>
      <c r="AL414" s="81"/>
      <c r="AM414" s="81"/>
      <c r="AN414" s="152"/>
      <c r="AO414" s="152"/>
      <c r="AP414" s="152"/>
      <c r="AQ414" s="152"/>
      <c r="AR414" s="81"/>
      <c r="AS414" s="81"/>
      <c r="AT414" s="82"/>
      <c r="AU414" s="82"/>
      <c r="AV414" s="176"/>
      <c r="AW414" s="89"/>
      <c r="AX414" s="89"/>
      <c r="AY414" s="89"/>
      <c r="AZ414" s="89"/>
      <c r="BA414" s="89"/>
      <c r="BB414" s="89"/>
      <c r="BC414" s="89"/>
      <c r="BD414" s="89"/>
      <c r="BE414" s="141"/>
      <c r="BF414" s="176"/>
      <c r="BG414" s="176"/>
      <c r="BH414" s="176"/>
      <c r="BI414" s="176"/>
    </row>
    <row r="415" spans="1:61" s="90" customFormat="1">
      <c r="A415" s="83"/>
      <c r="B415" s="85"/>
      <c r="C415" s="84"/>
      <c r="D415" s="112"/>
      <c r="E415" s="112"/>
      <c r="F415" s="112"/>
      <c r="G415" s="85"/>
      <c r="H415" s="120"/>
      <c r="I415" s="280"/>
      <c r="J415" s="120"/>
      <c r="K415" s="120" t="str">
        <f t="shared" si="28"/>
        <v/>
      </c>
      <c r="L415" s="287"/>
      <c r="M415" s="91"/>
      <c r="N415" s="87"/>
      <c r="O415" s="159"/>
      <c r="P415" s="86"/>
      <c r="Q415" s="92"/>
      <c r="R415" s="120">
        <f t="shared" si="29"/>
        <v>0</v>
      </c>
      <c r="S415" s="93"/>
      <c r="T415" s="117"/>
      <c r="U415" s="88"/>
      <c r="V415" s="85"/>
      <c r="W415" s="146"/>
      <c r="X415" s="137"/>
      <c r="Y415" s="137"/>
      <c r="Z415" s="137"/>
      <c r="AA415" s="137"/>
      <c r="AB415" s="137"/>
      <c r="AC415" s="137"/>
      <c r="AD415" s="137"/>
      <c r="AE415" s="137"/>
      <c r="AF415" s="141"/>
      <c r="AG415" s="146"/>
      <c r="AH415" s="146"/>
      <c r="AI415" s="146"/>
      <c r="AJ415" s="146"/>
      <c r="AK415" s="146"/>
      <c r="AL415" s="81"/>
      <c r="AM415" s="81"/>
      <c r="AN415" s="152"/>
      <c r="AO415" s="152"/>
      <c r="AP415" s="152"/>
      <c r="AQ415" s="152"/>
      <c r="AR415" s="81"/>
      <c r="AS415" s="81"/>
      <c r="AT415" s="82"/>
      <c r="AU415" s="82"/>
      <c r="AV415" s="176"/>
      <c r="AW415" s="89"/>
      <c r="AX415" s="89"/>
      <c r="AY415" s="89"/>
      <c r="AZ415" s="89"/>
      <c r="BA415" s="89"/>
      <c r="BB415" s="89"/>
      <c r="BC415" s="89"/>
      <c r="BD415" s="89"/>
      <c r="BE415" s="141"/>
      <c r="BF415" s="176"/>
      <c r="BG415" s="176"/>
      <c r="BH415" s="176"/>
      <c r="BI415" s="176"/>
    </row>
    <row r="416" spans="1:61" s="90" customFormat="1">
      <c r="A416" s="83"/>
      <c r="B416" s="85"/>
      <c r="C416" s="84"/>
      <c r="D416" s="112"/>
      <c r="E416" s="112"/>
      <c r="F416" s="112"/>
      <c r="G416" s="85"/>
      <c r="H416" s="120"/>
      <c r="I416" s="280"/>
      <c r="J416" s="120"/>
      <c r="K416" s="120" t="str">
        <f t="shared" si="28"/>
        <v/>
      </c>
      <c r="L416" s="287"/>
      <c r="M416" s="91"/>
      <c r="N416" s="87"/>
      <c r="O416" s="159"/>
      <c r="P416" s="86"/>
      <c r="Q416" s="92"/>
      <c r="R416" s="120">
        <f t="shared" si="29"/>
        <v>0</v>
      </c>
      <c r="S416" s="93"/>
      <c r="T416" s="117"/>
      <c r="U416" s="88"/>
      <c r="V416" s="85"/>
      <c r="W416" s="146"/>
      <c r="X416" s="137"/>
      <c r="Y416" s="137"/>
      <c r="Z416" s="137"/>
      <c r="AA416" s="137"/>
      <c r="AB416" s="137"/>
      <c r="AC416" s="137"/>
      <c r="AD416" s="137"/>
      <c r="AE416" s="137"/>
      <c r="AF416" s="141"/>
      <c r="AG416" s="146"/>
      <c r="AH416" s="146"/>
      <c r="AI416" s="146"/>
      <c r="AJ416" s="146"/>
      <c r="AK416" s="146"/>
      <c r="AL416" s="81"/>
      <c r="AM416" s="81"/>
      <c r="AN416" s="152"/>
      <c r="AO416" s="152"/>
      <c r="AP416" s="152"/>
      <c r="AQ416" s="152"/>
      <c r="AR416" s="81"/>
      <c r="AS416" s="81"/>
      <c r="AT416" s="82"/>
      <c r="AU416" s="82"/>
      <c r="AV416" s="176"/>
      <c r="AW416" s="89"/>
      <c r="AX416" s="89"/>
      <c r="AY416" s="89"/>
      <c r="AZ416" s="89"/>
      <c r="BA416" s="89"/>
      <c r="BB416" s="89"/>
      <c r="BC416" s="89"/>
      <c r="BD416" s="89"/>
      <c r="BE416" s="141"/>
      <c r="BF416" s="176"/>
      <c r="BG416" s="176"/>
      <c r="BH416" s="176"/>
      <c r="BI416" s="176"/>
    </row>
    <row r="417" spans="1:61" s="90" customFormat="1">
      <c r="A417" s="83"/>
      <c r="B417" s="85"/>
      <c r="C417" s="84"/>
      <c r="D417" s="112"/>
      <c r="E417" s="112"/>
      <c r="F417" s="112"/>
      <c r="G417" s="85"/>
      <c r="H417" s="120"/>
      <c r="I417" s="280"/>
      <c r="J417" s="120"/>
      <c r="K417" s="120" t="str">
        <f t="shared" si="28"/>
        <v/>
      </c>
      <c r="L417" s="287"/>
      <c r="M417" s="91"/>
      <c r="N417" s="87"/>
      <c r="O417" s="159"/>
      <c r="P417" s="86"/>
      <c r="Q417" s="92"/>
      <c r="R417" s="120">
        <f t="shared" si="29"/>
        <v>0</v>
      </c>
      <c r="S417" s="93"/>
      <c r="T417" s="117"/>
      <c r="U417" s="88"/>
      <c r="V417" s="85"/>
      <c r="W417" s="146"/>
      <c r="X417" s="137"/>
      <c r="Y417" s="137"/>
      <c r="Z417" s="137"/>
      <c r="AA417" s="137"/>
      <c r="AB417" s="137"/>
      <c r="AC417" s="137"/>
      <c r="AD417" s="137"/>
      <c r="AE417" s="137"/>
      <c r="AF417" s="141"/>
      <c r="AG417" s="146"/>
      <c r="AH417" s="146"/>
      <c r="AI417" s="146"/>
      <c r="AJ417" s="146"/>
      <c r="AK417" s="146"/>
      <c r="AL417" s="81"/>
      <c r="AM417" s="81"/>
      <c r="AN417" s="152"/>
      <c r="AO417" s="152"/>
      <c r="AP417" s="152"/>
      <c r="AQ417" s="152"/>
      <c r="AR417" s="81"/>
      <c r="AS417" s="81"/>
      <c r="AT417" s="82"/>
      <c r="AU417" s="82"/>
      <c r="AV417" s="176"/>
      <c r="AW417" s="89"/>
      <c r="AX417" s="89"/>
      <c r="AY417" s="89"/>
      <c r="AZ417" s="89"/>
      <c r="BA417" s="89"/>
      <c r="BB417" s="89"/>
      <c r="BC417" s="89"/>
      <c r="BD417" s="89"/>
      <c r="BE417" s="141"/>
      <c r="BF417" s="176"/>
      <c r="BG417" s="176"/>
      <c r="BH417" s="176"/>
      <c r="BI417" s="176"/>
    </row>
    <row r="418" spans="1:61" s="90" customFormat="1">
      <c r="A418" s="83"/>
      <c r="B418" s="85"/>
      <c r="C418" s="84"/>
      <c r="D418" s="112"/>
      <c r="E418" s="112"/>
      <c r="F418" s="112"/>
      <c r="G418" s="85"/>
      <c r="H418" s="120"/>
      <c r="I418" s="280"/>
      <c r="J418" s="120"/>
      <c r="K418" s="120" t="str">
        <f t="shared" si="28"/>
        <v/>
      </c>
      <c r="L418" s="287"/>
      <c r="M418" s="91"/>
      <c r="N418" s="87"/>
      <c r="O418" s="159"/>
      <c r="P418" s="86"/>
      <c r="Q418" s="92"/>
      <c r="R418" s="120">
        <f t="shared" si="29"/>
        <v>0</v>
      </c>
      <c r="S418" s="93"/>
      <c r="T418" s="117"/>
      <c r="U418" s="88"/>
      <c r="V418" s="85"/>
      <c r="W418" s="146"/>
      <c r="X418" s="137"/>
      <c r="Y418" s="137"/>
      <c r="Z418" s="137"/>
      <c r="AA418" s="137"/>
      <c r="AB418" s="137"/>
      <c r="AC418" s="137"/>
      <c r="AD418" s="137"/>
      <c r="AE418" s="137"/>
      <c r="AF418" s="141"/>
      <c r="AG418" s="146"/>
      <c r="AH418" s="146"/>
      <c r="AI418" s="146"/>
      <c r="AJ418" s="146"/>
      <c r="AK418" s="146"/>
      <c r="AL418" s="81"/>
      <c r="AM418" s="81"/>
      <c r="AN418" s="152"/>
      <c r="AO418" s="152"/>
      <c r="AP418" s="152"/>
      <c r="AQ418" s="152"/>
      <c r="AR418" s="81"/>
      <c r="AS418" s="81"/>
      <c r="AT418" s="82"/>
      <c r="AU418" s="82"/>
      <c r="AV418" s="176"/>
      <c r="AW418" s="89"/>
      <c r="AX418" s="89"/>
      <c r="AY418" s="89"/>
      <c r="AZ418" s="89"/>
      <c r="BA418" s="89"/>
      <c r="BB418" s="89"/>
      <c r="BC418" s="89"/>
      <c r="BD418" s="89"/>
      <c r="BE418" s="141"/>
      <c r="BF418" s="176"/>
      <c r="BG418" s="176"/>
      <c r="BH418" s="176"/>
      <c r="BI418" s="176"/>
    </row>
    <row r="419" spans="1:61" s="90" customFormat="1">
      <c r="A419" s="83"/>
      <c r="B419" s="85"/>
      <c r="C419" s="84"/>
      <c r="D419" s="112"/>
      <c r="E419" s="112"/>
      <c r="F419" s="112"/>
      <c r="G419" s="85"/>
      <c r="H419" s="120"/>
      <c r="I419" s="280"/>
      <c r="J419" s="120"/>
      <c r="K419" s="120" t="str">
        <f t="shared" si="28"/>
        <v/>
      </c>
      <c r="L419" s="287"/>
      <c r="M419" s="91"/>
      <c r="N419" s="87"/>
      <c r="O419" s="159"/>
      <c r="P419" s="86"/>
      <c r="Q419" s="92"/>
      <c r="R419" s="120">
        <f t="shared" si="29"/>
        <v>0</v>
      </c>
      <c r="S419" s="93"/>
      <c r="T419" s="117"/>
      <c r="U419" s="88"/>
      <c r="V419" s="85"/>
      <c r="W419" s="146"/>
      <c r="X419" s="137"/>
      <c r="Y419" s="137"/>
      <c r="Z419" s="137"/>
      <c r="AA419" s="137"/>
      <c r="AB419" s="137"/>
      <c r="AC419" s="137"/>
      <c r="AD419" s="137"/>
      <c r="AE419" s="137"/>
      <c r="AF419" s="141"/>
      <c r="AG419" s="146"/>
      <c r="AH419" s="146"/>
      <c r="AI419" s="146"/>
      <c r="AJ419" s="146"/>
      <c r="AK419" s="146"/>
      <c r="AL419" s="81"/>
      <c r="AM419" s="81"/>
      <c r="AN419" s="152"/>
      <c r="AO419" s="152"/>
      <c r="AP419" s="152"/>
      <c r="AQ419" s="152"/>
      <c r="AR419" s="81"/>
      <c r="AS419" s="81"/>
      <c r="AT419" s="82"/>
      <c r="AU419" s="82"/>
      <c r="AV419" s="176"/>
      <c r="AW419" s="89"/>
      <c r="AX419" s="89"/>
      <c r="AY419" s="89"/>
      <c r="AZ419" s="89"/>
      <c r="BA419" s="89"/>
      <c r="BB419" s="89"/>
      <c r="BC419" s="89"/>
      <c r="BD419" s="89"/>
      <c r="BE419" s="141"/>
      <c r="BF419" s="176"/>
      <c r="BG419" s="176"/>
      <c r="BH419" s="176"/>
      <c r="BI419" s="176"/>
    </row>
    <row r="420" spans="1:61" s="90" customFormat="1">
      <c r="A420" s="83"/>
      <c r="B420" s="85"/>
      <c r="C420" s="84"/>
      <c r="D420" s="112"/>
      <c r="E420" s="112"/>
      <c r="F420" s="112"/>
      <c r="G420" s="85"/>
      <c r="H420" s="120"/>
      <c r="I420" s="280"/>
      <c r="J420" s="120"/>
      <c r="K420" s="120" t="str">
        <f t="shared" si="28"/>
        <v/>
      </c>
      <c r="L420" s="287"/>
      <c r="M420" s="91"/>
      <c r="N420" s="87"/>
      <c r="O420" s="159"/>
      <c r="P420" s="86"/>
      <c r="Q420" s="92"/>
      <c r="R420" s="120">
        <f t="shared" si="29"/>
        <v>0</v>
      </c>
      <c r="S420" s="93"/>
      <c r="T420" s="117"/>
      <c r="U420" s="88"/>
      <c r="V420" s="85"/>
      <c r="W420" s="146"/>
      <c r="X420" s="137"/>
      <c r="Y420" s="137"/>
      <c r="Z420" s="137"/>
      <c r="AA420" s="137"/>
      <c r="AB420" s="137"/>
      <c r="AC420" s="137"/>
      <c r="AD420" s="137"/>
      <c r="AE420" s="137"/>
      <c r="AF420" s="141"/>
      <c r="AG420" s="146"/>
      <c r="AH420" s="146"/>
      <c r="AI420" s="146"/>
      <c r="AJ420" s="146"/>
      <c r="AK420" s="146"/>
      <c r="AL420" s="81"/>
      <c r="AM420" s="81"/>
      <c r="AN420" s="152"/>
      <c r="AO420" s="152"/>
      <c r="AP420" s="152"/>
      <c r="AQ420" s="152"/>
      <c r="AR420" s="81"/>
      <c r="AS420" s="81"/>
      <c r="AT420" s="82"/>
      <c r="AU420" s="82"/>
      <c r="AV420" s="176"/>
      <c r="AW420" s="89"/>
      <c r="AX420" s="89"/>
      <c r="AY420" s="89"/>
      <c r="AZ420" s="89"/>
      <c r="BA420" s="89"/>
      <c r="BB420" s="89"/>
      <c r="BC420" s="89"/>
      <c r="BD420" s="89"/>
      <c r="BE420" s="141"/>
      <c r="BF420" s="176"/>
      <c r="BG420" s="176"/>
      <c r="BH420" s="176"/>
      <c r="BI420" s="176"/>
    </row>
    <row r="421" spans="1:61" s="90" customFormat="1">
      <c r="A421" s="83"/>
      <c r="B421" s="85"/>
      <c r="C421" s="84"/>
      <c r="D421" s="112"/>
      <c r="E421" s="112"/>
      <c r="F421" s="112"/>
      <c r="G421" s="85"/>
      <c r="H421" s="120"/>
      <c r="I421" s="280"/>
      <c r="J421" s="120"/>
      <c r="K421" s="120" t="str">
        <f t="shared" si="28"/>
        <v/>
      </c>
      <c r="L421" s="287"/>
      <c r="M421" s="91"/>
      <c r="N421" s="87"/>
      <c r="O421" s="159"/>
      <c r="P421" s="86"/>
      <c r="Q421" s="92"/>
      <c r="R421" s="120">
        <f t="shared" si="29"/>
        <v>0</v>
      </c>
      <c r="S421" s="93"/>
      <c r="T421" s="117"/>
      <c r="U421" s="88"/>
      <c r="V421" s="85"/>
      <c r="W421" s="146"/>
      <c r="X421" s="137"/>
      <c r="Y421" s="137"/>
      <c r="Z421" s="137"/>
      <c r="AA421" s="137"/>
      <c r="AB421" s="137"/>
      <c r="AC421" s="137"/>
      <c r="AD421" s="137"/>
      <c r="AE421" s="137"/>
      <c r="AF421" s="141"/>
      <c r="AG421" s="146"/>
      <c r="AH421" s="146"/>
      <c r="AI421" s="146"/>
      <c r="AJ421" s="146"/>
      <c r="AK421" s="146"/>
      <c r="AL421" s="81"/>
      <c r="AM421" s="81"/>
      <c r="AN421" s="152"/>
      <c r="AO421" s="152"/>
      <c r="AP421" s="152"/>
      <c r="AQ421" s="152"/>
      <c r="AR421" s="81"/>
      <c r="AS421" s="81"/>
      <c r="AT421" s="82"/>
      <c r="AU421" s="82"/>
      <c r="AV421" s="176"/>
      <c r="AW421" s="89"/>
      <c r="AX421" s="89"/>
      <c r="AY421" s="89"/>
      <c r="AZ421" s="89"/>
      <c r="BA421" s="89"/>
      <c r="BB421" s="89"/>
      <c r="BC421" s="89"/>
      <c r="BD421" s="89"/>
      <c r="BE421" s="141"/>
      <c r="BF421" s="176"/>
      <c r="BG421" s="176"/>
      <c r="BH421" s="176"/>
      <c r="BI421" s="176"/>
    </row>
    <row r="422" spans="1:61" s="90" customFormat="1">
      <c r="A422" s="83"/>
      <c r="B422" s="85"/>
      <c r="C422" s="84"/>
      <c r="D422" s="112"/>
      <c r="E422" s="112"/>
      <c r="F422" s="112"/>
      <c r="G422" s="85"/>
      <c r="H422" s="120"/>
      <c r="I422" s="280"/>
      <c r="J422" s="120"/>
      <c r="K422" s="120" t="str">
        <f t="shared" si="28"/>
        <v/>
      </c>
      <c r="L422" s="287"/>
      <c r="M422" s="91"/>
      <c r="N422" s="87"/>
      <c r="O422" s="159"/>
      <c r="P422" s="86"/>
      <c r="Q422" s="92"/>
      <c r="R422" s="120">
        <f t="shared" si="29"/>
        <v>0</v>
      </c>
      <c r="S422" s="93"/>
      <c r="T422" s="117"/>
      <c r="U422" s="88"/>
      <c r="V422" s="85"/>
      <c r="W422" s="146"/>
      <c r="X422" s="137"/>
      <c r="Y422" s="137"/>
      <c r="Z422" s="137"/>
      <c r="AA422" s="137"/>
      <c r="AB422" s="137"/>
      <c r="AC422" s="137"/>
      <c r="AD422" s="137"/>
      <c r="AE422" s="137"/>
      <c r="AF422" s="141"/>
      <c r="AG422" s="146"/>
      <c r="AH422" s="146"/>
      <c r="AI422" s="146"/>
      <c r="AJ422" s="146"/>
      <c r="AK422" s="146"/>
      <c r="AL422" s="81"/>
      <c r="AM422" s="81"/>
      <c r="AN422" s="152"/>
      <c r="AO422" s="152"/>
      <c r="AP422" s="152"/>
      <c r="AQ422" s="152"/>
      <c r="AR422" s="81"/>
      <c r="AS422" s="81"/>
      <c r="AT422" s="82"/>
      <c r="AU422" s="82"/>
      <c r="AV422" s="176"/>
      <c r="AW422" s="89"/>
      <c r="AX422" s="89"/>
      <c r="AY422" s="89"/>
      <c r="AZ422" s="89"/>
      <c r="BA422" s="89"/>
      <c r="BB422" s="89"/>
      <c r="BC422" s="89"/>
      <c r="BD422" s="89"/>
      <c r="BE422" s="141"/>
      <c r="BF422" s="176"/>
      <c r="BG422" s="176"/>
      <c r="BH422" s="176"/>
      <c r="BI422" s="176"/>
    </row>
    <row r="423" spans="1:61" s="90" customFormat="1">
      <c r="A423" s="83"/>
      <c r="B423" s="85"/>
      <c r="C423" s="84"/>
      <c r="D423" s="112"/>
      <c r="E423" s="112"/>
      <c r="F423" s="112"/>
      <c r="G423" s="85"/>
      <c r="H423" s="120"/>
      <c r="I423" s="280"/>
      <c r="J423" s="120"/>
      <c r="K423" s="120" t="str">
        <f t="shared" si="28"/>
        <v/>
      </c>
      <c r="L423" s="287"/>
      <c r="M423" s="91"/>
      <c r="N423" s="87"/>
      <c r="O423" s="159"/>
      <c r="P423" s="86"/>
      <c r="Q423" s="92"/>
      <c r="R423" s="120">
        <f t="shared" si="29"/>
        <v>0</v>
      </c>
      <c r="S423" s="93"/>
      <c r="T423" s="117"/>
      <c r="U423" s="88"/>
      <c r="V423" s="85"/>
      <c r="W423" s="146"/>
      <c r="X423" s="137"/>
      <c r="Y423" s="137"/>
      <c r="Z423" s="137"/>
      <c r="AA423" s="137"/>
      <c r="AB423" s="137"/>
      <c r="AC423" s="137"/>
      <c r="AD423" s="137"/>
      <c r="AE423" s="137"/>
      <c r="AF423" s="141"/>
      <c r="AG423" s="146"/>
      <c r="AH423" s="146"/>
      <c r="AI423" s="146"/>
      <c r="AJ423" s="146"/>
      <c r="AK423" s="146"/>
      <c r="AL423" s="81"/>
      <c r="AM423" s="81"/>
      <c r="AN423" s="152"/>
      <c r="AO423" s="152"/>
      <c r="AP423" s="152"/>
      <c r="AQ423" s="152"/>
      <c r="AR423" s="81"/>
      <c r="AS423" s="81"/>
      <c r="AT423" s="82"/>
      <c r="AU423" s="82"/>
      <c r="AV423" s="176"/>
      <c r="AW423" s="89"/>
      <c r="AX423" s="89"/>
      <c r="AY423" s="89"/>
      <c r="AZ423" s="89"/>
      <c r="BA423" s="89"/>
      <c r="BB423" s="89"/>
      <c r="BC423" s="89"/>
      <c r="BD423" s="89"/>
      <c r="BE423" s="141"/>
      <c r="BF423" s="176"/>
      <c r="BG423" s="176"/>
      <c r="BH423" s="176"/>
      <c r="BI423" s="176"/>
    </row>
    <row r="424" spans="1:61" s="90" customFormat="1">
      <c r="A424" s="83"/>
      <c r="B424" s="85"/>
      <c r="C424" s="84"/>
      <c r="D424" s="112"/>
      <c r="E424" s="112"/>
      <c r="F424" s="112"/>
      <c r="G424" s="85"/>
      <c r="H424" s="120"/>
      <c r="I424" s="280"/>
      <c r="J424" s="120"/>
      <c r="K424" s="120" t="str">
        <f t="shared" si="28"/>
        <v/>
      </c>
      <c r="L424" s="287"/>
      <c r="M424" s="91"/>
      <c r="N424" s="87"/>
      <c r="O424" s="159"/>
      <c r="P424" s="86"/>
      <c r="Q424" s="92"/>
      <c r="R424" s="120">
        <f t="shared" si="29"/>
        <v>0</v>
      </c>
      <c r="S424" s="93"/>
      <c r="T424" s="117"/>
      <c r="U424" s="88"/>
      <c r="V424" s="85"/>
      <c r="W424" s="146"/>
      <c r="X424" s="137"/>
      <c r="Y424" s="137"/>
      <c r="Z424" s="137"/>
      <c r="AA424" s="137"/>
      <c r="AB424" s="137"/>
      <c r="AC424" s="137"/>
      <c r="AD424" s="137"/>
      <c r="AE424" s="137"/>
      <c r="AF424" s="141"/>
      <c r="AG424" s="146"/>
      <c r="AH424" s="146"/>
      <c r="AI424" s="146"/>
      <c r="AJ424" s="146"/>
      <c r="AK424" s="146"/>
      <c r="AL424" s="81"/>
      <c r="AM424" s="81"/>
      <c r="AN424" s="152"/>
      <c r="AO424" s="152"/>
      <c r="AP424" s="152"/>
      <c r="AQ424" s="152"/>
      <c r="AR424" s="81"/>
      <c r="AS424" s="81"/>
      <c r="AT424" s="82"/>
      <c r="AU424" s="82"/>
      <c r="AV424" s="176"/>
      <c r="AW424" s="89"/>
      <c r="AX424" s="89"/>
      <c r="AY424" s="89"/>
      <c r="AZ424" s="89"/>
      <c r="BA424" s="89"/>
      <c r="BB424" s="89"/>
      <c r="BC424" s="89"/>
      <c r="BD424" s="89"/>
      <c r="BE424" s="141"/>
      <c r="BF424" s="176"/>
      <c r="BG424" s="176"/>
      <c r="BH424" s="176"/>
      <c r="BI424" s="176"/>
    </row>
    <row r="425" spans="1:61" s="90" customFormat="1">
      <c r="A425" s="83"/>
      <c r="B425" s="85"/>
      <c r="C425" s="84"/>
      <c r="D425" s="112"/>
      <c r="E425" s="112"/>
      <c r="F425" s="112"/>
      <c r="G425" s="85"/>
      <c r="H425" s="120"/>
      <c r="I425" s="280"/>
      <c r="J425" s="120"/>
      <c r="K425" s="120" t="str">
        <f t="shared" si="28"/>
        <v/>
      </c>
      <c r="L425" s="287"/>
      <c r="M425" s="91"/>
      <c r="N425" s="87"/>
      <c r="O425" s="159"/>
      <c r="P425" s="86"/>
      <c r="Q425" s="92"/>
      <c r="R425" s="120">
        <f t="shared" si="29"/>
        <v>0</v>
      </c>
      <c r="S425" s="93"/>
      <c r="T425" s="117"/>
      <c r="U425" s="88"/>
      <c r="V425" s="85"/>
      <c r="W425" s="146"/>
      <c r="X425" s="137"/>
      <c r="Y425" s="137"/>
      <c r="Z425" s="137"/>
      <c r="AA425" s="137"/>
      <c r="AB425" s="137"/>
      <c r="AC425" s="137"/>
      <c r="AD425" s="137"/>
      <c r="AE425" s="137"/>
      <c r="AF425" s="141"/>
      <c r="AG425" s="146"/>
      <c r="AH425" s="146"/>
      <c r="AI425" s="146"/>
      <c r="AJ425" s="146"/>
      <c r="AK425" s="146"/>
      <c r="AL425" s="81"/>
      <c r="AM425" s="81"/>
      <c r="AN425" s="152"/>
      <c r="AO425" s="152"/>
      <c r="AP425" s="152"/>
      <c r="AQ425" s="152"/>
      <c r="AR425" s="81"/>
      <c r="AS425" s="81"/>
      <c r="AT425" s="82"/>
      <c r="AU425" s="82"/>
      <c r="AV425" s="176"/>
      <c r="AW425" s="89"/>
      <c r="AX425" s="89"/>
      <c r="AY425" s="89"/>
      <c r="AZ425" s="89"/>
      <c r="BA425" s="89"/>
      <c r="BB425" s="89"/>
      <c r="BC425" s="89"/>
      <c r="BD425" s="89"/>
      <c r="BE425" s="141"/>
      <c r="BF425" s="176"/>
      <c r="BG425" s="176"/>
      <c r="BH425" s="176"/>
      <c r="BI425" s="176"/>
    </row>
    <row r="426" spans="1:61" s="90" customFormat="1">
      <c r="A426" s="83"/>
      <c r="B426" s="85"/>
      <c r="C426" s="84"/>
      <c r="D426" s="112"/>
      <c r="E426" s="112"/>
      <c r="F426" s="112"/>
      <c r="G426" s="85"/>
      <c r="H426" s="120"/>
      <c r="I426" s="280"/>
      <c r="J426" s="120"/>
      <c r="K426" s="120" t="str">
        <f t="shared" si="28"/>
        <v/>
      </c>
      <c r="L426" s="287"/>
      <c r="M426" s="91"/>
      <c r="N426" s="87"/>
      <c r="O426" s="159"/>
      <c r="P426" s="86"/>
      <c r="Q426" s="92"/>
      <c r="R426" s="120">
        <f t="shared" si="29"/>
        <v>0</v>
      </c>
      <c r="S426" s="93"/>
      <c r="T426" s="117"/>
      <c r="U426" s="88"/>
      <c r="V426" s="85"/>
      <c r="W426" s="146"/>
      <c r="X426" s="137"/>
      <c r="Y426" s="137"/>
      <c r="Z426" s="137"/>
      <c r="AA426" s="137"/>
      <c r="AB426" s="137"/>
      <c r="AC426" s="137"/>
      <c r="AD426" s="137"/>
      <c r="AE426" s="137"/>
      <c r="AF426" s="141"/>
      <c r="AG426" s="146"/>
      <c r="AH426" s="146"/>
      <c r="AI426" s="146"/>
      <c r="AJ426" s="146"/>
      <c r="AK426" s="146"/>
      <c r="AL426" s="81"/>
      <c r="AM426" s="81"/>
      <c r="AN426" s="152"/>
      <c r="AO426" s="152"/>
      <c r="AP426" s="152"/>
      <c r="AQ426" s="152"/>
      <c r="AR426" s="81"/>
      <c r="AS426" s="81"/>
      <c r="AT426" s="82"/>
      <c r="AU426" s="82"/>
      <c r="AV426" s="176"/>
      <c r="AW426" s="89"/>
      <c r="AX426" s="89"/>
      <c r="AY426" s="89"/>
      <c r="AZ426" s="89"/>
      <c r="BA426" s="89"/>
      <c r="BB426" s="89"/>
      <c r="BC426" s="89"/>
      <c r="BD426" s="89"/>
      <c r="BE426" s="141"/>
      <c r="BF426" s="176"/>
      <c r="BG426" s="176"/>
      <c r="BH426" s="176"/>
      <c r="BI426" s="176"/>
    </row>
    <row r="427" spans="1:61" s="90" customFormat="1">
      <c r="A427" s="83"/>
      <c r="B427" s="85"/>
      <c r="C427" s="84"/>
      <c r="D427" s="112"/>
      <c r="E427" s="112"/>
      <c r="F427" s="112"/>
      <c r="G427" s="85"/>
      <c r="H427" s="120"/>
      <c r="I427" s="280"/>
      <c r="J427" s="120"/>
      <c r="K427" s="120" t="str">
        <f t="shared" si="28"/>
        <v/>
      </c>
      <c r="L427" s="287"/>
      <c r="M427" s="91"/>
      <c r="N427" s="87"/>
      <c r="O427" s="159"/>
      <c r="P427" s="86"/>
      <c r="Q427" s="92"/>
      <c r="R427" s="120">
        <f t="shared" si="29"/>
        <v>0</v>
      </c>
      <c r="S427" s="93"/>
      <c r="T427" s="117"/>
      <c r="U427" s="88"/>
      <c r="V427" s="85"/>
      <c r="W427" s="146"/>
      <c r="X427" s="137"/>
      <c r="Y427" s="137"/>
      <c r="Z427" s="137"/>
      <c r="AA427" s="137"/>
      <c r="AB427" s="137"/>
      <c r="AC427" s="137"/>
      <c r="AD427" s="137"/>
      <c r="AE427" s="137"/>
      <c r="AF427" s="141"/>
      <c r="AG427" s="146"/>
      <c r="AH427" s="146"/>
      <c r="AI427" s="146"/>
      <c r="AJ427" s="146"/>
      <c r="AK427" s="146"/>
      <c r="AL427" s="81"/>
      <c r="AM427" s="81"/>
      <c r="AN427" s="152"/>
      <c r="AO427" s="152"/>
      <c r="AP427" s="152"/>
      <c r="AQ427" s="152"/>
      <c r="AR427" s="81"/>
      <c r="AS427" s="81"/>
      <c r="AT427" s="82"/>
      <c r="AU427" s="82"/>
      <c r="AV427" s="176"/>
      <c r="AW427" s="89"/>
      <c r="AX427" s="89"/>
      <c r="AY427" s="89"/>
      <c r="AZ427" s="89"/>
      <c r="BA427" s="89"/>
      <c r="BB427" s="89"/>
      <c r="BC427" s="89"/>
      <c r="BD427" s="89"/>
      <c r="BE427" s="141"/>
      <c r="BF427" s="176"/>
      <c r="BG427" s="176"/>
      <c r="BH427" s="176"/>
      <c r="BI427" s="176"/>
    </row>
    <row r="428" spans="1:61" s="90" customFormat="1">
      <c r="A428" s="83"/>
      <c r="B428" s="85"/>
      <c r="C428" s="84"/>
      <c r="D428" s="112"/>
      <c r="E428" s="112"/>
      <c r="F428" s="112"/>
      <c r="G428" s="85"/>
      <c r="H428" s="120"/>
      <c r="I428" s="280"/>
      <c r="J428" s="120"/>
      <c r="K428" s="120" t="str">
        <f t="shared" si="28"/>
        <v/>
      </c>
      <c r="L428" s="287"/>
      <c r="M428" s="91"/>
      <c r="N428" s="87"/>
      <c r="O428" s="159"/>
      <c r="P428" s="86"/>
      <c r="Q428" s="92"/>
      <c r="R428" s="120">
        <f t="shared" si="29"/>
        <v>0</v>
      </c>
      <c r="S428" s="93"/>
      <c r="T428" s="117"/>
      <c r="U428" s="88"/>
      <c r="V428" s="85"/>
      <c r="W428" s="146"/>
      <c r="X428" s="137"/>
      <c r="Y428" s="137"/>
      <c r="Z428" s="137"/>
      <c r="AA428" s="137"/>
      <c r="AB428" s="137"/>
      <c r="AC428" s="137"/>
      <c r="AD428" s="137"/>
      <c r="AE428" s="137"/>
      <c r="AF428" s="141"/>
      <c r="AG428" s="146"/>
      <c r="AH428" s="146"/>
      <c r="AI428" s="146"/>
      <c r="AJ428" s="146"/>
      <c r="AK428" s="146"/>
      <c r="AL428" s="81"/>
      <c r="AM428" s="81"/>
      <c r="AN428" s="152"/>
      <c r="AO428" s="152"/>
      <c r="AP428" s="152"/>
      <c r="AQ428" s="152"/>
      <c r="AR428" s="81"/>
      <c r="AS428" s="81"/>
      <c r="AT428" s="82"/>
      <c r="AU428" s="82"/>
      <c r="AV428" s="176"/>
      <c r="AW428" s="89"/>
      <c r="AX428" s="89"/>
      <c r="AY428" s="89"/>
      <c r="AZ428" s="89"/>
      <c r="BA428" s="89"/>
      <c r="BB428" s="89"/>
      <c r="BC428" s="89"/>
      <c r="BD428" s="89"/>
      <c r="BE428" s="141"/>
      <c r="BF428" s="176"/>
      <c r="BG428" s="176"/>
      <c r="BH428" s="176"/>
      <c r="BI428" s="176"/>
    </row>
    <row r="429" spans="1:61" s="90" customFormat="1">
      <c r="A429" s="83"/>
      <c r="B429" s="85"/>
      <c r="C429" s="84"/>
      <c r="D429" s="112"/>
      <c r="E429" s="112"/>
      <c r="F429" s="112"/>
      <c r="G429" s="85"/>
      <c r="H429" s="120"/>
      <c r="I429" s="280"/>
      <c r="J429" s="120"/>
      <c r="K429" s="120" t="str">
        <f t="shared" si="28"/>
        <v/>
      </c>
      <c r="L429" s="287"/>
      <c r="M429" s="91"/>
      <c r="N429" s="87"/>
      <c r="O429" s="159"/>
      <c r="P429" s="86"/>
      <c r="Q429" s="92"/>
      <c r="R429" s="120">
        <f t="shared" si="29"/>
        <v>0</v>
      </c>
      <c r="S429" s="93"/>
      <c r="T429" s="117"/>
      <c r="U429" s="88"/>
      <c r="V429" s="85"/>
      <c r="W429" s="146"/>
      <c r="X429" s="137"/>
      <c r="Y429" s="137"/>
      <c r="Z429" s="137"/>
      <c r="AA429" s="137"/>
      <c r="AB429" s="137"/>
      <c r="AC429" s="137"/>
      <c r="AD429" s="137"/>
      <c r="AE429" s="137"/>
      <c r="AF429" s="141"/>
      <c r="AG429" s="146"/>
      <c r="AH429" s="146"/>
      <c r="AI429" s="146"/>
      <c r="AJ429" s="146"/>
      <c r="AK429" s="146"/>
      <c r="AL429" s="81"/>
      <c r="AM429" s="81"/>
      <c r="AN429" s="152"/>
      <c r="AO429" s="152"/>
      <c r="AP429" s="152"/>
      <c r="AQ429" s="152"/>
      <c r="AR429" s="81"/>
      <c r="AS429" s="81"/>
      <c r="AT429" s="82"/>
      <c r="AU429" s="82"/>
      <c r="AV429" s="176"/>
      <c r="AW429" s="89"/>
      <c r="AX429" s="89"/>
      <c r="AY429" s="89"/>
      <c r="AZ429" s="89"/>
      <c r="BA429" s="89"/>
      <c r="BB429" s="89"/>
      <c r="BC429" s="89"/>
      <c r="BD429" s="89"/>
      <c r="BE429" s="141"/>
      <c r="BF429" s="176"/>
      <c r="BG429" s="176"/>
      <c r="BH429" s="176"/>
      <c r="BI429" s="176"/>
    </row>
    <row r="430" spans="1:61" s="90" customFormat="1">
      <c r="A430" s="83"/>
      <c r="B430" s="85"/>
      <c r="C430" s="84"/>
      <c r="D430" s="112"/>
      <c r="E430" s="112"/>
      <c r="F430" s="112"/>
      <c r="G430" s="85"/>
      <c r="H430" s="120"/>
      <c r="I430" s="280"/>
      <c r="J430" s="120"/>
      <c r="K430" s="120" t="str">
        <f t="shared" si="28"/>
        <v/>
      </c>
      <c r="L430" s="287"/>
      <c r="M430" s="91"/>
      <c r="N430" s="87"/>
      <c r="O430" s="159"/>
      <c r="P430" s="86"/>
      <c r="Q430" s="92"/>
      <c r="R430" s="120">
        <f t="shared" si="29"/>
        <v>0</v>
      </c>
      <c r="S430" s="93"/>
      <c r="T430" s="117"/>
      <c r="U430" s="88"/>
      <c r="V430" s="85"/>
      <c r="W430" s="146"/>
      <c r="X430" s="137"/>
      <c r="Y430" s="137"/>
      <c r="Z430" s="137"/>
      <c r="AA430" s="137"/>
      <c r="AB430" s="137"/>
      <c r="AC430" s="137"/>
      <c r="AD430" s="137"/>
      <c r="AE430" s="137"/>
      <c r="AF430" s="141"/>
      <c r="AG430" s="146"/>
      <c r="AH430" s="146"/>
      <c r="AI430" s="146"/>
      <c r="AJ430" s="146"/>
      <c r="AK430" s="146"/>
      <c r="AL430" s="81"/>
      <c r="AM430" s="81"/>
      <c r="AN430" s="152"/>
      <c r="AO430" s="152"/>
      <c r="AP430" s="152"/>
      <c r="AQ430" s="152"/>
      <c r="AR430" s="81"/>
      <c r="AS430" s="81"/>
      <c r="AT430" s="82"/>
      <c r="AU430" s="82"/>
      <c r="AV430" s="176"/>
      <c r="AW430" s="89"/>
      <c r="AX430" s="89"/>
      <c r="AY430" s="89"/>
      <c r="AZ430" s="89"/>
      <c r="BA430" s="89"/>
      <c r="BB430" s="89"/>
      <c r="BC430" s="89"/>
      <c r="BD430" s="89"/>
      <c r="BE430" s="141"/>
      <c r="BF430" s="176"/>
      <c r="BG430" s="176"/>
      <c r="BH430" s="176"/>
      <c r="BI430" s="176"/>
    </row>
    <row r="431" spans="1:61" s="90" customFormat="1">
      <c r="A431" s="83"/>
      <c r="B431" s="85"/>
      <c r="C431" s="84"/>
      <c r="D431" s="112"/>
      <c r="E431" s="112"/>
      <c r="F431" s="112"/>
      <c r="G431" s="85"/>
      <c r="H431" s="120"/>
      <c r="I431" s="280"/>
      <c r="J431" s="120"/>
      <c r="K431" s="120" t="str">
        <f t="shared" si="28"/>
        <v/>
      </c>
      <c r="L431" s="287"/>
      <c r="M431" s="91"/>
      <c r="N431" s="87"/>
      <c r="O431" s="159"/>
      <c r="P431" s="86"/>
      <c r="Q431" s="92"/>
      <c r="R431" s="120">
        <f t="shared" si="29"/>
        <v>0</v>
      </c>
      <c r="S431" s="93"/>
      <c r="T431" s="117"/>
      <c r="U431" s="88"/>
      <c r="V431" s="85"/>
      <c r="W431" s="146"/>
      <c r="X431" s="137"/>
      <c r="Y431" s="137"/>
      <c r="Z431" s="137"/>
      <c r="AA431" s="137"/>
      <c r="AB431" s="137"/>
      <c r="AC431" s="137"/>
      <c r="AD431" s="137"/>
      <c r="AE431" s="137"/>
      <c r="AF431" s="141"/>
      <c r="AG431" s="146"/>
      <c r="AH431" s="146"/>
      <c r="AI431" s="146"/>
      <c r="AJ431" s="146"/>
      <c r="AK431" s="146"/>
      <c r="AL431" s="81"/>
      <c r="AM431" s="81"/>
      <c r="AN431" s="152"/>
      <c r="AO431" s="152"/>
      <c r="AP431" s="152"/>
      <c r="AQ431" s="152"/>
      <c r="AR431" s="81"/>
      <c r="AS431" s="81"/>
      <c r="AT431" s="82"/>
      <c r="AU431" s="82"/>
      <c r="AV431" s="176"/>
      <c r="AW431" s="89"/>
      <c r="AX431" s="89"/>
      <c r="AY431" s="89"/>
      <c r="AZ431" s="89"/>
      <c r="BA431" s="89"/>
      <c r="BB431" s="89"/>
      <c r="BC431" s="89"/>
      <c r="BD431" s="89"/>
      <c r="BE431" s="141"/>
      <c r="BF431" s="176"/>
      <c r="BG431" s="176"/>
      <c r="BH431" s="176"/>
      <c r="BI431" s="176"/>
    </row>
    <row r="432" spans="1:61" s="90" customFormat="1">
      <c r="A432" s="83"/>
      <c r="B432" s="85"/>
      <c r="C432" s="84"/>
      <c r="D432" s="112"/>
      <c r="E432" s="112"/>
      <c r="F432" s="112"/>
      <c r="G432" s="85"/>
      <c r="H432" s="120"/>
      <c r="I432" s="280"/>
      <c r="J432" s="120"/>
      <c r="K432" s="120" t="str">
        <f t="shared" si="28"/>
        <v/>
      </c>
      <c r="L432" s="287"/>
      <c r="M432" s="91"/>
      <c r="N432" s="87"/>
      <c r="O432" s="159"/>
      <c r="P432" s="86"/>
      <c r="Q432" s="92"/>
      <c r="R432" s="120">
        <f t="shared" si="29"/>
        <v>0</v>
      </c>
      <c r="S432" s="93"/>
      <c r="T432" s="117"/>
      <c r="U432" s="88"/>
      <c r="V432" s="85"/>
      <c r="W432" s="146"/>
      <c r="X432" s="137"/>
      <c r="Y432" s="137"/>
      <c r="Z432" s="137"/>
      <c r="AA432" s="137"/>
      <c r="AB432" s="137"/>
      <c r="AC432" s="137"/>
      <c r="AD432" s="137"/>
      <c r="AE432" s="137"/>
      <c r="AF432" s="141"/>
      <c r="AG432" s="146"/>
      <c r="AH432" s="146"/>
      <c r="AI432" s="146"/>
      <c r="AJ432" s="146"/>
      <c r="AK432" s="146"/>
      <c r="AL432" s="81"/>
      <c r="AM432" s="81"/>
      <c r="AN432" s="152"/>
      <c r="AO432" s="152"/>
      <c r="AP432" s="152"/>
      <c r="AQ432" s="152"/>
      <c r="AR432" s="81"/>
      <c r="AS432" s="81"/>
      <c r="AT432" s="82"/>
      <c r="AU432" s="82"/>
      <c r="AV432" s="176"/>
      <c r="AW432" s="89"/>
      <c r="AX432" s="89"/>
      <c r="AY432" s="89"/>
      <c r="AZ432" s="89"/>
      <c r="BA432" s="89"/>
      <c r="BB432" s="89"/>
      <c r="BC432" s="89"/>
      <c r="BD432" s="89"/>
      <c r="BE432" s="141"/>
      <c r="BF432" s="176"/>
      <c r="BG432" s="176"/>
      <c r="BH432" s="176"/>
      <c r="BI432" s="176"/>
    </row>
    <row r="433" spans="1:61" s="90" customFormat="1">
      <c r="A433" s="83"/>
      <c r="B433" s="85"/>
      <c r="C433" s="84"/>
      <c r="D433" s="112"/>
      <c r="E433" s="112"/>
      <c r="F433" s="112"/>
      <c r="G433" s="85"/>
      <c r="H433" s="120"/>
      <c r="I433" s="280"/>
      <c r="J433" s="120"/>
      <c r="K433" s="120" t="str">
        <f t="shared" si="28"/>
        <v/>
      </c>
      <c r="L433" s="287"/>
      <c r="M433" s="91"/>
      <c r="N433" s="87"/>
      <c r="O433" s="159"/>
      <c r="P433" s="86"/>
      <c r="Q433" s="92"/>
      <c r="R433" s="120">
        <f t="shared" si="29"/>
        <v>0</v>
      </c>
      <c r="S433" s="93"/>
      <c r="T433" s="117"/>
      <c r="U433" s="88"/>
      <c r="V433" s="85"/>
      <c r="W433" s="146"/>
      <c r="X433" s="137"/>
      <c r="Y433" s="137"/>
      <c r="Z433" s="137"/>
      <c r="AA433" s="137"/>
      <c r="AB433" s="137"/>
      <c r="AC433" s="137"/>
      <c r="AD433" s="137"/>
      <c r="AE433" s="137"/>
      <c r="AF433" s="141"/>
      <c r="AG433" s="146"/>
      <c r="AH433" s="146"/>
      <c r="AI433" s="146"/>
      <c r="AJ433" s="146"/>
      <c r="AK433" s="146"/>
      <c r="AL433" s="81"/>
      <c r="AM433" s="81"/>
      <c r="AN433" s="152"/>
      <c r="AO433" s="152"/>
      <c r="AP433" s="152"/>
      <c r="AQ433" s="152"/>
      <c r="AR433" s="81"/>
      <c r="AS433" s="81"/>
      <c r="AT433" s="82"/>
      <c r="AU433" s="82"/>
      <c r="AV433" s="176"/>
      <c r="AW433" s="89"/>
      <c r="AX433" s="89"/>
      <c r="AY433" s="89"/>
      <c r="AZ433" s="89"/>
      <c r="BA433" s="89"/>
      <c r="BB433" s="89"/>
      <c r="BC433" s="89"/>
      <c r="BD433" s="89"/>
      <c r="BE433" s="141"/>
      <c r="BF433" s="176"/>
      <c r="BG433" s="176"/>
      <c r="BH433" s="176"/>
      <c r="BI433" s="176"/>
    </row>
    <row r="434" spans="1:61" s="90" customFormat="1">
      <c r="A434" s="83"/>
      <c r="B434" s="85"/>
      <c r="C434" s="84"/>
      <c r="D434" s="112"/>
      <c r="E434" s="112"/>
      <c r="F434" s="112"/>
      <c r="G434" s="85"/>
      <c r="H434" s="120"/>
      <c r="I434" s="280"/>
      <c r="J434" s="120"/>
      <c r="K434" s="120" t="str">
        <f t="shared" si="28"/>
        <v/>
      </c>
      <c r="L434" s="287"/>
      <c r="M434" s="91"/>
      <c r="N434" s="87"/>
      <c r="O434" s="159"/>
      <c r="P434" s="86"/>
      <c r="Q434" s="92"/>
      <c r="R434" s="120">
        <f t="shared" si="29"/>
        <v>0</v>
      </c>
      <c r="S434" s="93"/>
      <c r="T434" s="117"/>
      <c r="U434" s="88"/>
      <c r="V434" s="85"/>
      <c r="W434" s="146"/>
      <c r="X434" s="137"/>
      <c r="Y434" s="137"/>
      <c r="Z434" s="137"/>
      <c r="AA434" s="137"/>
      <c r="AB434" s="137"/>
      <c r="AC434" s="137"/>
      <c r="AD434" s="137"/>
      <c r="AE434" s="137"/>
      <c r="AF434" s="141"/>
      <c r="AG434" s="146"/>
      <c r="AH434" s="146"/>
      <c r="AI434" s="146"/>
      <c r="AJ434" s="146"/>
      <c r="AK434" s="146"/>
      <c r="AL434" s="81"/>
      <c r="AM434" s="81"/>
      <c r="AN434" s="152"/>
      <c r="AO434" s="152"/>
      <c r="AP434" s="152"/>
      <c r="AQ434" s="152"/>
      <c r="AR434" s="81"/>
      <c r="AS434" s="81"/>
      <c r="AT434" s="82"/>
      <c r="AU434" s="82"/>
      <c r="AV434" s="176"/>
      <c r="AW434" s="89"/>
      <c r="AX434" s="89"/>
      <c r="AY434" s="89"/>
      <c r="AZ434" s="89"/>
      <c r="BA434" s="89"/>
      <c r="BB434" s="89"/>
      <c r="BC434" s="89"/>
      <c r="BD434" s="89"/>
      <c r="BE434" s="141"/>
      <c r="BF434" s="176"/>
      <c r="BG434" s="176"/>
      <c r="BH434" s="176"/>
      <c r="BI434" s="176"/>
    </row>
    <row r="435" spans="1:61" s="90" customFormat="1">
      <c r="A435" s="83"/>
      <c r="B435" s="85"/>
      <c r="C435" s="84"/>
      <c r="D435" s="112"/>
      <c r="E435" s="112"/>
      <c r="F435" s="112"/>
      <c r="G435" s="85"/>
      <c r="H435" s="120"/>
      <c r="I435" s="280"/>
      <c r="J435" s="120"/>
      <c r="K435" s="120" t="str">
        <f t="shared" si="28"/>
        <v/>
      </c>
      <c r="L435" s="287"/>
      <c r="M435" s="91"/>
      <c r="N435" s="87"/>
      <c r="O435" s="159"/>
      <c r="P435" s="86"/>
      <c r="Q435" s="92"/>
      <c r="R435" s="120">
        <f t="shared" si="29"/>
        <v>0</v>
      </c>
      <c r="S435" s="93"/>
      <c r="T435" s="117"/>
      <c r="U435" s="88"/>
      <c r="V435" s="85"/>
      <c r="W435" s="146"/>
      <c r="X435" s="137"/>
      <c r="Y435" s="137"/>
      <c r="Z435" s="137"/>
      <c r="AA435" s="137"/>
      <c r="AB435" s="137"/>
      <c r="AC435" s="137"/>
      <c r="AD435" s="137"/>
      <c r="AE435" s="137"/>
      <c r="AF435" s="141"/>
      <c r="AG435" s="146"/>
      <c r="AH435" s="146"/>
      <c r="AI435" s="146"/>
      <c r="AJ435" s="146"/>
      <c r="AK435" s="146"/>
      <c r="AL435" s="81"/>
      <c r="AM435" s="81"/>
      <c r="AN435" s="152"/>
      <c r="AO435" s="152"/>
      <c r="AP435" s="152"/>
      <c r="AQ435" s="152"/>
      <c r="AR435" s="81"/>
      <c r="AS435" s="81"/>
      <c r="AT435" s="82"/>
      <c r="AU435" s="82"/>
      <c r="AV435" s="176"/>
      <c r="AW435" s="89"/>
      <c r="AX435" s="89"/>
      <c r="AY435" s="89"/>
      <c r="AZ435" s="89"/>
      <c r="BA435" s="89"/>
      <c r="BB435" s="89"/>
      <c r="BC435" s="89"/>
      <c r="BD435" s="89"/>
      <c r="BE435" s="141"/>
      <c r="BF435" s="176"/>
      <c r="BG435" s="176"/>
      <c r="BH435" s="176"/>
      <c r="BI435" s="176"/>
    </row>
    <row r="436" spans="1:61" s="90" customFormat="1">
      <c r="A436" s="83"/>
      <c r="B436" s="85"/>
      <c r="C436" s="84"/>
      <c r="D436" s="112"/>
      <c r="E436" s="112"/>
      <c r="F436" s="112"/>
      <c r="G436" s="85"/>
      <c r="H436" s="120"/>
      <c r="I436" s="280"/>
      <c r="J436" s="120"/>
      <c r="K436" s="120" t="str">
        <f t="shared" si="28"/>
        <v/>
      </c>
      <c r="L436" s="287"/>
      <c r="M436" s="91"/>
      <c r="N436" s="87"/>
      <c r="O436" s="159"/>
      <c r="P436" s="86"/>
      <c r="Q436" s="92"/>
      <c r="R436" s="120">
        <f t="shared" si="29"/>
        <v>0</v>
      </c>
      <c r="S436" s="93"/>
      <c r="T436" s="117"/>
      <c r="U436" s="88"/>
      <c r="V436" s="85"/>
      <c r="W436" s="146"/>
      <c r="X436" s="137"/>
      <c r="Y436" s="137"/>
      <c r="Z436" s="137"/>
      <c r="AA436" s="137"/>
      <c r="AB436" s="137"/>
      <c r="AC436" s="137"/>
      <c r="AD436" s="137"/>
      <c r="AE436" s="137"/>
      <c r="AF436" s="141"/>
      <c r="AG436" s="146"/>
      <c r="AH436" s="146"/>
      <c r="AI436" s="146"/>
      <c r="AJ436" s="146"/>
      <c r="AK436" s="146"/>
      <c r="AL436" s="81"/>
      <c r="AM436" s="81"/>
      <c r="AN436" s="152"/>
      <c r="AO436" s="152"/>
      <c r="AP436" s="152"/>
      <c r="AQ436" s="152"/>
      <c r="AR436" s="81"/>
      <c r="AS436" s="81"/>
      <c r="AT436" s="82"/>
      <c r="AU436" s="82"/>
      <c r="AV436" s="176"/>
      <c r="AW436" s="89"/>
      <c r="AX436" s="89"/>
      <c r="AY436" s="89"/>
      <c r="AZ436" s="89"/>
      <c r="BA436" s="89"/>
      <c r="BB436" s="89"/>
      <c r="BC436" s="89"/>
      <c r="BD436" s="89"/>
      <c r="BE436" s="141"/>
      <c r="BF436" s="176"/>
      <c r="BG436" s="176"/>
      <c r="BH436" s="176"/>
      <c r="BI436" s="176"/>
    </row>
    <row r="437" spans="1:61" s="90" customFormat="1">
      <c r="A437" s="83"/>
      <c r="B437" s="85"/>
      <c r="C437" s="84"/>
      <c r="D437" s="112"/>
      <c r="E437" s="112"/>
      <c r="F437" s="112"/>
      <c r="G437" s="85"/>
      <c r="H437" s="120"/>
      <c r="I437" s="280"/>
      <c r="J437" s="120"/>
      <c r="K437" s="120" t="str">
        <f t="shared" si="28"/>
        <v/>
      </c>
      <c r="L437" s="287"/>
      <c r="M437" s="91"/>
      <c r="N437" s="87"/>
      <c r="O437" s="159"/>
      <c r="P437" s="86"/>
      <c r="Q437" s="92"/>
      <c r="R437" s="120">
        <f t="shared" si="29"/>
        <v>0</v>
      </c>
      <c r="S437" s="93"/>
      <c r="T437" s="117"/>
      <c r="U437" s="88"/>
      <c r="V437" s="85"/>
      <c r="W437" s="146"/>
      <c r="X437" s="137"/>
      <c r="Y437" s="137"/>
      <c r="Z437" s="137"/>
      <c r="AA437" s="137"/>
      <c r="AB437" s="137"/>
      <c r="AC437" s="137"/>
      <c r="AD437" s="137"/>
      <c r="AE437" s="137"/>
      <c r="AF437" s="141"/>
      <c r="AG437" s="146"/>
      <c r="AH437" s="146"/>
      <c r="AI437" s="146"/>
      <c r="AJ437" s="146"/>
      <c r="AK437" s="146"/>
      <c r="AL437" s="81"/>
      <c r="AM437" s="81"/>
      <c r="AN437" s="152"/>
      <c r="AO437" s="152"/>
      <c r="AP437" s="152"/>
      <c r="AQ437" s="152"/>
      <c r="AR437" s="81"/>
      <c r="AS437" s="81"/>
      <c r="AT437" s="82"/>
      <c r="AU437" s="82"/>
      <c r="AV437" s="176"/>
      <c r="AW437" s="89"/>
      <c r="AX437" s="89"/>
      <c r="AY437" s="89"/>
      <c r="AZ437" s="89"/>
      <c r="BA437" s="89"/>
      <c r="BB437" s="89"/>
      <c r="BC437" s="89"/>
      <c r="BD437" s="89"/>
      <c r="BE437" s="141"/>
      <c r="BF437" s="176"/>
      <c r="BG437" s="176"/>
      <c r="BH437" s="176"/>
      <c r="BI437" s="176"/>
    </row>
    <row r="438" spans="1:61" s="90" customFormat="1">
      <c r="A438" s="83"/>
      <c r="B438" s="85"/>
      <c r="C438" s="84"/>
      <c r="D438" s="112"/>
      <c r="E438" s="112"/>
      <c r="F438" s="112"/>
      <c r="G438" s="85"/>
      <c r="H438" s="120"/>
      <c r="I438" s="280"/>
      <c r="J438" s="120"/>
      <c r="K438" s="120" t="str">
        <f t="shared" si="28"/>
        <v/>
      </c>
      <c r="L438" s="287"/>
      <c r="M438" s="91"/>
      <c r="N438" s="87"/>
      <c r="O438" s="159"/>
      <c r="P438" s="86"/>
      <c r="Q438" s="92"/>
      <c r="R438" s="120">
        <f t="shared" si="29"/>
        <v>0</v>
      </c>
      <c r="S438" s="93"/>
      <c r="T438" s="117"/>
      <c r="U438" s="88"/>
      <c r="V438" s="85"/>
      <c r="W438" s="146"/>
      <c r="X438" s="137"/>
      <c r="Y438" s="137"/>
      <c r="Z438" s="137"/>
      <c r="AA438" s="137"/>
      <c r="AB438" s="137"/>
      <c r="AC438" s="137"/>
      <c r="AD438" s="137"/>
      <c r="AE438" s="137"/>
      <c r="AF438" s="141"/>
      <c r="AG438" s="146"/>
      <c r="AH438" s="146"/>
      <c r="AI438" s="146"/>
      <c r="AJ438" s="146"/>
      <c r="AK438" s="146"/>
      <c r="AL438" s="81"/>
      <c r="AM438" s="81"/>
      <c r="AN438" s="152"/>
      <c r="AO438" s="152"/>
      <c r="AP438" s="152"/>
      <c r="AQ438" s="152"/>
      <c r="AR438" s="81"/>
      <c r="AS438" s="81"/>
      <c r="AT438" s="82"/>
      <c r="AU438" s="82"/>
      <c r="AV438" s="176"/>
      <c r="AW438" s="89"/>
      <c r="AX438" s="89"/>
      <c r="AY438" s="89"/>
      <c r="AZ438" s="89"/>
      <c r="BA438" s="89"/>
      <c r="BB438" s="89"/>
      <c r="BC438" s="89"/>
      <c r="BD438" s="89"/>
      <c r="BE438" s="141"/>
      <c r="BF438" s="176"/>
      <c r="BG438" s="176"/>
      <c r="BH438" s="176"/>
      <c r="BI438" s="176"/>
    </row>
    <row r="439" spans="1:61" s="90" customFormat="1">
      <c r="A439" s="83"/>
      <c r="B439" s="85"/>
      <c r="C439" s="84"/>
      <c r="D439" s="112"/>
      <c r="E439" s="112"/>
      <c r="F439" s="112"/>
      <c r="G439" s="85"/>
      <c r="H439" s="120"/>
      <c r="I439" s="280"/>
      <c r="J439" s="120"/>
      <c r="K439" s="120" t="str">
        <f t="shared" si="28"/>
        <v/>
      </c>
      <c r="L439" s="287"/>
      <c r="M439" s="91"/>
      <c r="N439" s="87"/>
      <c r="O439" s="159"/>
      <c r="P439" s="86"/>
      <c r="Q439" s="92"/>
      <c r="R439" s="120">
        <f t="shared" si="29"/>
        <v>0</v>
      </c>
      <c r="S439" s="93"/>
      <c r="T439" s="117"/>
      <c r="U439" s="88"/>
      <c r="V439" s="85"/>
      <c r="W439" s="146"/>
      <c r="X439" s="137"/>
      <c r="Y439" s="137"/>
      <c r="Z439" s="137"/>
      <c r="AA439" s="137"/>
      <c r="AB439" s="137"/>
      <c r="AC439" s="137"/>
      <c r="AD439" s="137"/>
      <c r="AE439" s="137"/>
      <c r="AF439" s="141"/>
      <c r="AG439" s="146"/>
      <c r="AH439" s="146"/>
      <c r="AI439" s="146"/>
      <c r="AJ439" s="146"/>
      <c r="AK439" s="146"/>
      <c r="AL439" s="81"/>
      <c r="AM439" s="81"/>
      <c r="AN439" s="152"/>
      <c r="AO439" s="152"/>
      <c r="AP439" s="152"/>
      <c r="AQ439" s="152"/>
      <c r="AR439" s="81"/>
      <c r="AS439" s="81"/>
      <c r="AT439" s="82"/>
      <c r="AU439" s="82"/>
      <c r="AV439" s="176"/>
      <c r="AW439" s="89"/>
      <c r="AX439" s="89"/>
      <c r="AY439" s="89"/>
      <c r="AZ439" s="89"/>
      <c r="BA439" s="89"/>
      <c r="BB439" s="89"/>
      <c r="BC439" s="89"/>
      <c r="BD439" s="89"/>
      <c r="BE439" s="141"/>
      <c r="BF439" s="176"/>
      <c r="BG439" s="176"/>
      <c r="BH439" s="176"/>
      <c r="BI439" s="176"/>
    </row>
    <row r="440" spans="1:61" s="90" customFormat="1">
      <c r="A440" s="83"/>
      <c r="B440" s="85"/>
      <c r="C440" s="84"/>
      <c r="D440" s="112"/>
      <c r="E440" s="112"/>
      <c r="F440" s="112"/>
      <c r="G440" s="85"/>
      <c r="H440" s="120"/>
      <c r="I440" s="280"/>
      <c r="J440" s="120"/>
      <c r="K440" s="120" t="str">
        <f t="shared" si="28"/>
        <v/>
      </c>
      <c r="L440" s="287"/>
      <c r="M440" s="91"/>
      <c r="N440" s="87"/>
      <c r="O440" s="159"/>
      <c r="P440" s="86"/>
      <c r="Q440" s="92"/>
      <c r="R440" s="120">
        <f t="shared" si="29"/>
        <v>0</v>
      </c>
      <c r="S440" s="93"/>
      <c r="T440" s="117"/>
      <c r="U440" s="88"/>
      <c r="V440" s="85"/>
      <c r="W440" s="146"/>
      <c r="X440" s="137"/>
      <c r="Y440" s="137"/>
      <c r="Z440" s="137"/>
      <c r="AA440" s="137"/>
      <c r="AB440" s="137"/>
      <c r="AC440" s="137"/>
      <c r="AD440" s="137"/>
      <c r="AE440" s="137"/>
      <c r="AF440" s="141"/>
      <c r="AG440" s="146"/>
      <c r="AH440" s="146"/>
      <c r="AI440" s="146"/>
      <c r="AJ440" s="146"/>
      <c r="AK440" s="146"/>
      <c r="AL440" s="81"/>
      <c r="AM440" s="81"/>
      <c r="AN440" s="152"/>
      <c r="AO440" s="152"/>
      <c r="AP440" s="152"/>
      <c r="AQ440" s="152"/>
      <c r="AR440" s="81"/>
      <c r="AS440" s="81"/>
      <c r="AT440" s="82"/>
      <c r="AU440" s="82"/>
      <c r="AV440" s="176"/>
      <c r="AW440" s="89"/>
      <c r="AX440" s="89"/>
      <c r="AY440" s="89"/>
      <c r="AZ440" s="89"/>
      <c r="BA440" s="89"/>
      <c r="BB440" s="89"/>
      <c r="BC440" s="89"/>
      <c r="BD440" s="89"/>
      <c r="BE440" s="141"/>
      <c r="BF440" s="176"/>
      <c r="BG440" s="176"/>
      <c r="BH440" s="176"/>
      <c r="BI440" s="176"/>
    </row>
    <row r="441" spans="1:61" s="90" customFormat="1">
      <c r="A441" s="83"/>
      <c r="B441" s="85"/>
      <c r="C441" s="84"/>
      <c r="D441" s="112"/>
      <c r="E441" s="112"/>
      <c r="F441" s="112"/>
      <c r="G441" s="85"/>
      <c r="H441" s="120"/>
      <c r="I441" s="280"/>
      <c r="J441" s="120"/>
      <c r="K441" s="120" t="str">
        <f t="shared" si="28"/>
        <v/>
      </c>
      <c r="L441" s="287"/>
      <c r="M441" s="91"/>
      <c r="N441" s="87"/>
      <c r="O441" s="159"/>
      <c r="P441" s="86"/>
      <c r="Q441" s="92"/>
      <c r="R441" s="120">
        <f t="shared" si="29"/>
        <v>0</v>
      </c>
      <c r="S441" s="93"/>
      <c r="T441" s="117"/>
      <c r="U441" s="88"/>
      <c r="V441" s="85"/>
      <c r="W441" s="146"/>
      <c r="X441" s="137"/>
      <c r="Y441" s="137"/>
      <c r="Z441" s="137"/>
      <c r="AA441" s="137"/>
      <c r="AB441" s="137"/>
      <c r="AC441" s="137"/>
      <c r="AD441" s="137"/>
      <c r="AE441" s="137"/>
      <c r="AF441" s="141"/>
      <c r="AG441" s="146"/>
      <c r="AH441" s="146"/>
      <c r="AI441" s="146"/>
      <c r="AJ441" s="146"/>
      <c r="AK441" s="146"/>
      <c r="AL441" s="81"/>
      <c r="AM441" s="81"/>
      <c r="AN441" s="152"/>
      <c r="AO441" s="152"/>
      <c r="AP441" s="152"/>
      <c r="AQ441" s="152"/>
      <c r="AR441" s="81"/>
      <c r="AS441" s="81"/>
      <c r="AT441" s="82"/>
      <c r="AU441" s="82"/>
      <c r="AV441" s="176"/>
      <c r="AW441" s="89"/>
      <c r="AX441" s="89"/>
      <c r="AY441" s="89"/>
      <c r="AZ441" s="89"/>
      <c r="BA441" s="89"/>
      <c r="BB441" s="89"/>
      <c r="BC441" s="89"/>
      <c r="BD441" s="89"/>
      <c r="BE441" s="141"/>
      <c r="BF441" s="176"/>
      <c r="BG441" s="176"/>
      <c r="BH441" s="176"/>
      <c r="BI441" s="176"/>
    </row>
    <row r="442" spans="1:61" s="90" customFormat="1">
      <c r="A442" s="83"/>
      <c r="B442" s="85"/>
      <c r="C442" s="84"/>
      <c r="D442" s="112"/>
      <c r="E442" s="112"/>
      <c r="F442" s="112"/>
      <c r="G442" s="85"/>
      <c r="H442" s="120"/>
      <c r="I442" s="280"/>
      <c r="J442" s="120"/>
      <c r="K442" s="120" t="str">
        <f t="shared" si="28"/>
        <v/>
      </c>
      <c r="L442" s="287"/>
      <c r="M442" s="91"/>
      <c r="N442" s="87"/>
      <c r="O442" s="159"/>
      <c r="P442" s="86"/>
      <c r="Q442" s="92"/>
      <c r="R442" s="120">
        <f t="shared" si="29"/>
        <v>0</v>
      </c>
      <c r="S442" s="93"/>
      <c r="T442" s="117"/>
      <c r="U442" s="88"/>
      <c r="V442" s="85"/>
      <c r="W442" s="146"/>
      <c r="X442" s="137"/>
      <c r="Y442" s="137"/>
      <c r="Z442" s="137"/>
      <c r="AA442" s="137"/>
      <c r="AB442" s="137"/>
      <c r="AC442" s="137"/>
      <c r="AD442" s="137"/>
      <c r="AE442" s="137"/>
      <c r="AF442" s="141"/>
      <c r="AG442" s="146"/>
      <c r="AH442" s="146"/>
      <c r="AI442" s="146"/>
      <c r="AJ442" s="146"/>
      <c r="AK442" s="146"/>
      <c r="AL442" s="81"/>
      <c r="AM442" s="81"/>
      <c r="AN442" s="152"/>
      <c r="AO442" s="152"/>
      <c r="AP442" s="152"/>
      <c r="AQ442" s="152"/>
      <c r="AR442" s="81"/>
      <c r="AS442" s="81"/>
      <c r="AT442" s="82"/>
      <c r="AU442" s="82"/>
      <c r="AV442" s="176"/>
      <c r="AW442" s="89"/>
      <c r="AX442" s="89"/>
      <c r="AY442" s="89"/>
      <c r="AZ442" s="89"/>
      <c r="BA442" s="89"/>
      <c r="BB442" s="89"/>
      <c r="BC442" s="89"/>
      <c r="BD442" s="89"/>
      <c r="BE442" s="141"/>
      <c r="BF442" s="176"/>
      <c r="BG442" s="176"/>
      <c r="BH442" s="176"/>
      <c r="BI442" s="176"/>
    </row>
    <row r="443" spans="1:61" s="90" customFormat="1">
      <c r="A443" s="83"/>
      <c r="B443" s="85"/>
      <c r="C443" s="84"/>
      <c r="D443" s="112"/>
      <c r="E443" s="112"/>
      <c r="F443" s="112"/>
      <c r="G443" s="85"/>
      <c r="H443" s="120"/>
      <c r="I443" s="280"/>
      <c r="J443" s="120"/>
      <c r="K443" s="120" t="str">
        <f t="shared" si="28"/>
        <v/>
      </c>
      <c r="L443" s="287"/>
      <c r="M443" s="91"/>
      <c r="N443" s="87"/>
      <c r="O443" s="159"/>
      <c r="P443" s="86"/>
      <c r="Q443" s="92"/>
      <c r="R443" s="120">
        <f t="shared" si="29"/>
        <v>0</v>
      </c>
      <c r="S443" s="93"/>
      <c r="T443" s="117"/>
      <c r="U443" s="88"/>
      <c r="V443" s="85"/>
      <c r="W443" s="146"/>
      <c r="X443" s="137"/>
      <c r="Y443" s="137"/>
      <c r="Z443" s="137"/>
      <c r="AA443" s="137"/>
      <c r="AB443" s="137"/>
      <c r="AC443" s="137"/>
      <c r="AD443" s="137"/>
      <c r="AE443" s="137"/>
      <c r="AF443" s="141"/>
      <c r="AG443" s="146"/>
      <c r="AH443" s="146"/>
      <c r="AI443" s="146"/>
      <c r="AJ443" s="146"/>
      <c r="AK443" s="146"/>
      <c r="AL443" s="81"/>
      <c r="AM443" s="81"/>
      <c r="AN443" s="152"/>
      <c r="AO443" s="152"/>
      <c r="AP443" s="152"/>
      <c r="AQ443" s="152"/>
      <c r="AR443" s="81"/>
      <c r="AS443" s="81"/>
      <c r="AT443" s="82"/>
      <c r="AU443" s="82"/>
      <c r="AV443" s="176"/>
      <c r="AW443" s="89"/>
      <c r="AX443" s="89"/>
      <c r="AY443" s="89"/>
      <c r="AZ443" s="89"/>
      <c r="BA443" s="89"/>
      <c r="BB443" s="89"/>
      <c r="BC443" s="89"/>
      <c r="BD443" s="89"/>
      <c r="BE443" s="141"/>
      <c r="BF443" s="176"/>
      <c r="BG443" s="176"/>
      <c r="BH443" s="176"/>
      <c r="BI443" s="176"/>
    </row>
    <row r="444" spans="1:61" s="90" customFormat="1">
      <c r="A444" s="83"/>
      <c r="B444" s="85"/>
      <c r="C444" s="84"/>
      <c r="D444" s="112"/>
      <c r="E444" s="112"/>
      <c r="F444" s="112"/>
      <c r="G444" s="85"/>
      <c r="H444" s="120"/>
      <c r="I444" s="280"/>
      <c r="J444" s="120"/>
      <c r="K444" s="120" t="str">
        <f t="shared" si="28"/>
        <v/>
      </c>
      <c r="L444" s="287"/>
      <c r="M444" s="91"/>
      <c r="N444" s="87"/>
      <c r="O444" s="159"/>
      <c r="P444" s="86"/>
      <c r="Q444" s="92"/>
      <c r="R444" s="120">
        <f t="shared" si="29"/>
        <v>0</v>
      </c>
      <c r="S444" s="93"/>
      <c r="T444" s="117"/>
      <c r="U444" s="88"/>
      <c r="V444" s="85"/>
      <c r="W444" s="146"/>
      <c r="X444" s="137"/>
      <c r="Y444" s="137"/>
      <c r="Z444" s="137"/>
      <c r="AA444" s="137"/>
      <c r="AB444" s="137"/>
      <c r="AC444" s="137"/>
      <c r="AD444" s="137"/>
      <c r="AE444" s="137"/>
      <c r="AF444" s="141"/>
      <c r="AG444" s="146"/>
      <c r="AH444" s="146"/>
      <c r="AI444" s="146"/>
      <c r="AJ444" s="146"/>
      <c r="AK444" s="146"/>
      <c r="AL444" s="81"/>
      <c r="AM444" s="81"/>
      <c r="AN444" s="152"/>
      <c r="AO444" s="152"/>
      <c r="AP444" s="152"/>
      <c r="AQ444" s="152"/>
      <c r="AR444" s="81"/>
      <c r="AS444" s="81"/>
      <c r="AT444" s="82"/>
      <c r="AU444" s="82"/>
      <c r="AV444" s="176"/>
      <c r="AW444" s="89"/>
      <c r="AX444" s="89"/>
      <c r="AY444" s="89"/>
      <c r="AZ444" s="89"/>
      <c r="BA444" s="89"/>
      <c r="BB444" s="89"/>
      <c r="BC444" s="89"/>
      <c r="BD444" s="89"/>
      <c r="BE444" s="141"/>
      <c r="BF444" s="176"/>
      <c r="BG444" s="176"/>
      <c r="BH444" s="176"/>
      <c r="BI444" s="176"/>
    </row>
    <row r="445" spans="1:61" s="90" customFormat="1">
      <c r="A445" s="83"/>
      <c r="B445" s="85"/>
      <c r="C445" s="84"/>
      <c r="D445" s="112"/>
      <c r="E445" s="112"/>
      <c r="F445" s="112"/>
      <c r="G445" s="85"/>
      <c r="H445" s="120"/>
      <c r="I445" s="280"/>
      <c r="J445" s="120"/>
      <c r="K445" s="120" t="str">
        <f t="shared" si="28"/>
        <v/>
      </c>
      <c r="L445" s="287"/>
      <c r="M445" s="91"/>
      <c r="N445" s="87"/>
      <c r="O445" s="159"/>
      <c r="P445" s="86"/>
      <c r="Q445" s="92"/>
      <c r="R445" s="120">
        <f t="shared" si="29"/>
        <v>0</v>
      </c>
      <c r="S445" s="93"/>
      <c r="T445" s="117"/>
      <c r="U445" s="88"/>
      <c r="V445" s="85"/>
      <c r="W445" s="146"/>
      <c r="X445" s="137"/>
      <c r="Y445" s="137"/>
      <c r="Z445" s="137"/>
      <c r="AA445" s="137"/>
      <c r="AB445" s="137"/>
      <c r="AC445" s="137"/>
      <c r="AD445" s="137"/>
      <c r="AE445" s="137"/>
      <c r="AF445" s="141"/>
      <c r="AG445" s="146"/>
      <c r="AH445" s="146"/>
      <c r="AI445" s="146"/>
      <c r="AJ445" s="146"/>
      <c r="AK445" s="146"/>
      <c r="AL445" s="81"/>
      <c r="AM445" s="81"/>
      <c r="AN445" s="152"/>
      <c r="AO445" s="152"/>
      <c r="AP445" s="152"/>
      <c r="AQ445" s="152"/>
      <c r="AR445" s="81"/>
      <c r="AS445" s="81"/>
      <c r="AT445" s="82"/>
      <c r="AU445" s="82"/>
      <c r="AV445" s="176"/>
      <c r="AW445" s="89"/>
      <c r="AX445" s="89"/>
      <c r="AY445" s="89"/>
      <c r="AZ445" s="89"/>
      <c r="BA445" s="89"/>
      <c r="BB445" s="89"/>
      <c r="BC445" s="89"/>
      <c r="BD445" s="89"/>
      <c r="BE445" s="141"/>
      <c r="BF445" s="176"/>
      <c r="BG445" s="176"/>
      <c r="BH445" s="176"/>
      <c r="BI445" s="176"/>
    </row>
    <row r="446" spans="1:61" s="90" customFormat="1">
      <c r="A446" s="83"/>
      <c r="B446" s="85"/>
      <c r="C446" s="84"/>
      <c r="D446" s="112"/>
      <c r="E446" s="112"/>
      <c r="F446" s="112"/>
      <c r="G446" s="85"/>
      <c r="H446" s="120"/>
      <c r="I446" s="280"/>
      <c r="J446" s="120"/>
      <c r="K446" s="120" t="str">
        <f t="shared" si="28"/>
        <v/>
      </c>
      <c r="L446" s="287"/>
      <c r="M446" s="91"/>
      <c r="N446" s="87"/>
      <c r="O446" s="159"/>
      <c r="P446" s="86"/>
      <c r="Q446" s="92"/>
      <c r="R446" s="120">
        <f t="shared" si="29"/>
        <v>0</v>
      </c>
      <c r="S446" s="93"/>
      <c r="T446" s="117"/>
      <c r="U446" s="88"/>
      <c r="V446" s="85"/>
      <c r="W446" s="146"/>
      <c r="X446" s="137"/>
      <c r="Y446" s="137"/>
      <c r="Z446" s="137"/>
      <c r="AA446" s="137"/>
      <c r="AB446" s="137"/>
      <c r="AC446" s="137"/>
      <c r="AD446" s="137"/>
      <c r="AE446" s="137"/>
      <c r="AF446" s="141"/>
      <c r="AG446" s="146"/>
      <c r="AH446" s="146"/>
      <c r="AI446" s="146"/>
      <c r="AJ446" s="146"/>
      <c r="AK446" s="146"/>
      <c r="AL446" s="81"/>
      <c r="AM446" s="81"/>
      <c r="AN446" s="152"/>
      <c r="AO446" s="152"/>
      <c r="AP446" s="152"/>
      <c r="AQ446" s="152"/>
      <c r="AR446" s="81"/>
      <c r="AS446" s="81"/>
      <c r="AT446" s="82"/>
      <c r="AU446" s="82"/>
      <c r="AV446" s="176"/>
      <c r="AW446" s="89"/>
      <c r="AX446" s="89"/>
      <c r="AY446" s="89"/>
      <c r="AZ446" s="89"/>
      <c r="BA446" s="89"/>
      <c r="BB446" s="89"/>
      <c r="BC446" s="89"/>
      <c r="BD446" s="89"/>
      <c r="BE446" s="141"/>
      <c r="BF446" s="176"/>
      <c r="BG446" s="176"/>
      <c r="BH446" s="176"/>
      <c r="BI446" s="176"/>
    </row>
    <row r="447" spans="1:61" s="90" customFormat="1">
      <c r="A447" s="83"/>
      <c r="B447" s="85"/>
      <c r="C447" s="84"/>
      <c r="D447" s="112"/>
      <c r="E447" s="112"/>
      <c r="F447" s="112"/>
      <c r="G447" s="85"/>
      <c r="H447" s="120"/>
      <c r="I447" s="280"/>
      <c r="J447" s="120"/>
      <c r="K447" s="120" t="str">
        <f t="shared" si="28"/>
        <v/>
      </c>
      <c r="L447" s="287"/>
      <c r="M447" s="91"/>
      <c r="N447" s="87"/>
      <c r="O447" s="159"/>
      <c r="P447" s="86"/>
      <c r="Q447" s="92"/>
      <c r="R447" s="120">
        <f t="shared" si="29"/>
        <v>0</v>
      </c>
      <c r="S447" s="93"/>
      <c r="T447" s="117"/>
      <c r="U447" s="88"/>
      <c r="V447" s="85"/>
      <c r="W447" s="146"/>
      <c r="X447" s="137"/>
      <c r="Y447" s="137"/>
      <c r="Z447" s="137"/>
      <c r="AA447" s="137"/>
      <c r="AB447" s="137"/>
      <c r="AC447" s="137"/>
      <c r="AD447" s="137"/>
      <c r="AE447" s="137"/>
      <c r="AF447" s="141"/>
      <c r="AG447" s="146"/>
      <c r="AH447" s="146"/>
      <c r="AI447" s="146"/>
      <c r="AJ447" s="146"/>
      <c r="AK447" s="146"/>
      <c r="AL447" s="81"/>
      <c r="AM447" s="81"/>
      <c r="AN447" s="152"/>
      <c r="AO447" s="152"/>
      <c r="AP447" s="152"/>
      <c r="AQ447" s="152"/>
      <c r="AR447" s="81"/>
      <c r="AS447" s="81"/>
      <c r="AT447" s="82"/>
      <c r="AU447" s="82"/>
      <c r="AV447" s="176"/>
      <c r="AW447" s="89"/>
      <c r="AX447" s="89"/>
      <c r="AY447" s="89"/>
      <c r="AZ447" s="89"/>
      <c r="BA447" s="89"/>
      <c r="BB447" s="89"/>
      <c r="BC447" s="89"/>
      <c r="BD447" s="89"/>
      <c r="BE447" s="141"/>
      <c r="BF447" s="176"/>
      <c r="BG447" s="176"/>
      <c r="BH447" s="176"/>
      <c r="BI447" s="176"/>
    </row>
    <row r="448" spans="1:61" s="90" customFormat="1">
      <c r="A448" s="83"/>
      <c r="B448" s="85"/>
      <c r="C448" s="84"/>
      <c r="D448" s="112"/>
      <c r="E448" s="112"/>
      <c r="F448" s="112"/>
      <c r="G448" s="85"/>
      <c r="H448" s="120"/>
      <c r="I448" s="280"/>
      <c r="J448" s="120"/>
      <c r="K448" s="120" t="str">
        <f t="shared" si="28"/>
        <v/>
      </c>
      <c r="L448" s="287"/>
      <c r="M448" s="91"/>
      <c r="N448" s="87"/>
      <c r="O448" s="159"/>
      <c r="P448" s="86"/>
      <c r="Q448" s="92"/>
      <c r="R448" s="120">
        <f t="shared" si="29"/>
        <v>0</v>
      </c>
      <c r="S448" s="93"/>
      <c r="T448" s="117"/>
      <c r="U448" s="88"/>
      <c r="V448" s="85"/>
      <c r="W448" s="146"/>
      <c r="X448" s="137"/>
      <c r="Y448" s="137"/>
      <c r="Z448" s="137"/>
      <c r="AA448" s="137"/>
      <c r="AB448" s="137"/>
      <c r="AC448" s="137"/>
      <c r="AD448" s="137"/>
      <c r="AE448" s="137"/>
      <c r="AF448" s="141"/>
      <c r="AG448" s="146"/>
      <c r="AH448" s="146"/>
      <c r="AI448" s="146"/>
      <c r="AJ448" s="146"/>
      <c r="AK448" s="146"/>
      <c r="AL448" s="81"/>
      <c r="AM448" s="81"/>
      <c r="AN448" s="152"/>
      <c r="AO448" s="152"/>
      <c r="AP448" s="152"/>
      <c r="AQ448" s="152"/>
      <c r="AR448" s="81"/>
      <c r="AS448" s="81"/>
      <c r="AT448" s="82"/>
      <c r="AU448" s="82"/>
      <c r="AV448" s="176"/>
      <c r="AW448" s="89"/>
      <c r="AX448" s="89"/>
      <c r="AY448" s="89"/>
      <c r="AZ448" s="89"/>
      <c r="BA448" s="89"/>
      <c r="BB448" s="89"/>
      <c r="BC448" s="89"/>
      <c r="BD448" s="89"/>
      <c r="BE448" s="141"/>
      <c r="BF448" s="176"/>
      <c r="BG448" s="176"/>
      <c r="BH448" s="176"/>
      <c r="BI448" s="176"/>
    </row>
    <row r="449" spans="1:61" s="90" customFormat="1">
      <c r="A449" s="83"/>
      <c r="B449" s="85"/>
      <c r="C449" s="84"/>
      <c r="D449" s="112"/>
      <c r="E449" s="112"/>
      <c r="F449" s="112"/>
      <c r="G449" s="85"/>
      <c r="H449" s="120"/>
      <c r="I449" s="280"/>
      <c r="J449" s="120"/>
      <c r="K449" s="120" t="str">
        <f t="shared" si="28"/>
        <v/>
      </c>
      <c r="L449" s="287"/>
      <c r="M449" s="91"/>
      <c r="N449" s="87"/>
      <c r="O449" s="159"/>
      <c r="P449" s="86"/>
      <c r="Q449" s="92"/>
      <c r="R449" s="120">
        <f t="shared" si="29"/>
        <v>0</v>
      </c>
      <c r="S449" s="93"/>
      <c r="T449" s="117"/>
      <c r="U449" s="88"/>
      <c r="V449" s="85"/>
      <c r="W449" s="146"/>
      <c r="X449" s="137"/>
      <c r="Y449" s="137"/>
      <c r="Z449" s="137"/>
      <c r="AA449" s="137"/>
      <c r="AB449" s="137"/>
      <c r="AC449" s="137"/>
      <c r="AD449" s="137"/>
      <c r="AE449" s="137"/>
      <c r="AF449" s="141"/>
      <c r="AG449" s="146"/>
      <c r="AH449" s="146"/>
      <c r="AI449" s="146"/>
      <c r="AJ449" s="146"/>
      <c r="AK449" s="146"/>
      <c r="AL449" s="81"/>
      <c r="AM449" s="81"/>
      <c r="AN449" s="152"/>
      <c r="AO449" s="152"/>
      <c r="AP449" s="152"/>
      <c r="AQ449" s="152"/>
      <c r="AR449" s="81"/>
      <c r="AS449" s="81"/>
      <c r="AT449" s="82"/>
      <c r="AU449" s="82"/>
      <c r="AV449" s="176"/>
      <c r="AW449" s="89"/>
      <c r="AX449" s="89"/>
      <c r="AY449" s="89"/>
      <c r="AZ449" s="89"/>
      <c r="BA449" s="89"/>
      <c r="BB449" s="89"/>
      <c r="BC449" s="89"/>
      <c r="BD449" s="89"/>
      <c r="BE449" s="141"/>
      <c r="BF449" s="176"/>
      <c r="BG449" s="176"/>
      <c r="BH449" s="176"/>
      <c r="BI449" s="176"/>
    </row>
    <row r="450" spans="1:61" s="90" customFormat="1">
      <c r="A450" s="83"/>
      <c r="B450" s="85"/>
      <c r="C450" s="84"/>
      <c r="D450" s="112"/>
      <c r="E450" s="112"/>
      <c r="F450" s="112"/>
      <c r="G450" s="85"/>
      <c r="H450" s="120"/>
      <c r="I450" s="280"/>
      <c r="J450" s="120"/>
      <c r="K450" s="120" t="str">
        <f t="shared" si="28"/>
        <v/>
      </c>
      <c r="L450" s="287"/>
      <c r="M450" s="91"/>
      <c r="N450" s="87"/>
      <c r="O450" s="159"/>
      <c r="P450" s="86"/>
      <c r="Q450" s="92"/>
      <c r="R450" s="120">
        <f t="shared" si="29"/>
        <v>0</v>
      </c>
      <c r="S450" s="93"/>
      <c r="T450" s="117"/>
      <c r="U450" s="88"/>
      <c r="V450" s="85"/>
      <c r="W450" s="146"/>
      <c r="X450" s="137"/>
      <c r="Y450" s="137"/>
      <c r="Z450" s="137"/>
      <c r="AA450" s="137"/>
      <c r="AB450" s="137"/>
      <c r="AC450" s="137"/>
      <c r="AD450" s="137"/>
      <c r="AE450" s="137"/>
      <c r="AF450" s="141"/>
      <c r="AG450" s="146"/>
      <c r="AH450" s="146"/>
      <c r="AI450" s="146"/>
      <c r="AJ450" s="146"/>
      <c r="AK450" s="146"/>
      <c r="AL450" s="81"/>
      <c r="AM450" s="81"/>
      <c r="AN450" s="152"/>
      <c r="AO450" s="152"/>
      <c r="AP450" s="152"/>
      <c r="AQ450" s="152"/>
      <c r="AR450" s="81"/>
      <c r="AS450" s="81"/>
      <c r="AT450" s="82"/>
      <c r="AU450" s="82"/>
      <c r="AV450" s="176"/>
      <c r="AW450" s="89"/>
      <c r="AX450" s="89"/>
      <c r="AY450" s="89"/>
      <c r="AZ450" s="89"/>
      <c r="BA450" s="89"/>
      <c r="BB450" s="89"/>
      <c r="BC450" s="89"/>
      <c r="BD450" s="89"/>
      <c r="BE450" s="141"/>
      <c r="BF450" s="176"/>
      <c r="BG450" s="176"/>
      <c r="BH450" s="176"/>
      <c r="BI450" s="176"/>
    </row>
    <row r="451" spans="1:61" s="90" customFormat="1">
      <c r="A451" s="83"/>
      <c r="B451" s="85"/>
      <c r="C451" s="84"/>
      <c r="D451" s="112"/>
      <c r="E451" s="112"/>
      <c r="F451" s="112"/>
      <c r="G451" s="85"/>
      <c r="H451" s="120"/>
      <c r="I451" s="280"/>
      <c r="J451" s="120"/>
      <c r="K451" s="120" t="str">
        <f t="shared" si="28"/>
        <v/>
      </c>
      <c r="L451" s="287"/>
      <c r="M451" s="91"/>
      <c r="N451" s="87"/>
      <c r="O451" s="159"/>
      <c r="P451" s="86"/>
      <c r="Q451" s="92"/>
      <c r="R451" s="120">
        <f t="shared" si="29"/>
        <v>0</v>
      </c>
      <c r="S451" s="93"/>
      <c r="T451" s="117"/>
      <c r="U451" s="88"/>
      <c r="V451" s="85"/>
      <c r="W451" s="146"/>
      <c r="X451" s="137"/>
      <c r="Y451" s="137"/>
      <c r="Z451" s="137"/>
      <c r="AA451" s="137"/>
      <c r="AB451" s="137"/>
      <c r="AC451" s="137"/>
      <c r="AD451" s="137"/>
      <c r="AE451" s="137"/>
      <c r="AF451" s="141"/>
      <c r="AG451" s="146"/>
      <c r="AH451" s="146"/>
      <c r="AI451" s="146"/>
      <c r="AJ451" s="146"/>
      <c r="AK451" s="146"/>
      <c r="AL451" s="81"/>
      <c r="AM451" s="81"/>
      <c r="AN451" s="152"/>
      <c r="AO451" s="152"/>
      <c r="AP451" s="152"/>
      <c r="AQ451" s="152"/>
      <c r="AR451" s="81"/>
      <c r="AS451" s="81"/>
      <c r="AT451" s="82"/>
      <c r="AU451" s="82"/>
      <c r="AV451" s="176"/>
      <c r="AW451" s="89"/>
      <c r="AX451" s="89"/>
      <c r="AY451" s="89"/>
      <c r="AZ451" s="89"/>
      <c r="BA451" s="89"/>
      <c r="BB451" s="89"/>
      <c r="BC451" s="89"/>
      <c r="BD451" s="89"/>
      <c r="BE451" s="141"/>
      <c r="BF451" s="176"/>
      <c r="BG451" s="176"/>
      <c r="BH451" s="176"/>
      <c r="BI451" s="176"/>
    </row>
    <row r="452" spans="1:61" s="90" customFormat="1">
      <c r="A452" s="83"/>
      <c r="B452" s="85"/>
      <c r="C452" s="84"/>
      <c r="D452" s="112"/>
      <c r="E452" s="112"/>
      <c r="F452" s="112"/>
      <c r="G452" s="85"/>
      <c r="H452" s="120"/>
      <c r="I452" s="280"/>
      <c r="J452" s="120"/>
      <c r="K452" s="120" t="str">
        <f t="shared" ref="K452:K500" si="30">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287"/>
      <c r="M452" s="91"/>
      <c r="N452" s="87"/>
      <c r="O452" s="159"/>
      <c r="P452" s="86"/>
      <c r="Q452" s="92"/>
      <c r="R452" s="120">
        <f t="shared" si="29"/>
        <v>0</v>
      </c>
      <c r="S452" s="93"/>
      <c r="T452" s="117"/>
      <c r="U452" s="88"/>
      <c r="V452" s="85"/>
      <c r="W452" s="146"/>
      <c r="X452" s="137"/>
      <c r="Y452" s="137"/>
      <c r="Z452" s="137"/>
      <c r="AA452" s="137"/>
      <c r="AB452" s="137"/>
      <c r="AC452" s="137"/>
      <c r="AD452" s="137"/>
      <c r="AE452" s="137"/>
      <c r="AF452" s="141"/>
      <c r="AG452" s="146"/>
      <c r="AH452" s="146"/>
      <c r="AI452" s="146"/>
      <c r="AJ452" s="146"/>
      <c r="AK452" s="146"/>
      <c r="AL452" s="81"/>
      <c r="AM452" s="81"/>
      <c r="AN452" s="152"/>
      <c r="AO452" s="152"/>
      <c r="AP452" s="152"/>
      <c r="AQ452" s="152"/>
      <c r="AR452" s="81"/>
      <c r="AS452" s="81"/>
      <c r="AT452" s="82"/>
      <c r="AU452" s="82"/>
      <c r="AV452" s="176"/>
      <c r="AW452" s="89"/>
      <c r="AX452" s="89"/>
      <c r="AY452" s="89"/>
      <c r="AZ452" s="89"/>
      <c r="BA452" s="89"/>
      <c r="BB452" s="89"/>
      <c r="BC452" s="89"/>
      <c r="BD452" s="89"/>
      <c r="BE452" s="141"/>
      <c r="BF452" s="176"/>
      <c r="BG452" s="176"/>
      <c r="BH452" s="176"/>
      <c r="BI452" s="176"/>
    </row>
    <row r="453" spans="1:61" s="90" customFormat="1">
      <c r="A453" s="83"/>
      <c r="B453" s="85"/>
      <c r="C453" s="84"/>
      <c r="D453" s="112"/>
      <c r="E453" s="112"/>
      <c r="F453" s="112"/>
      <c r="G453" s="85"/>
      <c r="H453" s="120"/>
      <c r="I453" s="280"/>
      <c r="J453" s="120"/>
      <c r="K453" s="120" t="str">
        <f t="shared" si="30"/>
        <v/>
      </c>
      <c r="L453" s="287"/>
      <c r="M453" s="91"/>
      <c r="N453" s="87"/>
      <c r="O453" s="159"/>
      <c r="P453" s="86"/>
      <c r="Q453" s="92"/>
      <c r="R453" s="120">
        <f t="shared" ref="R453:R500" si="31">IFERROR(SUM(F453-D453),"NA")</f>
        <v>0</v>
      </c>
      <c r="S453" s="93"/>
      <c r="T453" s="117"/>
      <c r="U453" s="88"/>
      <c r="V453" s="85"/>
      <c r="W453" s="146"/>
      <c r="X453" s="137"/>
      <c r="Y453" s="137"/>
      <c r="Z453" s="137"/>
      <c r="AA453" s="137"/>
      <c r="AB453" s="137"/>
      <c r="AC453" s="137"/>
      <c r="AD453" s="137"/>
      <c r="AE453" s="137"/>
      <c r="AF453" s="141"/>
      <c r="AG453" s="146"/>
      <c r="AH453" s="146"/>
      <c r="AI453" s="146"/>
      <c r="AJ453" s="146"/>
      <c r="AK453" s="146"/>
      <c r="AL453" s="81"/>
      <c r="AM453" s="81"/>
      <c r="AN453" s="152"/>
      <c r="AO453" s="152"/>
      <c r="AP453" s="152"/>
      <c r="AQ453" s="152"/>
      <c r="AR453" s="81"/>
      <c r="AS453" s="81"/>
      <c r="AT453" s="82"/>
      <c r="AU453" s="82"/>
      <c r="AV453" s="176"/>
      <c r="AW453" s="89"/>
      <c r="AX453" s="89"/>
      <c r="AY453" s="89"/>
      <c r="AZ453" s="89"/>
      <c r="BA453" s="89"/>
      <c r="BB453" s="89"/>
      <c r="BC453" s="89"/>
      <c r="BD453" s="89"/>
      <c r="BE453" s="141"/>
      <c r="BF453" s="176"/>
      <c r="BG453" s="176"/>
      <c r="BH453" s="176"/>
      <c r="BI453" s="176"/>
    </row>
    <row r="454" spans="1:61" s="90" customFormat="1">
      <c r="A454" s="83"/>
      <c r="B454" s="85"/>
      <c r="C454" s="84"/>
      <c r="D454" s="112"/>
      <c r="E454" s="112"/>
      <c r="F454" s="112"/>
      <c r="G454" s="85"/>
      <c r="H454" s="120"/>
      <c r="I454" s="280"/>
      <c r="J454" s="120"/>
      <c r="K454" s="120" t="str">
        <f t="shared" si="30"/>
        <v/>
      </c>
      <c r="L454" s="287"/>
      <c r="M454" s="91"/>
      <c r="N454" s="87"/>
      <c r="O454" s="159"/>
      <c r="P454" s="86"/>
      <c r="Q454" s="92"/>
      <c r="R454" s="120">
        <f t="shared" si="31"/>
        <v>0</v>
      </c>
      <c r="S454" s="93"/>
      <c r="T454" s="117"/>
      <c r="U454" s="88"/>
      <c r="V454" s="85"/>
      <c r="W454" s="146"/>
      <c r="X454" s="137"/>
      <c r="Y454" s="137"/>
      <c r="Z454" s="137"/>
      <c r="AA454" s="137"/>
      <c r="AB454" s="137"/>
      <c r="AC454" s="137"/>
      <c r="AD454" s="137"/>
      <c r="AE454" s="137"/>
      <c r="AF454" s="141"/>
      <c r="AG454" s="146"/>
      <c r="AH454" s="146"/>
      <c r="AI454" s="146"/>
      <c r="AJ454" s="146"/>
      <c r="AK454" s="146"/>
      <c r="AL454" s="81"/>
      <c r="AM454" s="81"/>
      <c r="AN454" s="152"/>
      <c r="AO454" s="152"/>
      <c r="AP454" s="152"/>
      <c r="AQ454" s="152"/>
      <c r="AR454" s="81"/>
      <c r="AS454" s="81"/>
      <c r="AT454" s="82"/>
      <c r="AU454" s="82"/>
      <c r="AV454" s="176"/>
      <c r="AW454" s="89"/>
      <c r="AX454" s="89"/>
      <c r="AY454" s="89"/>
      <c r="AZ454" s="89"/>
      <c r="BA454" s="89"/>
      <c r="BB454" s="89"/>
      <c r="BC454" s="89"/>
      <c r="BD454" s="89"/>
      <c r="BE454" s="141"/>
      <c r="BF454" s="176"/>
      <c r="BG454" s="176"/>
      <c r="BH454" s="176"/>
      <c r="BI454" s="176"/>
    </row>
    <row r="455" spans="1:61" s="90" customFormat="1">
      <c r="A455" s="83"/>
      <c r="B455" s="85"/>
      <c r="C455" s="84"/>
      <c r="D455" s="112"/>
      <c r="E455" s="112"/>
      <c r="F455" s="112"/>
      <c r="G455" s="85"/>
      <c r="H455" s="120"/>
      <c r="I455" s="280"/>
      <c r="J455" s="120"/>
      <c r="K455" s="120" t="str">
        <f t="shared" si="30"/>
        <v/>
      </c>
      <c r="L455" s="287"/>
      <c r="M455" s="91"/>
      <c r="N455" s="87"/>
      <c r="O455" s="159"/>
      <c r="P455" s="86"/>
      <c r="Q455" s="92"/>
      <c r="R455" s="120">
        <f t="shared" si="31"/>
        <v>0</v>
      </c>
      <c r="S455" s="93"/>
      <c r="T455" s="117"/>
      <c r="U455" s="88"/>
      <c r="V455" s="85"/>
      <c r="W455" s="146"/>
      <c r="X455" s="137"/>
      <c r="Y455" s="137"/>
      <c r="Z455" s="137"/>
      <c r="AA455" s="137"/>
      <c r="AB455" s="137"/>
      <c r="AC455" s="137"/>
      <c r="AD455" s="137"/>
      <c r="AE455" s="137"/>
      <c r="AF455" s="141"/>
      <c r="AG455" s="146"/>
      <c r="AH455" s="146"/>
      <c r="AI455" s="146"/>
      <c r="AJ455" s="146"/>
      <c r="AK455" s="146"/>
      <c r="AL455" s="81"/>
      <c r="AM455" s="81"/>
      <c r="AN455" s="152"/>
      <c r="AO455" s="152"/>
      <c r="AP455" s="152"/>
      <c r="AQ455" s="152"/>
      <c r="AR455" s="81"/>
      <c r="AS455" s="81"/>
      <c r="AT455" s="82"/>
      <c r="AU455" s="82"/>
      <c r="AV455" s="176"/>
      <c r="AW455" s="89"/>
      <c r="AX455" s="89"/>
      <c r="AY455" s="89"/>
      <c r="AZ455" s="89"/>
      <c r="BA455" s="89"/>
      <c r="BB455" s="89"/>
      <c r="BC455" s="89"/>
      <c r="BD455" s="89"/>
      <c r="BE455" s="141"/>
      <c r="BF455" s="176"/>
      <c r="BG455" s="176"/>
      <c r="BH455" s="176"/>
      <c r="BI455" s="176"/>
    </row>
    <row r="456" spans="1:61" s="90" customFormat="1">
      <c r="A456" s="83"/>
      <c r="B456" s="85"/>
      <c r="C456" s="84"/>
      <c r="D456" s="112"/>
      <c r="E456" s="112"/>
      <c r="F456" s="112"/>
      <c r="G456" s="85"/>
      <c r="H456" s="120"/>
      <c r="I456" s="280"/>
      <c r="J456" s="120"/>
      <c r="K456" s="120" t="str">
        <f t="shared" si="30"/>
        <v/>
      </c>
      <c r="L456" s="287"/>
      <c r="M456" s="91"/>
      <c r="N456" s="87"/>
      <c r="O456" s="159"/>
      <c r="P456" s="86"/>
      <c r="Q456" s="92"/>
      <c r="R456" s="120">
        <f t="shared" si="31"/>
        <v>0</v>
      </c>
      <c r="S456" s="93"/>
      <c r="T456" s="117"/>
      <c r="U456" s="88"/>
      <c r="V456" s="85"/>
      <c r="W456" s="146"/>
      <c r="X456" s="137"/>
      <c r="Y456" s="137"/>
      <c r="Z456" s="137"/>
      <c r="AA456" s="137"/>
      <c r="AB456" s="137"/>
      <c r="AC456" s="137"/>
      <c r="AD456" s="137"/>
      <c r="AE456" s="137"/>
      <c r="AF456" s="141"/>
      <c r="AG456" s="146"/>
      <c r="AH456" s="146"/>
      <c r="AI456" s="146"/>
      <c r="AJ456" s="146"/>
      <c r="AK456" s="146"/>
      <c r="AL456" s="81"/>
      <c r="AM456" s="81"/>
      <c r="AN456" s="152"/>
      <c r="AO456" s="152"/>
      <c r="AP456" s="152"/>
      <c r="AQ456" s="152"/>
      <c r="AR456" s="81"/>
      <c r="AS456" s="81"/>
      <c r="AT456" s="82"/>
      <c r="AU456" s="82"/>
      <c r="AV456" s="176"/>
      <c r="AW456" s="89"/>
      <c r="AX456" s="89"/>
      <c r="AY456" s="89"/>
      <c r="AZ456" s="89"/>
      <c r="BA456" s="89"/>
      <c r="BB456" s="89"/>
      <c r="BC456" s="89"/>
      <c r="BD456" s="89"/>
      <c r="BE456" s="141"/>
      <c r="BF456" s="176"/>
      <c r="BG456" s="176"/>
      <c r="BH456" s="176"/>
      <c r="BI456" s="176"/>
    </row>
    <row r="457" spans="1:61" s="90" customFormat="1">
      <c r="A457" s="83"/>
      <c r="B457" s="85"/>
      <c r="C457" s="84"/>
      <c r="D457" s="112"/>
      <c r="E457" s="112"/>
      <c r="F457" s="112"/>
      <c r="G457" s="85"/>
      <c r="H457" s="120"/>
      <c r="I457" s="280"/>
      <c r="J457" s="120"/>
      <c r="K457" s="120" t="str">
        <f t="shared" si="30"/>
        <v/>
      </c>
      <c r="L457" s="287"/>
      <c r="M457" s="91"/>
      <c r="N457" s="87"/>
      <c r="O457" s="159"/>
      <c r="P457" s="86"/>
      <c r="Q457" s="92"/>
      <c r="R457" s="120">
        <f t="shared" si="31"/>
        <v>0</v>
      </c>
      <c r="S457" s="93"/>
      <c r="T457" s="117"/>
      <c r="U457" s="88"/>
      <c r="V457" s="85"/>
      <c r="W457" s="146"/>
      <c r="X457" s="137"/>
      <c r="Y457" s="137"/>
      <c r="Z457" s="137"/>
      <c r="AA457" s="137"/>
      <c r="AB457" s="137"/>
      <c r="AC457" s="137"/>
      <c r="AD457" s="137"/>
      <c r="AE457" s="137"/>
      <c r="AF457" s="141"/>
      <c r="AG457" s="146"/>
      <c r="AH457" s="146"/>
      <c r="AI457" s="146"/>
      <c r="AJ457" s="146"/>
      <c r="AK457" s="146"/>
      <c r="AL457" s="81"/>
      <c r="AM457" s="81"/>
      <c r="AN457" s="152"/>
      <c r="AO457" s="152"/>
      <c r="AP457" s="152"/>
      <c r="AQ457" s="152"/>
      <c r="AR457" s="81"/>
      <c r="AS457" s="81"/>
      <c r="AT457" s="82"/>
      <c r="AU457" s="82"/>
      <c r="AV457" s="176"/>
      <c r="AW457" s="89"/>
      <c r="AX457" s="89"/>
      <c r="AY457" s="89"/>
      <c r="AZ457" s="89"/>
      <c r="BA457" s="89"/>
      <c r="BB457" s="89"/>
      <c r="BC457" s="89"/>
      <c r="BD457" s="89"/>
      <c r="BE457" s="141"/>
      <c r="BF457" s="176"/>
      <c r="BG457" s="176"/>
      <c r="BH457" s="176"/>
      <c r="BI457" s="176"/>
    </row>
    <row r="458" spans="1:61" s="90" customFormat="1">
      <c r="A458" s="83"/>
      <c r="B458" s="85"/>
      <c r="C458" s="84"/>
      <c r="D458" s="112"/>
      <c r="E458" s="112"/>
      <c r="F458" s="112"/>
      <c r="G458" s="85"/>
      <c r="H458" s="120"/>
      <c r="I458" s="280"/>
      <c r="J458" s="120"/>
      <c r="K458" s="120" t="str">
        <f t="shared" si="30"/>
        <v/>
      </c>
      <c r="L458" s="287"/>
      <c r="M458" s="91"/>
      <c r="N458" s="87"/>
      <c r="O458" s="159"/>
      <c r="P458" s="86"/>
      <c r="Q458" s="92"/>
      <c r="R458" s="120">
        <f t="shared" si="31"/>
        <v>0</v>
      </c>
      <c r="S458" s="93"/>
      <c r="T458" s="117"/>
      <c r="U458" s="88"/>
      <c r="V458" s="85"/>
      <c r="W458" s="146"/>
      <c r="X458" s="137"/>
      <c r="Y458" s="137"/>
      <c r="Z458" s="137"/>
      <c r="AA458" s="137"/>
      <c r="AB458" s="137"/>
      <c r="AC458" s="137"/>
      <c r="AD458" s="137"/>
      <c r="AE458" s="137"/>
      <c r="AF458" s="141"/>
      <c r="AG458" s="146"/>
      <c r="AH458" s="146"/>
      <c r="AI458" s="146"/>
      <c r="AJ458" s="146"/>
      <c r="AK458" s="146"/>
      <c r="AL458" s="81"/>
      <c r="AM458" s="81"/>
      <c r="AN458" s="152"/>
      <c r="AO458" s="152"/>
      <c r="AP458" s="152"/>
      <c r="AQ458" s="152"/>
      <c r="AR458" s="81"/>
      <c r="AS458" s="81"/>
      <c r="AT458" s="82"/>
      <c r="AU458" s="82"/>
      <c r="AV458" s="176"/>
      <c r="AW458" s="89"/>
      <c r="AX458" s="89"/>
      <c r="AY458" s="89"/>
      <c r="AZ458" s="89"/>
      <c r="BA458" s="89"/>
      <c r="BB458" s="89"/>
      <c r="BC458" s="89"/>
      <c r="BD458" s="89"/>
      <c r="BE458" s="141"/>
      <c r="BF458" s="176"/>
      <c r="BG458" s="176"/>
      <c r="BH458" s="176"/>
      <c r="BI458" s="176"/>
    </row>
    <row r="459" spans="1:61" s="90" customFormat="1">
      <c r="A459" s="83"/>
      <c r="B459" s="85"/>
      <c r="C459" s="84"/>
      <c r="D459" s="112"/>
      <c r="E459" s="112"/>
      <c r="F459" s="112"/>
      <c r="G459" s="85"/>
      <c r="H459" s="120"/>
      <c r="I459" s="280"/>
      <c r="J459" s="120"/>
      <c r="K459" s="120" t="str">
        <f t="shared" si="30"/>
        <v/>
      </c>
      <c r="L459" s="287"/>
      <c r="M459" s="91"/>
      <c r="N459" s="87"/>
      <c r="O459" s="159"/>
      <c r="P459" s="86"/>
      <c r="Q459" s="92"/>
      <c r="R459" s="120">
        <f t="shared" si="31"/>
        <v>0</v>
      </c>
      <c r="S459" s="93"/>
      <c r="T459" s="117"/>
      <c r="U459" s="88"/>
      <c r="V459" s="85"/>
      <c r="W459" s="146"/>
      <c r="X459" s="137"/>
      <c r="Y459" s="137"/>
      <c r="Z459" s="137"/>
      <c r="AA459" s="137"/>
      <c r="AB459" s="137"/>
      <c r="AC459" s="137"/>
      <c r="AD459" s="137"/>
      <c r="AE459" s="137"/>
      <c r="AF459" s="141"/>
      <c r="AG459" s="146"/>
      <c r="AH459" s="146"/>
      <c r="AI459" s="146"/>
      <c r="AJ459" s="146"/>
      <c r="AK459" s="146"/>
      <c r="AL459" s="81"/>
      <c r="AM459" s="81"/>
      <c r="AN459" s="152"/>
      <c r="AO459" s="152"/>
      <c r="AP459" s="152"/>
      <c r="AQ459" s="152"/>
      <c r="AR459" s="81"/>
      <c r="AS459" s="81"/>
      <c r="AT459" s="82"/>
      <c r="AU459" s="82"/>
      <c r="AV459" s="176"/>
      <c r="AW459" s="89"/>
      <c r="AX459" s="89"/>
      <c r="AY459" s="89"/>
      <c r="AZ459" s="89"/>
      <c r="BA459" s="89"/>
      <c r="BB459" s="89"/>
      <c r="BC459" s="89"/>
      <c r="BD459" s="89"/>
      <c r="BE459" s="141"/>
      <c r="BF459" s="176"/>
      <c r="BG459" s="176"/>
      <c r="BH459" s="176"/>
      <c r="BI459" s="176"/>
    </row>
    <row r="460" spans="1:61" s="90" customFormat="1">
      <c r="A460" s="83"/>
      <c r="B460" s="85"/>
      <c r="C460" s="84"/>
      <c r="D460" s="112"/>
      <c r="E460" s="112"/>
      <c r="F460" s="112"/>
      <c r="G460" s="85"/>
      <c r="H460" s="120"/>
      <c r="I460" s="280"/>
      <c r="J460" s="120"/>
      <c r="K460" s="120" t="str">
        <f t="shared" si="30"/>
        <v/>
      </c>
      <c r="L460" s="287"/>
      <c r="M460" s="91"/>
      <c r="N460" s="87"/>
      <c r="O460" s="159"/>
      <c r="P460" s="86"/>
      <c r="Q460" s="92"/>
      <c r="R460" s="120">
        <f t="shared" si="31"/>
        <v>0</v>
      </c>
      <c r="S460" s="93"/>
      <c r="T460" s="117"/>
      <c r="U460" s="88"/>
      <c r="V460" s="85"/>
      <c r="W460" s="146"/>
      <c r="X460" s="137"/>
      <c r="Y460" s="137"/>
      <c r="Z460" s="137"/>
      <c r="AA460" s="137"/>
      <c r="AB460" s="137"/>
      <c r="AC460" s="137"/>
      <c r="AD460" s="137"/>
      <c r="AE460" s="137"/>
      <c r="AF460" s="141"/>
      <c r="AG460" s="146"/>
      <c r="AH460" s="146"/>
      <c r="AI460" s="146"/>
      <c r="AJ460" s="146"/>
      <c r="AK460" s="146"/>
      <c r="AL460" s="81"/>
      <c r="AM460" s="81"/>
      <c r="AN460" s="152"/>
      <c r="AO460" s="152"/>
      <c r="AP460" s="152"/>
      <c r="AQ460" s="152"/>
      <c r="AR460" s="81"/>
      <c r="AS460" s="81"/>
      <c r="AT460" s="82"/>
      <c r="AU460" s="82"/>
      <c r="AV460" s="176"/>
      <c r="AW460" s="89"/>
      <c r="AX460" s="89"/>
      <c r="AY460" s="89"/>
      <c r="AZ460" s="89"/>
      <c r="BA460" s="89"/>
      <c r="BB460" s="89"/>
      <c r="BC460" s="89"/>
      <c r="BD460" s="89"/>
      <c r="BE460" s="141"/>
      <c r="BF460" s="176"/>
      <c r="BG460" s="176"/>
      <c r="BH460" s="176"/>
      <c r="BI460" s="176"/>
    </row>
    <row r="461" spans="1:61" s="90" customFormat="1">
      <c r="A461" s="83"/>
      <c r="B461" s="85"/>
      <c r="C461" s="84"/>
      <c r="D461" s="112"/>
      <c r="E461" s="112"/>
      <c r="F461" s="112"/>
      <c r="G461" s="85"/>
      <c r="H461" s="120"/>
      <c r="I461" s="280"/>
      <c r="J461" s="120"/>
      <c r="K461" s="120" t="str">
        <f t="shared" si="30"/>
        <v/>
      </c>
      <c r="L461" s="287"/>
      <c r="M461" s="91"/>
      <c r="N461" s="87"/>
      <c r="O461" s="159"/>
      <c r="P461" s="86"/>
      <c r="Q461" s="92"/>
      <c r="R461" s="120">
        <f t="shared" si="31"/>
        <v>0</v>
      </c>
      <c r="S461" s="93"/>
      <c r="T461" s="117"/>
      <c r="U461" s="88"/>
      <c r="V461" s="85"/>
      <c r="W461" s="146"/>
      <c r="X461" s="137"/>
      <c r="Y461" s="137"/>
      <c r="Z461" s="137"/>
      <c r="AA461" s="137"/>
      <c r="AB461" s="137"/>
      <c r="AC461" s="137"/>
      <c r="AD461" s="137"/>
      <c r="AE461" s="137"/>
      <c r="AF461" s="141"/>
      <c r="AG461" s="146"/>
      <c r="AH461" s="146"/>
      <c r="AI461" s="146"/>
      <c r="AJ461" s="146"/>
      <c r="AK461" s="146"/>
      <c r="AL461" s="81"/>
      <c r="AM461" s="81"/>
      <c r="AN461" s="152"/>
      <c r="AO461" s="152"/>
      <c r="AP461" s="152"/>
      <c r="AQ461" s="152"/>
      <c r="AR461" s="81"/>
      <c r="AS461" s="81"/>
      <c r="AT461" s="82"/>
      <c r="AU461" s="82"/>
      <c r="AV461" s="176"/>
      <c r="AW461" s="89"/>
      <c r="AX461" s="89"/>
      <c r="AY461" s="89"/>
      <c r="AZ461" s="89"/>
      <c r="BA461" s="89"/>
      <c r="BB461" s="89"/>
      <c r="BC461" s="89"/>
      <c r="BD461" s="89"/>
      <c r="BE461" s="141"/>
      <c r="BF461" s="176"/>
      <c r="BG461" s="176"/>
      <c r="BH461" s="176"/>
      <c r="BI461" s="176"/>
    </row>
    <row r="462" spans="1:61" s="90" customFormat="1">
      <c r="A462" s="83"/>
      <c r="B462" s="85"/>
      <c r="C462" s="84"/>
      <c r="D462" s="112"/>
      <c r="E462" s="112"/>
      <c r="F462" s="112"/>
      <c r="G462" s="85"/>
      <c r="H462" s="120"/>
      <c r="I462" s="280"/>
      <c r="J462" s="120"/>
      <c r="K462" s="120" t="str">
        <f t="shared" si="30"/>
        <v/>
      </c>
      <c r="L462" s="287"/>
      <c r="M462" s="91"/>
      <c r="N462" s="87"/>
      <c r="O462" s="159"/>
      <c r="P462" s="86"/>
      <c r="Q462" s="92"/>
      <c r="R462" s="120">
        <f t="shared" si="31"/>
        <v>0</v>
      </c>
      <c r="S462" s="93"/>
      <c r="T462" s="117"/>
      <c r="U462" s="88"/>
      <c r="V462" s="85"/>
      <c r="W462" s="146"/>
      <c r="X462" s="137"/>
      <c r="Y462" s="137"/>
      <c r="Z462" s="137"/>
      <c r="AA462" s="137"/>
      <c r="AB462" s="137"/>
      <c r="AC462" s="137"/>
      <c r="AD462" s="137"/>
      <c r="AE462" s="137"/>
      <c r="AF462" s="141"/>
      <c r="AG462" s="146"/>
      <c r="AH462" s="146"/>
      <c r="AI462" s="146"/>
      <c r="AJ462" s="146"/>
      <c r="AK462" s="146"/>
      <c r="AL462" s="81"/>
      <c r="AM462" s="81"/>
      <c r="AN462" s="152"/>
      <c r="AO462" s="152"/>
      <c r="AP462" s="152"/>
      <c r="AQ462" s="152"/>
      <c r="AR462" s="81"/>
      <c r="AS462" s="81"/>
      <c r="AT462" s="82"/>
      <c r="AU462" s="82"/>
      <c r="AV462" s="176"/>
      <c r="AW462" s="89"/>
      <c r="AX462" s="89"/>
      <c r="AY462" s="89"/>
      <c r="AZ462" s="89"/>
      <c r="BA462" s="89"/>
      <c r="BB462" s="89"/>
      <c r="BC462" s="89"/>
      <c r="BD462" s="89"/>
      <c r="BE462" s="141"/>
      <c r="BF462" s="176"/>
      <c r="BG462" s="176"/>
      <c r="BH462" s="176"/>
      <c r="BI462" s="176"/>
    </row>
    <row r="463" spans="1:61" s="90" customFormat="1">
      <c r="A463" s="83"/>
      <c r="B463" s="85"/>
      <c r="C463" s="84"/>
      <c r="D463" s="112"/>
      <c r="E463" s="112"/>
      <c r="F463" s="112"/>
      <c r="G463" s="85"/>
      <c r="H463" s="120"/>
      <c r="I463" s="280"/>
      <c r="J463" s="120"/>
      <c r="K463" s="120" t="str">
        <f t="shared" si="30"/>
        <v/>
      </c>
      <c r="L463" s="287"/>
      <c r="M463" s="91"/>
      <c r="N463" s="87"/>
      <c r="O463" s="159"/>
      <c r="P463" s="86"/>
      <c r="Q463" s="92"/>
      <c r="R463" s="120">
        <f t="shared" si="31"/>
        <v>0</v>
      </c>
      <c r="S463" s="93"/>
      <c r="T463" s="117"/>
      <c r="U463" s="88"/>
      <c r="V463" s="85"/>
      <c r="W463" s="146"/>
      <c r="X463" s="137"/>
      <c r="Y463" s="137"/>
      <c r="Z463" s="137"/>
      <c r="AA463" s="137"/>
      <c r="AB463" s="137"/>
      <c r="AC463" s="137"/>
      <c r="AD463" s="137"/>
      <c r="AE463" s="137"/>
      <c r="AF463" s="141"/>
      <c r="AG463" s="146"/>
      <c r="AH463" s="146"/>
      <c r="AI463" s="146"/>
      <c r="AJ463" s="146"/>
      <c r="AK463" s="146"/>
      <c r="AL463" s="81"/>
      <c r="AM463" s="81"/>
      <c r="AN463" s="152"/>
      <c r="AO463" s="152"/>
      <c r="AP463" s="152"/>
      <c r="AQ463" s="152"/>
      <c r="AR463" s="81"/>
      <c r="AS463" s="81"/>
      <c r="AT463" s="82"/>
      <c r="AU463" s="82"/>
      <c r="AV463" s="176"/>
      <c r="AW463" s="89"/>
      <c r="AX463" s="89"/>
      <c r="AY463" s="89"/>
      <c r="AZ463" s="89"/>
      <c r="BA463" s="89"/>
      <c r="BB463" s="89"/>
      <c r="BC463" s="89"/>
      <c r="BD463" s="89"/>
      <c r="BE463" s="141"/>
      <c r="BF463" s="176"/>
      <c r="BG463" s="176"/>
      <c r="BH463" s="176"/>
      <c r="BI463" s="176"/>
    </row>
    <row r="464" spans="1:61" s="90" customFormat="1">
      <c r="A464" s="83"/>
      <c r="B464" s="85"/>
      <c r="C464" s="84"/>
      <c r="D464" s="112"/>
      <c r="E464" s="112"/>
      <c r="F464" s="112"/>
      <c r="G464" s="85"/>
      <c r="H464" s="120"/>
      <c r="I464" s="280"/>
      <c r="J464" s="120"/>
      <c r="K464" s="120" t="str">
        <f t="shared" si="30"/>
        <v/>
      </c>
      <c r="L464" s="287"/>
      <c r="M464" s="91"/>
      <c r="N464" s="87"/>
      <c r="O464" s="159"/>
      <c r="P464" s="86"/>
      <c r="Q464" s="92"/>
      <c r="R464" s="120">
        <f t="shared" si="31"/>
        <v>0</v>
      </c>
      <c r="S464" s="93"/>
      <c r="T464" s="117"/>
      <c r="U464" s="88"/>
      <c r="V464" s="85"/>
      <c r="W464" s="146"/>
      <c r="X464" s="137"/>
      <c r="Y464" s="137"/>
      <c r="Z464" s="137"/>
      <c r="AA464" s="137"/>
      <c r="AB464" s="137"/>
      <c r="AC464" s="137"/>
      <c r="AD464" s="137"/>
      <c r="AE464" s="137"/>
      <c r="AF464" s="141"/>
      <c r="AG464" s="146"/>
      <c r="AH464" s="146"/>
      <c r="AI464" s="146"/>
      <c r="AJ464" s="146"/>
      <c r="AK464" s="146"/>
      <c r="AL464" s="81"/>
      <c r="AM464" s="81"/>
      <c r="AN464" s="152"/>
      <c r="AO464" s="152"/>
      <c r="AP464" s="152"/>
      <c r="AQ464" s="152"/>
      <c r="AR464" s="81"/>
      <c r="AS464" s="81"/>
      <c r="AT464" s="82"/>
      <c r="AU464" s="82"/>
      <c r="AV464" s="176"/>
      <c r="AW464" s="89"/>
      <c r="AX464" s="89"/>
      <c r="AY464" s="89"/>
      <c r="AZ464" s="89"/>
      <c r="BA464" s="89"/>
      <c r="BB464" s="89"/>
      <c r="BC464" s="89"/>
      <c r="BD464" s="89"/>
      <c r="BE464" s="141"/>
      <c r="BF464" s="176"/>
      <c r="BG464" s="176"/>
      <c r="BH464" s="176"/>
      <c r="BI464" s="176"/>
    </row>
    <row r="465" spans="1:61" s="90" customFormat="1">
      <c r="A465" s="83"/>
      <c r="B465" s="85"/>
      <c r="C465" s="84"/>
      <c r="D465" s="112"/>
      <c r="E465" s="112"/>
      <c r="F465" s="112"/>
      <c r="G465" s="85"/>
      <c r="H465" s="120"/>
      <c r="I465" s="280"/>
      <c r="J465" s="120"/>
      <c r="K465" s="120" t="str">
        <f t="shared" si="30"/>
        <v/>
      </c>
      <c r="L465" s="287"/>
      <c r="M465" s="91"/>
      <c r="N465" s="87"/>
      <c r="O465" s="159"/>
      <c r="P465" s="86"/>
      <c r="Q465" s="92"/>
      <c r="R465" s="120">
        <f t="shared" si="31"/>
        <v>0</v>
      </c>
      <c r="S465" s="93"/>
      <c r="T465" s="117"/>
      <c r="U465" s="88"/>
      <c r="V465" s="85"/>
      <c r="W465" s="146"/>
      <c r="X465" s="137"/>
      <c r="Y465" s="137"/>
      <c r="Z465" s="137"/>
      <c r="AA465" s="137"/>
      <c r="AB465" s="137"/>
      <c r="AC465" s="137"/>
      <c r="AD465" s="137"/>
      <c r="AE465" s="137"/>
      <c r="AF465" s="141"/>
      <c r="AG465" s="146"/>
      <c r="AH465" s="146"/>
      <c r="AI465" s="146"/>
      <c r="AJ465" s="146"/>
      <c r="AK465" s="146"/>
      <c r="AL465" s="81"/>
      <c r="AM465" s="81"/>
      <c r="AN465" s="152"/>
      <c r="AO465" s="152"/>
      <c r="AP465" s="152"/>
      <c r="AQ465" s="152"/>
      <c r="AR465" s="81"/>
      <c r="AS465" s="81"/>
      <c r="AT465" s="82"/>
      <c r="AU465" s="82"/>
      <c r="AV465" s="176"/>
      <c r="AW465" s="89"/>
      <c r="AX465" s="89"/>
      <c r="AY465" s="89"/>
      <c r="AZ465" s="89"/>
      <c r="BA465" s="89"/>
      <c r="BB465" s="89"/>
      <c r="BC465" s="89"/>
      <c r="BD465" s="89"/>
      <c r="BE465" s="141"/>
      <c r="BF465" s="176"/>
      <c r="BG465" s="176"/>
      <c r="BH465" s="176"/>
      <c r="BI465" s="176"/>
    </row>
    <row r="466" spans="1:61" s="90" customFormat="1">
      <c r="A466" s="83"/>
      <c r="B466" s="85"/>
      <c r="C466" s="84"/>
      <c r="D466" s="112"/>
      <c r="E466" s="112"/>
      <c r="F466" s="112"/>
      <c r="G466" s="85"/>
      <c r="H466" s="120"/>
      <c r="I466" s="280"/>
      <c r="J466" s="120"/>
      <c r="K466" s="120" t="str">
        <f t="shared" si="30"/>
        <v/>
      </c>
      <c r="L466" s="287"/>
      <c r="M466" s="91"/>
      <c r="N466" s="87"/>
      <c r="O466" s="159"/>
      <c r="P466" s="86"/>
      <c r="Q466" s="92"/>
      <c r="R466" s="120">
        <f t="shared" si="31"/>
        <v>0</v>
      </c>
      <c r="S466" s="93"/>
      <c r="T466" s="117"/>
      <c r="U466" s="88"/>
      <c r="V466" s="85"/>
      <c r="W466" s="146"/>
      <c r="X466" s="137"/>
      <c r="Y466" s="137"/>
      <c r="Z466" s="137"/>
      <c r="AA466" s="137"/>
      <c r="AB466" s="137"/>
      <c r="AC466" s="137"/>
      <c r="AD466" s="137"/>
      <c r="AE466" s="137"/>
      <c r="AF466" s="141"/>
      <c r="AG466" s="146"/>
      <c r="AH466" s="146"/>
      <c r="AI466" s="146"/>
      <c r="AJ466" s="146"/>
      <c r="AK466" s="146"/>
      <c r="AL466" s="81"/>
      <c r="AM466" s="81"/>
      <c r="AN466" s="152"/>
      <c r="AO466" s="152"/>
      <c r="AP466" s="152"/>
      <c r="AQ466" s="152"/>
      <c r="AR466" s="81"/>
      <c r="AS466" s="81"/>
      <c r="AT466" s="82"/>
      <c r="AU466" s="82"/>
      <c r="AV466" s="176"/>
      <c r="AW466" s="89"/>
      <c r="AX466" s="89"/>
      <c r="AY466" s="89"/>
      <c r="AZ466" s="89"/>
      <c r="BA466" s="89"/>
      <c r="BB466" s="89"/>
      <c r="BC466" s="89"/>
      <c r="BD466" s="89"/>
      <c r="BE466" s="141"/>
      <c r="BF466" s="176"/>
      <c r="BG466" s="176"/>
      <c r="BH466" s="176"/>
      <c r="BI466" s="176"/>
    </row>
    <row r="467" spans="1:61" s="90" customFormat="1">
      <c r="A467" s="83"/>
      <c r="B467" s="85"/>
      <c r="C467" s="84"/>
      <c r="D467" s="112"/>
      <c r="E467" s="112"/>
      <c r="F467" s="112"/>
      <c r="G467" s="85"/>
      <c r="H467" s="120"/>
      <c r="I467" s="280"/>
      <c r="J467" s="120"/>
      <c r="K467" s="120" t="str">
        <f t="shared" si="30"/>
        <v/>
      </c>
      <c r="L467" s="287"/>
      <c r="M467" s="91"/>
      <c r="N467" s="87"/>
      <c r="O467" s="159"/>
      <c r="P467" s="86"/>
      <c r="Q467" s="92"/>
      <c r="R467" s="120">
        <f t="shared" si="31"/>
        <v>0</v>
      </c>
      <c r="S467" s="93"/>
      <c r="T467" s="117"/>
      <c r="U467" s="88"/>
      <c r="V467" s="85"/>
      <c r="W467" s="146"/>
      <c r="X467" s="137"/>
      <c r="Y467" s="137"/>
      <c r="Z467" s="137"/>
      <c r="AA467" s="137"/>
      <c r="AB467" s="137"/>
      <c r="AC467" s="137"/>
      <c r="AD467" s="137"/>
      <c r="AE467" s="137"/>
      <c r="AF467" s="141"/>
      <c r="AG467" s="146"/>
      <c r="AH467" s="146"/>
      <c r="AI467" s="146"/>
      <c r="AJ467" s="146"/>
      <c r="AK467" s="146"/>
      <c r="AL467" s="81"/>
      <c r="AM467" s="81"/>
      <c r="AN467" s="152"/>
      <c r="AO467" s="152"/>
      <c r="AP467" s="152"/>
      <c r="AQ467" s="152"/>
      <c r="AR467" s="81"/>
      <c r="AS467" s="81"/>
      <c r="AT467" s="82"/>
      <c r="AU467" s="82"/>
      <c r="AV467" s="176"/>
      <c r="AW467" s="89"/>
      <c r="AX467" s="89"/>
      <c r="AY467" s="89"/>
      <c r="AZ467" s="89"/>
      <c r="BA467" s="89"/>
      <c r="BB467" s="89"/>
      <c r="BC467" s="89"/>
      <c r="BD467" s="89"/>
      <c r="BE467" s="141"/>
      <c r="BF467" s="176"/>
      <c r="BG467" s="176"/>
      <c r="BH467" s="176"/>
      <c r="BI467" s="176"/>
    </row>
    <row r="468" spans="1:61" s="90" customFormat="1">
      <c r="A468" s="83"/>
      <c r="B468" s="85"/>
      <c r="C468" s="84"/>
      <c r="D468" s="112"/>
      <c r="E468" s="112"/>
      <c r="F468" s="112"/>
      <c r="G468" s="85"/>
      <c r="H468" s="120"/>
      <c r="I468" s="280"/>
      <c r="J468" s="120"/>
      <c r="K468" s="120" t="str">
        <f t="shared" si="30"/>
        <v/>
      </c>
      <c r="L468" s="287"/>
      <c r="M468" s="91"/>
      <c r="N468" s="87"/>
      <c r="O468" s="159"/>
      <c r="P468" s="86"/>
      <c r="Q468" s="92"/>
      <c r="R468" s="120">
        <f t="shared" si="31"/>
        <v>0</v>
      </c>
      <c r="S468" s="93"/>
      <c r="T468" s="117"/>
      <c r="U468" s="88"/>
      <c r="V468" s="85"/>
      <c r="W468" s="146"/>
      <c r="X468" s="137"/>
      <c r="Y468" s="137"/>
      <c r="Z468" s="137"/>
      <c r="AA468" s="137"/>
      <c r="AB468" s="137"/>
      <c r="AC468" s="137"/>
      <c r="AD468" s="137"/>
      <c r="AE468" s="137"/>
      <c r="AF468" s="141"/>
      <c r="AG468" s="146"/>
      <c r="AH468" s="146"/>
      <c r="AI468" s="146"/>
      <c r="AJ468" s="146"/>
      <c r="AK468" s="146"/>
      <c r="AL468" s="81"/>
      <c r="AM468" s="81"/>
      <c r="AN468" s="152"/>
      <c r="AO468" s="152"/>
      <c r="AP468" s="152"/>
      <c r="AQ468" s="152"/>
      <c r="AR468" s="81"/>
      <c r="AS468" s="81"/>
      <c r="AT468" s="82"/>
      <c r="AU468" s="82"/>
      <c r="AV468" s="176"/>
      <c r="AW468" s="89"/>
      <c r="AX468" s="89"/>
      <c r="AY468" s="89"/>
      <c r="AZ468" s="89"/>
      <c r="BA468" s="89"/>
      <c r="BB468" s="89"/>
      <c r="BC468" s="89"/>
      <c r="BD468" s="89"/>
      <c r="BE468" s="141"/>
      <c r="BF468" s="176"/>
      <c r="BG468" s="176"/>
      <c r="BH468" s="176"/>
      <c r="BI468" s="176"/>
    </row>
    <row r="469" spans="1:61" s="90" customFormat="1">
      <c r="A469" s="83"/>
      <c r="B469" s="85"/>
      <c r="C469" s="84"/>
      <c r="D469" s="112"/>
      <c r="E469" s="112"/>
      <c r="F469" s="112"/>
      <c r="G469" s="85"/>
      <c r="H469" s="120"/>
      <c r="I469" s="280"/>
      <c r="J469" s="120"/>
      <c r="K469" s="120" t="str">
        <f t="shared" si="30"/>
        <v/>
      </c>
      <c r="L469" s="287"/>
      <c r="M469" s="91"/>
      <c r="N469" s="87"/>
      <c r="O469" s="159"/>
      <c r="P469" s="86"/>
      <c r="Q469" s="92"/>
      <c r="R469" s="120">
        <f t="shared" si="31"/>
        <v>0</v>
      </c>
      <c r="S469" s="93"/>
      <c r="T469" s="117"/>
      <c r="U469" s="88"/>
      <c r="V469" s="85"/>
      <c r="W469" s="146"/>
      <c r="X469" s="137"/>
      <c r="Y469" s="137"/>
      <c r="Z469" s="137"/>
      <c r="AA469" s="137"/>
      <c r="AB469" s="137"/>
      <c r="AC469" s="137"/>
      <c r="AD469" s="137"/>
      <c r="AE469" s="137"/>
      <c r="AF469" s="141"/>
      <c r="AG469" s="146"/>
      <c r="AH469" s="146"/>
      <c r="AI469" s="146"/>
      <c r="AJ469" s="146"/>
      <c r="AK469" s="146"/>
      <c r="AL469" s="81"/>
      <c r="AM469" s="81"/>
      <c r="AN469" s="152"/>
      <c r="AO469" s="152"/>
      <c r="AP469" s="152"/>
      <c r="AQ469" s="152"/>
      <c r="AR469" s="81"/>
      <c r="AS469" s="81"/>
      <c r="AT469" s="82"/>
      <c r="AU469" s="82"/>
      <c r="AV469" s="176"/>
      <c r="AW469" s="89"/>
      <c r="AX469" s="89"/>
      <c r="AY469" s="89"/>
      <c r="AZ469" s="89"/>
      <c r="BA469" s="89"/>
      <c r="BB469" s="89"/>
      <c r="BC469" s="89"/>
      <c r="BD469" s="89"/>
      <c r="BE469" s="141"/>
      <c r="BF469" s="176"/>
      <c r="BG469" s="176"/>
      <c r="BH469" s="176"/>
      <c r="BI469" s="176"/>
    </row>
    <row r="470" spans="1:61" s="90" customFormat="1">
      <c r="A470" s="83"/>
      <c r="B470" s="85"/>
      <c r="C470" s="84"/>
      <c r="D470" s="112"/>
      <c r="E470" s="112"/>
      <c r="F470" s="112"/>
      <c r="G470" s="85"/>
      <c r="H470" s="120"/>
      <c r="I470" s="280"/>
      <c r="J470" s="120"/>
      <c r="K470" s="120" t="str">
        <f t="shared" si="30"/>
        <v/>
      </c>
      <c r="L470" s="287"/>
      <c r="M470" s="91"/>
      <c r="N470" s="87"/>
      <c r="O470" s="159"/>
      <c r="P470" s="86"/>
      <c r="Q470" s="92"/>
      <c r="R470" s="120">
        <f t="shared" si="31"/>
        <v>0</v>
      </c>
      <c r="S470" s="93"/>
      <c r="T470" s="117"/>
      <c r="U470" s="88"/>
      <c r="V470" s="85"/>
      <c r="W470" s="146"/>
      <c r="X470" s="137"/>
      <c r="Y470" s="137"/>
      <c r="Z470" s="137"/>
      <c r="AA470" s="137"/>
      <c r="AB470" s="137"/>
      <c r="AC470" s="137"/>
      <c r="AD470" s="137"/>
      <c r="AE470" s="137"/>
      <c r="AF470" s="141"/>
      <c r="AG470" s="146"/>
      <c r="AH470" s="146"/>
      <c r="AI470" s="146"/>
      <c r="AJ470" s="146"/>
      <c r="AK470" s="146"/>
      <c r="AL470" s="81"/>
      <c r="AM470" s="81"/>
      <c r="AN470" s="152"/>
      <c r="AO470" s="152"/>
      <c r="AP470" s="152"/>
      <c r="AQ470" s="152"/>
      <c r="AR470" s="81"/>
      <c r="AS470" s="81"/>
      <c r="AT470" s="82"/>
      <c r="AU470" s="82"/>
      <c r="AV470" s="176"/>
      <c r="AW470" s="89"/>
      <c r="AX470" s="89"/>
      <c r="AY470" s="89"/>
      <c r="AZ470" s="89"/>
      <c r="BA470" s="89"/>
      <c r="BB470" s="89"/>
      <c r="BC470" s="89"/>
      <c r="BD470" s="89"/>
      <c r="BE470" s="141"/>
      <c r="BF470" s="176"/>
      <c r="BG470" s="176"/>
      <c r="BH470" s="176"/>
      <c r="BI470" s="176"/>
    </row>
    <row r="471" spans="1:61" s="90" customFormat="1">
      <c r="A471" s="83"/>
      <c r="B471" s="85"/>
      <c r="C471" s="84"/>
      <c r="D471" s="112"/>
      <c r="E471" s="112"/>
      <c r="F471" s="112"/>
      <c r="G471" s="85"/>
      <c r="H471" s="120"/>
      <c r="I471" s="280"/>
      <c r="J471" s="120"/>
      <c r="K471" s="120" t="str">
        <f t="shared" si="30"/>
        <v/>
      </c>
      <c r="L471" s="287"/>
      <c r="M471" s="91"/>
      <c r="N471" s="87"/>
      <c r="O471" s="159"/>
      <c r="P471" s="86"/>
      <c r="Q471" s="92"/>
      <c r="R471" s="120">
        <f t="shared" si="31"/>
        <v>0</v>
      </c>
      <c r="S471" s="93"/>
      <c r="T471" s="117"/>
      <c r="U471" s="88"/>
      <c r="V471" s="85"/>
      <c r="W471" s="146"/>
      <c r="X471" s="137"/>
      <c r="Y471" s="137"/>
      <c r="Z471" s="137"/>
      <c r="AA471" s="137"/>
      <c r="AB471" s="137"/>
      <c r="AC471" s="137"/>
      <c r="AD471" s="137"/>
      <c r="AE471" s="137"/>
      <c r="AF471" s="141"/>
      <c r="AG471" s="146"/>
      <c r="AH471" s="146"/>
      <c r="AI471" s="146"/>
      <c r="AJ471" s="146"/>
      <c r="AK471" s="146"/>
      <c r="AL471" s="81"/>
      <c r="AM471" s="81"/>
      <c r="AN471" s="152"/>
      <c r="AO471" s="152"/>
      <c r="AP471" s="152"/>
      <c r="AQ471" s="152"/>
      <c r="AR471" s="81"/>
      <c r="AS471" s="81"/>
      <c r="AT471" s="82"/>
      <c r="AU471" s="82"/>
      <c r="AV471" s="176"/>
      <c r="AW471" s="89"/>
      <c r="AX471" s="89"/>
      <c r="AY471" s="89"/>
      <c r="AZ471" s="89"/>
      <c r="BA471" s="89"/>
      <c r="BB471" s="89"/>
      <c r="BC471" s="89"/>
      <c r="BD471" s="89"/>
      <c r="BE471" s="141"/>
      <c r="BF471" s="176"/>
      <c r="BG471" s="176"/>
      <c r="BH471" s="176"/>
      <c r="BI471" s="176"/>
    </row>
    <row r="472" spans="1:61" s="90" customFormat="1">
      <c r="A472" s="83"/>
      <c r="B472" s="85"/>
      <c r="C472" s="84"/>
      <c r="D472" s="112"/>
      <c r="E472" s="112"/>
      <c r="F472" s="112"/>
      <c r="G472" s="85"/>
      <c r="H472" s="120"/>
      <c r="I472" s="280"/>
      <c r="J472" s="120"/>
      <c r="K472" s="120" t="str">
        <f t="shared" si="30"/>
        <v/>
      </c>
      <c r="L472" s="287"/>
      <c r="M472" s="91"/>
      <c r="N472" s="87"/>
      <c r="O472" s="159"/>
      <c r="P472" s="86"/>
      <c r="Q472" s="92"/>
      <c r="R472" s="120">
        <f t="shared" si="31"/>
        <v>0</v>
      </c>
      <c r="S472" s="93"/>
      <c r="T472" s="117"/>
      <c r="U472" s="88"/>
      <c r="V472" s="85"/>
      <c r="W472" s="146"/>
      <c r="X472" s="137"/>
      <c r="Y472" s="137"/>
      <c r="Z472" s="137"/>
      <c r="AA472" s="137"/>
      <c r="AB472" s="137"/>
      <c r="AC472" s="137"/>
      <c r="AD472" s="137"/>
      <c r="AE472" s="137"/>
      <c r="AF472" s="141"/>
      <c r="AG472" s="146"/>
      <c r="AH472" s="146"/>
      <c r="AI472" s="146"/>
      <c r="AJ472" s="146"/>
      <c r="AK472" s="146"/>
      <c r="AL472" s="81"/>
      <c r="AM472" s="81"/>
      <c r="AN472" s="152"/>
      <c r="AO472" s="152"/>
      <c r="AP472" s="152"/>
      <c r="AQ472" s="152"/>
      <c r="AR472" s="81"/>
      <c r="AS472" s="81"/>
      <c r="AT472" s="82"/>
      <c r="AU472" s="82"/>
      <c r="AV472" s="176"/>
      <c r="AW472" s="89"/>
      <c r="AX472" s="89"/>
      <c r="AY472" s="89"/>
      <c r="AZ472" s="89"/>
      <c r="BA472" s="89"/>
      <c r="BB472" s="89"/>
      <c r="BC472" s="89"/>
      <c r="BD472" s="89"/>
      <c r="BE472" s="141"/>
      <c r="BF472" s="176"/>
      <c r="BG472" s="176"/>
      <c r="BH472" s="176"/>
      <c r="BI472" s="176"/>
    </row>
    <row r="473" spans="1:61" s="90" customFormat="1">
      <c r="A473" s="83"/>
      <c r="B473" s="85"/>
      <c r="C473" s="84"/>
      <c r="D473" s="112"/>
      <c r="E473" s="112"/>
      <c r="F473" s="112"/>
      <c r="G473" s="85"/>
      <c r="H473" s="120"/>
      <c r="I473" s="280"/>
      <c r="J473" s="120"/>
      <c r="K473" s="120" t="str">
        <f t="shared" si="30"/>
        <v/>
      </c>
      <c r="L473" s="287"/>
      <c r="M473" s="91"/>
      <c r="N473" s="87"/>
      <c r="O473" s="159"/>
      <c r="P473" s="86"/>
      <c r="Q473" s="92"/>
      <c r="R473" s="120">
        <f t="shared" si="31"/>
        <v>0</v>
      </c>
      <c r="S473" s="93"/>
      <c r="T473" s="117"/>
      <c r="U473" s="88"/>
      <c r="V473" s="85"/>
      <c r="W473" s="146"/>
      <c r="X473" s="137"/>
      <c r="Y473" s="137"/>
      <c r="Z473" s="137"/>
      <c r="AA473" s="137"/>
      <c r="AB473" s="137"/>
      <c r="AC473" s="137"/>
      <c r="AD473" s="137"/>
      <c r="AE473" s="137"/>
      <c r="AF473" s="141"/>
      <c r="AG473" s="146"/>
      <c r="AH473" s="146"/>
      <c r="AI473" s="146"/>
      <c r="AJ473" s="146"/>
      <c r="AK473" s="146"/>
      <c r="AL473" s="81"/>
      <c r="AM473" s="81"/>
      <c r="AN473" s="152"/>
      <c r="AO473" s="152"/>
      <c r="AP473" s="152"/>
      <c r="AQ473" s="152"/>
      <c r="AR473" s="81"/>
      <c r="AS473" s="81"/>
      <c r="AT473" s="82"/>
      <c r="AU473" s="82"/>
      <c r="AV473" s="176"/>
      <c r="AW473" s="89"/>
      <c r="AX473" s="89"/>
      <c r="AY473" s="89"/>
      <c r="AZ473" s="89"/>
      <c r="BA473" s="89"/>
      <c r="BB473" s="89"/>
      <c r="BC473" s="89"/>
      <c r="BD473" s="89"/>
      <c r="BE473" s="141"/>
      <c r="BF473" s="176"/>
      <c r="BG473" s="176"/>
      <c r="BH473" s="176"/>
      <c r="BI473" s="176"/>
    </row>
    <row r="474" spans="1:61" s="90" customFormat="1">
      <c r="A474" s="83"/>
      <c r="B474" s="85"/>
      <c r="C474" s="84"/>
      <c r="D474" s="112"/>
      <c r="E474" s="112"/>
      <c r="F474" s="112"/>
      <c r="G474" s="85"/>
      <c r="H474" s="120"/>
      <c r="I474" s="280"/>
      <c r="J474" s="120"/>
      <c r="K474" s="120" t="str">
        <f t="shared" si="30"/>
        <v/>
      </c>
      <c r="L474" s="287"/>
      <c r="M474" s="91"/>
      <c r="N474" s="87"/>
      <c r="O474" s="159"/>
      <c r="P474" s="86"/>
      <c r="Q474" s="92"/>
      <c r="R474" s="120">
        <f t="shared" si="31"/>
        <v>0</v>
      </c>
      <c r="S474" s="93"/>
      <c r="T474" s="117"/>
      <c r="U474" s="88"/>
      <c r="V474" s="85"/>
      <c r="W474" s="146"/>
      <c r="X474" s="137"/>
      <c r="Y474" s="137"/>
      <c r="Z474" s="137"/>
      <c r="AA474" s="137"/>
      <c r="AB474" s="137"/>
      <c r="AC474" s="137"/>
      <c r="AD474" s="137"/>
      <c r="AE474" s="137"/>
      <c r="AF474" s="141"/>
      <c r="AG474" s="146"/>
      <c r="AH474" s="146"/>
      <c r="AI474" s="146"/>
      <c r="AJ474" s="146"/>
      <c r="AK474" s="146"/>
      <c r="AL474" s="81"/>
      <c r="AM474" s="81"/>
      <c r="AN474" s="152"/>
      <c r="AO474" s="152"/>
      <c r="AP474" s="152"/>
      <c r="AQ474" s="152"/>
      <c r="AR474" s="81"/>
      <c r="AS474" s="81"/>
      <c r="AT474" s="82"/>
      <c r="AU474" s="82"/>
      <c r="AV474" s="176"/>
      <c r="AW474" s="89"/>
      <c r="AX474" s="89"/>
      <c r="AY474" s="89"/>
      <c r="AZ474" s="89"/>
      <c r="BA474" s="89"/>
      <c r="BB474" s="89"/>
      <c r="BC474" s="89"/>
      <c r="BD474" s="89"/>
      <c r="BE474" s="141"/>
      <c r="BF474" s="176"/>
      <c r="BG474" s="176"/>
      <c r="BH474" s="176"/>
      <c r="BI474" s="176"/>
    </row>
    <row r="475" spans="1:61" s="90" customFormat="1">
      <c r="A475" s="83"/>
      <c r="B475" s="85"/>
      <c r="C475" s="84"/>
      <c r="D475" s="112"/>
      <c r="E475" s="112"/>
      <c r="F475" s="112"/>
      <c r="G475" s="85"/>
      <c r="H475" s="120"/>
      <c r="I475" s="280"/>
      <c r="J475" s="120"/>
      <c r="K475" s="120" t="str">
        <f t="shared" si="30"/>
        <v/>
      </c>
      <c r="L475" s="287"/>
      <c r="M475" s="91"/>
      <c r="N475" s="87"/>
      <c r="O475" s="159"/>
      <c r="P475" s="86"/>
      <c r="Q475" s="92"/>
      <c r="R475" s="120">
        <f t="shared" si="31"/>
        <v>0</v>
      </c>
      <c r="S475" s="93"/>
      <c r="T475" s="117"/>
      <c r="U475" s="88"/>
      <c r="V475" s="85"/>
      <c r="W475" s="146"/>
      <c r="X475" s="137"/>
      <c r="Y475" s="137"/>
      <c r="Z475" s="137"/>
      <c r="AA475" s="137"/>
      <c r="AB475" s="137"/>
      <c r="AC475" s="137"/>
      <c r="AD475" s="137"/>
      <c r="AE475" s="137"/>
      <c r="AF475" s="141"/>
      <c r="AG475" s="146"/>
      <c r="AH475" s="146"/>
      <c r="AI475" s="146"/>
      <c r="AJ475" s="146"/>
      <c r="AK475" s="146"/>
      <c r="AL475" s="81"/>
      <c r="AM475" s="81"/>
      <c r="AN475" s="152"/>
      <c r="AO475" s="152"/>
      <c r="AP475" s="152"/>
      <c r="AQ475" s="152"/>
      <c r="AR475" s="81"/>
      <c r="AS475" s="81"/>
      <c r="AT475" s="82"/>
      <c r="AU475" s="82"/>
      <c r="AV475" s="176"/>
      <c r="AW475" s="89"/>
      <c r="AX475" s="89"/>
      <c r="AY475" s="89"/>
      <c r="AZ475" s="89"/>
      <c r="BA475" s="89"/>
      <c r="BB475" s="89"/>
      <c r="BC475" s="89"/>
      <c r="BD475" s="89"/>
      <c r="BE475" s="141"/>
      <c r="BF475" s="176"/>
      <c r="BG475" s="176"/>
      <c r="BH475" s="176"/>
      <c r="BI475" s="176"/>
    </row>
    <row r="476" spans="1:61" s="90" customFormat="1">
      <c r="A476" s="83"/>
      <c r="B476" s="85"/>
      <c r="C476" s="84"/>
      <c r="D476" s="112"/>
      <c r="E476" s="112"/>
      <c r="F476" s="112"/>
      <c r="G476" s="85"/>
      <c r="H476" s="120"/>
      <c r="I476" s="280"/>
      <c r="J476" s="120"/>
      <c r="K476" s="120" t="str">
        <f t="shared" si="30"/>
        <v/>
      </c>
      <c r="L476" s="287"/>
      <c r="M476" s="91"/>
      <c r="N476" s="87"/>
      <c r="O476" s="159"/>
      <c r="P476" s="86"/>
      <c r="Q476" s="92"/>
      <c r="R476" s="120">
        <f t="shared" si="31"/>
        <v>0</v>
      </c>
      <c r="S476" s="93"/>
      <c r="T476" s="117"/>
      <c r="U476" s="88"/>
      <c r="V476" s="85"/>
      <c r="W476" s="146"/>
      <c r="X476" s="137"/>
      <c r="Y476" s="137"/>
      <c r="Z476" s="137"/>
      <c r="AA476" s="137"/>
      <c r="AB476" s="137"/>
      <c r="AC476" s="137"/>
      <c r="AD476" s="137"/>
      <c r="AE476" s="137"/>
      <c r="AF476" s="141"/>
      <c r="AG476" s="146"/>
      <c r="AH476" s="146"/>
      <c r="AI476" s="146"/>
      <c r="AJ476" s="146"/>
      <c r="AK476" s="146"/>
      <c r="AL476" s="81"/>
      <c r="AM476" s="81"/>
      <c r="AN476" s="152"/>
      <c r="AO476" s="152"/>
      <c r="AP476" s="152"/>
      <c r="AQ476" s="152"/>
      <c r="AR476" s="81"/>
      <c r="AS476" s="81"/>
      <c r="AT476" s="82"/>
      <c r="AU476" s="82"/>
      <c r="AV476" s="176"/>
      <c r="AW476" s="89"/>
      <c r="AX476" s="89"/>
      <c r="AY476" s="89"/>
      <c r="AZ476" s="89"/>
      <c r="BA476" s="89"/>
      <c r="BB476" s="89"/>
      <c r="BC476" s="89"/>
      <c r="BD476" s="89"/>
      <c r="BE476" s="141"/>
      <c r="BF476" s="176"/>
      <c r="BG476" s="176"/>
      <c r="BH476" s="176"/>
      <c r="BI476" s="176"/>
    </row>
    <row r="477" spans="1:61" s="90" customFormat="1">
      <c r="A477" s="83"/>
      <c r="B477" s="85"/>
      <c r="C477" s="84"/>
      <c r="D477" s="112"/>
      <c r="E477" s="112"/>
      <c r="F477" s="112"/>
      <c r="G477" s="85"/>
      <c r="H477" s="120"/>
      <c r="I477" s="280"/>
      <c r="J477" s="120"/>
      <c r="K477" s="120" t="str">
        <f t="shared" si="30"/>
        <v/>
      </c>
      <c r="L477" s="287"/>
      <c r="M477" s="91"/>
      <c r="N477" s="87"/>
      <c r="O477" s="159"/>
      <c r="P477" s="86"/>
      <c r="Q477" s="92"/>
      <c r="R477" s="120">
        <f t="shared" si="31"/>
        <v>0</v>
      </c>
      <c r="S477" s="93"/>
      <c r="T477" s="117"/>
      <c r="U477" s="88"/>
      <c r="V477" s="85"/>
      <c r="W477" s="146"/>
      <c r="X477" s="137"/>
      <c r="Y477" s="137"/>
      <c r="Z477" s="137"/>
      <c r="AA477" s="137"/>
      <c r="AB477" s="137"/>
      <c r="AC477" s="137"/>
      <c r="AD477" s="137"/>
      <c r="AE477" s="137"/>
      <c r="AF477" s="141"/>
      <c r="AG477" s="146"/>
      <c r="AH477" s="146"/>
      <c r="AI477" s="146"/>
      <c r="AJ477" s="146"/>
      <c r="AK477" s="146"/>
      <c r="AL477" s="81"/>
      <c r="AM477" s="81"/>
      <c r="AN477" s="152"/>
      <c r="AO477" s="152"/>
      <c r="AP477" s="152"/>
      <c r="AQ477" s="152"/>
      <c r="AR477" s="81"/>
      <c r="AS477" s="81"/>
      <c r="AT477" s="82"/>
      <c r="AU477" s="82"/>
      <c r="AV477" s="176"/>
      <c r="AW477" s="89"/>
      <c r="AX477" s="89"/>
      <c r="AY477" s="89"/>
      <c r="AZ477" s="89"/>
      <c r="BA477" s="89"/>
      <c r="BB477" s="89"/>
      <c r="BC477" s="89"/>
      <c r="BD477" s="89"/>
      <c r="BE477" s="141"/>
      <c r="BF477" s="176"/>
      <c r="BG477" s="176"/>
      <c r="BH477" s="176"/>
      <c r="BI477" s="176"/>
    </row>
    <row r="478" spans="1:61" s="90" customFormat="1">
      <c r="A478" s="83"/>
      <c r="B478" s="85"/>
      <c r="C478" s="84"/>
      <c r="D478" s="112"/>
      <c r="E478" s="112"/>
      <c r="F478" s="112"/>
      <c r="G478" s="85"/>
      <c r="H478" s="120"/>
      <c r="I478" s="280"/>
      <c r="J478" s="120"/>
      <c r="K478" s="120" t="str">
        <f t="shared" si="30"/>
        <v/>
      </c>
      <c r="L478" s="287"/>
      <c r="M478" s="91"/>
      <c r="N478" s="87"/>
      <c r="O478" s="159"/>
      <c r="P478" s="86"/>
      <c r="Q478" s="92"/>
      <c r="R478" s="120">
        <f t="shared" si="31"/>
        <v>0</v>
      </c>
      <c r="S478" s="93"/>
      <c r="T478" s="117"/>
      <c r="U478" s="88"/>
      <c r="V478" s="85"/>
      <c r="W478" s="146"/>
      <c r="X478" s="137"/>
      <c r="Y478" s="137"/>
      <c r="Z478" s="137"/>
      <c r="AA478" s="137"/>
      <c r="AB478" s="137"/>
      <c r="AC478" s="137"/>
      <c r="AD478" s="137"/>
      <c r="AE478" s="137"/>
      <c r="AF478" s="141"/>
      <c r="AG478" s="146"/>
      <c r="AH478" s="146"/>
      <c r="AI478" s="146"/>
      <c r="AJ478" s="146"/>
      <c r="AK478" s="146"/>
      <c r="AL478" s="81"/>
      <c r="AM478" s="81"/>
      <c r="AN478" s="152"/>
      <c r="AO478" s="152"/>
      <c r="AP478" s="152"/>
      <c r="AQ478" s="152"/>
      <c r="AR478" s="81"/>
      <c r="AS478" s="81"/>
      <c r="AT478" s="82"/>
      <c r="AU478" s="82"/>
      <c r="AV478" s="176"/>
      <c r="AW478" s="89"/>
      <c r="AX478" s="89"/>
      <c r="AY478" s="89"/>
      <c r="AZ478" s="89"/>
      <c r="BA478" s="89"/>
      <c r="BB478" s="89"/>
      <c r="BC478" s="89"/>
      <c r="BD478" s="89"/>
      <c r="BE478" s="141"/>
      <c r="BF478" s="176"/>
      <c r="BG478" s="176"/>
      <c r="BH478" s="176"/>
      <c r="BI478" s="176"/>
    </row>
    <row r="479" spans="1:61" s="90" customFormat="1">
      <c r="A479" s="83"/>
      <c r="B479" s="85"/>
      <c r="C479" s="84"/>
      <c r="D479" s="112"/>
      <c r="E479" s="112"/>
      <c r="F479" s="112"/>
      <c r="G479" s="85"/>
      <c r="H479" s="120"/>
      <c r="I479" s="280"/>
      <c r="J479" s="120"/>
      <c r="K479" s="120" t="str">
        <f t="shared" si="30"/>
        <v/>
      </c>
      <c r="L479" s="287"/>
      <c r="M479" s="91"/>
      <c r="N479" s="87"/>
      <c r="O479" s="159"/>
      <c r="P479" s="86"/>
      <c r="Q479" s="92"/>
      <c r="R479" s="120">
        <f t="shared" si="31"/>
        <v>0</v>
      </c>
      <c r="S479" s="93"/>
      <c r="T479" s="117"/>
      <c r="U479" s="88"/>
      <c r="V479" s="85"/>
      <c r="W479" s="146"/>
      <c r="X479" s="137"/>
      <c r="Y479" s="137"/>
      <c r="Z479" s="137"/>
      <c r="AA479" s="137"/>
      <c r="AB479" s="137"/>
      <c r="AC479" s="137"/>
      <c r="AD479" s="137"/>
      <c r="AE479" s="137"/>
      <c r="AF479" s="141"/>
      <c r="AG479" s="146"/>
      <c r="AH479" s="146"/>
      <c r="AI479" s="146"/>
      <c r="AJ479" s="146"/>
      <c r="AK479" s="146"/>
      <c r="AL479" s="81"/>
      <c r="AM479" s="81"/>
      <c r="AN479" s="152"/>
      <c r="AO479" s="152"/>
      <c r="AP479" s="152"/>
      <c r="AQ479" s="152"/>
      <c r="AR479" s="81"/>
      <c r="AS479" s="81"/>
      <c r="AT479" s="82"/>
      <c r="AU479" s="82"/>
      <c r="AV479" s="176"/>
      <c r="AW479" s="89"/>
      <c r="AX479" s="89"/>
      <c r="AY479" s="89"/>
      <c r="AZ479" s="89"/>
      <c r="BA479" s="89"/>
      <c r="BB479" s="89"/>
      <c r="BC479" s="89"/>
      <c r="BD479" s="89"/>
      <c r="BE479" s="141"/>
      <c r="BF479" s="176"/>
      <c r="BG479" s="176"/>
      <c r="BH479" s="176"/>
      <c r="BI479" s="176"/>
    </row>
    <row r="480" spans="1:61" s="90" customFormat="1">
      <c r="A480" s="83"/>
      <c r="B480" s="85"/>
      <c r="C480" s="84"/>
      <c r="D480" s="112"/>
      <c r="E480" s="112"/>
      <c r="F480" s="112"/>
      <c r="G480" s="85"/>
      <c r="H480" s="120"/>
      <c r="I480" s="280"/>
      <c r="J480" s="120"/>
      <c r="K480" s="120" t="str">
        <f t="shared" si="30"/>
        <v/>
      </c>
      <c r="L480" s="287"/>
      <c r="M480" s="91"/>
      <c r="N480" s="87"/>
      <c r="O480" s="159"/>
      <c r="P480" s="86"/>
      <c r="Q480" s="92"/>
      <c r="R480" s="120">
        <f t="shared" si="31"/>
        <v>0</v>
      </c>
      <c r="S480" s="93"/>
      <c r="T480" s="117"/>
      <c r="U480" s="88"/>
      <c r="V480" s="85"/>
      <c r="W480" s="146"/>
      <c r="X480" s="137"/>
      <c r="Y480" s="137"/>
      <c r="Z480" s="137"/>
      <c r="AA480" s="137"/>
      <c r="AB480" s="137"/>
      <c r="AC480" s="137"/>
      <c r="AD480" s="137"/>
      <c r="AE480" s="137"/>
      <c r="AF480" s="141"/>
      <c r="AG480" s="146"/>
      <c r="AH480" s="146"/>
      <c r="AI480" s="146"/>
      <c r="AJ480" s="146"/>
      <c r="AK480" s="146"/>
      <c r="AL480" s="81"/>
      <c r="AM480" s="81"/>
      <c r="AN480" s="152"/>
      <c r="AO480" s="152"/>
      <c r="AP480" s="152"/>
      <c r="AQ480" s="152"/>
      <c r="AR480" s="81"/>
      <c r="AS480" s="81"/>
      <c r="AT480" s="82"/>
      <c r="AU480" s="82"/>
      <c r="AV480" s="176"/>
      <c r="AW480" s="89"/>
      <c r="AX480" s="89"/>
      <c r="AY480" s="89"/>
      <c r="AZ480" s="89"/>
      <c r="BA480" s="89"/>
      <c r="BB480" s="89"/>
      <c r="BC480" s="89"/>
      <c r="BD480" s="89"/>
      <c r="BE480" s="141"/>
      <c r="BF480" s="176"/>
      <c r="BG480" s="176"/>
      <c r="BH480" s="176"/>
      <c r="BI480" s="176"/>
    </row>
    <row r="481" spans="1:61" s="90" customFormat="1">
      <c r="A481" s="83"/>
      <c r="B481" s="85"/>
      <c r="C481" s="84"/>
      <c r="D481" s="112"/>
      <c r="E481" s="112"/>
      <c r="F481" s="112"/>
      <c r="G481" s="85"/>
      <c r="H481" s="120"/>
      <c r="I481" s="280"/>
      <c r="J481" s="120"/>
      <c r="K481" s="120" t="str">
        <f t="shared" si="30"/>
        <v/>
      </c>
      <c r="L481" s="287"/>
      <c r="M481" s="91"/>
      <c r="N481" s="87"/>
      <c r="O481" s="159"/>
      <c r="P481" s="86"/>
      <c r="Q481" s="92"/>
      <c r="R481" s="120">
        <f t="shared" si="31"/>
        <v>0</v>
      </c>
      <c r="S481" s="93"/>
      <c r="T481" s="117"/>
      <c r="U481" s="88"/>
      <c r="V481" s="85"/>
      <c r="W481" s="146"/>
      <c r="X481" s="137"/>
      <c r="Y481" s="137"/>
      <c r="Z481" s="137"/>
      <c r="AA481" s="137"/>
      <c r="AB481" s="137"/>
      <c r="AC481" s="137"/>
      <c r="AD481" s="137"/>
      <c r="AE481" s="137"/>
      <c r="AF481" s="141"/>
      <c r="AG481" s="146"/>
      <c r="AH481" s="146"/>
      <c r="AI481" s="146"/>
      <c r="AJ481" s="146"/>
      <c r="AK481" s="146"/>
      <c r="AL481" s="81"/>
      <c r="AM481" s="81"/>
      <c r="AN481" s="152"/>
      <c r="AO481" s="152"/>
      <c r="AP481" s="152"/>
      <c r="AQ481" s="152"/>
      <c r="AR481" s="81"/>
      <c r="AS481" s="81"/>
      <c r="AT481" s="82"/>
      <c r="AU481" s="82"/>
      <c r="AV481" s="176"/>
      <c r="AW481" s="89"/>
      <c r="AX481" s="89"/>
      <c r="AY481" s="89"/>
      <c r="AZ481" s="89"/>
      <c r="BA481" s="89"/>
      <c r="BB481" s="89"/>
      <c r="BC481" s="89"/>
      <c r="BD481" s="89"/>
      <c r="BE481" s="141"/>
      <c r="BF481" s="176"/>
      <c r="BG481" s="176"/>
      <c r="BH481" s="176"/>
      <c r="BI481" s="176"/>
    </row>
    <row r="482" spans="1:61" s="90" customFormat="1">
      <c r="A482" s="83"/>
      <c r="B482" s="85"/>
      <c r="C482" s="84"/>
      <c r="D482" s="112"/>
      <c r="E482" s="112"/>
      <c r="F482" s="112"/>
      <c r="G482" s="85"/>
      <c r="H482" s="120"/>
      <c r="I482" s="280"/>
      <c r="J482" s="120"/>
      <c r="K482" s="120" t="str">
        <f t="shared" si="30"/>
        <v/>
      </c>
      <c r="L482" s="287"/>
      <c r="M482" s="91"/>
      <c r="N482" s="87"/>
      <c r="O482" s="159"/>
      <c r="P482" s="86"/>
      <c r="Q482" s="92"/>
      <c r="R482" s="120">
        <f t="shared" si="31"/>
        <v>0</v>
      </c>
      <c r="S482" s="93"/>
      <c r="T482" s="117"/>
      <c r="U482" s="88"/>
      <c r="V482" s="85"/>
      <c r="W482" s="146"/>
      <c r="X482" s="137"/>
      <c r="Y482" s="137"/>
      <c r="Z482" s="137"/>
      <c r="AA482" s="137"/>
      <c r="AB482" s="137"/>
      <c r="AC482" s="137"/>
      <c r="AD482" s="137"/>
      <c r="AE482" s="137"/>
      <c r="AF482" s="141"/>
      <c r="AG482" s="146"/>
      <c r="AH482" s="146"/>
      <c r="AI482" s="146"/>
      <c r="AJ482" s="146"/>
      <c r="AK482" s="146"/>
      <c r="AL482" s="81"/>
      <c r="AM482" s="81"/>
      <c r="AN482" s="152"/>
      <c r="AO482" s="152"/>
      <c r="AP482" s="152"/>
      <c r="AQ482" s="152"/>
      <c r="AR482" s="81"/>
      <c r="AS482" s="81"/>
      <c r="AT482" s="82"/>
      <c r="AU482" s="82"/>
      <c r="AV482" s="176"/>
      <c r="AW482" s="89"/>
      <c r="AX482" s="89"/>
      <c r="AY482" s="89"/>
      <c r="AZ482" s="89"/>
      <c r="BA482" s="89"/>
      <c r="BB482" s="89"/>
      <c r="BC482" s="89"/>
      <c r="BD482" s="89"/>
      <c r="BE482" s="141"/>
      <c r="BF482" s="176"/>
      <c r="BG482" s="176"/>
      <c r="BH482" s="176"/>
      <c r="BI482" s="176"/>
    </row>
    <row r="483" spans="1:61" s="90" customFormat="1">
      <c r="A483" s="83"/>
      <c r="B483" s="85"/>
      <c r="C483" s="84"/>
      <c r="D483" s="112"/>
      <c r="E483" s="112"/>
      <c r="F483" s="112"/>
      <c r="G483" s="85"/>
      <c r="H483" s="120"/>
      <c r="I483" s="280"/>
      <c r="J483" s="120"/>
      <c r="K483" s="120" t="str">
        <f t="shared" si="30"/>
        <v/>
      </c>
      <c r="L483" s="287"/>
      <c r="M483" s="91"/>
      <c r="N483" s="87"/>
      <c r="O483" s="159"/>
      <c r="P483" s="86"/>
      <c r="Q483" s="92"/>
      <c r="R483" s="120">
        <f t="shared" si="31"/>
        <v>0</v>
      </c>
      <c r="S483" s="93"/>
      <c r="T483" s="117"/>
      <c r="U483" s="88"/>
      <c r="V483" s="85"/>
      <c r="W483" s="146"/>
      <c r="X483" s="137"/>
      <c r="Y483" s="137"/>
      <c r="Z483" s="137"/>
      <c r="AA483" s="137"/>
      <c r="AB483" s="137"/>
      <c r="AC483" s="137"/>
      <c r="AD483" s="137"/>
      <c r="AE483" s="137"/>
      <c r="AF483" s="141"/>
      <c r="AG483" s="146"/>
      <c r="AH483" s="146"/>
      <c r="AI483" s="146"/>
      <c r="AJ483" s="146"/>
      <c r="AK483" s="146"/>
      <c r="AL483" s="81"/>
      <c r="AM483" s="81"/>
      <c r="AN483" s="152"/>
      <c r="AO483" s="152"/>
      <c r="AP483" s="152"/>
      <c r="AQ483" s="152"/>
      <c r="AR483" s="81"/>
      <c r="AS483" s="81"/>
      <c r="AT483" s="82"/>
      <c r="AU483" s="82"/>
      <c r="AV483" s="176"/>
      <c r="AW483" s="89"/>
      <c r="AX483" s="89"/>
      <c r="AY483" s="89"/>
      <c r="AZ483" s="89"/>
      <c r="BA483" s="89"/>
      <c r="BB483" s="89"/>
      <c r="BC483" s="89"/>
      <c r="BD483" s="89"/>
      <c r="BE483" s="141"/>
      <c r="BF483" s="176"/>
      <c r="BG483" s="176"/>
      <c r="BH483" s="176"/>
      <c r="BI483" s="176"/>
    </row>
    <row r="484" spans="1:61" s="90" customFormat="1">
      <c r="A484" s="83"/>
      <c r="B484" s="85"/>
      <c r="C484" s="84"/>
      <c r="D484" s="112"/>
      <c r="E484" s="112"/>
      <c r="F484" s="112"/>
      <c r="G484" s="85"/>
      <c r="H484" s="120"/>
      <c r="I484" s="280"/>
      <c r="J484" s="120"/>
      <c r="K484" s="120" t="str">
        <f t="shared" si="30"/>
        <v/>
      </c>
      <c r="L484" s="287"/>
      <c r="M484" s="91"/>
      <c r="N484" s="87"/>
      <c r="O484" s="159"/>
      <c r="P484" s="86"/>
      <c r="Q484" s="92"/>
      <c r="R484" s="120">
        <f t="shared" si="31"/>
        <v>0</v>
      </c>
      <c r="S484" s="93"/>
      <c r="T484" s="117"/>
      <c r="U484" s="88"/>
      <c r="V484" s="85"/>
      <c r="W484" s="146"/>
      <c r="X484" s="137"/>
      <c r="Y484" s="137"/>
      <c r="Z484" s="137"/>
      <c r="AA484" s="137"/>
      <c r="AB484" s="137"/>
      <c r="AC484" s="137"/>
      <c r="AD484" s="137"/>
      <c r="AE484" s="137"/>
      <c r="AF484" s="141"/>
      <c r="AG484" s="146"/>
      <c r="AH484" s="146"/>
      <c r="AI484" s="146"/>
      <c r="AJ484" s="146"/>
      <c r="AK484" s="146"/>
      <c r="AL484" s="81"/>
      <c r="AM484" s="81"/>
      <c r="AN484" s="152"/>
      <c r="AO484" s="152"/>
      <c r="AP484" s="152"/>
      <c r="AQ484" s="152"/>
      <c r="AR484" s="81"/>
      <c r="AS484" s="81"/>
      <c r="AT484" s="82"/>
      <c r="AU484" s="82"/>
      <c r="AV484" s="176"/>
      <c r="AW484" s="89"/>
      <c r="AX484" s="89"/>
      <c r="AY484" s="89"/>
      <c r="AZ484" s="89"/>
      <c r="BA484" s="89"/>
      <c r="BB484" s="89"/>
      <c r="BC484" s="89"/>
      <c r="BD484" s="89"/>
      <c r="BE484" s="141"/>
      <c r="BF484" s="176"/>
      <c r="BG484" s="176"/>
      <c r="BH484" s="176"/>
      <c r="BI484" s="176"/>
    </row>
    <row r="485" spans="1:61" s="90" customFormat="1">
      <c r="A485" s="83"/>
      <c r="B485" s="85"/>
      <c r="C485" s="84"/>
      <c r="D485" s="112"/>
      <c r="E485" s="112"/>
      <c r="F485" s="112"/>
      <c r="G485" s="85"/>
      <c r="H485" s="120"/>
      <c r="I485" s="280"/>
      <c r="J485" s="120"/>
      <c r="K485" s="120" t="str">
        <f t="shared" si="30"/>
        <v/>
      </c>
      <c r="L485" s="287"/>
      <c r="M485" s="91"/>
      <c r="N485" s="87"/>
      <c r="O485" s="159"/>
      <c r="P485" s="86"/>
      <c r="Q485" s="92"/>
      <c r="R485" s="120">
        <f t="shared" si="31"/>
        <v>0</v>
      </c>
      <c r="S485" s="93"/>
      <c r="T485" s="117"/>
      <c r="U485" s="88"/>
      <c r="V485" s="85"/>
      <c r="W485" s="146"/>
      <c r="X485" s="137"/>
      <c r="Y485" s="137"/>
      <c r="Z485" s="137"/>
      <c r="AA485" s="137"/>
      <c r="AB485" s="137"/>
      <c r="AC485" s="137"/>
      <c r="AD485" s="137"/>
      <c r="AE485" s="137"/>
      <c r="AF485" s="141"/>
      <c r="AG485" s="146"/>
      <c r="AH485" s="146"/>
      <c r="AI485" s="146"/>
      <c r="AJ485" s="146"/>
      <c r="AK485" s="146"/>
      <c r="AL485" s="81"/>
      <c r="AM485" s="81"/>
      <c r="AN485" s="152"/>
      <c r="AO485" s="152"/>
      <c r="AP485" s="152"/>
      <c r="AQ485" s="152"/>
      <c r="AR485" s="81"/>
      <c r="AS485" s="81"/>
      <c r="AT485" s="82"/>
      <c r="AU485" s="82"/>
      <c r="AV485" s="176"/>
      <c r="AW485" s="89"/>
      <c r="AX485" s="89"/>
      <c r="AY485" s="89"/>
      <c r="AZ485" s="89"/>
      <c r="BA485" s="89"/>
      <c r="BB485" s="89"/>
      <c r="BC485" s="89"/>
      <c r="BD485" s="89"/>
      <c r="BE485" s="141"/>
      <c r="BF485" s="176"/>
      <c r="BG485" s="176"/>
      <c r="BH485" s="176"/>
      <c r="BI485" s="176"/>
    </row>
    <row r="486" spans="1:61" s="90" customFormat="1">
      <c r="A486" s="83"/>
      <c r="B486" s="85"/>
      <c r="C486" s="84"/>
      <c r="D486" s="112"/>
      <c r="E486" s="112"/>
      <c r="F486" s="112"/>
      <c r="G486" s="85"/>
      <c r="H486" s="120"/>
      <c r="I486" s="280"/>
      <c r="J486" s="120"/>
      <c r="K486" s="120" t="str">
        <f t="shared" si="30"/>
        <v/>
      </c>
      <c r="L486" s="287"/>
      <c r="M486" s="91"/>
      <c r="N486" s="87"/>
      <c r="O486" s="159"/>
      <c r="P486" s="86"/>
      <c r="Q486" s="92"/>
      <c r="R486" s="120">
        <f t="shared" si="31"/>
        <v>0</v>
      </c>
      <c r="S486" s="93"/>
      <c r="T486" s="117"/>
      <c r="U486" s="88"/>
      <c r="V486" s="85"/>
      <c r="W486" s="146"/>
      <c r="X486" s="137"/>
      <c r="Y486" s="137"/>
      <c r="Z486" s="137"/>
      <c r="AA486" s="137"/>
      <c r="AB486" s="137"/>
      <c r="AC486" s="137"/>
      <c r="AD486" s="137"/>
      <c r="AE486" s="137"/>
      <c r="AF486" s="141"/>
      <c r="AG486" s="146"/>
      <c r="AH486" s="146"/>
      <c r="AI486" s="146"/>
      <c r="AJ486" s="146"/>
      <c r="AK486" s="146"/>
      <c r="AL486" s="81"/>
      <c r="AM486" s="81"/>
      <c r="AN486" s="152"/>
      <c r="AO486" s="152"/>
      <c r="AP486" s="152"/>
      <c r="AQ486" s="152"/>
      <c r="AR486" s="81"/>
      <c r="AS486" s="81"/>
      <c r="AT486" s="82"/>
      <c r="AU486" s="82"/>
      <c r="AV486" s="176"/>
      <c r="AW486" s="89"/>
      <c r="AX486" s="89"/>
      <c r="AY486" s="89"/>
      <c r="AZ486" s="89"/>
      <c r="BA486" s="89"/>
      <c r="BB486" s="89"/>
      <c r="BC486" s="89"/>
      <c r="BD486" s="89"/>
      <c r="BE486" s="141"/>
      <c r="BF486" s="176"/>
      <c r="BG486" s="176"/>
      <c r="BH486" s="176"/>
      <c r="BI486" s="176"/>
    </row>
    <row r="487" spans="1:61" s="90" customFormat="1">
      <c r="A487" s="83"/>
      <c r="B487" s="85"/>
      <c r="C487" s="84"/>
      <c r="D487" s="112"/>
      <c r="E487" s="112"/>
      <c r="F487" s="112"/>
      <c r="G487" s="85"/>
      <c r="H487" s="120"/>
      <c r="I487" s="280"/>
      <c r="J487" s="120"/>
      <c r="K487" s="120" t="str">
        <f t="shared" si="30"/>
        <v/>
      </c>
      <c r="L487" s="287"/>
      <c r="M487" s="91"/>
      <c r="N487" s="87"/>
      <c r="O487" s="159"/>
      <c r="P487" s="86"/>
      <c r="Q487" s="92"/>
      <c r="R487" s="120">
        <f t="shared" si="31"/>
        <v>0</v>
      </c>
      <c r="S487" s="93"/>
      <c r="T487" s="117"/>
      <c r="U487" s="88"/>
      <c r="V487" s="85"/>
      <c r="W487" s="146"/>
      <c r="X487" s="137"/>
      <c r="Y487" s="137"/>
      <c r="Z487" s="137"/>
      <c r="AA487" s="137"/>
      <c r="AB487" s="137"/>
      <c r="AC487" s="137"/>
      <c r="AD487" s="137"/>
      <c r="AE487" s="137"/>
      <c r="AF487" s="141"/>
      <c r="AG487" s="146"/>
      <c r="AH487" s="146"/>
      <c r="AI487" s="146"/>
      <c r="AJ487" s="146"/>
      <c r="AK487" s="146"/>
      <c r="AL487" s="81"/>
      <c r="AM487" s="81"/>
      <c r="AN487" s="152"/>
      <c r="AO487" s="152"/>
      <c r="AP487" s="152"/>
      <c r="AQ487" s="152"/>
      <c r="AR487" s="81"/>
      <c r="AS487" s="81"/>
      <c r="AT487" s="82"/>
      <c r="AU487" s="82"/>
      <c r="AV487" s="176"/>
      <c r="AW487" s="89"/>
      <c r="AX487" s="89"/>
      <c r="AY487" s="89"/>
      <c r="AZ487" s="89"/>
      <c r="BA487" s="89"/>
      <c r="BB487" s="89"/>
      <c r="BC487" s="89"/>
      <c r="BD487" s="89"/>
      <c r="BE487" s="141"/>
      <c r="BF487" s="176"/>
      <c r="BG487" s="176"/>
      <c r="BH487" s="176"/>
      <c r="BI487" s="176"/>
    </row>
    <row r="488" spans="1:61" s="90" customFormat="1">
      <c r="A488" s="83"/>
      <c r="B488" s="85"/>
      <c r="C488" s="84"/>
      <c r="D488" s="112"/>
      <c r="E488" s="112"/>
      <c r="F488" s="112"/>
      <c r="G488" s="85"/>
      <c r="H488" s="120"/>
      <c r="I488" s="280"/>
      <c r="J488" s="120"/>
      <c r="K488" s="120" t="str">
        <f t="shared" si="30"/>
        <v/>
      </c>
      <c r="L488" s="287"/>
      <c r="M488" s="91"/>
      <c r="N488" s="87"/>
      <c r="O488" s="159"/>
      <c r="P488" s="86"/>
      <c r="Q488" s="92"/>
      <c r="R488" s="120">
        <f t="shared" si="31"/>
        <v>0</v>
      </c>
      <c r="S488" s="93"/>
      <c r="T488" s="117"/>
      <c r="U488" s="88"/>
      <c r="V488" s="85"/>
      <c r="W488" s="146"/>
      <c r="X488" s="137"/>
      <c r="Y488" s="137"/>
      <c r="Z488" s="137"/>
      <c r="AA488" s="137"/>
      <c r="AB488" s="137"/>
      <c r="AC488" s="137"/>
      <c r="AD488" s="137"/>
      <c r="AE488" s="137"/>
      <c r="AF488" s="141"/>
      <c r="AG488" s="146"/>
      <c r="AH488" s="146"/>
      <c r="AI488" s="146"/>
      <c r="AJ488" s="146"/>
      <c r="AK488" s="146"/>
      <c r="AL488" s="81"/>
      <c r="AM488" s="81"/>
      <c r="AN488" s="152"/>
      <c r="AO488" s="152"/>
      <c r="AP488" s="152"/>
      <c r="AQ488" s="152"/>
      <c r="AR488" s="81"/>
      <c r="AS488" s="81"/>
      <c r="AT488" s="82"/>
      <c r="AU488" s="82"/>
      <c r="AV488" s="176"/>
      <c r="AW488" s="89"/>
      <c r="AX488" s="89"/>
      <c r="AY488" s="89"/>
      <c r="AZ488" s="89"/>
      <c r="BA488" s="89"/>
      <c r="BB488" s="89"/>
      <c r="BC488" s="89"/>
      <c r="BD488" s="89"/>
      <c r="BE488" s="141"/>
      <c r="BF488" s="176"/>
      <c r="BG488" s="176"/>
      <c r="BH488" s="176"/>
      <c r="BI488" s="176"/>
    </row>
    <row r="489" spans="1:61" s="90" customFormat="1">
      <c r="A489" s="83"/>
      <c r="B489" s="85"/>
      <c r="C489" s="84"/>
      <c r="D489" s="112"/>
      <c r="E489" s="112"/>
      <c r="F489" s="112"/>
      <c r="G489" s="85"/>
      <c r="H489" s="120"/>
      <c r="I489" s="280"/>
      <c r="J489" s="120"/>
      <c r="K489" s="120" t="str">
        <f t="shared" si="30"/>
        <v/>
      </c>
      <c r="L489" s="287"/>
      <c r="M489" s="91"/>
      <c r="N489" s="87"/>
      <c r="O489" s="159"/>
      <c r="P489" s="86"/>
      <c r="Q489" s="92"/>
      <c r="R489" s="120">
        <f t="shared" si="31"/>
        <v>0</v>
      </c>
      <c r="S489" s="93"/>
      <c r="T489" s="117"/>
      <c r="U489" s="88"/>
      <c r="V489" s="85"/>
      <c r="W489" s="146"/>
      <c r="X489" s="137"/>
      <c r="Y489" s="137"/>
      <c r="Z489" s="137"/>
      <c r="AA489" s="137"/>
      <c r="AB489" s="137"/>
      <c r="AC489" s="137"/>
      <c r="AD489" s="137"/>
      <c r="AE489" s="137"/>
      <c r="AF489" s="141"/>
      <c r="AG489" s="146"/>
      <c r="AH489" s="146"/>
      <c r="AI489" s="146"/>
      <c r="AJ489" s="146"/>
      <c r="AK489" s="146"/>
      <c r="AL489" s="81"/>
      <c r="AM489" s="81"/>
      <c r="AN489" s="152"/>
      <c r="AO489" s="152"/>
      <c r="AP489" s="152"/>
      <c r="AQ489" s="152"/>
      <c r="AR489" s="81"/>
      <c r="AS489" s="81"/>
      <c r="AT489" s="82"/>
      <c r="AU489" s="82"/>
      <c r="AV489" s="176"/>
      <c r="AW489" s="89"/>
      <c r="AX489" s="89"/>
      <c r="AY489" s="89"/>
      <c r="AZ489" s="89"/>
      <c r="BA489" s="89"/>
      <c r="BB489" s="89"/>
      <c r="BC489" s="89"/>
      <c r="BD489" s="89"/>
      <c r="BE489" s="141"/>
      <c r="BF489" s="176"/>
      <c r="BG489" s="176"/>
      <c r="BH489" s="176"/>
      <c r="BI489" s="176"/>
    </row>
    <row r="490" spans="1:61" s="90" customFormat="1">
      <c r="A490" s="83"/>
      <c r="B490" s="85"/>
      <c r="C490" s="84"/>
      <c r="D490" s="112"/>
      <c r="E490" s="112"/>
      <c r="F490" s="112"/>
      <c r="G490" s="85"/>
      <c r="H490" s="120"/>
      <c r="I490" s="280"/>
      <c r="J490" s="120"/>
      <c r="K490" s="120" t="str">
        <f t="shared" si="30"/>
        <v/>
      </c>
      <c r="L490" s="287"/>
      <c r="M490" s="91"/>
      <c r="N490" s="87"/>
      <c r="O490" s="159"/>
      <c r="P490" s="86"/>
      <c r="Q490" s="92"/>
      <c r="R490" s="120">
        <f t="shared" si="31"/>
        <v>0</v>
      </c>
      <c r="S490" s="93"/>
      <c r="T490" s="117"/>
      <c r="U490" s="88"/>
      <c r="V490" s="85"/>
      <c r="W490" s="146"/>
      <c r="X490" s="137"/>
      <c r="Y490" s="137"/>
      <c r="Z490" s="137"/>
      <c r="AA490" s="137"/>
      <c r="AB490" s="137"/>
      <c r="AC490" s="137"/>
      <c r="AD490" s="137"/>
      <c r="AE490" s="137"/>
      <c r="AF490" s="141"/>
      <c r="AG490" s="146"/>
      <c r="AH490" s="146"/>
      <c r="AI490" s="146"/>
      <c r="AJ490" s="146"/>
      <c r="AK490" s="146"/>
      <c r="AL490" s="81"/>
      <c r="AM490" s="81"/>
      <c r="AN490" s="152"/>
      <c r="AO490" s="152"/>
      <c r="AP490" s="152"/>
      <c r="AQ490" s="152"/>
      <c r="AR490" s="81"/>
      <c r="AS490" s="81"/>
      <c r="AT490" s="82"/>
      <c r="AU490" s="82"/>
      <c r="AV490" s="176"/>
      <c r="AW490" s="89"/>
      <c r="AX490" s="89"/>
      <c r="AY490" s="89"/>
      <c r="AZ490" s="89"/>
      <c r="BA490" s="89"/>
      <c r="BB490" s="89"/>
      <c r="BC490" s="89"/>
      <c r="BD490" s="89"/>
      <c r="BE490" s="141"/>
      <c r="BF490" s="176"/>
      <c r="BG490" s="176"/>
      <c r="BH490" s="176"/>
      <c r="BI490" s="176"/>
    </row>
    <row r="491" spans="1:61" s="90" customFormat="1">
      <c r="A491" s="83"/>
      <c r="B491" s="85"/>
      <c r="C491" s="84"/>
      <c r="D491" s="112"/>
      <c r="E491" s="112"/>
      <c r="F491" s="112"/>
      <c r="G491" s="85"/>
      <c r="H491" s="120"/>
      <c r="I491" s="280"/>
      <c r="J491" s="120"/>
      <c r="K491" s="120" t="str">
        <f t="shared" si="30"/>
        <v/>
      </c>
      <c r="L491" s="287"/>
      <c r="M491" s="91"/>
      <c r="N491" s="87"/>
      <c r="O491" s="159"/>
      <c r="P491" s="86"/>
      <c r="Q491" s="92"/>
      <c r="R491" s="120">
        <f t="shared" si="31"/>
        <v>0</v>
      </c>
      <c r="S491" s="93"/>
      <c r="T491" s="117"/>
      <c r="U491" s="88"/>
      <c r="V491" s="85"/>
      <c r="W491" s="146"/>
      <c r="X491" s="137"/>
      <c r="Y491" s="137"/>
      <c r="Z491" s="137"/>
      <c r="AA491" s="137"/>
      <c r="AB491" s="137"/>
      <c r="AC491" s="137"/>
      <c r="AD491" s="137"/>
      <c r="AE491" s="137"/>
      <c r="AF491" s="141"/>
      <c r="AG491" s="146"/>
      <c r="AH491" s="146"/>
      <c r="AI491" s="146"/>
      <c r="AJ491" s="146"/>
      <c r="AK491" s="146"/>
      <c r="AL491" s="81"/>
      <c r="AM491" s="81"/>
      <c r="AN491" s="152"/>
      <c r="AO491" s="152"/>
      <c r="AP491" s="152"/>
      <c r="AQ491" s="152"/>
      <c r="AR491" s="81"/>
      <c r="AS491" s="81"/>
      <c r="AT491" s="82"/>
      <c r="AU491" s="82"/>
      <c r="AV491" s="176"/>
      <c r="AW491" s="89"/>
      <c r="AX491" s="89"/>
      <c r="AY491" s="89"/>
      <c r="AZ491" s="89"/>
      <c r="BA491" s="89"/>
      <c r="BB491" s="89"/>
      <c r="BC491" s="89"/>
      <c r="BD491" s="89"/>
      <c r="BE491" s="141"/>
      <c r="BF491" s="176"/>
      <c r="BG491" s="176"/>
      <c r="BH491" s="176"/>
      <c r="BI491" s="176"/>
    </row>
    <row r="492" spans="1:61" s="90" customFormat="1">
      <c r="A492" s="83"/>
      <c r="B492" s="85"/>
      <c r="C492" s="84"/>
      <c r="D492" s="112"/>
      <c r="E492" s="112"/>
      <c r="F492" s="112"/>
      <c r="G492" s="85"/>
      <c r="H492" s="120"/>
      <c r="I492" s="280"/>
      <c r="J492" s="120"/>
      <c r="K492" s="120" t="str">
        <f t="shared" si="30"/>
        <v/>
      </c>
      <c r="L492" s="287"/>
      <c r="M492" s="91"/>
      <c r="N492" s="87"/>
      <c r="O492" s="159"/>
      <c r="P492" s="86"/>
      <c r="Q492" s="92"/>
      <c r="R492" s="120">
        <f t="shared" si="31"/>
        <v>0</v>
      </c>
      <c r="S492" s="93"/>
      <c r="T492" s="117"/>
      <c r="U492" s="88"/>
      <c r="V492" s="85"/>
      <c r="W492" s="146"/>
      <c r="X492" s="137"/>
      <c r="Y492" s="137"/>
      <c r="Z492" s="137"/>
      <c r="AA492" s="137"/>
      <c r="AB492" s="137"/>
      <c r="AC492" s="137"/>
      <c r="AD492" s="137"/>
      <c r="AE492" s="137"/>
      <c r="AF492" s="141"/>
      <c r="AG492" s="146"/>
      <c r="AH492" s="146"/>
      <c r="AI492" s="146"/>
      <c r="AJ492" s="146"/>
      <c r="AK492" s="146"/>
      <c r="AL492" s="81"/>
      <c r="AM492" s="81"/>
      <c r="AN492" s="152"/>
      <c r="AO492" s="152"/>
      <c r="AP492" s="152"/>
      <c r="AQ492" s="152"/>
      <c r="AR492" s="81"/>
      <c r="AS492" s="81"/>
      <c r="AT492" s="82"/>
      <c r="AU492" s="82"/>
      <c r="AV492" s="176"/>
      <c r="AW492" s="89"/>
      <c r="AX492" s="89"/>
      <c r="AY492" s="89"/>
      <c r="AZ492" s="89"/>
      <c r="BA492" s="89"/>
      <c r="BB492" s="89"/>
      <c r="BC492" s="89"/>
      <c r="BD492" s="89"/>
      <c r="BE492" s="141"/>
      <c r="BF492" s="176"/>
      <c r="BG492" s="176"/>
      <c r="BH492" s="176"/>
      <c r="BI492" s="176"/>
    </row>
    <row r="493" spans="1:61" s="90" customFormat="1">
      <c r="A493" s="83"/>
      <c r="B493" s="85"/>
      <c r="C493" s="84"/>
      <c r="D493" s="112"/>
      <c r="E493" s="112"/>
      <c r="F493" s="112"/>
      <c r="G493" s="85"/>
      <c r="H493" s="120"/>
      <c r="I493" s="280"/>
      <c r="J493" s="120"/>
      <c r="K493" s="120" t="str">
        <f t="shared" si="30"/>
        <v/>
      </c>
      <c r="L493" s="287"/>
      <c r="M493" s="91"/>
      <c r="N493" s="87"/>
      <c r="O493" s="159"/>
      <c r="P493" s="86"/>
      <c r="Q493" s="92"/>
      <c r="R493" s="120">
        <f t="shared" si="31"/>
        <v>0</v>
      </c>
      <c r="S493" s="93"/>
      <c r="T493" s="117"/>
      <c r="U493" s="88"/>
      <c r="V493" s="85"/>
      <c r="W493" s="146"/>
      <c r="X493" s="137"/>
      <c r="Y493" s="137"/>
      <c r="Z493" s="137"/>
      <c r="AA493" s="137"/>
      <c r="AB493" s="137"/>
      <c r="AC493" s="137"/>
      <c r="AD493" s="137"/>
      <c r="AE493" s="137"/>
      <c r="AF493" s="141"/>
      <c r="AG493" s="146"/>
      <c r="AH493" s="146"/>
      <c r="AI493" s="146"/>
      <c r="AJ493" s="146"/>
      <c r="AK493" s="146"/>
      <c r="AL493" s="81"/>
      <c r="AM493" s="81"/>
      <c r="AN493" s="152"/>
      <c r="AO493" s="152"/>
      <c r="AP493" s="152"/>
      <c r="AQ493" s="152"/>
      <c r="AR493" s="81"/>
      <c r="AS493" s="81"/>
      <c r="AT493" s="82"/>
      <c r="AU493" s="82"/>
      <c r="AV493" s="176"/>
      <c r="AW493" s="89"/>
      <c r="AX493" s="89"/>
      <c r="AY493" s="89"/>
      <c r="AZ493" s="89"/>
      <c r="BA493" s="89"/>
      <c r="BB493" s="89"/>
      <c r="BC493" s="89"/>
      <c r="BD493" s="89"/>
      <c r="BE493" s="141"/>
      <c r="BF493" s="176"/>
      <c r="BG493" s="176"/>
      <c r="BH493" s="176"/>
      <c r="BI493" s="176"/>
    </row>
    <row r="494" spans="1:61" s="90" customFormat="1">
      <c r="A494" s="83"/>
      <c r="B494" s="85"/>
      <c r="C494" s="84"/>
      <c r="D494" s="112"/>
      <c r="E494" s="112"/>
      <c r="F494" s="112"/>
      <c r="G494" s="85"/>
      <c r="H494" s="120"/>
      <c r="I494" s="280"/>
      <c r="J494" s="120"/>
      <c r="K494" s="120" t="str">
        <f t="shared" si="30"/>
        <v/>
      </c>
      <c r="L494" s="287"/>
      <c r="M494" s="91"/>
      <c r="N494" s="87"/>
      <c r="O494" s="159"/>
      <c r="P494" s="86"/>
      <c r="Q494" s="92"/>
      <c r="R494" s="120">
        <f t="shared" si="31"/>
        <v>0</v>
      </c>
      <c r="S494" s="93"/>
      <c r="T494" s="117"/>
      <c r="U494" s="88"/>
      <c r="V494" s="85"/>
      <c r="W494" s="146"/>
      <c r="X494" s="137"/>
      <c r="Y494" s="137"/>
      <c r="Z494" s="137"/>
      <c r="AA494" s="137"/>
      <c r="AB494" s="137"/>
      <c r="AC494" s="137"/>
      <c r="AD494" s="137"/>
      <c r="AE494" s="137"/>
      <c r="AF494" s="141"/>
      <c r="AG494" s="146"/>
      <c r="AH494" s="146"/>
      <c r="AI494" s="146"/>
      <c r="AJ494" s="146"/>
      <c r="AK494" s="146"/>
      <c r="AL494" s="81"/>
      <c r="AM494" s="81"/>
      <c r="AN494" s="152"/>
      <c r="AO494" s="152"/>
      <c r="AP494" s="152"/>
      <c r="AQ494" s="152"/>
      <c r="AR494" s="81"/>
      <c r="AS494" s="81"/>
      <c r="AT494" s="82"/>
      <c r="AU494" s="82"/>
      <c r="AV494" s="176"/>
      <c r="AW494" s="89"/>
      <c r="AX494" s="89"/>
      <c r="AY494" s="89"/>
      <c r="AZ494" s="89"/>
      <c r="BA494" s="89"/>
      <c r="BB494" s="89"/>
      <c r="BC494" s="89"/>
      <c r="BD494" s="89"/>
      <c r="BE494" s="141"/>
      <c r="BF494" s="176"/>
      <c r="BG494" s="176"/>
      <c r="BH494" s="176"/>
      <c r="BI494" s="176"/>
    </row>
    <row r="495" spans="1:61" s="90" customFormat="1">
      <c r="A495" s="83"/>
      <c r="B495" s="85"/>
      <c r="C495" s="84"/>
      <c r="D495" s="112"/>
      <c r="E495" s="112"/>
      <c r="F495" s="112"/>
      <c r="G495" s="85"/>
      <c r="H495" s="120"/>
      <c r="I495" s="280"/>
      <c r="J495" s="120"/>
      <c r="K495" s="120" t="str">
        <f t="shared" si="30"/>
        <v/>
      </c>
      <c r="L495" s="287"/>
      <c r="M495" s="91"/>
      <c r="N495" s="87"/>
      <c r="O495" s="159"/>
      <c r="P495" s="86"/>
      <c r="Q495" s="92"/>
      <c r="R495" s="120">
        <f t="shared" si="31"/>
        <v>0</v>
      </c>
      <c r="S495" s="93"/>
      <c r="T495" s="117"/>
      <c r="U495" s="88"/>
      <c r="V495" s="85"/>
      <c r="W495" s="146"/>
      <c r="X495" s="137"/>
      <c r="Y495" s="137"/>
      <c r="Z495" s="137"/>
      <c r="AA495" s="137"/>
      <c r="AB495" s="137"/>
      <c r="AC495" s="137"/>
      <c r="AD495" s="137"/>
      <c r="AE495" s="137"/>
      <c r="AF495" s="141"/>
      <c r="AG495" s="146"/>
      <c r="AH495" s="146"/>
      <c r="AI495" s="146"/>
      <c r="AJ495" s="146"/>
      <c r="AK495" s="146"/>
      <c r="AL495" s="81"/>
      <c r="AM495" s="81"/>
      <c r="AN495" s="152"/>
      <c r="AO495" s="152"/>
      <c r="AP495" s="152"/>
      <c r="AQ495" s="152"/>
      <c r="AR495" s="81"/>
      <c r="AS495" s="81"/>
      <c r="AT495" s="82"/>
      <c r="AU495" s="82"/>
      <c r="AV495" s="176"/>
      <c r="AW495" s="89"/>
      <c r="AX495" s="89"/>
      <c r="AY495" s="89"/>
      <c r="AZ495" s="89"/>
      <c r="BA495" s="89"/>
      <c r="BB495" s="89"/>
      <c r="BC495" s="89"/>
      <c r="BD495" s="89"/>
      <c r="BE495" s="141"/>
      <c r="BF495" s="176"/>
      <c r="BG495" s="176"/>
      <c r="BH495" s="176"/>
      <c r="BI495" s="176"/>
    </row>
    <row r="496" spans="1:61" s="90" customFormat="1">
      <c r="A496" s="83"/>
      <c r="B496" s="85"/>
      <c r="C496" s="84"/>
      <c r="D496" s="112"/>
      <c r="E496" s="112"/>
      <c r="F496" s="112"/>
      <c r="G496" s="85"/>
      <c r="H496" s="120"/>
      <c r="I496" s="280"/>
      <c r="J496" s="120"/>
      <c r="K496" s="120" t="str">
        <f t="shared" si="30"/>
        <v/>
      </c>
      <c r="L496" s="287"/>
      <c r="M496" s="91"/>
      <c r="N496" s="87"/>
      <c r="O496" s="159"/>
      <c r="P496" s="86"/>
      <c r="Q496" s="92"/>
      <c r="R496" s="120">
        <f t="shared" si="31"/>
        <v>0</v>
      </c>
      <c r="S496" s="93"/>
      <c r="T496" s="117"/>
      <c r="U496" s="88"/>
      <c r="V496" s="85"/>
      <c r="W496" s="146"/>
      <c r="X496" s="137"/>
      <c r="Y496" s="137"/>
      <c r="Z496" s="137"/>
      <c r="AA496" s="137"/>
      <c r="AB496" s="137"/>
      <c r="AC496" s="137"/>
      <c r="AD496" s="137"/>
      <c r="AE496" s="137"/>
      <c r="AF496" s="141"/>
      <c r="AG496" s="146"/>
      <c r="AH496" s="146"/>
      <c r="AI496" s="146"/>
      <c r="AJ496" s="146"/>
      <c r="AK496" s="146"/>
      <c r="AL496" s="81"/>
      <c r="AM496" s="81"/>
      <c r="AN496" s="152"/>
      <c r="AO496" s="152"/>
      <c r="AP496" s="152"/>
      <c r="AQ496" s="152"/>
      <c r="AR496" s="81"/>
      <c r="AS496" s="81"/>
      <c r="AT496" s="82"/>
      <c r="AU496" s="82"/>
      <c r="AV496" s="176"/>
      <c r="AW496" s="89"/>
      <c r="AX496" s="89"/>
      <c r="AY496" s="89"/>
      <c r="AZ496" s="89"/>
      <c r="BA496" s="89"/>
      <c r="BB496" s="89"/>
      <c r="BC496" s="89"/>
      <c r="BD496" s="89"/>
      <c r="BE496" s="141"/>
      <c r="BF496" s="176"/>
      <c r="BG496" s="176"/>
      <c r="BH496" s="176"/>
      <c r="BI496" s="176"/>
    </row>
    <row r="497" spans="1:61" s="90" customFormat="1">
      <c r="A497" s="83"/>
      <c r="B497" s="85"/>
      <c r="C497" s="84"/>
      <c r="D497" s="112"/>
      <c r="E497" s="112"/>
      <c r="F497" s="112"/>
      <c r="G497" s="85"/>
      <c r="H497" s="120"/>
      <c r="I497" s="280"/>
      <c r="J497" s="120"/>
      <c r="K497" s="120" t="str">
        <f t="shared" si="30"/>
        <v/>
      </c>
      <c r="L497" s="287"/>
      <c r="M497" s="91"/>
      <c r="N497" s="87"/>
      <c r="O497" s="159"/>
      <c r="P497" s="86"/>
      <c r="Q497" s="92"/>
      <c r="R497" s="120">
        <f t="shared" si="31"/>
        <v>0</v>
      </c>
      <c r="S497" s="93"/>
      <c r="T497" s="117"/>
      <c r="U497" s="88"/>
      <c r="V497" s="85"/>
      <c r="W497" s="146"/>
      <c r="X497" s="137"/>
      <c r="Y497" s="137"/>
      <c r="Z497" s="137"/>
      <c r="AA497" s="137"/>
      <c r="AB497" s="137"/>
      <c r="AC497" s="137"/>
      <c r="AD497" s="137"/>
      <c r="AE497" s="137"/>
      <c r="AF497" s="141"/>
      <c r="AG497" s="146"/>
      <c r="AH497" s="146"/>
      <c r="AI497" s="146"/>
      <c r="AJ497" s="146"/>
      <c r="AK497" s="146"/>
      <c r="AL497" s="81"/>
      <c r="AM497" s="81"/>
      <c r="AN497" s="152"/>
      <c r="AO497" s="152"/>
      <c r="AP497" s="152"/>
      <c r="AQ497" s="152"/>
      <c r="AR497" s="81"/>
      <c r="AS497" s="81"/>
      <c r="AT497" s="82"/>
      <c r="AU497" s="82"/>
      <c r="AV497" s="176"/>
      <c r="AW497" s="89"/>
      <c r="AX497" s="89"/>
      <c r="AY497" s="89"/>
      <c r="AZ497" s="89"/>
      <c r="BA497" s="89"/>
      <c r="BB497" s="89"/>
      <c r="BC497" s="89"/>
      <c r="BD497" s="89"/>
      <c r="BE497" s="141"/>
      <c r="BF497" s="176"/>
      <c r="BG497" s="176"/>
      <c r="BH497" s="176"/>
      <c r="BI497" s="176"/>
    </row>
    <row r="498" spans="1:61" s="90" customFormat="1">
      <c r="A498" s="83"/>
      <c r="B498" s="85"/>
      <c r="C498" s="84"/>
      <c r="D498" s="112"/>
      <c r="E498" s="112"/>
      <c r="F498" s="112"/>
      <c r="G498" s="85"/>
      <c r="H498" s="120"/>
      <c r="I498" s="280"/>
      <c r="J498" s="120"/>
      <c r="K498" s="120" t="str">
        <f t="shared" si="30"/>
        <v/>
      </c>
      <c r="L498" s="287"/>
      <c r="M498" s="91"/>
      <c r="N498" s="87"/>
      <c r="O498" s="159"/>
      <c r="P498" s="86"/>
      <c r="Q498" s="92"/>
      <c r="R498" s="120">
        <f t="shared" si="31"/>
        <v>0</v>
      </c>
      <c r="S498" s="93"/>
      <c r="T498" s="117"/>
      <c r="U498" s="88"/>
      <c r="V498" s="85"/>
      <c r="W498" s="146"/>
      <c r="X498" s="137"/>
      <c r="Y498" s="137"/>
      <c r="Z498" s="137"/>
      <c r="AA498" s="137"/>
      <c r="AB498" s="137"/>
      <c r="AC498" s="137"/>
      <c r="AD498" s="137"/>
      <c r="AE498" s="137"/>
      <c r="AF498" s="141"/>
      <c r="AG498" s="146"/>
      <c r="AH498" s="146"/>
      <c r="AI498" s="146"/>
      <c r="AJ498" s="146"/>
      <c r="AK498" s="146"/>
      <c r="AL498" s="81"/>
      <c r="AM498" s="81"/>
      <c r="AN498" s="152"/>
      <c r="AO498" s="152"/>
      <c r="AP498" s="152"/>
      <c r="AQ498" s="152"/>
      <c r="AR498" s="81"/>
      <c r="AS498" s="81"/>
      <c r="AT498" s="82"/>
      <c r="AU498" s="82"/>
      <c r="AV498" s="176"/>
      <c r="AW498" s="89"/>
      <c r="AX498" s="89"/>
      <c r="AY498" s="89"/>
      <c r="AZ498" s="89"/>
      <c r="BA498" s="89"/>
      <c r="BB498" s="89"/>
      <c r="BC498" s="89"/>
      <c r="BD498" s="89"/>
      <c r="BE498" s="141"/>
      <c r="BF498" s="176"/>
      <c r="BG498" s="176"/>
      <c r="BH498" s="176"/>
      <c r="BI498" s="176"/>
    </row>
    <row r="499" spans="1:61" s="90" customFormat="1">
      <c r="A499" s="83"/>
      <c r="B499" s="85"/>
      <c r="C499" s="84"/>
      <c r="D499" s="112"/>
      <c r="E499" s="112"/>
      <c r="F499" s="112"/>
      <c r="G499" s="85"/>
      <c r="H499" s="120"/>
      <c r="I499" s="280"/>
      <c r="J499" s="120"/>
      <c r="K499" s="120" t="str">
        <f t="shared" si="30"/>
        <v/>
      </c>
      <c r="L499" s="287"/>
      <c r="M499" s="91"/>
      <c r="N499" s="87"/>
      <c r="O499" s="159"/>
      <c r="P499" s="86"/>
      <c r="Q499" s="92"/>
      <c r="R499" s="120">
        <f t="shared" si="31"/>
        <v>0</v>
      </c>
      <c r="S499" s="93"/>
      <c r="T499" s="117"/>
      <c r="U499" s="88"/>
      <c r="V499" s="85"/>
      <c r="W499" s="146"/>
      <c r="X499" s="137"/>
      <c r="Y499" s="137"/>
      <c r="Z499" s="137"/>
      <c r="AA499" s="137"/>
      <c r="AB499" s="137"/>
      <c r="AC499" s="137"/>
      <c r="AD499" s="137"/>
      <c r="AE499" s="137"/>
      <c r="AF499" s="141"/>
      <c r="AG499" s="146"/>
      <c r="AH499" s="146"/>
      <c r="AI499" s="146"/>
      <c r="AJ499" s="146"/>
      <c r="AK499" s="146"/>
      <c r="AL499" s="81"/>
      <c r="AM499" s="81"/>
      <c r="AN499" s="152"/>
      <c r="AO499" s="152"/>
      <c r="AP499" s="152"/>
      <c r="AQ499" s="152"/>
      <c r="AR499" s="81"/>
      <c r="AS499" s="81"/>
      <c r="AT499" s="82"/>
      <c r="AU499" s="82"/>
      <c r="AV499" s="176"/>
      <c r="AW499" s="89"/>
      <c r="AX499" s="89"/>
      <c r="AY499" s="89"/>
      <c r="AZ499" s="89"/>
      <c r="BA499" s="89"/>
      <c r="BB499" s="89"/>
      <c r="BC499" s="89"/>
      <c r="BD499" s="89"/>
      <c r="BE499" s="141"/>
      <c r="BF499" s="176"/>
      <c r="BG499" s="176"/>
      <c r="BH499" s="176"/>
      <c r="BI499" s="176"/>
    </row>
    <row r="500" spans="1:61" s="90" customFormat="1">
      <c r="A500" s="83"/>
      <c r="B500" s="85"/>
      <c r="C500" s="84"/>
      <c r="D500" s="112"/>
      <c r="E500" s="112"/>
      <c r="F500" s="112"/>
      <c r="G500" s="85"/>
      <c r="H500" s="120"/>
      <c r="I500" s="280"/>
      <c r="J500" s="120"/>
      <c r="K500" s="120" t="str">
        <f t="shared" si="30"/>
        <v/>
      </c>
      <c r="L500" s="287"/>
      <c r="M500" s="91"/>
      <c r="N500" s="87"/>
      <c r="O500" s="159"/>
      <c r="P500" s="86"/>
      <c r="Q500" s="92"/>
      <c r="R500" s="120">
        <f t="shared" si="31"/>
        <v>0</v>
      </c>
      <c r="S500" s="93"/>
      <c r="T500" s="93"/>
      <c r="U500" s="88"/>
      <c r="V500" s="85"/>
      <c r="W500" s="146"/>
      <c r="X500" s="137"/>
      <c r="Y500" s="137"/>
      <c r="Z500" s="137"/>
      <c r="AA500" s="137"/>
      <c r="AB500" s="137"/>
      <c r="AC500" s="137"/>
      <c r="AD500" s="137"/>
      <c r="AE500" s="137"/>
      <c r="AF500" s="141"/>
      <c r="AG500" s="146"/>
      <c r="AH500" s="146"/>
      <c r="AI500" s="146"/>
      <c r="AJ500" s="146"/>
      <c r="AK500" s="146"/>
      <c r="AL500" s="81"/>
      <c r="AM500" s="81"/>
      <c r="AN500" s="152"/>
      <c r="AO500" s="152"/>
      <c r="AP500" s="152"/>
      <c r="AQ500" s="152"/>
      <c r="AR500" s="81"/>
      <c r="AS500" s="81"/>
      <c r="AT500" s="82"/>
      <c r="AU500" s="82"/>
      <c r="AV500" s="176"/>
      <c r="AW500" s="89"/>
      <c r="AX500" s="89"/>
      <c r="AY500" s="89"/>
      <c r="AZ500" s="89"/>
      <c r="BA500" s="89"/>
      <c r="BB500" s="89"/>
      <c r="BC500" s="89"/>
      <c r="BD500" s="89"/>
      <c r="BE500" s="141"/>
      <c r="BF500" s="176"/>
      <c r="BG500" s="176"/>
      <c r="BH500" s="176"/>
      <c r="BI500" s="176"/>
    </row>
    <row r="501" spans="1:61">
      <c r="M501" s="95"/>
      <c r="N501" s="95"/>
      <c r="P501" s="96"/>
      <c r="W501" s="147"/>
      <c r="X501" s="138"/>
      <c r="Y501" s="138"/>
      <c r="Z501" s="138"/>
      <c r="AA501" s="138"/>
      <c r="AB501" s="138"/>
      <c r="AC501" s="138"/>
      <c r="AD501" s="138"/>
      <c r="AE501" s="138"/>
      <c r="AF501" s="142"/>
      <c r="AG501" s="147"/>
      <c r="AH501" s="147"/>
      <c r="AI501" s="147"/>
      <c r="AJ501" s="147"/>
      <c r="AK501" s="147"/>
      <c r="AL501" s="94"/>
      <c r="AM501" s="94"/>
      <c r="AN501" s="153"/>
      <c r="AO501" s="153"/>
      <c r="AP501" s="153"/>
      <c r="AQ501" s="153"/>
      <c r="AR501" s="125"/>
      <c r="AS501" s="125"/>
    </row>
    <row r="502" spans="1:61">
      <c r="M502" s="95"/>
      <c r="N502" s="95"/>
      <c r="P502" s="96"/>
      <c r="W502" s="147"/>
      <c r="X502" s="138"/>
      <c r="Y502" s="138"/>
      <c r="Z502" s="138"/>
      <c r="AA502" s="138"/>
      <c r="AB502" s="138"/>
      <c r="AC502" s="138"/>
      <c r="AD502" s="138"/>
      <c r="AE502" s="138"/>
      <c r="AF502" s="142"/>
      <c r="AG502" s="147"/>
      <c r="AH502" s="147"/>
      <c r="AI502" s="147"/>
      <c r="AJ502" s="147"/>
      <c r="AK502" s="147"/>
      <c r="AL502" s="94"/>
      <c r="AM502" s="94"/>
      <c r="AN502" s="153"/>
      <c r="AO502" s="153"/>
      <c r="AP502" s="153"/>
      <c r="AQ502" s="153"/>
      <c r="AR502" s="125"/>
      <c r="AS502" s="125"/>
    </row>
    <row r="503" spans="1:61">
      <c r="M503" s="95"/>
      <c r="N503" s="95"/>
      <c r="P503" s="96"/>
      <c r="W503" s="147"/>
      <c r="X503" s="138"/>
      <c r="Y503" s="138"/>
      <c r="Z503" s="138"/>
      <c r="AA503" s="138"/>
      <c r="AB503" s="138"/>
      <c r="AC503" s="138"/>
      <c r="AD503" s="138"/>
      <c r="AE503" s="138"/>
      <c r="AF503" s="142"/>
      <c r="AG503" s="147"/>
      <c r="AH503" s="147"/>
      <c r="AI503" s="147"/>
      <c r="AJ503" s="147"/>
      <c r="AK503" s="147"/>
      <c r="AL503" s="94"/>
      <c r="AM503" s="94"/>
      <c r="AN503" s="153"/>
      <c r="AO503" s="153"/>
      <c r="AP503" s="153"/>
      <c r="AQ503" s="153"/>
      <c r="AR503" s="125"/>
      <c r="AS503" s="125"/>
    </row>
    <row r="504" spans="1:61">
      <c r="M504" s="95"/>
      <c r="N504" s="95"/>
      <c r="P504" s="96"/>
      <c r="W504" s="147"/>
      <c r="X504" s="138"/>
      <c r="Y504" s="138"/>
      <c r="Z504" s="138"/>
      <c r="AA504" s="138"/>
      <c r="AB504" s="138"/>
      <c r="AC504" s="138"/>
      <c r="AD504" s="138"/>
      <c r="AE504" s="138"/>
      <c r="AF504" s="142"/>
      <c r="AG504" s="147"/>
      <c r="AH504" s="147"/>
      <c r="AI504" s="147"/>
      <c r="AJ504" s="147"/>
      <c r="AK504" s="147"/>
      <c r="AL504" s="94"/>
      <c r="AM504" s="94"/>
      <c r="AN504" s="153"/>
      <c r="AO504" s="153"/>
      <c r="AP504" s="153"/>
      <c r="AQ504" s="153"/>
      <c r="AR504" s="125"/>
      <c r="AS504" s="125"/>
    </row>
    <row r="505" spans="1:61">
      <c r="M505" s="95"/>
      <c r="N505" s="95"/>
      <c r="P505" s="96"/>
      <c r="W505" s="147"/>
      <c r="X505" s="138"/>
      <c r="Y505" s="138"/>
      <c r="Z505" s="138"/>
      <c r="AA505" s="138"/>
      <c r="AB505" s="138"/>
      <c r="AC505" s="138"/>
      <c r="AD505" s="138"/>
      <c r="AE505" s="138"/>
      <c r="AF505" s="142"/>
      <c r="AG505" s="147"/>
      <c r="AH505" s="147"/>
      <c r="AI505" s="147"/>
      <c r="AJ505" s="147"/>
      <c r="AK505" s="147"/>
      <c r="AL505" s="94"/>
      <c r="AM505" s="94"/>
      <c r="AN505" s="153"/>
      <c r="AO505" s="153"/>
      <c r="AP505" s="153"/>
      <c r="AQ505" s="153"/>
      <c r="AR505" s="125"/>
      <c r="AS505" s="125"/>
    </row>
    <row r="506" spans="1:61">
      <c r="M506" s="95"/>
      <c r="N506" s="95"/>
      <c r="P506" s="96"/>
      <c r="W506" s="147"/>
      <c r="X506" s="138"/>
      <c r="Y506" s="138"/>
      <c r="Z506" s="138"/>
      <c r="AA506" s="138"/>
      <c r="AB506" s="138"/>
      <c r="AC506" s="138"/>
      <c r="AD506" s="138"/>
      <c r="AE506" s="138"/>
      <c r="AF506" s="142"/>
      <c r="AG506" s="147"/>
      <c r="AH506" s="147"/>
      <c r="AI506" s="147"/>
      <c r="AJ506" s="147"/>
      <c r="AK506" s="147"/>
      <c r="AL506" s="94"/>
      <c r="AM506" s="94"/>
      <c r="AN506" s="153"/>
      <c r="AO506" s="153"/>
      <c r="AP506" s="153"/>
      <c r="AQ506" s="153"/>
      <c r="AR506" s="125"/>
      <c r="AS506" s="125"/>
    </row>
    <row r="507" spans="1:61">
      <c r="M507" s="95"/>
      <c r="N507" s="95"/>
      <c r="P507" s="96"/>
      <c r="W507" s="147"/>
      <c r="X507" s="138"/>
      <c r="Y507" s="138"/>
      <c r="Z507" s="138"/>
      <c r="AA507" s="138"/>
      <c r="AB507" s="138"/>
      <c r="AC507" s="138"/>
      <c r="AD507" s="138"/>
      <c r="AE507" s="138"/>
      <c r="AF507" s="142"/>
      <c r="AG507" s="147"/>
      <c r="AH507" s="147"/>
      <c r="AI507" s="147"/>
      <c r="AJ507" s="147"/>
      <c r="AK507" s="147"/>
      <c r="AL507" s="94"/>
      <c r="AM507" s="94"/>
      <c r="AN507" s="153"/>
      <c r="AO507" s="153"/>
      <c r="AP507" s="153"/>
      <c r="AQ507" s="153"/>
      <c r="AR507" s="125"/>
      <c r="AS507" s="125"/>
    </row>
    <row r="508" spans="1:61">
      <c r="M508" s="95"/>
      <c r="N508" s="95"/>
      <c r="P508" s="96"/>
      <c r="W508" s="147"/>
      <c r="X508" s="138"/>
      <c r="Y508" s="138"/>
      <c r="Z508" s="138"/>
      <c r="AA508" s="138"/>
      <c r="AB508" s="138"/>
      <c r="AC508" s="138"/>
      <c r="AD508" s="138"/>
      <c r="AE508" s="138"/>
      <c r="AF508" s="142"/>
      <c r="AG508" s="147"/>
      <c r="AH508" s="147"/>
      <c r="AI508" s="147"/>
      <c r="AJ508" s="147"/>
      <c r="AK508" s="147"/>
      <c r="AL508" s="94"/>
      <c r="AM508" s="94"/>
      <c r="AN508" s="153"/>
      <c r="AO508" s="153"/>
      <c r="AP508" s="153"/>
      <c r="AQ508" s="153"/>
      <c r="AR508" s="125"/>
      <c r="AS508" s="125"/>
    </row>
    <row r="509" spans="1:61">
      <c r="M509" s="95"/>
      <c r="N509" s="95"/>
      <c r="P509" s="96"/>
      <c r="W509" s="147"/>
      <c r="X509" s="138"/>
      <c r="Y509" s="138"/>
      <c r="Z509" s="138"/>
      <c r="AA509" s="138"/>
      <c r="AB509" s="138"/>
      <c r="AC509" s="138"/>
      <c r="AD509" s="138"/>
      <c r="AE509" s="138"/>
      <c r="AF509" s="142"/>
      <c r="AG509" s="147"/>
      <c r="AH509" s="147"/>
      <c r="AI509" s="147"/>
      <c r="AJ509" s="147"/>
      <c r="AK509" s="147"/>
      <c r="AL509" s="94"/>
      <c r="AM509" s="94"/>
      <c r="AN509" s="153"/>
      <c r="AO509" s="153"/>
      <c r="AP509" s="153"/>
      <c r="AQ509" s="153"/>
      <c r="AR509" s="125"/>
      <c r="AS509" s="125"/>
    </row>
    <row r="510" spans="1:61">
      <c r="M510" s="95"/>
      <c r="N510" s="95"/>
      <c r="P510" s="96"/>
      <c r="W510" s="147"/>
      <c r="X510" s="138"/>
      <c r="Y510" s="138"/>
      <c r="Z510" s="138"/>
      <c r="AA510" s="138"/>
      <c r="AB510" s="138"/>
      <c r="AC510" s="138"/>
      <c r="AD510" s="138"/>
      <c r="AE510" s="138"/>
      <c r="AF510" s="142"/>
      <c r="AG510" s="147"/>
      <c r="AH510" s="147"/>
      <c r="AI510" s="147"/>
      <c r="AJ510" s="147"/>
      <c r="AK510" s="147"/>
      <c r="AL510" s="94"/>
      <c r="AM510" s="94"/>
      <c r="AN510" s="153"/>
      <c r="AO510" s="153"/>
      <c r="AP510" s="153"/>
      <c r="AQ510" s="153"/>
      <c r="AR510" s="125"/>
      <c r="AS510" s="125"/>
    </row>
    <row r="511" spans="1:61">
      <c r="M511" s="95"/>
      <c r="N511" s="95"/>
      <c r="P511" s="96"/>
      <c r="W511" s="147"/>
      <c r="X511" s="138"/>
      <c r="Y511" s="138"/>
      <c r="Z511" s="138"/>
      <c r="AA511" s="138"/>
      <c r="AB511" s="138"/>
      <c r="AC511" s="138"/>
      <c r="AD511" s="138"/>
      <c r="AE511" s="138"/>
      <c r="AF511" s="142"/>
      <c r="AG511" s="147"/>
      <c r="AH511" s="147"/>
      <c r="AI511" s="147"/>
      <c r="AJ511" s="147"/>
      <c r="AK511" s="147"/>
      <c r="AL511" s="94"/>
      <c r="AM511" s="94"/>
      <c r="AN511" s="153"/>
      <c r="AO511" s="153"/>
      <c r="AP511" s="153"/>
      <c r="AQ511" s="153"/>
      <c r="AR511" s="125"/>
      <c r="AS511" s="125"/>
    </row>
    <row r="512" spans="1:61">
      <c r="M512" s="95"/>
      <c r="N512" s="95"/>
      <c r="P512" s="96"/>
      <c r="W512" s="147"/>
      <c r="X512" s="138"/>
      <c r="Y512" s="138"/>
      <c r="Z512" s="138"/>
      <c r="AA512" s="138"/>
      <c r="AB512" s="138"/>
      <c r="AC512" s="138"/>
      <c r="AD512" s="138"/>
      <c r="AE512" s="138"/>
      <c r="AF512" s="142"/>
      <c r="AG512" s="147"/>
      <c r="AH512" s="147"/>
      <c r="AI512" s="147"/>
      <c r="AJ512" s="147"/>
      <c r="AK512" s="147"/>
      <c r="AL512" s="94"/>
      <c r="AM512" s="94"/>
      <c r="AN512" s="153"/>
      <c r="AO512" s="153"/>
      <c r="AP512" s="153"/>
      <c r="AQ512" s="153"/>
      <c r="AR512" s="125"/>
      <c r="AS512" s="125"/>
    </row>
    <row r="513" spans="13:45">
      <c r="M513" s="95"/>
      <c r="N513" s="95"/>
      <c r="P513" s="96"/>
      <c r="W513" s="147"/>
      <c r="X513" s="138"/>
      <c r="Y513" s="138"/>
      <c r="Z513" s="138"/>
      <c r="AA513" s="138"/>
      <c r="AB513" s="138"/>
      <c r="AC513" s="138"/>
      <c r="AD513" s="138"/>
      <c r="AE513" s="138"/>
      <c r="AF513" s="142"/>
      <c r="AG513" s="147"/>
      <c r="AH513" s="147"/>
      <c r="AI513" s="147"/>
      <c r="AJ513" s="147"/>
      <c r="AK513" s="147"/>
      <c r="AL513" s="94"/>
      <c r="AM513" s="94"/>
      <c r="AN513" s="153"/>
      <c r="AO513" s="153"/>
      <c r="AP513" s="153"/>
      <c r="AQ513" s="153"/>
      <c r="AR513" s="125"/>
      <c r="AS513" s="125"/>
    </row>
    <row r="514" spans="13:45">
      <c r="M514" s="95"/>
      <c r="N514" s="95"/>
      <c r="P514" s="96"/>
      <c r="W514" s="147"/>
      <c r="X514" s="138"/>
      <c r="Y514" s="138"/>
      <c r="Z514" s="138"/>
      <c r="AA514" s="138"/>
      <c r="AB514" s="138"/>
      <c r="AC514" s="138"/>
      <c r="AD514" s="138"/>
      <c r="AE514" s="138"/>
      <c r="AF514" s="142"/>
      <c r="AG514" s="147"/>
      <c r="AH514" s="147"/>
      <c r="AI514" s="147"/>
      <c r="AJ514" s="147"/>
      <c r="AK514" s="147"/>
      <c r="AL514" s="94"/>
      <c r="AM514" s="94"/>
      <c r="AN514" s="153"/>
      <c r="AO514" s="153"/>
      <c r="AP514" s="153"/>
      <c r="AQ514" s="153"/>
      <c r="AR514" s="125"/>
      <c r="AS514" s="125"/>
    </row>
    <row r="515" spans="13:45">
      <c r="M515" s="95"/>
      <c r="N515" s="95"/>
      <c r="P515" s="96"/>
      <c r="W515" s="147"/>
      <c r="X515" s="138"/>
      <c r="Y515" s="138"/>
      <c r="Z515" s="138"/>
      <c r="AA515" s="138"/>
      <c r="AB515" s="138"/>
      <c r="AC515" s="138"/>
      <c r="AD515" s="138"/>
      <c r="AE515" s="138"/>
      <c r="AF515" s="142"/>
      <c r="AG515" s="147"/>
      <c r="AH515" s="147"/>
      <c r="AI515" s="147"/>
      <c r="AJ515" s="147"/>
      <c r="AK515" s="147"/>
      <c r="AL515" s="94"/>
      <c r="AM515" s="94"/>
      <c r="AN515" s="153"/>
      <c r="AO515" s="153"/>
      <c r="AP515" s="153"/>
      <c r="AQ515" s="153"/>
      <c r="AR515" s="125"/>
      <c r="AS515" s="125"/>
    </row>
    <row r="516" spans="13:45">
      <c r="M516" s="95"/>
      <c r="N516" s="95"/>
      <c r="P516" s="96"/>
      <c r="W516" s="147"/>
      <c r="X516" s="138"/>
      <c r="Y516" s="138"/>
      <c r="Z516" s="138"/>
      <c r="AA516" s="138"/>
      <c r="AB516" s="138"/>
      <c r="AC516" s="138"/>
      <c r="AD516" s="138"/>
      <c r="AE516" s="138"/>
      <c r="AF516" s="142"/>
      <c r="AG516" s="147"/>
      <c r="AH516" s="147"/>
      <c r="AI516" s="147"/>
      <c r="AJ516" s="147"/>
      <c r="AK516" s="147"/>
      <c r="AL516" s="94"/>
      <c r="AM516" s="94"/>
      <c r="AN516" s="153"/>
      <c r="AO516" s="153"/>
      <c r="AP516" s="153"/>
      <c r="AQ516" s="153"/>
      <c r="AR516" s="125"/>
      <c r="AS516" s="125"/>
    </row>
    <row r="517" spans="13:45">
      <c r="M517" s="95"/>
      <c r="N517" s="95"/>
      <c r="P517" s="96"/>
      <c r="W517" s="147"/>
      <c r="X517" s="138"/>
      <c r="Y517" s="138"/>
      <c r="Z517" s="138"/>
      <c r="AA517" s="138"/>
      <c r="AB517" s="138"/>
      <c r="AC517" s="138"/>
      <c r="AD517" s="138"/>
      <c r="AE517" s="138"/>
      <c r="AF517" s="142"/>
      <c r="AG517" s="147"/>
      <c r="AH517" s="147"/>
      <c r="AI517" s="147"/>
      <c r="AJ517" s="147"/>
      <c r="AK517" s="147"/>
      <c r="AL517" s="94"/>
      <c r="AM517" s="94"/>
      <c r="AN517" s="153"/>
      <c r="AO517" s="153"/>
      <c r="AP517" s="153"/>
      <c r="AQ517" s="153"/>
      <c r="AR517" s="125"/>
      <c r="AS517" s="125"/>
    </row>
    <row r="518" spans="13:45">
      <c r="M518" s="95"/>
      <c r="N518" s="95"/>
      <c r="P518" s="96"/>
      <c r="W518" s="147"/>
      <c r="X518" s="138"/>
      <c r="Y518" s="138"/>
      <c r="Z518" s="138"/>
      <c r="AA518" s="138"/>
      <c r="AB518" s="138"/>
      <c r="AC518" s="138"/>
      <c r="AD518" s="138"/>
      <c r="AE518" s="138"/>
      <c r="AF518" s="142"/>
      <c r="AG518" s="147"/>
      <c r="AH518" s="147"/>
      <c r="AI518" s="147"/>
      <c r="AJ518" s="147"/>
      <c r="AK518" s="147"/>
      <c r="AL518" s="94"/>
      <c r="AM518" s="94"/>
      <c r="AN518" s="153"/>
      <c r="AO518" s="153"/>
      <c r="AP518" s="153"/>
      <c r="AQ518" s="153"/>
      <c r="AR518" s="125"/>
      <c r="AS518" s="125"/>
    </row>
    <row r="519" spans="13:45">
      <c r="M519" s="95"/>
      <c r="N519" s="95"/>
      <c r="P519" s="96"/>
      <c r="W519" s="147"/>
      <c r="X519" s="138"/>
      <c r="Y519" s="138"/>
      <c r="Z519" s="138"/>
      <c r="AA519" s="138"/>
      <c r="AB519" s="138"/>
      <c r="AC519" s="138"/>
      <c r="AD519" s="138"/>
      <c r="AE519" s="138"/>
      <c r="AF519" s="142"/>
      <c r="AG519" s="147"/>
      <c r="AH519" s="147"/>
      <c r="AI519" s="147"/>
      <c r="AJ519" s="147"/>
      <c r="AK519" s="147"/>
      <c r="AL519" s="94"/>
      <c r="AM519" s="94"/>
      <c r="AN519" s="153"/>
      <c r="AO519" s="153"/>
      <c r="AP519" s="153"/>
      <c r="AQ519" s="153"/>
      <c r="AR519" s="125"/>
      <c r="AS519" s="125"/>
    </row>
    <row r="520" spans="13:45">
      <c r="M520" s="95"/>
      <c r="N520" s="95"/>
      <c r="P520" s="96"/>
      <c r="W520" s="147"/>
      <c r="X520" s="138"/>
      <c r="Y520" s="138"/>
      <c r="Z520" s="138"/>
      <c r="AA520" s="138"/>
      <c r="AB520" s="138"/>
      <c r="AC520" s="138"/>
      <c r="AD520" s="138"/>
      <c r="AE520" s="138"/>
      <c r="AF520" s="142"/>
      <c r="AG520" s="147"/>
      <c r="AH520" s="147"/>
      <c r="AI520" s="147"/>
      <c r="AJ520" s="147"/>
      <c r="AK520" s="147"/>
      <c r="AL520" s="94"/>
      <c r="AM520" s="94"/>
      <c r="AN520" s="153"/>
      <c r="AO520" s="153"/>
      <c r="AP520" s="153"/>
      <c r="AQ520" s="153"/>
      <c r="AR520" s="125"/>
      <c r="AS520" s="125"/>
    </row>
    <row r="521" spans="13:45">
      <c r="M521" s="95"/>
      <c r="N521" s="95"/>
      <c r="P521" s="96"/>
      <c r="W521" s="147"/>
      <c r="X521" s="138"/>
      <c r="Y521" s="138"/>
      <c r="Z521" s="138"/>
      <c r="AA521" s="138"/>
      <c r="AB521" s="138"/>
      <c r="AC521" s="138"/>
      <c r="AD521" s="138"/>
      <c r="AE521" s="138"/>
      <c r="AF521" s="142"/>
      <c r="AG521" s="147"/>
      <c r="AH521" s="147"/>
      <c r="AI521" s="147"/>
      <c r="AJ521" s="147"/>
      <c r="AK521" s="147"/>
      <c r="AL521" s="94"/>
      <c r="AM521" s="94"/>
      <c r="AN521" s="153"/>
      <c r="AO521" s="153"/>
      <c r="AP521" s="153"/>
      <c r="AQ521" s="153"/>
      <c r="AR521" s="125"/>
      <c r="AS521" s="125"/>
    </row>
    <row r="522" spans="13:45">
      <c r="M522" s="95"/>
      <c r="N522" s="95"/>
      <c r="P522" s="96"/>
      <c r="W522" s="147"/>
      <c r="X522" s="138"/>
      <c r="Y522" s="138"/>
      <c r="Z522" s="138"/>
      <c r="AA522" s="138"/>
      <c r="AB522" s="138"/>
      <c r="AC522" s="138"/>
      <c r="AD522" s="138"/>
      <c r="AE522" s="138"/>
      <c r="AF522" s="142"/>
      <c r="AG522" s="147"/>
      <c r="AH522" s="147"/>
      <c r="AI522" s="147"/>
      <c r="AJ522" s="147"/>
      <c r="AK522" s="147"/>
      <c r="AL522" s="94"/>
      <c r="AM522" s="94"/>
      <c r="AN522" s="153"/>
      <c r="AO522" s="153"/>
      <c r="AP522" s="153"/>
      <c r="AQ522" s="153"/>
      <c r="AR522" s="125"/>
      <c r="AS522" s="125"/>
    </row>
    <row r="523" spans="13:45">
      <c r="M523" s="95"/>
      <c r="N523" s="95"/>
      <c r="P523" s="96"/>
      <c r="W523" s="147"/>
      <c r="X523" s="138"/>
      <c r="Y523" s="138"/>
      <c r="Z523" s="138"/>
      <c r="AA523" s="138"/>
      <c r="AB523" s="138"/>
      <c r="AC523" s="138"/>
      <c r="AD523" s="138"/>
      <c r="AE523" s="138"/>
      <c r="AF523" s="142"/>
      <c r="AG523" s="147"/>
      <c r="AH523" s="147"/>
      <c r="AI523" s="147"/>
      <c r="AJ523" s="147"/>
      <c r="AK523" s="147"/>
      <c r="AL523" s="94"/>
      <c r="AM523" s="94"/>
      <c r="AN523" s="153"/>
      <c r="AO523" s="153"/>
      <c r="AP523" s="153"/>
      <c r="AQ523" s="153"/>
      <c r="AR523" s="125"/>
      <c r="AS523" s="125"/>
    </row>
    <row r="524" spans="13:45">
      <c r="M524" s="95"/>
      <c r="N524" s="95"/>
      <c r="P524" s="96"/>
      <c r="W524" s="147"/>
      <c r="X524" s="138"/>
      <c r="Y524" s="138"/>
      <c r="Z524" s="138"/>
      <c r="AA524" s="138"/>
      <c r="AB524" s="138"/>
      <c r="AC524" s="138"/>
      <c r="AD524" s="138"/>
      <c r="AE524" s="138"/>
      <c r="AF524" s="142"/>
      <c r="AG524" s="147"/>
      <c r="AH524" s="147"/>
      <c r="AI524" s="147"/>
      <c r="AJ524" s="147"/>
      <c r="AK524" s="147"/>
      <c r="AL524" s="94"/>
      <c r="AM524" s="94"/>
      <c r="AN524" s="153"/>
      <c r="AO524" s="153"/>
      <c r="AP524" s="153"/>
      <c r="AQ524" s="153"/>
      <c r="AR524" s="125"/>
      <c r="AS524" s="125"/>
    </row>
    <row r="525" spans="13:45">
      <c r="M525" s="95"/>
      <c r="N525" s="95"/>
      <c r="P525" s="96"/>
      <c r="W525" s="147"/>
      <c r="X525" s="138"/>
      <c r="Y525" s="138"/>
      <c r="Z525" s="138"/>
      <c r="AA525" s="138"/>
      <c r="AB525" s="138"/>
      <c r="AC525" s="138"/>
      <c r="AD525" s="138"/>
      <c r="AE525" s="138"/>
      <c r="AF525" s="142"/>
      <c r="AG525" s="147"/>
      <c r="AH525" s="147"/>
      <c r="AI525" s="147"/>
      <c r="AJ525" s="147"/>
      <c r="AK525" s="147"/>
      <c r="AL525" s="94"/>
      <c r="AM525" s="94"/>
      <c r="AN525" s="153"/>
      <c r="AO525" s="153"/>
      <c r="AP525" s="153"/>
      <c r="AQ525" s="153"/>
      <c r="AR525" s="125"/>
      <c r="AS525" s="125"/>
    </row>
    <row r="526" spans="13:45">
      <c r="M526" s="95"/>
      <c r="N526" s="95"/>
      <c r="P526" s="96"/>
      <c r="W526" s="147"/>
      <c r="X526" s="138"/>
      <c r="Y526" s="138"/>
      <c r="Z526" s="138"/>
      <c r="AA526" s="138"/>
      <c r="AB526" s="138"/>
      <c r="AC526" s="138"/>
      <c r="AD526" s="138"/>
      <c r="AE526" s="138"/>
      <c r="AF526" s="142"/>
      <c r="AG526" s="147"/>
      <c r="AH526" s="147"/>
      <c r="AI526" s="147"/>
      <c r="AJ526" s="147"/>
      <c r="AK526" s="147"/>
      <c r="AL526" s="94"/>
      <c r="AM526" s="94"/>
      <c r="AN526" s="153"/>
      <c r="AO526" s="153"/>
      <c r="AP526" s="153"/>
      <c r="AQ526" s="153"/>
      <c r="AR526" s="125"/>
      <c r="AS526" s="125"/>
    </row>
    <row r="527" spans="13:45">
      <c r="M527" s="95"/>
      <c r="N527" s="95"/>
      <c r="P527" s="96"/>
      <c r="W527" s="147"/>
      <c r="X527" s="138"/>
      <c r="Y527" s="138"/>
      <c r="Z527" s="138"/>
      <c r="AA527" s="138"/>
      <c r="AB527" s="138"/>
      <c r="AC527" s="138"/>
      <c r="AD527" s="138"/>
      <c r="AE527" s="138"/>
      <c r="AF527" s="142"/>
      <c r="AG527" s="147"/>
      <c r="AH527" s="147"/>
      <c r="AI527" s="147"/>
      <c r="AJ527" s="147"/>
      <c r="AK527" s="147"/>
      <c r="AL527" s="94"/>
      <c r="AM527" s="94"/>
      <c r="AN527" s="153"/>
      <c r="AO527" s="153"/>
      <c r="AP527" s="153"/>
      <c r="AQ527" s="153"/>
      <c r="AR527" s="125"/>
      <c r="AS527" s="125"/>
    </row>
    <row r="528" spans="13:45">
      <c r="M528" s="95"/>
      <c r="N528" s="95"/>
      <c r="P528" s="96"/>
      <c r="W528" s="147"/>
      <c r="X528" s="138"/>
      <c r="Y528" s="138"/>
      <c r="Z528" s="138"/>
      <c r="AA528" s="138"/>
      <c r="AB528" s="138"/>
      <c r="AC528" s="138"/>
      <c r="AD528" s="138"/>
      <c r="AE528" s="138"/>
      <c r="AF528" s="142"/>
      <c r="AG528" s="147"/>
      <c r="AH528" s="147"/>
      <c r="AI528" s="147"/>
      <c r="AJ528" s="147"/>
      <c r="AK528" s="147"/>
      <c r="AL528" s="94"/>
      <c r="AM528" s="94"/>
      <c r="AN528" s="153"/>
      <c r="AO528" s="153"/>
      <c r="AP528" s="153"/>
      <c r="AQ528" s="153"/>
      <c r="AR528" s="125"/>
      <c r="AS528" s="125"/>
    </row>
    <row r="529" spans="13:45">
      <c r="M529" s="95"/>
      <c r="N529" s="95"/>
      <c r="P529" s="96"/>
      <c r="W529" s="147"/>
      <c r="X529" s="138"/>
      <c r="Y529" s="138"/>
      <c r="Z529" s="138"/>
      <c r="AA529" s="138"/>
      <c r="AB529" s="138"/>
      <c r="AC529" s="138"/>
      <c r="AD529" s="138"/>
      <c r="AE529" s="138"/>
      <c r="AF529" s="142"/>
      <c r="AG529" s="147"/>
      <c r="AH529" s="147"/>
      <c r="AI529" s="147"/>
      <c r="AJ529" s="147"/>
      <c r="AK529" s="147"/>
      <c r="AL529" s="94"/>
      <c r="AM529" s="94"/>
      <c r="AN529" s="153"/>
      <c r="AO529" s="153"/>
      <c r="AP529" s="153"/>
      <c r="AQ529" s="153"/>
      <c r="AR529" s="125"/>
      <c r="AS529" s="125"/>
    </row>
    <row r="530" spans="13:45">
      <c r="M530" s="95"/>
      <c r="N530" s="95"/>
      <c r="P530" s="96"/>
      <c r="W530" s="147"/>
      <c r="X530" s="138"/>
      <c r="Y530" s="138"/>
      <c r="Z530" s="138"/>
      <c r="AA530" s="138"/>
      <c r="AB530" s="138"/>
      <c r="AC530" s="138"/>
      <c r="AD530" s="138"/>
      <c r="AE530" s="138"/>
      <c r="AF530" s="142"/>
      <c r="AG530" s="147"/>
      <c r="AH530" s="147"/>
      <c r="AI530" s="147"/>
      <c r="AJ530" s="147"/>
      <c r="AK530" s="147"/>
      <c r="AL530" s="94"/>
      <c r="AM530" s="94"/>
      <c r="AN530" s="153"/>
      <c r="AO530" s="153"/>
      <c r="AP530" s="153"/>
      <c r="AQ530" s="153"/>
      <c r="AR530" s="125"/>
      <c r="AS530" s="125"/>
    </row>
    <row r="531" spans="13:45">
      <c r="M531" s="95"/>
      <c r="N531" s="95"/>
      <c r="P531" s="96"/>
      <c r="W531" s="147"/>
      <c r="X531" s="138"/>
      <c r="Y531" s="138"/>
      <c r="Z531" s="138"/>
      <c r="AA531" s="138"/>
      <c r="AB531" s="138"/>
      <c r="AC531" s="138"/>
      <c r="AD531" s="138"/>
      <c r="AE531" s="138"/>
      <c r="AF531" s="142"/>
      <c r="AG531" s="147"/>
      <c r="AH531" s="147"/>
      <c r="AI531" s="147"/>
      <c r="AJ531" s="147"/>
      <c r="AK531" s="147"/>
      <c r="AL531" s="94"/>
      <c r="AM531" s="94"/>
      <c r="AN531" s="153"/>
      <c r="AO531" s="153"/>
      <c r="AP531" s="153"/>
      <c r="AQ531" s="153"/>
      <c r="AR531" s="125"/>
      <c r="AS531" s="125"/>
    </row>
    <row r="532" spans="13:45">
      <c r="M532" s="95"/>
      <c r="N532" s="95"/>
      <c r="P532" s="96"/>
      <c r="W532" s="147"/>
      <c r="X532" s="138"/>
      <c r="Y532" s="138"/>
      <c r="Z532" s="138"/>
      <c r="AA532" s="138"/>
      <c r="AB532" s="138"/>
      <c r="AC532" s="138"/>
      <c r="AD532" s="138"/>
      <c r="AE532" s="138"/>
      <c r="AF532" s="142"/>
      <c r="AG532" s="147"/>
      <c r="AH532" s="147"/>
      <c r="AI532" s="147"/>
      <c r="AJ532" s="147"/>
      <c r="AK532" s="147"/>
      <c r="AL532" s="94"/>
      <c r="AM532" s="94"/>
      <c r="AN532" s="153"/>
      <c r="AO532" s="153"/>
      <c r="AP532" s="153"/>
      <c r="AQ532" s="153"/>
      <c r="AR532" s="125"/>
      <c r="AS532" s="125"/>
    </row>
    <row r="533" spans="13:45">
      <c r="M533" s="95"/>
      <c r="N533" s="95"/>
      <c r="P533" s="96"/>
      <c r="W533" s="147"/>
      <c r="X533" s="138"/>
      <c r="Y533" s="138"/>
      <c r="Z533" s="138"/>
      <c r="AA533" s="138"/>
      <c r="AB533" s="138"/>
      <c r="AC533" s="138"/>
      <c r="AD533" s="138"/>
      <c r="AE533" s="138"/>
      <c r="AF533" s="142"/>
      <c r="AG533" s="147"/>
      <c r="AH533" s="147"/>
      <c r="AI533" s="147"/>
      <c r="AJ533" s="147"/>
      <c r="AK533" s="147"/>
      <c r="AL533" s="94"/>
      <c r="AM533" s="94"/>
      <c r="AN533" s="153"/>
      <c r="AO533" s="153"/>
      <c r="AP533" s="153"/>
      <c r="AQ533" s="153"/>
      <c r="AR533" s="125"/>
      <c r="AS533" s="125"/>
    </row>
    <row r="534" spans="13:45">
      <c r="M534" s="95"/>
      <c r="N534" s="95"/>
      <c r="P534" s="96"/>
      <c r="W534" s="147"/>
      <c r="X534" s="138"/>
      <c r="Y534" s="138"/>
      <c r="Z534" s="138"/>
      <c r="AA534" s="138"/>
      <c r="AB534" s="138"/>
      <c r="AC534" s="138"/>
      <c r="AD534" s="138"/>
      <c r="AE534" s="138"/>
      <c r="AF534" s="142"/>
      <c r="AG534" s="147"/>
      <c r="AH534" s="147"/>
      <c r="AI534" s="147"/>
      <c r="AJ534" s="147"/>
      <c r="AK534" s="147"/>
      <c r="AL534" s="94"/>
      <c r="AM534" s="94"/>
      <c r="AN534" s="153"/>
      <c r="AO534" s="153"/>
      <c r="AP534" s="153"/>
      <c r="AQ534" s="153"/>
      <c r="AR534" s="125"/>
      <c r="AS534" s="125"/>
    </row>
    <row r="535" spans="13:45">
      <c r="M535" s="95"/>
      <c r="N535" s="95"/>
      <c r="P535" s="96"/>
      <c r="W535" s="147"/>
      <c r="X535" s="138"/>
      <c r="Y535" s="138"/>
      <c r="Z535" s="138"/>
      <c r="AA535" s="138"/>
      <c r="AB535" s="138"/>
      <c r="AC535" s="138"/>
      <c r="AD535" s="138"/>
      <c r="AE535" s="138"/>
      <c r="AF535" s="142"/>
      <c r="AG535" s="147"/>
      <c r="AH535" s="147"/>
      <c r="AI535" s="147"/>
      <c r="AJ535" s="147"/>
      <c r="AK535" s="147"/>
      <c r="AL535" s="94"/>
      <c r="AM535" s="94"/>
      <c r="AN535" s="153"/>
      <c r="AO535" s="153"/>
      <c r="AP535" s="153"/>
      <c r="AQ535" s="153"/>
      <c r="AR535" s="125"/>
      <c r="AS535" s="125"/>
    </row>
    <row r="536" spans="13:45">
      <c r="M536" s="95"/>
      <c r="N536" s="95"/>
      <c r="P536" s="96"/>
      <c r="W536" s="147"/>
      <c r="X536" s="138"/>
      <c r="Y536" s="138"/>
      <c r="Z536" s="138"/>
      <c r="AA536" s="138"/>
      <c r="AB536" s="138"/>
      <c r="AC536" s="138"/>
      <c r="AD536" s="138"/>
      <c r="AE536" s="138"/>
      <c r="AF536" s="142"/>
      <c r="AG536" s="147"/>
      <c r="AH536" s="147"/>
      <c r="AI536" s="147"/>
      <c r="AJ536" s="147"/>
      <c r="AK536" s="147"/>
      <c r="AL536" s="94"/>
      <c r="AM536" s="94"/>
      <c r="AN536" s="153"/>
      <c r="AO536" s="153"/>
      <c r="AP536" s="153"/>
      <c r="AQ536" s="153"/>
      <c r="AR536" s="125"/>
      <c r="AS536" s="125"/>
    </row>
    <row r="537" spans="13:45">
      <c r="M537" s="95"/>
      <c r="N537" s="95"/>
      <c r="P537" s="96"/>
      <c r="W537" s="147"/>
      <c r="X537" s="138"/>
      <c r="Y537" s="138"/>
      <c r="Z537" s="138"/>
      <c r="AA537" s="138"/>
      <c r="AB537" s="138"/>
      <c r="AC537" s="138"/>
      <c r="AD537" s="138"/>
      <c r="AE537" s="138"/>
      <c r="AF537" s="142"/>
      <c r="AG537" s="147"/>
      <c r="AH537" s="147"/>
      <c r="AI537" s="147"/>
      <c r="AJ537" s="147"/>
      <c r="AK537" s="147"/>
      <c r="AL537" s="94"/>
      <c r="AM537" s="94"/>
      <c r="AN537" s="153"/>
      <c r="AO537" s="153"/>
      <c r="AP537" s="153"/>
      <c r="AQ537" s="153"/>
      <c r="AR537" s="125"/>
      <c r="AS537" s="125"/>
    </row>
    <row r="538" spans="13:45">
      <c r="M538" s="95"/>
      <c r="N538" s="95"/>
      <c r="P538" s="96"/>
      <c r="W538" s="147"/>
      <c r="X538" s="138"/>
      <c r="Y538" s="138"/>
      <c r="Z538" s="138"/>
      <c r="AA538" s="138"/>
      <c r="AB538" s="138"/>
      <c r="AC538" s="138"/>
      <c r="AD538" s="138"/>
      <c r="AE538" s="138"/>
      <c r="AF538" s="142"/>
      <c r="AG538" s="147"/>
      <c r="AH538" s="147"/>
      <c r="AI538" s="147"/>
      <c r="AJ538" s="147"/>
      <c r="AK538" s="147"/>
      <c r="AL538" s="94"/>
      <c r="AM538" s="94"/>
      <c r="AN538" s="153"/>
      <c r="AO538" s="153"/>
      <c r="AP538" s="153"/>
      <c r="AQ538" s="153"/>
      <c r="AR538" s="125"/>
      <c r="AS538" s="125"/>
    </row>
    <row r="539" spans="13:45">
      <c r="M539" s="95"/>
      <c r="N539" s="95"/>
      <c r="P539" s="96"/>
      <c r="W539" s="147"/>
      <c r="X539" s="138"/>
      <c r="Y539" s="138"/>
      <c r="Z539" s="138"/>
      <c r="AA539" s="138"/>
      <c r="AB539" s="138"/>
      <c r="AC539" s="138"/>
      <c r="AD539" s="138"/>
      <c r="AE539" s="138"/>
      <c r="AF539" s="142"/>
      <c r="AG539" s="147"/>
      <c r="AH539" s="147"/>
      <c r="AI539" s="147"/>
      <c r="AJ539" s="147"/>
      <c r="AK539" s="147"/>
      <c r="AL539" s="94"/>
      <c r="AM539" s="94"/>
      <c r="AN539" s="153"/>
      <c r="AO539" s="153"/>
      <c r="AP539" s="153"/>
      <c r="AQ539" s="153"/>
      <c r="AR539" s="125"/>
      <c r="AS539" s="125"/>
    </row>
    <row r="540" spans="13:45">
      <c r="M540" s="95"/>
      <c r="N540" s="95"/>
      <c r="P540" s="96"/>
      <c r="W540" s="147"/>
      <c r="X540" s="138"/>
      <c r="Y540" s="138"/>
      <c r="Z540" s="138"/>
      <c r="AA540" s="138"/>
      <c r="AB540" s="138"/>
      <c r="AC540" s="138"/>
      <c r="AD540" s="138"/>
      <c r="AE540" s="138"/>
      <c r="AF540" s="142"/>
      <c r="AG540" s="147"/>
      <c r="AH540" s="147"/>
      <c r="AI540" s="147"/>
      <c r="AJ540" s="147"/>
      <c r="AK540" s="147"/>
      <c r="AL540" s="94"/>
      <c r="AM540" s="94"/>
      <c r="AN540" s="153"/>
      <c r="AO540" s="153"/>
      <c r="AP540" s="153"/>
      <c r="AQ540" s="153"/>
      <c r="AR540" s="125"/>
      <c r="AS540" s="125"/>
    </row>
    <row r="541" spans="13:45">
      <c r="M541" s="95"/>
      <c r="N541" s="95"/>
      <c r="P541" s="96"/>
      <c r="W541" s="147"/>
      <c r="X541" s="138"/>
      <c r="Y541" s="138"/>
      <c r="Z541" s="138"/>
      <c r="AA541" s="138"/>
      <c r="AB541" s="138"/>
      <c r="AC541" s="138"/>
      <c r="AD541" s="138"/>
      <c r="AE541" s="138"/>
      <c r="AF541" s="142"/>
      <c r="AG541" s="147"/>
      <c r="AH541" s="147"/>
      <c r="AI541" s="147"/>
      <c r="AJ541" s="147"/>
      <c r="AK541" s="147"/>
      <c r="AL541" s="94"/>
      <c r="AM541" s="94"/>
      <c r="AN541" s="153"/>
      <c r="AO541" s="153"/>
      <c r="AP541" s="153"/>
      <c r="AQ541" s="153"/>
      <c r="AR541" s="125"/>
      <c r="AS541" s="125"/>
    </row>
    <row r="542" spans="13:45">
      <c r="M542" s="95"/>
      <c r="N542" s="95"/>
      <c r="P542" s="96"/>
      <c r="W542" s="147"/>
      <c r="X542" s="138"/>
      <c r="Y542" s="138"/>
      <c r="Z542" s="138"/>
      <c r="AA542" s="138"/>
      <c r="AB542" s="138"/>
      <c r="AC542" s="138"/>
      <c r="AD542" s="138"/>
      <c r="AE542" s="138"/>
      <c r="AF542" s="142"/>
      <c r="AG542" s="147"/>
      <c r="AH542" s="147"/>
      <c r="AI542" s="147"/>
      <c r="AJ542" s="147"/>
      <c r="AK542" s="147"/>
      <c r="AL542" s="94"/>
      <c r="AM542" s="94"/>
      <c r="AN542" s="153"/>
      <c r="AO542" s="153"/>
      <c r="AP542" s="153"/>
      <c r="AQ542" s="153"/>
      <c r="AR542" s="125"/>
      <c r="AS542" s="125"/>
    </row>
    <row r="543" spans="13:45">
      <c r="M543" s="95"/>
      <c r="N543" s="95"/>
      <c r="P543" s="96"/>
      <c r="W543" s="147"/>
      <c r="X543" s="138"/>
      <c r="Y543" s="138"/>
      <c r="Z543" s="138"/>
      <c r="AA543" s="138"/>
      <c r="AB543" s="138"/>
      <c r="AC543" s="138"/>
      <c r="AD543" s="138"/>
      <c r="AE543" s="138"/>
      <c r="AF543" s="142"/>
      <c r="AG543" s="147"/>
      <c r="AH543" s="147"/>
      <c r="AI543" s="147"/>
      <c r="AJ543" s="147"/>
      <c r="AK543" s="147"/>
      <c r="AL543" s="94"/>
      <c r="AM543" s="94"/>
      <c r="AN543" s="153"/>
      <c r="AO543" s="153"/>
      <c r="AP543" s="153"/>
      <c r="AQ543" s="153"/>
      <c r="AR543" s="125"/>
      <c r="AS543" s="125"/>
    </row>
    <row r="544" spans="13:45">
      <c r="M544" s="95"/>
      <c r="N544" s="95"/>
      <c r="P544" s="96"/>
      <c r="W544" s="147"/>
      <c r="X544" s="138"/>
      <c r="Y544" s="138"/>
      <c r="Z544" s="138"/>
      <c r="AA544" s="138"/>
      <c r="AB544" s="138"/>
      <c r="AC544" s="138"/>
      <c r="AD544" s="138"/>
      <c r="AE544" s="138"/>
      <c r="AF544" s="142"/>
      <c r="AG544" s="147"/>
      <c r="AH544" s="147"/>
      <c r="AI544" s="147"/>
      <c r="AJ544" s="147"/>
      <c r="AK544" s="147"/>
      <c r="AL544" s="94"/>
      <c r="AM544" s="94"/>
      <c r="AN544" s="153"/>
      <c r="AO544" s="153"/>
      <c r="AP544" s="153"/>
      <c r="AQ544" s="153"/>
      <c r="AR544" s="125"/>
      <c r="AS544" s="125"/>
    </row>
    <row r="545" spans="13:45">
      <c r="M545" s="95"/>
      <c r="N545" s="95"/>
      <c r="P545" s="96"/>
      <c r="W545" s="147"/>
      <c r="X545" s="138"/>
      <c r="Y545" s="138"/>
      <c r="Z545" s="138"/>
      <c r="AA545" s="138"/>
      <c r="AB545" s="138"/>
      <c r="AC545" s="138"/>
      <c r="AD545" s="138"/>
      <c r="AE545" s="138"/>
      <c r="AF545" s="142"/>
      <c r="AG545" s="147"/>
      <c r="AH545" s="147"/>
      <c r="AI545" s="147"/>
      <c r="AJ545" s="147"/>
      <c r="AK545" s="147"/>
      <c r="AL545" s="94"/>
      <c r="AM545" s="94"/>
      <c r="AN545" s="153"/>
      <c r="AO545" s="153"/>
      <c r="AP545" s="153"/>
      <c r="AQ545" s="153"/>
      <c r="AR545" s="125"/>
      <c r="AS545" s="125"/>
    </row>
    <row r="546" spans="13:45">
      <c r="M546" s="95"/>
      <c r="N546" s="95"/>
      <c r="P546" s="96"/>
      <c r="W546" s="147"/>
      <c r="X546" s="138"/>
      <c r="Y546" s="138"/>
      <c r="Z546" s="138"/>
      <c r="AA546" s="138"/>
      <c r="AB546" s="138"/>
      <c r="AC546" s="138"/>
      <c r="AD546" s="138"/>
      <c r="AE546" s="138"/>
      <c r="AF546" s="142"/>
      <c r="AG546" s="147"/>
      <c r="AH546" s="147"/>
      <c r="AI546" s="147"/>
      <c r="AJ546" s="147"/>
      <c r="AK546" s="147"/>
      <c r="AL546" s="94"/>
      <c r="AM546" s="94"/>
      <c r="AN546" s="153"/>
      <c r="AO546" s="153"/>
      <c r="AP546" s="153"/>
      <c r="AQ546" s="153"/>
      <c r="AR546" s="125"/>
      <c r="AS546" s="125"/>
    </row>
    <row r="547" spans="13:45">
      <c r="M547" s="95"/>
      <c r="N547" s="95"/>
      <c r="P547" s="96"/>
      <c r="W547" s="147"/>
      <c r="X547" s="138"/>
      <c r="Y547" s="138"/>
      <c r="Z547" s="138"/>
      <c r="AA547" s="138"/>
      <c r="AB547" s="138"/>
      <c r="AC547" s="138"/>
      <c r="AD547" s="138"/>
      <c r="AE547" s="138"/>
      <c r="AF547" s="142"/>
      <c r="AG547" s="147"/>
      <c r="AH547" s="147"/>
      <c r="AI547" s="147"/>
      <c r="AJ547" s="147"/>
      <c r="AK547" s="147"/>
      <c r="AL547" s="94"/>
      <c r="AM547" s="94"/>
      <c r="AN547" s="153"/>
      <c r="AO547" s="153"/>
      <c r="AP547" s="153"/>
      <c r="AQ547" s="153"/>
      <c r="AR547" s="125"/>
      <c r="AS547" s="125"/>
    </row>
    <row r="548" spans="13:45">
      <c r="M548" s="95"/>
      <c r="N548" s="95"/>
      <c r="P548" s="96"/>
      <c r="W548" s="147"/>
      <c r="X548" s="138"/>
      <c r="Y548" s="138"/>
      <c r="Z548" s="138"/>
      <c r="AA548" s="138"/>
      <c r="AB548" s="138"/>
      <c r="AC548" s="138"/>
      <c r="AD548" s="138"/>
      <c r="AE548" s="138"/>
      <c r="AF548" s="142"/>
      <c r="AG548" s="147"/>
      <c r="AH548" s="147"/>
      <c r="AI548" s="147"/>
      <c r="AJ548" s="147"/>
      <c r="AK548" s="147"/>
      <c r="AL548" s="94"/>
      <c r="AM548" s="94"/>
      <c r="AN548" s="153"/>
      <c r="AO548" s="153"/>
      <c r="AP548" s="153"/>
      <c r="AQ548" s="153"/>
      <c r="AR548" s="125"/>
      <c r="AS548" s="125"/>
    </row>
    <row r="549" spans="13:45">
      <c r="M549" s="95"/>
      <c r="N549" s="95"/>
      <c r="P549" s="96"/>
      <c r="W549" s="147"/>
      <c r="X549" s="138"/>
      <c r="Y549" s="138"/>
      <c r="Z549" s="138"/>
      <c r="AA549" s="138"/>
      <c r="AB549" s="138"/>
      <c r="AC549" s="138"/>
      <c r="AD549" s="138"/>
      <c r="AE549" s="138"/>
      <c r="AF549" s="142"/>
      <c r="AG549" s="147"/>
      <c r="AH549" s="147"/>
      <c r="AI549" s="147"/>
      <c r="AJ549" s="147"/>
      <c r="AK549" s="147"/>
      <c r="AL549" s="94"/>
      <c r="AM549" s="94"/>
      <c r="AN549" s="153"/>
      <c r="AO549" s="153"/>
      <c r="AP549" s="153"/>
      <c r="AQ549" s="153"/>
      <c r="AR549" s="125"/>
      <c r="AS549" s="125"/>
    </row>
    <row r="550" spans="13:45">
      <c r="M550" s="95"/>
      <c r="N550" s="95"/>
      <c r="P550" s="96"/>
      <c r="W550" s="147"/>
      <c r="X550" s="138"/>
      <c r="Y550" s="138"/>
      <c r="Z550" s="138"/>
      <c r="AA550" s="138"/>
      <c r="AB550" s="138"/>
      <c r="AC550" s="138"/>
      <c r="AD550" s="138"/>
      <c r="AE550" s="138"/>
      <c r="AF550" s="142"/>
      <c r="AG550" s="147"/>
      <c r="AH550" s="147"/>
      <c r="AI550" s="147"/>
      <c r="AJ550" s="147"/>
      <c r="AK550" s="147"/>
      <c r="AL550" s="94"/>
      <c r="AM550" s="94"/>
      <c r="AN550" s="153"/>
      <c r="AO550" s="153"/>
      <c r="AP550" s="153"/>
      <c r="AQ550" s="153"/>
      <c r="AR550" s="125"/>
      <c r="AS550" s="125"/>
    </row>
    <row r="551" spans="13:45">
      <c r="M551" s="95"/>
      <c r="N551" s="95"/>
      <c r="P551" s="96"/>
      <c r="W551" s="147"/>
      <c r="X551" s="138"/>
      <c r="Y551" s="138"/>
      <c r="Z551" s="138"/>
      <c r="AA551" s="138"/>
      <c r="AB551" s="138"/>
      <c r="AC551" s="138"/>
      <c r="AD551" s="138"/>
      <c r="AE551" s="138"/>
      <c r="AF551" s="142"/>
      <c r="AG551" s="147"/>
      <c r="AH551" s="147"/>
      <c r="AI551" s="147"/>
      <c r="AJ551" s="147"/>
      <c r="AK551" s="147"/>
      <c r="AL551" s="94"/>
      <c r="AM551" s="94"/>
      <c r="AN551" s="153"/>
      <c r="AO551" s="153"/>
      <c r="AP551" s="153"/>
      <c r="AQ551" s="153"/>
      <c r="AR551" s="125"/>
      <c r="AS551" s="125"/>
    </row>
    <row r="552" spans="13:45">
      <c r="M552" s="95"/>
      <c r="N552" s="95"/>
      <c r="P552" s="96"/>
      <c r="W552" s="147"/>
      <c r="X552" s="138"/>
      <c r="Y552" s="138"/>
      <c r="Z552" s="138"/>
      <c r="AA552" s="138"/>
      <c r="AB552" s="138"/>
      <c r="AC552" s="138"/>
      <c r="AD552" s="138"/>
      <c r="AE552" s="138"/>
      <c r="AF552" s="142"/>
      <c r="AG552" s="147"/>
      <c r="AH552" s="147"/>
      <c r="AI552" s="147"/>
      <c r="AJ552" s="147"/>
      <c r="AK552" s="147"/>
      <c r="AL552" s="94"/>
      <c r="AM552" s="94"/>
      <c r="AN552" s="153"/>
      <c r="AO552" s="153"/>
      <c r="AP552" s="153"/>
      <c r="AQ552" s="153"/>
      <c r="AR552" s="125"/>
      <c r="AS552" s="125"/>
    </row>
    <row r="553" spans="13:45">
      <c r="M553" s="95"/>
      <c r="N553" s="95"/>
      <c r="P553" s="96"/>
      <c r="W553" s="147"/>
      <c r="X553" s="138"/>
      <c r="Y553" s="138"/>
      <c r="Z553" s="138"/>
      <c r="AA553" s="138"/>
      <c r="AB553" s="138"/>
      <c r="AC553" s="138"/>
      <c r="AD553" s="138"/>
      <c r="AE553" s="138"/>
      <c r="AF553" s="142"/>
      <c r="AG553" s="147"/>
      <c r="AH553" s="147"/>
      <c r="AI553" s="147"/>
      <c r="AJ553" s="147"/>
      <c r="AK553" s="147"/>
      <c r="AL553" s="94"/>
      <c r="AM553" s="94"/>
      <c r="AN553" s="153"/>
      <c r="AO553" s="153"/>
      <c r="AP553" s="153"/>
      <c r="AQ553" s="153"/>
      <c r="AR553" s="125"/>
      <c r="AS553" s="125"/>
    </row>
    <row r="554" spans="13:45">
      <c r="M554" s="95"/>
      <c r="N554" s="95"/>
      <c r="P554" s="96"/>
      <c r="W554" s="147"/>
      <c r="X554" s="138"/>
      <c r="Y554" s="138"/>
      <c r="Z554" s="138"/>
      <c r="AA554" s="138"/>
      <c r="AB554" s="138"/>
      <c r="AC554" s="138"/>
      <c r="AD554" s="138"/>
      <c r="AE554" s="138"/>
      <c r="AF554" s="142"/>
      <c r="AG554" s="147"/>
      <c r="AH554" s="147"/>
      <c r="AI554" s="147"/>
      <c r="AJ554" s="147"/>
      <c r="AK554" s="147"/>
      <c r="AL554" s="94"/>
      <c r="AM554" s="94"/>
      <c r="AN554" s="153"/>
      <c r="AO554" s="153"/>
      <c r="AP554" s="153"/>
      <c r="AQ554" s="153"/>
      <c r="AR554" s="125"/>
      <c r="AS554" s="125"/>
    </row>
    <row r="555" spans="13:45">
      <c r="M555" s="95"/>
      <c r="N555" s="95"/>
      <c r="P555" s="96"/>
      <c r="W555" s="147"/>
      <c r="X555" s="138"/>
      <c r="Y555" s="138"/>
      <c r="Z555" s="138"/>
      <c r="AA555" s="138"/>
      <c r="AB555" s="138"/>
      <c r="AC555" s="138"/>
      <c r="AD555" s="138"/>
      <c r="AE555" s="138"/>
      <c r="AF555" s="142"/>
      <c r="AG555" s="147"/>
      <c r="AH555" s="147"/>
      <c r="AI555" s="147"/>
      <c r="AJ555" s="147"/>
      <c r="AK555" s="147"/>
      <c r="AL555" s="94"/>
      <c r="AM555" s="94"/>
      <c r="AN555" s="153"/>
      <c r="AO555" s="153"/>
      <c r="AP555" s="153"/>
      <c r="AQ555" s="153"/>
      <c r="AR555" s="125"/>
      <c r="AS555" s="125"/>
    </row>
    <row r="556" spans="13:45">
      <c r="M556" s="95"/>
      <c r="N556" s="95"/>
      <c r="P556" s="96"/>
      <c r="W556" s="147"/>
      <c r="X556" s="138"/>
      <c r="Y556" s="138"/>
      <c r="Z556" s="138"/>
      <c r="AA556" s="138"/>
      <c r="AB556" s="138"/>
      <c r="AC556" s="138"/>
      <c r="AD556" s="138"/>
      <c r="AE556" s="138"/>
      <c r="AF556" s="142"/>
      <c r="AG556" s="147"/>
      <c r="AH556" s="147"/>
      <c r="AI556" s="147"/>
      <c r="AJ556" s="147"/>
      <c r="AK556" s="147"/>
      <c r="AL556" s="94"/>
      <c r="AM556" s="94"/>
      <c r="AN556" s="153"/>
      <c r="AO556" s="153"/>
      <c r="AP556" s="153"/>
      <c r="AQ556" s="153"/>
      <c r="AR556" s="125"/>
      <c r="AS556" s="125"/>
    </row>
    <row r="557" spans="13:45">
      <c r="M557" s="95"/>
      <c r="N557" s="95"/>
      <c r="P557" s="96"/>
      <c r="W557" s="147"/>
      <c r="X557" s="138"/>
      <c r="Y557" s="138"/>
      <c r="Z557" s="138"/>
      <c r="AA557" s="138"/>
      <c r="AB557" s="138"/>
      <c r="AC557" s="138"/>
      <c r="AD557" s="138"/>
      <c r="AE557" s="138"/>
      <c r="AF557" s="142"/>
      <c r="AG557" s="147"/>
      <c r="AH557" s="147"/>
      <c r="AI557" s="147"/>
      <c r="AJ557" s="147"/>
      <c r="AK557" s="147"/>
      <c r="AL557" s="94"/>
      <c r="AM557" s="94"/>
      <c r="AN557" s="153"/>
      <c r="AO557" s="153"/>
      <c r="AP557" s="153"/>
      <c r="AQ557" s="153"/>
      <c r="AR557" s="125"/>
      <c r="AS557" s="125"/>
    </row>
    <row r="558" spans="13:45">
      <c r="M558" s="95"/>
      <c r="N558" s="95"/>
      <c r="P558" s="96"/>
      <c r="W558" s="147"/>
      <c r="X558" s="138"/>
      <c r="Y558" s="138"/>
      <c r="Z558" s="138"/>
      <c r="AA558" s="138"/>
      <c r="AB558" s="138"/>
      <c r="AC558" s="138"/>
      <c r="AD558" s="138"/>
      <c r="AE558" s="138"/>
      <c r="AF558" s="142"/>
      <c r="AG558" s="147"/>
      <c r="AH558" s="147"/>
      <c r="AI558" s="147"/>
      <c r="AJ558" s="147"/>
      <c r="AK558" s="147"/>
      <c r="AL558" s="94"/>
      <c r="AM558" s="94"/>
      <c r="AN558" s="153"/>
      <c r="AO558" s="153"/>
      <c r="AP558" s="153"/>
      <c r="AQ558" s="153"/>
      <c r="AR558" s="125"/>
      <c r="AS558" s="125"/>
    </row>
    <row r="559" spans="13:45">
      <c r="M559" s="95"/>
      <c r="N559" s="95"/>
      <c r="P559" s="96"/>
      <c r="W559" s="147"/>
      <c r="X559" s="138"/>
      <c r="Y559" s="138"/>
      <c r="Z559" s="138"/>
      <c r="AA559" s="138"/>
      <c r="AB559" s="138"/>
      <c r="AC559" s="138"/>
      <c r="AD559" s="138"/>
      <c r="AE559" s="138"/>
      <c r="AF559" s="142"/>
      <c r="AG559" s="147"/>
      <c r="AH559" s="147"/>
      <c r="AI559" s="147"/>
      <c r="AJ559" s="147"/>
      <c r="AK559" s="147"/>
      <c r="AL559" s="94"/>
      <c r="AM559" s="94"/>
      <c r="AN559" s="153"/>
      <c r="AO559" s="153"/>
      <c r="AP559" s="153"/>
      <c r="AQ559" s="153"/>
      <c r="AR559" s="125"/>
      <c r="AS559" s="125"/>
    </row>
    <row r="560" spans="13:45">
      <c r="M560" s="95"/>
      <c r="N560" s="95"/>
      <c r="P560" s="96"/>
      <c r="W560" s="147"/>
      <c r="X560" s="138"/>
      <c r="Y560" s="138"/>
      <c r="Z560" s="138"/>
      <c r="AA560" s="138"/>
      <c r="AB560" s="138"/>
      <c r="AC560" s="138"/>
      <c r="AD560" s="138"/>
      <c r="AE560" s="138"/>
      <c r="AF560" s="142"/>
      <c r="AG560" s="147"/>
      <c r="AH560" s="147"/>
      <c r="AI560" s="147"/>
      <c r="AJ560" s="147"/>
      <c r="AK560" s="147"/>
      <c r="AL560" s="94"/>
      <c r="AM560" s="94"/>
      <c r="AN560" s="153"/>
      <c r="AO560" s="153"/>
      <c r="AP560" s="153"/>
      <c r="AQ560" s="153"/>
      <c r="AR560" s="125"/>
      <c r="AS560" s="125"/>
    </row>
    <row r="561" spans="13:45">
      <c r="M561" s="95"/>
      <c r="N561" s="95"/>
      <c r="P561" s="96"/>
      <c r="W561" s="147"/>
      <c r="X561" s="138"/>
      <c r="Y561" s="138"/>
      <c r="Z561" s="138"/>
      <c r="AA561" s="138"/>
      <c r="AB561" s="138"/>
      <c r="AC561" s="138"/>
      <c r="AD561" s="138"/>
      <c r="AE561" s="138"/>
      <c r="AF561" s="142"/>
      <c r="AG561" s="147"/>
      <c r="AH561" s="147"/>
      <c r="AI561" s="147"/>
      <c r="AJ561" s="147"/>
      <c r="AK561" s="147"/>
      <c r="AL561" s="94"/>
      <c r="AM561" s="94"/>
      <c r="AN561" s="153"/>
      <c r="AO561" s="153"/>
      <c r="AP561" s="153"/>
      <c r="AQ561" s="153"/>
      <c r="AR561" s="125"/>
      <c r="AS561" s="125"/>
    </row>
    <row r="562" spans="13:45">
      <c r="M562" s="95"/>
      <c r="N562" s="95"/>
      <c r="P562" s="96"/>
      <c r="W562" s="147"/>
      <c r="X562" s="138"/>
      <c r="Y562" s="138"/>
      <c r="Z562" s="138"/>
      <c r="AA562" s="138"/>
      <c r="AB562" s="138"/>
      <c r="AC562" s="138"/>
      <c r="AD562" s="138"/>
      <c r="AE562" s="138"/>
      <c r="AF562" s="142"/>
      <c r="AG562" s="147"/>
      <c r="AH562" s="147"/>
      <c r="AI562" s="147"/>
      <c r="AJ562" s="147"/>
      <c r="AK562" s="147"/>
      <c r="AL562" s="94"/>
      <c r="AM562" s="94"/>
      <c r="AN562" s="153"/>
      <c r="AO562" s="153"/>
      <c r="AP562" s="153"/>
      <c r="AQ562" s="153"/>
      <c r="AR562" s="125"/>
      <c r="AS562" s="125"/>
    </row>
    <row r="563" spans="13:45">
      <c r="M563" s="95"/>
      <c r="N563" s="95"/>
      <c r="P563" s="96"/>
      <c r="W563" s="147"/>
      <c r="X563" s="138"/>
      <c r="Y563" s="138"/>
      <c r="Z563" s="138"/>
      <c r="AA563" s="138"/>
      <c r="AB563" s="138"/>
      <c r="AC563" s="138"/>
      <c r="AD563" s="138"/>
      <c r="AE563" s="138"/>
      <c r="AF563" s="142"/>
      <c r="AG563" s="147"/>
      <c r="AH563" s="147"/>
      <c r="AI563" s="147"/>
      <c r="AJ563" s="147"/>
      <c r="AK563" s="147"/>
      <c r="AL563" s="94"/>
      <c r="AM563" s="94"/>
      <c r="AN563" s="153"/>
      <c r="AO563" s="153"/>
      <c r="AP563" s="153"/>
      <c r="AQ563" s="153"/>
      <c r="AR563" s="125"/>
      <c r="AS563" s="125"/>
    </row>
    <row r="564" spans="13:45">
      <c r="M564" s="95"/>
      <c r="N564" s="95"/>
      <c r="P564" s="96"/>
      <c r="W564" s="147"/>
      <c r="X564" s="138"/>
      <c r="Y564" s="138"/>
      <c r="Z564" s="138"/>
      <c r="AA564" s="138"/>
      <c r="AB564" s="138"/>
      <c r="AC564" s="138"/>
      <c r="AD564" s="138"/>
      <c r="AE564" s="138"/>
      <c r="AF564" s="142"/>
      <c r="AG564" s="147"/>
      <c r="AH564" s="147"/>
      <c r="AI564" s="147"/>
      <c r="AJ564" s="147"/>
      <c r="AK564" s="147"/>
      <c r="AL564" s="94"/>
      <c r="AM564" s="94"/>
      <c r="AN564" s="153"/>
      <c r="AO564" s="153"/>
      <c r="AP564" s="153"/>
      <c r="AQ564" s="153"/>
      <c r="AR564" s="125"/>
      <c r="AS564" s="125"/>
    </row>
    <row r="565" spans="13:45">
      <c r="M565" s="95"/>
      <c r="N565" s="95"/>
      <c r="P565" s="96"/>
      <c r="W565" s="147"/>
      <c r="X565" s="138"/>
      <c r="Y565" s="138"/>
      <c r="Z565" s="138"/>
      <c r="AA565" s="138"/>
      <c r="AB565" s="138"/>
      <c r="AC565" s="138"/>
      <c r="AD565" s="138"/>
      <c r="AE565" s="138"/>
      <c r="AF565" s="142"/>
      <c r="AG565" s="147"/>
      <c r="AH565" s="147"/>
      <c r="AI565" s="147"/>
      <c r="AJ565" s="147"/>
      <c r="AK565" s="147"/>
      <c r="AL565" s="94"/>
      <c r="AM565" s="94"/>
      <c r="AN565" s="153"/>
      <c r="AO565" s="153"/>
      <c r="AP565" s="153"/>
      <c r="AQ565" s="153"/>
      <c r="AR565" s="125"/>
      <c r="AS565" s="125"/>
    </row>
    <row r="566" spans="13:45">
      <c r="M566" s="95"/>
      <c r="N566" s="95"/>
      <c r="P566" s="96"/>
      <c r="W566" s="147"/>
      <c r="X566" s="138"/>
      <c r="Y566" s="138"/>
      <c r="Z566" s="138"/>
      <c r="AA566" s="138"/>
      <c r="AB566" s="138"/>
      <c r="AC566" s="138"/>
      <c r="AD566" s="138"/>
      <c r="AE566" s="138"/>
      <c r="AF566" s="142"/>
      <c r="AG566" s="147"/>
      <c r="AH566" s="147"/>
      <c r="AI566" s="147"/>
      <c r="AJ566" s="147"/>
      <c r="AK566" s="147"/>
      <c r="AL566" s="94"/>
      <c r="AM566" s="94"/>
      <c r="AN566" s="153"/>
      <c r="AO566" s="153"/>
      <c r="AP566" s="153"/>
      <c r="AQ566" s="153"/>
      <c r="AR566" s="125"/>
      <c r="AS566" s="125"/>
    </row>
    <row r="567" spans="13:45">
      <c r="M567" s="95"/>
      <c r="N567" s="95"/>
      <c r="P567" s="96"/>
      <c r="W567" s="147"/>
      <c r="X567" s="138"/>
      <c r="Y567" s="138"/>
      <c r="Z567" s="138"/>
      <c r="AA567" s="138"/>
      <c r="AB567" s="138"/>
      <c r="AC567" s="138"/>
      <c r="AD567" s="138"/>
      <c r="AE567" s="138"/>
      <c r="AF567" s="142"/>
      <c r="AG567" s="147"/>
      <c r="AH567" s="147"/>
      <c r="AI567" s="147"/>
      <c r="AJ567" s="147"/>
      <c r="AK567" s="147"/>
      <c r="AL567" s="94"/>
      <c r="AM567" s="94"/>
      <c r="AN567" s="153"/>
      <c r="AO567" s="153"/>
      <c r="AP567" s="153"/>
      <c r="AQ567" s="153"/>
      <c r="AR567" s="125"/>
      <c r="AS567" s="125"/>
    </row>
    <row r="568" spans="13:45">
      <c r="M568" s="95"/>
      <c r="N568" s="95"/>
      <c r="P568" s="96"/>
      <c r="W568" s="147"/>
      <c r="X568" s="138"/>
      <c r="Y568" s="138"/>
      <c r="Z568" s="138"/>
      <c r="AA568" s="138"/>
      <c r="AB568" s="138"/>
      <c r="AC568" s="138"/>
      <c r="AD568" s="138"/>
      <c r="AE568" s="138"/>
      <c r="AF568" s="142"/>
      <c r="AG568" s="147"/>
      <c r="AH568" s="147"/>
      <c r="AI568" s="147"/>
      <c r="AJ568" s="147"/>
      <c r="AK568" s="147"/>
      <c r="AL568" s="94"/>
      <c r="AM568" s="94"/>
      <c r="AN568" s="153"/>
      <c r="AO568" s="153"/>
      <c r="AP568" s="153"/>
      <c r="AQ568" s="153"/>
      <c r="AR568" s="125"/>
      <c r="AS568" s="125"/>
    </row>
    <row r="569" spans="13:45">
      <c r="M569" s="95"/>
      <c r="N569" s="95"/>
      <c r="P569" s="96"/>
      <c r="W569" s="147"/>
      <c r="X569" s="138"/>
      <c r="Y569" s="138"/>
      <c r="Z569" s="138"/>
      <c r="AA569" s="138"/>
      <c r="AB569" s="138"/>
      <c r="AC569" s="138"/>
      <c r="AD569" s="138"/>
      <c r="AE569" s="138"/>
      <c r="AF569" s="142"/>
      <c r="AG569" s="147"/>
      <c r="AH569" s="147"/>
      <c r="AI569" s="147"/>
      <c r="AJ569" s="147"/>
      <c r="AK569" s="147"/>
      <c r="AL569" s="94"/>
      <c r="AM569" s="94"/>
      <c r="AN569" s="153"/>
      <c r="AO569" s="153"/>
      <c r="AP569" s="153"/>
      <c r="AQ569" s="153"/>
      <c r="AR569" s="125"/>
      <c r="AS569" s="125"/>
    </row>
    <row r="570" spans="13:45">
      <c r="M570" s="95"/>
      <c r="N570" s="95"/>
      <c r="P570" s="96"/>
      <c r="W570" s="147"/>
      <c r="X570" s="138"/>
      <c r="Y570" s="138"/>
      <c r="Z570" s="138"/>
      <c r="AA570" s="138"/>
      <c r="AB570" s="138"/>
      <c r="AC570" s="138"/>
      <c r="AD570" s="138"/>
      <c r="AE570" s="138"/>
      <c r="AF570" s="142"/>
      <c r="AG570" s="147"/>
      <c r="AH570" s="147"/>
      <c r="AI570" s="147"/>
      <c r="AJ570" s="147"/>
      <c r="AK570" s="147"/>
      <c r="AL570" s="94"/>
      <c r="AM570" s="94"/>
      <c r="AN570" s="153"/>
      <c r="AO570" s="153"/>
      <c r="AP570" s="153"/>
      <c r="AQ570" s="153"/>
      <c r="AR570" s="125"/>
      <c r="AS570" s="125"/>
    </row>
    <row r="571" spans="13:45">
      <c r="M571" s="95"/>
      <c r="N571" s="95"/>
      <c r="P571" s="96"/>
      <c r="W571" s="147"/>
      <c r="X571" s="138"/>
      <c r="Y571" s="138"/>
      <c r="Z571" s="138"/>
      <c r="AA571" s="138"/>
      <c r="AB571" s="138"/>
      <c r="AC571" s="138"/>
      <c r="AD571" s="138"/>
      <c r="AE571" s="138"/>
      <c r="AF571" s="142"/>
      <c r="AG571" s="147"/>
      <c r="AH571" s="147"/>
      <c r="AI571" s="147"/>
      <c r="AJ571" s="147"/>
      <c r="AK571" s="147"/>
      <c r="AL571" s="94"/>
      <c r="AM571" s="94"/>
      <c r="AN571" s="153"/>
      <c r="AO571" s="153"/>
      <c r="AP571" s="153"/>
      <c r="AQ571" s="153"/>
      <c r="AR571" s="125"/>
      <c r="AS571" s="125"/>
    </row>
    <row r="572" spans="13:45">
      <c r="M572" s="95"/>
      <c r="N572" s="95"/>
      <c r="P572" s="96"/>
      <c r="W572" s="147"/>
      <c r="X572" s="138"/>
      <c r="Y572" s="138"/>
      <c r="Z572" s="138"/>
      <c r="AA572" s="138"/>
      <c r="AB572" s="138"/>
      <c r="AC572" s="138"/>
      <c r="AD572" s="138"/>
      <c r="AE572" s="138"/>
      <c r="AF572" s="142"/>
      <c r="AG572" s="147"/>
      <c r="AH572" s="147"/>
      <c r="AI572" s="147"/>
      <c r="AJ572" s="147"/>
      <c r="AK572" s="147"/>
      <c r="AL572" s="94"/>
      <c r="AM572" s="94"/>
      <c r="AN572" s="153"/>
      <c r="AO572" s="153"/>
      <c r="AP572" s="153"/>
      <c r="AQ572" s="153"/>
      <c r="AR572" s="125"/>
      <c r="AS572" s="125"/>
    </row>
    <row r="573" spans="13:45">
      <c r="M573" s="95"/>
      <c r="N573" s="95"/>
      <c r="P573" s="96"/>
      <c r="W573" s="147"/>
      <c r="X573" s="138"/>
      <c r="Y573" s="138"/>
      <c r="Z573" s="138"/>
      <c r="AA573" s="138"/>
      <c r="AB573" s="138"/>
      <c r="AC573" s="138"/>
      <c r="AD573" s="138"/>
      <c r="AE573" s="138"/>
      <c r="AF573" s="142"/>
      <c r="AG573" s="147"/>
      <c r="AH573" s="147"/>
      <c r="AI573" s="147"/>
      <c r="AJ573" s="147"/>
      <c r="AK573" s="147"/>
      <c r="AL573" s="94"/>
      <c r="AM573" s="94"/>
      <c r="AN573" s="153"/>
      <c r="AO573" s="153"/>
      <c r="AP573" s="153"/>
      <c r="AQ573" s="153"/>
      <c r="AR573" s="125"/>
      <c r="AS573" s="125"/>
    </row>
    <row r="574" spans="13:45">
      <c r="M574" s="95"/>
      <c r="N574" s="95"/>
      <c r="P574" s="96"/>
      <c r="W574" s="147"/>
      <c r="X574" s="138"/>
      <c r="Y574" s="138"/>
      <c r="Z574" s="138"/>
      <c r="AA574" s="138"/>
      <c r="AB574" s="138"/>
      <c r="AC574" s="138"/>
      <c r="AD574" s="138"/>
      <c r="AE574" s="138"/>
      <c r="AF574" s="142"/>
      <c r="AG574" s="147"/>
      <c r="AH574" s="147"/>
      <c r="AI574" s="147"/>
      <c r="AJ574" s="147"/>
      <c r="AK574" s="147"/>
      <c r="AL574" s="94"/>
      <c r="AM574" s="94"/>
      <c r="AN574" s="153"/>
      <c r="AO574" s="153"/>
      <c r="AP574" s="153"/>
      <c r="AQ574" s="153"/>
      <c r="AR574" s="125"/>
      <c r="AS574" s="125"/>
    </row>
    <row r="575" spans="13:45">
      <c r="M575" s="95"/>
      <c r="N575" s="95"/>
      <c r="P575" s="96"/>
      <c r="W575" s="147"/>
      <c r="X575" s="138"/>
      <c r="Y575" s="138"/>
      <c r="Z575" s="138"/>
      <c r="AA575" s="138"/>
      <c r="AB575" s="138"/>
      <c r="AC575" s="138"/>
      <c r="AD575" s="138"/>
      <c r="AE575" s="138"/>
      <c r="AF575" s="142"/>
      <c r="AG575" s="147"/>
      <c r="AH575" s="147"/>
      <c r="AI575" s="147"/>
      <c r="AJ575" s="147"/>
      <c r="AK575" s="147"/>
      <c r="AL575" s="94"/>
      <c r="AM575" s="94"/>
      <c r="AN575" s="153"/>
      <c r="AO575" s="153"/>
      <c r="AP575" s="153"/>
      <c r="AQ575" s="153"/>
      <c r="AR575" s="125"/>
      <c r="AS575" s="125"/>
    </row>
    <row r="576" spans="13:45">
      <c r="M576" s="95"/>
      <c r="N576" s="95"/>
      <c r="P576" s="96"/>
      <c r="W576" s="147"/>
      <c r="X576" s="138"/>
      <c r="Y576" s="138"/>
      <c r="Z576" s="138"/>
      <c r="AA576" s="138"/>
      <c r="AB576" s="138"/>
      <c r="AC576" s="138"/>
      <c r="AD576" s="138"/>
      <c r="AE576" s="138"/>
      <c r="AF576" s="142"/>
      <c r="AG576" s="147"/>
      <c r="AH576" s="147"/>
      <c r="AI576" s="147"/>
      <c r="AJ576" s="147"/>
      <c r="AK576" s="147"/>
      <c r="AL576" s="94"/>
      <c r="AM576" s="94"/>
      <c r="AN576" s="153"/>
      <c r="AO576" s="153"/>
      <c r="AP576" s="153"/>
      <c r="AQ576" s="153"/>
      <c r="AR576" s="125"/>
      <c r="AS576" s="125"/>
    </row>
    <row r="577" spans="13:45">
      <c r="M577" s="95"/>
      <c r="N577" s="95"/>
      <c r="P577" s="96"/>
      <c r="W577" s="147"/>
      <c r="X577" s="138"/>
      <c r="Y577" s="138"/>
      <c r="Z577" s="138"/>
      <c r="AA577" s="138"/>
      <c r="AB577" s="138"/>
      <c r="AC577" s="138"/>
      <c r="AD577" s="138"/>
      <c r="AE577" s="138"/>
      <c r="AF577" s="142"/>
      <c r="AG577" s="147"/>
      <c r="AH577" s="147"/>
      <c r="AI577" s="147"/>
      <c r="AJ577" s="147"/>
      <c r="AK577" s="147"/>
      <c r="AL577" s="94"/>
      <c r="AM577" s="94"/>
      <c r="AN577" s="153"/>
      <c r="AO577" s="153"/>
      <c r="AP577" s="153"/>
      <c r="AQ577" s="153"/>
      <c r="AR577" s="125"/>
      <c r="AS577" s="125"/>
    </row>
    <row r="578" spans="13:45">
      <c r="M578" s="95"/>
      <c r="N578" s="95"/>
      <c r="P578" s="96"/>
      <c r="W578" s="147"/>
      <c r="X578" s="138"/>
      <c r="Y578" s="138"/>
      <c r="Z578" s="138"/>
      <c r="AA578" s="138"/>
      <c r="AB578" s="138"/>
      <c r="AC578" s="138"/>
      <c r="AD578" s="138"/>
      <c r="AE578" s="138"/>
      <c r="AF578" s="142"/>
      <c r="AG578" s="147"/>
      <c r="AH578" s="147"/>
      <c r="AI578" s="147"/>
      <c r="AJ578" s="147"/>
      <c r="AK578" s="147"/>
      <c r="AL578" s="94"/>
      <c r="AM578" s="94"/>
      <c r="AN578" s="153"/>
      <c r="AO578" s="153"/>
      <c r="AP578" s="153"/>
      <c r="AQ578" s="153"/>
      <c r="AR578" s="125"/>
      <c r="AS578" s="125"/>
    </row>
    <row r="579" spans="13:45">
      <c r="M579" s="95"/>
      <c r="N579" s="95"/>
      <c r="P579" s="96"/>
      <c r="W579" s="147"/>
      <c r="X579" s="138"/>
      <c r="Y579" s="138"/>
      <c r="Z579" s="138"/>
      <c r="AA579" s="138"/>
      <c r="AB579" s="138"/>
      <c r="AC579" s="138"/>
      <c r="AD579" s="138"/>
      <c r="AE579" s="138"/>
      <c r="AF579" s="142"/>
      <c r="AG579" s="147"/>
      <c r="AH579" s="147"/>
      <c r="AI579" s="147"/>
      <c r="AJ579" s="147"/>
      <c r="AK579" s="147"/>
      <c r="AL579" s="94"/>
      <c r="AM579" s="94"/>
      <c r="AN579" s="153"/>
      <c r="AO579" s="153"/>
      <c r="AP579" s="153"/>
      <c r="AQ579" s="153"/>
      <c r="AR579" s="125"/>
      <c r="AS579" s="125"/>
    </row>
    <row r="580" spans="13:45">
      <c r="M580" s="95"/>
      <c r="N580" s="95"/>
      <c r="P580" s="96"/>
      <c r="W580" s="147"/>
      <c r="X580" s="138"/>
      <c r="Y580" s="138"/>
      <c r="Z580" s="138"/>
      <c r="AA580" s="138"/>
      <c r="AB580" s="138"/>
      <c r="AC580" s="138"/>
      <c r="AD580" s="138"/>
      <c r="AE580" s="138"/>
      <c r="AF580" s="142"/>
      <c r="AG580" s="147"/>
      <c r="AH580" s="147"/>
      <c r="AI580" s="147"/>
      <c r="AJ580" s="147"/>
      <c r="AK580" s="147"/>
      <c r="AL580" s="94"/>
      <c r="AM580" s="94"/>
      <c r="AN580" s="153"/>
      <c r="AO580" s="153"/>
      <c r="AP580" s="153"/>
      <c r="AQ580" s="153"/>
      <c r="AR580" s="125"/>
      <c r="AS580" s="125"/>
    </row>
    <row r="581" spans="13:45">
      <c r="M581" s="95"/>
      <c r="N581" s="95"/>
      <c r="P581" s="96"/>
      <c r="W581" s="147"/>
      <c r="X581" s="138"/>
      <c r="Y581" s="138"/>
      <c r="Z581" s="138"/>
      <c r="AA581" s="138"/>
      <c r="AB581" s="138"/>
      <c r="AC581" s="138"/>
      <c r="AD581" s="138"/>
      <c r="AE581" s="138"/>
      <c r="AF581" s="142"/>
      <c r="AG581" s="147"/>
      <c r="AH581" s="147"/>
      <c r="AI581" s="147"/>
      <c r="AJ581" s="147"/>
      <c r="AK581" s="147"/>
      <c r="AL581" s="94"/>
      <c r="AM581" s="94"/>
      <c r="AN581" s="153"/>
      <c r="AO581" s="153"/>
      <c r="AP581" s="153"/>
      <c r="AQ581" s="153"/>
      <c r="AR581" s="125"/>
      <c r="AS581" s="125"/>
    </row>
    <row r="582" spans="13:45">
      <c r="M582" s="95"/>
      <c r="N582" s="95"/>
      <c r="P582" s="96"/>
      <c r="W582" s="147"/>
      <c r="X582" s="138"/>
      <c r="Y582" s="138"/>
      <c r="Z582" s="138"/>
      <c r="AA582" s="138"/>
      <c r="AB582" s="138"/>
      <c r="AC582" s="138"/>
      <c r="AD582" s="138"/>
      <c r="AE582" s="138"/>
      <c r="AF582" s="142"/>
      <c r="AG582" s="147"/>
      <c r="AH582" s="147"/>
      <c r="AI582" s="147"/>
      <c r="AJ582" s="147"/>
      <c r="AK582" s="147"/>
      <c r="AL582" s="94"/>
      <c r="AM582" s="94"/>
      <c r="AN582" s="153"/>
      <c r="AO582" s="153"/>
      <c r="AP582" s="153"/>
      <c r="AQ582" s="153"/>
      <c r="AR582" s="125"/>
      <c r="AS582" s="125"/>
    </row>
    <row r="583" spans="13:45">
      <c r="M583" s="95"/>
      <c r="N583" s="95"/>
      <c r="P583" s="96"/>
      <c r="W583" s="147"/>
      <c r="X583" s="138"/>
      <c r="Y583" s="138"/>
      <c r="Z583" s="138"/>
      <c r="AA583" s="138"/>
      <c r="AB583" s="138"/>
      <c r="AC583" s="138"/>
      <c r="AD583" s="138"/>
      <c r="AE583" s="138"/>
      <c r="AF583" s="142"/>
      <c r="AG583" s="147"/>
      <c r="AH583" s="147"/>
      <c r="AI583" s="147"/>
      <c r="AJ583" s="147"/>
      <c r="AK583" s="147"/>
      <c r="AL583" s="94"/>
      <c r="AM583" s="94"/>
      <c r="AN583" s="153"/>
      <c r="AO583" s="153"/>
      <c r="AP583" s="153"/>
      <c r="AQ583" s="153"/>
      <c r="AR583" s="125"/>
      <c r="AS583" s="125"/>
    </row>
    <row r="584" spans="13:45">
      <c r="M584" s="95"/>
      <c r="N584" s="95"/>
      <c r="P584" s="96"/>
      <c r="W584" s="147"/>
      <c r="X584" s="138"/>
      <c r="Y584" s="138"/>
      <c r="Z584" s="138"/>
      <c r="AA584" s="138"/>
      <c r="AB584" s="138"/>
      <c r="AC584" s="138"/>
      <c r="AD584" s="138"/>
      <c r="AE584" s="138"/>
      <c r="AF584" s="142"/>
      <c r="AG584" s="147"/>
      <c r="AH584" s="147"/>
      <c r="AI584" s="147"/>
      <c r="AJ584" s="147"/>
      <c r="AK584" s="147"/>
      <c r="AL584" s="94"/>
      <c r="AM584" s="94"/>
      <c r="AN584" s="153"/>
      <c r="AO584" s="153"/>
      <c r="AP584" s="153"/>
      <c r="AQ584" s="153"/>
      <c r="AR584" s="125"/>
      <c r="AS584" s="125"/>
    </row>
    <row r="585" spans="13:45">
      <c r="M585" s="95"/>
      <c r="N585" s="95"/>
      <c r="P585" s="96"/>
      <c r="W585" s="147"/>
      <c r="X585" s="138"/>
      <c r="Y585" s="138"/>
      <c r="Z585" s="138"/>
      <c r="AA585" s="138"/>
      <c r="AB585" s="138"/>
      <c r="AC585" s="138"/>
      <c r="AD585" s="138"/>
      <c r="AE585" s="138"/>
      <c r="AF585" s="142"/>
      <c r="AG585" s="147"/>
      <c r="AH585" s="147"/>
      <c r="AI585" s="147"/>
      <c r="AJ585" s="147"/>
      <c r="AK585" s="147"/>
      <c r="AL585" s="94"/>
      <c r="AM585" s="94"/>
      <c r="AN585" s="153"/>
      <c r="AO585" s="153"/>
      <c r="AP585" s="153"/>
      <c r="AQ585" s="153"/>
      <c r="AR585" s="125"/>
      <c r="AS585" s="125"/>
    </row>
    <row r="586" spans="13:45">
      <c r="M586" s="95"/>
      <c r="N586" s="95"/>
      <c r="P586" s="96"/>
      <c r="W586" s="147"/>
      <c r="X586" s="138"/>
      <c r="Y586" s="138"/>
      <c r="Z586" s="138"/>
      <c r="AA586" s="138"/>
      <c r="AB586" s="138"/>
      <c r="AC586" s="138"/>
      <c r="AD586" s="138"/>
      <c r="AE586" s="138"/>
      <c r="AF586" s="142"/>
      <c r="AG586" s="147"/>
      <c r="AH586" s="147"/>
      <c r="AI586" s="147"/>
      <c r="AJ586" s="147"/>
      <c r="AK586" s="147"/>
      <c r="AL586" s="94"/>
      <c r="AM586" s="94"/>
      <c r="AN586" s="153"/>
      <c r="AO586" s="153"/>
      <c r="AP586" s="153"/>
      <c r="AQ586" s="153"/>
      <c r="AR586" s="125"/>
      <c r="AS586" s="125"/>
    </row>
    <row r="587" spans="13:45">
      <c r="M587" s="95"/>
      <c r="N587" s="95"/>
      <c r="P587" s="96"/>
      <c r="W587" s="147"/>
      <c r="X587" s="138"/>
      <c r="Y587" s="138"/>
      <c r="Z587" s="138"/>
      <c r="AA587" s="138"/>
      <c r="AB587" s="138"/>
      <c r="AC587" s="138"/>
      <c r="AD587" s="138"/>
      <c r="AE587" s="138"/>
      <c r="AF587" s="142"/>
      <c r="AG587" s="147"/>
      <c r="AH587" s="147"/>
      <c r="AI587" s="147"/>
      <c r="AJ587" s="147"/>
      <c r="AK587" s="147"/>
      <c r="AL587" s="94"/>
      <c r="AM587" s="94"/>
      <c r="AN587" s="153"/>
      <c r="AO587" s="153"/>
      <c r="AP587" s="153"/>
      <c r="AQ587" s="153"/>
      <c r="AR587" s="125"/>
      <c r="AS587" s="125"/>
    </row>
    <row r="588" spans="13:45">
      <c r="M588" s="95"/>
      <c r="N588" s="95"/>
      <c r="P588" s="96"/>
      <c r="W588" s="147"/>
      <c r="X588" s="138"/>
      <c r="Y588" s="138"/>
      <c r="Z588" s="138"/>
      <c r="AA588" s="138"/>
      <c r="AB588" s="138"/>
      <c r="AC588" s="138"/>
      <c r="AD588" s="138"/>
      <c r="AE588" s="138"/>
      <c r="AF588" s="142"/>
      <c r="AG588" s="147"/>
      <c r="AH588" s="147"/>
      <c r="AI588" s="147"/>
      <c r="AJ588" s="147"/>
      <c r="AK588" s="147"/>
      <c r="AL588" s="94"/>
      <c r="AM588" s="94"/>
      <c r="AN588" s="153"/>
      <c r="AO588" s="153"/>
      <c r="AP588" s="153"/>
      <c r="AQ588" s="153"/>
      <c r="AR588" s="125"/>
      <c r="AS588" s="125"/>
    </row>
    <row r="589" spans="13:45">
      <c r="M589" s="95"/>
      <c r="N589" s="95"/>
      <c r="P589" s="96"/>
      <c r="W589" s="147"/>
      <c r="X589" s="138"/>
      <c r="Y589" s="138"/>
      <c r="Z589" s="138"/>
      <c r="AA589" s="138"/>
      <c r="AB589" s="138"/>
      <c r="AC589" s="138"/>
      <c r="AD589" s="138"/>
      <c r="AE589" s="138"/>
      <c r="AF589" s="142"/>
      <c r="AG589" s="147"/>
      <c r="AH589" s="147"/>
      <c r="AI589" s="147"/>
      <c r="AJ589" s="147"/>
      <c r="AK589" s="147"/>
      <c r="AL589" s="94"/>
      <c r="AM589" s="94"/>
      <c r="AN589" s="153"/>
      <c r="AO589" s="153"/>
      <c r="AP589" s="153"/>
      <c r="AQ589" s="153"/>
      <c r="AR589" s="125"/>
      <c r="AS589" s="125"/>
    </row>
    <row r="590" spans="13:45">
      <c r="M590" s="95"/>
      <c r="N590" s="95"/>
      <c r="P590" s="96"/>
      <c r="W590" s="147"/>
      <c r="X590" s="138"/>
      <c r="Y590" s="138"/>
      <c r="Z590" s="138"/>
      <c r="AA590" s="138"/>
      <c r="AB590" s="138"/>
      <c r="AC590" s="138"/>
      <c r="AD590" s="138"/>
      <c r="AE590" s="138"/>
      <c r="AF590" s="142"/>
      <c r="AG590" s="147"/>
      <c r="AH590" s="147"/>
      <c r="AI590" s="147"/>
      <c r="AJ590" s="147"/>
      <c r="AK590" s="147"/>
      <c r="AL590" s="94"/>
      <c r="AM590" s="94"/>
      <c r="AN590" s="153"/>
      <c r="AO590" s="153"/>
      <c r="AP590" s="153"/>
      <c r="AQ590" s="153"/>
      <c r="AR590" s="125"/>
      <c r="AS590" s="125"/>
    </row>
    <row r="591" spans="13:45">
      <c r="M591" s="95"/>
      <c r="N591" s="95"/>
      <c r="P591" s="96"/>
      <c r="W591" s="147"/>
      <c r="X591" s="138"/>
      <c r="Y591" s="138"/>
      <c r="Z591" s="138"/>
      <c r="AA591" s="138"/>
      <c r="AB591" s="138"/>
      <c r="AC591" s="138"/>
      <c r="AD591" s="138"/>
      <c r="AE591" s="138"/>
      <c r="AF591" s="142"/>
      <c r="AG591" s="147"/>
      <c r="AH591" s="147"/>
      <c r="AI591" s="147"/>
      <c r="AJ591" s="147"/>
      <c r="AK591" s="147"/>
      <c r="AL591" s="94"/>
      <c r="AM591" s="94"/>
      <c r="AN591" s="153"/>
      <c r="AO591" s="153"/>
      <c r="AP591" s="153"/>
      <c r="AQ591" s="153"/>
      <c r="AR591" s="125"/>
      <c r="AS591" s="125"/>
    </row>
    <row r="592" spans="13:45">
      <c r="M592" s="95"/>
      <c r="N592" s="95"/>
      <c r="P592" s="96"/>
      <c r="W592" s="147"/>
      <c r="X592" s="138"/>
      <c r="Y592" s="138"/>
      <c r="Z592" s="138"/>
      <c r="AA592" s="138"/>
      <c r="AB592" s="138"/>
      <c r="AC592" s="138"/>
      <c r="AD592" s="138"/>
      <c r="AE592" s="138"/>
      <c r="AF592" s="142"/>
      <c r="AG592" s="147"/>
      <c r="AH592" s="147"/>
      <c r="AI592" s="147"/>
      <c r="AJ592" s="147"/>
      <c r="AK592" s="147"/>
      <c r="AL592" s="94"/>
      <c r="AM592" s="94"/>
      <c r="AN592" s="153"/>
      <c r="AO592" s="153"/>
      <c r="AP592" s="153"/>
      <c r="AQ592" s="153"/>
      <c r="AR592" s="125"/>
      <c r="AS592" s="125"/>
    </row>
    <row r="593" spans="13:45">
      <c r="M593" s="95"/>
      <c r="N593" s="95"/>
      <c r="P593" s="96"/>
      <c r="W593" s="147"/>
      <c r="X593" s="138"/>
      <c r="Y593" s="138"/>
      <c r="Z593" s="138"/>
      <c r="AA593" s="138"/>
      <c r="AB593" s="138"/>
      <c r="AC593" s="138"/>
      <c r="AD593" s="138"/>
      <c r="AE593" s="138"/>
      <c r="AF593" s="142"/>
      <c r="AG593" s="147"/>
      <c r="AH593" s="147"/>
      <c r="AI593" s="147"/>
      <c r="AJ593" s="147"/>
      <c r="AK593" s="147"/>
      <c r="AL593" s="94"/>
      <c r="AM593" s="94"/>
      <c r="AN593" s="153"/>
      <c r="AO593" s="153"/>
      <c r="AP593" s="153"/>
      <c r="AQ593" s="153"/>
      <c r="AR593" s="125"/>
      <c r="AS593" s="125"/>
    </row>
    <row r="594" spans="13:45">
      <c r="M594" s="95"/>
      <c r="N594" s="95"/>
      <c r="P594" s="96"/>
      <c r="W594" s="147"/>
      <c r="X594" s="138"/>
      <c r="Y594" s="138"/>
      <c r="Z594" s="138"/>
      <c r="AA594" s="138"/>
      <c r="AB594" s="138"/>
      <c r="AC594" s="138"/>
      <c r="AD594" s="138"/>
      <c r="AE594" s="138"/>
      <c r="AF594" s="142"/>
      <c r="AG594" s="147"/>
      <c r="AH594" s="147"/>
      <c r="AI594" s="147"/>
      <c r="AJ594" s="147"/>
      <c r="AK594" s="147"/>
      <c r="AL594" s="94"/>
      <c r="AM594" s="94"/>
      <c r="AN594" s="153"/>
      <c r="AO594" s="153"/>
      <c r="AP594" s="153"/>
      <c r="AQ594" s="153"/>
      <c r="AR594" s="125"/>
      <c r="AS594" s="125"/>
    </row>
    <row r="595" spans="13:45">
      <c r="M595" s="95"/>
      <c r="N595" s="95"/>
      <c r="P595" s="96"/>
      <c r="W595" s="147"/>
      <c r="X595" s="138"/>
      <c r="Y595" s="138"/>
      <c r="Z595" s="138"/>
      <c r="AA595" s="138"/>
      <c r="AB595" s="138"/>
      <c r="AC595" s="138"/>
      <c r="AD595" s="138"/>
      <c r="AE595" s="138"/>
      <c r="AF595" s="142"/>
      <c r="AG595" s="147"/>
      <c r="AH595" s="147"/>
      <c r="AI595" s="147"/>
      <c r="AJ595" s="147"/>
      <c r="AK595" s="147"/>
      <c r="AL595" s="94"/>
      <c r="AM595" s="94"/>
      <c r="AN595" s="153"/>
      <c r="AO595" s="153"/>
      <c r="AP595" s="153"/>
      <c r="AQ595" s="153"/>
      <c r="AR595" s="125"/>
      <c r="AS595" s="125"/>
    </row>
    <row r="596" spans="13:45">
      <c r="M596" s="95"/>
      <c r="N596" s="95"/>
      <c r="P596" s="96"/>
      <c r="W596" s="147"/>
      <c r="X596" s="138"/>
      <c r="Y596" s="138"/>
      <c r="Z596" s="138"/>
      <c r="AA596" s="138"/>
      <c r="AB596" s="138"/>
      <c r="AC596" s="138"/>
      <c r="AD596" s="138"/>
      <c r="AE596" s="138"/>
      <c r="AF596" s="142"/>
      <c r="AG596" s="147"/>
      <c r="AH596" s="147"/>
      <c r="AI596" s="147"/>
      <c r="AJ596" s="147"/>
      <c r="AK596" s="147"/>
      <c r="AL596" s="94"/>
      <c r="AM596" s="94"/>
      <c r="AN596" s="153"/>
      <c r="AO596" s="153"/>
      <c r="AP596" s="153"/>
      <c r="AQ596" s="153"/>
      <c r="AR596" s="125"/>
      <c r="AS596" s="125"/>
    </row>
    <row r="597" spans="13:45">
      <c r="M597" s="95"/>
      <c r="N597" s="95"/>
      <c r="P597" s="96"/>
      <c r="W597" s="147"/>
      <c r="X597" s="138"/>
      <c r="Y597" s="138"/>
      <c r="Z597" s="138"/>
      <c r="AA597" s="138"/>
      <c r="AB597" s="138"/>
      <c r="AC597" s="138"/>
      <c r="AD597" s="138"/>
      <c r="AE597" s="138"/>
      <c r="AF597" s="142"/>
      <c r="AG597" s="147"/>
      <c r="AH597" s="147"/>
      <c r="AI597" s="147"/>
      <c r="AJ597" s="147"/>
      <c r="AK597" s="147"/>
      <c r="AL597" s="94"/>
      <c r="AM597" s="94"/>
      <c r="AN597" s="153"/>
      <c r="AO597" s="153"/>
      <c r="AP597" s="153"/>
      <c r="AQ597" s="153"/>
      <c r="AR597" s="125"/>
      <c r="AS597" s="125"/>
    </row>
    <row r="598" spans="13:45">
      <c r="M598" s="95"/>
      <c r="N598" s="95"/>
      <c r="P598" s="96"/>
      <c r="W598" s="147"/>
      <c r="X598" s="138"/>
      <c r="Y598" s="138"/>
      <c r="Z598" s="138"/>
      <c r="AA598" s="138"/>
      <c r="AB598" s="138"/>
      <c r="AC598" s="138"/>
      <c r="AD598" s="138"/>
      <c r="AE598" s="138"/>
      <c r="AF598" s="142"/>
      <c r="AG598" s="147"/>
      <c r="AH598" s="147"/>
      <c r="AI598" s="147"/>
      <c r="AJ598" s="147"/>
      <c r="AK598" s="147"/>
      <c r="AL598" s="94"/>
      <c r="AM598" s="94"/>
      <c r="AN598" s="153"/>
      <c r="AO598" s="153"/>
      <c r="AP598" s="153"/>
      <c r="AQ598" s="153"/>
      <c r="AR598" s="125"/>
      <c r="AS598" s="125"/>
    </row>
    <row r="599" spans="13:45">
      <c r="M599" s="95"/>
      <c r="N599" s="95"/>
      <c r="P599" s="96"/>
      <c r="W599" s="147"/>
      <c r="X599" s="138"/>
      <c r="Y599" s="138"/>
      <c r="Z599" s="138"/>
      <c r="AA599" s="138"/>
      <c r="AB599" s="138"/>
      <c r="AC599" s="138"/>
      <c r="AD599" s="138"/>
      <c r="AE599" s="138"/>
      <c r="AF599" s="142"/>
      <c r="AG599" s="147"/>
      <c r="AH599" s="147"/>
      <c r="AI599" s="147"/>
      <c r="AJ599" s="147"/>
      <c r="AK599" s="147"/>
      <c r="AL599" s="94"/>
      <c r="AM599" s="94"/>
      <c r="AN599" s="153"/>
      <c r="AO599" s="153"/>
      <c r="AP599" s="153"/>
      <c r="AQ599" s="153"/>
      <c r="AR599" s="125"/>
      <c r="AS599" s="125"/>
    </row>
    <row r="600" spans="13:45">
      <c r="M600" s="95"/>
      <c r="N600" s="95"/>
      <c r="P600" s="96"/>
      <c r="W600" s="147"/>
      <c r="X600" s="138"/>
      <c r="Y600" s="138"/>
      <c r="Z600" s="138"/>
      <c r="AA600" s="138"/>
      <c r="AB600" s="138"/>
      <c r="AC600" s="138"/>
      <c r="AD600" s="138"/>
      <c r="AE600" s="138"/>
      <c r="AF600" s="142"/>
      <c r="AG600" s="147"/>
      <c r="AH600" s="147"/>
      <c r="AI600" s="147"/>
      <c r="AJ600" s="147"/>
      <c r="AK600" s="147"/>
      <c r="AL600" s="94"/>
      <c r="AM600" s="94"/>
      <c r="AN600" s="153"/>
      <c r="AO600" s="153"/>
      <c r="AP600" s="153"/>
      <c r="AQ600" s="153"/>
      <c r="AR600" s="125"/>
      <c r="AS600" s="125"/>
    </row>
    <row r="601" spans="13:45">
      <c r="M601" s="95"/>
      <c r="N601" s="95"/>
      <c r="P601" s="96"/>
      <c r="W601" s="147"/>
      <c r="X601" s="138"/>
      <c r="Y601" s="138"/>
      <c r="Z601" s="138"/>
      <c r="AA601" s="138"/>
      <c r="AB601" s="138"/>
      <c r="AC601" s="138"/>
      <c r="AD601" s="138"/>
      <c r="AE601" s="138"/>
      <c r="AF601" s="142"/>
      <c r="AG601" s="147"/>
      <c r="AH601" s="147"/>
      <c r="AI601" s="147"/>
      <c r="AJ601" s="147"/>
      <c r="AK601" s="147"/>
      <c r="AL601" s="94"/>
      <c r="AM601" s="94"/>
      <c r="AN601" s="153"/>
      <c r="AO601" s="153"/>
      <c r="AP601" s="153"/>
      <c r="AQ601" s="153"/>
      <c r="AR601" s="125"/>
      <c r="AS601" s="125"/>
    </row>
    <row r="602" spans="13:45">
      <c r="M602" s="95"/>
      <c r="N602" s="95"/>
      <c r="P602" s="96"/>
      <c r="W602" s="147"/>
      <c r="X602" s="138"/>
      <c r="Y602" s="138"/>
      <c r="Z602" s="138"/>
      <c r="AA602" s="138"/>
      <c r="AB602" s="138"/>
      <c r="AC602" s="138"/>
      <c r="AD602" s="138"/>
      <c r="AE602" s="138"/>
      <c r="AF602" s="142"/>
      <c r="AG602" s="147"/>
      <c r="AH602" s="147"/>
      <c r="AI602" s="147"/>
      <c r="AJ602" s="147"/>
      <c r="AK602" s="147"/>
      <c r="AL602" s="94"/>
      <c r="AM602" s="94"/>
      <c r="AN602" s="153"/>
      <c r="AO602" s="153"/>
      <c r="AP602" s="153"/>
      <c r="AQ602" s="153"/>
      <c r="AR602" s="125"/>
      <c r="AS602" s="125"/>
    </row>
    <row r="603" spans="13:45">
      <c r="M603" s="95"/>
      <c r="N603" s="95"/>
      <c r="P603" s="96"/>
      <c r="W603" s="147"/>
      <c r="X603" s="138"/>
      <c r="Y603" s="138"/>
      <c r="Z603" s="138"/>
      <c r="AA603" s="138"/>
      <c r="AB603" s="138"/>
      <c r="AC603" s="138"/>
      <c r="AD603" s="138"/>
      <c r="AE603" s="138"/>
      <c r="AF603" s="142"/>
      <c r="AG603" s="147"/>
      <c r="AH603" s="147"/>
      <c r="AI603" s="147"/>
      <c r="AJ603" s="147"/>
      <c r="AK603" s="147"/>
      <c r="AL603" s="94"/>
      <c r="AM603" s="94"/>
      <c r="AN603" s="153"/>
      <c r="AO603" s="153"/>
      <c r="AP603" s="153"/>
      <c r="AQ603" s="153"/>
      <c r="AR603" s="125"/>
      <c r="AS603" s="125"/>
    </row>
    <row r="604" spans="13:45">
      <c r="M604" s="95"/>
      <c r="N604" s="95"/>
      <c r="P604" s="96"/>
      <c r="W604" s="147"/>
      <c r="X604" s="138"/>
      <c r="Y604" s="138"/>
      <c r="Z604" s="138"/>
      <c r="AA604" s="138"/>
      <c r="AB604" s="138"/>
      <c r="AC604" s="138"/>
      <c r="AD604" s="138"/>
      <c r="AE604" s="138"/>
      <c r="AF604" s="142"/>
      <c r="AG604" s="147"/>
      <c r="AH604" s="147"/>
      <c r="AI604" s="147"/>
      <c r="AJ604" s="147"/>
      <c r="AK604" s="147"/>
      <c r="AL604" s="94"/>
      <c r="AM604" s="94"/>
      <c r="AN604" s="153"/>
      <c r="AO604" s="153"/>
      <c r="AP604" s="153"/>
      <c r="AQ604" s="153"/>
      <c r="AR604" s="125"/>
      <c r="AS604" s="125"/>
    </row>
    <row r="605" spans="13:45">
      <c r="M605" s="95"/>
      <c r="N605" s="95"/>
      <c r="P605" s="96"/>
      <c r="W605" s="147"/>
      <c r="X605" s="138"/>
      <c r="Y605" s="138"/>
      <c r="Z605" s="138"/>
      <c r="AA605" s="138"/>
      <c r="AB605" s="138"/>
      <c r="AC605" s="138"/>
      <c r="AD605" s="138"/>
      <c r="AE605" s="138"/>
      <c r="AF605" s="142"/>
      <c r="AG605" s="147"/>
      <c r="AH605" s="147"/>
      <c r="AI605" s="147"/>
      <c r="AJ605" s="147"/>
      <c r="AK605" s="147"/>
      <c r="AL605" s="94"/>
      <c r="AM605" s="94"/>
      <c r="AN605" s="153"/>
      <c r="AO605" s="153"/>
      <c r="AP605" s="153"/>
      <c r="AQ605" s="153"/>
      <c r="AR605" s="125"/>
      <c r="AS605" s="125"/>
    </row>
    <row r="606" spans="13:45">
      <c r="M606" s="95"/>
      <c r="N606" s="95"/>
      <c r="P606" s="96"/>
      <c r="W606" s="147"/>
      <c r="X606" s="138"/>
      <c r="Y606" s="138"/>
      <c r="Z606" s="138"/>
      <c r="AA606" s="138"/>
      <c r="AB606" s="138"/>
      <c r="AC606" s="138"/>
      <c r="AD606" s="138"/>
      <c r="AE606" s="138"/>
      <c r="AF606" s="142"/>
      <c r="AG606" s="147"/>
      <c r="AH606" s="147"/>
      <c r="AI606" s="147"/>
      <c r="AJ606" s="147"/>
      <c r="AK606" s="147"/>
      <c r="AL606" s="94"/>
      <c r="AM606" s="94"/>
      <c r="AN606" s="153"/>
      <c r="AO606" s="153"/>
      <c r="AP606" s="153"/>
      <c r="AQ606" s="153"/>
      <c r="AR606" s="125"/>
      <c r="AS606" s="125"/>
    </row>
    <row r="607" spans="13:45">
      <c r="M607" s="95"/>
      <c r="N607" s="95"/>
      <c r="P607" s="96"/>
      <c r="W607" s="147"/>
      <c r="X607" s="138"/>
      <c r="Y607" s="138"/>
      <c r="Z607" s="138"/>
      <c r="AA607" s="138"/>
      <c r="AB607" s="138"/>
      <c r="AC607" s="138"/>
      <c r="AD607" s="138"/>
      <c r="AE607" s="138"/>
      <c r="AF607" s="142"/>
      <c r="AG607" s="147"/>
      <c r="AH607" s="147"/>
      <c r="AI607" s="147"/>
      <c r="AJ607" s="147"/>
      <c r="AK607" s="147"/>
      <c r="AL607" s="94"/>
      <c r="AM607" s="94"/>
      <c r="AN607" s="153"/>
      <c r="AO607" s="153"/>
      <c r="AP607" s="153"/>
      <c r="AQ607" s="153"/>
      <c r="AR607" s="125"/>
      <c r="AS607" s="125"/>
    </row>
    <row r="608" spans="13:45">
      <c r="M608" s="95"/>
      <c r="N608" s="95"/>
      <c r="P608" s="96"/>
      <c r="W608" s="147"/>
      <c r="X608" s="138"/>
      <c r="Y608" s="138"/>
      <c r="Z608" s="138"/>
      <c r="AA608" s="138"/>
      <c r="AB608" s="138"/>
      <c r="AC608" s="138"/>
      <c r="AD608" s="138"/>
      <c r="AE608" s="138"/>
      <c r="AF608" s="142"/>
      <c r="AG608" s="147"/>
      <c r="AH608" s="147"/>
      <c r="AI608" s="147"/>
      <c r="AJ608" s="147"/>
      <c r="AK608" s="147"/>
      <c r="AL608" s="94"/>
      <c r="AM608" s="94"/>
      <c r="AN608" s="153"/>
      <c r="AO608" s="153"/>
      <c r="AP608" s="153"/>
      <c r="AQ608" s="153"/>
      <c r="AR608" s="125"/>
      <c r="AS608" s="125"/>
    </row>
    <row r="609" spans="13:45">
      <c r="M609" s="95"/>
      <c r="N609" s="95"/>
      <c r="P609" s="96"/>
      <c r="W609" s="147"/>
      <c r="X609" s="138"/>
      <c r="Y609" s="138"/>
      <c r="Z609" s="138"/>
      <c r="AA609" s="138"/>
      <c r="AB609" s="138"/>
      <c r="AC609" s="138"/>
      <c r="AD609" s="138"/>
      <c r="AE609" s="138"/>
      <c r="AF609" s="142"/>
      <c r="AG609" s="147"/>
      <c r="AH609" s="147"/>
      <c r="AI609" s="147"/>
      <c r="AJ609" s="147"/>
      <c r="AK609" s="147"/>
      <c r="AL609" s="94"/>
      <c r="AM609" s="94"/>
      <c r="AN609" s="153"/>
      <c r="AO609" s="153"/>
      <c r="AP609" s="153"/>
      <c r="AQ609" s="153"/>
      <c r="AR609" s="125"/>
      <c r="AS609" s="125"/>
    </row>
    <row r="610" spans="13:45">
      <c r="M610" s="95"/>
      <c r="N610" s="95"/>
      <c r="P610" s="96"/>
      <c r="W610" s="147"/>
      <c r="X610" s="138"/>
      <c r="Y610" s="138"/>
      <c r="Z610" s="138"/>
      <c r="AA610" s="138"/>
      <c r="AB610" s="138"/>
      <c r="AC610" s="138"/>
      <c r="AD610" s="138"/>
      <c r="AE610" s="138"/>
      <c r="AF610" s="142"/>
      <c r="AG610" s="147"/>
      <c r="AH610" s="147"/>
      <c r="AI610" s="147"/>
      <c r="AJ610" s="147"/>
      <c r="AK610" s="147"/>
      <c r="AL610" s="94"/>
      <c r="AM610" s="94"/>
      <c r="AN610" s="153"/>
      <c r="AO610" s="153"/>
      <c r="AP610" s="153"/>
      <c r="AQ610" s="153"/>
      <c r="AR610" s="125"/>
      <c r="AS610" s="125"/>
    </row>
    <row r="611" spans="13:45">
      <c r="M611" s="95"/>
      <c r="N611" s="95"/>
      <c r="P611" s="96"/>
      <c r="W611" s="147"/>
      <c r="X611" s="138"/>
      <c r="Y611" s="138"/>
      <c r="Z611" s="138"/>
      <c r="AA611" s="138"/>
      <c r="AB611" s="138"/>
      <c r="AC611" s="138"/>
      <c r="AD611" s="138"/>
      <c r="AE611" s="138"/>
      <c r="AF611" s="142"/>
      <c r="AG611" s="147"/>
      <c r="AH611" s="147"/>
      <c r="AI611" s="147"/>
      <c r="AJ611" s="147"/>
      <c r="AK611" s="147"/>
      <c r="AL611" s="94"/>
      <c r="AM611" s="94"/>
      <c r="AN611" s="153"/>
      <c r="AO611" s="153"/>
      <c r="AP611" s="153"/>
      <c r="AQ611" s="153"/>
      <c r="AR611" s="125"/>
      <c r="AS611" s="125"/>
    </row>
    <row r="612" spans="13:45">
      <c r="M612" s="95"/>
      <c r="N612" s="95"/>
      <c r="P612" s="96"/>
      <c r="W612" s="147"/>
      <c r="X612" s="138"/>
      <c r="Y612" s="138"/>
      <c r="Z612" s="138"/>
      <c r="AA612" s="138"/>
      <c r="AB612" s="138"/>
      <c r="AC612" s="138"/>
      <c r="AD612" s="138"/>
      <c r="AE612" s="138"/>
      <c r="AF612" s="142"/>
      <c r="AG612" s="147"/>
      <c r="AH612" s="147"/>
      <c r="AI612" s="147"/>
      <c r="AJ612" s="147"/>
      <c r="AK612" s="147"/>
      <c r="AL612" s="94"/>
      <c r="AM612" s="94"/>
      <c r="AN612" s="153"/>
      <c r="AO612" s="153"/>
      <c r="AP612" s="153"/>
      <c r="AQ612" s="153"/>
      <c r="AR612" s="125"/>
      <c r="AS612" s="125"/>
    </row>
    <row r="613" spans="13:45">
      <c r="M613" s="95"/>
      <c r="N613" s="95"/>
      <c r="P613" s="96"/>
      <c r="W613" s="147"/>
      <c r="X613" s="138"/>
      <c r="Y613" s="138"/>
      <c r="Z613" s="138"/>
      <c r="AA613" s="138"/>
      <c r="AB613" s="138"/>
      <c r="AC613" s="138"/>
      <c r="AD613" s="138"/>
      <c r="AE613" s="138"/>
      <c r="AF613" s="142"/>
      <c r="AG613" s="147"/>
      <c r="AH613" s="147"/>
      <c r="AI613" s="147"/>
      <c r="AJ613" s="147"/>
      <c r="AK613" s="147"/>
      <c r="AL613" s="94"/>
      <c r="AM613" s="94"/>
      <c r="AN613" s="153"/>
      <c r="AO613" s="153"/>
      <c r="AP613" s="153"/>
      <c r="AQ613" s="153"/>
      <c r="AR613" s="125"/>
      <c r="AS613" s="125"/>
    </row>
    <row r="614" spans="13:45">
      <c r="M614" s="95"/>
      <c r="N614" s="95"/>
      <c r="P614" s="96"/>
      <c r="W614" s="147"/>
      <c r="X614" s="138"/>
      <c r="Y614" s="138"/>
      <c r="Z614" s="138"/>
      <c r="AA614" s="138"/>
      <c r="AB614" s="138"/>
      <c r="AC614" s="138"/>
      <c r="AD614" s="138"/>
      <c r="AE614" s="138"/>
      <c r="AF614" s="142"/>
      <c r="AG614" s="147"/>
      <c r="AH614" s="147"/>
      <c r="AI614" s="147"/>
      <c r="AJ614" s="147"/>
      <c r="AK614" s="147"/>
      <c r="AL614" s="94"/>
      <c r="AM614" s="94"/>
      <c r="AN614" s="153"/>
      <c r="AO614" s="153"/>
      <c r="AP614" s="153"/>
      <c r="AQ614" s="153"/>
      <c r="AR614" s="125"/>
      <c r="AS614" s="125"/>
    </row>
    <row r="615" spans="13:45">
      <c r="M615" s="95"/>
      <c r="N615" s="95"/>
      <c r="P615" s="96"/>
      <c r="W615" s="147"/>
      <c r="X615" s="138"/>
      <c r="Y615" s="138"/>
      <c r="Z615" s="138"/>
      <c r="AA615" s="138"/>
      <c r="AB615" s="138"/>
      <c r="AC615" s="138"/>
      <c r="AD615" s="138"/>
      <c r="AE615" s="138"/>
      <c r="AF615" s="142"/>
      <c r="AG615" s="147"/>
      <c r="AH615" s="147"/>
      <c r="AI615" s="147"/>
      <c r="AJ615" s="147"/>
      <c r="AK615" s="147"/>
      <c r="AL615" s="94"/>
      <c r="AM615" s="94"/>
      <c r="AN615" s="153"/>
      <c r="AO615" s="153"/>
      <c r="AP615" s="153"/>
      <c r="AQ615" s="153"/>
      <c r="AR615" s="125"/>
      <c r="AS615" s="125"/>
    </row>
    <row r="616" spans="13:45">
      <c r="M616" s="95"/>
      <c r="N616" s="95"/>
      <c r="P616" s="96"/>
      <c r="W616" s="147"/>
      <c r="X616" s="138"/>
      <c r="Y616" s="138"/>
      <c r="Z616" s="138"/>
      <c r="AA616" s="138"/>
      <c r="AB616" s="138"/>
      <c r="AC616" s="138"/>
      <c r="AD616" s="138"/>
      <c r="AE616" s="138"/>
      <c r="AF616" s="142"/>
      <c r="AG616" s="147"/>
      <c r="AH616" s="147"/>
      <c r="AI616" s="147"/>
      <c r="AJ616" s="147"/>
      <c r="AK616" s="147"/>
      <c r="AL616" s="94"/>
      <c r="AM616" s="94"/>
      <c r="AN616" s="153"/>
      <c r="AO616" s="153"/>
      <c r="AP616" s="153"/>
      <c r="AQ616" s="153"/>
      <c r="AR616" s="125"/>
      <c r="AS616" s="125"/>
    </row>
    <row r="617" spans="13:45">
      <c r="M617" s="95"/>
      <c r="N617" s="95"/>
      <c r="P617" s="96"/>
      <c r="W617" s="147"/>
      <c r="X617" s="138"/>
      <c r="Y617" s="138"/>
      <c r="Z617" s="138"/>
      <c r="AA617" s="138"/>
      <c r="AB617" s="138"/>
      <c r="AC617" s="138"/>
      <c r="AD617" s="138"/>
      <c r="AE617" s="138"/>
      <c r="AF617" s="142"/>
      <c r="AG617" s="147"/>
      <c r="AH617" s="147"/>
      <c r="AI617" s="147"/>
      <c r="AJ617" s="147"/>
      <c r="AK617" s="147"/>
      <c r="AL617" s="94"/>
      <c r="AM617" s="94"/>
      <c r="AN617" s="153"/>
      <c r="AO617" s="153"/>
      <c r="AP617" s="153"/>
      <c r="AQ617" s="153"/>
      <c r="AR617" s="125"/>
      <c r="AS617" s="125"/>
    </row>
    <row r="618" spans="13:45">
      <c r="M618" s="95"/>
      <c r="N618" s="95"/>
      <c r="P618" s="96"/>
      <c r="W618" s="147"/>
      <c r="X618" s="138"/>
      <c r="Y618" s="138"/>
      <c r="Z618" s="138"/>
      <c r="AA618" s="138"/>
      <c r="AB618" s="138"/>
      <c r="AC618" s="138"/>
      <c r="AD618" s="138"/>
      <c r="AE618" s="138"/>
      <c r="AF618" s="142"/>
      <c r="AG618" s="147"/>
      <c r="AH618" s="147"/>
      <c r="AI618" s="147"/>
      <c r="AJ618" s="147"/>
      <c r="AK618" s="147"/>
      <c r="AL618" s="94"/>
      <c r="AM618" s="94"/>
      <c r="AN618" s="153"/>
      <c r="AO618" s="153"/>
      <c r="AP618" s="153"/>
      <c r="AQ618" s="153"/>
      <c r="AR618" s="125"/>
      <c r="AS618" s="125"/>
    </row>
    <row r="619" spans="13:45">
      <c r="M619" s="95"/>
      <c r="N619" s="95"/>
      <c r="P619" s="96"/>
      <c r="W619" s="147"/>
      <c r="X619" s="138"/>
      <c r="Y619" s="138"/>
      <c r="Z619" s="138"/>
      <c r="AA619" s="138"/>
      <c r="AB619" s="138"/>
      <c r="AC619" s="138"/>
      <c r="AD619" s="138"/>
      <c r="AE619" s="138"/>
      <c r="AF619" s="142"/>
      <c r="AG619" s="147"/>
      <c r="AH619" s="147"/>
      <c r="AI619" s="147"/>
      <c r="AJ619" s="147"/>
      <c r="AK619" s="147"/>
      <c r="AL619" s="94"/>
      <c r="AM619" s="94"/>
      <c r="AN619" s="153"/>
      <c r="AO619" s="153"/>
      <c r="AP619" s="153"/>
      <c r="AQ619" s="153"/>
      <c r="AR619" s="125"/>
      <c r="AS619" s="125"/>
    </row>
    <row r="620" spans="13:45">
      <c r="M620" s="95"/>
      <c r="N620" s="95"/>
      <c r="P620" s="96"/>
      <c r="W620" s="147"/>
      <c r="X620" s="138"/>
      <c r="Y620" s="138"/>
      <c r="Z620" s="138"/>
      <c r="AA620" s="138"/>
      <c r="AB620" s="138"/>
      <c r="AC620" s="138"/>
      <c r="AD620" s="138"/>
      <c r="AE620" s="138"/>
      <c r="AF620" s="142"/>
      <c r="AG620" s="147"/>
      <c r="AH620" s="147"/>
      <c r="AI620" s="147"/>
      <c r="AJ620" s="147"/>
      <c r="AK620" s="147"/>
      <c r="AL620" s="94"/>
      <c r="AM620" s="94"/>
      <c r="AN620" s="153"/>
      <c r="AO620" s="153"/>
      <c r="AP620" s="153"/>
      <c r="AQ620" s="153"/>
      <c r="AR620" s="125"/>
      <c r="AS620" s="125"/>
    </row>
    <row r="621" spans="13:45">
      <c r="M621" s="95"/>
      <c r="N621" s="95"/>
      <c r="P621" s="96"/>
      <c r="W621" s="147"/>
      <c r="X621" s="138"/>
      <c r="Y621" s="138"/>
      <c r="Z621" s="138"/>
      <c r="AA621" s="138"/>
      <c r="AB621" s="138"/>
      <c r="AC621" s="138"/>
      <c r="AD621" s="138"/>
      <c r="AE621" s="138"/>
      <c r="AF621" s="142"/>
      <c r="AG621" s="147"/>
      <c r="AH621" s="147"/>
      <c r="AI621" s="147"/>
      <c r="AJ621" s="147"/>
      <c r="AK621" s="147"/>
      <c r="AL621" s="94"/>
      <c r="AM621" s="94"/>
      <c r="AN621" s="153"/>
      <c r="AO621" s="153"/>
      <c r="AP621" s="153"/>
      <c r="AQ621" s="153"/>
      <c r="AR621" s="125"/>
      <c r="AS621" s="125"/>
    </row>
    <row r="622" spans="13:45">
      <c r="M622" s="95"/>
      <c r="N622" s="95"/>
      <c r="P622" s="96"/>
      <c r="W622" s="147"/>
      <c r="X622" s="138"/>
      <c r="Y622" s="138"/>
      <c r="Z622" s="138"/>
      <c r="AA622" s="138"/>
      <c r="AB622" s="138"/>
      <c r="AC622" s="138"/>
      <c r="AD622" s="138"/>
      <c r="AE622" s="138"/>
      <c r="AF622" s="142"/>
      <c r="AG622" s="147"/>
      <c r="AH622" s="147"/>
      <c r="AI622" s="147"/>
      <c r="AJ622" s="147"/>
      <c r="AK622" s="147"/>
      <c r="AL622" s="94"/>
      <c r="AM622" s="94"/>
      <c r="AN622" s="153"/>
      <c r="AO622" s="153"/>
      <c r="AP622" s="153"/>
      <c r="AQ622" s="153"/>
      <c r="AR622" s="125"/>
      <c r="AS622" s="125"/>
    </row>
    <row r="623" spans="13:45">
      <c r="M623" s="95"/>
      <c r="N623" s="95"/>
      <c r="P623" s="96"/>
      <c r="W623" s="147"/>
      <c r="X623" s="138"/>
      <c r="Y623" s="138"/>
      <c r="Z623" s="138"/>
      <c r="AA623" s="138"/>
      <c r="AB623" s="138"/>
      <c r="AC623" s="138"/>
      <c r="AD623" s="138"/>
      <c r="AE623" s="138"/>
      <c r="AF623" s="142"/>
      <c r="AG623" s="147"/>
      <c r="AH623" s="147"/>
      <c r="AI623" s="147"/>
      <c r="AJ623" s="147"/>
      <c r="AK623" s="147"/>
      <c r="AL623" s="94"/>
      <c r="AM623" s="94"/>
      <c r="AN623" s="153"/>
      <c r="AO623" s="153"/>
      <c r="AP623" s="153"/>
      <c r="AQ623" s="153"/>
      <c r="AR623" s="125"/>
      <c r="AS623" s="125"/>
    </row>
    <row r="624" spans="13:45">
      <c r="M624" s="95"/>
      <c r="N624" s="95"/>
      <c r="P624" s="96"/>
      <c r="W624" s="147"/>
      <c r="X624" s="138"/>
      <c r="Y624" s="138"/>
      <c r="Z624" s="138"/>
      <c r="AA624" s="138"/>
      <c r="AB624" s="138"/>
      <c r="AC624" s="138"/>
      <c r="AD624" s="138"/>
      <c r="AE624" s="138"/>
      <c r="AF624" s="142"/>
      <c r="AG624" s="147"/>
      <c r="AH624" s="147"/>
      <c r="AI624" s="147"/>
      <c r="AJ624" s="147"/>
      <c r="AK624" s="147"/>
      <c r="AL624" s="94"/>
      <c r="AM624" s="94"/>
      <c r="AN624" s="153"/>
      <c r="AO624" s="153"/>
      <c r="AP624" s="153"/>
      <c r="AQ624" s="153"/>
      <c r="AR624" s="125"/>
      <c r="AS624" s="125"/>
    </row>
    <row r="625" spans="13:45">
      <c r="M625" s="95"/>
      <c r="N625" s="95"/>
      <c r="P625" s="96"/>
      <c r="W625" s="147"/>
      <c r="X625" s="138"/>
      <c r="Y625" s="138"/>
      <c r="Z625" s="138"/>
      <c r="AA625" s="138"/>
      <c r="AB625" s="138"/>
      <c r="AC625" s="138"/>
      <c r="AD625" s="138"/>
      <c r="AE625" s="138"/>
      <c r="AF625" s="142"/>
      <c r="AG625" s="147"/>
      <c r="AH625" s="147"/>
      <c r="AI625" s="147"/>
      <c r="AJ625" s="147"/>
      <c r="AK625" s="147"/>
      <c r="AL625" s="94"/>
      <c r="AM625" s="94"/>
      <c r="AN625" s="153"/>
      <c r="AO625" s="153"/>
      <c r="AP625" s="153"/>
      <c r="AQ625" s="153"/>
      <c r="AR625" s="125"/>
      <c r="AS625" s="125"/>
    </row>
    <row r="626" spans="13:45">
      <c r="M626" s="95"/>
      <c r="N626" s="95"/>
      <c r="P626" s="96"/>
      <c r="W626" s="147"/>
      <c r="X626" s="138"/>
      <c r="Y626" s="138"/>
      <c r="Z626" s="138"/>
      <c r="AA626" s="138"/>
      <c r="AB626" s="138"/>
      <c r="AC626" s="138"/>
      <c r="AD626" s="138"/>
      <c r="AE626" s="138"/>
      <c r="AF626" s="142"/>
      <c r="AG626" s="147"/>
      <c r="AH626" s="147"/>
      <c r="AI626" s="147"/>
      <c r="AJ626" s="147"/>
      <c r="AK626" s="147"/>
      <c r="AL626" s="94"/>
      <c r="AM626" s="94"/>
      <c r="AN626" s="153"/>
      <c r="AO626" s="153"/>
      <c r="AP626" s="153"/>
      <c r="AQ626" s="153"/>
      <c r="AR626" s="125"/>
      <c r="AS626" s="125"/>
    </row>
    <row r="627" spans="13:45">
      <c r="M627" s="95"/>
      <c r="N627" s="95"/>
      <c r="P627" s="96"/>
      <c r="W627" s="147"/>
      <c r="X627" s="138"/>
      <c r="Y627" s="138"/>
      <c r="Z627" s="138"/>
      <c r="AA627" s="138"/>
      <c r="AB627" s="138"/>
      <c r="AC627" s="138"/>
      <c r="AD627" s="138"/>
      <c r="AE627" s="138"/>
      <c r="AF627" s="142"/>
      <c r="AG627" s="147"/>
      <c r="AH627" s="147"/>
      <c r="AI627" s="147"/>
      <c r="AJ627" s="147"/>
      <c r="AK627" s="147"/>
      <c r="AL627" s="94"/>
      <c r="AM627" s="94"/>
      <c r="AN627" s="153"/>
      <c r="AO627" s="153"/>
      <c r="AP627" s="153"/>
      <c r="AQ627" s="153"/>
      <c r="AR627" s="125"/>
      <c r="AS627" s="125"/>
    </row>
    <row r="628" spans="13:45">
      <c r="M628" s="95"/>
      <c r="N628" s="95"/>
      <c r="P628" s="96"/>
      <c r="W628" s="147"/>
      <c r="X628" s="138"/>
      <c r="Y628" s="138"/>
      <c r="Z628" s="138"/>
      <c r="AA628" s="138"/>
      <c r="AB628" s="138"/>
      <c r="AC628" s="138"/>
      <c r="AD628" s="138"/>
      <c r="AE628" s="138"/>
      <c r="AF628" s="142"/>
      <c r="AG628" s="147"/>
      <c r="AH628" s="147"/>
      <c r="AI628" s="147"/>
      <c r="AJ628" s="147"/>
      <c r="AK628" s="147"/>
      <c r="AL628" s="94"/>
      <c r="AM628" s="94"/>
      <c r="AN628" s="153"/>
      <c r="AO628" s="153"/>
      <c r="AP628" s="153"/>
      <c r="AQ628" s="153"/>
      <c r="AR628" s="125"/>
      <c r="AS628" s="125"/>
    </row>
    <row r="629" spans="13:45">
      <c r="M629" s="95"/>
      <c r="N629" s="95"/>
      <c r="P629" s="96"/>
      <c r="W629" s="147"/>
      <c r="X629" s="138"/>
      <c r="Y629" s="138"/>
      <c r="Z629" s="138"/>
      <c r="AA629" s="138"/>
      <c r="AB629" s="138"/>
      <c r="AC629" s="138"/>
      <c r="AD629" s="138"/>
      <c r="AE629" s="138"/>
      <c r="AF629" s="142"/>
      <c r="AG629" s="147"/>
      <c r="AH629" s="147"/>
      <c r="AI629" s="147"/>
      <c r="AJ629" s="147"/>
      <c r="AK629" s="147"/>
      <c r="AL629" s="94"/>
      <c r="AM629" s="94"/>
      <c r="AN629" s="153"/>
      <c r="AO629" s="153"/>
      <c r="AP629" s="153"/>
      <c r="AQ629" s="153"/>
      <c r="AR629" s="125"/>
      <c r="AS629" s="125"/>
    </row>
    <row r="630" spans="13:45">
      <c r="M630" s="95"/>
      <c r="N630" s="95"/>
      <c r="P630" s="96"/>
      <c r="W630" s="147"/>
      <c r="X630" s="138"/>
      <c r="Y630" s="138"/>
      <c r="Z630" s="138"/>
      <c r="AA630" s="138"/>
      <c r="AB630" s="138"/>
      <c r="AC630" s="138"/>
      <c r="AD630" s="138"/>
      <c r="AE630" s="138"/>
      <c r="AF630" s="142"/>
      <c r="AG630" s="147"/>
      <c r="AH630" s="147"/>
      <c r="AI630" s="147"/>
      <c r="AJ630" s="147"/>
      <c r="AK630" s="147"/>
      <c r="AL630" s="94"/>
      <c r="AM630" s="94"/>
      <c r="AN630" s="153"/>
      <c r="AO630" s="153"/>
      <c r="AP630" s="153"/>
      <c r="AQ630" s="153"/>
      <c r="AR630" s="125"/>
      <c r="AS630" s="125"/>
    </row>
    <row r="631" spans="13:45">
      <c r="M631" s="95"/>
      <c r="N631" s="95"/>
      <c r="P631" s="96"/>
      <c r="W631" s="147"/>
      <c r="X631" s="138"/>
      <c r="Y631" s="138"/>
      <c r="Z631" s="138"/>
      <c r="AA631" s="138"/>
      <c r="AB631" s="138"/>
      <c r="AC631" s="138"/>
      <c r="AD631" s="138"/>
      <c r="AE631" s="138"/>
      <c r="AF631" s="142"/>
      <c r="AG631" s="147"/>
      <c r="AH631" s="147"/>
      <c r="AI631" s="147"/>
      <c r="AJ631" s="147"/>
      <c r="AK631" s="147"/>
      <c r="AL631" s="94"/>
      <c r="AM631" s="94"/>
      <c r="AN631" s="153"/>
      <c r="AO631" s="153"/>
      <c r="AP631" s="153"/>
      <c r="AQ631" s="153"/>
      <c r="AR631" s="125"/>
      <c r="AS631" s="125"/>
    </row>
    <row r="632" spans="13:45">
      <c r="M632" s="95"/>
      <c r="N632" s="95"/>
      <c r="P632" s="96"/>
      <c r="W632" s="147"/>
      <c r="X632" s="138"/>
      <c r="Y632" s="138"/>
      <c r="Z632" s="138"/>
      <c r="AA632" s="138"/>
      <c r="AB632" s="138"/>
      <c r="AC632" s="138"/>
      <c r="AD632" s="138"/>
      <c r="AE632" s="138"/>
      <c r="AF632" s="142"/>
      <c r="AG632" s="147"/>
      <c r="AH632" s="147"/>
      <c r="AI632" s="147"/>
      <c r="AJ632" s="147"/>
      <c r="AK632" s="147"/>
      <c r="AL632" s="94"/>
      <c r="AM632" s="94"/>
      <c r="AN632" s="153"/>
      <c r="AO632" s="153"/>
      <c r="AP632" s="153"/>
      <c r="AQ632" s="153"/>
      <c r="AR632" s="125"/>
      <c r="AS632" s="125"/>
    </row>
    <row r="633" spans="13:45">
      <c r="M633" s="95"/>
      <c r="N633" s="95"/>
      <c r="P633" s="96"/>
      <c r="W633" s="147"/>
      <c r="X633" s="138"/>
      <c r="Y633" s="138"/>
      <c r="Z633" s="138"/>
      <c r="AA633" s="138"/>
      <c r="AB633" s="138"/>
      <c r="AC633" s="138"/>
      <c r="AD633" s="138"/>
      <c r="AE633" s="138"/>
      <c r="AF633" s="142"/>
      <c r="AG633" s="147"/>
      <c r="AH633" s="147"/>
      <c r="AI633" s="147"/>
      <c r="AJ633" s="147"/>
      <c r="AK633" s="147"/>
      <c r="AL633" s="94"/>
      <c r="AM633" s="94"/>
      <c r="AN633" s="153"/>
      <c r="AO633" s="153"/>
      <c r="AP633" s="153"/>
      <c r="AQ633" s="153"/>
      <c r="AR633" s="125"/>
      <c r="AS633" s="125"/>
    </row>
    <row r="634" spans="13:45">
      <c r="M634" s="95"/>
      <c r="N634" s="95"/>
      <c r="P634" s="96"/>
      <c r="W634" s="147"/>
      <c r="X634" s="138"/>
      <c r="Y634" s="138"/>
      <c r="Z634" s="138"/>
      <c r="AA634" s="138"/>
      <c r="AB634" s="138"/>
      <c r="AC634" s="138"/>
      <c r="AD634" s="138"/>
      <c r="AE634" s="138"/>
      <c r="AF634" s="142"/>
      <c r="AG634" s="147"/>
      <c r="AH634" s="147"/>
      <c r="AI634" s="147"/>
      <c r="AJ634" s="147"/>
      <c r="AK634" s="147"/>
      <c r="AL634" s="94"/>
      <c r="AM634" s="94"/>
      <c r="AN634" s="153"/>
      <c r="AO634" s="153"/>
      <c r="AP634" s="153"/>
      <c r="AQ634" s="153"/>
      <c r="AR634" s="125"/>
      <c r="AS634" s="125"/>
    </row>
    <row r="635" spans="13:45">
      <c r="M635" s="95"/>
      <c r="N635" s="95"/>
      <c r="P635" s="96"/>
      <c r="W635" s="147"/>
      <c r="X635" s="138"/>
      <c r="Y635" s="138"/>
      <c r="Z635" s="138"/>
      <c r="AA635" s="138"/>
      <c r="AB635" s="138"/>
      <c r="AC635" s="138"/>
      <c r="AD635" s="138"/>
      <c r="AE635" s="138"/>
      <c r="AF635" s="142"/>
      <c r="AG635" s="147"/>
      <c r="AH635" s="147"/>
      <c r="AI635" s="147"/>
      <c r="AJ635" s="147"/>
      <c r="AK635" s="147"/>
      <c r="AL635" s="94"/>
      <c r="AM635" s="94"/>
      <c r="AN635" s="153"/>
      <c r="AO635" s="153"/>
      <c r="AP635" s="153"/>
      <c r="AQ635" s="153"/>
      <c r="AR635" s="125"/>
      <c r="AS635" s="125"/>
    </row>
    <row r="636" spans="13:45">
      <c r="M636" s="95"/>
      <c r="N636" s="95"/>
      <c r="P636" s="96"/>
      <c r="W636" s="147"/>
      <c r="X636" s="138"/>
      <c r="Y636" s="138"/>
      <c r="Z636" s="138"/>
      <c r="AA636" s="138"/>
      <c r="AB636" s="138"/>
      <c r="AC636" s="138"/>
      <c r="AD636" s="138"/>
      <c r="AE636" s="138"/>
      <c r="AF636" s="142"/>
      <c r="AG636" s="147"/>
      <c r="AH636" s="147"/>
      <c r="AI636" s="147"/>
      <c r="AJ636" s="147"/>
      <c r="AK636" s="147"/>
      <c r="AL636" s="94"/>
      <c r="AM636" s="94"/>
      <c r="AN636" s="153"/>
      <c r="AO636" s="153"/>
      <c r="AP636" s="153"/>
      <c r="AQ636" s="153"/>
      <c r="AR636" s="125"/>
      <c r="AS636" s="125"/>
    </row>
    <row r="637" spans="13:45">
      <c r="M637" s="95"/>
      <c r="N637" s="95"/>
      <c r="P637" s="96"/>
      <c r="W637" s="147"/>
      <c r="X637" s="138"/>
      <c r="Y637" s="138"/>
      <c r="Z637" s="138"/>
      <c r="AA637" s="138"/>
      <c r="AB637" s="138"/>
      <c r="AC637" s="138"/>
      <c r="AD637" s="138"/>
      <c r="AE637" s="138"/>
      <c r="AF637" s="142"/>
      <c r="AG637" s="147"/>
      <c r="AH637" s="147"/>
      <c r="AI637" s="147"/>
      <c r="AJ637" s="147"/>
      <c r="AK637" s="147"/>
      <c r="AL637" s="94"/>
      <c r="AM637" s="94"/>
      <c r="AN637" s="153"/>
      <c r="AO637" s="153"/>
      <c r="AP637" s="153"/>
      <c r="AQ637" s="153"/>
      <c r="AR637" s="125"/>
      <c r="AS637" s="125"/>
    </row>
    <row r="638" spans="13:45">
      <c r="M638" s="95"/>
      <c r="N638" s="95"/>
      <c r="P638" s="96"/>
      <c r="W638" s="147"/>
      <c r="X638" s="138"/>
      <c r="Y638" s="138"/>
      <c r="Z638" s="138"/>
      <c r="AA638" s="138"/>
      <c r="AB638" s="138"/>
      <c r="AC638" s="138"/>
      <c r="AD638" s="138"/>
      <c r="AE638" s="138"/>
      <c r="AF638" s="142"/>
      <c r="AG638" s="147"/>
      <c r="AH638" s="147"/>
      <c r="AI638" s="147"/>
      <c r="AJ638" s="147"/>
      <c r="AK638" s="147"/>
      <c r="AL638" s="94"/>
      <c r="AM638" s="94"/>
      <c r="AN638" s="153"/>
      <c r="AO638" s="153"/>
      <c r="AP638" s="153"/>
      <c r="AQ638" s="153"/>
      <c r="AR638" s="125"/>
      <c r="AS638" s="125"/>
    </row>
    <row r="639" spans="13:45">
      <c r="M639" s="95"/>
      <c r="N639" s="95"/>
      <c r="P639" s="96"/>
      <c r="W639" s="147"/>
      <c r="X639" s="138"/>
      <c r="Y639" s="138"/>
      <c r="Z639" s="138"/>
      <c r="AA639" s="138"/>
      <c r="AB639" s="138"/>
      <c r="AC639" s="138"/>
      <c r="AD639" s="138"/>
      <c r="AE639" s="138"/>
      <c r="AF639" s="142"/>
      <c r="AG639" s="147"/>
      <c r="AH639" s="147"/>
      <c r="AI639" s="147"/>
      <c r="AJ639" s="147"/>
      <c r="AK639" s="147"/>
      <c r="AL639" s="94"/>
      <c r="AM639" s="94"/>
      <c r="AN639" s="153"/>
      <c r="AO639" s="153"/>
      <c r="AP639" s="153"/>
      <c r="AQ639" s="153"/>
      <c r="AR639" s="125"/>
      <c r="AS639" s="125"/>
    </row>
    <row r="640" spans="13:45">
      <c r="M640" s="95"/>
      <c r="N640" s="95"/>
      <c r="P640" s="96"/>
      <c r="W640" s="147"/>
      <c r="X640" s="138"/>
      <c r="Y640" s="138"/>
      <c r="Z640" s="138"/>
      <c r="AA640" s="138"/>
      <c r="AB640" s="138"/>
      <c r="AC640" s="138"/>
      <c r="AD640" s="138"/>
      <c r="AE640" s="138"/>
      <c r="AF640" s="142"/>
      <c r="AG640" s="147"/>
      <c r="AH640" s="147"/>
      <c r="AI640" s="147"/>
      <c r="AJ640" s="147"/>
      <c r="AK640" s="147"/>
      <c r="AL640" s="94"/>
      <c r="AM640" s="94"/>
      <c r="AN640" s="153"/>
      <c r="AO640" s="153"/>
      <c r="AP640" s="153"/>
      <c r="AQ640" s="153"/>
      <c r="AR640" s="125"/>
      <c r="AS640" s="125"/>
    </row>
    <row r="641" spans="13:45">
      <c r="M641" s="95"/>
      <c r="N641" s="95"/>
      <c r="P641" s="96"/>
      <c r="W641" s="147"/>
      <c r="X641" s="138"/>
      <c r="Y641" s="138"/>
      <c r="Z641" s="138"/>
      <c r="AA641" s="138"/>
      <c r="AB641" s="138"/>
      <c r="AC641" s="138"/>
      <c r="AD641" s="138"/>
      <c r="AE641" s="138"/>
      <c r="AF641" s="142"/>
      <c r="AG641" s="147"/>
      <c r="AH641" s="147"/>
      <c r="AI641" s="147"/>
      <c r="AJ641" s="147"/>
      <c r="AK641" s="147"/>
      <c r="AL641" s="94"/>
      <c r="AM641" s="94"/>
      <c r="AN641" s="153"/>
      <c r="AO641" s="153"/>
      <c r="AP641" s="153"/>
      <c r="AQ641" s="153"/>
      <c r="AR641" s="125"/>
      <c r="AS641" s="125"/>
    </row>
    <row r="642" spans="13:45">
      <c r="M642" s="95"/>
      <c r="N642" s="95"/>
      <c r="P642" s="96"/>
      <c r="W642" s="147"/>
      <c r="X642" s="138"/>
      <c r="Y642" s="138"/>
      <c r="Z642" s="138"/>
      <c r="AA642" s="138"/>
      <c r="AB642" s="138"/>
      <c r="AC642" s="138"/>
      <c r="AD642" s="138"/>
      <c r="AE642" s="138"/>
      <c r="AF642" s="142"/>
      <c r="AG642" s="147"/>
      <c r="AH642" s="147"/>
      <c r="AI642" s="147"/>
      <c r="AJ642" s="147"/>
      <c r="AK642" s="147"/>
      <c r="AL642" s="94"/>
      <c r="AM642" s="94"/>
      <c r="AN642" s="153"/>
      <c r="AO642" s="153"/>
      <c r="AP642" s="153"/>
      <c r="AQ642" s="153"/>
      <c r="AR642" s="125"/>
      <c r="AS642" s="125"/>
    </row>
    <row r="643" spans="13:45">
      <c r="M643" s="95"/>
      <c r="N643" s="95"/>
      <c r="P643" s="96"/>
      <c r="W643" s="147"/>
      <c r="X643" s="138"/>
      <c r="Y643" s="138"/>
      <c r="Z643" s="138"/>
      <c r="AA643" s="138"/>
      <c r="AB643" s="138"/>
      <c r="AC643" s="138"/>
      <c r="AD643" s="138"/>
      <c r="AE643" s="138"/>
      <c r="AF643" s="142"/>
      <c r="AG643" s="147"/>
      <c r="AH643" s="147"/>
      <c r="AI643" s="147"/>
      <c r="AJ643" s="147"/>
      <c r="AK643" s="147"/>
      <c r="AL643" s="94"/>
      <c r="AM643" s="94"/>
      <c r="AN643" s="153"/>
      <c r="AO643" s="153"/>
      <c r="AP643" s="153"/>
      <c r="AQ643" s="153"/>
      <c r="AR643" s="125"/>
      <c r="AS643" s="125"/>
    </row>
    <row r="644" spans="13:45">
      <c r="M644" s="95"/>
      <c r="N644" s="95"/>
      <c r="P644" s="96"/>
      <c r="W644" s="147"/>
      <c r="X644" s="138"/>
      <c r="Y644" s="138"/>
      <c r="Z644" s="138"/>
      <c r="AA644" s="138"/>
      <c r="AB644" s="138"/>
      <c r="AC644" s="138"/>
      <c r="AD644" s="138"/>
      <c r="AE644" s="138"/>
      <c r="AF644" s="142"/>
      <c r="AG644" s="147"/>
      <c r="AH644" s="147"/>
      <c r="AI644" s="147"/>
      <c r="AJ644" s="147"/>
      <c r="AK644" s="147"/>
      <c r="AL644" s="94"/>
      <c r="AM644" s="94"/>
      <c r="AN644" s="153"/>
      <c r="AO644" s="153"/>
      <c r="AP644" s="153"/>
      <c r="AQ644" s="153"/>
      <c r="AR644" s="125"/>
      <c r="AS644" s="125"/>
    </row>
    <row r="645" spans="13:45">
      <c r="M645" s="95"/>
      <c r="N645" s="95"/>
      <c r="P645" s="96"/>
      <c r="W645" s="147"/>
      <c r="X645" s="138"/>
      <c r="Y645" s="138"/>
      <c r="Z645" s="138"/>
      <c r="AA645" s="138"/>
      <c r="AB645" s="138"/>
      <c r="AC645" s="138"/>
      <c r="AD645" s="138"/>
      <c r="AE645" s="138"/>
      <c r="AF645" s="142"/>
      <c r="AG645" s="147"/>
      <c r="AH645" s="147"/>
      <c r="AI645" s="147"/>
      <c r="AJ645" s="147"/>
      <c r="AK645" s="147"/>
      <c r="AL645" s="94"/>
      <c r="AM645" s="94"/>
      <c r="AN645" s="153"/>
      <c r="AO645" s="153"/>
      <c r="AP645" s="153"/>
      <c r="AQ645" s="153"/>
      <c r="AR645" s="125"/>
      <c r="AS645" s="125"/>
    </row>
    <row r="646" spans="13:45">
      <c r="M646" s="95"/>
      <c r="N646" s="95"/>
      <c r="P646" s="96"/>
      <c r="W646" s="147"/>
      <c r="X646" s="138"/>
      <c r="Y646" s="138"/>
      <c r="Z646" s="138"/>
      <c r="AA646" s="138"/>
      <c r="AB646" s="138"/>
      <c r="AC646" s="138"/>
      <c r="AD646" s="138"/>
      <c r="AE646" s="138"/>
      <c r="AF646" s="142"/>
      <c r="AG646" s="147"/>
      <c r="AH646" s="147"/>
      <c r="AI646" s="147"/>
      <c r="AJ646" s="147"/>
      <c r="AK646" s="147"/>
      <c r="AL646" s="94"/>
      <c r="AM646" s="94"/>
      <c r="AN646" s="153"/>
      <c r="AO646" s="153"/>
      <c r="AP646" s="153"/>
      <c r="AQ646" s="153"/>
      <c r="AR646" s="125"/>
      <c r="AS646" s="125"/>
    </row>
    <row r="647" spans="13:45">
      <c r="M647" s="95"/>
      <c r="N647" s="95"/>
      <c r="P647" s="96"/>
      <c r="W647" s="147"/>
      <c r="X647" s="138"/>
      <c r="Y647" s="138"/>
      <c r="Z647" s="138"/>
      <c r="AA647" s="138"/>
      <c r="AB647" s="138"/>
      <c r="AC647" s="138"/>
      <c r="AD647" s="138"/>
      <c r="AE647" s="138"/>
      <c r="AF647" s="142"/>
      <c r="AG647" s="147"/>
      <c r="AH647" s="147"/>
      <c r="AI647" s="147"/>
      <c r="AJ647" s="147"/>
      <c r="AK647" s="147"/>
      <c r="AL647" s="94"/>
      <c r="AM647" s="94"/>
      <c r="AN647" s="153"/>
      <c r="AO647" s="153"/>
      <c r="AP647" s="153"/>
      <c r="AQ647" s="153"/>
      <c r="AR647" s="125"/>
      <c r="AS647" s="125"/>
    </row>
    <row r="648" spans="13:45">
      <c r="M648" s="95"/>
      <c r="N648" s="95"/>
      <c r="P648" s="96"/>
      <c r="W648" s="147"/>
      <c r="X648" s="138"/>
      <c r="Y648" s="138"/>
      <c r="Z648" s="138"/>
      <c r="AA648" s="138"/>
      <c r="AB648" s="138"/>
      <c r="AC648" s="138"/>
      <c r="AD648" s="138"/>
      <c r="AE648" s="138"/>
      <c r="AF648" s="142"/>
      <c r="AG648" s="147"/>
      <c r="AH648" s="147"/>
      <c r="AI648" s="147"/>
      <c r="AJ648" s="147"/>
      <c r="AK648" s="147"/>
      <c r="AL648" s="94"/>
      <c r="AM648" s="94"/>
      <c r="AN648" s="153"/>
      <c r="AO648" s="153"/>
      <c r="AP648" s="153"/>
      <c r="AQ648" s="153"/>
      <c r="AR648" s="125"/>
      <c r="AS648" s="125"/>
    </row>
    <row r="649" spans="13:45">
      <c r="M649" s="95"/>
      <c r="N649" s="95"/>
      <c r="P649" s="96"/>
      <c r="W649" s="147"/>
      <c r="X649" s="138"/>
      <c r="Y649" s="138"/>
      <c r="Z649" s="138"/>
      <c r="AA649" s="138"/>
      <c r="AB649" s="138"/>
      <c r="AC649" s="138"/>
      <c r="AD649" s="138"/>
      <c r="AE649" s="138"/>
      <c r="AF649" s="142"/>
      <c r="AG649" s="147"/>
      <c r="AH649" s="147"/>
      <c r="AI649" s="147"/>
      <c r="AJ649" s="147"/>
      <c r="AK649" s="147"/>
      <c r="AL649" s="94"/>
      <c r="AM649" s="94"/>
      <c r="AN649" s="153"/>
      <c r="AO649" s="153"/>
      <c r="AP649" s="153"/>
      <c r="AQ649" s="153"/>
      <c r="AR649" s="125"/>
      <c r="AS649" s="125"/>
    </row>
    <row r="650" spans="13:45">
      <c r="M650" s="95"/>
      <c r="N650" s="95"/>
      <c r="P650" s="96"/>
      <c r="W650" s="147"/>
      <c r="X650" s="138"/>
      <c r="Y650" s="138"/>
      <c r="Z650" s="138"/>
      <c r="AA650" s="138"/>
      <c r="AB650" s="138"/>
      <c r="AC650" s="138"/>
      <c r="AD650" s="138"/>
      <c r="AE650" s="138"/>
      <c r="AF650" s="142"/>
      <c r="AG650" s="147"/>
      <c r="AH650" s="147"/>
      <c r="AI650" s="147"/>
      <c r="AJ650" s="147"/>
      <c r="AK650" s="147"/>
      <c r="AL650" s="94"/>
      <c r="AM650" s="94"/>
      <c r="AN650" s="153"/>
      <c r="AO650" s="153"/>
      <c r="AP650" s="153"/>
      <c r="AQ650" s="153"/>
      <c r="AR650" s="125"/>
      <c r="AS650" s="125"/>
    </row>
    <row r="651" spans="13:45">
      <c r="M651" s="95"/>
      <c r="N651" s="95"/>
      <c r="P651" s="96"/>
      <c r="W651" s="147"/>
      <c r="X651" s="138"/>
      <c r="Y651" s="138"/>
      <c r="Z651" s="138"/>
      <c r="AA651" s="138"/>
      <c r="AB651" s="138"/>
      <c r="AC651" s="138"/>
      <c r="AD651" s="138"/>
      <c r="AE651" s="138"/>
      <c r="AF651" s="142"/>
      <c r="AG651" s="147"/>
      <c r="AH651" s="147"/>
      <c r="AI651" s="147"/>
      <c r="AJ651" s="147"/>
      <c r="AK651" s="147"/>
      <c r="AL651" s="94"/>
      <c r="AM651" s="94"/>
      <c r="AN651" s="153"/>
      <c r="AO651" s="153"/>
      <c r="AP651" s="153"/>
      <c r="AQ651" s="153"/>
      <c r="AR651" s="125"/>
      <c r="AS651" s="125"/>
    </row>
    <row r="652" spans="13:45">
      <c r="M652" s="95"/>
      <c r="N652" s="95"/>
      <c r="P652" s="96"/>
      <c r="W652" s="147"/>
      <c r="X652" s="138"/>
      <c r="Y652" s="138"/>
      <c r="Z652" s="138"/>
      <c r="AA652" s="138"/>
      <c r="AB652" s="138"/>
      <c r="AC652" s="138"/>
      <c r="AD652" s="138"/>
      <c r="AE652" s="138"/>
      <c r="AF652" s="142"/>
      <c r="AG652" s="147"/>
      <c r="AH652" s="147"/>
      <c r="AI652" s="147"/>
      <c r="AJ652" s="147"/>
      <c r="AK652" s="147"/>
      <c r="AL652" s="94"/>
      <c r="AM652" s="94"/>
      <c r="AN652" s="153"/>
      <c r="AO652" s="153"/>
      <c r="AP652" s="153"/>
      <c r="AQ652" s="153"/>
      <c r="AR652" s="125"/>
      <c r="AS652" s="125"/>
    </row>
    <row r="653" spans="13:45">
      <c r="M653" s="95"/>
      <c r="N653" s="95"/>
      <c r="P653" s="96"/>
      <c r="W653" s="147"/>
      <c r="X653" s="138"/>
      <c r="Y653" s="138"/>
      <c r="Z653" s="138"/>
      <c r="AA653" s="138"/>
      <c r="AB653" s="138"/>
      <c r="AC653" s="138"/>
      <c r="AD653" s="138"/>
      <c r="AE653" s="138"/>
      <c r="AF653" s="142"/>
      <c r="AG653" s="147"/>
      <c r="AH653" s="147"/>
      <c r="AI653" s="147"/>
      <c r="AJ653" s="147"/>
      <c r="AK653" s="147"/>
      <c r="AL653" s="94"/>
      <c r="AM653" s="94"/>
      <c r="AN653" s="153"/>
      <c r="AO653" s="153"/>
      <c r="AP653" s="153"/>
      <c r="AQ653" s="153"/>
      <c r="AR653" s="125"/>
      <c r="AS653" s="125"/>
    </row>
    <row r="654" spans="13:45">
      <c r="M654" s="95"/>
      <c r="N654" s="95"/>
      <c r="P654" s="96"/>
      <c r="W654" s="147"/>
      <c r="X654" s="138"/>
      <c r="Y654" s="138"/>
      <c r="Z654" s="138"/>
      <c r="AA654" s="138"/>
      <c r="AB654" s="138"/>
      <c r="AC654" s="138"/>
      <c r="AD654" s="138"/>
      <c r="AE654" s="138"/>
      <c r="AF654" s="142"/>
      <c r="AG654" s="147"/>
      <c r="AH654" s="147"/>
      <c r="AI654" s="147"/>
      <c r="AJ654" s="147"/>
      <c r="AK654" s="147"/>
      <c r="AL654" s="94"/>
      <c r="AM654" s="94"/>
      <c r="AN654" s="153"/>
      <c r="AO654" s="153"/>
      <c r="AP654" s="153"/>
      <c r="AQ654" s="153"/>
      <c r="AR654" s="125"/>
      <c r="AS654" s="125"/>
    </row>
    <row r="655" spans="13:45">
      <c r="M655" s="95"/>
      <c r="N655" s="95"/>
      <c r="P655" s="96"/>
      <c r="W655" s="147"/>
      <c r="X655" s="138"/>
      <c r="Y655" s="138"/>
      <c r="Z655" s="138"/>
      <c r="AA655" s="138"/>
      <c r="AB655" s="138"/>
      <c r="AC655" s="138"/>
      <c r="AD655" s="138"/>
      <c r="AE655" s="138"/>
      <c r="AF655" s="142"/>
      <c r="AG655" s="147"/>
      <c r="AH655" s="147"/>
      <c r="AI655" s="147"/>
      <c r="AJ655" s="147"/>
      <c r="AK655" s="147"/>
      <c r="AL655" s="94"/>
      <c r="AM655" s="94"/>
      <c r="AN655" s="153"/>
      <c r="AO655" s="153"/>
      <c r="AP655" s="153"/>
      <c r="AQ655" s="153"/>
      <c r="AR655" s="125"/>
      <c r="AS655" s="125"/>
    </row>
    <row r="656" spans="13:45">
      <c r="M656" s="95"/>
      <c r="N656" s="95"/>
      <c r="P656" s="96"/>
      <c r="W656" s="147"/>
      <c r="X656" s="138"/>
      <c r="Y656" s="138"/>
      <c r="Z656" s="138"/>
      <c r="AA656" s="138"/>
      <c r="AB656" s="138"/>
      <c r="AC656" s="138"/>
      <c r="AD656" s="138"/>
      <c r="AE656" s="138"/>
      <c r="AF656" s="142"/>
      <c r="AG656" s="147"/>
      <c r="AH656" s="147"/>
      <c r="AI656" s="147"/>
      <c r="AJ656" s="147"/>
      <c r="AK656" s="147"/>
      <c r="AL656" s="94"/>
      <c r="AM656" s="94"/>
      <c r="AN656" s="153"/>
      <c r="AO656" s="153"/>
      <c r="AP656" s="153"/>
      <c r="AQ656" s="153"/>
      <c r="AR656" s="125"/>
      <c r="AS656" s="125"/>
    </row>
    <row r="657" spans="13:45">
      <c r="M657" s="95"/>
      <c r="N657" s="95"/>
      <c r="P657" s="96"/>
      <c r="W657" s="147"/>
      <c r="X657" s="138"/>
      <c r="Y657" s="138"/>
      <c r="Z657" s="138"/>
      <c r="AA657" s="138"/>
      <c r="AB657" s="138"/>
      <c r="AC657" s="138"/>
      <c r="AD657" s="138"/>
      <c r="AE657" s="138"/>
      <c r="AF657" s="142"/>
      <c r="AG657" s="147"/>
      <c r="AH657" s="147"/>
      <c r="AI657" s="147"/>
      <c r="AJ657" s="147"/>
      <c r="AK657" s="147"/>
      <c r="AL657" s="94"/>
      <c r="AM657" s="94"/>
      <c r="AN657" s="153"/>
      <c r="AO657" s="153"/>
      <c r="AP657" s="153"/>
      <c r="AQ657" s="153"/>
      <c r="AR657" s="125"/>
      <c r="AS657" s="125"/>
    </row>
    <row r="658" spans="13:45">
      <c r="M658" s="95"/>
      <c r="N658" s="95"/>
      <c r="P658" s="96"/>
      <c r="W658" s="147"/>
      <c r="X658" s="138"/>
      <c r="Y658" s="138"/>
      <c r="Z658" s="138"/>
      <c r="AA658" s="138"/>
      <c r="AB658" s="138"/>
      <c r="AC658" s="138"/>
      <c r="AD658" s="138"/>
      <c r="AE658" s="138"/>
      <c r="AF658" s="142"/>
      <c r="AG658" s="147"/>
      <c r="AH658" s="147"/>
      <c r="AI658" s="147"/>
      <c r="AJ658" s="147"/>
      <c r="AK658" s="147"/>
      <c r="AL658" s="94"/>
      <c r="AM658" s="94"/>
      <c r="AN658" s="153"/>
      <c r="AO658" s="153"/>
      <c r="AP658" s="153"/>
      <c r="AQ658" s="153"/>
      <c r="AR658" s="125"/>
      <c r="AS658" s="125"/>
    </row>
    <row r="659" spans="13:45">
      <c r="M659" s="95"/>
      <c r="N659" s="95"/>
      <c r="P659" s="96"/>
      <c r="W659" s="147"/>
      <c r="X659" s="138"/>
      <c r="Y659" s="138"/>
      <c r="Z659" s="138"/>
      <c r="AA659" s="138"/>
      <c r="AB659" s="138"/>
      <c r="AC659" s="138"/>
      <c r="AD659" s="138"/>
      <c r="AE659" s="138"/>
      <c r="AF659" s="142"/>
      <c r="AG659" s="147"/>
      <c r="AH659" s="147"/>
      <c r="AI659" s="147"/>
      <c r="AJ659" s="147"/>
      <c r="AK659" s="147"/>
      <c r="AL659" s="94"/>
      <c r="AM659" s="94"/>
      <c r="AN659" s="153"/>
      <c r="AO659" s="153"/>
      <c r="AP659" s="153"/>
      <c r="AQ659" s="153"/>
      <c r="AR659" s="125"/>
      <c r="AS659" s="125"/>
    </row>
    <row r="660" spans="13:45">
      <c r="M660" s="95"/>
      <c r="N660" s="95"/>
      <c r="P660" s="96"/>
      <c r="W660" s="147"/>
      <c r="X660" s="138"/>
      <c r="Y660" s="138"/>
      <c r="Z660" s="138"/>
      <c r="AA660" s="138"/>
      <c r="AB660" s="138"/>
      <c r="AC660" s="138"/>
      <c r="AD660" s="138"/>
      <c r="AE660" s="138"/>
      <c r="AF660" s="142"/>
      <c r="AG660" s="147"/>
      <c r="AH660" s="147"/>
      <c r="AI660" s="147"/>
      <c r="AJ660" s="147"/>
      <c r="AK660" s="147"/>
      <c r="AL660" s="94"/>
      <c r="AM660" s="94"/>
      <c r="AN660" s="153"/>
      <c r="AO660" s="153"/>
      <c r="AP660" s="153"/>
      <c r="AQ660" s="153"/>
      <c r="AR660" s="125"/>
      <c r="AS660" s="125"/>
    </row>
    <row r="661" spans="13:45">
      <c r="M661" s="95"/>
      <c r="N661" s="95"/>
      <c r="P661" s="96"/>
      <c r="W661" s="147"/>
      <c r="X661" s="138"/>
      <c r="Y661" s="138"/>
      <c r="Z661" s="138"/>
      <c r="AA661" s="138"/>
      <c r="AB661" s="138"/>
      <c r="AC661" s="138"/>
      <c r="AD661" s="138"/>
      <c r="AE661" s="138"/>
      <c r="AF661" s="142"/>
      <c r="AG661" s="147"/>
      <c r="AH661" s="147"/>
      <c r="AI661" s="147"/>
      <c r="AJ661" s="147"/>
      <c r="AK661" s="147"/>
      <c r="AL661" s="94"/>
      <c r="AM661" s="94"/>
      <c r="AN661" s="153"/>
      <c r="AO661" s="153"/>
      <c r="AP661" s="153"/>
      <c r="AQ661" s="153"/>
      <c r="AR661" s="125"/>
      <c r="AS661" s="125"/>
    </row>
    <row r="662" spans="13:45">
      <c r="W662" s="147"/>
      <c r="X662" s="138"/>
      <c r="Y662" s="138"/>
      <c r="Z662" s="138"/>
      <c r="AA662" s="138"/>
      <c r="AB662" s="138"/>
      <c r="AC662" s="138"/>
      <c r="AD662" s="138"/>
      <c r="AE662" s="138"/>
      <c r="AF662" s="142"/>
      <c r="AG662" s="147"/>
      <c r="AH662" s="147"/>
      <c r="AI662" s="147"/>
      <c r="AJ662" s="147"/>
      <c r="AK662" s="147"/>
      <c r="AL662" s="94"/>
      <c r="AM662" s="94"/>
      <c r="AN662" s="153"/>
      <c r="AO662" s="153"/>
      <c r="AP662" s="153"/>
      <c r="AQ662" s="153"/>
      <c r="AR662" s="125"/>
      <c r="AS662" s="125"/>
    </row>
    <row r="663" spans="13:45">
      <c r="W663" s="147"/>
      <c r="X663" s="138"/>
      <c r="Y663" s="138"/>
      <c r="Z663" s="138"/>
      <c r="AA663" s="138"/>
      <c r="AB663" s="138"/>
      <c r="AC663" s="138"/>
      <c r="AD663" s="138"/>
      <c r="AE663" s="138"/>
      <c r="AF663" s="142"/>
      <c r="AG663" s="147"/>
      <c r="AH663" s="147"/>
      <c r="AI663" s="147"/>
      <c r="AJ663" s="147"/>
      <c r="AK663" s="147"/>
      <c r="AL663" s="94"/>
      <c r="AM663" s="94"/>
      <c r="AN663" s="153"/>
      <c r="AO663" s="153"/>
      <c r="AP663" s="153"/>
      <c r="AQ663" s="153"/>
      <c r="AR663" s="125"/>
      <c r="AS663" s="125"/>
    </row>
    <row r="664" spans="13:45">
      <c r="W664" s="147"/>
      <c r="X664" s="138"/>
      <c r="Y664" s="138"/>
      <c r="Z664" s="138"/>
      <c r="AA664" s="138"/>
      <c r="AB664" s="138"/>
      <c r="AC664" s="138"/>
      <c r="AD664" s="138"/>
      <c r="AE664" s="138"/>
      <c r="AF664" s="142"/>
      <c r="AG664" s="147"/>
      <c r="AH664" s="147"/>
      <c r="AI664" s="147"/>
      <c r="AJ664" s="147"/>
      <c r="AK664" s="147"/>
      <c r="AL664" s="94"/>
      <c r="AM664" s="94"/>
      <c r="AN664" s="153"/>
      <c r="AO664" s="153"/>
      <c r="AP664" s="153"/>
      <c r="AQ664" s="153"/>
      <c r="AR664" s="125"/>
      <c r="AS664" s="125"/>
    </row>
    <row r="665" spans="13:45">
      <c r="W665" s="147"/>
      <c r="X665" s="138"/>
      <c r="Y665" s="138"/>
      <c r="Z665" s="138"/>
      <c r="AA665" s="138"/>
      <c r="AB665" s="138"/>
      <c r="AC665" s="138"/>
      <c r="AD665" s="138"/>
      <c r="AE665" s="138"/>
      <c r="AF665" s="142"/>
      <c r="AG665" s="147"/>
      <c r="AH665" s="147"/>
      <c r="AI665" s="147"/>
      <c r="AJ665" s="147"/>
      <c r="AK665" s="147"/>
      <c r="AL665" s="94"/>
      <c r="AM665" s="94"/>
      <c r="AN665" s="153"/>
      <c r="AO665" s="153"/>
      <c r="AP665" s="153"/>
      <c r="AQ665" s="153"/>
      <c r="AR665" s="125"/>
      <c r="AS665" s="125"/>
    </row>
    <row r="666" spans="13:45">
      <c r="W666" s="147"/>
      <c r="X666" s="138"/>
      <c r="Y666" s="138"/>
      <c r="Z666" s="138"/>
      <c r="AA666" s="138"/>
      <c r="AB666" s="138"/>
      <c r="AC666" s="138"/>
      <c r="AD666" s="138"/>
      <c r="AE666" s="138"/>
      <c r="AF666" s="142"/>
      <c r="AG666" s="147"/>
      <c r="AH666" s="147"/>
      <c r="AI666" s="147"/>
      <c r="AJ666" s="147"/>
      <c r="AK666" s="147"/>
      <c r="AL666" s="94"/>
      <c r="AM666" s="94"/>
      <c r="AN666" s="153"/>
      <c r="AO666" s="153"/>
      <c r="AP666" s="153"/>
      <c r="AQ666" s="153"/>
      <c r="AR666" s="125"/>
      <c r="AS666" s="125"/>
    </row>
    <row r="667" spans="13:45">
      <c r="W667" s="147"/>
      <c r="X667" s="138"/>
      <c r="Y667" s="138"/>
      <c r="Z667" s="138"/>
      <c r="AA667" s="138"/>
      <c r="AB667" s="138"/>
      <c r="AC667" s="138"/>
      <c r="AD667" s="138"/>
      <c r="AE667" s="138"/>
      <c r="AF667" s="142"/>
      <c r="AG667" s="147"/>
      <c r="AH667" s="147"/>
      <c r="AI667" s="147"/>
      <c r="AJ667" s="147"/>
      <c r="AK667" s="147"/>
      <c r="AL667" s="94"/>
      <c r="AM667" s="94"/>
      <c r="AN667" s="153"/>
      <c r="AO667" s="153"/>
      <c r="AP667" s="153"/>
      <c r="AQ667" s="153"/>
      <c r="AR667" s="125"/>
      <c r="AS667" s="125"/>
    </row>
    <row r="668" spans="13:45">
      <c r="W668" s="147"/>
      <c r="X668" s="138"/>
      <c r="Y668" s="138"/>
      <c r="Z668" s="138"/>
      <c r="AA668" s="138"/>
      <c r="AB668" s="138"/>
      <c r="AC668" s="138"/>
      <c r="AD668" s="138"/>
      <c r="AE668" s="138"/>
      <c r="AF668" s="142"/>
      <c r="AG668" s="147"/>
      <c r="AH668" s="147"/>
      <c r="AI668" s="147"/>
      <c r="AJ668" s="147"/>
      <c r="AK668" s="147"/>
      <c r="AL668" s="94"/>
      <c r="AM668" s="94"/>
      <c r="AN668" s="153"/>
      <c r="AO668" s="153"/>
      <c r="AP668" s="153"/>
      <c r="AQ668" s="153"/>
      <c r="AR668" s="125"/>
      <c r="AS668" s="125"/>
    </row>
    <row r="669" spans="13:45">
      <c r="W669" s="147"/>
      <c r="X669" s="138"/>
      <c r="Y669" s="138"/>
      <c r="Z669" s="138"/>
      <c r="AA669" s="138"/>
      <c r="AB669" s="138"/>
      <c r="AC669" s="138"/>
      <c r="AD669" s="138"/>
      <c r="AE669" s="138"/>
      <c r="AF669" s="142"/>
      <c r="AG669" s="147"/>
      <c r="AH669" s="147"/>
      <c r="AI669" s="147"/>
      <c r="AJ669" s="147"/>
      <c r="AK669" s="147"/>
      <c r="AL669" s="94"/>
      <c r="AM669" s="94"/>
      <c r="AN669" s="153"/>
      <c r="AO669" s="153"/>
      <c r="AP669" s="153"/>
      <c r="AQ669" s="153"/>
      <c r="AR669" s="125"/>
      <c r="AS669" s="125"/>
    </row>
    <row r="670" spans="13:45">
      <c r="W670" s="147"/>
      <c r="X670" s="138"/>
      <c r="Y670" s="138"/>
      <c r="Z670" s="138"/>
      <c r="AA670" s="138"/>
      <c r="AB670" s="138"/>
      <c r="AC670" s="138"/>
      <c r="AD670" s="138"/>
      <c r="AE670" s="138"/>
      <c r="AF670" s="142"/>
      <c r="AG670" s="147"/>
      <c r="AH670" s="147"/>
      <c r="AI670" s="147"/>
      <c r="AJ670" s="147"/>
      <c r="AK670" s="147"/>
      <c r="AL670" s="94"/>
      <c r="AM670" s="94"/>
      <c r="AN670" s="153"/>
      <c r="AO670" s="153"/>
      <c r="AP670" s="153"/>
      <c r="AQ670" s="153"/>
      <c r="AR670" s="125"/>
      <c r="AS670" s="125"/>
    </row>
    <row r="671" spans="13:45">
      <c r="W671" s="147"/>
      <c r="X671" s="138"/>
      <c r="Y671" s="138"/>
      <c r="Z671" s="138"/>
      <c r="AA671" s="138"/>
      <c r="AB671" s="138"/>
      <c r="AC671" s="138"/>
      <c r="AD671" s="138"/>
      <c r="AE671" s="138"/>
      <c r="AF671" s="142"/>
      <c r="AG671" s="147"/>
      <c r="AH671" s="147"/>
      <c r="AI671" s="147"/>
      <c r="AJ671" s="147"/>
      <c r="AK671" s="147"/>
      <c r="AL671" s="94"/>
      <c r="AM671" s="94"/>
      <c r="AN671" s="153"/>
      <c r="AO671" s="153"/>
      <c r="AP671" s="153"/>
      <c r="AQ671" s="153"/>
      <c r="AR671" s="125"/>
      <c r="AS671" s="125"/>
    </row>
    <row r="672" spans="13:45">
      <c r="W672" s="147"/>
      <c r="X672" s="138"/>
      <c r="Y672" s="138"/>
      <c r="Z672" s="138"/>
      <c r="AA672" s="138"/>
      <c r="AB672" s="138"/>
      <c r="AC672" s="138"/>
      <c r="AD672" s="138"/>
      <c r="AE672" s="138"/>
      <c r="AF672" s="142"/>
      <c r="AG672" s="147"/>
      <c r="AH672" s="147"/>
      <c r="AI672" s="147"/>
      <c r="AJ672" s="147"/>
      <c r="AK672" s="147"/>
      <c r="AL672" s="94"/>
      <c r="AM672" s="94"/>
      <c r="AN672" s="153"/>
      <c r="AO672" s="153"/>
      <c r="AP672" s="153"/>
      <c r="AQ672" s="153"/>
      <c r="AR672" s="125"/>
      <c r="AS672" s="125"/>
    </row>
    <row r="673" spans="23:45">
      <c r="W673" s="147"/>
      <c r="X673" s="138"/>
      <c r="Y673" s="138"/>
      <c r="Z673" s="138"/>
      <c r="AA673" s="138"/>
      <c r="AB673" s="138"/>
      <c r="AC673" s="138"/>
      <c r="AD673" s="138"/>
      <c r="AE673" s="138"/>
      <c r="AF673" s="142"/>
      <c r="AG673" s="147"/>
      <c r="AH673" s="147"/>
      <c r="AI673" s="147"/>
      <c r="AJ673" s="147"/>
      <c r="AK673" s="147"/>
      <c r="AL673" s="94"/>
      <c r="AM673" s="94"/>
      <c r="AN673" s="153"/>
      <c r="AO673" s="153"/>
      <c r="AP673" s="153"/>
      <c r="AQ673" s="153"/>
      <c r="AR673" s="125"/>
      <c r="AS673" s="125"/>
    </row>
    <row r="674" spans="23:45">
      <c r="W674" s="147"/>
      <c r="X674" s="138"/>
      <c r="Y674" s="138"/>
      <c r="Z674" s="138"/>
      <c r="AA674" s="138"/>
      <c r="AB674" s="138"/>
      <c r="AC674" s="138"/>
      <c r="AD674" s="138"/>
      <c r="AE674" s="138"/>
      <c r="AF674" s="142"/>
      <c r="AG674" s="147"/>
      <c r="AH674" s="147"/>
      <c r="AI674" s="147"/>
      <c r="AJ674" s="147"/>
      <c r="AK674" s="147"/>
      <c r="AL674" s="94"/>
      <c r="AM674" s="94"/>
      <c r="AN674" s="153"/>
      <c r="AO674" s="153"/>
      <c r="AP674" s="153"/>
      <c r="AQ674" s="153"/>
      <c r="AR674" s="125"/>
      <c r="AS674" s="125"/>
    </row>
    <row r="675" spans="23:45">
      <c r="W675" s="147"/>
      <c r="X675" s="138"/>
      <c r="Y675" s="138"/>
      <c r="Z675" s="138"/>
      <c r="AA675" s="138"/>
      <c r="AB675" s="138"/>
      <c r="AC675" s="138"/>
      <c r="AD675" s="138"/>
      <c r="AE675" s="138"/>
      <c r="AF675" s="142"/>
      <c r="AG675" s="147"/>
      <c r="AH675" s="147"/>
      <c r="AI675" s="147"/>
      <c r="AJ675" s="147"/>
      <c r="AK675" s="147"/>
      <c r="AL675" s="94"/>
      <c r="AM675" s="94"/>
      <c r="AN675" s="153"/>
      <c r="AO675" s="153"/>
      <c r="AP675" s="153"/>
      <c r="AQ675" s="153"/>
      <c r="AR675" s="125"/>
      <c r="AS675" s="125"/>
    </row>
    <row r="676" spans="23:45">
      <c r="W676" s="147"/>
      <c r="X676" s="138"/>
      <c r="Y676" s="138"/>
      <c r="Z676" s="138"/>
      <c r="AA676" s="138"/>
      <c r="AB676" s="138"/>
      <c r="AC676" s="138"/>
      <c r="AD676" s="138"/>
      <c r="AE676" s="138"/>
      <c r="AF676" s="142"/>
      <c r="AG676" s="147"/>
      <c r="AH676" s="147"/>
      <c r="AI676" s="147"/>
      <c r="AJ676" s="147"/>
      <c r="AK676" s="147"/>
      <c r="AL676" s="94"/>
      <c r="AM676" s="94"/>
      <c r="AN676" s="153"/>
      <c r="AO676" s="153"/>
      <c r="AP676" s="153"/>
      <c r="AQ676" s="153"/>
      <c r="AR676" s="125"/>
      <c r="AS676" s="125"/>
    </row>
    <row r="677" spans="23:45">
      <c r="W677" s="147"/>
      <c r="X677" s="138"/>
      <c r="Y677" s="138"/>
      <c r="Z677" s="138"/>
      <c r="AA677" s="138"/>
      <c r="AB677" s="138"/>
      <c r="AC677" s="138"/>
      <c r="AD677" s="138"/>
      <c r="AE677" s="138"/>
      <c r="AF677" s="142"/>
      <c r="AG677" s="147"/>
      <c r="AH677" s="147"/>
      <c r="AI677" s="147"/>
      <c r="AJ677" s="147"/>
      <c r="AK677" s="147"/>
      <c r="AL677" s="94"/>
      <c r="AM677" s="94"/>
      <c r="AN677" s="153"/>
      <c r="AO677" s="153"/>
      <c r="AP677" s="153"/>
      <c r="AQ677" s="153"/>
      <c r="AR677" s="125"/>
      <c r="AS677" s="125"/>
    </row>
    <row r="678" spans="23:45">
      <c r="W678" s="147"/>
      <c r="X678" s="138"/>
      <c r="Y678" s="138"/>
      <c r="Z678" s="138"/>
      <c r="AA678" s="138"/>
      <c r="AB678" s="138"/>
      <c r="AC678" s="138"/>
      <c r="AD678" s="138"/>
      <c r="AE678" s="138"/>
      <c r="AF678" s="142"/>
      <c r="AG678" s="147"/>
      <c r="AH678" s="147"/>
      <c r="AI678" s="147"/>
      <c r="AJ678" s="147"/>
      <c r="AK678" s="147"/>
      <c r="AL678" s="94"/>
      <c r="AM678" s="94"/>
      <c r="AN678" s="153"/>
      <c r="AO678" s="153"/>
      <c r="AP678" s="153"/>
      <c r="AQ678" s="153"/>
      <c r="AR678" s="125"/>
      <c r="AS678" s="125"/>
    </row>
    <row r="679" spans="23:45">
      <c r="W679" s="147"/>
      <c r="X679" s="138"/>
      <c r="Y679" s="138"/>
      <c r="Z679" s="138"/>
      <c r="AA679" s="138"/>
      <c r="AB679" s="138"/>
      <c r="AC679" s="138"/>
      <c r="AD679" s="138"/>
      <c r="AE679" s="138"/>
      <c r="AF679" s="142"/>
      <c r="AG679" s="147"/>
      <c r="AH679" s="147"/>
      <c r="AI679" s="147"/>
      <c r="AJ679" s="147"/>
      <c r="AK679" s="147"/>
      <c r="AL679" s="94"/>
      <c r="AM679" s="94"/>
      <c r="AN679" s="153"/>
      <c r="AO679" s="153"/>
      <c r="AP679" s="153"/>
      <c r="AQ679" s="153"/>
      <c r="AR679" s="125"/>
      <c r="AS679" s="125"/>
    </row>
    <row r="680" spans="23:45">
      <c r="W680" s="147"/>
      <c r="X680" s="138"/>
      <c r="Y680" s="138"/>
      <c r="Z680" s="138"/>
      <c r="AA680" s="138"/>
      <c r="AB680" s="138"/>
      <c r="AC680" s="138"/>
      <c r="AD680" s="138"/>
      <c r="AE680" s="138"/>
      <c r="AF680" s="142"/>
      <c r="AG680" s="147"/>
      <c r="AH680" s="147"/>
      <c r="AI680" s="147"/>
      <c r="AJ680" s="147"/>
      <c r="AK680" s="147"/>
      <c r="AL680" s="94"/>
      <c r="AM680" s="94"/>
      <c r="AN680" s="153"/>
      <c r="AO680" s="153"/>
      <c r="AP680" s="153"/>
      <c r="AQ680" s="153"/>
      <c r="AR680" s="125"/>
      <c r="AS680" s="125"/>
    </row>
    <row r="681" spans="23:45">
      <c r="W681" s="147"/>
      <c r="X681" s="138"/>
      <c r="Y681" s="138"/>
      <c r="Z681" s="138"/>
      <c r="AA681" s="138"/>
      <c r="AB681" s="138"/>
      <c r="AC681" s="138"/>
      <c r="AD681" s="138"/>
      <c r="AE681" s="138"/>
      <c r="AF681" s="142"/>
      <c r="AG681" s="147"/>
      <c r="AH681" s="147"/>
      <c r="AI681" s="147"/>
      <c r="AJ681" s="147"/>
      <c r="AK681" s="147"/>
      <c r="AL681" s="94"/>
      <c r="AM681" s="94"/>
      <c r="AN681" s="153"/>
      <c r="AO681" s="153"/>
      <c r="AP681" s="153"/>
      <c r="AQ681" s="153"/>
      <c r="AR681" s="125"/>
      <c r="AS681" s="125"/>
    </row>
    <row r="682" spans="23:45">
      <c r="W682" s="147"/>
      <c r="X682" s="138"/>
      <c r="Y682" s="138"/>
      <c r="Z682" s="138"/>
      <c r="AA682" s="138"/>
      <c r="AB682" s="138"/>
      <c r="AC682" s="138"/>
      <c r="AD682" s="138"/>
      <c r="AE682" s="138"/>
      <c r="AF682" s="142"/>
      <c r="AG682" s="147"/>
      <c r="AH682" s="147"/>
      <c r="AI682" s="147"/>
      <c r="AJ682" s="147"/>
      <c r="AK682" s="147"/>
      <c r="AL682" s="94"/>
      <c r="AM682" s="94"/>
      <c r="AN682" s="153"/>
      <c r="AO682" s="153"/>
      <c r="AP682" s="153"/>
      <c r="AQ682" s="153"/>
      <c r="AR682" s="125"/>
      <c r="AS682" s="125"/>
    </row>
    <row r="683" spans="23:45">
      <c r="W683" s="147"/>
      <c r="X683" s="138"/>
      <c r="Y683" s="138"/>
      <c r="Z683" s="138"/>
      <c r="AA683" s="138"/>
      <c r="AB683" s="138"/>
      <c r="AC683" s="138"/>
      <c r="AD683" s="138"/>
      <c r="AE683" s="138"/>
      <c r="AF683" s="142"/>
      <c r="AG683" s="147"/>
      <c r="AH683" s="147"/>
      <c r="AI683" s="147"/>
      <c r="AJ683" s="147"/>
      <c r="AK683" s="147"/>
      <c r="AL683" s="94"/>
      <c r="AM683" s="94"/>
      <c r="AN683" s="153"/>
      <c r="AO683" s="153"/>
      <c r="AP683" s="153"/>
      <c r="AQ683" s="153"/>
      <c r="AR683" s="125"/>
      <c r="AS683" s="125"/>
    </row>
    <row r="684" spans="23:45">
      <c r="W684" s="147"/>
      <c r="X684" s="138"/>
      <c r="Y684" s="138"/>
      <c r="Z684" s="138"/>
      <c r="AA684" s="138"/>
      <c r="AB684" s="138"/>
      <c r="AC684" s="138"/>
      <c r="AD684" s="138"/>
      <c r="AE684" s="138"/>
      <c r="AF684" s="142"/>
      <c r="AG684" s="147"/>
      <c r="AH684" s="147"/>
      <c r="AI684" s="147"/>
      <c r="AJ684" s="147"/>
      <c r="AK684" s="147"/>
      <c r="AL684" s="94"/>
      <c r="AM684" s="94"/>
      <c r="AN684" s="153"/>
      <c r="AO684" s="153"/>
      <c r="AP684" s="153"/>
      <c r="AQ684" s="153"/>
      <c r="AR684" s="125"/>
      <c r="AS684" s="125"/>
    </row>
    <row r="685" spans="23:45">
      <c r="W685" s="147"/>
      <c r="X685" s="138"/>
      <c r="Y685" s="138"/>
      <c r="Z685" s="138"/>
      <c r="AA685" s="138"/>
      <c r="AB685" s="138"/>
      <c r="AC685" s="138"/>
      <c r="AD685" s="138"/>
      <c r="AE685" s="138"/>
      <c r="AF685" s="142"/>
      <c r="AG685" s="147"/>
      <c r="AH685" s="147"/>
      <c r="AI685" s="147"/>
      <c r="AJ685" s="147"/>
      <c r="AK685" s="147"/>
      <c r="AL685" s="94"/>
      <c r="AM685" s="94"/>
      <c r="AN685" s="153"/>
      <c r="AO685" s="153"/>
      <c r="AP685" s="153"/>
      <c r="AQ685" s="153"/>
      <c r="AR685" s="125"/>
      <c r="AS685" s="125"/>
    </row>
    <row r="686" spans="23:45">
      <c r="W686" s="147"/>
      <c r="X686" s="138"/>
      <c r="Y686" s="138"/>
      <c r="Z686" s="138"/>
      <c r="AA686" s="138"/>
      <c r="AB686" s="138"/>
      <c r="AC686" s="138"/>
      <c r="AD686" s="138"/>
      <c r="AE686" s="138"/>
      <c r="AF686" s="142"/>
      <c r="AG686" s="147"/>
      <c r="AH686" s="147"/>
      <c r="AI686" s="147"/>
      <c r="AJ686" s="147"/>
      <c r="AK686" s="147"/>
      <c r="AL686" s="94"/>
      <c r="AM686" s="94"/>
      <c r="AN686" s="153"/>
      <c r="AO686" s="153"/>
      <c r="AP686" s="153"/>
      <c r="AQ686" s="153"/>
      <c r="AR686" s="125"/>
      <c r="AS686" s="125"/>
    </row>
    <row r="687" spans="23:45">
      <c r="W687" s="147"/>
      <c r="X687" s="138"/>
      <c r="Y687" s="138"/>
      <c r="Z687" s="138"/>
      <c r="AA687" s="138"/>
      <c r="AB687" s="138"/>
      <c r="AC687" s="138"/>
      <c r="AD687" s="138"/>
      <c r="AE687" s="138"/>
      <c r="AF687" s="142"/>
      <c r="AG687" s="147"/>
      <c r="AH687" s="147"/>
      <c r="AI687" s="147"/>
      <c r="AJ687" s="147"/>
      <c r="AK687" s="147"/>
      <c r="AL687" s="94"/>
      <c r="AM687" s="94"/>
      <c r="AN687" s="153"/>
      <c r="AO687" s="153"/>
      <c r="AP687" s="153"/>
      <c r="AQ687" s="153"/>
      <c r="AR687" s="125"/>
      <c r="AS687" s="125"/>
    </row>
    <row r="688" spans="23:45">
      <c r="W688" s="147"/>
      <c r="X688" s="138"/>
      <c r="Y688" s="138"/>
      <c r="Z688" s="138"/>
      <c r="AA688" s="138"/>
      <c r="AB688" s="138"/>
      <c r="AC688" s="138"/>
      <c r="AD688" s="138"/>
      <c r="AE688" s="138"/>
      <c r="AF688" s="142"/>
      <c r="AG688" s="147"/>
      <c r="AH688" s="147"/>
      <c r="AI688" s="147"/>
      <c r="AJ688" s="147"/>
      <c r="AK688" s="147"/>
      <c r="AL688" s="94"/>
      <c r="AM688" s="94"/>
      <c r="AN688" s="153"/>
      <c r="AO688" s="153"/>
      <c r="AP688" s="153"/>
      <c r="AQ688" s="153"/>
      <c r="AR688" s="125"/>
      <c r="AS688" s="125"/>
    </row>
    <row r="689" spans="23:45">
      <c r="W689" s="147"/>
      <c r="X689" s="138"/>
      <c r="Y689" s="138"/>
      <c r="Z689" s="138"/>
      <c r="AA689" s="138"/>
      <c r="AB689" s="138"/>
      <c r="AC689" s="138"/>
      <c r="AD689" s="138"/>
      <c r="AE689" s="138"/>
      <c r="AF689" s="142"/>
      <c r="AG689" s="147"/>
      <c r="AH689" s="147"/>
      <c r="AI689" s="147"/>
      <c r="AJ689" s="147"/>
      <c r="AK689" s="147"/>
      <c r="AL689" s="94"/>
      <c r="AM689" s="94"/>
      <c r="AN689" s="153"/>
      <c r="AO689" s="153"/>
      <c r="AP689" s="153"/>
      <c r="AQ689" s="153"/>
      <c r="AR689" s="125"/>
      <c r="AS689" s="125"/>
    </row>
    <row r="690" spans="23:45">
      <c r="W690" s="147"/>
      <c r="X690" s="138"/>
      <c r="Y690" s="138"/>
      <c r="Z690" s="138"/>
      <c r="AA690" s="138"/>
      <c r="AB690" s="138"/>
      <c r="AC690" s="138"/>
      <c r="AD690" s="138"/>
      <c r="AE690" s="138"/>
      <c r="AF690" s="142"/>
      <c r="AG690" s="147"/>
      <c r="AH690" s="147"/>
      <c r="AI690" s="147"/>
      <c r="AJ690" s="147"/>
      <c r="AK690" s="147"/>
      <c r="AL690" s="94"/>
      <c r="AM690" s="94"/>
      <c r="AN690" s="153"/>
      <c r="AO690" s="153"/>
      <c r="AP690" s="153"/>
      <c r="AQ690" s="153"/>
      <c r="AR690" s="125"/>
      <c r="AS690" s="125"/>
    </row>
    <row r="691" spans="23:45">
      <c r="W691" s="147"/>
      <c r="X691" s="138"/>
      <c r="Y691" s="138"/>
      <c r="Z691" s="138"/>
      <c r="AA691" s="138"/>
      <c r="AB691" s="138"/>
      <c r="AC691" s="138"/>
      <c r="AD691" s="138"/>
      <c r="AE691" s="138"/>
      <c r="AF691" s="142"/>
      <c r="AG691" s="147"/>
      <c r="AH691" s="147"/>
      <c r="AI691" s="147"/>
      <c r="AJ691" s="147"/>
      <c r="AK691" s="147"/>
      <c r="AL691" s="94"/>
      <c r="AM691" s="94"/>
      <c r="AN691" s="153"/>
      <c r="AO691" s="153"/>
      <c r="AP691" s="153"/>
      <c r="AQ691" s="153"/>
      <c r="AR691" s="125"/>
      <c r="AS691" s="125"/>
    </row>
    <row r="692" spans="23:45">
      <c r="W692" s="147"/>
      <c r="X692" s="138"/>
      <c r="Y692" s="138"/>
      <c r="Z692" s="138"/>
      <c r="AA692" s="138"/>
      <c r="AB692" s="138"/>
      <c r="AC692" s="138"/>
      <c r="AD692" s="138"/>
      <c r="AE692" s="138"/>
      <c r="AF692" s="142"/>
      <c r="AG692" s="147"/>
      <c r="AH692" s="147"/>
      <c r="AI692" s="147"/>
      <c r="AJ692" s="147"/>
      <c r="AK692" s="147"/>
      <c r="AL692" s="94"/>
      <c r="AM692" s="94"/>
      <c r="AN692" s="153"/>
      <c r="AO692" s="153"/>
      <c r="AP692" s="153"/>
      <c r="AQ692" s="153"/>
      <c r="AR692" s="125"/>
      <c r="AS692" s="125"/>
    </row>
    <row r="693" spans="23:45">
      <c r="W693" s="147"/>
      <c r="X693" s="138"/>
      <c r="Y693" s="138"/>
      <c r="Z693" s="138"/>
      <c r="AA693" s="138"/>
      <c r="AB693" s="138"/>
      <c r="AC693" s="138"/>
      <c r="AD693" s="138"/>
      <c r="AE693" s="138"/>
      <c r="AF693" s="142"/>
      <c r="AG693" s="147"/>
      <c r="AH693" s="147"/>
      <c r="AI693" s="147"/>
      <c r="AJ693" s="147"/>
      <c r="AK693" s="147"/>
      <c r="AL693" s="94"/>
      <c r="AM693" s="94"/>
      <c r="AN693" s="153"/>
      <c r="AO693" s="153"/>
      <c r="AP693" s="153"/>
      <c r="AQ693" s="153"/>
      <c r="AR693" s="125"/>
      <c r="AS693" s="125"/>
    </row>
    <row r="694" spans="23:45">
      <c r="W694" s="147"/>
      <c r="X694" s="138"/>
      <c r="Y694" s="138"/>
      <c r="Z694" s="138"/>
      <c r="AA694" s="138"/>
      <c r="AB694" s="138"/>
      <c r="AC694" s="138"/>
      <c r="AD694" s="138"/>
      <c r="AE694" s="138"/>
      <c r="AF694" s="142"/>
      <c r="AG694" s="147"/>
      <c r="AH694" s="147"/>
      <c r="AI694" s="147"/>
      <c r="AJ694" s="147"/>
      <c r="AK694" s="147"/>
      <c r="AL694" s="94"/>
      <c r="AM694" s="94"/>
      <c r="AN694" s="153"/>
      <c r="AO694" s="153"/>
      <c r="AP694" s="153"/>
      <c r="AQ694" s="153"/>
      <c r="AR694" s="125"/>
      <c r="AS694" s="125"/>
    </row>
    <row r="695" spans="23:45">
      <c r="W695" s="147"/>
      <c r="X695" s="138"/>
      <c r="Y695" s="138"/>
      <c r="Z695" s="138"/>
      <c r="AA695" s="138"/>
      <c r="AB695" s="138"/>
      <c r="AC695" s="138"/>
      <c r="AD695" s="138"/>
      <c r="AE695" s="138"/>
      <c r="AF695" s="142"/>
      <c r="AG695" s="147"/>
      <c r="AH695" s="147"/>
      <c r="AI695" s="147"/>
      <c r="AJ695" s="147"/>
      <c r="AK695" s="147"/>
      <c r="AL695" s="94"/>
      <c r="AM695" s="94"/>
      <c r="AN695" s="153"/>
      <c r="AO695" s="153"/>
      <c r="AP695" s="153"/>
      <c r="AQ695" s="153"/>
      <c r="AR695" s="125"/>
      <c r="AS695" s="125"/>
    </row>
    <row r="696" spans="23:45">
      <c r="W696" s="147"/>
      <c r="X696" s="138"/>
      <c r="Y696" s="138"/>
      <c r="Z696" s="138"/>
      <c r="AA696" s="138"/>
      <c r="AB696" s="138"/>
      <c r="AC696" s="138"/>
      <c r="AD696" s="138"/>
      <c r="AE696" s="138"/>
      <c r="AF696" s="142"/>
      <c r="AG696" s="147"/>
      <c r="AH696" s="147"/>
      <c r="AI696" s="147"/>
      <c r="AJ696" s="147"/>
      <c r="AK696" s="147"/>
      <c r="AL696" s="94"/>
      <c r="AM696" s="94"/>
      <c r="AN696" s="153"/>
      <c r="AO696" s="153"/>
      <c r="AP696" s="153"/>
      <c r="AQ696" s="153"/>
      <c r="AR696" s="125"/>
      <c r="AS696" s="125"/>
    </row>
    <row r="697" spans="23:45">
      <c r="W697" s="147"/>
      <c r="X697" s="138"/>
      <c r="Y697" s="138"/>
      <c r="Z697" s="138"/>
      <c r="AA697" s="138"/>
      <c r="AB697" s="138"/>
      <c r="AC697" s="138"/>
      <c r="AD697" s="138"/>
      <c r="AE697" s="138"/>
      <c r="AF697" s="142"/>
      <c r="AG697" s="147"/>
      <c r="AH697" s="147"/>
      <c r="AI697" s="147"/>
      <c r="AJ697" s="147"/>
      <c r="AK697" s="147"/>
      <c r="AL697" s="94"/>
      <c r="AM697" s="94"/>
      <c r="AN697" s="153"/>
      <c r="AO697" s="153"/>
      <c r="AP697" s="153"/>
      <c r="AQ697" s="153"/>
      <c r="AR697" s="125"/>
      <c r="AS697" s="125"/>
    </row>
    <row r="698" spans="23:45">
      <c r="W698" s="147"/>
      <c r="X698" s="138"/>
      <c r="Y698" s="138"/>
      <c r="Z698" s="138"/>
      <c r="AA698" s="138"/>
      <c r="AB698" s="138"/>
      <c r="AC698" s="138"/>
      <c r="AD698" s="138"/>
      <c r="AE698" s="138"/>
      <c r="AF698" s="142"/>
      <c r="AG698" s="147"/>
      <c r="AH698" s="147"/>
      <c r="AI698" s="147"/>
      <c r="AJ698" s="147"/>
      <c r="AK698" s="147"/>
      <c r="AL698" s="94"/>
      <c r="AM698" s="94"/>
      <c r="AN698" s="153"/>
      <c r="AO698" s="153"/>
      <c r="AP698" s="153"/>
      <c r="AQ698" s="153"/>
      <c r="AR698" s="125"/>
      <c r="AS698" s="125"/>
    </row>
    <row r="699" spans="23:45">
      <c r="W699" s="147"/>
      <c r="X699" s="138"/>
      <c r="Y699" s="138"/>
      <c r="Z699" s="138"/>
      <c r="AA699" s="138"/>
      <c r="AB699" s="138"/>
      <c r="AC699" s="138"/>
      <c r="AD699" s="138"/>
      <c r="AE699" s="138"/>
      <c r="AF699" s="142"/>
      <c r="AG699" s="147"/>
      <c r="AH699" s="147"/>
      <c r="AI699" s="147"/>
      <c r="AJ699" s="147"/>
      <c r="AK699" s="147"/>
      <c r="AL699" s="94"/>
      <c r="AM699" s="94"/>
      <c r="AN699" s="153"/>
      <c r="AO699" s="153"/>
      <c r="AP699" s="153"/>
      <c r="AQ699" s="153"/>
      <c r="AR699" s="125"/>
      <c r="AS699" s="125"/>
    </row>
    <row r="700" spans="23:45">
      <c r="W700" s="147"/>
      <c r="X700" s="138"/>
      <c r="Y700" s="138"/>
      <c r="Z700" s="138"/>
      <c r="AA700" s="138"/>
      <c r="AB700" s="138"/>
      <c r="AC700" s="138"/>
      <c r="AD700" s="138"/>
      <c r="AE700" s="138"/>
      <c r="AF700" s="142"/>
      <c r="AG700" s="147"/>
      <c r="AH700" s="147"/>
      <c r="AI700" s="147"/>
      <c r="AJ700" s="147"/>
      <c r="AK700" s="147"/>
      <c r="AL700" s="94"/>
      <c r="AM700" s="94"/>
      <c r="AN700" s="153"/>
      <c r="AO700" s="153"/>
      <c r="AP700" s="153"/>
      <c r="AQ700" s="153"/>
      <c r="AR700" s="125"/>
      <c r="AS700" s="125"/>
    </row>
    <row r="701" spans="23:45">
      <c r="W701" s="147"/>
      <c r="X701" s="138"/>
      <c r="Y701" s="138"/>
      <c r="Z701" s="138"/>
      <c r="AA701" s="138"/>
      <c r="AB701" s="138"/>
      <c r="AC701" s="138"/>
      <c r="AD701" s="138"/>
      <c r="AE701" s="138"/>
      <c r="AF701" s="142"/>
      <c r="AG701" s="147"/>
      <c r="AH701" s="147"/>
      <c r="AI701" s="147"/>
      <c r="AJ701" s="147"/>
      <c r="AK701" s="147"/>
      <c r="AL701" s="94"/>
      <c r="AM701" s="94"/>
      <c r="AN701" s="153"/>
      <c r="AO701" s="153"/>
      <c r="AP701" s="153"/>
      <c r="AQ701" s="153"/>
      <c r="AR701" s="125"/>
      <c r="AS701" s="125"/>
    </row>
    <row r="702" spans="23:45">
      <c r="W702" s="147"/>
      <c r="X702" s="138"/>
      <c r="Y702" s="138"/>
      <c r="Z702" s="138"/>
      <c r="AA702" s="138"/>
      <c r="AB702" s="138"/>
      <c r="AC702" s="138"/>
      <c r="AD702" s="138"/>
      <c r="AE702" s="138"/>
      <c r="AF702" s="142"/>
      <c r="AG702" s="147"/>
      <c r="AH702" s="147"/>
      <c r="AI702" s="147"/>
      <c r="AJ702" s="147"/>
      <c r="AK702" s="147"/>
      <c r="AL702" s="94"/>
      <c r="AM702" s="94"/>
      <c r="AN702" s="153"/>
      <c r="AO702" s="153"/>
      <c r="AP702" s="153"/>
      <c r="AQ702" s="153"/>
      <c r="AR702" s="125"/>
      <c r="AS702" s="125"/>
    </row>
    <row r="703" spans="23:45">
      <c r="W703" s="147"/>
      <c r="X703" s="138"/>
      <c r="Y703" s="138"/>
      <c r="Z703" s="138"/>
      <c r="AA703" s="138"/>
      <c r="AB703" s="138"/>
      <c r="AC703" s="138"/>
      <c r="AD703" s="138"/>
      <c r="AE703" s="138"/>
      <c r="AF703" s="142"/>
      <c r="AG703" s="147"/>
      <c r="AH703" s="147"/>
      <c r="AI703" s="147"/>
      <c r="AJ703" s="147"/>
      <c r="AK703" s="147"/>
      <c r="AL703" s="94"/>
      <c r="AM703" s="94"/>
      <c r="AN703" s="153"/>
      <c r="AO703" s="153"/>
      <c r="AP703" s="153"/>
      <c r="AQ703" s="153"/>
      <c r="AR703" s="125"/>
      <c r="AS703" s="125"/>
    </row>
    <row r="704" spans="23:45">
      <c r="W704" s="147"/>
      <c r="X704" s="138"/>
      <c r="Y704" s="138"/>
      <c r="Z704" s="138"/>
      <c r="AA704" s="138"/>
      <c r="AB704" s="138"/>
      <c r="AC704" s="138"/>
      <c r="AD704" s="138"/>
      <c r="AE704" s="138"/>
      <c r="AF704" s="142"/>
      <c r="AG704" s="147"/>
      <c r="AH704" s="147"/>
      <c r="AI704" s="147"/>
      <c r="AJ704" s="147"/>
      <c r="AK704" s="147"/>
      <c r="AL704" s="94"/>
      <c r="AM704" s="94"/>
      <c r="AN704" s="153"/>
      <c r="AO704" s="153"/>
      <c r="AP704" s="153"/>
      <c r="AQ704" s="153"/>
      <c r="AR704" s="125"/>
      <c r="AS704" s="125"/>
    </row>
    <row r="705" spans="23:45">
      <c r="W705" s="147"/>
      <c r="X705" s="138"/>
      <c r="Y705" s="138"/>
      <c r="Z705" s="138"/>
      <c r="AA705" s="138"/>
      <c r="AB705" s="138"/>
      <c r="AC705" s="138"/>
      <c r="AD705" s="138"/>
      <c r="AE705" s="138"/>
      <c r="AF705" s="142"/>
      <c r="AG705" s="147"/>
      <c r="AH705" s="147"/>
      <c r="AI705" s="147"/>
      <c r="AJ705" s="147"/>
      <c r="AK705" s="147"/>
      <c r="AL705" s="94"/>
      <c r="AM705" s="94"/>
      <c r="AN705" s="153"/>
      <c r="AO705" s="153"/>
      <c r="AP705" s="153"/>
      <c r="AQ705" s="153"/>
      <c r="AR705" s="125"/>
      <c r="AS705" s="125"/>
    </row>
    <row r="706" spans="23:45">
      <c r="W706" s="147"/>
      <c r="X706" s="138"/>
      <c r="Y706" s="138"/>
      <c r="Z706" s="138"/>
      <c r="AA706" s="138"/>
      <c r="AB706" s="138"/>
      <c r="AC706" s="138"/>
      <c r="AD706" s="138"/>
      <c r="AE706" s="138"/>
      <c r="AF706" s="142"/>
      <c r="AG706" s="147"/>
      <c r="AH706" s="147"/>
      <c r="AI706" s="147"/>
      <c r="AJ706" s="147"/>
      <c r="AK706" s="147"/>
      <c r="AL706" s="94"/>
      <c r="AM706" s="94"/>
      <c r="AN706" s="153"/>
      <c r="AO706" s="153"/>
      <c r="AP706" s="153"/>
      <c r="AQ706" s="153"/>
      <c r="AR706" s="125"/>
      <c r="AS706" s="125"/>
    </row>
    <row r="707" spans="23:45">
      <c r="W707" s="147"/>
      <c r="X707" s="138"/>
      <c r="Y707" s="138"/>
      <c r="Z707" s="138"/>
      <c r="AA707" s="138"/>
      <c r="AB707" s="138"/>
      <c r="AC707" s="138"/>
      <c r="AD707" s="138"/>
      <c r="AE707" s="138"/>
      <c r="AF707" s="142"/>
      <c r="AG707" s="147"/>
      <c r="AH707" s="147"/>
      <c r="AI707" s="147"/>
      <c r="AJ707" s="147"/>
      <c r="AK707" s="147"/>
      <c r="AL707" s="94"/>
      <c r="AM707" s="94"/>
      <c r="AN707" s="153"/>
      <c r="AO707" s="153"/>
      <c r="AP707" s="153"/>
      <c r="AQ707" s="153"/>
      <c r="AR707" s="125"/>
      <c r="AS707" s="125"/>
    </row>
    <row r="708" spans="23:45">
      <c r="W708" s="147"/>
      <c r="X708" s="138"/>
      <c r="Y708" s="138"/>
      <c r="Z708" s="138"/>
      <c r="AA708" s="138"/>
      <c r="AB708" s="138"/>
      <c r="AC708" s="138"/>
      <c r="AD708" s="138"/>
      <c r="AE708" s="138"/>
      <c r="AF708" s="142"/>
      <c r="AG708" s="147"/>
      <c r="AH708" s="147"/>
      <c r="AI708" s="147"/>
      <c r="AJ708" s="147"/>
      <c r="AK708" s="147"/>
      <c r="AL708" s="94"/>
      <c r="AM708" s="94"/>
      <c r="AN708" s="153"/>
      <c r="AO708" s="153"/>
      <c r="AP708" s="153"/>
      <c r="AQ708" s="153"/>
      <c r="AR708" s="125"/>
      <c r="AS708" s="125"/>
    </row>
    <row r="709" spans="23:45">
      <c r="W709" s="147"/>
      <c r="X709" s="138"/>
      <c r="Y709" s="138"/>
      <c r="Z709" s="138"/>
      <c r="AA709" s="138"/>
      <c r="AB709" s="138"/>
      <c r="AC709" s="138"/>
      <c r="AD709" s="138"/>
      <c r="AE709" s="138"/>
      <c r="AF709" s="142"/>
      <c r="AG709" s="147"/>
      <c r="AH709" s="147"/>
      <c r="AI709" s="147"/>
      <c r="AJ709" s="147"/>
      <c r="AK709" s="147"/>
      <c r="AL709" s="94"/>
      <c r="AM709" s="94"/>
      <c r="AN709" s="153"/>
      <c r="AO709" s="153"/>
      <c r="AP709" s="153"/>
      <c r="AQ709" s="153"/>
      <c r="AR709" s="125"/>
      <c r="AS709" s="125"/>
    </row>
    <row r="710" spans="23:45">
      <c r="W710" s="147"/>
      <c r="X710" s="138"/>
      <c r="Y710" s="138"/>
      <c r="Z710" s="138"/>
      <c r="AA710" s="138"/>
      <c r="AB710" s="138"/>
      <c r="AC710" s="138"/>
      <c r="AD710" s="138"/>
      <c r="AE710" s="138"/>
      <c r="AF710" s="142"/>
      <c r="AG710" s="147"/>
      <c r="AH710" s="147"/>
      <c r="AI710" s="147"/>
      <c r="AJ710" s="147"/>
      <c r="AK710" s="147"/>
      <c r="AL710" s="94"/>
      <c r="AM710" s="94"/>
      <c r="AN710" s="153"/>
      <c r="AO710" s="153"/>
      <c r="AP710" s="153"/>
      <c r="AQ710" s="153"/>
      <c r="AR710" s="125"/>
      <c r="AS710" s="125"/>
    </row>
    <row r="711" spans="23:45">
      <c r="W711" s="147"/>
      <c r="X711" s="138"/>
      <c r="Y711" s="138"/>
      <c r="Z711" s="138"/>
      <c r="AA711" s="138"/>
      <c r="AB711" s="138"/>
      <c r="AC711" s="138"/>
      <c r="AD711" s="138"/>
      <c r="AE711" s="138"/>
      <c r="AF711" s="142"/>
      <c r="AG711" s="147"/>
      <c r="AH711" s="147"/>
      <c r="AI711" s="147"/>
      <c r="AJ711" s="147"/>
      <c r="AK711" s="147"/>
      <c r="AL711" s="94"/>
      <c r="AM711" s="94"/>
      <c r="AN711" s="153"/>
      <c r="AO711" s="153"/>
      <c r="AP711" s="153"/>
      <c r="AQ711" s="153"/>
      <c r="AR711" s="125"/>
      <c r="AS711" s="125"/>
    </row>
    <row r="712" spans="23:45">
      <c r="W712" s="147"/>
      <c r="X712" s="138"/>
      <c r="Y712" s="138"/>
      <c r="Z712" s="138"/>
      <c r="AA712" s="138"/>
      <c r="AB712" s="138"/>
      <c r="AC712" s="138"/>
      <c r="AD712" s="138"/>
      <c r="AE712" s="138"/>
      <c r="AF712" s="142"/>
      <c r="AG712" s="147"/>
      <c r="AH712" s="147"/>
      <c r="AI712" s="147"/>
      <c r="AJ712" s="147"/>
      <c r="AK712" s="147"/>
      <c r="AL712" s="94"/>
      <c r="AM712" s="94"/>
      <c r="AN712" s="153"/>
      <c r="AO712" s="153"/>
      <c r="AP712" s="153"/>
      <c r="AQ712" s="153"/>
      <c r="AR712" s="125"/>
      <c r="AS712" s="125"/>
    </row>
    <row r="713" spans="23:45">
      <c r="W713" s="147"/>
      <c r="X713" s="138"/>
      <c r="Y713" s="138"/>
      <c r="Z713" s="138"/>
      <c r="AA713" s="138"/>
      <c r="AB713" s="138"/>
      <c r="AC713" s="138"/>
      <c r="AD713" s="138"/>
      <c r="AE713" s="138"/>
      <c r="AF713" s="142"/>
      <c r="AG713" s="147"/>
      <c r="AH713" s="147"/>
      <c r="AI713" s="147"/>
      <c r="AJ713" s="147"/>
      <c r="AK713" s="147"/>
      <c r="AL713" s="94"/>
      <c r="AM713" s="94"/>
      <c r="AN713" s="153"/>
      <c r="AO713" s="153"/>
      <c r="AP713" s="153"/>
      <c r="AQ713" s="153"/>
      <c r="AR713" s="125"/>
      <c r="AS713" s="125"/>
    </row>
    <row r="714" spans="23:45">
      <c r="W714" s="147"/>
      <c r="X714" s="138"/>
      <c r="Y714" s="138"/>
      <c r="Z714" s="138"/>
      <c r="AA714" s="138"/>
      <c r="AB714" s="138"/>
      <c r="AC714" s="138"/>
      <c r="AD714" s="138"/>
      <c r="AE714" s="138"/>
      <c r="AF714" s="142"/>
      <c r="AG714" s="147"/>
      <c r="AH714" s="147"/>
      <c r="AI714" s="147"/>
      <c r="AJ714" s="147"/>
      <c r="AK714" s="147"/>
      <c r="AL714" s="94"/>
      <c r="AM714" s="94"/>
      <c r="AN714" s="153"/>
      <c r="AO714" s="153"/>
      <c r="AP714" s="153"/>
      <c r="AQ714" s="153"/>
      <c r="AR714" s="125"/>
      <c r="AS714" s="125"/>
    </row>
    <row r="715" spans="23:45">
      <c r="W715" s="147"/>
      <c r="X715" s="138"/>
      <c r="Y715" s="138"/>
      <c r="Z715" s="138"/>
      <c r="AA715" s="138"/>
      <c r="AB715" s="138"/>
      <c r="AC715" s="138"/>
      <c r="AD715" s="138"/>
      <c r="AE715" s="138"/>
      <c r="AF715" s="142"/>
      <c r="AG715" s="147"/>
      <c r="AH715" s="147"/>
      <c r="AI715" s="147"/>
      <c r="AJ715" s="147"/>
      <c r="AK715" s="147"/>
      <c r="AL715" s="94"/>
      <c r="AM715" s="94"/>
      <c r="AN715" s="153"/>
      <c r="AO715" s="153"/>
      <c r="AP715" s="153"/>
      <c r="AQ715" s="153"/>
      <c r="AR715" s="125"/>
      <c r="AS715" s="125"/>
    </row>
    <row r="716" spans="23:45">
      <c r="W716" s="147"/>
      <c r="X716" s="138"/>
      <c r="Y716" s="138"/>
      <c r="Z716" s="138"/>
      <c r="AA716" s="138"/>
      <c r="AB716" s="138"/>
      <c r="AC716" s="138"/>
      <c r="AD716" s="138"/>
      <c r="AE716" s="138"/>
      <c r="AF716" s="142"/>
      <c r="AG716" s="147"/>
      <c r="AH716" s="147"/>
      <c r="AI716" s="147"/>
      <c r="AJ716" s="147"/>
      <c r="AK716" s="147"/>
      <c r="AL716" s="94"/>
      <c r="AM716" s="94"/>
      <c r="AN716" s="153"/>
      <c r="AO716" s="153"/>
      <c r="AP716" s="153"/>
      <c r="AQ716" s="153"/>
      <c r="AR716" s="125"/>
      <c r="AS716" s="125"/>
    </row>
    <row r="717" spans="23:45">
      <c r="W717" s="147"/>
      <c r="X717" s="138"/>
      <c r="Y717" s="138"/>
      <c r="Z717" s="138"/>
      <c r="AA717" s="138"/>
      <c r="AB717" s="138"/>
      <c r="AC717" s="138"/>
      <c r="AD717" s="138"/>
      <c r="AE717" s="138"/>
      <c r="AF717" s="142"/>
      <c r="AG717" s="147"/>
      <c r="AH717" s="147"/>
      <c r="AI717" s="147"/>
      <c r="AJ717" s="147"/>
      <c r="AK717" s="147"/>
      <c r="AL717" s="94"/>
      <c r="AM717" s="94"/>
      <c r="AN717" s="153"/>
      <c r="AO717" s="153"/>
      <c r="AP717" s="153"/>
      <c r="AQ717" s="153"/>
      <c r="AR717" s="125"/>
      <c r="AS717" s="125"/>
    </row>
    <row r="718" spans="23:45">
      <c r="W718" s="147"/>
      <c r="X718" s="138"/>
      <c r="Y718" s="138"/>
      <c r="Z718" s="138"/>
      <c r="AA718" s="138"/>
      <c r="AB718" s="138"/>
      <c r="AC718" s="138"/>
      <c r="AD718" s="138"/>
      <c r="AE718" s="138"/>
      <c r="AF718" s="142"/>
      <c r="AG718" s="147"/>
      <c r="AH718" s="147"/>
      <c r="AI718" s="147"/>
      <c r="AJ718" s="147"/>
      <c r="AK718" s="147"/>
      <c r="AL718" s="94"/>
      <c r="AM718" s="94"/>
      <c r="AN718" s="153"/>
      <c r="AO718" s="153"/>
      <c r="AP718" s="153"/>
      <c r="AQ718" s="153"/>
      <c r="AR718" s="125"/>
      <c r="AS718" s="125"/>
    </row>
    <row r="719" spans="23:45">
      <c r="W719" s="147"/>
      <c r="X719" s="138"/>
      <c r="Y719" s="138"/>
      <c r="Z719" s="138"/>
      <c r="AA719" s="138"/>
      <c r="AB719" s="138"/>
      <c r="AC719" s="138"/>
      <c r="AD719" s="138"/>
      <c r="AE719" s="138"/>
      <c r="AF719" s="142"/>
      <c r="AG719" s="147"/>
      <c r="AH719" s="147"/>
      <c r="AI719" s="147"/>
      <c r="AJ719" s="147"/>
      <c r="AK719" s="147"/>
      <c r="AL719" s="94"/>
      <c r="AM719" s="94"/>
      <c r="AN719" s="153"/>
      <c r="AO719" s="153"/>
      <c r="AP719" s="153"/>
      <c r="AQ719" s="153"/>
      <c r="AR719" s="125"/>
      <c r="AS719" s="125"/>
    </row>
    <row r="720" spans="23:45">
      <c r="W720" s="147"/>
      <c r="X720" s="138"/>
      <c r="Y720" s="138"/>
      <c r="Z720" s="138"/>
      <c r="AA720" s="138"/>
      <c r="AB720" s="138"/>
      <c r="AC720" s="138"/>
      <c r="AD720" s="138"/>
      <c r="AE720" s="138"/>
      <c r="AF720" s="142"/>
      <c r="AG720" s="147"/>
      <c r="AH720" s="147"/>
      <c r="AI720" s="147"/>
      <c r="AJ720" s="147"/>
      <c r="AK720" s="147"/>
      <c r="AL720" s="94"/>
      <c r="AM720" s="94"/>
      <c r="AN720" s="153"/>
      <c r="AO720" s="153"/>
      <c r="AP720" s="153"/>
      <c r="AQ720" s="153"/>
      <c r="AR720" s="125"/>
      <c r="AS720" s="125"/>
    </row>
    <row r="721" spans="23:45">
      <c r="W721" s="147"/>
      <c r="X721" s="138"/>
      <c r="Y721" s="138"/>
      <c r="Z721" s="138"/>
      <c r="AA721" s="138"/>
      <c r="AB721" s="138"/>
      <c r="AC721" s="138"/>
      <c r="AD721" s="138"/>
      <c r="AE721" s="138"/>
      <c r="AF721" s="142"/>
      <c r="AG721" s="147"/>
      <c r="AH721" s="147"/>
      <c r="AI721" s="147"/>
      <c r="AJ721" s="147"/>
      <c r="AK721" s="147"/>
      <c r="AL721" s="94"/>
      <c r="AM721" s="94"/>
      <c r="AN721" s="153"/>
      <c r="AO721" s="153"/>
      <c r="AP721" s="153"/>
      <c r="AQ721" s="153"/>
      <c r="AR721" s="125"/>
      <c r="AS721" s="125"/>
    </row>
    <row r="722" spans="23:45">
      <c r="W722" s="147"/>
      <c r="X722" s="138"/>
      <c r="Y722" s="138"/>
      <c r="Z722" s="138"/>
      <c r="AA722" s="138"/>
      <c r="AB722" s="138"/>
      <c r="AC722" s="138"/>
      <c r="AD722" s="138"/>
      <c r="AE722" s="138"/>
      <c r="AF722" s="142"/>
      <c r="AG722" s="147"/>
      <c r="AH722" s="147"/>
      <c r="AI722" s="147"/>
      <c r="AJ722" s="147"/>
      <c r="AK722" s="147"/>
      <c r="AL722" s="94"/>
      <c r="AM722" s="94"/>
      <c r="AN722" s="153"/>
      <c r="AO722" s="153"/>
      <c r="AP722" s="153"/>
      <c r="AQ722" s="153"/>
      <c r="AR722" s="125"/>
      <c r="AS722" s="125"/>
    </row>
    <row r="723" spans="23:45">
      <c r="W723" s="147"/>
      <c r="X723" s="138"/>
      <c r="Y723" s="138"/>
      <c r="Z723" s="138"/>
      <c r="AA723" s="138"/>
      <c r="AB723" s="138"/>
      <c r="AC723" s="138"/>
      <c r="AD723" s="138"/>
      <c r="AE723" s="138"/>
      <c r="AF723" s="142"/>
      <c r="AG723" s="147"/>
      <c r="AH723" s="147"/>
      <c r="AI723" s="147"/>
      <c r="AJ723" s="147"/>
      <c r="AK723" s="147"/>
      <c r="AL723" s="94"/>
      <c r="AM723" s="94"/>
      <c r="AN723" s="153"/>
      <c r="AO723" s="153"/>
      <c r="AP723" s="153"/>
      <c r="AQ723" s="153"/>
      <c r="AR723" s="125"/>
      <c r="AS723" s="125"/>
    </row>
    <row r="724" spans="23:45">
      <c r="W724" s="147"/>
      <c r="X724" s="138"/>
      <c r="Y724" s="138"/>
      <c r="Z724" s="138"/>
      <c r="AA724" s="138"/>
      <c r="AB724" s="138"/>
      <c r="AC724" s="138"/>
      <c r="AD724" s="138"/>
      <c r="AE724" s="138"/>
      <c r="AF724" s="142"/>
      <c r="AG724" s="147"/>
      <c r="AH724" s="147"/>
      <c r="AI724" s="147"/>
      <c r="AJ724" s="147"/>
      <c r="AK724" s="147"/>
      <c r="AL724" s="94"/>
      <c r="AM724" s="94"/>
      <c r="AN724" s="153"/>
      <c r="AO724" s="153"/>
      <c r="AP724" s="153"/>
      <c r="AQ724" s="153"/>
      <c r="AR724" s="125"/>
      <c r="AS724" s="125"/>
    </row>
    <row r="725" spans="23:45">
      <c r="W725" s="147"/>
      <c r="X725" s="138"/>
      <c r="Y725" s="138"/>
      <c r="Z725" s="138"/>
      <c r="AA725" s="138"/>
      <c r="AB725" s="138"/>
      <c r="AC725" s="138"/>
      <c r="AD725" s="138"/>
      <c r="AE725" s="138"/>
      <c r="AF725" s="142"/>
      <c r="AG725" s="147"/>
      <c r="AH725" s="147"/>
      <c r="AI725" s="147"/>
      <c r="AJ725" s="147"/>
      <c r="AK725" s="147"/>
      <c r="AL725" s="94"/>
      <c r="AM725" s="94"/>
      <c r="AN725" s="153"/>
      <c r="AO725" s="153"/>
      <c r="AP725" s="153"/>
      <c r="AQ725" s="153"/>
      <c r="AR725" s="125"/>
      <c r="AS725" s="125"/>
    </row>
    <row r="726" spans="23:45">
      <c r="W726" s="147"/>
      <c r="X726" s="138"/>
      <c r="Y726" s="138"/>
      <c r="Z726" s="138"/>
      <c r="AA726" s="138"/>
      <c r="AB726" s="138"/>
      <c r="AC726" s="138"/>
      <c r="AD726" s="138"/>
      <c r="AE726" s="138"/>
      <c r="AF726" s="142"/>
      <c r="AG726" s="147"/>
      <c r="AH726" s="147"/>
      <c r="AI726" s="147"/>
      <c r="AJ726" s="147"/>
      <c r="AK726" s="147"/>
      <c r="AL726" s="94"/>
      <c r="AM726" s="94"/>
      <c r="AN726" s="153"/>
      <c r="AO726" s="153"/>
      <c r="AP726" s="153"/>
      <c r="AQ726" s="153"/>
      <c r="AR726" s="125"/>
      <c r="AS726" s="125"/>
    </row>
    <row r="727" spans="23:45">
      <c r="W727" s="147"/>
      <c r="X727" s="138"/>
      <c r="Y727" s="138"/>
      <c r="Z727" s="138"/>
      <c r="AA727" s="138"/>
      <c r="AB727" s="138"/>
      <c r="AC727" s="138"/>
      <c r="AD727" s="138"/>
      <c r="AE727" s="138"/>
      <c r="AF727" s="142"/>
      <c r="AG727" s="147"/>
      <c r="AH727" s="147"/>
      <c r="AI727" s="147"/>
      <c r="AJ727" s="147"/>
      <c r="AK727" s="147"/>
      <c r="AL727" s="94"/>
      <c r="AM727" s="94"/>
      <c r="AN727" s="153"/>
      <c r="AO727" s="153"/>
      <c r="AP727" s="153"/>
      <c r="AQ727" s="153"/>
      <c r="AR727" s="125"/>
      <c r="AS727" s="125"/>
    </row>
    <row r="728" spans="23:45">
      <c r="W728" s="147"/>
      <c r="X728" s="138"/>
      <c r="Y728" s="138"/>
      <c r="Z728" s="138"/>
      <c r="AA728" s="138"/>
      <c r="AB728" s="138"/>
      <c r="AC728" s="138"/>
      <c r="AD728" s="138"/>
      <c r="AE728" s="138"/>
      <c r="AF728" s="142"/>
      <c r="AG728" s="147"/>
      <c r="AH728" s="147"/>
      <c r="AI728" s="147"/>
      <c r="AJ728" s="147"/>
      <c r="AK728" s="147"/>
      <c r="AL728" s="94"/>
      <c r="AM728" s="94"/>
      <c r="AN728" s="153"/>
      <c r="AO728" s="153"/>
      <c r="AP728" s="153"/>
      <c r="AQ728" s="153"/>
      <c r="AR728" s="125"/>
      <c r="AS728" s="125"/>
    </row>
    <row r="729" spans="23:45">
      <c r="W729" s="147"/>
      <c r="X729" s="138"/>
      <c r="Y729" s="138"/>
      <c r="Z729" s="138"/>
      <c r="AA729" s="138"/>
      <c r="AB729" s="138"/>
      <c r="AC729" s="138"/>
      <c r="AD729" s="138"/>
      <c r="AE729" s="138"/>
      <c r="AF729" s="142"/>
      <c r="AG729" s="147"/>
      <c r="AH729" s="147"/>
      <c r="AI729" s="147"/>
      <c r="AJ729" s="147"/>
      <c r="AK729" s="147"/>
      <c r="AL729" s="94"/>
      <c r="AM729" s="94"/>
      <c r="AN729" s="153"/>
      <c r="AO729" s="153"/>
      <c r="AP729" s="153"/>
      <c r="AQ729" s="153"/>
      <c r="AR729" s="125"/>
      <c r="AS729" s="125"/>
    </row>
    <row r="730" spans="23:45">
      <c r="W730" s="147"/>
      <c r="X730" s="138"/>
      <c r="Y730" s="138"/>
      <c r="Z730" s="138"/>
      <c r="AA730" s="138"/>
      <c r="AB730" s="138"/>
      <c r="AC730" s="138"/>
      <c r="AD730" s="138"/>
      <c r="AE730" s="138"/>
      <c r="AF730" s="142"/>
      <c r="AG730" s="147"/>
      <c r="AH730" s="147"/>
      <c r="AI730" s="147"/>
      <c r="AJ730" s="147"/>
      <c r="AK730" s="147"/>
      <c r="AL730" s="94"/>
      <c r="AM730" s="94"/>
      <c r="AN730" s="153"/>
      <c r="AO730" s="153"/>
      <c r="AP730" s="153"/>
      <c r="AQ730" s="153"/>
      <c r="AR730" s="125"/>
      <c r="AS730" s="125"/>
    </row>
    <row r="731" spans="23:45">
      <c r="W731" s="147"/>
      <c r="X731" s="138"/>
      <c r="Y731" s="138"/>
      <c r="Z731" s="138"/>
      <c r="AA731" s="138"/>
      <c r="AB731" s="138"/>
      <c r="AC731" s="138"/>
      <c r="AD731" s="138"/>
      <c r="AE731" s="138"/>
      <c r="AF731" s="142"/>
      <c r="AG731" s="147"/>
      <c r="AH731" s="147"/>
      <c r="AI731" s="147"/>
      <c r="AJ731" s="147"/>
      <c r="AK731" s="147"/>
      <c r="AL731" s="94"/>
      <c r="AM731" s="94"/>
      <c r="AN731" s="153"/>
      <c r="AO731" s="153"/>
      <c r="AP731" s="153"/>
      <c r="AQ731" s="153"/>
      <c r="AR731" s="125"/>
      <c r="AS731" s="125"/>
    </row>
    <row r="732" spans="23:45">
      <c r="W732" s="147"/>
      <c r="X732" s="138"/>
      <c r="Y732" s="138"/>
      <c r="Z732" s="138"/>
      <c r="AA732" s="138"/>
      <c r="AB732" s="138"/>
      <c r="AC732" s="138"/>
      <c r="AD732" s="138"/>
      <c r="AE732" s="138"/>
      <c r="AF732" s="142"/>
      <c r="AG732" s="147"/>
      <c r="AH732" s="147"/>
      <c r="AI732" s="147"/>
      <c r="AJ732" s="147"/>
      <c r="AK732" s="147"/>
      <c r="AL732" s="94"/>
      <c r="AM732" s="94"/>
      <c r="AN732" s="153"/>
      <c r="AO732" s="153"/>
      <c r="AP732" s="153"/>
      <c r="AQ732" s="153"/>
      <c r="AR732" s="125"/>
      <c r="AS732" s="125"/>
    </row>
    <row r="733" spans="23:45">
      <c r="W733" s="147"/>
      <c r="X733" s="138"/>
      <c r="Y733" s="138"/>
      <c r="Z733" s="138"/>
      <c r="AA733" s="138"/>
      <c r="AB733" s="138"/>
      <c r="AC733" s="138"/>
      <c r="AD733" s="138"/>
      <c r="AE733" s="138"/>
      <c r="AF733" s="142"/>
      <c r="AG733" s="147"/>
      <c r="AH733" s="147"/>
      <c r="AI733" s="147"/>
      <c r="AJ733" s="147"/>
      <c r="AK733" s="147"/>
      <c r="AL733" s="94"/>
      <c r="AM733" s="94"/>
      <c r="AN733" s="153"/>
      <c r="AO733" s="153"/>
      <c r="AP733" s="153"/>
      <c r="AQ733" s="153"/>
      <c r="AR733" s="125"/>
      <c r="AS733" s="125"/>
    </row>
    <row r="734" spans="23:45">
      <c r="W734" s="147"/>
      <c r="X734" s="138"/>
      <c r="Y734" s="138"/>
      <c r="Z734" s="138"/>
      <c r="AA734" s="138"/>
      <c r="AB734" s="138"/>
      <c r="AC734" s="138"/>
      <c r="AD734" s="138"/>
      <c r="AE734" s="138"/>
      <c r="AF734" s="142"/>
      <c r="AG734" s="147"/>
      <c r="AH734" s="147"/>
      <c r="AI734" s="147"/>
      <c r="AJ734" s="147"/>
      <c r="AK734" s="147"/>
      <c r="AL734" s="94"/>
      <c r="AM734" s="94"/>
      <c r="AN734" s="153"/>
      <c r="AO734" s="153"/>
      <c r="AP734" s="153"/>
      <c r="AQ734" s="153"/>
      <c r="AR734" s="125"/>
      <c r="AS734" s="125"/>
    </row>
    <row r="735" spans="23:45">
      <c r="W735" s="147"/>
      <c r="X735" s="138"/>
      <c r="Y735" s="138"/>
      <c r="Z735" s="138"/>
      <c r="AA735" s="138"/>
      <c r="AB735" s="138"/>
      <c r="AC735" s="138"/>
      <c r="AD735" s="138"/>
      <c r="AE735" s="138"/>
      <c r="AF735" s="142"/>
      <c r="AG735" s="147"/>
      <c r="AH735" s="147"/>
      <c r="AI735" s="147"/>
      <c r="AJ735" s="147"/>
      <c r="AK735" s="147"/>
      <c r="AL735" s="94"/>
      <c r="AM735" s="94"/>
      <c r="AN735" s="153"/>
      <c r="AO735" s="153"/>
      <c r="AP735" s="153"/>
      <c r="AQ735" s="153"/>
      <c r="AR735" s="125"/>
      <c r="AS735" s="125"/>
    </row>
    <row r="736" spans="23:45">
      <c r="W736" s="147"/>
      <c r="X736" s="138"/>
      <c r="Y736" s="138"/>
      <c r="Z736" s="138"/>
      <c r="AA736" s="138"/>
      <c r="AB736" s="138"/>
      <c r="AC736" s="138"/>
      <c r="AD736" s="138"/>
      <c r="AE736" s="138"/>
      <c r="AF736" s="142"/>
      <c r="AG736" s="147"/>
      <c r="AH736" s="147"/>
      <c r="AI736" s="147"/>
      <c r="AJ736" s="147"/>
      <c r="AK736" s="147"/>
      <c r="AL736" s="94"/>
      <c r="AM736" s="94"/>
      <c r="AN736" s="153"/>
      <c r="AO736" s="153"/>
      <c r="AP736" s="153"/>
      <c r="AQ736" s="153"/>
      <c r="AR736" s="125"/>
      <c r="AS736" s="125"/>
    </row>
    <row r="737" spans="23:45">
      <c r="W737" s="147"/>
      <c r="X737" s="138"/>
      <c r="Y737" s="138"/>
      <c r="Z737" s="138"/>
      <c r="AA737" s="138"/>
      <c r="AB737" s="138"/>
      <c r="AC737" s="138"/>
      <c r="AD737" s="138"/>
      <c r="AE737" s="138"/>
      <c r="AF737" s="142"/>
      <c r="AG737" s="147"/>
      <c r="AH737" s="147"/>
      <c r="AI737" s="147"/>
      <c r="AJ737" s="147"/>
      <c r="AK737" s="147"/>
      <c r="AL737" s="94"/>
      <c r="AM737" s="94"/>
      <c r="AN737" s="153"/>
      <c r="AO737" s="153"/>
      <c r="AP737" s="153"/>
      <c r="AQ737" s="153"/>
      <c r="AR737" s="125"/>
      <c r="AS737" s="125"/>
    </row>
    <row r="738" spans="23:45">
      <c r="W738" s="147"/>
      <c r="X738" s="138"/>
      <c r="Y738" s="138"/>
      <c r="Z738" s="138"/>
      <c r="AA738" s="138"/>
      <c r="AB738" s="138"/>
      <c r="AC738" s="138"/>
      <c r="AD738" s="138"/>
      <c r="AE738" s="138"/>
      <c r="AF738" s="142"/>
      <c r="AG738" s="147"/>
      <c r="AH738" s="147"/>
      <c r="AI738" s="147"/>
      <c r="AJ738" s="147"/>
      <c r="AK738" s="147"/>
      <c r="AL738" s="94"/>
      <c r="AM738" s="94"/>
      <c r="AN738" s="153"/>
      <c r="AO738" s="153"/>
      <c r="AP738" s="153"/>
      <c r="AQ738" s="153"/>
      <c r="AR738" s="125"/>
      <c r="AS738" s="125"/>
    </row>
    <row r="739" spans="23:45">
      <c r="W739" s="147"/>
      <c r="X739" s="138"/>
      <c r="Y739" s="138"/>
      <c r="Z739" s="138"/>
      <c r="AA739" s="138"/>
      <c r="AB739" s="138"/>
      <c r="AC739" s="138"/>
      <c r="AD739" s="138"/>
      <c r="AE739" s="138"/>
      <c r="AF739" s="142"/>
      <c r="AG739" s="147"/>
      <c r="AH739" s="147"/>
      <c r="AI739" s="147"/>
      <c r="AJ739" s="147"/>
      <c r="AK739" s="147"/>
      <c r="AL739" s="94"/>
      <c r="AM739" s="94"/>
      <c r="AN739" s="153"/>
      <c r="AO739" s="153"/>
      <c r="AP739" s="153"/>
      <c r="AQ739" s="153"/>
      <c r="AR739" s="125"/>
      <c r="AS739" s="125"/>
    </row>
    <row r="740" spans="23:45">
      <c r="W740" s="147"/>
      <c r="X740" s="138"/>
      <c r="Y740" s="138"/>
      <c r="Z740" s="138"/>
      <c r="AA740" s="138"/>
      <c r="AB740" s="138"/>
      <c r="AC740" s="138"/>
      <c r="AD740" s="138"/>
      <c r="AE740" s="138"/>
      <c r="AF740" s="142"/>
      <c r="AG740" s="147"/>
      <c r="AH740" s="147"/>
      <c r="AI740" s="147"/>
      <c r="AJ740" s="147"/>
      <c r="AK740" s="147"/>
      <c r="AL740" s="94"/>
      <c r="AM740" s="94"/>
      <c r="AN740" s="153"/>
      <c r="AO740" s="153"/>
      <c r="AP740" s="153"/>
      <c r="AQ740" s="153"/>
      <c r="AR740" s="125"/>
      <c r="AS740" s="125"/>
    </row>
    <row r="741" spans="23:45">
      <c r="W741" s="147"/>
      <c r="X741" s="138"/>
      <c r="Y741" s="138"/>
      <c r="Z741" s="138"/>
      <c r="AA741" s="138"/>
      <c r="AB741" s="138"/>
      <c r="AC741" s="138"/>
      <c r="AD741" s="138"/>
      <c r="AE741" s="138"/>
      <c r="AF741" s="142"/>
      <c r="AG741" s="147"/>
      <c r="AH741" s="147"/>
      <c r="AI741" s="147"/>
      <c r="AJ741" s="147"/>
      <c r="AK741" s="147"/>
      <c r="AL741" s="94"/>
      <c r="AM741" s="94"/>
      <c r="AN741" s="153"/>
      <c r="AO741" s="153"/>
      <c r="AP741" s="153"/>
      <c r="AQ741" s="153"/>
      <c r="AR741" s="125"/>
      <c r="AS741" s="125"/>
    </row>
    <row r="742" spans="23:45">
      <c r="W742" s="147"/>
      <c r="X742" s="138"/>
      <c r="Y742" s="138"/>
      <c r="Z742" s="138"/>
      <c r="AA742" s="138"/>
      <c r="AB742" s="138"/>
      <c r="AC742" s="138"/>
      <c r="AD742" s="138"/>
      <c r="AE742" s="138"/>
      <c r="AF742" s="142"/>
      <c r="AG742" s="147"/>
      <c r="AH742" s="147"/>
      <c r="AI742" s="147"/>
      <c r="AJ742" s="147"/>
      <c r="AK742" s="147"/>
      <c r="AL742" s="94"/>
      <c r="AM742" s="94"/>
      <c r="AN742" s="153"/>
      <c r="AO742" s="153"/>
      <c r="AP742" s="153"/>
      <c r="AQ742" s="153"/>
      <c r="AR742" s="125"/>
      <c r="AS742" s="125"/>
    </row>
    <row r="743" spans="23:45">
      <c r="W743" s="147"/>
      <c r="X743" s="138"/>
      <c r="Y743" s="138"/>
      <c r="Z743" s="138"/>
      <c r="AA743" s="138"/>
      <c r="AB743" s="138"/>
      <c r="AC743" s="138"/>
      <c r="AD743" s="138"/>
      <c r="AE743" s="138"/>
      <c r="AF743" s="142"/>
      <c r="AG743" s="147"/>
      <c r="AH743" s="147"/>
      <c r="AI743" s="147"/>
      <c r="AJ743" s="147"/>
      <c r="AK743" s="147"/>
      <c r="AL743" s="94"/>
      <c r="AM743" s="94"/>
      <c r="AN743" s="153"/>
      <c r="AO743" s="153"/>
      <c r="AP743" s="153"/>
      <c r="AQ743" s="153"/>
      <c r="AR743" s="125"/>
      <c r="AS743" s="125"/>
    </row>
    <row r="744" spans="23:45">
      <c r="W744" s="147"/>
      <c r="X744" s="138"/>
      <c r="Y744" s="138"/>
      <c r="Z744" s="138"/>
      <c r="AA744" s="138"/>
      <c r="AB744" s="138"/>
      <c r="AC744" s="138"/>
      <c r="AD744" s="138"/>
      <c r="AE744" s="138"/>
      <c r="AF744" s="142"/>
      <c r="AG744" s="147"/>
      <c r="AH744" s="147"/>
      <c r="AI744" s="147"/>
      <c r="AJ744" s="147"/>
      <c r="AK744" s="147"/>
      <c r="AL744" s="94"/>
      <c r="AM744" s="94"/>
      <c r="AN744" s="153"/>
      <c r="AO744" s="153"/>
      <c r="AP744" s="153"/>
      <c r="AQ744" s="153"/>
      <c r="AR744" s="125"/>
      <c r="AS744" s="125"/>
    </row>
    <row r="745" spans="23:45">
      <c r="W745" s="147"/>
      <c r="X745" s="138"/>
      <c r="Y745" s="138"/>
      <c r="Z745" s="138"/>
      <c r="AA745" s="138"/>
      <c r="AB745" s="138"/>
      <c r="AC745" s="138"/>
      <c r="AD745" s="138"/>
      <c r="AE745" s="138"/>
      <c r="AF745" s="142"/>
      <c r="AG745" s="147"/>
      <c r="AH745" s="147"/>
      <c r="AI745" s="147"/>
      <c r="AJ745" s="147"/>
      <c r="AK745" s="147"/>
      <c r="AL745" s="94"/>
      <c r="AM745" s="94"/>
      <c r="AN745" s="153"/>
      <c r="AO745" s="153"/>
      <c r="AP745" s="153"/>
      <c r="AQ745" s="153"/>
      <c r="AR745" s="125"/>
      <c r="AS745" s="125"/>
    </row>
    <row r="746" spans="23:45">
      <c r="W746" s="147"/>
      <c r="X746" s="138"/>
      <c r="Y746" s="138"/>
      <c r="Z746" s="138"/>
      <c r="AA746" s="138"/>
      <c r="AB746" s="138"/>
      <c r="AC746" s="138"/>
      <c r="AD746" s="138"/>
      <c r="AE746" s="138"/>
      <c r="AF746" s="142"/>
      <c r="AG746" s="147"/>
      <c r="AH746" s="147"/>
      <c r="AI746" s="147"/>
      <c r="AJ746" s="147"/>
      <c r="AK746" s="147"/>
      <c r="AL746" s="94"/>
      <c r="AM746" s="94"/>
      <c r="AN746" s="153"/>
      <c r="AO746" s="153"/>
      <c r="AP746" s="153"/>
      <c r="AQ746" s="153"/>
      <c r="AR746" s="125"/>
      <c r="AS746" s="125"/>
    </row>
    <row r="747" spans="23:45">
      <c r="W747" s="147"/>
      <c r="X747" s="138"/>
      <c r="Y747" s="138"/>
      <c r="Z747" s="138"/>
      <c r="AA747" s="138"/>
      <c r="AB747" s="138"/>
      <c r="AC747" s="138"/>
      <c r="AD747" s="138"/>
      <c r="AE747" s="138"/>
      <c r="AF747" s="142"/>
      <c r="AG747" s="147"/>
      <c r="AH747" s="147"/>
      <c r="AI747" s="147"/>
      <c r="AJ747" s="147"/>
      <c r="AK747" s="147"/>
      <c r="AL747" s="94"/>
      <c r="AM747" s="94"/>
      <c r="AN747" s="153"/>
      <c r="AO747" s="153"/>
      <c r="AP747" s="153"/>
      <c r="AQ747" s="153"/>
      <c r="AR747" s="125"/>
      <c r="AS747" s="125"/>
    </row>
    <row r="748" spans="23:45">
      <c r="W748" s="147"/>
      <c r="X748" s="138"/>
      <c r="Y748" s="138"/>
      <c r="Z748" s="138"/>
      <c r="AA748" s="138"/>
      <c r="AB748" s="138"/>
      <c r="AC748" s="138"/>
      <c r="AD748" s="138"/>
      <c r="AE748" s="138"/>
      <c r="AF748" s="142"/>
      <c r="AG748" s="147"/>
      <c r="AH748" s="147"/>
      <c r="AI748" s="147"/>
      <c r="AJ748" s="147"/>
      <c r="AK748" s="147"/>
      <c r="AL748" s="94"/>
      <c r="AM748" s="94"/>
      <c r="AN748" s="153"/>
      <c r="AO748" s="153"/>
      <c r="AP748" s="153"/>
      <c r="AQ748" s="153"/>
      <c r="AR748" s="125"/>
      <c r="AS748" s="125"/>
    </row>
    <row r="749" spans="23:45">
      <c r="W749" s="147"/>
      <c r="X749" s="138"/>
      <c r="Y749" s="138"/>
      <c r="Z749" s="138"/>
      <c r="AA749" s="138"/>
      <c r="AB749" s="138"/>
      <c r="AC749" s="138"/>
      <c r="AD749" s="138"/>
      <c r="AE749" s="138"/>
      <c r="AF749" s="142"/>
      <c r="AG749" s="147"/>
      <c r="AH749" s="147"/>
      <c r="AI749" s="147"/>
      <c r="AJ749" s="147"/>
      <c r="AK749" s="147"/>
      <c r="AL749" s="94"/>
      <c r="AM749" s="94"/>
      <c r="AN749" s="153"/>
      <c r="AO749" s="153"/>
      <c r="AP749" s="153"/>
      <c r="AQ749" s="153"/>
      <c r="AR749" s="125"/>
      <c r="AS749" s="125"/>
    </row>
    <row r="750" spans="23:45">
      <c r="W750" s="147"/>
      <c r="X750" s="138"/>
      <c r="Y750" s="138"/>
      <c r="Z750" s="138"/>
      <c r="AA750" s="138"/>
      <c r="AB750" s="138"/>
      <c r="AC750" s="138"/>
      <c r="AD750" s="138"/>
      <c r="AE750" s="138"/>
      <c r="AF750" s="142"/>
      <c r="AG750" s="147"/>
      <c r="AH750" s="147"/>
      <c r="AI750" s="147"/>
      <c r="AJ750" s="147"/>
      <c r="AK750" s="147"/>
      <c r="AL750" s="94"/>
      <c r="AM750" s="94"/>
      <c r="AN750" s="153"/>
      <c r="AO750" s="153"/>
      <c r="AP750" s="153"/>
      <c r="AQ750" s="153"/>
      <c r="AR750" s="125"/>
      <c r="AS750" s="125"/>
    </row>
    <row r="751" spans="23:45">
      <c r="W751" s="147"/>
      <c r="X751" s="138"/>
      <c r="Y751" s="138"/>
      <c r="Z751" s="138"/>
      <c r="AA751" s="138"/>
      <c r="AB751" s="138"/>
      <c r="AC751" s="138"/>
      <c r="AD751" s="138"/>
      <c r="AE751" s="138"/>
      <c r="AF751" s="142"/>
      <c r="AG751" s="147"/>
      <c r="AH751" s="147"/>
      <c r="AI751" s="147"/>
      <c r="AJ751" s="147"/>
      <c r="AK751" s="147"/>
      <c r="AL751" s="94"/>
      <c r="AM751" s="94"/>
      <c r="AN751" s="153"/>
      <c r="AO751" s="153"/>
      <c r="AP751" s="153"/>
      <c r="AQ751" s="153"/>
      <c r="AR751" s="125"/>
      <c r="AS751" s="125"/>
    </row>
    <row r="752" spans="23:45">
      <c r="W752" s="147"/>
      <c r="X752" s="138"/>
      <c r="Y752" s="138"/>
      <c r="Z752" s="138"/>
      <c r="AA752" s="138"/>
      <c r="AB752" s="138"/>
      <c r="AC752" s="138"/>
      <c r="AD752" s="138"/>
      <c r="AE752" s="138"/>
      <c r="AF752" s="142"/>
      <c r="AG752" s="147"/>
      <c r="AH752" s="147"/>
      <c r="AI752" s="147"/>
      <c r="AJ752" s="147"/>
      <c r="AK752" s="147"/>
      <c r="AL752" s="94"/>
      <c r="AM752" s="94"/>
      <c r="AN752" s="153"/>
      <c r="AO752" s="153"/>
      <c r="AP752" s="153"/>
      <c r="AQ752" s="153"/>
      <c r="AR752" s="125"/>
      <c r="AS752" s="125"/>
    </row>
    <row r="753" spans="23:45">
      <c r="W753" s="147"/>
      <c r="X753" s="138"/>
      <c r="Y753" s="138"/>
      <c r="Z753" s="138"/>
      <c r="AA753" s="138"/>
      <c r="AB753" s="138"/>
      <c r="AC753" s="138"/>
      <c r="AD753" s="138"/>
      <c r="AE753" s="138"/>
      <c r="AF753" s="142"/>
      <c r="AG753" s="147"/>
      <c r="AH753" s="147"/>
      <c r="AI753" s="147"/>
      <c r="AJ753" s="147"/>
      <c r="AK753" s="147"/>
      <c r="AL753" s="94"/>
      <c r="AM753" s="94"/>
      <c r="AN753" s="153"/>
      <c r="AO753" s="153"/>
      <c r="AP753" s="153"/>
      <c r="AQ753" s="153"/>
      <c r="AR753" s="125"/>
      <c r="AS753" s="125"/>
    </row>
    <row r="754" spans="23:45">
      <c r="W754" s="147"/>
      <c r="X754" s="138"/>
      <c r="Y754" s="138"/>
      <c r="Z754" s="138"/>
      <c r="AA754" s="138"/>
      <c r="AB754" s="138"/>
      <c r="AC754" s="138"/>
      <c r="AD754" s="138"/>
      <c r="AE754" s="138"/>
      <c r="AF754" s="142"/>
      <c r="AG754" s="147"/>
      <c r="AH754" s="147"/>
      <c r="AI754" s="147"/>
      <c r="AJ754" s="147"/>
      <c r="AK754" s="147"/>
      <c r="AL754" s="94"/>
      <c r="AM754" s="94"/>
      <c r="AN754" s="153"/>
      <c r="AO754" s="153"/>
      <c r="AP754" s="153"/>
      <c r="AQ754" s="153"/>
      <c r="AR754" s="125"/>
      <c r="AS754" s="125"/>
    </row>
    <row r="755" spans="23:45">
      <c r="W755" s="147"/>
      <c r="X755" s="138"/>
      <c r="Y755" s="138"/>
      <c r="Z755" s="138"/>
      <c r="AA755" s="138"/>
      <c r="AB755" s="138"/>
      <c r="AC755" s="138"/>
      <c r="AD755" s="138"/>
      <c r="AE755" s="138"/>
      <c r="AF755" s="142"/>
      <c r="AG755" s="147"/>
      <c r="AH755" s="147"/>
      <c r="AI755" s="147"/>
      <c r="AJ755" s="147"/>
      <c r="AK755" s="147"/>
      <c r="AL755" s="94"/>
      <c r="AM755" s="94"/>
      <c r="AN755" s="153"/>
      <c r="AO755" s="153"/>
      <c r="AP755" s="153"/>
      <c r="AQ755" s="153"/>
      <c r="AR755" s="125"/>
      <c r="AS755" s="125"/>
    </row>
    <row r="756" spans="23:45">
      <c r="W756" s="147"/>
      <c r="X756" s="138"/>
      <c r="Y756" s="138"/>
      <c r="Z756" s="138"/>
      <c r="AA756" s="138"/>
      <c r="AB756" s="138"/>
      <c r="AC756" s="138"/>
      <c r="AD756" s="138"/>
      <c r="AE756" s="138"/>
      <c r="AF756" s="142"/>
      <c r="AG756" s="147"/>
      <c r="AH756" s="147"/>
      <c r="AI756" s="147"/>
      <c r="AJ756" s="147"/>
      <c r="AK756" s="147"/>
      <c r="AL756" s="94"/>
      <c r="AM756" s="94"/>
      <c r="AN756" s="153"/>
      <c r="AO756" s="153"/>
      <c r="AP756" s="153"/>
      <c r="AQ756" s="153"/>
      <c r="AR756" s="125"/>
      <c r="AS756" s="125"/>
    </row>
    <row r="757" spans="23:45">
      <c r="W757" s="147"/>
      <c r="X757" s="138"/>
      <c r="Y757" s="138"/>
      <c r="Z757" s="138"/>
      <c r="AA757" s="138"/>
      <c r="AB757" s="138"/>
      <c r="AC757" s="138"/>
      <c r="AD757" s="138"/>
      <c r="AE757" s="138"/>
      <c r="AF757" s="142"/>
      <c r="AG757" s="147"/>
      <c r="AH757" s="147"/>
      <c r="AI757" s="147"/>
      <c r="AJ757" s="147"/>
      <c r="AK757" s="147"/>
      <c r="AL757" s="94"/>
      <c r="AM757" s="94"/>
      <c r="AN757" s="153"/>
      <c r="AO757" s="153"/>
      <c r="AP757" s="153"/>
      <c r="AQ757" s="153"/>
      <c r="AR757" s="125"/>
      <c r="AS757" s="125"/>
    </row>
    <row r="758" spans="23:45">
      <c r="W758" s="147"/>
      <c r="X758" s="138"/>
      <c r="Y758" s="138"/>
      <c r="Z758" s="138"/>
      <c r="AA758" s="138"/>
      <c r="AB758" s="138"/>
      <c r="AC758" s="138"/>
      <c r="AD758" s="138"/>
      <c r="AE758" s="138"/>
      <c r="AF758" s="142"/>
      <c r="AG758" s="147"/>
      <c r="AH758" s="147"/>
      <c r="AI758" s="147"/>
      <c r="AJ758" s="147"/>
      <c r="AK758" s="147"/>
      <c r="AL758" s="94"/>
      <c r="AM758" s="94"/>
      <c r="AN758" s="153"/>
      <c r="AO758" s="153"/>
      <c r="AP758" s="153"/>
      <c r="AQ758" s="153"/>
      <c r="AR758" s="125"/>
      <c r="AS758" s="125"/>
    </row>
    <row r="759" spans="23:45">
      <c r="W759" s="147"/>
      <c r="X759" s="138"/>
      <c r="Y759" s="138"/>
      <c r="Z759" s="138"/>
      <c r="AA759" s="138"/>
      <c r="AB759" s="138"/>
      <c r="AC759" s="138"/>
      <c r="AD759" s="138"/>
      <c r="AE759" s="138"/>
      <c r="AF759" s="142"/>
      <c r="AG759" s="147"/>
      <c r="AH759" s="147"/>
      <c r="AI759" s="147"/>
      <c r="AJ759" s="147"/>
      <c r="AK759" s="147"/>
      <c r="AL759" s="94"/>
      <c r="AM759" s="94"/>
      <c r="AN759" s="153"/>
      <c r="AO759" s="153"/>
      <c r="AP759" s="153"/>
      <c r="AQ759" s="153"/>
      <c r="AR759" s="125"/>
      <c r="AS759" s="125"/>
    </row>
    <row r="760" spans="23:45">
      <c r="W760" s="147"/>
      <c r="X760" s="138"/>
      <c r="Y760" s="138"/>
      <c r="Z760" s="138"/>
      <c r="AA760" s="138"/>
      <c r="AB760" s="138"/>
      <c r="AC760" s="138"/>
      <c r="AD760" s="138"/>
      <c r="AE760" s="138"/>
      <c r="AF760" s="142"/>
      <c r="AG760" s="147"/>
      <c r="AH760" s="147"/>
      <c r="AI760" s="147"/>
      <c r="AJ760" s="147"/>
      <c r="AK760" s="147"/>
      <c r="AL760" s="94"/>
      <c r="AM760" s="94"/>
      <c r="AN760" s="153"/>
      <c r="AO760" s="153"/>
      <c r="AP760" s="153"/>
      <c r="AQ760" s="153"/>
      <c r="AR760" s="125"/>
      <c r="AS760" s="125"/>
    </row>
    <row r="761" spans="23:45">
      <c r="W761" s="147"/>
      <c r="X761" s="138"/>
      <c r="Y761" s="138"/>
      <c r="Z761" s="138"/>
      <c r="AA761" s="138"/>
      <c r="AB761" s="138"/>
      <c r="AC761" s="138"/>
      <c r="AD761" s="138"/>
      <c r="AE761" s="138"/>
      <c r="AF761" s="142"/>
      <c r="AG761" s="147"/>
      <c r="AH761" s="147"/>
      <c r="AI761" s="147"/>
      <c r="AJ761" s="147"/>
      <c r="AK761" s="147"/>
      <c r="AL761" s="94"/>
      <c r="AM761" s="94"/>
      <c r="AN761" s="153"/>
      <c r="AO761" s="153"/>
      <c r="AP761" s="153"/>
      <c r="AQ761" s="153"/>
      <c r="AR761" s="125"/>
      <c r="AS761" s="125"/>
    </row>
    <row r="762" spans="23:45">
      <c r="W762" s="147"/>
      <c r="X762" s="138"/>
      <c r="Y762" s="138"/>
      <c r="Z762" s="138"/>
      <c r="AA762" s="138"/>
      <c r="AB762" s="138"/>
      <c r="AC762" s="138"/>
      <c r="AD762" s="138"/>
      <c r="AE762" s="138"/>
      <c r="AF762" s="142"/>
      <c r="AG762" s="147"/>
      <c r="AH762" s="147"/>
      <c r="AI762" s="147"/>
      <c r="AJ762" s="147"/>
      <c r="AK762" s="147"/>
      <c r="AL762" s="94"/>
      <c r="AM762" s="94"/>
      <c r="AN762" s="153"/>
      <c r="AO762" s="153"/>
      <c r="AP762" s="153"/>
      <c r="AQ762" s="153"/>
      <c r="AR762" s="125"/>
      <c r="AS762" s="125"/>
    </row>
    <row r="763" spans="23:45">
      <c r="W763" s="147"/>
      <c r="X763" s="138"/>
      <c r="Y763" s="138"/>
      <c r="Z763" s="138"/>
      <c r="AA763" s="138"/>
      <c r="AB763" s="138"/>
      <c r="AC763" s="138"/>
      <c r="AD763" s="138"/>
      <c r="AE763" s="138"/>
      <c r="AF763" s="142"/>
      <c r="AG763" s="147"/>
      <c r="AH763" s="147"/>
      <c r="AI763" s="147"/>
      <c r="AJ763" s="147"/>
      <c r="AK763" s="147"/>
      <c r="AL763" s="94"/>
      <c r="AM763" s="94"/>
      <c r="AN763" s="153"/>
      <c r="AO763" s="153"/>
      <c r="AP763" s="153"/>
      <c r="AQ763" s="153"/>
      <c r="AR763" s="125"/>
      <c r="AS763" s="125"/>
    </row>
    <row r="764" spans="23:45">
      <c r="W764" s="147"/>
      <c r="X764" s="138"/>
      <c r="Y764" s="138"/>
      <c r="Z764" s="138"/>
      <c r="AA764" s="138"/>
      <c r="AB764" s="138"/>
      <c r="AC764" s="138"/>
      <c r="AD764" s="138"/>
      <c r="AE764" s="138"/>
      <c r="AF764" s="142"/>
      <c r="AG764" s="147"/>
      <c r="AH764" s="147"/>
      <c r="AI764" s="147"/>
      <c r="AJ764" s="147"/>
      <c r="AK764" s="147"/>
      <c r="AL764" s="94"/>
      <c r="AM764" s="94"/>
      <c r="AN764" s="153"/>
      <c r="AO764" s="153"/>
      <c r="AP764" s="153"/>
      <c r="AQ764" s="153"/>
      <c r="AR764" s="125"/>
      <c r="AS764" s="125"/>
    </row>
    <row r="765" spans="23:45">
      <c r="W765" s="147"/>
      <c r="X765" s="138"/>
      <c r="Y765" s="138"/>
      <c r="Z765" s="138"/>
      <c r="AA765" s="138"/>
      <c r="AB765" s="138"/>
      <c r="AC765" s="138"/>
      <c r="AD765" s="138"/>
      <c r="AE765" s="138"/>
      <c r="AF765" s="142"/>
      <c r="AG765" s="147"/>
      <c r="AH765" s="147"/>
      <c r="AI765" s="147"/>
      <c r="AJ765" s="147"/>
      <c r="AK765" s="147"/>
      <c r="AL765" s="94"/>
      <c r="AM765" s="94"/>
      <c r="AN765" s="153"/>
      <c r="AO765" s="153"/>
      <c r="AP765" s="153"/>
      <c r="AQ765" s="153"/>
      <c r="AR765" s="125"/>
      <c r="AS765" s="125"/>
    </row>
    <row r="766" spans="23:45">
      <c r="W766" s="147"/>
      <c r="X766" s="138"/>
      <c r="Y766" s="138"/>
      <c r="Z766" s="138"/>
      <c r="AA766" s="138"/>
      <c r="AB766" s="138"/>
      <c r="AC766" s="138"/>
      <c r="AD766" s="138"/>
      <c r="AE766" s="138"/>
      <c r="AF766" s="142"/>
      <c r="AG766" s="147"/>
      <c r="AH766" s="147"/>
      <c r="AI766" s="147"/>
      <c r="AJ766" s="147"/>
      <c r="AK766" s="147"/>
      <c r="AL766" s="94"/>
      <c r="AM766" s="94"/>
      <c r="AN766" s="153"/>
      <c r="AO766" s="153"/>
      <c r="AP766" s="153"/>
      <c r="AQ766" s="153"/>
      <c r="AR766" s="125"/>
      <c r="AS766" s="125"/>
    </row>
    <row r="767" spans="23:45">
      <c r="W767" s="147"/>
      <c r="X767" s="138"/>
      <c r="Y767" s="138"/>
      <c r="Z767" s="138"/>
      <c r="AA767" s="138"/>
      <c r="AB767" s="138"/>
      <c r="AC767" s="138"/>
      <c r="AD767" s="138"/>
      <c r="AE767" s="138"/>
      <c r="AF767" s="142"/>
      <c r="AG767" s="147"/>
      <c r="AH767" s="147"/>
      <c r="AI767" s="147"/>
      <c r="AJ767" s="147"/>
      <c r="AK767" s="147"/>
      <c r="AL767" s="94"/>
      <c r="AM767" s="94"/>
      <c r="AN767" s="153"/>
      <c r="AO767" s="153"/>
      <c r="AP767" s="153"/>
      <c r="AQ767" s="153"/>
      <c r="AR767" s="125"/>
      <c r="AS767" s="125"/>
    </row>
    <row r="768" spans="23:45">
      <c r="W768" s="147"/>
      <c r="X768" s="138"/>
      <c r="Y768" s="138"/>
      <c r="Z768" s="138"/>
      <c r="AA768" s="138"/>
      <c r="AB768" s="138"/>
      <c r="AC768" s="138"/>
      <c r="AD768" s="138"/>
      <c r="AE768" s="138"/>
      <c r="AF768" s="142"/>
      <c r="AG768" s="147"/>
      <c r="AH768" s="147"/>
      <c r="AI768" s="147"/>
      <c r="AJ768" s="147"/>
      <c r="AK768" s="147"/>
      <c r="AL768" s="94"/>
      <c r="AM768" s="94"/>
      <c r="AN768" s="153"/>
      <c r="AO768" s="153"/>
      <c r="AP768" s="153"/>
      <c r="AQ768" s="153"/>
      <c r="AR768" s="125"/>
      <c r="AS768" s="125"/>
    </row>
    <row r="769" spans="23:45">
      <c r="W769" s="147"/>
      <c r="X769" s="138"/>
      <c r="Y769" s="138"/>
      <c r="Z769" s="138"/>
      <c r="AA769" s="138"/>
      <c r="AB769" s="138"/>
      <c r="AC769" s="138"/>
      <c r="AD769" s="138"/>
      <c r="AE769" s="138"/>
      <c r="AF769" s="142"/>
      <c r="AG769" s="147"/>
      <c r="AH769" s="147"/>
      <c r="AI769" s="147"/>
      <c r="AJ769" s="147"/>
      <c r="AK769" s="147"/>
      <c r="AL769" s="94"/>
      <c r="AM769" s="94"/>
      <c r="AN769" s="153"/>
      <c r="AO769" s="153"/>
      <c r="AP769" s="153"/>
      <c r="AQ769" s="153"/>
      <c r="AR769" s="125"/>
      <c r="AS769" s="125"/>
    </row>
    <row r="770" spans="23:45">
      <c r="W770" s="147"/>
      <c r="X770" s="138"/>
      <c r="Y770" s="138"/>
      <c r="Z770" s="138"/>
      <c r="AA770" s="138"/>
      <c r="AB770" s="138"/>
      <c r="AC770" s="138"/>
      <c r="AD770" s="138"/>
      <c r="AE770" s="138"/>
      <c r="AF770" s="142"/>
      <c r="AG770" s="147"/>
      <c r="AH770" s="147"/>
      <c r="AI770" s="147"/>
      <c r="AJ770" s="147"/>
      <c r="AK770" s="147"/>
      <c r="AL770" s="94"/>
      <c r="AM770" s="94"/>
      <c r="AN770" s="153"/>
      <c r="AO770" s="153"/>
      <c r="AP770" s="153"/>
      <c r="AQ770" s="153"/>
      <c r="AR770" s="125"/>
      <c r="AS770" s="125"/>
    </row>
    <row r="771" spans="23:45">
      <c r="W771" s="147"/>
      <c r="X771" s="138"/>
      <c r="Y771" s="138"/>
      <c r="Z771" s="138"/>
      <c r="AA771" s="138"/>
      <c r="AB771" s="138"/>
      <c r="AC771" s="138"/>
      <c r="AD771" s="138"/>
      <c r="AE771" s="138"/>
      <c r="AF771" s="142"/>
      <c r="AG771" s="147"/>
      <c r="AH771" s="147"/>
      <c r="AI771" s="147"/>
      <c r="AJ771" s="147"/>
      <c r="AK771" s="147"/>
      <c r="AL771" s="94"/>
      <c r="AM771" s="94"/>
      <c r="AN771" s="153"/>
      <c r="AO771" s="153"/>
      <c r="AP771" s="153"/>
      <c r="AQ771" s="153"/>
      <c r="AR771" s="125"/>
      <c r="AS771" s="125"/>
    </row>
    <row r="772" spans="23:45">
      <c r="W772" s="147"/>
      <c r="X772" s="138"/>
      <c r="Y772" s="138"/>
      <c r="Z772" s="138"/>
      <c r="AA772" s="138"/>
      <c r="AB772" s="138"/>
      <c r="AC772" s="138"/>
      <c r="AD772" s="138"/>
      <c r="AE772" s="138"/>
      <c r="AF772" s="142"/>
      <c r="AG772" s="147"/>
      <c r="AH772" s="147"/>
      <c r="AI772" s="147"/>
      <c r="AJ772" s="147"/>
      <c r="AK772" s="147"/>
      <c r="AL772" s="94"/>
      <c r="AM772" s="94"/>
      <c r="AN772" s="153"/>
      <c r="AO772" s="153"/>
      <c r="AP772" s="153"/>
      <c r="AQ772" s="153"/>
      <c r="AR772" s="125"/>
      <c r="AS772" s="125"/>
    </row>
    <row r="773" spans="23:45">
      <c r="W773" s="147"/>
      <c r="X773" s="138"/>
      <c r="Y773" s="138"/>
      <c r="Z773" s="138"/>
      <c r="AA773" s="138"/>
      <c r="AB773" s="138"/>
      <c r="AC773" s="138"/>
      <c r="AD773" s="138"/>
      <c r="AE773" s="138"/>
      <c r="AF773" s="142"/>
      <c r="AG773" s="147"/>
      <c r="AH773" s="147"/>
      <c r="AI773" s="147"/>
      <c r="AJ773" s="147"/>
      <c r="AK773" s="147"/>
      <c r="AL773" s="94"/>
      <c r="AM773" s="94"/>
      <c r="AN773" s="153"/>
      <c r="AO773" s="153"/>
      <c r="AP773" s="153"/>
      <c r="AQ773" s="153"/>
      <c r="AR773" s="125"/>
      <c r="AS773" s="125"/>
    </row>
    <row r="774" spans="23:45">
      <c r="W774" s="147"/>
      <c r="X774" s="138"/>
      <c r="Y774" s="138"/>
      <c r="Z774" s="138"/>
      <c r="AA774" s="138"/>
      <c r="AB774" s="138"/>
      <c r="AC774" s="138"/>
      <c r="AD774" s="138"/>
      <c r="AE774" s="138"/>
      <c r="AF774" s="142"/>
      <c r="AG774" s="147"/>
      <c r="AH774" s="147"/>
      <c r="AI774" s="147"/>
      <c r="AJ774" s="147"/>
      <c r="AK774" s="147"/>
      <c r="AL774" s="94"/>
      <c r="AM774" s="94"/>
      <c r="AN774" s="153"/>
      <c r="AO774" s="153"/>
      <c r="AP774" s="153"/>
      <c r="AQ774" s="153"/>
      <c r="AR774" s="125"/>
      <c r="AS774" s="125"/>
    </row>
    <row r="775" spans="23:45">
      <c r="W775" s="147"/>
      <c r="X775" s="138"/>
      <c r="Y775" s="138"/>
      <c r="Z775" s="138"/>
      <c r="AA775" s="138"/>
      <c r="AB775" s="138"/>
      <c r="AC775" s="138"/>
      <c r="AD775" s="138"/>
      <c r="AE775" s="138"/>
      <c r="AF775" s="142"/>
      <c r="AG775" s="147"/>
      <c r="AH775" s="147"/>
      <c r="AI775" s="147"/>
      <c r="AJ775" s="147"/>
      <c r="AK775" s="147"/>
      <c r="AL775" s="94"/>
      <c r="AM775" s="94"/>
      <c r="AN775" s="153"/>
      <c r="AO775" s="153"/>
      <c r="AP775" s="153"/>
      <c r="AQ775" s="153"/>
      <c r="AR775" s="125"/>
      <c r="AS775" s="125"/>
    </row>
    <row r="776" spans="23:45">
      <c r="W776" s="147"/>
      <c r="X776" s="138"/>
      <c r="Y776" s="138"/>
      <c r="Z776" s="138"/>
      <c r="AA776" s="138"/>
      <c r="AB776" s="138"/>
      <c r="AC776" s="138"/>
      <c r="AD776" s="138"/>
      <c r="AE776" s="138"/>
      <c r="AF776" s="142"/>
      <c r="AG776" s="147"/>
      <c r="AH776" s="147"/>
      <c r="AI776" s="147"/>
      <c r="AJ776" s="147"/>
      <c r="AK776" s="147"/>
      <c r="AL776" s="94"/>
      <c r="AM776" s="94"/>
      <c r="AN776" s="153"/>
      <c r="AO776" s="153"/>
      <c r="AP776" s="153"/>
      <c r="AQ776" s="153"/>
      <c r="AR776" s="125"/>
      <c r="AS776" s="125"/>
    </row>
    <row r="777" spans="23:45">
      <c r="W777" s="147"/>
      <c r="X777" s="138"/>
      <c r="Y777" s="138"/>
      <c r="Z777" s="138"/>
      <c r="AA777" s="138"/>
      <c r="AB777" s="138"/>
      <c r="AC777" s="138"/>
      <c r="AD777" s="138"/>
      <c r="AE777" s="138"/>
      <c r="AF777" s="142"/>
      <c r="AG777" s="147"/>
      <c r="AH777" s="147"/>
      <c r="AI777" s="147"/>
      <c r="AJ777" s="147"/>
      <c r="AK777" s="147"/>
      <c r="AL777" s="94"/>
      <c r="AM777" s="94"/>
      <c r="AN777" s="153"/>
      <c r="AO777" s="153"/>
      <c r="AP777" s="153"/>
      <c r="AQ777" s="153"/>
      <c r="AR777" s="125"/>
      <c r="AS777" s="125"/>
    </row>
    <row r="778" spans="23:45">
      <c r="W778" s="147"/>
      <c r="X778" s="138"/>
      <c r="Y778" s="138"/>
      <c r="Z778" s="138"/>
      <c r="AA778" s="138"/>
      <c r="AB778" s="138"/>
      <c r="AC778" s="138"/>
      <c r="AD778" s="138"/>
      <c r="AE778" s="138"/>
      <c r="AF778" s="142"/>
      <c r="AG778" s="147"/>
      <c r="AH778" s="147"/>
      <c r="AI778" s="147"/>
      <c r="AJ778" s="147"/>
      <c r="AK778" s="147"/>
      <c r="AL778" s="94"/>
      <c r="AM778" s="94"/>
      <c r="AN778" s="153"/>
      <c r="AO778" s="153"/>
      <c r="AP778" s="153"/>
      <c r="AQ778" s="153"/>
      <c r="AR778" s="125"/>
      <c r="AS778" s="125"/>
    </row>
    <row r="779" spans="23:45">
      <c r="W779" s="147"/>
      <c r="X779" s="138"/>
      <c r="Y779" s="138"/>
      <c r="Z779" s="138"/>
      <c r="AA779" s="138"/>
      <c r="AB779" s="138"/>
      <c r="AC779" s="138"/>
      <c r="AD779" s="138"/>
      <c r="AE779" s="138"/>
      <c r="AF779" s="142"/>
      <c r="AG779" s="147"/>
      <c r="AH779" s="147"/>
      <c r="AI779" s="147"/>
      <c r="AJ779" s="147"/>
      <c r="AK779" s="147"/>
      <c r="AL779" s="94"/>
      <c r="AM779" s="94"/>
      <c r="AN779" s="153"/>
      <c r="AO779" s="153"/>
      <c r="AP779" s="153"/>
      <c r="AQ779" s="153"/>
      <c r="AR779" s="125"/>
      <c r="AS779" s="125"/>
    </row>
    <row r="780" spans="23:45">
      <c r="W780" s="147"/>
      <c r="X780" s="138"/>
      <c r="Y780" s="138"/>
      <c r="Z780" s="138"/>
      <c r="AA780" s="138"/>
      <c r="AB780" s="138"/>
      <c r="AC780" s="138"/>
      <c r="AD780" s="138"/>
      <c r="AE780" s="138"/>
      <c r="AF780" s="142"/>
      <c r="AG780" s="147"/>
      <c r="AH780" s="147"/>
      <c r="AI780" s="147"/>
      <c r="AJ780" s="147"/>
      <c r="AK780" s="147"/>
      <c r="AL780" s="94"/>
      <c r="AM780" s="94"/>
      <c r="AN780" s="153"/>
      <c r="AO780" s="153"/>
      <c r="AP780" s="153"/>
      <c r="AQ780" s="153"/>
      <c r="AR780" s="125"/>
      <c r="AS780" s="125"/>
    </row>
    <row r="781" spans="23:45">
      <c r="W781" s="147"/>
      <c r="X781" s="138"/>
      <c r="Y781" s="138"/>
      <c r="Z781" s="138"/>
      <c r="AA781" s="138"/>
      <c r="AB781" s="138"/>
      <c r="AC781" s="138"/>
      <c r="AD781" s="138"/>
      <c r="AE781" s="138"/>
      <c r="AF781" s="142"/>
      <c r="AG781" s="147"/>
      <c r="AH781" s="147"/>
      <c r="AI781" s="147"/>
      <c r="AJ781" s="147"/>
      <c r="AK781" s="147"/>
      <c r="AL781" s="94"/>
      <c r="AM781" s="94"/>
      <c r="AN781" s="153"/>
      <c r="AO781" s="153"/>
      <c r="AP781" s="153"/>
      <c r="AQ781" s="153"/>
      <c r="AR781" s="125"/>
      <c r="AS781" s="125"/>
    </row>
    <row r="782" spans="23:45">
      <c r="W782" s="147"/>
      <c r="X782" s="138"/>
      <c r="Y782" s="138"/>
      <c r="Z782" s="138"/>
      <c r="AA782" s="138"/>
      <c r="AB782" s="138"/>
      <c r="AC782" s="138"/>
      <c r="AD782" s="138"/>
      <c r="AE782" s="138"/>
      <c r="AF782" s="142"/>
      <c r="AG782" s="147"/>
      <c r="AH782" s="147"/>
      <c r="AI782" s="147"/>
      <c r="AJ782" s="147"/>
      <c r="AK782" s="147"/>
      <c r="AL782" s="94"/>
      <c r="AM782" s="94"/>
      <c r="AN782" s="153"/>
      <c r="AO782" s="153"/>
      <c r="AP782" s="153"/>
      <c r="AQ782" s="153"/>
      <c r="AR782" s="125"/>
      <c r="AS782" s="125"/>
    </row>
    <row r="783" spans="23:45">
      <c r="W783" s="147"/>
      <c r="X783" s="138"/>
      <c r="Y783" s="138"/>
      <c r="Z783" s="138"/>
      <c r="AA783" s="138"/>
      <c r="AB783" s="138"/>
      <c r="AC783" s="138"/>
      <c r="AD783" s="138"/>
      <c r="AE783" s="138"/>
      <c r="AF783" s="142"/>
      <c r="AG783" s="147"/>
      <c r="AH783" s="147"/>
      <c r="AI783" s="147"/>
      <c r="AJ783" s="147"/>
      <c r="AK783" s="147"/>
      <c r="AL783" s="94"/>
      <c r="AM783" s="94"/>
      <c r="AN783" s="153"/>
      <c r="AO783" s="153"/>
      <c r="AP783" s="153"/>
      <c r="AQ783" s="153"/>
      <c r="AR783" s="125"/>
      <c r="AS783" s="125"/>
    </row>
    <row r="784" spans="23:45">
      <c r="W784" s="147"/>
      <c r="X784" s="138"/>
      <c r="Y784" s="138"/>
      <c r="Z784" s="138"/>
      <c r="AA784" s="138"/>
      <c r="AB784" s="138"/>
      <c r="AC784" s="138"/>
      <c r="AD784" s="138"/>
      <c r="AE784" s="138"/>
      <c r="AF784" s="142"/>
      <c r="AG784" s="147"/>
      <c r="AH784" s="147"/>
      <c r="AI784" s="147"/>
      <c r="AJ784" s="147"/>
      <c r="AK784" s="147"/>
      <c r="AL784" s="94"/>
      <c r="AM784" s="94"/>
      <c r="AN784" s="153"/>
      <c r="AO784" s="153"/>
      <c r="AP784" s="153"/>
      <c r="AQ784" s="153"/>
      <c r="AR784" s="125"/>
      <c r="AS784" s="125"/>
    </row>
    <row r="785" spans="23:45">
      <c r="W785" s="147"/>
      <c r="X785" s="138"/>
      <c r="Y785" s="138"/>
      <c r="Z785" s="138"/>
      <c r="AA785" s="138"/>
      <c r="AB785" s="138"/>
      <c r="AC785" s="138"/>
      <c r="AD785" s="138"/>
      <c r="AE785" s="138"/>
      <c r="AF785" s="142"/>
      <c r="AG785" s="147"/>
      <c r="AH785" s="147"/>
      <c r="AI785" s="147"/>
      <c r="AJ785" s="147"/>
      <c r="AK785" s="147"/>
      <c r="AL785" s="94"/>
      <c r="AM785" s="94"/>
      <c r="AN785" s="153"/>
      <c r="AO785" s="153"/>
      <c r="AP785" s="153"/>
      <c r="AQ785" s="153"/>
      <c r="AR785" s="125"/>
      <c r="AS785" s="125"/>
    </row>
    <row r="786" spans="23:45">
      <c r="W786" s="147"/>
      <c r="X786" s="138"/>
      <c r="Y786" s="138"/>
      <c r="Z786" s="138"/>
      <c r="AA786" s="138"/>
      <c r="AB786" s="138"/>
      <c r="AC786" s="138"/>
      <c r="AD786" s="138"/>
      <c r="AE786" s="138"/>
      <c r="AF786" s="142"/>
      <c r="AG786" s="147"/>
      <c r="AH786" s="147"/>
      <c r="AI786" s="147"/>
      <c r="AJ786" s="147"/>
      <c r="AK786" s="147"/>
      <c r="AL786" s="94"/>
      <c r="AM786" s="94"/>
      <c r="AN786" s="153"/>
      <c r="AO786" s="153"/>
      <c r="AP786" s="153"/>
      <c r="AQ786" s="153"/>
      <c r="AR786" s="125"/>
      <c r="AS786" s="125"/>
    </row>
    <row r="787" spans="23:45">
      <c r="W787" s="147"/>
      <c r="X787" s="138"/>
      <c r="Y787" s="138"/>
      <c r="Z787" s="138"/>
      <c r="AA787" s="138"/>
      <c r="AB787" s="138"/>
      <c r="AC787" s="138"/>
      <c r="AD787" s="138"/>
      <c r="AE787" s="138"/>
      <c r="AF787" s="142"/>
      <c r="AG787" s="147"/>
      <c r="AH787" s="147"/>
      <c r="AI787" s="147"/>
      <c r="AJ787" s="147"/>
      <c r="AK787" s="147"/>
      <c r="AL787" s="94"/>
      <c r="AM787" s="94"/>
      <c r="AN787" s="153"/>
      <c r="AO787" s="153"/>
      <c r="AP787" s="153"/>
      <c r="AQ787" s="153"/>
      <c r="AR787" s="125"/>
      <c r="AS787" s="125"/>
    </row>
    <row r="788" spans="23:45">
      <c r="W788" s="147"/>
      <c r="X788" s="138"/>
      <c r="Y788" s="138"/>
      <c r="Z788" s="138"/>
      <c r="AA788" s="138"/>
      <c r="AB788" s="138"/>
      <c r="AC788" s="138"/>
      <c r="AD788" s="138"/>
      <c r="AE788" s="138"/>
      <c r="AF788" s="142"/>
      <c r="AG788" s="147"/>
      <c r="AH788" s="147"/>
      <c r="AI788" s="147"/>
      <c r="AJ788" s="147"/>
      <c r="AK788" s="147"/>
      <c r="AL788" s="94"/>
      <c r="AM788" s="94"/>
      <c r="AN788" s="153"/>
      <c r="AO788" s="153"/>
      <c r="AP788" s="153"/>
      <c r="AQ788" s="153"/>
      <c r="AR788" s="125"/>
      <c r="AS788" s="125"/>
    </row>
    <row r="789" spans="23:45">
      <c r="W789" s="147"/>
      <c r="X789" s="138"/>
      <c r="Y789" s="138"/>
      <c r="Z789" s="138"/>
      <c r="AA789" s="138"/>
      <c r="AB789" s="138"/>
      <c r="AC789" s="138"/>
      <c r="AD789" s="138"/>
      <c r="AE789" s="138"/>
      <c r="AF789" s="142"/>
      <c r="AG789" s="147"/>
      <c r="AH789" s="147"/>
      <c r="AI789" s="147"/>
      <c r="AJ789" s="147"/>
      <c r="AK789" s="147"/>
      <c r="AL789" s="94"/>
      <c r="AM789" s="94"/>
      <c r="AN789" s="153"/>
      <c r="AO789" s="153"/>
      <c r="AP789" s="153"/>
      <c r="AQ789" s="153"/>
      <c r="AR789" s="125"/>
      <c r="AS789" s="125"/>
    </row>
    <row r="790" spans="23:45">
      <c r="W790" s="147"/>
      <c r="X790" s="138"/>
      <c r="Y790" s="138"/>
      <c r="Z790" s="138"/>
      <c r="AA790" s="138"/>
      <c r="AB790" s="138"/>
      <c r="AC790" s="138"/>
      <c r="AD790" s="138"/>
      <c r="AE790" s="138"/>
      <c r="AF790" s="142"/>
      <c r="AG790" s="147"/>
      <c r="AH790" s="147"/>
      <c r="AI790" s="147"/>
      <c r="AJ790" s="147"/>
      <c r="AK790" s="147"/>
      <c r="AL790" s="94"/>
      <c r="AM790" s="94"/>
      <c r="AN790" s="153"/>
      <c r="AO790" s="153"/>
      <c r="AP790" s="153"/>
      <c r="AQ790" s="153"/>
      <c r="AR790" s="125"/>
      <c r="AS790" s="125"/>
    </row>
    <row r="791" spans="23:45">
      <c r="W791" s="147"/>
      <c r="X791" s="138"/>
      <c r="Y791" s="138"/>
      <c r="Z791" s="138"/>
      <c r="AA791" s="138"/>
      <c r="AB791" s="138"/>
      <c r="AC791" s="138"/>
      <c r="AD791" s="138"/>
      <c r="AE791" s="138"/>
      <c r="AF791" s="142"/>
      <c r="AG791" s="147"/>
      <c r="AH791" s="147"/>
      <c r="AI791" s="147"/>
      <c r="AJ791" s="147"/>
      <c r="AK791" s="147"/>
      <c r="AL791" s="94"/>
      <c r="AM791" s="94"/>
      <c r="AN791" s="153"/>
      <c r="AO791" s="153"/>
      <c r="AP791" s="153"/>
      <c r="AQ791" s="153"/>
      <c r="AR791" s="125"/>
      <c r="AS791" s="125"/>
    </row>
    <row r="792" spans="23:45">
      <c r="W792" s="147"/>
      <c r="X792" s="138"/>
      <c r="Y792" s="138"/>
      <c r="Z792" s="138"/>
      <c r="AA792" s="138"/>
      <c r="AB792" s="138"/>
      <c r="AC792" s="138"/>
      <c r="AD792" s="138"/>
      <c r="AE792" s="138"/>
      <c r="AF792" s="142"/>
      <c r="AG792" s="147"/>
      <c r="AH792" s="147"/>
      <c r="AI792" s="147"/>
      <c r="AJ792" s="147"/>
      <c r="AK792" s="147"/>
      <c r="AL792" s="94"/>
      <c r="AM792" s="94"/>
      <c r="AN792" s="153"/>
      <c r="AO792" s="153"/>
      <c r="AP792" s="153"/>
      <c r="AQ792" s="153"/>
      <c r="AR792" s="125"/>
      <c r="AS792" s="125"/>
    </row>
    <row r="793" spans="23:45">
      <c r="W793" s="147"/>
      <c r="X793" s="138"/>
      <c r="Y793" s="138"/>
      <c r="Z793" s="138"/>
      <c r="AA793" s="138"/>
      <c r="AB793" s="138"/>
      <c r="AC793" s="138"/>
      <c r="AD793" s="138"/>
      <c r="AE793" s="138"/>
      <c r="AF793" s="142"/>
      <c r="AG793" s="147"/>
      <c r="AH793" s="147"/>
      <c r="AI793" s="147"/>
      <c r="AJ793" s="147"/>
      <c r="AK793" s="147"/>
      <c r="AL793" s="94"/>
      <c r="AM793" s="94"/>
      <c r="AN793" s="153"/>
      <c r="AO793" s="153"/>
      <c r="AP793" s="153"/>
      <c r="AQ793" s="153"/>
      <c r="AR793" s="125"/>
      <c r="AS793" s="125"/>
    </row>
    <row r="794" spans="23:45">
      <c r="W794" s="147"/>
      <c r="X794" s="138"/>
      <c r="Y794" s="138"/>
      <c r="Z794" s="138"/>
      <c r="AA794" s="138"/>
      <c r="AB794" s="138"/>
      <c r="AC794" s="138"/>
      <c r="AD794" s="138"/>
      <c r="AE794" s="138"/>
      <c r="AF794" s="142"/>
      <c r="AG794" s="147"/>
      <c r="AH794" s="147"/>
      <c r="AI794" s="147"/>
      <c r="AJ794" s="147"/>
      <c r="AK794" s="147"/>
      <c r="AL794" s="94"/>
      <c r="AM794" s="94"/>
      <c r="AN794" s="153"/>
      <c r="AO794" s="153"/>
      <c r="AP794" s="153"/>
      <c r="AQ794" s="153"/>
      <c r="AR794" s="125"/>
      <c r="AS794" s="125"/>
    </row>
    <row r="795" spans="23:45">
      <c r="W795" s="147"/>
      <c r="X795" s="138"/>
      <c r="Y795" s="138"/>
      <c r="Z795" s="138"/>
      <c r="AA795" s="138"/>
      <c r="AB795" s="138"/>
      <c r="AC795" s="138"/>
      <c r="AD795" s="138"/>
      <c r="AE795" s="138"/>
      <c r="AF795" s="142"/>
      <c r="AG795" s="147"/>
      <c r="AH795" s="147"/>
      <c r="AI795" s="147"/>
      <c r="AJ795" s="147"/>
      <c r="AK795" s="147"/>
      <c r="AL795" s="94"/>
      <c r="AM795" s="94"/>
      <c r="AN795" s="153"/>
      <c r="AO795" s="153"/>
      <c r="AP795" s="153"/>
      <c r="AQ795" s="153"/>
      <c r="AR795" s="125"/>
      <c r="AS795" s="125"/>
    </row>
    <row r="796" spans="23:45">
      <c r="W796" s="147"/>
      <c r="X796" s="138"/>
      <c r="Y796" s="138"/>
      <c r="Z796" s="138"/>
      <c r="AA796" s="138"/>
      <c r="AB796" s="138"/>
      <c r="AC796" s="138"/>
      <c r="AD796" s="138"/>
      <c r="AE796" s="138"/>
      <c r="AF796" s="142"/>
      <c r="AG796" s="147"/>
      <c r="AH796" s="147"/>
      <c r="AI796" s="147"/>
      <c r="AJ796" s="147"/>
      <c r="AK796" s="147"/>
      <c r="AL796" s="94"/>
      <c r="AM796" s="94"/>
      <c r="AN796" s="153"/>
      <c r="AO796" s="153"/>
      <c r="AP796" s="153"/>
      <c r="AQ796" s="153"/>
      <c r="AR796" s="125"/>
      <c r="AS796" s="125"/>
    </row>
    <row r="797" spans="23:45">
      <c r="W797" s="147"/>
      <c r="X797" s="138"/>
      <c r="Y797" s="138"/>
      <c r="Z797" s="138"/>
      <c r="AA797" s="138"/>
      <c r="AB797" s="138"/>
      <c r="AC797" s="138"/>
      <c r="AD797" s="138"/>
      <c r="AE797" s="138"/>
      <c r="AF797" s="142"/>
      <c r="AG797" s="147"/>
      <c r="AH797" s="147"/>
      <c r="AI797" s="147"/>
      <c r="AJ797" s="147"/>
      <c r="AK797" s="147"/>
      <c r="AL797" s="94"/>
      <c r="AM797" s="94"/>
      <c r="AN797" s="153"/>
      <c r="AO797" s="153"/>
      <c r="AP797" s="153"/>
      <c r="AQ797" s="153"/>
      <c r="AR797" s="125"/>
      <c r="AS797" s="125"/>
    </row>
    <row r="798" spans="23:45">
      <c r="W798" s="147"/>
      <c r="X798" s="138"/>
      <c r="Y798" s="138"/>
      <c r="Z798" s="138"/>
      <c r="AA798" s="138"/>
      <c r="AB798" s="138"/>
      <c r="AC798" s="138"/>
      <c r="AD798" s="138"/>
      <c r="AE798" s="138"/>
      <c r="AF798" s="142"/>
      <c r="AG798" s="147"/>
      <c r="AH798" s="147"/>
      <c r="AI798" s="147"/>
      <c r="AJ798" s="147"/>
      <c r="AK798" s="147"/>
      <c r="AL798" s="94"/>
      <c r="AM798" s="94"/>
      <c r="AN798" s="153"/>
      <c r="AO798" s="153"/>
      <c r="AP798" s="153"/>
      <c r="AQ798" s="153"/>
      <c r="AR798" s="125"/>
      <c r="AS798" s="125"/>
    </row>
    <row r="799" spans="23:45">
      <c r="W799" s="147"/>
      <c r="X799" s="138"/>
      <c r="Y799" s="138"/>
      <c r="Z799" s="138"/>
      <c r="AA799" s="138"/>
      <c r="AB799" s="138"/>
      <c r="AC799" s="138"/>
      <c r="AD799" s="138"/>
      <c r="AE799" s="138"/>
      <c r="AF799" s="142"/>
      <c r="AG799" s="147"/>
      <c r="AH799" s="147"/>
      <c r="AI799" s="147"/>
      <c r="AJ799" s="147"/>
      <c r="AK799" s="147"/>
      <c r="AL799" s="94"/>
      <c r="AM799" s="94"/>
      <c r="AN799" s="153"/>
      <c r="AO799" s="153"/>
      <c r="AP799" s="153"/>
      <c r="AQ799" s="153"/>
      <c r="AR799" s="125"/>
      <c r="AS799" s="125"/>
    </row>
    <row r="800" spans="23:45">
      <c r="W800" s="147"/>
      <c r="X800" s="138"/>
      <c r="Y800" s="138"/>
      <c r="Z800" s="138"/>
      <c r="AA800" s="138"/>
      <c r="AB800" s="138"/>
      <c r="AC800" s="138"/>
      <c r="AD800" s="138"/>
      <c r="AE800" s="138"/>
      <c r="AF800" s="142"/>
      <c r="AG800" s="147"/>
      <c r="AH800" s="147"/>
      <c r="AI800" s="147"/>
      <c r="AJ800" s="147"/>
      <c r="AK800" s="147"/>
      <c r="AL800" s="94"/>
      <c r="AM800" s="94"/>
      <c r="AN800" s="153"/>
      <c r="AO800" s="153"/>
      <c r="AP800" s="153"/>
      <c r="AQ800" s="153"/>
      <c r="AR800" s="125"/>
      <c r="AS800" s="125"/>
    </row>
    <row r="801" spans="23:45">
      <c r="W801" s="147"/>
      <c r="X801" s="138"/>
      <c r="Y801" s="138"/>
      <c r="Z801" s="138"/>
      <c r="AA801" s="138"/>
      <c r="AB801" s="138"/>
      <c r="AC801" s="138"/>
      <c r="AD801" s="138"/>
      <c r="AE801" s="138"/>
      <c r="AF801" s="142"/>
      <c r="AG801" s="147"/>
      <c r="AH801" s="147"/>
      <c r="AI801" s="147"/>
      <c r="AJ801" s="147"/>
      <c r="AK801" s="147"/>
      <c r="AL801" s="94"/>
      <c r="AM801" s="94"/>
      <c r="AN801" s="153"/>
      <c r="AO801" s="153"/>
      <c r="AP801" s="153"/>
      <c r="AQ801" s="153"/>
      <c r="AR801" s="125"/>
      <c r="AS801" s="125"/>
    </row>
    <row r="802" spans="23:45">
      <c r="W802" s="147"/>
      <c r="X802" s="138"/>
      <c r="Y802" s="138"/>
      <c r="Z802" s="138"/>
      <c r="AA802" s="138"/>
      <c r="AB802" s="138"/>
      <c r="AC802" s="138"/>
      <c r="AD802" s="138"/>
      <c r="AE802" s="138"/>
      <c r="AF802" s="142"/>
      <c r="AG802" s="147"/>
      <c r="AH802" s="147"/>
      <c r="AI802" s="147"/>
      <c r="AJ802" s="147"/>
      <c r="AK802" s="147"/>
      <c r="AL802" s="94"/>
      <c r="AM802" s="94"/>
      <c r="AN802" s="153"/>
      <c r="AO802" s="153"/>
      <c r="AP802" s="153"/>
      <c r="AQ802" s="153"/>
      <c r="AR802" s="125"/>
      <c r="AS802" s="125"/>
    </row>
    <row r="803" spans="23:45">
      <c r="W803" s="147"/>
      <c r="X803" s="138"/>
      <c r="Y803" s="138"/>
      <c r="Z803" s="138"/>
      <c r="AA803" s="138"/>
      <c r="AB803" s="138"/>
      <c r="AC803" s="138"/>
      <c r="AD803" s="138"/>
      <c r="AE803" s="138"/>
      <c r="AF803" s="142"/>
      <c r="AG803" s="147"/>
      <c r="AH803" s="147"/>
      <c r="AI803" s="147"/>
      <c r="AJ803" s="147"/>
      <c r="AK803" s="147"/>
      <c r="AL803" s="94"/>
      <c r="AM803" s="94"/>
      <c r="AN803" s="153"/>
      <c r="AO803" s="153"/>
      <c r="AP803" s="153"/>
      <c r="AQ803" s="153"/>
      <c r="AR803" s="125"/>
      <c r="AS803" s="125"/>
    </row>
    <row r="804" spans="23:45">
      <c r="W804" s="147"/>
      <c r="X804" s="138"/>
      <c r="Y804" s="138"/>
      <c r="Z804" s="138"/>
      <c r="AA804" s="138"/>
      <c r="AB804" s="138"/>
      <c r="AC804" s="138"/>
      <c r="AD804" s="138"/>
      <c r="AE804" s="138"/>
      <c r="AF804" s="142"/>
      <c r="AG804" s="147"/>
      <c r="AH804" s="147"/>
      <c r="AI804" s="147"/>
      <c r="AJ804" s="147"/>
      <c r="AK804" s="147"/>
      <c r="AL804" s="94"/>
      <c r="AM804" s="94"/>
      <c r="AN804" s="153"/>
      <c r="AO804" s="153"/>
      <c r="AP804" s="153"/>
      <c r="AQ804" s="153"/>
      <c r="AR804" s="125"/>
      <c r="AS804" s="125"/>
    </row>
    <row r="805" spans="23:45">
      <c r="W805" s="147"/>
      <c r="X805" s="138"/>
      <c r="Y805" s="138"/>
      <c r="Z805" s="138"/>
      <c r="AA805" s="138"/>
      <c r="AB805" s="138"/>
      <c r="AC805" s="138"/>
      <c r="AD805" s="138"/>
      <c r="AE805" s="138"/>
      <c r="AF805" s="142"/>
      <c r="AG805" s="147"/>
      <c r="AH805" s="147"/>
      <c r="AI805" s="147"/>
      <c r="AJ805" s="147"/>
      <c r="AK805" s="147"/>
      <c r="AL805" s="94"/>
      <c r="AM805" s="94"/>
      <c r="AN805" s="153"/>
      <c r="AO805" s="153"/>
      <c r="AP805" s="153"/>
      <c r="AQ805" s="153"/>
      <c r="AR805" s="125"/>
      <c r="AS805" s="125"/>
    </row>
    <row r="806" spans="23:45">
      <c r="W806" s="147"/>
      <c r="X806" s="138"/>
      <c r="Y806" s="138"/>
      <c r="Z806" s="138"/>
      <c r="AA806" s="138"/>
      <c r="AB806" s="138"/>
      <c r="AC806" s="138"/>
      <c r="AD806" s="138"/>
      <c r="AE806" s="138"/>
      <c r="AF806" s="142"/>
      <c r="AG806" s="147"/>
      <c r="AH806" s="147"/>
      <c r="AI806" s="147"/>
      <c r="AJ806" s="147"/>
      <c r="AK806" s="147"/>
      <c r="AL806" s="94"/>
      <c r="AM806" s="94"/>
      <c r="AN806" s="153"/>
      <c r="AO806" s="153"/>
      <c r="AP806" s="153"/>
      <c r="AQ806" s="153"/>
      <c r="AR806" s="125"/>
      <c r="AS806" s="125"/>
    </row>
    <row r="807" spans="23:45">
      <c r="W807" s="147"/>
      <c r="X807" s="138"/>
      <c r="Y807" s="138"/>
      <c r="Z807" s="138"/>
      <c r="AA807" s="138"/>
      <c r="AB807" s="138"/>
      <c r="AC807" s="138"/>
      <c r="AD807" s="138"/>
      <c r="AE807" s="138"/>
      <c r="AF807" s="142"/>
      <c r="AG807" s="147"/>
      <c r="AH807" s="147"/>
      <c r="AI807" s="147"/>
      <c r="AJ807" s="147"/>
      <c r="AK807" s="147"/>
      <c r="AL807" s="94"/>
      <c r="AM807" s="94"/>
      <c r="AN807" s="153"/>
      <c r="AO807" s="153"/>
      <c r="AP807" s="153"/>
      <c r="AQ807" s="153"/>
      <c r="AR807" s="125"/>
      <c r="AS807" s="125"/>
    </row>
    <row r="808" spans="23:45">
      <c r="W808" s="147"/>
      <c r="X808" s="138"/>
      <c r="Y808" s="138"/>
      <c r="Z808" s="138"/>
      <c r="AA808" s="138"/>
      <c r="AB808" s="138"/>
      <c r="AC808" s="138"/>
      <c r="AD808" s="138"/>
      <c r="AE808" s="138"/>
      <c r="AF808" s="142"/>
      <c r="AG808" s="147"/>
      <c r="AH808" s="147"/>
      <c r="AI808" s="147"/>
      <c r="AJ808" s="147"/>
      <c r="AK808" s="147"/>
      <c r="AL808" s="94"/>
      <c r="AM808" s="94"/>
      <c r="AN808" s="153"/>
      <c r="AO808" s="153"/>
      <c r="AP808" s="153"/>
      <c r="AQ808" s="153"/>
      <c r="AR808" s="125"/>
      <c r="AS808" s="125"/>
    </row>
    <row r="809" spans="23:45">
      <c r="W809" s="147"/>
      <c r="X809" s="138"/>
      <c r="Y809" s="138"/>
      <c r="Z809" s="138"/>
      <c r="AA809" s="138"/>
      <c r="AB809" s="138"/>
      <c r="AC809" s="138"/>
      <c r="AD809" s="138"/>
      <c r="AE809" s="138"/>
      <c r="AF809" s="142"/>
      <c r="AG809" s="147"/>
      <c r="AH809" s="147"/>
      <c r="AI809" s="147"/>
      <c r="AJ809" s="147"/>
      <c r="AK809" s="147"/>
      <c r="AL809" s="94"/>
      <c r="AM809" s="94"/>
      <c r="AN809" s="153"/>
      <c r="AO809" s="153"/>
      <c r="AP809" s="153"/>
      <c r="AQ809" s="153"/>
      <c r="AR809" s="125"/>
      <c r="AS809" s="125"/>
    </row>
    <row r="810" spans="23:45">
      <c r="W810" s="147"/>
      <c r="X810" s="138"/>
      <c r="Y810" s="138"/>
      <c r="Z810" s="138"/>
      <c r="AA810" s="138"/>
      <c r="AB810" s="138"/>
      <c r="AC810" s="138"/>
      <c r="AD810" s="138"/>
      <c r="AE810" s="138"/>
      <c r="AF810" s="142"/>
      <c r="AG810" s="147"/>
      <c r="AH810" s="147"/>
      <c r="AI810" s="147"/>
      <c r="AJ810" s="147"/>
      <c r="AK810" s="147"/>
      <c r="AL810" s="94"/>
      <c r="AM810" s="94"/>
      <c r="AN810" s="153"/>
      <c r="AO810" s="153"/>
      <c r="AP810" s="153"/>
      <c r="AQ810" s="153"/>
      <c r="AR810" s="125"/>
      <c r="AS810" s="125"/>
    </row>
    <row r="811" spans="23:45">
      <c r="W811" s="147"/>
      <c r="X811" s="138"/>
      <c r="Y811" s="138"/>
      <c r="Z811" s="138"/>
      <c r="AA811" s="138"/>
      <c r="AB811" s="138"/>
      <c r="AC811" s="138"/>
      <c r="AD811" s="138"/>
      <c r="AE811" s="138"/>
      <c r="AF811" s="142"/>
      <c r="AG811" s="147"/>
      <c r="AH811" s="147"/>
      <c r="AI811" s="147"/>
      <c r="AJ811" s="147"/>
      <c r="AK811" s="147"/>
      <c r="AL811" s="94"/>
      <c r="AM811" s="94"/>
      <c r="AN811" s="153"/>
      <c r="AO811" s="153"/>
      <c r="AP811" s="153"/>
      <c r="AQ811" s="153"/>
      <c r="AR811" s="125"/>
      <c r="AS811" s="125"/>
    </row>
    <row r="812" spans="23:45">
      <c r="W812" s="147"/>
      <c r="X812" s="138"/>
      <c r="Y812" s="138"/>
      <c r="Z812" s="138"/>
      <c r="AA812" s="138"/>
      <c r="AB812" s="138"/>
      <c r="AC812" s="138"/>
      <c r="AD812" s="138"/>
      <c r="AE812" s="138"/>
      <c r="AF812" s="142"/>
      <c r="AG812" s="147"/>
      <c r="AH812" s="147"/>
      <c r="AI812" s="147"/>
      <c r="AJ812" s="147"/>
      <c r="AK812" s="147"/>
      <c r="AL812" s="94"/>
      <c r="AM812" s="94"/>
      <c r="AN812" s="153"/>
      <c r="AO812" s="153"/>
      <c r="AP812" s="153"/>
      <c r="AQ812" s="153"/>
      <c r="AR812" s="125"/>
      <c r="AS812" s="125"/>
    </row>
    <row r="813" spans="23:45">
      <c r="W813" s="147"/>
      <c r="X813" s="138"/>
      <c r="Y813" s="138"/>
      <c r="Z813" s="138"/>
      <c r="AA813" s="138"/>
      <c r="AB813" s="138"/>
      <c r="AC813" s="138"/>
      <c r="AD813" s="138"/>
      <c r="AE813" s="138"/>
      <c r="AF813" s="142"/>
      <c r="AG813" s="147"/>
      <c r="AH813" s="147"/>
      <c r="AI813" s="147"/>
      <c r="AJ813" s="147"/>
      <c r="AK813" s="147"/>
      <c r="AL813" s="94"/>
      <c r="AM813" s="94"/>
      <c r="AN813" s="153"/>
      <c r="AO813" s="153"/>
      <c r="AP813" s="153"/>
      <c r="AQ813" s="153"/>
      <c r="AR813" s="125"/>
      <c r="AS813" s="125"/>
    </row>
    <row r="814" spans="23:45">
      <c r="W814" s="147"/>
      <c r="X814" s="138"/>
      <c r="Y814" s="138"/>
      <c r="Z814" s="138"/>
      <c r="AA814" s="138"/>
      <c r="AB814" s="138"/>
      <c r="AC814" s="138"/>
      <c r="AD814" s="138"/>
      <c r="AE814" s="138"/>
      <c r="AF814" s="142"/>
      <c r="AG814" s="147"/>
      <c r="AH814" s="147"/>
      <c r="AI814" s="147"/>
      <c r="AJ814" s="147"/>
      <c r="AK814" s="147"/>
      <c r="AL814" s="94"/>
      <c r="AM814" s="94"/>
      <c r="AN814" s="153"/>
      <c r="AO814" s="153"/>
      <c r="AP814" s="153"/>
      <c r="AQ814" s="153"/>
      <c r="AR814" s="125"/>
      <c r="AS814" s="125"/>
    </row>
    <row r="815" spans="23:45">
      <c r="W815" s="147"/>
      <c r="X815" s="138"/>
      <c r="Y815" s="138"/>
      <c r="Z815" s="138"/>
      <c r="AA815" s="138"/>
      <c r="AB815" s="138"/>
      <c r="AC815" s="138"/>
      <c r="AD815" s="138"/>
      <c r="AE815" s="138"/>
      <c r="AF815" s="142"/>
      <c r="AG815" s="147"/>
      <c r="AH815" s="147"/>
      <c r="AI815" s="147"/>
      <c r="AJ815" s="147"/>
      <c r="AK815" s="147"/>
      <c r="AL815" s="94"/>
      <c r="AM815" s="94"/>
      <c r="AN815" s="153"/>
      <c r="AO815" s="153"/>
      <c r="AP815" s="153"/>
      <c r="AQ815" s="153"/>
      <c r="AR815" s="125"/>
      <c r="AS815" s="125"/>
    </row>
    <row r="816" spans="23:45">
      <c r="W816" s="147"/>
      <c r="X816" s="138"/>
      <c r="Y816" s="138"/>
      <c r="Z816" s="138"/>
      <c r="AA816" s="138"/>
      <c r="AB816" s="138"/>
      <c r="AC816" s="138"/>
      <c r="AD816" s="138"/>
      <c r="AE816" s="138"/>
      <c r="AF816" s="142"/>
      <c r="AG816" s="147"/>
      <c r="AH816" s="147"/>
      <c r="AI816" s="147"/>
      <c r="AJ816" s="147"/>
      <c r="AK816" s="147"/>
      <c r="AL816" s="94"/>
      <c r="AM816" s="94"/>
      <c r="AN816" s="153"/>
      <c r="AO816" s="153"/>
      <c r="AP816" s="153"/>
      <c r="AQ816" s="153"/>
      <c r="AR816" s="125"/>
      <c r="AS816" s="125"/>
    </row>
    <row r="817" spans="23:45">
      <c r="W817" s="147"/>
      <c r="X817" s="138"/>
      <c r="Y817" s="138"/>
      <c r="Z817" s="138"/>
      <c r="AA817" s="138"/>
      <c r="AB817" s="138"/>
      <c r="AC817" s="138"/>
      <c r="AD817" s="138"/>
      <c r="AE817" s="138"/>
      <c r="AF817" s="142"/>
      <c r="AG817" s="147"/>
      <c r="AH817" s="147"/>
      <c r="AI817" s="147"/>
      <c r="AJ817" s="147"/>
      <c r="AK817" s="147"/>
      <c r="AL817" s="94"/>
      <c r="AM817" s="94"/>
      <c r="AN817" s="153"/>
      <c r="AO817" s="153"/>
      <c r="AP817" s="153"/>
      <c r="AQ817" s="153"/>
      <c r="AR817" s="125"/>
      <c r="AS817" s="125"/>
    </row>
    <row r="818" spans="23:45">
      <c r="W818" s="147"/>
      <c r="X818" s="138"/>
      <c r="Y818" s="138"/>
      <c r="Z818" s="138"/>
      <c r="AA818" s="138"/>
      <c r="AB818" s="138"/>
      <c r="AC818" s="138"/>
      <c r="AD818" s="138"/>
      <c r="AE818" s="138"/>
      <c r="AF818" s="142"/>
      <c r="AG818" s="147"/>
      <c r="AH818" s="147"/>
      <c r="AI818" s="147"/>
      <c r="AJ818" s="147"/>
      <c r="AK818" s="147"/>
      <c r="AL818" s="94"/>
      <c r="AM818" s="94"/>
      <c r="AN818" s="153"/>
      <c r="AO818" s="153"/>
      <c r="AP818" s="153"/>
      <c r="AQ818" s="153"/>
      <c r="AR818" s="125"/>
      <c r="AS818" s="125"/>
    </row>
    <row r="819" spans="23:45">
      <c r="W819" s="147"/>
      <c r="X819" s="138"/>
      <c r="Y819" s="138"/>
      <c r="Z819" s="138"/>
      <c r="AA819" s="138"/>
      <c r="AB819" s="138"/>
      <c r="AC819" s="138"/>
      <c r="AD819" s="138"/>
      <c r="AE819" s="138"/>
      <c r="AF819" s="142"/>
      <c r="AG819" s="147"/>
      <c r="AH819" s="147"/>
      <c r="AI819" s="147"/>
      <c r="AJ819" s="147"/>
      <c r="AK819" s="147"/>
      <c r="AL819" s="94"/>
      <c r="AM819" s="94"/>
      <c r="AN819" s="153"/>
      <c r="AO819" s="153"/>
      <c r="AP819" s="153"/>
      <c r="AQ819" s="153"/>
      <c r="AR819" s="125"/>
      <c r="AS819" s="125"/>
    </row>
    <row r="820" spans="23:45">
      <c r="W820" s="147"/>
      <c r="X820" s="138"/>
      <c r="Y820" s="138"/>
      <c r="Z820" s="138"/>
      <c r="AA820" s="138"/>
      <c r="AB820" s="138"/>
      <c r="AC820" s="138"/>
      <c r="AD820" s="138"/>
      <c r="AE820" s="138"/>
      <c r="AF820" s="142"/>
      <c r="AG820" s="147"/>
      <c r="AH820" s="147"/>
      <c r="AI820" s="147"/>
      <c r="AJ820" s="147"/>
      <c r="AK820" s="147"/>
      <c r="AL820" s="94"/>
      <c r="AM820" s="94"/>
      <c r="AN820" s="153"/>
      <c r="AO820" s="153"/>
      <c r="AP820" s="153"/>
      <c r="AQ820" s="153"/>
      <c r="AR820" s="125"/>
      <c r="AS820" s="125"/>
    </row>
    <row r="821" spans="23:45">
      <c r="W821" s="147"/>
      <c r="X821" s="138"/>
      <c r="Y821" s="138"/>
      <c r="Z821" s="138"/>
      <c r="AA821" s="138"/>
      <c r="AB821" s="138"/>
      <c r="AC821" s="138"/>
      <c r="AD821" s="138"/>
      <c r="AE821" s="138"/>
      <c r="AF821" s="142"/>
      <c r="AG821" s="147"/>
      <c r="AH821" s="147"/>
      <c r="AI821" s="147"/>
      <c r="AJ821" s="147"/>
      <c r="AK821" s="147"/>
      <c r="AL821" s="94"/>
      <c r="AM821" s="94"/>
      <c r="AN821" s="153"/>
      <c r="AO821" s="153"/>
      <c r="AP821" s="153"/>
      <c r="AQ821" s="153"/>
      <c r="AR821" s="125"/>
      <c r="AS821" s="125"/>
    </row>
    <row r="822" spans="23:45">
      <c r="W822" s="147"/>
      <c r="X822" s="138"/>
      <c r="Y822" s="138"/>
      <c r="Z822" s="138"/>
      <c r="AA822" s="138"/>
      <c r="AB822" s="138"/>
      <c r="AC822" s="138"/>
      <c r="AD822" s="138"/>
      <c r="AE822" s="138"/>
      <c r="AF822" s="142"/>
      <c r="AG822" s="147"/>
      <c r="AH822" s="147"/>
      <c r="AI822" s="147"/>
      <c r="AJ822" s="147"/>
      <c r="AK822" s="147"/>
      <c r="AL822" s="94"/>
      <c r="AM822" s="94"/>
      <c r="AN822" s="153"/>
      <c r="AO822" s="153"/>
      <c r="AP822" s="153"/>
      <c r="AQ822" s="153"/>
      <c r="AR822" s="125"/>
      <c r="AS822" s="125"/>
    </row>
    <row r="823" spans="23:45">
      <c r="W823" s="147"/>
      <c r="X823" s="138"/>
      <c r="Y823" s="138"/>
      <c r="Z823" s="138"/>
      <c r="AA823" s="138"/>
      <c r="AB823" s="138"/>
      <c r="AC823" s="138"/>
      <c r="AD823" s="138"/>
      <c r="AE823" s="138"/>
      <c r="AF823" s="142"/>
      <c r="AG823" s="147"/>
      <c r="AH823" s="147"/>
      <c r="AI823" s="147"/>
      <c r="AJ823" s="147"/>
      <c r="AK823" s="147"/>
      <c r="AL823" s="94"/>
      <c r="AM823" s="94"/>
      <c r="AN823" s="153"/>
      <c r="AO823" s="153"/>
      <c r="AP823" s="153"/>
      <c r="AQ823" s="153"/>
      <c r="AR823" s="125"/>
      <c r="AS823" s="125"/>
    </row>
    <row r="824" spans="23:45">
      <c r="W824" s="147"/>
      <c r="X824" s="138"/>
      <c r="Y824" s="138"/>
      <c r="Z824" s="138"/>
      <c r="AA824" s="138"/>
      <c r="AB824" s="138"/>
      <c r="AC824" s="138"/>
      <c r="AD824" s="138"/>
      <c r="AE824" s="138"/>
      <c r="AF824" s="142"/>
      <c r="AG824" s="147"/>
      <c r="AH824" s="147"/>
      <c r="AI824" s="147"/>
      <c r="AJ824" s="147"/>
      <c r="AK824" s="147"/>
      <c r="AL824" s="94"/>
      <c r="AM824" s="94"/>
      <c r="AN824" s="153"/>
      <c r="AO824" s="153"/>
      <c r="AP824" s="153"/>
      <c r="AQ824" s="153"/>
      <c r="AR824" s="125"/>
      <c r="AS824" s="125"/>
    </row>
    <row r="825" spans="23:45">
      <c r="W825" s="147"/>
      <c r="X825" s="138"/>
      <c r="Y825" s="138"/>
      <c r="Z825" s="138"/>
      <c r="AA825" s="138"/>
      <c r="AB825" s="138"/>
      <c r="AC825" s="138"/>
      <c r="AD825" s="138"/>
      <c r="AE825" s="138"/>
      <c r="AF825" s="142"/>
      <c r="AG825" s="147"/>
      <c r="AH825" s="147"/>
      <c r="AI825" s="147"/>
      <c r="AJ825" s="147"/>
      <c r="AK825" s="147"/>
      <c r="AL825" s="94"/>
      <c r="AM825" s="94"/>
      <c r="AN825" s="153"/>
      <c r="AO825" s="153"/>
      <c r="AP825" s="153"/>
      <c r="AQ825" s="153"/>
      <c r="AR825" s="125"/>
      <c r="AS825" s="125"/>
    </row>
    <row r="826" spans="23:45">
      <c r="W826" s="147"/>
      <c r="X826" s="138"/>
      <c r="Y826" s="138"/>
      <c r="Z826" s="138"/>
      <c r="AA826" s="138"/>
      <c r="AB826" s="138"/>
      <c r="AC826" s="138"/>
      <c r="AD826" s="138"/>
      <c r="AE826" s="138"/>
      <c r="AF826" s="142"/>
      <c r="AG826" s="147"/>
      <c r="AH826" s="147"/>
      <c r="AI826" s="147"/>
      <c r="AJ826" s="147"/>
      <c r="AK826" s="147"/>
      <c r="AL826" s="94"/>
      <c r="AM826" s="94"/>
      <c r="AN826" s="153"/>
      <c r="AO826" s="153"/>
      <c r="AP826" s="153"/>
      <c r="AQ826" s="153"/>
      <c r="AR826" s="125"/>
      <c r="AS826" s="125"/>
    </row>
    <row r="827" spans="23:45">
      <c r="W827" s="147"/>
      <c r="X827" s="138"/>
      <c r="Y827" s="138"/>
      <c r="Z827" s="138"/>
      <c r="AA827" s="138"/>
      <c r="AB827" s="138"/>
      <c r="AC827" s="138"/>
      <c r="AD827" s="138"/>
      <c r="AE827" s="138"/>
      <c r="AF827" s="142"/>
      <c r="AG827" s="147"/>
      <c r="AH827" s="147"/>
      <c r="AI827" s="147"/>
      <c r="AJ827" s="147"/>
      <c r="AK827" s="147"/>
      <c r="AL827" s="94"/>
      <c r="AM827" s="94"/>
      <c r="AN827" s="153"/>
      <c r="AO827" s="153"/>
      <c r="AP827" s="153"/>
      <c r="AQ827" s="153"/>
      <c r="AR827" s="125"/>
      <c r="AS827" s="125"/>
    </row>
    <row r="828" spans="23:45">
      <c r="W828" s="147"/>
      <c r="X828" s="138"/>
      <c r="Y828" s="138"/>
      <c r="Z828" s="138"/>
      <c r="AA828" s="138"/>
      <c r="AB828" s="138"/>
      <c r="AC828" s="138"/>
      <c r="AD828" s="138"/>
      <c r="AE828" s="138"/>
      <c r="AF828" s="142"/>
      <c r="AG828" s="147"/>
      <c r="AH828" s="147"/>
      <c r="AI828" s="147"/>
      <c r="AJ828" s="147"/>
      <c r="AK828" s="147"/>
      <c r="AL828" s="94"/>
      <c r="AM828" s="94"/>
      <c r="AN828" s="153"/>
      <c r="AO828" s="153"/>
      <c r="AP828" s="153"/>
      <c r="AQ828" s="153"/>
      <c r="AR828" s="125"/>
      <c r="AS828" s="125"/>
    </row>
    <row r="829" spans="23:45">
      <c r="W829" s="147"/>
      <c r="X829" s="138"/>
      <c r="Y829" s="138"/>
      <c r="Z829" s="138"/>
      <c r="AA829" s="138"/>
      <c r="AB829" s="138"/>
      <c r="AC829" s="138"/>
      <c r="AD829" s="138"/>
      <c r="AE829" s="138"/>
      <c r="AF829" s="142"/>
      <c r="AG829" s="147"/>
      <c r="AH829" s="147"/>
      <c r="AI829" s="147"/>
      <c r="AJ829" s="147"/>
      <c r="AK829" s="147"/>
      <c r="AL829" s="94"/>
      <c r="AM829" s="94"/>
      <c r="AN829" s="153"/>
      <c r="AO829" s="153"/>
      <c r="AP829" s="153"/>
      <c r="AQ829" s="153"/>
      <c r="AR829" s="125"/>
      <c r="AS829" s="125"/>
    </row>
    <row r="830" spans="23:45">
      <c r="W830" s="147"/>
      <c r="X830" s="138"/>
      <c r="Y830" s="138"/>
      <c r="Z830" s="138"/>
      <c r="AA830" s="138"/>
      <c r="AB830" s="138"/>
      <c r="AC830" s="138"/>
      <c r="AD830" s="138"/>
      <c r="AE830" s="138"/>
      <c r="AF830" s="142"/>
      <c r="AG830" s="147"/>
      <c r="AH830" s="147"/>
      <c r="AI830" s="147"/>
      <c r="AJ830" s="147"/>
      <c r="AK830" s="147"/>
      <c r="AL830" s="94"/>
      <c r="AM830" s="94"/>
      <c r="AN830" s="153"/>
      <c r="AO830" s="153"/>
      <c r="AP830" s="153"/>
      <c r="AQ830" s="153"/>
      <c r="AR830" s="125"/>
      <c r="AS830" s="125"/>
    </row>
    <row r="831" spans="23:45">
      <c r="W831" s="147"/>
      <c r="X831" s="138"/>
      <c r="Y831" s="138"/>
      <c r="Z831" s="138"/>
      <c r="AA831" s="138"/>
      <c r="AB831" s="138"/>
      <c r="AC831" s="138"/>
      <c r="AD831" s="138"/>
      <c r="AE831" s="138"/>
      <c r="AF831" s="142"/>
      <c r="AG831" s="147"/>
      <c r="AH831" s="147"/>
      <c r="AI831" s="147"/>
      <c r="AJ831" s="147"/>
      <c r="AK831" s="147"/>
      <c r="AL831" s="94"/>
      <c r="AM831" s="94"/>
      <c r="AN831" s="153"/>
      <c r="AO831" s="153"/>
      <c r="AP831" s="153"/>
      <c r="AQ831" s="153"/>
      <c r="AR831" s="125"/>
      <c r="AS831" s="125"/>
    </row>
    <row r="832" spans="23:45">
      <c r="W832" s="147"/>
      <c r="X832" s="138"/>
      <c r="Y832" s="138"/>
      <c r="Z832" s="138"/>
      <c r="AA832" s="138"/>
      <c r="AB832" s="138"/>
      <c r="AC832" s="138"/>
      <c r="AD832" s="138"/>
      <c r="AE832" s="138"/>
      <c r="AF832" s="142"/>
      <c r="AG832" s="147"/>
      <c r="AH832" s="147"/>
      <c r="AI832" s="147"/>
      <c r="AJ832" s="147"/>
      <c r="AK832" s="147"/>
      <c r="AL832" s="94"/>
      <c r="AM832" s="94"/>
      <c r="AN832" s="153"/>
      <c r="AO832" s="153"/>
      <c r="AP832" s="153"/>
      <c r="AQ832" s="153"/>
      <c r="AR832" s="125"/>
      <c r="AS832" s="125"/>
    </row>
    <row r="833" spans="23:45">
      <c r="W833" s="147"/>
      <c r="X833" s="138"/>
      <c r="Y833" s="138"/>
      <c r="Z833" s="138"/>
      <c r="AA833" s="138"/>
      <c r="AB833" s="138"/>
      <c r="AC833" s="138"/>
      <c r="AD833" s="138"/>
      <c r="AE833" s="138"/>
      <c r="AF833" s="142"/>
      <c r="AG833" s="147"/>
      <c r="AH833" s="147"/>
      <c r="AI833" s="147"/>
      <c r="AJ833" s="147"/>
      <c r="AK833" s="147"/>
      <c r="AL833" s="94"/>
      <c r="AM833" s="94"/>
      <c r="AN833" s="153"/>
      <c r="AO833" s="153"/>
      <c r="AP833" s="153"/>
      <c r="AQ833" s="153"/>
      <c r="AR833" s="125"/>
      <c r="AS833" s="125"/>
    </row>
    <row r="834" spans="23:45">
      <c r="W834" s="147"/>
      <c r="X834" s="138"/>
      <c r="Y834" s="138"/>
      <c r="Z834" s="138"/>
      <c r="AA834" s="138"/>
      <c r="AB834" s="138"/>
      <c r="AC834" s="138"/>
      <c r="AD834" s="138"/>
      <c r="AE834" s="138"/>
      <c r="AF834" s="142"/>
      <c r="AG834" s="147"/>
      <c r="AH834" s="147"/>
      <c r="AI834" s="147"/>
      <c r="AJ834" s="147"/>
      <c r="AK834" s="147"/>
      <c r="AL834" s="94"/>
      <c r="AM834" s="94"/>
      <c r="AN834" s="153"/>
      <c r="AO834" s="153"/>
      <c r="AP834" s="153"/>
      <c r="AQ834" s="153"/>
      <c r="AR834" s="125"/>
      <c r="AS834" s="125"/>
    </row>
    <row r="835" spans="23:45">
      <c r="W835" s="147"/>
      <c r="X835" s="138"/>
      <c r="Y835" s="138"/>
      <c r="Z835" s="138"/>
      <c r="AA835" s="138"/>
      <c r="AB835" s="138"/>
      <c r="AC835" s="138"/>
      <c r="AD835" s="138"/>
      <c r="AE835" s="138"/>
      <c r="AF835" s="142"/>
      <c r="AG835" s="147"/>
      <c r="AH835" s="147"/>
      <c r="AI835" s="147"/>
      <c r="AJ835" s="147"/>
      <c r="AK835" s="147"/>
      <c r="AL835" s="94"/>
      <c r="AM835" s="94"/>
      <c r="AN835" s="153"/>
      <c r="AO835" s="153"/>
      <c r="AP835" s="153"/>
      <c r="AQ835" s="153"/>
      <c r="AR835" s="125"/>
      <c r="AS835" s="125"/>
    </row>
    <row r="836" spans="23:45">
      <c r="W836" s="147"/>
      <c r="X836" s="138"/>
      <c r="Y836" s="138"/>
      <c r="Z836" s="138"/>
      <c r="AA836" s="138"/>
      <c r="AB836" s="138"/>
      <c r="AC836" s="138"/>
      <c r="AD836" s="138"/>
      <c r="AE836" s="138"/>
      <c r="AF836" s="142"/>
      <c r="AG836" s="147"/>
      <c r="AH836" s="147"/>
      <c r="AI836" s="147"/>
      <c r="AJ836" s="147"/>
      <c r="AK836" s="147"/>
      <c r="AL836" s="94"/>
      <c r="AM836" s="94"/>
      <c r="AN836" s="153"/>
      <c r="AO836" s="153"/>
      <c r="AP836" s="153"/>
      <c r="AQ836" s="153"/>
      <c r="AR836" s="125"/>
      <c r="AS836" s="125"/>
    </row>
    <row r="837" spans="23:45">
      <c r="W837" s="147"/>
      <c r="X837" s="138"/>
      <c r="Y837" s="138"/>
      <c r="Z837" s="138"/>
      <c r="AA837" s="138"/>
      <c r="AB837" s="138"/>
      <c r="AC837" s="138"/>
      <c r="AD837" s="138"/>
      <c r="AE837" s="138"/>
      <c r="AF837" s="142"/>
      <c r="AG837" s="147"/>
      <c r="AH837" s="147"/>
      <c r="AI837" s="147"/>
      <c r="AJ837" s="147"/>
      <c r="AK837" s="147"/>
      <c r="AL837" s="94"/>
      <c r="AM837" s="94"/>
      <c r="AN837" s="153"/>
      <c r="AO837" s="153"/>
      <c r="AP837" s="153"/>
      <c r="AQ837" s="153"/>
      <c r="AR837" s="125"/>
      <c r="AS837" s="125"/>
    </row>
    <row r="838" spans="23:45">
      <c r="W838" s="147"/>
      <c r="X838" s="138"/>
      <c r="Y838" s="138"/>
      <c r="Z838" s="138"/>
      <c r="AA838" s="138"/>
      <c r="AB838" s="138"/>
      <c r="AC838" s="138"/>
      <c r="AD838" s="138"/>
      <c r="AE838" s="138"/>
      <c r="AF838" s="142"/>
      <c r="AG838" s="147"/>
      <c r="AH838" s="147"/>
      <c r="AI838" s="147"/>
      <c r="AJ838" s="147"/>
      <c r="AK838" s="147"/>
      <c r="AL838" s="94"/>
      <c r="AM838" s="94"/>
      <c r="AN838" s="153"/>
      <c r="AO838" s="153"/>
      <c r="AP838" s="153"/>
      <c r="AQ838" s="153"/>
      <c r="AR838" s="125"/>
      <c r="AS838" s="125"/>
    </row>
    <row r="839" spans="23:45">
      <c r="W839" s="147"/>
      <c r="X839" s="138"/>
      <c r="Y839" s="138"/>
      <c r="Z839" s="138"/>
      <c r="AA839" s="138"/>
      <c r="AB839" s="138"/>
      <c r="AC839" s="138"/>
      <c r="AD839" s="138"/>
      <c r="AE839" s="138"/>
      <c r="AF839" s="142"/>
      <c r="AG839" s="147"/>
      <c r="AH839" s="147"/>
      <c r="AI839" s="147"/>
      <c r="AJ839" s="147"/>
      <c r="AK839" s="147"/>
      <c r="AL839" s="94"/>
      <c r="AM839" s="94"/>
      <c r="AN839" s="153"/>
      <c r="AO839" s="153"/>
      <c r="AP839" s="153"/>
      <c r="AQ839" s="153"/>
      <c r="AR839" s="125"/>
      <c r="AS839" s="125"/>
    </row>
    <row r="840" spans="23:45">
      <c r="W840" s="147"/>
      <c r="X840" s="138"/>
      <c r="Y840" s="138"/>
      <c r="Z840" s="138"/>
      <c r="AA840" s="138"/>
      <c r="AB840" s="138"/>
      <c r="AC840" s="138"/>
      <c r="AD840" s="138"/>
      <c r="AE840" s="138"/>
      <c r="AF840" s="142"/>
      <c r="AG840" s="147"/>
      <c r="AH840" s="147"/>
      <c r="AI840" s="147"/>
      <c r="AJ840" s="147"/>
      <c r="AK840" s="147"/>
      <c r="AL840" s="94"/>
      <c r="AM840" s="94"/>
      <c r="AN840" s="153"/>
      <c r="AO840" s="153"/>
      <c r="AP840" s="153"/>
      <c r="AQ840" s="153"/>
      <c r="AR840" s="125"/>
      <c r="AS840" s="125"/>
    </row>
    <row r="841" spans="23:45">
      <c r="W841" s="147"/>
      <c r="X841" s="138"/>
      <c r="Y841" s="138"/>
      <c r="Z841" s="138"/>
      <c r="AA841" s="138"/>
      <c r="AB841" s="138"/>
      <c r="AC841" s="138"/>
      <c r="AD841" s="138"/>
      <c r="AE841" s="138"/>
      <c r="AF841" s="142"/>
      <c r="AG841" s="147"/>
      <c r="AH841" s="147"/>
      <c r="AI841" s="147"/>
      <c r="AJ841" s="147"/>
      <c r="AK841" s="147"/>
      <c r="AL841" s="94"/>
      <c r="AM841" s="94"/>
      <c r="AN841" s="153"/>
      <c r="AO841" s="153"/>
      <c r="AP841" s="153"/>
      <c r="AQ841" s="153"/>
      <c r="AR841" s="125"/>
      <c r="AS841" s="125"/>
    </row>
    <row r="842" spans="23:45">
      <c r="W842" s="147"/>
      <c r="X842" s="138"/>
      <c r="Y842" s="138"/>
      <c r="Z842" s="138"/>
      <c r="AA842" s="138"/>
      <c r="AB842" s="138"/>
      <c r="AC842" s="138"/>
      <c r="AD842" s="138"/>
      <c r="AE842" s="138"/>
      <c r="AF842" s="142"/>
      <c r="AG842" s="147"/>
      <c r="AH842" s="147"/>
      <c r="AI842" s="147"/>
      <c r="AJ842" s="147"/>
      <c r="AK842" s="147"/>
      <c r="AL842" s="94"/>
      <c r="AM842" s="94"/>
      <c r="AN842" s="153"/>
      <c r="AO842" s="153"/>
      <c r="AP842" s="153"/>
      <c r="AQ842" s="153"/>
      <c r="AR842" s="125"/>
      <c r="AS842" s="125"/>
    </row>
    <row r="843" spans="23:45">
      <c r="W843" s="147"/>
      <c r="X843" s="138"/>
      <c r="Y843" s="138"/>
      <c r="Z843" s="138"/>
      <c r="AA843" s="138"/>
      <c r="AB843" s="138"/>
      <c r="AC843" s="138"/>
      <c r="AD843" s="138"/>
      <c r="AE843" s="138"/>
      <c r="AF843" s="142"/>
      <c r="AG843" s="147"/>
      <c r="AH843" s="147"/>
      <c r="AI843" s="147"/>
      <c r="AJ843" s="147"/>
      <c r="AK843" s="147"/>
      <c r="AL843" s="94"/>
      <c r="AM843" s="94"/>
      <c r="AN843" s="153"/>
      <c r="AO843" s="153"/>
      <c r="AP843" s="153"/>
      <c r="AQ843" s="153"/>
      <c r="AR843" s="125"/>
      <c r="AS843" s="125"/>
    </row>
    <row r="844" spans="23:45">
      <c r="W844" s="147"/>
      <c r="X844" s="138"/>
      <c r="Y844" s="138"/>
      <c r="Z844" s="138"/>
      <c r="AA844" s="138"/>
      <c r="AB844" s="138"/>
      <c r="AC844" s="138"/>
      <c r="AD844" s="138"/>
      <c r="AE844" s="138"/>
      <c r="AF844" s="142"/>
      <c r="AG844" s="147"/>
      <c r="AH844" s="147"/>
      <c r="AI844" s="147"/>
      <c r="AJ844" s="147"/>
      <c r="AK844" s="147"/>
      <c r="AL844" s="94"/>
      <c r="AM844" s="94"/>
      <c r="AN844" s="153"/>
      <c r="AO844" s="153"/>
      <c r="AP844" s="153"/>
      <c r="AQ844" s="153"/>
      <c r="AR844" s="125"/>
      <c r="AS844" s="125"/>
    </row>
    <row r="845" spans="23:45">
      <c r="W845" s="147"/>
      <c r="X845" s="138"/>
      <c r="Y845" s="138"/>
      <c r="Z845" s="138"/>
      <c r="AA845" s="138"/>
      <c r="AB845" s="138"/>
      <c r="AC845" s="138"/>
      <c r="AD845" s="138"/>
      <c r="AE845" s="138"/>
      <c r="AF845" s="142"/>
      <c r="AG845" s="147"/>
      <c r="AH845" s="147"/>
      <c r="AI845" s="147"/>
      <c r="AJ845" s="147"/>
      <c r="AK845" s="147"/>
      <c r="AL845" s="94"/>
      <c r="AM845" s="94"/>
      <c r="AN845" s="153"/>
      <c r="AO845" s="153"/>
      <c r="AP845" s="153"/>
      <c r="AQ845" s="153"/>
      <c r="AR845" s="125"/>
      <c r="AS845" s="125"/>
    </row>
    <row r="846" spans="23:45">
      <c r="W846" s="147"/>
      <c r="X846" s="138"/>
      <c r="Y846" s="138"/>
      <c r="Z846" s="138"/>
      <c r="AA846" s="138"/>
      <c r="AB846" s="138"/>
      <c r="AC846" s="138"/>
      <c r="AD846" s="138"/>
      <c r="AE846" s="138"/>
      <c r="AF846" s="142"/>
      <c r="AG846" s="147"/>
      <c r="AH846" s="147"/>
      <c r="AI846" s="147"/>
      <c r="AJ846" s="147"/>
      <c r="AK846" s="147"/>
      <c r="AL846" s="94"/>
      <c r="AM846" s="94"/>
      <c r="AN846" s="153"/>
      <c r="AO846" s="153"/>
      <c r="AP846" s="153"/>
      <c r="AQ846" s="153"/>
      <c r="AR846" s="125"/>
      <c r="AS846" s="125"/>
    </row>
    <row r="847" spans="23:45">
      <c r="W847" s="147"/>
      <c r="X847" s="138"/>
      <c r="Y847" s="138"/>
      <c r="Z847" s="138"/>
      <c r="AA847" s="138"/>
      <c r="AB847" s="138"/>
      <c r="AC847" s="138"/>
      <c r="AD847" s="138"/>
      <c r="AE847" s="138"/>
      <c r="AF847" s="142"/>
      <c r="AG847" s="147"/>
      <c r="AH847" s="147"/>
      <c r="AI847" s="147"/>
      <c r="AJ847" s="147"/>
      <c r="AK847" s="147"/>
      <c r="AL847" s="94"/>
      <c r="AM847" s="94"/>
      <c r="AN847" s="153"/>
      <c r="AO847" s="153"/>
      <c r="AP847" s="153"/>
      <c r="AQ847" s="153"/>
      <c r="AR847" s="125"/>
      <c r="AS847" s="125"/>
    </row>
    <row r="848" spans="23:45">
      <c r="W848" s="147"/>
      <c r="X848" s="138"/>
      <c r="Y848" s="138"/>
      <c r="Z848" s="138"/>
      <c r="AA848" s="138"/>
      <c r="AB848" s="138"/>
      <c r="AC848" s="138"/>
      <c r="AD848" s="138"/>
      <c r="AE848" s="138"/>
      <c r="AF848" s="142"/>
      <c r="AG848" s="147"/>
      <c r="AH848" s="147"/>
      <c r="AI848" s="147"/>
      <c r="AJ848" s="147"/>
      <c r="AK848" s="147"/>
      <c r="AL848" s="94"/>
      <c r="AM848" s="94"/>
      <c r="AN848" s="153"/>
      <c r="AO848" s="153"/>
      <c r="AP848" s="153"/>
      <c r="AQ848" s="153"/>
      <c r="AR848" s="125"/>
      <c r="AS848" s="125"/>
    </row>
    <row r="849" spans="23:45">
      <c r="W849" s="147"/>
      <c r="X849" s="138"/>
      <c r="Y849" s="138"/>
      <c r="Z849" s="138"/>
      <c r="AA849" s="138"/>
      <c r="AB849" s="138"/>
      <c r="AC849" s="138"/>
      <c r="AD849" s="138"/>
      <c r="AE849" s="138"/>
      <c r="AF849" s="142"/>
      <c r="AG849" s="147"/>
      <c r="AH849" s="147"/>
      <c r="AI849" s="147"/>
      <c r="AJ849" s="147"/>
      <c r="AK849" s="147"/>
      <c r="AL849" s="94"/>
      <c r="AM849" s="94"/>
      <c r="AN849" s="153"/>
      <c r="AO849" s="153"/>
      <c r="AP849" s="153"/>
      <c r="AQ849" s="153"/>
      <c r="AR849" s="125"/>
      <c r="AS849" s="125"/>
    </row>
    <row r="850" spans="23:45">
      <c r="W850" s="147"/>
      <c r="X850" s="138"/>
      <c r="Y850" s="138"/>
      <c r="Z850" s="138"/>
      <c r="AA850" s="138"/>
      <c r="AB850" s="138"/>
      <c r="AC850" s="138"/>
      <c r="AD850" s="138"/>
      <c r="AE850" s="138"/>
      <c r="AF850" s="142"/>
      <c r="AG850" s="147"/>
      <c r="AH850" s="147"/>
      <c r="AI850" s="147"/>
      <c r="AJ850" s="147"/>
      <c r="AK850" s="147"/>
      <c r="AL850" s="94"/>
      <c r="AM850" s="94"/>
      <c r="AN850" s="153"/>
      <c r="AO850" s="153"/>
      <c r="AP850" s="153"/>
      <c r="AQ850" s="153"/>
      <c r="AR850" s="125"/>
      <c r="AS850" s="125"/>
    </row>
    <row r="851" spans="23:45">
      <c r="W851" s="147"/>
      <c r="X851" s="138"/>
      <c r="Y851" s="138"/>
      <c r="Z851" s="138"/>
      <c r="AA851" s="138"/>
      <c r="AB851" s="138"/>
      <c r="AC851" s="138"/>
      <c r="AD851" s="138"/>
      <c r="AE851" s="138"/>
      <c r="AF851" s="142"/>
      <c r="AG851" s="147"/>
      <c r="AH851" s="147"/>
      <c r="AI851" s="147"/>
      <c r="AJ851" s="147"/>
      <c r="AK851" s="147"/>
      <c r="AL851" s="94"/>
      <c r="AM851" s="94"/>
      <c r="AN851" s="153"/>
      <c r="AO851" s="153"/>
      <c r="AP851" s="153"/>
      <c r="AQ851" s="153"/>
      <c r="AR851" s="125"/>
      <c r="AS851" s="125"/>
    </row>
    <row r="852" spans="23:45">
      <c r="W852" s="147"/>
      <c r="X852" s="138"/>
      <c r="Y852" s="138"/>
      <c r="Z852" s="138"/>
      <c r="AA852" s="138"/>
      <c r="AB852" s="138"/>
      <c r="AC852" s="138"/>
      <c r="AD852" s="138"/>
      <c r="AE852" s="138"/>
      <c r="AF852" s="142"/>
      <c r="AG852" s="147"/>
      <c r="AH852" s="147"/>
      <c r="AI852" s="147"/>
      <c r="AJ852" s="147"/>
      <c r="AK852" s="147"/>
      <c r="AL852" s="94"/>
      <c r="AM852" s="94"/>
      <c r="AN852" s="153"/>
      <c r="AO852" s="153"/>
      <c r="AP852" s="153"/>
      <c r="AQ852" s="153"/>
      <c r="AR852" s="125"/>
      <c r="AS852" s="125"/>
    </row>
    <row r="853" spans="23:45">
      <c r="W853" s="147"/>
      <c r="X853" s="138"/>
      <c r="Y853" s="138"/>
      <c r="Z853" s="138"/>
      <c r="AA853" s="138"/>
      <c r="AB853" s="138"/>
      <c r="AC853" s="138"/>
      <c r="AD853" s="138"/>
      <c r="AE853" s="138"/>
      <c r="AF853" s="142"/>
      <c r="AG853" s="147"/>
      <c r="AH853" s="147"/>
      <c r="AI853" s="147"/>
      <c r="AJ853" s="147"/>
      <c r="AK853" s="147"/>
      <c r="AL853" s="94"/>
      <c r="AM853" s="94"/>
      <c r="AN853" s="153"/>
      <c r="AO853" s="153"/>
      <c r="AP853" s="153"/>
      <c r="AQ853" s="153"/>
      <c r="AR853" s="125"/>
      <c r="AS853" s="125"/>
    </row>
    <row r="854" spans="23:45">
      <c r="W854" s="147"/>
      <c r="X854" s="138"/>
      <c r="Y854" s="138"/>
      <c r="Z854" s="138"/>
      <c r="AA854" s="138"/>
      <c r="AB854" s="138"/>
      <c r="AC854" s="138"/>
      <c r="AD854" s="138"/>
      <c r="AE854" s="138"/>
      <c r="AF854" s="142"/>
      <c r="AG854" s="147"/>
      <c r="AH854" s="147"/>
      <c r="AI854" s="147"/>
      <c r="AJ854" s="147"/>
      <c r="AK854" s="147"/>
      <c r="AL854" s="94"/>
      <c r="AM854" s="94"/>
      <c r="AN854" s="153"/>
      <c r="AO854" s="153"/>
      <c r="AP854" s="153"/>
      <c r="AQ854" s="153"/>
      <c r="AR854" s="125"/>
      <c r="AS854" s="125"/>
    </row>
    <row r="855" spans="23:45">
      <c r="W855" s="147"/>
      <c r="X855" s="138"/>
      <c r="Y855" s="138"/>
      <c r="Z855" s="138"/>
      <c r="AA855" s="138"/>
      <c r="AB855" s="138"/>
      <c r="AC855" s="138"/>
      <c r="AD855" s="138"/>
      <c r="AE855" s="138"/>
      <c r="AF855" s="142"/>
      <c r="AG855" s="147"/>
      <c r="AH855" s="147"/>
      <c r="AI855" s="147"/>
      <c r="AJ855" s="147"/>
      <c r="AK855" s="147"/>
      <c r="AL855" s="94"/>
      <c r="AM855" s="94"/>
      <c r="AN855" s="153"/>
      <c r="AO855" s="153"/>
      <c r="AP855" s="153"/>
      <c r="AQ855" s="153"/>
      <c r="AR855" s="125"/>
      <c r="AS855" s="125"/>
    </row>
    <row r="856" spans="23:45">
      <c r="W856" s="147"/>
      <c r="X856" s="138"/>
      <c r="Y856" s="138"/>
      <c r="Z856" s="138"/>
      <c r="AA856" s="138"/>
      <c r="AB856" s="138"/>
      <c r="AC856" s="138"/>
      <c r="AD856" s="138"/>
      <c r="AE856" s="138"/>
      <c r="AF856" s="142"/>
      <c r="AG856" s="147"/>
      <c r="AH856" s="147"/>
      <c r="AI856" s="147"/>
      <c r="AJ856" s="147"/>
      <c r="AK856" s="147"/>
      <c r="AL856" s="94"/>
      <c r="AM856" s="94"/>
      <c r="AN856" s="153"/>
      <c r="AO856" s="153"/>
      <c r="AP856" s="153"/>
      <c r="AQ856" s="153"/>
      <c r="AR856" s="125"/>
      <c r="AS856" s="125"/>
    </row>
    <row r="857" spans="23:45">
      <c r="W857" s="147"/>
      <c r="X857" s="138"/>
      <c r="Y857" s="138"/>
      <c r="Z857" s="138"/>
      <c r="AA857" s="138"/>
      <c r="AB857" s="138"/>
      <c r="AC857" s="138"/>
      <c r="AD857" s="138"/>
      <c r="AE857" s="138"/>
      <c r="AF857" s="142"/>
      <c r="AG857" s="147"/>
      <c r="AH857" s="147"/>
      <c r="AI857" s="147"/>
      <c r="AJ857" s="147"/>
      <c r="AK857" s="147"/>
      <c r="AL857" s="94"/>
      <c r="AM857" s="94"/>
      <c r="AN857" s="153"/>
      <c r="AO857" s="153"/>
      <c r="AP857" s="153"/>
      <c r="AQ857" s="153"/>
      <c r="AR857" s="125"/>
      <c r="AS857" s="125"/>
    </row>
    <row r="858" spans="23:45">
      <c r="W858" s="147"/>
      <c r="X858" s="138"/>
      <c r="Y858" s="138"/>
      <c r="Z858" s="138"/>
      <c r="AA858" s="138"/>
      <c r="AB858" s="138"/>
      <c r="AC858" s="138"/>
      <c r="AD858" s="138"/>
      <c r="AE858" s="138"/>
      <c r="AF858" s="142"/>
      <c r="AG858" s="147"/>
      <c r="AH858" s="147"/>
      <c r="AI858" s="147"/>
      <c r="AJ858" s="147"/>
      <c r="AK858" s="147"/>
      <c r="AL858" s="94"/>
      <c r="AM858" s="94"/>
      <c r="AN858" s="153"/>
      <c r="AO858" s="153"/>
      <c r="AP858" s="153"/>
      <c r="AQ858" s="153"/>
      <c r="AR858" s="125"/>
      <c r="AS858" s="125"/>
    </row>
    <row r="859" spans="23:45">
      <c r="W859" s="147"/>
      <c r="X859" s="138"/>
      <c r="Y859" s="138"/>
      <c r="Z859" s="138"/>
      <c r="AA859" s="138"/>
      <c r="AB859" s="138"/>
      <c r="AC859" s="138"/>
      <c r="AD859" s="138"/>
      <c r="AE859" s="138"/>
      <c r="AF859" s="142"/>
      <c r="AG859" s="147"/>
      <c r="AH859" s="147"/>
      <c r="AI859" s="147"/>
      <c r="AJ859" s="147"/>
      <c r="AK859" s="147"/>
      <c r="AL859" s="94"/>
      <c r="AM859" s="94"/>
      <c r="AN859" s="153"/>
      <c r="AO859" s="153"/>
      <c r="AP859" s="153"/>
      <c r="AQ859" s="153"/>
      <c r="AR859" s="125"/>
      <c r="AS859" s="125"/>
    </row>
    <row r="860" spans="23:45">
      <c r="W860" s="147"/>
      <c r="X860" s="138"/>
      <c r="Y860" s="138"/>
      <c r="Z860" s="138"/>
      <c r="AA860" s="138"/>
      <c r="AB860" s="138"/>
      <c r="AC860" s="138"/>
      <c r="AD860" s="138"/>
      <c r="AE860" s="138"/>
      <c r="AF860" s="142"/>
      <c r="AG860" s="147"/>
      <c r="AH860" s="147"/>
      <c r="AI860" s="147"/>
      <c r="AJ860" s="147"/>
      <c r="AK860" s="147"/>
      <c r="AL860" s="94"/>
      <c r="AM860" s="94"/>
      <c r="AN860" s="153"/>
      <c r="AO860" s="153"/>
      <c r="AP860" s="153"/>
      <c r="AQ860" s="153"/>
      <c r="AR860" s="125"/>
      <c r="AS860" s="125"/>
    </row>
    <row r="861" spans="23:45">
      <c r="W861" s="147"/>
      <c r="X861" s="138"/>
      <c r="Y861" s="138"/>
      <c r="Z861" s="138"/>
      <c r="AA861" s="138"/>
      <c r="AB861" s="138"/>
      <c r="AC861" s="138"/>
      <c r="AD861" s="138"/>
      <c r="AE861" s="138"/>
      <c r="AF861" s="142"/>
      <c r="AG861" s="147"/>
      <c r="AH861" s="147"/>
      <c r="AI861" s="147"/>
      <c r="AJ861" s="147"/>
      <c r="AK861" s="147"/>
      <c r="AL861" s="94"/>
      <c r="AM861" s="94"/>
      <c r="AN861" s="153"/>
      <c r="AO861" s="153"/>
      <c r="AP861" s="153"/>
      <c r="AQ861" s="153"/>
      <c r="AR861" s="125"/>
      <c r="AS861" s="125"/>
    </row>
    <row r="862" spans="23:45">
      <c r="W862" s="147"/>
      <c r="X862" s="138"/>
      <c r="Y862" s="138"/>
      <c r="Z862" s="138"/>
      <c r="AA862" s="138"/>
      <c r="AB862" s="138"/>
      <c r="AC862" s="138"/>
      <c r="AD862" s="138"/>
      <c r="AE862" s="138"/>
      <c r="AF862" s="142"/>
      <c r="AG862" s="147"/>
      <c r="AH862" s="147"/>
      <c r="AI862" s="147"/>
      <c r="AJ862" s="147"/>
      <c r="AK862" s="147"/>
      <c r="AL862" s="94"/>
      <c r="AM862" s="94"/>
      <c r="AN862" s="153"/>
      <c r="AO862" s="153"/>
      <c r="AP862" s="153"/>
      <c r="AQ862" s="153"/>
      <c r="AR862" s="125"/>
      <c r="AS862" s="125"/>
    </row>
    <row r="863" spans="23:45">
      <c r="W863" s="147"/>
      <c r="X863" s="138"/>
      <c r="Y863" s="138"/>
      <c r="Z863" s="138"/>
      <c r="AA863" s="138"/>
      <c r="AB863" s="138"/>
      <c r="AC863" s="138"/>
      <c r="AD863" s="138"/>
      <c r="AE863" s="138"/>
      <c r="AF863" s="142"/>
      <c r="AG863" s="147"/>
      <c r="AH863" s="147"/>
      <c r="AI863" s="147"/>
      <c r="AJ863" s="147"/>
      <c r="AK863" s="147"/>
      <c r="AL863" s="94"/>
      <c r="AM863" s="94"/>
      <c r="AN863" s="153"/>
      <c r="AO863" s="153"/>
      <c r="AP863" s="153"/>
      <c r="AQ863" s="153"/>
      <c r="AR863" s="125"/>
      <c r="AS863" s="125"/>
    </row>
    <row r="864" spans="23:45">
      <c r="W864" s="147"/>
      <c r="X864" s="138"/>
      <c r="Y864" s="138"/>
      <c r="Z864" s="138"/>
      <c r="AA864" s="138"/>
      <c r="AB864" s="138"/>
      <c r="AC864" s="138"/>
      <c r="AD864" s="138"/>
      <c r="AE864" s="138"/>
      <c r="AF864" s="142"/>
      <c r="AG864" s="147"/>
      <c r="AH864" s="147"/>
      <c r="AI864" s="147"/>
      <c r="AJ864" s="147"/>
      <c r="AK864" s="147"/>
      <c r="AL864" s="94"/>
      <c r="AM864" s="94"/>
      <c r="AN864" s="153"/>
      <c r="AO864" s="153"/>
      <c r="AP864" s="153"/>
      <c r="AQ864" s="153"/>
      <c r="AR864" s="125"/>
      <c r="AS864" s="125"/>
    </row>
    <row r="865" spans="23:45">
      <c r="W865" s="147"/>
      <c r="X865" s="138"/>
      <c r="Y865" s="138"/>
      <c r="Z865" s="138"/>
      <c r="AA865" s="138"/>
      <c r="AB865" s="138"/>
      <c r="AC865" s="138"/>
      <c r="AD865" s="138"/>
      <c r="AE865" s="138"/>
      <c r="AF865" s="142"/>
      <c r="AG865" s="147"/>
      <c r="AH865" s="147"/>
      <c r="AI865" s="147"/>
      <c r="AJ865" s="147"/>
      <c r="AK865" s="147"/>
      <c r="AL865" s="94"/>
      <c r="AM865" s="94"/>
      <c r="AN865" s="153"/>
      <c r="AO865" s="153"/>
      <c r="AP865" s="153"/>
      <c r="AQ865" s="153"/>
      <c r="AR865" s="125"/>
      <c r="AS865" s="125"/>
    </row>
    <row r="866" spans="23:45">
      <c r="W866" s="147"/>
      <c r="X866" s="138"/>
      <c r="Y866" s="138"/>
      <c r="Z866" s="138"/>
      <c r="AA866" s="138"/>
      <c r="AB866" s="138"/>
      <c r="AC866" s="138"/>
      <c r="AD866" s="138"/>
      <c r="AE866" s="138"/>
      <c r="AF866" s="142"/>
      <c r="AG866" s="147"/>
      <c r="AH866" s="147"/>
      <c r="AI866" s="147"/>
      <c r="AJ866" s="147"/>
      <c r="AK866" s="147"/>
      <c r="AL866" s="94"/>
      <c r="AM866" s="94"/>
      <c r="AN866" s="153"/>
      <c r="AO866" s="153"/>
      <c r="AP866" s="153"/>
      <c r="AQ866" s="153"/>
      <c r="AR866" s="125"/>
      <c r="AS866" s="125"/>
    </row>
    <row r="867" spans="23:45">
      <c r="W867" s="147"/>
      <c r="X867" s="138"/>
      <c r="Y867" s="138"/>
      <c r="Z867" s="138"/>
      <c r="AA867" s="138"/>
      <c r="AB867" s="138"/>
      <c r="AC867" s="138"/>
      <c r="AD867" s="138"/>
      <c r="AE867" s="138"/>
      <c r="AF867" s="142"/>
      <c r="AG867" s="147"/>
      <c r="AH867" s="147"/>
      <c r="AI867" s="147"/>
      <c r="AJ867" s="147"/>
      <c r="AK867" s="147"/>
      <c r="AL867" s="94"/>
      <c r="AM867" s="94"/>
      <c r="AN867" s="153"/>
      <c r="AO867" s="153"/>
      <c r="AP867" s="153"/>
      <c r="AQ867" s="153"/>
      <c r="AR867" s="125"/>
      <c r="AS867" s="125"/>
    </row>
    <row r="868" spans="23:45">
      <c r="W868" s="147"/>
      <c r="X868" s="138"/>
      <c r="Y868" s="138"/>
      <c r="Z868" s="138"/>
      <c r="AA868" s="138"/>
      <c r="AB868" s="138"/>
      <c r="AC868" s="138"/>
      <c r="AD868" s="138"/>
      <c r="AE868" s="138"/>
      <c r="AF868" s="142"/>
      <c r="AG868" s="147"/>
      <c r="AH868" s="147"/>
      <c r="AI868" s="147"/>
      <c r="AJ868" s="147"/>
      <c r="AK868" s="147"/>
      <c r="AL868" s="94"/>
      <c r="AM868" s="94"/>
      <c r="AN868" s="153"/>
      <c r="AO868" s="153"/>
      <c r="AP868" s="153"/>
      <c r="AQ868" s="153"/>
      <c r="AR868" s="125"/>
      <c r="AS868" s="125"/>
    </row>
    <row r="869" spans="23:45">
      <c r="W869" s="147"/>
      <c r="X869" s="138"/>
      <c r="Y869" s="138"/>
      <c r="Z869" s="138"/>
      <c r="AA869" s="138"/>
      <c r="AB869" s="138"/>
      <c r="AC869" s="138"/>
      <c r="AD869" s="138"/>
      <c r="AE869" s="138"/>
      <c r="AF869" s="142"/>
      <c r="AG869" s="147"/>
      <c r="AH869" s="147"/>
      <c r="AI869" s="147"/>
      <c r="AJ869" s="147"/>
      <c r="AK869" s="147"/>
      <c r="AL869" s="94"/>
      <c r="AM869" s="94"/>
      <c r="AN869" s="153"/>
      <c r="AO869" s="153"/>
      <c r="AP869" s="153"/>
      <c r="AQ869" s="153"/>
      <c r="AR869" s="125"/>
      <c r="AS869" s="125"/>
    </row>
    <row r="870" spans="23:45">
      <c r="W870" s="147"/>
      <c r="X870" s="138"/>
      <c r="Y870" s="138"/>
      <c r="Z870" s="138"/>
      <c r="AA870" s="138"/>
      <c r="AB870" s="138"/>
      <c r="AC870" s="138"/>
      <c r="AD870" s="138"/>
      <c r="AE870" s="138"/>
      <c r="AF870" s="142"/>
      <c r="AG870" s="147"/>
      <c r="AH870" s="147"/>
      <c r="AI870" s="147"/>
      <c r="AJ870" s="147"/>
      <c r="AK870" s="147"/>
      <c r="AL870" s="94"/>
      <c r="AM870" s="94"/>
      <c r="AN870" s="153"/>
      <c r="AO870" s="153"/>
      <c r="AP870" s="153"/>
      <c r="AQ870" s="153"/>
      <c r="AR870" s="125"/>
      <c r="AS870" s="125"/>
    </row>
    <row r="871" spans="23:45">
      <c r="W871" s="147"/>
      <c r="X871" s="138"/>
      <c r="Y871" s="138"/>
      <c r="Z871" s="138"/>
      <c r="AA871" s="138"/>
      <c r="AB871" s="138"/>
      <c r="AC871" s="138"/>
      <c r="AD871" s="138"/>
      <c r="AE871" s="138"/>
      <c r="AF871" s="142"/>
      <c r="AG871" s="147"/>
      <c r="AH871" s="147"/>
      <c r="AI871" s="147"/>
      <c r="AJ871" s="147"/>
      <c r="AK871" s="147"/>
      <c r="AL871" s="94"/>
      <c r="AM871" s="94"/>
      <c r="AN871" s="153"/>
      <c r="AO871" s="153"/>
      <c r="AP871" s="153"/>
      <c r="AQ871" s="153"/>
      <c r="AR871" s="125"/>
      <c r="AS871" s="125"/>
    </row>
    <row r="872" spans="23:45">
      <c r="W872" s="147"/>
      <c r="X872" s="138"/>
      <c r="Y872" s="138"/>
      <c r="Z872" s="138"/>
      <c r="AA872" s="138"/>
      <c r="AB872" s="138"/>
      <c r="AC872" s="138"/>
      <c r="AD872" s="138"/>
      <c r="AE872" s="138"/>
      <c r="AF872" s="142"/>
      <c r="AG872" s="147"/>
      <c r="AH872" s="147"/>
      <c r="AI872" s="147"/>
      <c r="AJ872" s="147"/>
      <c r="AK872" s="147"/>
      <c r="AL872" s="94"/>
      <c r="AM872" s="94"/>
      <c r="AN872" s="153"/>
      <c r="AO872" s="153"/>
      <c r="AP872" s="153"/>
      <c r="AQ872" s="153"/>
      <c r="AR872" s="125"/>
      <c r="AS872" s="125"/>
    </row>
    <row r="873" spans="23:45">
      <c r="W873" s="147"/>
      <c r="X873" s="138"/>
      <c r="Y873" s="138"/>
      <c r="Z873" s="138"/>
      <c r="AA873" s="138"/>
      <c r="AB873" s="138"/>
      <c r="AC873" s="138"/>
      <c r="AD873" s="138"/>
      <c r="AE873" s="138"/>
      <c r="AF873" s="142"/>
      <c r="AG873" s="147"/>
      <c r="AH873" s="147"/>
      <c r="AI873" s="147"/>
      <c r="AJ873" s="147"/>
      <c r="AK873" s="147"/>
      <c r="AL873" s="94"/>
      <c r="AM873" s="94"/>
      <c r="AN873" s="153"/>
      <c r="AO873" s="153"/>
      <c r="AP873" s="153"/>
      <c r="AQ873" s="153"/>
      <c r="AR873" s="125"/>
      <c r="AS873" s="125"/>
    </row>
    <row r="874" spans="23:45">
      <c r="W874" s="147"/>
      <c r="X874" s="138"/>
      <c r="Y874" s="138"/>
      <c r="Z874" s="138"/>
      <c r="AA874" s="138"/>
      <c r="AB874" s="138"/>
      <c r="AC874" s="138"/>
      <c r="AD874" s="138"/>
      <c r="AE874" s="138"/>
      <c r="AF874" s="142"/>
      <c r="AG874" s="147"/>
      <c r="AH874" s="147"/>
      <c r="AI874" s="147"/>
      <c r="AJ874" s="147"/>
      <c r="AK874" s="147"/>
      <c r="AL874" s="94"/>
      <c r="AM874" s="94"/>
      <c r="AN874" s="153"/>
      <c r="AO874" s="153"/>
      <c r="AP874" s="153"/>
      <c r="AQ874" s="153"/>
      <c r="AR874" s="125"/>
      <c r="AS874" s="125"/>
    </row>
    <row r="875" spans="23:45">
      <c r="W875" s="147"/>
      <c r="X875" s="138"/>
      <c r="Y875" s="138"/>
      <c r="Z875" s="138"/>
      <c r="AA875" s="138"/>
      <c r="AB875" s="138"/>
      <c r="AC875" s="138"/>
      <c r="AD875" s="138"/>
      <c r="AE875" s="138"/>
      <c r="AF875" s="142"/>
      <c r="AG875" s="147"/>
      <c r="AH875" s="147"/>
      <c r="AI875" s="147"/>
      <c r="AJ875" s="147"/>
      <c r="AK875" s="147"/>
      <c r="AL875" s="94"/>
      <c r="AM875" s="94"/>
      <c r="AN875" s="153"/>
      <c r="AO875" s="153"/>
      <c r="AP875" s="153"/>
      <c r="AQ875" s="153"/>
      <c r="AR875" s="125"/>
      <c r="AS875" s="125"/>
    </row>
    <row r="876" spans="23:45">
      <c r="W876" s="147"/>
      <c r="X876" s="138"/>
      <c r="Y876" s="138"/>
      <c r="Z876" s="138"/>
      <c r="AA876" s="138"/>
      <c r="AB876" s="138"/>
      <c r="AC876" s="138"/>
      <c r="AD876" s="138"/>
      <c r="AE876" s="138"/>
      <c r="AF876" s="142"/>
      <c r="AG876" s="147"/>
      <c r="AH876" s="147"/>
      <c r="AI876" s="147"/>
      <c r="AJ876" s="147"/>
      <c r="AK876" s="147"/>
      <c r="AL876" s="94"/>
      <c r="AM876" s="94"/>
      <c r="AN876" s="153"/>
      <c r="AO876" s="153"/>
      <c r="AP876" s="153"/>
      <c r="AQ876" s="153"/>
      <c r="AR876" s="125"/>
      <c r="AS876" s="125"/>
    </row>
    <row r="877" spans="23:45">
      <c r="W877" s="147"/>
      <c r="X877" s="138"/>
      <c r="Y877" s="138"/>
      <c r="Z877" s="138"/>
      <c r="AA877" s="138"/>
      <c r="AB877" s="138"/>
      <c r="AC877" s="138"/>
      <c r="AD877" s="138"/>
      <c r="AE877" s="138"/>
      <c r="AF877" s="142"/>
      <c r="AG877" s="147"/>
      <c r="AH877" s="147"/>
      <c r="AI877" s="147"/>
      <c r="AJ877" s="147"/>
      <c r="AK877" s="147"/>
      <c r="AL877" s="94"/>
      <c r="AM877" s="94"/>
      <c r="AN877" s="153"/>
      <c r="AO877" s="153"/>
      <c r="AP877" s="153"/>
      <c r="AQ877" s="153"/>
      <c r="AR877" s="125"/>
      <c r="AS877" s="125"/>
    </row>
    <row r="878" spans="23:45">
      <c r="W878" s="147"/>
      <c r="X878" s="138"/>
      <c r="Y878" s="138"/>
      <c r="Z878" s="138"/>
      <c r="AA878" s="138"/>
      <c r="AB878" s="138"/>
      <c r="AC878" s="138"/>
      <c r="AD878" s="138"/>
      <c r="AE878" s="138"/>
      <c r="AF878" s="142"/>
      <c r="AG878" s="147"/>
      <c r="AH878" s="147"/>
      <c r="AI878" s="147"/>
      <c r="AJ878" s="147"/>
      <c r="AK878" s="147"/>
      <c r="AL878" s="94"/>
      <c r="AM878" s="94"/>
      <c r="AN878" s="153"/>
      <c r="AO878" s="153"/>
      <c r="AP878" s="153"/>
      <c r="AQ878" s="153"/>
      <c r="AR878" s="125"/>
      <c r="AS878" s="125"/>
    </row>
    <row r="879" spans="23:45">
      <c r="W879" s="147"/>
      <c r="X879" s="138"/>
      <c r="Y879" s="138"/>
      <c r="Z879" s="138"/>
      <c r="AA879" s="138"/>
      <c r="AB879" s="138"/>
      <c r="AC879" s="138"/>
      <c r="AD879" s="138"/>
      <c r="AE879" s="138"/>
      <c r="AF879" s="142"/>
      <c r="AG879" s="147"/>
      <c r="AH879" s="147"/>
      <c r="AI879" s="147"/>
      <c r="AJ879" s="147"/>
      <c r="AK879" s="147"/>
      <c r="AL879" s="94"/>
      <c r="AM879" s="94"/>
      <c r="AN879" s="153"/>
      <c r="AO879" s="153"/>
      <c r="AP879" s="153"/>
      <c r="AQ879" s="153"/>
      <c r="AR879" s="125"/>
      <c r="AS879" s="125"/>
    </row>
    <row r="880" spans="23:45">
      <c r="W880" s="147"/>
      <c r="X880" s="138"/>
      <c r="Y880" s="138"/>
      <c r="Z880" s="138"/>
      <c r="AA880" s="138"/>
      <c r="AB880" s="138"/>
      <c r="AC880" s="138"/>
      <c r="AD880" s="138"/>
      <c r="AE880" s="138"/>
      <c r="AF880" s="142"/>
      <c r="AG880" s="147"/>
      <c r="AH880" s="147"/>
      <c r="AI880" s="147"/>
      <c r="AJ880" s="147"/>
      <c r="AK880" s="147"/>
      <c r="AL880" s="94"/>
      <c r="AM880" s="94"/>
      <c r="AN880" s="153"/>
      <c r="AO880" s="153"/>
      <c r="AP880" s="153"/>
      <c r="AQ880" s="153"/>
      <c r="AR880" s="125"/>
      <c r="AS880" s="125"/>
    </row>
    <row r="881" spans="23:45">
      <c r="W881" s="147"/>
      <c r="X881" s="138"/>
      <c r="Y881" s="138"/>
      <c r="Z881" s="138"/>
      <c r="AA881" s="138"/>
      <c r="AB881" s="138"/>
      <c r="AC881" s="138"/>
      <c r="AD881" s="138"/>
      <c r="AE881" s="138"/>
      <c r="AF881" s="142"/>
      <c r="AG881" s="147"/>
      <c r="AH881" s="147"/>
      <c r="AI881" s="147"/>
      <c r="AJ881" s="147"/>
      <c r="AK881" s="147"/>
      <c r="AL881" s="94"/>
      <c r="AM881" s="94"/>
      <c r="AN881" s="153"/>
      <c r="AO881" s="153"/>
      <c r="AP881" s="153"/>
      <c r="AQ881" s="153"/>
      <c r="AR881" s="125"/>
      <c r="AS881" s="125"/>
    </row>
    <row r="882" spans="23:45">
      <c r="W882" s="147"/>
      <c r="X882" s="138"/>
      <c r="Y882" s="138"/>
      <c r="Z882" s="138"/>
      <c r="AA882" s="138"/>
      <c r="AB882" s="138"/>
      <c r="AC882" s="138"/>
      <c r="AD882" s="138"/>
      <c r="AE882" s="138"/>
      <c r="AF882" s="142"/>
      <c r="AG882" s="147"/>
      <c r="AH882" s="147"/>
      <c r="AI882" s="147"/>
      <c r="AJ882" s="147"/>
      <c r="AK882" s="147"/>
      <c r="AL882" s="94"/>
      <c r="AM882" s="94"/>
      <c r="AN882" s="153"/>
      <c r="AO882" s="153"/>
      <c r="AP882" s="153"/>
      <c r="AQ882" s="153"/>
      <c r="AR882" s="125"/>
      <c r="AS882" s="125"/>
    </row>
    <row r="883" spans="23:45">
      <c r="W883" s="147"/>
      <c r="X883" s="138"/>
      <c r="Y883" s="138"/>
      <c r="Z883" s="138"/>
      <c r="AA883" s="138"/>
      <c r="AB883" s="138"/>
      <c r="AC883" s="138"/>
      <c r="AD883" s="138"/>
      <c r="AE883" s="138"/>
      <c r="AF883" s="142"/>
      <c r="AG883" s="147"/>
      <c r="AH883" s="147"/>
      <c r="AI883" s="147"/>
      <c r="AJ883" s="147"/>
      <c r="AK883" s="147"/>
      <c r="AL883" s="94"/>
      <c r="AM883" s="94"/>
      <c r="AN883" s="153"/>
      <c r="AO883" s="153"/>
      <c r="AP883" s="153"/>
      <c r="AQ883" s="153"/>
      <c r="AR883" s="125"/>
      <c r="AS883" s="125"/>
    </row>
    <row r="884" spans="23:45">
      <c r="W884" s="147"/>
      <c r="X884" s="138"/>
      <c r="Y884" s="138"/>
      <c r="Z884" s="138"/>
      <c r="AA884" s="138"/>
      <c r="AB884" s="138"/>
      <c r="AC884" s="138"/>
      <c r="AD884" s="138"/>
      <c r="AE884" s="138"/>
      <c r="AF884" s="142"/>
      <c r="AG884" s="147"/>
      <c r="AH884" s="147"/>
      <c r="AI884" s="147"/>
      <c r="AJ884" s="147"/>
      <c r="AK884" s="147"/>
      <c r="AL884" s="94"/>
      <c r="AM884" s="94"/>
      <c r="AN884" s="153"/>
      <c r="AO884" s="153"/>
      <c r="AP884" s="153"/>
      <c r="AQ884" s="153"/>
      <c r="AR884" s="125"/>
      <c r="AS884" s="125"/>
    </row>
    <row r="885" spans="23:45">
      <c r="W885" s="147"/>
      <c r="X885" s="138"/>
      <c r="Y885" s="138"/>
      <c r="Z885" s="138"/>
      <c r="AA885" s="138"/>
      <c r="AB885" s="138"/>
      <c r="AC885" s="138"/>
      <c r="AD885" s="138"/>
      <c r="AE885" s="138"/>
      <c r="AF885" s="142"/>
      <c r="AG885" s="147"/>
      <c r="AH885" s="147"/>
      <c r="AI885" s="147"/>
      <c r="AJ885" s="147"/>
      <c r="AK885" s="147"/>
      <c r="AL885" s="94"/>
      <c r="AM885" s="94"/>
      <c r="AN885" s="153"/>
      <c r="AO885" s="153"/>
      <c r="AP885" s="153"/>
      <c r="AQ885" s="153"/>
      <c r="AR885" s="125"/>
      <c r="AS885" s="125"/>
    </row>
  </sheetData>
  <autoFilter ref="A3:BI500" xr:uid="{00000000-0009-0000-0000-000000000000}"/>
  <dataConsolidate/>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T1:AU1"/>
    <mergeCell ref="A1:M1"/>
    <mergeCell ref="AL1:AS1"/>
    <mergeCell ref="AV1:BI1"/>
    <mergeCell ref="W1:AK1"/>
  </mergeCells>
  <conditionalFormatting sqref="P9:P500">
    <cfRule type="expression" dxfId="32" priority="24">
      <formula>LEN(P9)&gt;41</formula>
    </cfRule>
  </conditionalFormatting>
  <conditionalFormatting sqref="L10 L13:L14 L16:L500">
    <cfRule type="expression" dxfId="31" priority="23">
      <formula>LEN(L10)&gt;41</formula>
    </cfRule>
  </conditionalFormatting>
  <conditionalFormatting sqref="M9:M500">
    <cfRule type="expression" dxfId="30" priority="19">
      <formula>LEN(M9)&gt;41</formula>
    </cfRule>
  </conditionalFormatting>
  <conditionalFormatting sqref="Q9:Q500">
    <cfRule type="expression" dxfId="29" priority="17">
      <formula>LEN(Q9)&gt;41</formula>
    </cfRule>
  </conditionalFormatting>
  <conditionalFormatting sqref="N1:N1048576">
    <cfRule type="cellIs" dxfId="28" priority="2" operator="equal">
      <formula>"GCMM-000X (CMM) · Var.Meas."</formula>
    </cfRule>
    <cfRule type="cellIs" dxfId="27" priority="3" operator="equal">
      <formula>"GCMM-000X (CMM) · Pass / Fail"</formula>
    </cfRule>
    <cfRule type="cellIs" dxfId="26" priority="9" operator="equal">
      <formula>"GRAM-00XX (RAM) · Var.Meas."</formula>
    </cfRule>
    <cfRule type="cellIs" dxfId="25" priority="10" operator="equal">
      <formula>"GRAM-00XX (RAM) · Program"</formula>
    </cfRule>
    <cfRule type="cellIs" dxfId="24" priority="11" operator="equal">
      <formula>"GRAM-00XX (RAM) · Pass / Fail"</formula>
    </cfRule>
  </conditionalFormatting>
  <conditionalFormatting sqref="N9:N500">
    <cfRule type="cellIs" dxfId="23" priority="8" operator="equal">
      <formula>"GRAM-00XX (RAM) · Visual"</formula>
    </cfRule>
  </conditionalFormatting>
  <conditionalFormatting sqref="L9">
    <cfRule type="expression" dxfId="22" priority="7">
      <formula>LEN(L9)&gt;41</formula>
    </cfRule>
  </conditionalFormatting>
  <conditionalFormatting sqref="L11">
    <cfRule type="expression" dxfId="21" priority="6">
      <formula>LEN(L11)&gt;41</formula>
    </cfRule>
  </conditionalFormatting>
  <conditionalFormatting sqref="L12">
    <cfRule type="duplicateValues" dxfId="20" priority="5"/>
  </conditionalFormatting>
  <conditionalFormatting sqref="L15">
    <cfRule type="expression" dxfId="19" priority="4">
      <formula>LEN(L15)&gt;41</formula>
    </cfRule>
  </conditionalFormatting>
  <conditionalFormatting sqref="C1:C1048576">
    <cfRule type="duplicateValues" dxfId="18" priority="1"/>
  </conditionalFormatting>
  <dataValidations xWindow="29" yWindow="339" count="817">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9A6FB1A1-1F20-498F-BE0D-F6265A432B63}"/>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CC137815-4378-4D94-9EDF-ED0274CE2DB7}"/>
    <dataValidation allowBlank="1" showErrorMessage="1" sqref="M2" xr:uid="{E7912426-E746-445C-8996-782B879199C2}"/>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A7720938-9147-4270-A78C-4C04F2E38021}"/>
    <dataValidation allowBlank="1" showInputMessage="1" showErrorMessage="1" promptTitle="Pick the head for Primary Tool" prompt="--You must know the program number before filling out this column._x000a_--This is used to filter when researching" sqref="U2" xr:uid="{2803B1B2-5EF0-4D8B-B1EF-BDF455F2D72E}"/>
    <dataValidation allowBlank="1" showInputMessage="1" showErrorMessage="1" promptTitle="Examples" prompt="1642652_D_1 or 1642652_D_9_2, Must complete all custom fields before attaching. Do work in Excel or Word and save with same name format, before snipping the GIF screen-shot" sqref="V2" xr:uid="{826668C1-E77A-483C-A092-35C7306FA2F6}"/>
    <dataValidation allowBlank="1" showErrorMessage="1" promptTitle="Examples" prompt="Column B= (iv),            Column H=iv_x000a_Column B= 0_008_00, Column H=8_x000a_Column B= 0_008_01, Column H=8_1_x000a_Column B= A_002_00, Column H=A_2_x000a_Column B=B_003_01, Column H=B_3_1" sqref="K2" xr:uid="{B1B4BE6A-662D-48F8-B659-98EFA6B2686E}"/>
    <dataValidation allowBlank="1" showInputMessage="1" showErrorMessage="1" promptTitle="Examples" prompt="(Parent Print 3X Dim # 7=0_007_01, 0_007_02, 0_007_03)_x000a_(First Sub Print 2X Dim #3=A_003_01, A_003_02)_x000a_(Second Sub Print 1X Dim #11= B_011_00)_x000a_(Parent Print 1X Dim #27=0_027_00)" sqref="C3" xr:uid="{CF15EA1D-9296-43CA-9E05-039D545C27FA}"/>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xr:uid="{1F7BEC66-7379-4F9A-8000-DAB91AFE3FCD}"/>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X3 AW3" xr:uid="{147EC906-D8A6-496E-AA6D-DE322313F3DC}"/>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Y3:AC3 AE3:AF3 BE3 AX3:BC3" xr:uid="{6D49B83F-1309-4CDE-892D-1F92433DA89C}"/>
    <dataValidation allowBlank="1" showInputMessage="1" showErrorMessage="1" promptTitle="More Info" prompt="Currently only used for formed clip rings. ML soes not currently work for ASSY level. The clip rings are formed at the component level_x000a_" sqref="AT3" xr:uid="{71E20930-D601-41B7-8427-987A231A5486}"/>
    <dataValidation type="list" allowBlank="1" showInputMessage="1" sqref="L9" xr:uid="{93379BED-AF38-4172-8F98-492BCFB85087}">
      <formula1>INDIRECT("[RoutineMapDataValidations.xlsm]Description!C2#")</formula1>
    </dataValidation>
    <dataValidation type="list" allowBlank="1" showInputMessage="1" sqref="L10" xr:uid="{4CB45768-FE44-4442-97C4-D45BE4C760C3}">
      <formula1>INDIRECT("[RoutineMapDataValidations.xlsm]Description!C3#")</formula1>
    </dataValidation>
    <dataValidation type="list" allowBlank="1" showInputMessage="1" sqref="L11" xr:uid="{738C5A3F-0031-4B4C-A785-44D116E6E5BA}">
      <formula1>INDIRECT("[RoutineMapDataValidations.xlsm]Description!C4#")</formula1>
    </dataValidation>
    <dataValidation type="list" allowBlank="1" showInputMessage="1" sqref="L12" xr:uid="{965F0F0A-BF15-4345-AE79-1C3DAC31925C}">
      <formula1>INDIRECT("[RoutineMapDataValidations.xlsm]Description!C5#")</formula1>
    </dataValidation>
    <dataValidation type="list" allowBlank="1" showInputMessage="1" sqref="L13" xr:uid="{0072E710-3F3A-48FB-9B04-0A0CD56F691E}">
      <formula1>INDIRECT("[RoutineMapDataValidations.xlsm]Description!C6#")</formula1>
    </dataValidation>
    <dataValidation type="list" allowBlank="1" showInputMessage="1" sqref="L14" xr:uid="{2CBE3B36-E2A1-40D4-BC52-EC809F7D98C3}">
      <formula1>INDIRECT("[RoutineMapDataValidations.xlsm]Description!C7#")</formula1>
    </dataValidation>
    <dataValidation type="list" allowBlank="1" showInputMessage="1" sqref="L15" xr:uid="{20B30F82-2B1F-4E8D-99AA-4CD8C3CDC4BA}">
      <formula1>INDIRECT("[RoutineMapDataValidations.xlsm]Description!C8#")</formula1>
    </dataValidation>
    <dataValidation type="list" allowBlank="1" showInputMessage="1" sqref="L16" xr:uid="{E78F376F-85BF-41C6-AEA6-D99DB59F9689}">
      <formula1>INDIRECT("[RoutineMapDataValidations.xlsm]Description!C9#")</formula1>
    </dataValidation>
    <dataValidation type="list" allowBlank="1" showInputMessage="1" sqref="L17" xr:uid="{5F4AA0F2-00C3-4619-9129-C6DBD88E8F48}">
      <formula1>INDIRECT("[RoutineMapDataValidations.xlsm]Description!C10#")</formula1>
    </dataValidation>
    <dataValidation type="list" allowBlank="1" showInputMessage="1" sqref="L18" xr:uid="{0AB26FC3-2F3B-47B7-96C1-55E7C40EB7B2}">
      <formula1>INDIRECT("[RoutineMapDataValidations.xlsm]Description!C11#")</formula1>
    </dataValidation>
    <dataValidation type="list" allowBlank="1" showInputMessage="1" sqref="L19" xr:uid="{3111456A-2902-4797-BADE-AA966D76A9C4}">
      <formula1>INDIRECT("[RoutineMapDataValidations.xlsm]Description!C12#")</formula1>
    </dataValidation>
    <dataValidation type="list" allowBlank="1" showInputMessage="1" sqref="L20" xr:uid="{ED06C5B8-63CE-4AFE-A8F9-685B94F14F11}">
      <formula1>INDIRECT("[RoutineMapDataValidations.xlsm]Description!C13#")</formula1>
    </dataValidation>
    <dataValidation type="list" allowBlank="1" showInputMessage="1" sqref="L21" xr:uid="{90346E83-1EFB-4C13-82A8-6338E747797F}">
      <formula1>INDIRECT("[RoutineMapDataValidations.xlsm]Description!C14#")</formula1>
    </dataValidation>
    <dataValidation type="list" allowBlank="1" showInputMessage="1" sqref="L22" xr:uid="{0CB7A4FF-CF0C-4B08-B263-994A85032FFF}">
      <formula1>INDIRECT("[RoutineMapDataValidations.xlsm]Description!C15#")</formula1>
    </dataValidation>
    <dataValidation type="list" allowBlank="1" showInputMessage="1" sqref="L23" xr:uid="{814BC583-B89D-4AAD-8D2C-C9ED81703221}">
      <formula1>INDIRECT("[RoutineMapDataValidations.xlsm]Description!C16#")</formula1>
    </dataValidation>
    <dataValidation type="list" allowBlank="1" showInputMessage="1" sqref="L24" xr:uid="{B59B2494-4380-48DB-914B-FC5D0877CA73}">
      <formula1>INDIRECT("[RoutineMapDataValidations.xlsm]Description!C17#")</formula1>
    </dataValidation>
    <dataValidation type="list" allowBlank="1" showInputMessage="1" sqref="L25" xr:uid="{296A0E78-B6D3-4971-85B9-52E97F346FDA}">
      <formula1>INDIRECT("[RoutineMapDataValidations.xlsm]Description!C18#")</formula1>
    </dataValidation>
    <dataValidation type="list" allowBlank="1" showInputMessage="1" sqref="L26" xr:uid="{F8715D87-F79C-48AD-B2ED-C0B3A3D31F4F}">
      <formula1>INDIRECT("[RoutineMapDataValidations.xlsm]Description!C19#")</formula1>
    </dataValidation>
    <dataValidation type="list" allowBlank="1" showInputMessage="1" sqref="L27" xr:uid="{9FEAA5D6-DEE4-4FDC-A1CD-5D6BEB37634A}">
      <formula1>INDIRECT("[RoutineMapDataValidations.xlsm]Description!C20#")</formula1>
    </dataValidation>
    <dataValidation type="list" allowBlank="1" showInputMessage="1" sqref="L28" xr:uid="{DFC94CCE-4A71-43DA-A49D-4436EE1DF40B}">
      <formula1>INDIRECT("[RoutineMapDataValidations.xlsm]Description!C21#")</formula1>
    </dataValidation>
    <dataValidation type="list" allowBlank="1" showInputMessage="1" sqref="L29" xr:uid="{A93982C4-F6B2-4297-B386-230AC2408AEC}">
      <formula1>INDIRECT("[RoutineMapDataValidations.xlsm]Description!C22#")</formula1>
    </dataValidation>
    <dataValidation type="list" allowBlank="1" showInputMessage="1" sqref="L30" xr:uid="{F1A64E3E-53F0-45EE-8311-2F50B5679D8A}">
      <formula1>INDIRECT("[RoutineMapDataValidations.xlsm]Description!C23#")</formula1>
    </dataValidation>
    <dataValidation type="list" allowBlank="1" showInputMessage="1" sqref="L31" xr:uid="{B7F781F7-58D4-4FDE-BC3B-4BBD88D4607B}">
      <formula1>INDIRECT("[RoutineMapDataValidations.xlsm]Description!C24#")</formula1>
    </dataValidation>
    <dataValidation type="list" allowBlank="1" showInputMessage="1" sqref="L32" xr:uid="{FD3E26A5-4DC2-4E22-B0BE-7E78BA4776F0}">
      <formula1>INDIRECT("[RoutineMapDataValidations.xlsm]Description!C25#")</formula1>
    </dataValidation>
    <dataValidation type="list" allowBlank="1" showInputMessage="1" sqref="L33" xr:uid="{48E8A038-DF56-4E83-A313-500B7579486B}">
      <formula1>INDIRECT("[RoutineMapDataValidations.xlsm]Description!C26#")</formula1>
    </dataValidation>
    <dataValidation type="list" allowBlank="1" showInputMessage="1" sqref="L34" xr:uid="{980C0D1D-56F0-41B9-8478-ED7337F695FA}">
      <formula1>INDIRECT("[RoutineMapDataValidations.xlsm]Description!C27#")</formula1>
    </dataValidation>
    <dataValidation type="list" allowBlank="1" showInputMessage="1" sqref="L35" xr:uid="{EDE2397B-8BB3-4A4E-B98F-94EF834EB5AF}">
      <formula1>INDIRECT("[RoutineMapDataValidations.xlsm]Description!C28#")</formula1>
    </dataValidation>
    <dataValidation type="list" allowBlank="1" showInputMessage="1" sqref="L36" xr:uid="{BCF89CEC-FC16-427E-840C-496B8FA5942A}">
      <formula1>INDIRECT("[RoutineMapDataValidations.xlsm]Description!C29#")</formula1>
    </dataValidation>
    <dataValidation type="list" allowBlank="1" showInputMessage="1" sqref="L37" xr:uid="{E0B374EB-A77F-42E8-96AB-4B3B2620F7F4}">
      <formula1>INDIRECT("[RoutineMapDataValidations.xlsm]Description!C30#")</formula1>
    </dataValidation>
    <dataValidation type="list" allowBlank="1" showInputMessage="1" sqref="L38" xr:uid="{5999808B-2CDF-41C6-89E7-0568E0F5D18D}">
      <formula1>INDIRECT("[RoutineMapDataValidations.xlsm]Description!C31#")</formula1>
    </dataValidation>
    <dataValidation type="list" allowBlank="1" showInputMessage="1" sqref="L39" xr:uid="{7A26DFF7-B8D3-40BB-BB21-6BBAF3E9F9DD}">
      <formula1>INDIRECT("[RoutineMapDataValidations.xlsm]Description!C32#")</formula1>
    </dataValidation>
    <dataValidation type="list" allowBlank="1" showInputMessage="1" sqref="L40" xr:uid="{E25E2073-E6A4-402E-ADC5-FC85332F7135}">
      <formula1>INDIRECT("[RoutineMapDataValidations.xlsm]Description!C33#")</formula1>
    </dataValidation>
    <dataValidation type="list" allowBlank="1" showInputMessage="1" sqref="L41" xr:uid="{8F0987CB-E686-447D-80BC-5EAB3AEFA040}">
      <formula1>INDIRECT("[RoutineMapDataValidations.xlsm]Description!C34#")</formula1>
    </dataValidation>
    <dataValidation type="list" allowBlank="1" showInputMessage="1" sqref="L42" xr:uid="{4877AF7F-418A-4D22-905D-8A9A53AAF513}">
      <formula1>INDIRECT("[RoutineMapDataValidations.xlsm]Description!C35#")</formula1>
    </dataValidation>
    <dataValidation type="list" allowBlank="1" showInputMessage="1" sqref="L43" xr:uid="{DCFA0911-C57D-4E74-93CA-D39A1681DA1D}">
      <formula1>INDIRECT("[RoutineMapDataValidations.xlsm]Description!C36#")</formula1>
    </dataValidation>
    <dataValidation type="list" allowBlank="1" showInputMessage="1" sqref="L44" xr:uid="{CA87BC16-43F4-4515-B7AE-040108E0ACD6}">
      <formula1>INDIRECT("[RoutineMapDataValidations.xlsm]Description!C37#")</formula1>
    </dataValidation>
    <dataValidation type="list" allowBlank="1" showInputMessage="1" sqref="L45" xr:uid="{F842D9FA-E519-49A5-9A41-891C757674A5}">
      <formula1>INDIRECT("[RoutineMapDataValidations.xlsm]Description!C38#")</formula1>
    </dataValidation>
    <dataValidation type="list" allowBlank="1" showInputMessage="1" sqref="L46" xr:uid="{0860D777-DE94-4D5C-A8C6-6AC2751B2352}">
      <formula1>INDIRECT("[RoutineMapDataValidations.xlsm]Description!C39#")</formula1>
    </dataValidation>
    <dataValidation type="list" allowBlank="1" showInputMessage="1" sqref="L47" xr:uid="{D1718773-5E34-49E2-A144-30B976377725}">
      <formula1>INDIRECT("[RoutineMapDataValidations.xlsm]Description!C40#")</formula1>
    </dataValidation>
    <dataValidation type="list" allowBlank="1" showInputMessage="1" sqref="L48" xr:uid="{4FC46ECE-D4CC-4A11-9E8D-4357B4F1D6A7}">
      <formula1>INDIRECT("[RoutineMapDataValidations.xlsm]Description!C41#")</formula1>
    </dataValidation>
    <dataValidation type="list" allowBlank="1" showInputMessage="1" sqref="L49" xr:uid="{09FDD2AF-FB1D-40F8-A87C-57CB81F69CD6}">
      <formula1>INDIRECT("[RoutineMapDataValidations.xlsm]Description!C42#")</formula1>
    </dataValidation>
    <dataValidation type="list" allowBlank="1" showInputMessage="1" sqref="L50" xr:uid="{623E86B8-D3FF-431E-8E97-B9DEDA950045}">
      <formula1>INDIRECT("[RoutineMapDataValidations.xlsm]Description!C43#")</formula1>
    </dataValidation>
    <dataValidation type="list" allowBlank="1" showInputMessage="1" sqref="L51" xr:uid="{45E075A4-C44E-4899-9B3B-EB28D6E0BF66}">
      <formula1>INDIRECT("[RoutineMapDataValidations.xlsm]Description!C44#")</formula1>
    </dataValidation>
    <dataValidation type="list" allowBlank="1" showInputMessage="1" sqref="L52" xr:uid="{286254FD-839B-4339-9C31-E67FDE90E8FA}">
      <formula1>INDIRECT("[RoutineMapDataValidations.xlsm]Description!C45#")</formula1>
    </dataValidation>
    <dataValidation type="list" allowBlank="1" showInputMessage="1" sqref="L53" xr:uid="{F45D65F2-BFA8-4227-8AB6-BDE19BE4968B}">
      <formula1>INDIRECT("[RoutineMapDataValidations.xlsm]Description!C46#")</formula1>
    </dataValidation>
    <dataValidation type="list" allowBlank="1" showInputMessage="1" sqref="L54" xr:uid="{EBA23C68-0F98-454F-BCC9-CE736308B96B}">
      <formula1>INDIRECT("[RoutineMapDataValidations.xlsm]Description!C47#")</formula1>
    </dataValidation>
    <dataValidation type="list" allowBlank="1" showInputMessage="1" sqref="L55" xr:uid="{C740181F-D39A-4EBC-9406-3BDC04107B9E}">
      <formula1>INDIRECT("[RoutineMapDataValidations.xlsm]Description!C48#")</formula1>
    </dataValidation>
    <dataValidation type="list" allowBlank="1" showInputMessage="1" sqref="L56" xr:uid="{2DB25A97-FE7B-4FB8-A889-16BE66A42EDE}">
      <formula1>INDIRECT("[RoutineMapDataValidations.xlsm]Description!C49#")</formula1>
    </dataValidation>
    <dataValidation type="list" allowBlank="1" showInputMessage="1" sqref="L57" xr:uid="{9B082B46-1AF3-449C-B357-4AA3189A59F6}">
      <formula1>INDIRECT("[RoutineMapDataValidations.xlsm]Description!C50#")</formula1>
    </dataValidation>
    <dataValidation type="list" allowBlank="1" showInputMessage="1" sqref="L58" xr:uid="{0D8C3ECF-85E4-4887-9F4C-48E19D45DD32}">
      <formula1>INDIRECT("[RoutineMapDataValidations.xlsm]Description!C51#")</formula1>
    </dataValidation>
    <dataValidation type="list" allowBlank="1" showInputMessage="1" sqref="L59" xr:uid="{99C184F0-2907-4CB9-AB89-BDA263D80DBA}">
      <formula1>INDIRECT("[RoutineMapDataValidations.xlsm]Description!C52#")</formula1>
    </dataValidation>
    <dataValidation type="list" allowBlank="1" showInputMessage="1" sqref="L60" xr:uid="{600716E6-0337-4EB6-B8BA-1D432E5FA446}">
      <formula1>INDIRECT("[RoutineMapDataValidations.xlsm]Description!C53#")</formula1>
    </dataValidation>
    <dataValidation type="list" allowBlank="1" showInputMessage="1" sqref="L61" xr:uid="{FE28F19E-B0A4-4E2D-958D-FF9112757026}">
      <formula1>INDIRECT("[RoutineMapDataValidations.xlsm]Description!C54#")</formula1>
    </dataValidation>
    <dataValidation type="list" allowBlank="1" showInputMessage="1" sqref="L62" xr:uid="{47FF2441-92A1-42EC-8CF8-1E4D9D6426D8}">
      <formula1>INDIRECT("[RoutineMapDataValidations.xlsm]Description!C55#")</formula1>
    </dataValidation>
    <dataValidation type="list" allowBlank="1" showInputMessage="1" sqref="L63" xr:uid="{3F5B3A72-81D8-4B0D-81B5-1A05D8B14979}">
      <formula1>INDIRECT("[RoutineMapDataValidations.xlsm]Description!C56#")</formula1>
    </dataValidation>
    <dataValidation type="list" allowBlank="1" showInputMessage="1" sqref="L64" xr:uid="{94D7AE4F-EB18-44A3-8B00-AC6624B7B042}">
      <formula1>INDIRECT("[RoutineMapDataValidations.xlsm]Description!C57#")</formula1>
    </dataValidation>
    <dataValidation type="list" allowBlank="1" showInputMessage="1" sqref="L65" xr:uid="{C38FEF7F-B6D0-4E7A-BC51-C944322AEA07}">
      <formula1>INDIRECT("[RoutineMapDataValidations.xlsm]Description!C58#")</formula1>
    </dataValidation>
    <dataValidation type="list" allowBlank="1" showInputMessage="1" sqref="L66" xr:uid="{F5B43C68-58C6-4CA0-BBFD-302E412BFF06}">
      <formula1>INDIRECT("[RoutineMapDataValidations.xlsm]Description!C59#")</formula1>
    </dataValidation>
    <dataValidation type="list" allowBlank="1" showInputMessage="1" sqref="L67" xr:uid="{9E1BEBC4-7B03-482C-AFF7-A116A4B47782}">
      <formula1>INDIRECT("[RoutineMapDataValidations.xlsm]Description!C60#")</formula1>
    </dataValidation>
    <dataValidation type="list" allowBlank="1" showInputMessage="1" sqref="L68" xr:uid="{68AA0844-FD29-4750-8503-E488A4DB2163}">
      <formula1>INDIRECT("[RoutineMapDataValidations.xlsm]Description!C61#")</formula1>
    </dataValidation>
    <dataValidation type="list" allowBlank="1" showInputMessage="1" sqref="L69" xr:uid="{80D0AEF4-9E0E-4289-94D0-CB9060C321E9}">
      <formula1>INDIRECT("[RoutineMapDataValidations.xlsm]Description!C62#")</formula1>
    </dataValidation>
    <dataValidation type="list" allowBlank="1" showInputMessage="1" sqref="L70" xr:uid="{5FE6C0E7-C3BD-4D82-8824-AD5CC9F89165}">
      <formula1>INDIRECT("[RoutineMapDataValidations.xlsm]Description!C63#")</formula1>
    </dataValidation>
    <dataValidation type="list" allowBlank="1" showInputMessage="1" sqref="L71" xr:uid="{DADC6086-1F5C-4AD7-8BD6-3ADDFF7D4A4D}">
      <formula1>INDIRECT("[RoutineMapDataValidations.xlsm]Description!C64#")</formula1>
    </dataValidation>
    <dataValidation type="list" allowBlank="1" showInputMessage="1" sqref="L72" xr:uid="{45297021-6F08-4500-A1A5-483B36C9DBB2}">
      <formula1>INDIRECT("[RoutineMapDataValidations.xlsm]Description!C65#")</formula1>
    </dataValidation>
    <dataValidation type="list" allowBlank="1" showInputMessage="1" sqref="L73" xr:uid="{2441E1C7-260C-4A9D-8DA9-A5797DC206A8}">
      <formula1>INDIRECT("[RoutineMapDataValidations.xlsm]Description!C66#")</formula1>
    </dataValidation>
    <dataValidation type="list" allowBlank="1" showInputMessage="1" sqref="L74" xr:uid="{97FE6488-AF29-487F-82C2-DA99EBB0A8F6}">
      <formula1>INDIRECT("[RoutineMapDataValidations.xlsm]Description!C67#")</formula1>
    </dataValidation>
    <dataValidation type="list" allowBlank="1" showInputMessage="1" sqref="L75" xr:uid="{DBE7AA64-452E-478D-9926-FE90B19262AF}">
      <formula1>INDIRECT("[RoutineMapDataValidations.xlsm]Description!C68#")</formula1>
    </dataValidation>
    <dataValidation type="list" allowBlank="1" showInputMessage="1" sqref="L76" xr:uid="{335588E6-A52A-4E06-BD3D-1EB1F2A5A24D}">
      <formula1>INDIRECT("[RoutineMapDataValidations.xlsm]Description!C69#")</formula1>
    </dataValidation>
    <dataValidation type="list" allowBlank="1" showInputMessage="1" sqref="L77" xr:uid="{3732597E-0AFF-4102-86A9-688979B12C78}">
      <formula1>INDIRECT("[RoutineMapDataValidations.xlsm]Description!C70#")</formula1>
    </dataValidation>
    <dataValidation type="list" allowBlank="1" showInputMessage="1" sqref="L78" xr:uid="{FAFFB417-2438-4C35-84D2-D5BE0AD8A8C3}">
      <formula1>INDIRECT("[RoutineMapDataValidations.xlsm]Description!C71#")</formula1>
    </dataValidation>
    <dataValidation type="list" allowBlank="1" showInputMessage="1" sqref="L79" xr:uid="{2E453F6D-5C00-4D7F-A19C-2A285B999DC6}">
      <formula1>INDIRECT("[RoutineMapDataValidations.xlsm]Description!C72#")</formula1>
    </dataValidation>
    <dataValidation type="list" allowBlank="1" showInputMessage="1" sqref="L80" xr:uid="{17461066-0932-4D3B-830D-B0EFB922D5D4}">
      <formula1>INDIRECT("[RoutineMapDataValidations.xlsm]Description!C73#")</formula1>
    </dataValidation>
    <dataValidation type="list" allowBlank="1" showInputMessage="1" sqref="L81" xr:uid="{0C66EBC6-59BD-42C4-A56A-5B5DCB75E479}">
      <formula1>INDIRECT("[RoutineMapDataValidations.xlsm]Description!C74#")</formula1>
    </dataValidation>
    <dataValidation type="list" allowBlank="1" showInputMessage="1" sqref="L82" xr:uid="{54B99AEF-9BE1-4367-8ECD-961E7F467640}">
      <formula1>INDIRECT("[RoutineMapDataValidations.xlsm]Description!C75#")</formula1>
    </dataValidation>
    <dataValidation type="list" allowBlank="1" showInputMessage="1" sqref="L83" xr:uid="{283610FD-58ED-47DA-AED7-97CEC87539C1}">
      <formula1>INDIRECT("[RoutineMapDataValidations.xlsm]Description!C76#")</formula1>
    </dataValidation>
    <dataValidation type="list" allowBlank="1" showInputMessage="1" sqref="L84" xr:uid="{2CE0A6FE-9E45-45DE-9AB7-ADFDD355FA98}">
      <formula1>INDIRECT("[RoutineMapDataValidations.xlsm]Description!C77#")</formula1>
    </dataValidation>
    <dataValidation type="list" allowBlank="1" showInputMessage="1" sqref="L85" xr:uid="{EA158376-698B-460A-9B26-7A516C8B4C35}">
      <formula1>INDIRECT("[RoutineMapDataValidations.xlsm]Description!C78#")</formula1>
    </dataValidation>
    <dataValidation type="list" allowBlank="1" showInputMessage="1" sqref="L86" xr:uid="{C3312125-B3F2-4937-A3FD-9677C251A35F}">
      <formula1>INDIRECT("[RoutineMapDataValidations.xlsm]Description!C79#")</formula1>
    </dataValidation>
    <dataValidation type="list" allowBlank="1" showInputMessage="1" sqref="L87" xr:uid="{7EDE257F-F1A6-4A6D-B482-6B10589DEEF0}">
      <formula1>INDIRECT("[RoutineMapDataValidations.xlsm]Description!C80#")</formula1>
    </dataValidation>
    <dataValidation type="list" allowBlank="1" showInputMessage="1" sqref="L88" xr:uid="{DE0072D2-9809-4F21-920D-53566B825B95}">
      <formula1>INDIRECT("[RoutineMapDataValidations.xlsm]Description!C81#")</formula1>
    </dataValidation>
    <dataValidation type="list" allowBlank="1" showInputMessage="1" sqref="L89" xr:uid="{D6B602ED-FEEC-425A-9C7E-7ED919A44A3E}">
      <formula1>INDIRECT("[RoutineMapDataValidations.xlsm]Description!C82#")</formula1>
    </dataValidation>
    <dataValidation type="list" allowBlank="1" showInputMessage="1" sqref="L90" xr:uid="{93FB2D5E-495C-45CE-98BD-CDAFA9C1DCF4}">
      <formula1>INDIRECT("[RoutineMapDataValidations.xlsm]Description!C83#")</formula1>
    </dataValidation>
    <dataValidation type="list" allowBlank="1" showInputMessage="1" sqref="L91" xr:uid="{30D21611-FC3D-422F-AF37-400F9630C3EF}">
      <formula1>INDIRECT("[RoutineMapDataValidations.xlsm]Description!C84#")</formula1>
    </dataValidation>
    <dataValidation type="list" allowBlank="1" showInputMessage="1" sqref="L92" xr:uid="{EFAAFCE6-9732-4B4A-BE7F-58E9A0B8EC50}">
      <formula1>INDIRECT("[RoutineMapDataValidations.xlsm]Description!C85#")</formula1>
    </dataValidation>
    <dataValidation type="list" allowBlank="1" showInputMessage="1" sqref="L93" xr:uid="{B4AC2054-B627-43DA-89C4-1441F2E76762}">
      <formula1>INDIRECT("[RoutineMapDataValidations.xlsm]Description!C86#")</formula1>
    </dataValidation>
    <dataValidation type="list" allowBlank="1" showInputMessage="1" sqref="L94" xr:uid="{ACCB21BD-C745-4E1B-9F8D-1A5EB994F3EA}">
      <formula1>INDIRECT("[RoutineMapDataValidations.xlsm]Description!C87#")</formula1>
    </dataValidation>
    <dataValidation type="list" allowBlank="1" showInputMessage="1" sqref="L95" xr:uid="{390A2558-DDEE-41F5-AA57-37B9DB8FDB1A}">
      <formula1>INDIRECT("[RoutineMapDataValidations.xlsm]Description!C88#")</formula1>
    </dataValidation>
    <dataValidation type="list" allowBlank="1" showInputMessage="1" sqref="L96" xr:uid="{0A13B241-5D81-41ED-8D6F-BBF1542B46CB}">
      <formula1>INDIRECT("[RoutineMapDataValidations.xlsm]Description!C89#")</formula1>
    </dataValidation>
    <dataValidation type="list" allowBlank="1" showInputMessage="1" sqref="L97" xr:uid="{9768D111-69F3-41F6-BBD5-F9BBA2DB852D}">
      <formula1>INDIRECT("[RoutineMapDataValidations.xlsm]Description!C90#")</formula1>
    </dataValidation>
    <dataValidation type="list" allowBlank="1" showInputMessage="1" sqref="L98" xr:uid="{5C1798E5-AB04-4AC9-B8DC-B7F45A9FEC0F}">
      <formula1>INDIRECT("[RoutineMapDataValidations.xlsm]Description!C91#")</formula1>
    </dataValidation>
    <dataValidation type="list" allowBlank="1" showInputMessage="1" sqref="L99" xr:uid="{4D2369DC-6D9E-4646-93C6-84B8DF6AE654}">
      <formula1>INDIRECT("[RoutineMapDataValidations.xlsm]Description!C92#")</formula1>
    </dataValidation>
    <dataValidation type="list" allowBlank="1" showInputMessage="1" sqref="L100" xr:uid="{EFBB48AE-45B1-406C-9980-988090559972}">
      <formula1>INDIRECT("[RoutineMapDataValidations.xlsm]Description!C93#")</formula1>
    </dataValidation>
    <dataValidation type="list" allowBlank="1" showInputMessage="1" sqref="L101" xr:uid="{FBC16C35-3817-4250-8828-29A3112BCBEA}">
      <formula1>INDIRECT("[RoutineMapDataValidations.xlsm]Description!C94#")</formula1>
    </dataValidation>
    <dataValidation type="list" allowBlank="1" showInputMessage="1" sqref="L102" xr:uid="{A56D5888-6DDF-4FED-AC0B-1FD4E2B3E512}">
      <formula1>INDIRECT("[RoutineMapDataValidations.xlsm]Description!C95#")</formula1>
    </dataValidation>
    <dataValidation type="list" allowBlank="1" showInputMessage="1" sqref="L103" xr:uid="{9EAADEB5-A17A-421B-A27F-9A0C199C209A}">
      <formula1>INDIRECT("[RoutineMapDataValidations.xlsm]Description!C96#")</formula1>
    </dataValidation>
    <dataValidation type="list" allowBlank="1" showInputMessage="1" sqref="L104" xr:uid="{0F457C0A-C660-49B7-A430-B4AC48B40209}">
      <formula1>INDIRECT("[RoutineMapDataValidations.xlsm]Description!C97#")</formula1>
    </dataValidation>
    <dataValidation type="list" allowBlank="1" showInputMessage="1" sqref="L105" xr:uid="{381501BE-02EF-41F1-A288-D9A93AC3F2A0}">
      <formula1>INDIRECT("[RoutineMapDataValidations.xlsm]Description!C98#")</formula1>
    </dataValidation>
    <dataValidation type="list" allowBlank="1" showInputMessage="1" sqref="L106" xr:uid="{6B6B408D-10E3-4C6C-AA01-87FAFE0770B1}">
      <formula1>INDIRECT("[RoutineMapDataValidations.xlsm]Description!C99#")</formula1>
    </dataValidation>
    <dataValidation type="list" allowBlank="1" showInputMessage="1" sqref="L107" xr:uid="{0F03CBE1-4F56-4CB3-91A8-3A70773B9DBC}">
      <formula1>INDIRECT("[RoutineMapDataValidations.xlsm]Description!C100#")</formula1>
    </dataValidation>
    <dataValidation type="list" allowBlank="1" showInputMessage="1" sqref="L108" xr:uid="{0A646104-A5B5-4816-967C-BBBF40805AEF}">
      <formula1>INDIRECT("[RoutineMapDataValidations.xlsm]Description!C101#")</formula1>
    </dataValidation>
    <dataValidation type="list" allowBlank="1" showInputMessage="1" sqref="L109" xr:uid="{61D32619-388B-4062-89CC-62261CC06CB4}">
      <formula1>INDIRECT("[RoutineMapDataValidations.xlsm]Description!C102#")</formula1>
    </dataValidation>
    <dataValidation type="list" allowBlank="1" showInputMessage="1" sqref="L110" xr:uid="{80C3812B-C624-4B78-9999-DDF536857809}">
      <formula1>INDIRECT("[RoutineMapDataValidations.xlsm]Description!C103#")</formula1>
    </dataValidation>
    <dataValidation type="list" allowBlank="1" showInputMessage="1" sqref="L111" xr:uid="{CB08D561-D944-404C-B9FB-24556EB845FC}">
      <formula1>INDIRECT("[RoutineMapDataValidations.xlsm]Description!C104#")</formula1>
    </dataValidation>
    <dataValidation type="list" allowBlank="1" showInputMessage="1" sqref="L112" xr:uid="{6CAC5A7A-9755-4152-85EA-D3B9CC509C1A}">
      <formula1>INDIRECT("[RoutineMapDataValidations.xlsm]Description!C105#")</formula1>
    </dataValidation>
    <dataValidation type="list" allowBlank="1" showInputMessage="1" sqref="L113" xr:uid="{07376748-AC93-408A-A92D-1EA0EF9EB15A}">
      <formula1>INDIRECT("[RoutineMapDataValidations.xlsm]Description!C106#")</formula1>
    </dataValidation>
    <dataValidation type="list" allowBlank="1" showInputMessage="1" sqref="L114" xr:uid="{362E1217-4521-467A-ABE1-6F759C039EC2}">
      <formula1>INDIRECT("[RoutineMapDataValidations.xlsm]Description!C107#")</formula1>
    </dataValidation>
    <dataValidation type="list" allowBlank="1" showInputMessage="1" sqref="L115" xr:uid="{955C893D-19C0-4228-9CF5-83D287B7A49A}">
      <formula1>INDIRECT("[RoutineMapDataValidations.xlsm]Description!C108#")</formula1>
    </dataValidation>
    <dataValidation type="list" allowBlank="1" showInputMessage="1" sqref="L116" xr:uid="{E54F2636-CE68-4421-A754-713FEF34A04D}">
      <formula1>INDIRECT("[RoutineMapDataValidations.xlsm]Description!C109#")</formula1>
    </dataValidation>
    <dataValidation type="list" allowBlank="1" showInputMessage="1" sqref="L117" xr:uid="{B08D8D44-F431-476A-A649-90D7A266CC13}">
      <formula1>INDIRECT("[RoutineMapDataValidations.xlsm]Description!C110#")</formula1>
    </dataValidation>
    <dataValidation type="list" allowBlank="1" showInputMessage="1" sqref="L118" xr:uid="{7241E694-B09F-4603-A077-5E116D529472}">
      <formula1>INDIRECT("[RoutineMapDataValidations.xlsm]Description!C111#")</formula1>
    </dataValidation>
    <dataValidation type="list" allowBlank="1" showInputMessage="1" sqref="L119" xr:uid="{0D92A95B-031B-4A35-9A93-DD8890C83DDA}">
      <formula1>INDIRECT("[RoutineMapDataValidations.xlsm]Description!C112#")</formula1>
    </dataValidation>
    <dataValidation type="list" allowBlank="1" showInputMessage="1" sqref="L120" xr:uid="{D88A07CB-2DB3-4960-A705-53BFCD636CD6}">
      <formula1>INDIRECT("[RoutineMapDataValidations.xlsm]Description!C113#")</formula1>
    </dataValidation>
    <dataValidation type="list" allowBlank="1" showInputMessage="1" sqref="L121" xr:uid="{F9BE17E2-FFC1-4A92-B480-355B44D25EC0}">
      <formula1>INDIRECT("[RoutineMapDataValidations.xlsm]Description!C114#")</formula1>
    </dataValidation>
    <dataValidation type="list" allowBlank="1" showInputMessage="1" sqref="L122" xr:uid="{7E14D9FC-2F27-4ECC-89A1-D75B05F3662C}">
      <formula1>INDIRECT("[RoutineMapDataValidations.xlsm]Description!C115#")</formula1>
    </dataValidation>
    <dataValidation type="list" allowBlank="1" showInputMessage="1" sqref="L123" xr:uid="{B8BBCEE4-F6F1-4597-86A2-EB2E5531C363}">
      <formula1>INDIRECT("[RoutineMapDataValidations.xlsm]Description!C116#")</formula1>
    </dataValidation>
    <dataValidation type="list" allowBlank="1" showInputMessage="1" sqref="L124" xr:uid="{BFA89CD3-174F-460F-B473-D01C38F92509}">
      <formula1>INDIRECT("[RoutineMapDataValidations.xlsm]Description!C117#")</formula1>
    </dataValidation>
    <dataValidation type="list" allowBlank="1" showInputMessage="1" sqref="L125" xr:uid="{69B1678B-339E-45F4-A259-D48089FFE861}">
      <formula1>INDIRECT("[RoutineMapDataValidations.xlsm]Description!C118#")</formula1>
    </dataValidation>
    <dataValidation type="list" allowBlank="1" showInputMessage="1" sqref="L126" xr:uid="{1C17D5DA-7D0D-4915-8019-8ED4C689BE9E}">
      <formula1>INDIRECT("[RoutineMapDataValidations.xlsm]Description!C119#")</formula1>
    </dataValidation>
    <dataValidation type="list" allowBlank="1" showInputMessage="1" sqref="L127" xr:uid="{9343982D-6371-45DF-846F-04AD13804BF5}">
      <formula1>INDIRECT("[RoutineMapDataValidations.xlsm]Description!C120#")</formula1>
    </dataValidation>
    <dataValidation type="list" allowBlank="1" showInputMessage="1" sqref="L128" xr:uid="{3C05BE86-B0F8-4DAB-86C6-9EB89B92EBBA}">
      <formula1>INDIRECT("[RoutineMapDataValidations.xlsm]Description!C121#")</formula1>
    </dataValidation>
    <dataValidation type="list" allowBlank="1" showInputMessage="1" sqref="L129" xr:uid="{2BDB94C3-CB98-4D0A-A50D-9F02B840E61D}">
      <formula1>INDIRECT("[RoutineMapDataValidations.xlsm]Description!C122#")</formula1>
    </dataValidation>
    <dataValidation type="list" allowBlank="1" showInputMessage="1" sqref="L130" xr:uid="{EEE91DF0-D295-46AC-B61F-301CE1AD2844}">
      <formula1>INDIRECT("[RoutineMapDataValidations.xlsm]Description!C123#")</formula1>
    </dataValidation>
    <dataValidation type="list" allowBlank="1" showInputMessage="1" sqref="L131" xr:uid="{BBAC45F7-E96D-4A2E-AE2F-ECBD1FC23F52}">
      <formula1>INDIRECT("[RoutineMapDataValidations.xlsm]Description!C124#")</formula1>
    </dataValidation>
    <dataValidation type="list" allowBlank="1" showInputMessage="1" sqref="L132" xr:uid="{D0D3FE81-76CC-4EA2-8E58-03CAE8AC3C2F}">
      <formula1>INDIRECT("[RoutineMapDataValidations.xlsm]Description!C125#")</formula1>
    </dataValidation>
    <dataValidation type="list" allowBlank="1" showInputMessage="1" sqref="L133" xr:uid="{A4FC1A60-53D9-4101-BC7B-F49B541CD881}">
      <formula1>INDIRECT("[RoutineMapDataValidations.xlsm]Description!C126#")</formula1>
    </dataValidation>
    <dataValidation type="list" allowBlank="1" showInputMessage="1" sqref="L134" xr:uid="{3C0F8C42-7956-4915-9A53-0AF4B2609FDA}">
      <formula1>INDIRECT("[RoutineMapDataValidations.xlsm]Description!C127#")</formula1>
    </dataValidation>
    <dataValidation type="list" allowBlank="1" showInputMessage="1" sqref="L135" xr:uid="{4A16280D-2173-47FF-8ED4-98008F80FE09}">
      <formula1>INDIRECT("[RoutineMapDataValidations.xlsm]Description!C128#")</formula1>
    </dataValidation>
    <dataValidation type="list" allowBlank="1" showInputMessage="1" sqref="L136" xr:uid="{66601560-692E-43D7-88F3-BE8FAA2E8C22}">
      <formula1>INDIRECT("[RoutineMapDataValidations.xlsm]Description!C129#")</formula1>
    </dataValidation>
    <dataValidation type="list" allowBlank="1" showInputMessage="1" sqref="L137" xr:uid="{C384B951-2588-4CF2-95AB-942799F78AD3}">
      <formula1>INDIRECT("[RoutineMapDataValidations.xlsm]Description!C130#")</formula1>
    </dataValidation>
    <dataValidation type="list" allowBlank="1" showInputMessage="1" sqref="L138" xr:uid="{C1B76D33-FB92-4B53-9854-CD437832E7E0}">
      <formula1>INDIRECT("[RoutineMapDataValidations.xlsm]Description!C131#")</formula1>
    </dataValidation>
    <dataValidation type="list" allowBlank="1" showInputMessage="1" sqref="L139" xr:uid="{8EBF13F2-9252-46FD-9CD5-3E373182F01A}">
      <formula1>INDIRECT("[RoutineMapDataValidations.xlsm]Description!C132#")</formula1>
    </dataValidation>
    <dataValidation type="list" allowBlank="1" showInputMessage="1" sqref="L140" xr:uid="{73A18D77-B348-4D41-897F-C12D102E845B}">
      <formula1>INDIRECT("[RoutineMapDataValidations.xlsm]Description!C133#")</formula1>
    </dataValidation>
    <dataValidation type="list" allowBlank="1" showInputMessage="1" sqref="L141" xr:uid="{1033841E-76A5-4F55-AA48-5BF5715FEB1A}">
      <formula1>INDIRECT("[RoutineMapDataValidations.xlsm]Description!C134#")</formula1>
    </dataValidation>
    <dataValidation type="list" allowBlank="1" showInputMessage="1" sqref="L142" xr:uid="{D040F95C-72AF-47DC-95B9-223115B24740}">
      <formula1>INDIRECT("[RoutineMapDataValidations.xlsm]Description!C135#")</formula1>
    </dataValidation>
    <dataValidation type="list" allowBlank="1" showInputMessage="1" sqref="L143" xr:uid="{C17D92D5-4EAC-4C11-A674-B7EF0FA5D70D}">
      <formula1>INDIRECT("[RoutineMapDataValidations.xlsm]Description!C136#")</formula1>
    </dataValidation>
    <dataValidation type="list" allowBlank="1" showInputMessage="1" sqref="L144" xr:uid="{CF04E837-327A-4213-BF46-D57FB73822EB}">
      <formula1>INDIRECT("[RoutineMapDataValidations.xlsm]Description!C137#")</formula1>
    </dataValidation>
    <dataValidation type="list" allowBlank="1" showInputMessage="1" sqref="L145" xr:uid="{00C5E56E-EE90-44D3-B508-10F92DC7406B}">
      <formula1>INDIRECT("[RoutineMapDataValidations.xlsm]Description!C138#")</formula1>
    </dataValidation>
    <dataValidation type="list" allowBlank="1" showInputMessage="1" sqref="L146" xr:uid="{97921793-01E5-4B76-8250-A0EB6F02893C}">
      <formula1>INDIRECT("[RoutineMapDataValidations.xlsm]Description!C139#")</formula1>
    </dataValidation>
    <dataValidation type="list" allowBlank="1" showInputMessage="1" sqref="L147" xr:uid="{6D6F55F0-E2DD-4E51-A80B-4030AD29B292}">
      <formula1>INDIRECT("[RoutineMapDataValidations.xlsm]Description!C140#")</formula1>
    </dataValidation>
    <dataValidation type="list" allowBlank="1" showInputMessage="1" sqref="L148" xr:uid="{6833F8E5-19C3-4993-9FAE-064AC1FDEBB2}">
      <formula1>INDIRECT("[RoutineMapDataValidations.xlsm]Description!C141#")</formula1>
    </dataValidation>
    <dataValidation type="list" allowBlank="1" showInputMessage="1" sqref="L149" xr:uid="{192B68BB-0282-4FE5-B50C-DC4120720956}">
      <formula1>INDIRECT("[RoutineMapDataValidations.xlsm]Description!C142#")</formula1>
    </dataValidation>
    <dataValidation type="list" allowBlank="1" showInputMessage="1" sqref="L150" xr:uid="{9AC2654F-B49B-4A66-8B73-579D86FBBF9B}">
      <formula1>INDIRECT("[RoutineMapDataValidations.xlsm]Description!C143#")</formula1>
    </dataValidation>
    <dataValidation type="list" allowBlank="1" showInputMessage="1" sqref="L151" xr:uid="{68BF54AC-1DB5-4780-9600-783E2F58F6E9}">
      <formula1>INDIRECT("[RoutineMapDataValidations.xlsm]Description!C144#")</formula1>
    </dataValidation>
    <dataValidation type="list" allowBlank="1" showInputMessage="1" sqref="L152" xr:uid="{C39CE21B-242E-4247-A544-B4CC0EE950F7}">
      <formula1>INDIRECT("[RoutineMapDataValidations.xlsm]Description!C145#")</formula1>
    </dataValidation>
    <dataValidation type="list" allowBlank="1" showInputMessage="1" sqref="L153" xr:uid="{1057A1BC-E444-4DF5-B94D-B1EE04698948}">
      <formula1>INDIRECT("[RoutineMapDataValidations.xlsm]Description!C146#")</formula1>
    </dataValidation>
    <dataValidation type="list" allowBlank="1" showInputMessage="1" sqref="L154" xr:uid="{B848E89D-7FE4-49AA-9D52-082277044BE3}">
      <formula1>INDIRECT("[RoutineMapDataValidations.xlsm]Description!C147#")</formula1>
    </dataValidation>
    <dataValidation type="list" allowBlank="1" showInputMessage="1" sqref="L155" xr:uid="{345E2B8C-682C-494A-84D4-851F7087B65F}">
      <formula1>INDIRECT("[RoutineMapDataValidations.xlsm]Description!C148#")</formula1>
    </dataValidation>
    <dataValidation type="list" allowBlank="1" showInputMessage="1" sqref="L156" xr:uid="{C309770E-7972-4B09-9A11-473D528848D7}">
      <formula1>INDIRECT("[RoutineMapDataValidations.xlsm]Description!C149#")</formula1>
    </dataValidation>
    <dataValidation type="list" allowBlank="1" showInputMessage="1" sqref="L157" xr:uid="{F50C4D0A-FBC9-4BC8-BA69-01E255BF67E1}">
      <formula1>INDIRECT("[RoutineMapDataValidations.xlsm]Description!C150#")</formula1>
    </dataValidation>
    <dataValidation type="list" allowBlank="1" showInputMessage="1" sqref="L158" xr:uid="{252E8821-70BD-4E49-B929-1AAD8744456C}">
      <formula1>INDIRECT("[RoutineMapDataValidations.xlsm]Description!C151#")</formula1>
    </dataValidation>
    <dataValidation type="list" allowBlank="1" showInputMessage="1" sqref="L159" xr:uid="{3874B50F-C71C-4335-8C61-574106191B92}">
      <formula1>INDIRECT("[RoutineMapDataValidations.xlsm]Description!C152#")</formula1>
    </dataValidation>
    <dataValidation type="list" allowBlank="1" showInputMessage="1" sqref="L160" xr:uid="{6068D0E0-7476-4C91-A57B-C631C6933AAF}">
      <formula1>INDIRECT("[RoutineMapDataValidations.xlsm]Description!C153#")</formula1>
    </dataValidation>
    <dataValidation type="list" allowBlank="1" showInputMessage="1" sqref="L161" xr:uid="{1D64C611-E8C1-4718-9833-6409583FF09B}">
      <formula1>INDIRECT("[RoutineMapDataValidations.xlsm]Description!C154#")</formula1>
    </dataValidation>
    <dataValidation type="list" allowBlank="1" showInputMessage="1" sqref="L162" xr:uid="{E52264B1-C6B0-4766-9C8B-836B57E791CB}">
      <formula1>INDIRECT("[RoutineMapDataValidations.xlsm]Description!C155#")</formula1>
    </dataValidation>
    <dataValidation type="list" allowBlank="1" showInputMessage="1" sqref="L163" xr:uid="{9FA2CCE4-3F55-44A8-B789-240280CA5B15}">
      <formula1>INDIRECT("[RoutineMapDataValidations.xlsm]Description!C156#")</formula1>
    </dataValidation>
    <dataValidation type="list" allowBlank="1" showInputMessage="1" sqref="L164" xr:uid="{4A28B8F0-69BD-4C45-8818-2E80AFE974F8}">
      <formula1>INDIRECT("[RoutineMapDataValidations.xlsm]Description!C157#")</formula1>
    </dataValidation>
    <dataValidation type="list" allowBlank="1" showInputMessage="1" sqref="L165" xr:uid="{5A56EA0A-62D5-4864-8A39-8072CDDAEB70}">
      <formula1>INDIRECT("[RoutineMapDataValidations.xlsm]Description!C158#")</formula1>
    </dataValidation>
    <dataValidation type="list" allowBlank="1" showInputMessage="1" sqref="L166" xr:uid="{83D8023A-CBBD-4324-9083-BE0F169F2222}">
      <formula1>INDIRECT("[RoutineMapDataValidations.xlsm]Description!C159#")</formula1>
    </dataValidation>
    <dataValidation type="list" allowBlank="1" showInputMessage="1" sqref="L167" xr:uid="{9FC7D8F0-B623-4489-8D48-92B31D6410DC}">
      <formula1>INDIRECT("[RoutineMapDataValidations.xlsm]Description!C160#")</formula1>
    </dataValidation>
    <dataValidation type="list" allowBlank="1" showInputMessage="1" sqref="L168" xr:uid="{24E6578E-F4E4-40B3-98C7-661DE47B1765}">
      <formula1>INDIRECT("[RoutineMapDataValidations.xlsm]Description!C161#")</formula1>
    </dataValidation>
    <dataValidation type="list" allowBlank="1" showInputMessage="1" sqref="L169" xr:uid="{ABDC225A-C334-48FA-9BAB-BE3C35DB1415}">
      <formula1>INDIRECT("[RoutineMapDataValidations.xlsm]Description!C162#")</formula1>
    </dataValidation>
    <dataValidation type="list" allowBlank="1" showInputMessage="1" sqref="L170" xr:uid="{A59D844D-DE0D-4D25-A317-BFD139B5F8E2}">
      <formula1>INDIRECT("[RoutineMapDataValidations.xlsm]Description!C163#")</formula1>
    </dataValidation>
    <dataValidation type="list" allowBlank="1" showInputMessage="1" sqref="L171" xr:uid="{70C23AC6-431E-4957-BF50-1102E230F738}">
      <formula1>INDIRECT("[RoutineMapDataValidations.xlsm]Description!C164#")</formula1>
    </dataValidation>
    <dataValidation type="list" allowBlank="1" showInputMessage="1" sqref="L172" xr:uid="{F766A839-D90E-4681-B177-02A89DCE31B5}">
      <formula1>INDIRECT("[RoutineMapDataValidations.xlsm]Description!C165#")</formula1>
    </dataValidation>
    <dataValidation type="list" allowBlank="1" showInputMessage="1" sqref="L173" xr:uid="{0A909A8B-2289-4000-9757-FF8D7D15B545}">
      <formula1>INDIRECT("[RoutineMapDataValidations.xlsm]Description!C166#")</formula1>
    </dataValidation>
    <dataValidation type="list" allowBlank="1" showInputMessage="1" sqref="L174" xr:uid="{41E4A7DE-BDB6-4B92-BE84-3229D639BFA0}">
      <formula1>INDIRECT("[RoutineMapDataValidations.xlsm]Description!C167#")</formula1>
    </dataValidation>
    <dataValidation type="list" allowBlank="1" showInputMessage="1" sqref="L175" xr:uid="{7825122A-F11C-4E7E-B106-7EB9EEA261A9}">
      <formula1>INDIRECT("[RoutineMapDataValidations.xlsm]Description!C168#")</formula1>
    </dataValidation>
    <dataValidation type="list" allowBlank="1" showInputMessage="1" sqref="L176" xr:uid="{E462F3AD-AE32-4901-BCF9-AF71FF843C09}">
      <formula1>INDIRECT("[RoutineMapDataValidations.xlsm]Description!C169#")</formula1>
    </dataValidation>
    <dataValidation type="list" allowBlank="1" showInputMessage="1" sqref="L177" xr:uid="{E9593CA0-AB01-4DF3-964D-00FE9DCBC2E8}">
      <formula1>INDIRECT("[RoutineMapDataValidations.xlsm]Description!C170#")</formula1>
    </dataValidation>
    <dataValidation type="list" allowBlank="1" showInputMessage="1" sqref="L178" xr:uid="{C5264601-C7D7-40CE-8301-E74339854FE4}">
      <formula1>INDIRECT("[RoutineMapDataValidations.xlsm]Description!C171#")</formula1>
    </dataValidation>
    <dataValidation type="list" allowBlank="1" showInputMessage="1" sqref="L179" xr:uid="{6069843E-F88A-4F33-B9EA-93BF30BA600F}">
      <formula1>INDIRECT("[RoutineMapDataValidations.xlsm]Description!C172#")</formula1>
    </dataValidation>
    <dataValidation type="list" allowBlank="1" showInputMessage="1" sqref="L180" xr:uid="{665DFB38-D960-4F87-9555-AEA94BC04C74}">
      <formula1>INDIRECT("[RoutineMapDataValidations.xlsm]Description!C173#")</formula1>
    </dataValidation>
    <dataValidation type="list" allowBlank="1" showInputMessage="1" sqref="L181" xr:uid="{FD7BEF74-4503-4D2A-8549-499D9370F285}">
      <formula1>INDIRECT("[RoutineMapDataValidations.xlsm]Description!C174#")</formula1>
    </dataValidation>
    <dataValidation type="list" allowBlank="1" showInputMessage="1" sqref="L182" xr:uid="{0FD5A294-D983-4A2B-A8BF-5C78C0254801}">
      <formula1>INDIRECT("[RoutineMapDataValidations.xlsm]Description!C175#")</formula1>
    </dataValidation>
    <dataValidation type="list" allowBlank="1" showInputMessage="1" sqref="L183" xr:uid="{062509ED-8CE1-455C-8604-D38CA1F3D0FD}">
      <formula1>INDIRECT("[RoutineMapDataValidations.xlsm]Description!C176#")</formula1>
    </dataValidation>
    <dataValidation type="list" allowBlank="1" showInputMessage="1" sqref="L184" xr:uid="{A86324C4-93A6-4787-823A-924AE2E6CEE9}">
      <formula1>INDIRECT("[RoutineMapDataValidations.xlsm]Description!C177#")</formula1>
    </dataValidation>
    <dataValidation type="list" allowBlank="1" showInputMessage="1" sqref="L185" xr:uid="{4E567FBB-DB43-4404-9762-2CCC4719B068}">
      <formula1>INDIRECT("[RoutineMapDataValidations.xlsm]Description!C178#")</formula1>
    </dataValidation>
    <dataValidation type="list" allowBlank="1" showInputMessage="1" sqref="L186" xr:uid="{1B2AC7D2-0AEA-4B18-B51D-4DF311533604}">
      <formula1>INDIRECT("[RoutineMapDataValidations.xlsm]Description!C179#")</formula1>
    </dataValidation>
    <dataValidation type="list" allowBlank="1" showInputMessage="1" sqref="L187" xr:uid="{861FD257-A4D1-42E1-9EB3-658FA3EDCFD1}">
      <formula1>INDIRECT("[RoutineMapDataValidations.xlsm]Description!C180#")</formula1>
    </dataValidation>
    <dataValidation type="list" allowBlank="1" showInputMessage="1" sqref="L188" xr:uid="{4C80C497-04A9-4E1E-BCAC-01B69C6E5B46}">
      <formula1>INDIRECT("[RoutineMapDataValidations.xlsm]Description!C181#")</formula1>
    </dataValidation>
    <dataValidation type="list" allowBlank="1" showInputMessage="1" sqref="L189" xr:uid="{2E2EDE45-2941-44EA-B17E-4DE86B21A315}">
      <formula1>INDIRECT("[RoutineMapDataValidations.xlsm]Description!C182#")</formula1>
    </dataValidation>
    <dataValidation type="list" allowBlank="1" showInputMessage="1" sqref="L190" xr:uid="{5038A1F0-EF93-40DB-9958-92B9AD28167C}">
      <formula1>INDIRECT("[RoutineMapDataValidations.xlsm]Description!C183#")</formula1>
    </dataValidation>
    <dataValidation type="list" allowBlank="1" showInputMessage="1" sqref="L191" xr:uid="{475FDD95-2DE4-4E48-830E-D6BA3BD6D095}">
      <formula1>INDIRECT("[RoutineMapDataValidations.xlsm]Description!C184#")</formula1>
    </dataValidation>
    <dataValidation type="list" allowBlank="1" showInputMessage="1" sqref="L192" xr:uid="{025E7547-9B07-46E1-B884-6F3488AF39D3}">
      <formula1>INDIRECT("[RoutineMapDataValidations.xlsm]Description!C185#")</formula1>
    </dataValidation>
    <dataValidation type="list" allowBlank="1" showInputMessage="1" sqref="L193" xr:uid="{AE1B5340-2FA6-40D4-B5A7-3183120AA9CB}">
      <formula1>INDIRECT("[RoutineMapDataValidations.xlsm]Description!C186#")</formula1>
    </dataValidation>
    <dataValidation type="list" allowBlank="1" showInputMessage="1" sqref="L194" xr:uid="{DDC3117F-C82F-4C5A-9218-AE4C53496AD4}">
      <formula1>INDIRECT("[RoutineMapDataValidations.xlsm]Description!C187#")</formula1>
    </dataValidation>
    <dataValidation type="list" allowBlank="1" showInputMessage="1" sqref="L195" xr:uid="{F42E87F2-D904-4F32-8D19-F79E048C2EA7}">
      <formula1>INDIRECT("[RoutineMapDataValidations.xlsm]Description!C188#")</formula1>
    </dataValidation>
    <dataValidation type="list" allowBlank="1" showInputMessage="1" sqref="L196" xr:uid="{B3D60D0F-17A1-47CE-9F60-88EF8CBA4DA8}">
      <formula1>INDIRECT("[RoutineMapDataValidations.xlsm]Description!C189#")</formula1>
    </dataValidation>
    <dataValidation type="list" allowBlank="1" showInputMessage="1" sqref="L197" xr:uid="{E33A9393-4262-4FE1-ABFA-3C2706D93985}">
      <formula1>INDIRECT("[RoutineMapDataValidations.xlsm]Description!C190#")</formula1>
    </dataValidation>
    <dataValidation type="list" allowBlank="1" showInputMessage="1" sqref="L198" xr:uid="{EC9893EF-53A4-4E09-9B29-777CBFFE7E93}">
      <formula1>INDIRECT("[RoutineMapDataValidations.xlsm]Description!C191#")</formula1>
    </dataValidation>
    <dataValidation type="list" allowBlank="1" showInputMessage="1" sqref="L199" xr:uid="{672C83A9-4BA7-4B75-86B9-B4ECBD7BFEB5}">
      <formula1>INDIRECT("[RoutineMapDataValidations.xlsm]Description!C192#")</formula1>
    </dataValidation>
    <dataValidation type="list" allowBlank="1" showInputMessage="1" sqref="L200" xr:uid="{FD2C1B5E-C50F-48BE-BF47-2A3E78CD50E9}">
      <formula1>INDIRECT("[RoutineMapDataValidations.xlsm]Description!C193#")</formula1>
    </dataValidation>
    <dataValidation type="list" allowBlank="1" showInputMessage="1" sqref="L201" xr:uid="{A53E63BD-02EF-4E4C-A972-DC92D640672E}">
      <formula1>INDIRECT("[RoutineMapDataValidations.xlsm]Description!C194#")</formula1>
    </dataValidation>
    <dataValidation type="list" allowBlank="1" showInputMessage="1" sqref="L202" xr:uid="{D6BF7147-B3AA-4020-9C25-6E46E33EFEF6}">
      <formula1>INDIRECT("[RoutineMapDataValidations.xlsm]Description!C195#")</formula1>
    </dataValidation>
    <dataValidation type="list" allowBlank="1" showInputMessage="1" sqref="L203" xr:uid="{171B96E7-5845-4AE8-AC8D-12617994CAE0}">
      <formula1>INDIRECT("[RoutineMapDataValidations.xlsm]Description!C196#")</formula1>
    </dataValidation>
    <dataValidation type="list" allowBlank="1" showInputMessage="1" sqref="L204" xr:uid="{BEBBF7FA-178D-4C68-9865-2DFBC9F3F92C}">
      <formula1>INDIRECT("[RoutineMapDataValidations.xlsm]Description!C197#")</formula1>
    </dataValidation>
    <dataValidation type="list" allowBlank="1" showInputMessage="1" sqref="L205" xr:uid="{E9C72012-70B0-4DB4-BDAE-078FBC2B18F4}">
      <formula1>INDIRECT("[RoutineMapDataValidations.xlsm]Description!C198#")</formula1>
    </dataValidation>
    <dataValidation type="list" allowBlank="1" showInputMessage="1" sqref="L206" xr:uid="{0EFD1D0E-79A9-4C4C-9E74-4FAB1B511534}">
      <formula1>INDIRECT("[RoutineMapDataValidations.xlsm]Description!C199#")</formula1>
    </dataValidation>
    <dataValidation type="list" allowBlank="1" showInputMessage="1" sqref="L207" xr:uid="{2F5B72F1-CE75-426D-9A6B-8BCF22B98D8A}">
      <formula1>INDIRECT("[RoutineMapDataValidations.xlsm]Description!C200#")</formula1>
    </dataValidation>
    <dataValidation type="list" allowBlank="1" showInputMessage="1" sqref="L208" xr:uid="{71CD1D91-3BB6-4B36-ADC1-65413B5CE5CD}">
      <formula1>INDIRECT("[RoutineMapDataValidations.xlsm]Description!C201#")</formula1>
    </dataValidation>
    <dataValidation type="list" allowBlank="1" showInputMessage="1" sqref="L209" xr:uid="{BC6CF8D0-DD99-428A-9CFF-3E8DCAD9602B}">
      <formula1>INDIRECT("[RoutineMapDataValidations.xlsm]Description!C202#")</formula1>
    </dataValidation>
    <dataValidation type="list" allowBlank="1" showInputMessage="1" sqref="L210" xr:uid="{E6190898-BDBB-4727-AED6-30F1616A467B}">
      <formula1>INDIRECT("[RoutineMapDataValidations.xlsm]Description!C203#")</formula1>
    </dataValidation>
    <dataValidation type="list" allowBlank="1" showInputMessage="1" sqref="L211" xr:uid="{FC9981D5-6552-495E-90E2-2B9461B55EC8}">
      <formula1>INDIRECT("[RoutineMapDataValidations.xlsm]Description!C204#")</formula1>
    </dataValidation>
    <dataValidation type="list" allowBlank="1" showInputMessage="1" sqref="L212" xr:uid="{19BE288B-1CE0-4967-A7D4-20AD86585E63}">
      <formula1>INDIRECT("[RoutineMapDataValidations.xlsm]Description!C205#")</formula1>
    </dataValidation>
    <dataValidation type="list" allowBlank="1" showInputMessage="1" sqref="L213" xr:uid="{871DB585-E257-4236-9F65-62AE45EDC729}">
      <formula1>INDIRECT("[RoutineMapDataValidations.xlsm]Description!C206#")</formula1>
    </dataValidation>
    <dataValidation type="list" allowBlank="1" showInputMessage="1" sqref="L214" xr:uid="{CD564CB5-6245-4699-8EEF-46F83F8E5CEA}">
      <formula1>INDIRECT("[RoutineMapDataValidations.xlsm]Description!C207#")</formula1>
    </dataValidation>
    <dataValidation type="list" allowBlank="1" showInputMessage="1" sqref="L215" xr:uid="{A27E1040-4324-43E9-8F84-0500F5484296}">
      <formula1>INDIRECT("[RoutineMapDataValidations.xlsm]Description!C208#")</formula1>
    </dataValidation>
    <dataValidation type="list" allowBlank="1" showInputMessage="1" sqref="L216" xr:uid="{6720B84A-03F1-4B34-B69F-3A2CC69A7A3D}">
      <formula1>INDIRECT("[RoutineMapDataValidations.xlsm]Description!C209#")</formula1>
    </dataValidation>
    <dataValidation type="list" allowBlank="1" showInputMessage="1" sqref="L217" xr:uid="{62EA9725-4769-40CE-BEA5-DB60CA0F324D}">
      <formula1>INDIRECT("[RoutineMapDataValidations.xlsm]Description!C210#")</formula1>
    </dataValidation>
    <dataValidation type="list" allowBlank="1" showInputMessage="1" sqref="L218" xr:uid="{AF7E637E-CF16-486F-964C-D23ACAA666EB}">
      <formula1>INDIRECT("[RoutineMapDataValidations.xlsm]Description!C211#")</formula1>
    </dataValidation>
    <dataValidation type="list" allowBlank="1" showInputMessage="1" sqref="L219" xr:uid="{51913ED3-F640-4D9C-832F-2C943B1DB315}">
      <formula1>INDIRECT("[RoutineMapDataValidations.xlsm]Description!C212#")</formula1>
    </dataValidation>
    <dataValidation type="list" allowBlank="1" showInputMessage="1" sqref="L220" xr:uid="{EE6E0128-2FD6-41C5-B584-EB4F1C6A8366}">
      <formula1>INDIRECT("[RoutineMapDataValidations.xlsm]Description!C213#")</formula1>
    </dataValidation>
    <dataValidation type="list" allowBlank="1" showInputMessage="1" sqref="L221" xr:uid="{99A961E9-ED8C-4342-A13C-AB37EF2BB6E3}">
      <formula1>INDIRECT("[RoutineMapDataValidations.xlsm]Description!C214#")</formula1>
    </dataValidation>
    <dataValidation type="list" allowBlank="1" showInputMessage="1" sqref="L222" xr:uid="{9A5A5B44-926D-498F-9556-89D93BC79921}">
      <formula1>INDIRECT("[RoutineMapDataValidations.xlsm]Description!C215#")</formula1>
    </dataValidation>
    <dataValidation type="list" allowBlank="1" showInputMessage="1" sqref="L223" xr:uid="{EFDA1A65-3BC0-4350-9584-631567085182}">
      <formula1>INDIRECT("[RoutineMapDataValidations.xlsm]Description!C216#")</formula1>
    </dataValidation>
    <dataValidation type="list" allowBlank="1" showInputMessage="1" sqref="L224" xr:uid="{08B72660-7C6B-4934-8396-6DF9C7A20416}">
      <formula1>INDIRECT("[RoutineMapDataValidations.xlsm]Description!C217#")</formula1>
    </dataValidation>
    <dataValidation type="list" allowBlank="1" showInputMessage="1" sqref="L225" xr:uid="{BC606A00-A7AE-44CC-907D-66CA455AB037}">
      <formula1>INDIRECT("[RoutineMapDataValidations.xlsm]Description!C218#")</formula1>
    </dataValidation>
    <dataValidation type="list" allowBlank="1" showInputMessage="1" sqref="L226" xr:uid="{56C8799C-E495-4D84-868F-2390941EC7D4}">
      <formula1>INDIRECT("[RoutineMapDataValidations.xlsm]Description!C219#")</formula1>
    </dataValidation>
    <dataValidation type="list" allowBlank="1" showInputMessage="1" sqref="L227" xr:uid="{9FB13094-DDF1-48C9-B3B1-FC8A8E3596BE}">
      <formula1>INDIRECT("[RoutineMapDataValidations.xlsm]Description!C220#")</formula1>
    </dataValidation>
    <dataValidation type="list" allowBlank="1" showInputMessage="1" sqref="L228" xr:uid="{2036B9F0-C17F-48AC-9D4C-89439472F498}">
      <formula1>INDIRECT("[RoutineMapDataValidations.xlsm]Description!C221#")</formula1>
    </dataValidation>
    <dataValidation type="list" allowBlank="1" showInputMessage="1" sqref="L229" xr:uid="{79DA86FB-F389-414D-B155-D8A89D56A0B7}">
      <formula1>INDIRECT("[RoutineMapDataValidations.xlsm]Description!C222#")</formula1>
    </dataValidation>
    <dataValidation type="list" allowBlank="1" showInputMessage="1" sqref="L230" xr:uid="{BA3EFE2D-74E4-4AAB-AB55-BFB53A696458}">
      <formula1>INDIRECT("[RoutineMapDataValidations.xlsm]Description!C223#")</formula1>
    </dataValidation>
    <dataValidation type="list" allowBlank="1" showInputMessage="1" sqref="L231" xr:uid="{49115084-9FD1-48C2-8715-2E9384575732}">
      <formula1>INDIRECT("[RoutineMapDataValidations.xlsm]Description!C224#")</formula1>
    </dataValidation>
    <dataValidation type="list" allowBlank="1" showInputMessage="1" sqref="L232" xr:uid="{02D93608-CF5F-412E-AC5D-73DBEF4C6F77}">
      <formula1>INDIRECT("[RoutineMapDataValidations.xlsm]Description!C225#")</formula1>
    </dataValidation>
    <dataValidation type="list" allowBlank="1" showInputMessage="1" sqref="L233" xr:uid="{D5605854-2D86-484F-B15F-07A346891173}">
      <formula1>INDIRECT("[RoutineMapDataValidations.xlsm]Description!C226#")</formula1>
    </dataValidation>
    <dataValidation type="list" allowBlank="1" showInputMessage="1" sqref="L234" xr:uid="{4FD5F2BD-DF00-4210-9F7C-86891D14C972}">
      <formula1>INDIRECT("[RoutineMapDataValidations.xlsm]Description!C227#")</formula1>
    </dataValidation>
    <dataValidation type="list" allowBlank="1" showInputMessage="1" sqref="L235" xr:uid="{872CC8E8-4BE3-42DC-AF0A-14F70DD5DD64}">
      <formula1>INDIRECT("[RoutineMapDataValidations.xlsm]Description!C228#")</formula1>
    </dataValidation>
    <dataValidation type="list" allowBlank="1" showInputMessage="1" sqref="L236" xr:uid="{7D45499A-6F99-4127-AA9C-849C48EEA6BB}">
      <formula1>INDIRECT("[RoutineMapDataValidations.xlsm]Description!C229#")</formula1>
    </dataValidation>
    <dataValidation type="list" allowBlank="1" showInputMessage="1" sqref="L237" xr:uid="{0E26420D-0CC6-43CD-A712-78D1C8F2AEEB}">
      <formula1>INDIRECT("[RoutineMapDataValidations.xlsm]Description!C230#")</formula1>
    </dataValidation>
    <dataValidation type="list" allowBlank="1" showInputMessage="1" sqref="L238" xr:uid="{34AB68D6-5EF1-49B7-A4C2-97CFE8918F86}">
      <formula1>INDIRECT("[RoutineMapDataValidations.xlsm]Description!C231#")</formula1>
    </dataValidation>
    <dataValidation type="list" allowBlank="1" showInputMessage="1" sqref="L239" xr:uid="{7C05735B-980F-4EAE-899A-83C1EC58BE85}">
      <formula1>INDIRECT("[RoutineMapDataValidations.xlsm]Description!C232#")</formula1>
    </dataValidation>
    <dataValidation type="list" allowBlank="1" showInputMessage="1" sqref="L240" xr:uid="{48A4BF14-5810-45A2-92EF-FDE97B9F0350}">
      <formula1>INDIRECT("[RoutineMapDataValidations.xlsm]Description!C233#")</formula1>
    </dataValidation>
    <dataValidation type="list" allowBlank="1" showInputMessage="1" sqref="L241" xr:uid="{3969BE25-1E6A-42C8-9D78-04EFC18F4F9A}">
      <formula1>INDIRECT("[RoutineMapDataValidations.xlsm]Description!C234#")</formula1>
    </dataValidation>
    <dataValidation type="list" allowBlank="1" showInputMessage="1" sqref="L242" xr:uid="{C82BAEF1-617F-4D52-A046-185532F22731}">
      <formula1>INDIRECT("[RoutineMapDataValidations.xlsm]Description!C235#")</formula1>
    </dataValidation>
    <dataValidation type="list" allowBlank="1" showInputMessage="1" sqref="L243" xr:uid="{C79353A6-C4A1-4C00-910D-F812D29410F6}">
      <formula1>INDIRECT("[RoutineMapDataValidations.xlsm]Description!C236#")</formula1>
    </dataValidation>
    <dataValidation type="list" allowBlank="1" showInputMessage="1" sqref="L244" xr:uid="{8701AAF0-9385-4C27-B8CE-89EE5D7A0D1B}">
      <formula1>INDIRECT("[RoutineMapDataValidations.xlsm]Description!C237#")</formula1>
    </dataValidation>
    <dataValidation type="list" allowBlank="1" showInputMessage="1" sqref="L245" xr:uid="{CD973DD8-E586-4CAC-8F28-916EE5AA77A0}">
      <formula1>INDIRECT("[RoutineMapDataValidations.xlsm]Description!C238#")</formula1>
    </dataValidation>
    <dataValidation type="list" allowBlank="1" showInputMessage="1" sqref="L246" xr:uid="{1526660B-8048-47FA-8C09-B2316B9A4EEE}">
      <formula1>INDIRECT("[RoutineMapDataValidations.xlsm]Description!C239#")</formula1>
    </dataValidation>
    <dataValidation type="list" allowBlank="1" showInputMessage="1" sqref="L247" xr:uid="{5A328A5C-C6ED-4CCB-85B2-246526BF53A4}">
      <formula1>INDIRECT("[RoutineMapDataValidations.xlsm]Description!C240#")</formula1>
    </dataValidation>
    <dataValidation type="list" allowBlank="1" showInputMessage="1" sqref="L248" xr:uid="{25C6C328-BA26-4FE3-969F-28627ABC7067}">
      <formula1>INDIRECT("[RoutineMapDataValidations.xlsm]Description!C241#")</formula1>
    </dataValidation>
    <dataValidation type="list" allowBlank="1" showInputMessage="1" sqref="L249" xr:uid="{3B489E60-8B14-42A8-914F-5CC158235EFC}">
      <formula1>INDIRECT("[RoutineMapDataValidations.xlsm]Description!C242#")</formula1>
    </dataValidation>
    <dataValidation type="list" allowBlank="1" showInputMessage="1" sqref="L250" xr:uid="{C2188ED6-DE72-442C-A0DE-1FDB7D28046F}">
      <formula1>INDIRECT("[RoutineMapDataValidations.xlsm]Description!C243#")</formula1>
    </dataValidation>
    <dataValidation type="list" allowBlank="1" showInputMessage="1" sqref="L251" xr:uid="{5624B665-B5D9-4D01-808E-1D3E525497C5}">
      <formula1>INDIRECT("[RoutineMapDataValidations.xlsm]Description!C244#")</formula1>
    </dataValidation>
    <dataValidation type="list" allowBlank="1" showInputMessage="1" sqref="L252" xr:uid="{5F4267AB-3552-437E-BFE5-68E89780D283}">
      <formula1>INDIRECT("[RoutineMapDataValidations.xlsm]Description!C245#")</formula1>
    </dataValidation>
    <dataValidation type="list" allowBlank="1" showInputMessage="1" sqref="L253" xr:uid="{426C13B8-EF47-48BB-A034-7BB79C295F2F}">
      <formula1>INDIRECT("[RoutineMapDataValidations.xlsm]Description!C246#")</formula1>
    </dataValidation>
    <dataValidation type="list" allowBlank="1" showInputMessage="1" sqref="L254" xr:uid="{596E53A4-61EC-499A-B8E8-91871C29AD38}">
      <formula1>INDIRECT("[RoutineMapDataValidations.xlsm]Description!C247#")</formula1>
    </dataValidation>
    <dataValidation type="list" allowBlank="1" showInputMessage="1" sqref="L255" xr:uid="{7FF8710B-4F57-45B9-AC40-50D4B7A6AC33}">
      <formula1>INDIRECT("[RoutineMapDataValidations.xlsm]Description!C248#")</formula1>
    </dataValidation>
    <dataValidation type="list" allowBlank="1" showInputMessage="1" sqref="L256" xr:uid="{84D39CA4-B58E-477D-BC1B-5357FBC933AD}">
      <formula1>INDIRECT("[RoutineMapDataValidations.xlsm]Description!C249#")</formula1>
    </dataValidation>
    <dataValidation type="list" allowBlank="1" showInputMessage="1" sqref="L257" xr:uid="{1DEC94B8-F296-4179-BC9F-DC265970394F}">
      <formula1>INDIRECT("[RoutineMapDataValidations.xlsm]Description!C250#")</formula1>
    </dataValidation>
    <dataValidation type="list" allowBlank="1" showInputMessage="1" sqref="L258" xr:uid="{F2B8AE2A-9758-4042-B00D-CE9129AF2596}">
      <formula1>INDIRECT("[RoutineMapDataValidations.xlsm]Description!C251#")</formula1>
    </dataValidation>
    <dataValidation type="list" allowBlank="1" showInputMessage="1" sqref="L259" xr:uid="{93198AF8-AECE-409B-B57C-FC77DAD2CAFB}">
      <formula1>INDIRECT("[RoutineMapDataValidations.xlsm]Description!C252#")</formula1>
    </dataValidation>
    <dataValidation type="list" allowBlank="1" showInputMessage="1" sqref="L260" xr:uid="{487741D9-60B3-40D0-BEF1-53BBCA53E1DE}">
      <formula1>INDIRECT("[RoutineMapDataValidations.xlsm]Description!C253#")</formula1>
    </dataValidation>
    <dataValidation type="list" allowBlank="1" showInputMessage="1" sqref="L261" xr:uid="{3E786038-C93E-4B8D-8D26-53DC6F4AB8CC}">
      <formula1>INDIRECT("[RoutineMapDataValidations.xlsm]Description!C254#")</formula1>
    </dataValidation>
    <dataValidation type="list" allowBlank="1" showInputMessage="1" sqref="L262" xr:uid="{EE077A56-1A70-4737-A411-4E591ACD58D0}">
      <formula1>INDIRECT("[RoutineMapDataValidations.xlsm]Description!C255#")</formula1>
    </dataValidation>
    <dataValidation type="list" allowBlank="1" showInputMessage="1" sqref="L263" xr:uid="{3B9F7A39-79AE-4193-AE4E-69CDBCBD6758}">
      <formula1>INDIRECT("[RoutineMapDataValidations.xlsm]Description!C256#")</formula1>
    </dataValidation>
    <dataValidation type="list" allowBlank="1" showInputMessage="1" sqref="L264" xr:uid="{B4498F13-CA98-4A43-B033-490D54A230FE}">
      <formula1>INDIRECT("[RoutineMapDataValidations.xlsm]Description!C257#")</formula1>
    </dataValidation>
    <dataValidation type="list" allowBlank="1" showInputMessage="1" sqref="L265" xr:uid="{51C51C49-BE3A-4190-995E-390922FA6562}">
      <formula1>INDIRECT("[RoutineMapDataValidations.xlsm]Description!C258#")</formula1>
    </dataValidation>
    <dataValidation type="list" allowBlank="1" showInputMessage="1" sqref="L266" xr:uid="{22AB02D8-1AD3-4897-B044-8A7B365D1E19}">
      <formula1>INDIRECT("[RoutineMapDataValidations.xlsm]Description!C259#")</formula1>
    </dataValidation>
    <dataValidation type="list" allowBlank="1" showInputMessage="1" sqref="L267" xr:uid="{96CDA708-7C35-4D11-B63B-5CD9BF2629C3}">
      <formula1>INDIRECT("[RoutineMapDataValidations.xlsm]Description!C260#")</formula1>
    </dataValidation>
    <dataValidation type="list" allowBlank="1" showInputMessage="1" sqref="L268" xr:uid="{F1FEECCF-2E9A-4199-936F-6A2F21DC9F8E}">
      <formula1>INDIRECT("[RoutineMapDataValidations.xlsm]Description!C261#")</formula1>
    </dataValidation>
    <dataValidation type="list" allowBlank="1" showInputMessage="1" sqref="L269" xr:uid="{7CA3D392-8850-4FFD-BECA-C4DA5C64DFF2}">
      <formula1>INDIRECT("[RoutineMapDataValidations.xlsm]Description!C262#")</formula1>
    </dataValidation>
    <dataValidation type="list" allowBlank="1" showInputMessage="1" sqref="L270" xr:uid="{EA7D7EE5-8B67-4331-B2A3-BAAAC2BD44F6}">
      <formula1>INDIRECT("[RoutineMapDataValidations.xlsm]Description!C263#")</formula1>
    </dataValidation>
    <dataValidation type="list" allowBlank="1" showInputMessage="1" sqref="L271" xr:uid="{DC58335C-C15F-4144-8578-3AA42287B9ED}">
      <formula1>INDIRECT("[RoutineMapDataValidations.xlsm]Description!C264#")</formula1>
    </dataValidation>
    <dataValidation type="list" allowBlank="1" showInputMessage="1" sqref="L272" xr:uid="{E29B8576-BD74-474F-86AC-5C4373D88A2F}">
      <formula1>INDIRECT("[RoutineMapDataValidations.xlsm]Description!C265#")</formula1>
    </dataValidation>
    <dataValidation type="list" allowBlank="1" showInputMessage="1" sqref="L273" xr:uid="{E31A5CAA-5323-45B8-BC8A-3415866C45EF}">
      <formula1>INDIRECT("[RoutineMapDataValidations.xlsm]Description!C266#")</formula1>
    </dataValidation>
    <dataValidation type="list" allowBlank="1" showInputMessage="1" sqref="L274" xr:uid="{BE9EE899-EDF0-46EA-90EC-5955FB70B6D3}">
      <formula1>INDIRECT("[RoutineMapDataValidations.xlsm]Description!C267#")</formula1>
    </dataValidation>
    <dataValidation type="list" allowBlank="1" showInputMessage="1" sqref="L275" xr:uid="{0BA25B02-4A73-49C5-A1E1-B0F7DF9242A6}">
      <formula1>INDIRECT("[RoutineMapDataValidations.xlsm]Description!C268#")</formula1>
    </dataValidation>
    <dataValidation type="list" allowBlank="1" showInputMessage="1" sqref="L276" xr:uid="{85E32022-2EAB-4786-BEB4-B3E9D0C87266}">
      <formula1>INDIRECT("[RoutineMapDataValidations.xlsm]Description!C269#")</formula1>
    </dataValidation>
    <dataValidation type="list" allowBlank="1" showInputMessage="1" sqref="L277" xr:uid="{995448C2-85FA-47BF-842A-176CEF412212}">
      <formula1>INDIRECT("[RoutineMapDataValidations.xlsm]Description!C270#")</formula1>
    </dataValidation>
    <dataValidation type="list" allowBlank="1" showInputMessage="1" sqref="L278" xr:uid="{2D0840E6-E316-42F0-8550-3DD470A61338}">
      <formula1>INDIRECT("[RoutineMapDataValidations.xlsm]Description!C271#")</formula1>
    </dataValidation>
    <dataValidation type="list" allowBlank="1" showInputMessage="1" sqref="L279" xr:uid="{57FE87EF-0F2B-426F-9EC9-F85EBC6A920F}">
      <formula1>INDIRECT("[RoutineMapDataValidations.xlsm]Description!C272#")</formula1>
    </dataValidation>
    <dataValidation type="list" allowBlank="1" showInputMessage="1" sqref="L280" xr:uid="{22C57E46-5829-4E99-8307-8151915914DA}">
      <formula1>INDIRECT("[RoutineMapDataValidations.xlsm]Description!C273#")</formula1>
    </dataValidation>
    <dataValidation type="list" allowBlank="1" showInputMessage="1" sqref="L281" xr:uid="{C8A10F63-1A8F-41B7-A863-9415ABC652CC}">
      <formula1>INDIRECT("[RoutineMapDataValidations.xlsm]Description!C274#")</formula1>
    </dataValidation>
    <dataValidation type="list" allowBlank="1" showInputMessage="1" sqref="L282" xr:uid="{1E2CF4E2-52F2-4743-A8A9-A5C39BC924CB}">
      <formula1>INDIRECT("[RoutineMapDataValidations.xlsm]Description!C275#")</formula1>
    </dataValidation>
    <dataValidation type="list" allowBlank="1" showInputMessage="1" sqref="L283" xr:uid="{663D42C2-AEEE-4C9F-9098-6F158E41751F}">
      <formula1>INDIRECT("[RoutineMapDataValidations.xlsm]Description!C276#")</formula1>
    </dataValidation>
    <dataValidation type="list" allowBlank="1" showInputMessage="1" sqref="L284" xr:uid="{123477AA-2A2F-41C8-9DAC-F24812FD2201}">
      <formula1>INDIRECT("[RoutineMapDataValidations.xlsm]Description!C277#")</formula1>
    </dataValidation>
    <dataValidation type="list" allowBlank="1" showInputMessage="1" sqref="L285" xr:uid="{21A4D2AC-ED13-4A3A-B575-262A70A20DF8}">
      <formula1>INDIRECT("[RoutineMapDataValidations.xlsm]Description!C278#")</formula1>
    </dataValidation>
    <dataValidation type="list" allowBlank="1" showInputMessage="1" sqref="L286" xr:uid="{015034B6-9185-4CFB-B30F-52EDD1650783}">
      <formula1>INDIRECT("[RoutineMapDataValidations.xlsm]Description!C279#")</formula1>
    </dataValidation>
    <dataValidation type="list" allowBlank="1" showInputMessage="1" sqref="L287" xr:uid="{C7901036-6D69-4B98-8B56-331AB01A15D2}">
      <formula1>INDIRECT("[RoutineMapDataValidations.xlsm]Description!C280#")</formula1>
    </dataValidation>
    <dataValidation type="list" allowBlank="1" showInputMessage="1" sqref="L288" xr:uid="{22AF96D6-FD55-4022-8ADD-45EB0E63C542}">
      <formula1>INDIRECT("[RoutineMapDataValidations.xlsm]Description!C281#")</formula1>
    </dataValidation>
    <dataValidation type="list" allowBlank="1" showInputMessage="1" sqref="L289" xr:uid="{63E13DD1-DB4E-422F-9112-ED0D84F24C8D}">
      <formula1>INDIRECT("[RoutineMapDataValidations.xlsm]Description!C282#")</formula1>
    </dataValidation>
    <dataValidation type="list" allowBlank="1" showInputMessage="1" sqref="L290" xr:uid="{9121028C-86C0-48F3-892D-A0006B20DC48}">
      <formula1>INDIRECT("[RoutineMapDataValidations.xlsm]Description!C283#")</formula1>
    </dataValidation>
    <dataValidation type="list" allowBlank="1" showInputMessage="1" sqref="L291" xr:uid="{5F59A64C-4F86-4882-AB50-F914C8BCC79F}">
      <formula1>INDIRECT("[RoutineMapDataValidations.xlsm]Description!C284#")</formula1>
    </dataValidation>
    <dataValidation type="list" allowBlank="1" showInputMessage="1" sqref="L292" xr:uid="{FB51C10C-32FF-4250-8606-FEBBFBC33264}">
      <formula1>INDIRECT("[RoutineMapDataValidations.xlsm]Description!C285#")</formula1>
    </dataValidation>
    <dataValidation type="list" allowBlank="1" showInputMessage="1" sqref="L293" xr:uid="{E81CD339-76F7-4C84-A3F6-5F96E7CE7BA2}">
      <formula1>INDIRECT("[RoutineMapDataValidations.xlsm]Description!C286#")</formula1>
    </dataValidation>
    <dataValidation type="list" allowBlank="1" showInputMessage="1" sqref="L294" xr:uid="{E3AE3C8A-BD61-44CC-A8A4-2DA038B6C1C9}">
      <formula1>INDIRECT("[RoutineMapDataValidations.xlsm]Description!C287#")</formula1>
    </dataValidation>
    <dataValidation type="list" allowBlank="1" showInputMessage="1" sqref="L295" xr:uid="{64021E9F-FB1B-4D67-ADA1-13B847E51C31}">
      <formula1>INDIRECT("[RoutineMapDataValidations.xlsm]Description!C288#")</formula1>
    </dataValidation>
    <dataValidation type="list" allowBlank="1" showInputMessage="1" sqref="L296" xr:uid="{D9167DAF-65E7-4431-8D5B-506C0E531DAE}">
      <formula1>INDIRECT("[RoutineMapDataValidations.xlsm]Description!C289#")</formula1>
    </dataValidation>
    <dataValidation type="list" allowBlank="1" showInputMessage="1" sqref="L297" xr:uid="{88209E25-7A2F-4608-9804-00BDED9775F7}">
      <formula1>INDIRECT("[RoutineMapDataValidations.xlsm]Description!C290#")</formula1>
    </dataValidation>
    <dataValidation type="list" allowBlank="1" showInputMessage="1" sqref="L298" xr:uid="{B72116E6-D68A-4C67-AC02-BAC605F34E54}">
      <formula1>INDIRECT("[RoutineMapDataValidations.xlsm]Description!C291#")</formula1>
    </dataValidation>
    <dataValidation type="list" allowBlank="1" showInputMessage="1" sqref="L299" xr:uid="{F0CBC7D6-167C-42AD-B6C1-D30A67D94B5F}">
      <formula1>INDIRECT("[RoutineMapDataValidations.xlsm]Description!C292#")</formula1>
    </dataValidation>
    <dataValidation type="list" allowBlank="1" showInputMessage="1" sqref="L300" xr:uid="{5682F8D2-8930-4416-B7B0-69551D96A34A}">
      <formula1>INDIRECT("[RoutineMapDataValidations.xlsm]Description!C293#")</formula1>
    </dataValidation>
    <dataValidation type="list" allowBlank="1" showInputMessage="1" sqref="L301" xr:uid="{2E395D59-519B-432D-B704-0F9ACCBCDE36}">
      <formula1>INDIRECT("[RoutineMapDataValidations.xlsm]Description!C294#")</formula1>
    </dataValidation>
    <dataValidation type="list" allowBlank="1" showInputMessage="1" sqref="L302" xr:uid="{C29A96A3-FD94-4481-8CE3-A2BC2607A3CD}">
      <formula1>INDIRECT("[RoutineMapDataValidations.xlsm]Description!C295#")</formula1>
    </dataValidation>
    <dataValidation type="list" allowBlank="1" showInputMessage="1" sqref="L303" xr:uid="{D8E17774-22A4-4E89-AAEF-507D9692099D}">
      <formula1>INDIRECT("[RoutineMapDataValidations.xlsm]Description!C296#")</formula1>
    </dataValidation>
    <dataValidation type="list" allowBlank="1" showInputMessage="1" sqref="L304" xr:uid="{9E18DEF7-E10C-41E7-9E85-82FA5A83005C}">
      <formula1>INDIRECT("[RoutineMapDataValidations.xlsm]Description!C297#")</formula1>
    </dataValidation>
    <dataValidation type="list" allowBlank="1" showInputMessage="1" sqref="L305" xr:uid="{E0EE47F0-AE4A-4815-B8C3-2EB30D2572E2}">
      <formula1>INDIRECT("[RoutineMapDataValidations.xlsm]Description!C298#")</formula1>
    </dataValidation>
    <dataValidation type="list" allowBlank="1" showInputMessage="1" sqref="L306" xr:uid="{280A5094-7A65-46AC-B9D7-21640AA0CA86}">
      <formula1>INDIRECT("[RoutineMapDataValidations.xlsm]Description!C299#")</formula1>
    </dataValidation>
    <dataValidation type="list" allowBlank="1" showInputMessage="1" sqref="L307" xr:uid="{1DFCCF9F-DF38-4DC1-BF6B-A4996A0825D3}">
      <formula1>INDIRECT("[RoutineMapDataValidations.xlsm]Description!C300#")</formula1>
    </dataValidation>
    <dataValidation type="list" allowBlank="1" showInputMessage="1" sqref="L308" xr:uid="{9186C027-D026-4079-83BE-C92DDCA0CA7D}">
      <formula1>INDIRECT("[RoutineMapDataValidations.xlsm]Description!C301#")</formula1>
    </dataValidation>
    <dataValidation type="list" allowBlank="1" showInputMessage="1" sqref="L309" xr:uid="{ECBFB193-492B-45AC-9097-E926707B7D71}">
      <formula1>INDIRECT("[RoutineMapDataValidations.xlsm]Description!C302#")</formula1>
    </dataValidation>
    <dataValidation type="list" allowBlank="1" showInputMessage="1" sqref="L310" xr:uid="{79CE40E0-F1DC-46AE-A2DB-65DE33E45ADE}">
      <formula1>INDIRECT("[RoutineMapDataValidations.xlsm]Description!C303#")</formula1>
    </dataValidation>
    <dataValidation type="list" allowBlank="1" showInputMessage="1" sqref="L311" xr:uid="{98739B42-6959-4088-A99C-2875A05504ED}">
      <formula1>INDIRECT("[RoutineMapDataValidations.xlsm]Description!C304#")</formula1>
    </dataValidation>
    <dataValidation type="list" allowBlank="1" showInputMessage="1" sqref="L312" xr:uid="{261CDCC7-56E7-445F-B05E-BAC4E94883AF}">
      <formula1>INDIRECT("[RoutineMapDataValidations.xlsm]Description!C305#")</formula1>
    </dataValidation>
    <dataValidation type="list" allowBlank="1" showInputMessage="1" sqref="L313" xr:uid="{70F35D1B-20B5-4B1B-8AEA-2BEDE0D19521}">
      <formula1>INDIRECT("[RoutineMapDataValidations.xlsm]Description!C306#")</formula1>
    </dataValidation>
    <dataValidation type="list" allowBlank="1" showInputMessage="1" sqref="L314" xr:uid="{801D713A-DC4C-4FB6-AD1D-35705FFCD8E6}">
      <formula1>INDIRECT("[RoutineMapDataValidations.xlsm]Description!C307#")</formula1>
    </dataValidation>
    <dataValidation type="list" allowBlank="1" showInputMessage="1" sqref="L315" xr:uid="{08965342-8FF4-44CC-9913-615673E0EFD8}">
      <formula1>INDIRECT("[RoutineMapDataValidations.xlsm]Description!C308#")</formula1>
    </dataValidation>
    <dataValidation type="list" allowBlank="1" showInputMessage="1" sqref="L316" xr:uid="{98BEE288-48E7-4101-ADAF-1096D13E77B9}">
      <formula1>INDIRECT("[RoutineMapDataValidations.xlsm]Description!C309#")</formula1>
    </dataValidation>
    <dataValidation type="list" allowBlank="1" showInputMessage="1" sqref="L317" xr:uid="{AFE558E4-0B8D-48F7-AA7D-01B4592E5E3F}">
      <formula1>INDIRECT("[RoutineMapDataValidations.xlsm]Description!C310#")</formula1>
    </dataValidation>
    <dataValidation type="list" allowBlank="1" showInputMessage="1" sqref="L318" xr:uid="{B5FAB837-7DC5-46C0-A092-8ED0DE9C6D74}">
      <formula1>INDIRECT("[RoutineMapDataValidations.xlsm]Description!C311#")</formula1>
    </dataValidation>
    <dataValidation type="list" allowBlank="1" showInputMessage="1" sqref="L319" xr:uid="{A74BB553-BC40-405F-8F51-E3141B0AEF00}">
      <formula1>INDIRECT("[RoutineMapDataValidations.xlsm]Description!C312#")</formula1>
    </dataValidation>
    <dataValidation type="list" allowBlank="1" showInputMessage="1" sqref="L320" xr:uid="{4F8CB10C-4B95-463C-AE57-F3F23516DCA7}">
      <formula1>INDIRECT("[RoutineMapDataValidations.xlsm]Description!C313#")</formula1>
    </dataValidation>
    <dataValidation type="list" allowBlank="1" showInputMessage="1" sqref="L321" xr:uid="{2B4FBAF3-3812-48A5-82CD-DD6911FA3428}">
      <formula1>INDIRECT("[RoutineMapDataValidations.xlsm]Description!C314#")</formula1>
    </dataValidation>
    <dataValidation type="list" allowBlank="1" showInputMessage="1" sqref="L322" xr:uid="{F84E80B7-4F2E-4C95-B3B1-F6C06CE7BCDC}">
      <formula1>INDIRECT("[RoutineMapDataValidations.xlsm]Description!C315#")</formula1>
    </dataValidation>
    <dataValidation type="list" allowBlank="1" showInputMessage="1" sqref="L323" xr:uid="{11A7168E-D6C2-46DE-B4EA-2E9B556D6656}">
      <formula1>INDIRECT("[RoutineMapDataValidations.xlsm]Description!C316#")</formula1>
    </dataValidation>
    <dataValidation type="list" allowBlank="1" showInputMessage="1" sqref="L324" xr:uid="{B285D201-298A-43ED-8E36-6D3218548A60}">
      <formula1>INDIRECT("[RoutineMapDataValidations.xlsm]Description!C317#")</formula1>
    </dataValidation>
    <dataValidation type="list" allowBlank="1" showInputMessage="1" sqref="L325" xr:uid="{54AF95C7-4BA2-4AB9-AC20-7C5EDF0D4B78}">
      <formula1>INDIRECT("[RoutineMapDataValidations.xlsm]Description!C318#")</formula1>
    </dataValidation>
    <dataValidation type="list" allowBlank="1" showInputMessage="1" sqref="L326" xr:uid="{EF11E243-B496-408A-B49F-DB38AFC67A2C}">
      <formula1>INDIRECT("[RoutineMapDataValidations.xlsm]Description!C319#")</formula1>
    </dataValidation>
    <dataValidation type="list" allowBlank="1" showInputMessage="1" sqref="L327" xr:uid="{5FD42451-BA9A-4A6B-A2A7-0F0D13D24CB2}">
      <formula1>INDIRECT("[RoutineMapDataValidations.xlsm]Description!C320#")</formula1>
    </dataValidation>
    <dataValidation type="list" allowBlank="1" showInputMessage="1" sqref="L328" xr:uid="{C0DD262B-4BA9-4405-A8F3-6A7A726C65E4}">
      <formula1>INDIRECT("[RoutineMapDataValidations.xlsm]Description!C321#")</formula1>
    </dataValidation>
    <dataValidation type="list" allowBlank="1" showInputMessage="1" sqref="L329" xr:uid="{63E1ADCA-77E0-4E2B-9098-D7C9A9456F7A}">
      <formula1>INDIRECT("[RoutineMapDataValidations.xlsm]Description!C322#")</formula1>
    </dataValidation>
    <dataValidation type="list" allowBlank="1" showInputMessage="1" sqref="L330" xr:uid="{65BF2F59-5E4B-4F81-8A0D-6A33CBF8D588}">
      <formula1>INDIRECT("[RoutineMapDataValidations.xlsm]Description!C323#")</formula1>
    </dataValidation>
    <dataValidation type="list" allowBlank="1" showInputMessage="1" sqref="L331" xr:uid="{F5970809-8E34-471E-B4E0-557DB521858D}">
      <formula1>INDIRECT("[RoutineMapDataValidations.xlsm]Description!C324#")</formula1>
    </dataValidation>
    <dataValidation type="list" allowBlank="1" showInputMessage="1" sqref="L332" xr:uid="{10510003-2633-47C8-BDE7-ECFC113BA3DF}">
      <formula1>INDIRECT("[RoutineMapDataValidations.xlsm]Description!C325#")</formula1>
    </dataValidation>
    <dataValidation type="list" allowBlank="1" showInputMessage="1" sqref="L333" xr:uid="{FC46CEC3-84A0-4A71-BEC9-E069E83234DC}">
      <formula1>INDIRECT("[RoutineMapDataValidations.xlsm]Description!C326#")</formula1>
    </dataValidation>
    <dataValidation type="list" allowBlank="1" showInputMessage="1" sqref="L334" xr:uid="{F9492EDE-A8A7-4A5E-A6D5-7FAB570D8435}">
      <formula1>INDIRECT("[RoutineMapDataValidations.xlsm]Description!C327#")</formula1>
    </dataValidation>
    <dataValidation type="list" allowBlank="1" showInputMessage="1" sqref="L335" xr:uid="{0AE01F38-EDCA-4F13-ADFA-0606E162EC28}">
      <formula1>INDIRECT("[RoutineMapDataValidations.xlsm]Description!C328#")</formula1>
    </dataValidation>
    <dataValidation type="list" allowBlank="1" showInputMessage="1" sqref="L336" xr:uid="{3964B1BA-9775-410B-858C-0472957D0888}">
      <formula1>INDIRECT("[RoutineMapDataValidations.xlsm]Description!C329#")</formula1>
    </dataValidation>
    <dataValidation type="list" allowBlank="1" showInputMessage="1" sqref="L337" xr:uid="{C6EA29E6-F881-411D-8BE5-A99CB2A7E1F9}">
      <formula1>INDIRECT("[RoutineMapDataValidations.xlsm]Description!C330#")</formula1>
    </dataValidation>
    <dataValidation type="list" allowBlank="1" showInputMessage="1" sqref="L338" xr:uid="{A5D51EAE-D890-47C0-9EF1-BFD83C53D1B0}">
      <formula1>INDIRECT("[RoutineMapDataValidations.xlsm]Description!C331#")</formula1>
    </dataValidation>
    <dataValidation type="list" allowBlank="1" showInputMessage="1" sqref="L339" xr:uid="{AD49291C-3A74-43D1-A835-8C4ED02907C8}">
      <formula1>INDIRECT("[RoutineMapDataValidations.xlsm]Description!C332#")</formula1>
    </dataValidation>
    <dataValidation type="list" allowBlank="1" showInputMessage="1" sqref="L340" xr:uid="{3321E1B9-A22D-4F3A-8C09-6301C3938348}">
      <formula1>INDIRECT("[RoutineMapDataValidations.xlsm]Description!C333#")</formula1>
    </dataValidation>
    <dataValidation type="list" allowBlank="1" showInputMessage="1" sqref="L341" xr:uid="{AE968F50-2F60-411F-B0D4-4FC6BB93D400}">
      <formula1>INDIRECT("[RoutineMapDataValidations.xlsm]Description!C334#")</formula1>
    </dataValidation>
    <dataValidation type="list" allowBlank="1" showInputMessage="1" sqref="L342" xr:uid="{98AD1A4A-8FF1-4B94-9E24-EC5951C2DB54}">
      <formula1>INDIRECT("[RoutineMapDataValidations.xlsm]Description!C335#")</formula1>
    </dataValidation>
    <dataValidation type="list" allowBlank="1" showInputMessage="1" sqref="L343" xr:uid="{13152E08-27EF-4F12-BA34-C2C778D4F73E}">
      <formula1>INDIRECT("[RoutineMapDataValidations.xlsm]Description!C336#")</formula1>
    </dataValidation>
    <dataValidation type="list" allowBlank="1" showInputMessage="1" sqref="L344" xr:uid="{932E7592-1B00-4302-B2FF-0CC823B7431E}">
      <formula1>INDIRECT("[RoutineMapDataValidations.xlsm]Description!C337#")</formula1>
    </dataValidation>
    <dataValidation type="list" allowBlank="1" showInputMessage="1" sqref="L345" xr:uid="{796BB1C7-606F-49F8-8660-BCEA8168BB89}">
      <formula1>INDIRECT("[RoutineMapDataValidations.xlsm]Description!C338#")</formula1>
    </dataValidation>
    <dataValidation type="list" allowBlank="1" showInputMessage="1" sqref="L346" xr:uid="{A84E3370-7508-4A16-B232-73233F2EAC83}">
      <formula1>INDIRECT("[RoutineMapDataValidations.xlsm]Description!C339#")</formula1>
    </dataValidation>
    <dataValidation type="list" allowBlank="1" showInputMessage="1" sqref="L347" xr:uid="{DDD92499-75C7-488A-8746-AE362ECC7A34}">
      <formula1>INDIRECT("[RoutineMapDataValidations.xlsm]Description!C340#")</formula1>
    </dataValidation>
    <dataValidation type="list" allowBlank="1" showInputMessage="1" sqref="L348" xr:uid="{3A915C46-1C20-4FD5-A302-A6D7D9F56AD3}">
      <formula1>INDIRECT("[RoutineMapDataValidations.xlsm]Description!C341#")</formula1>
    </dataValidation>
    <dataValidation type="list" allowBlank="1" showInputMessage="1" sqref="L349" xr:uid="{6F1CB9FD-E062-42D9-BC2A-3B53BEDC4D47}">
      <formula1>INDIRECT("[RoutineMapDataValidations.xlsm]Description!C342#")</formula1>
    </dataValidation>
    <dataValidation type="list" allowBlank="1" showInputMessage="1" sqref="L350" xr:uid="{B560000B-7279-4EE4-8FDF-5B177C3FFDB8}">
      <formula1>INDIRECT("[RoutineMapDataValidations.xlsm]Description!C343#")</formula1>
    </dataValidation>
    <dataValidation type="list" allowBlank="1" showInputMessage="1" sqref="L351" xr:uid="{C7162842-E2E0-4F79-B53F-6B595B35EAF0}">
      <formula1>INDIRECT("[RoutineMapDataValidations.xlsm]Description!C344#")</formula1>
    </dataValidation>
    <dataValidation type="list" allowBlank="1" showInputMessage="1" sqref="L352" xr:uid="{6D36C92E-0824-47CD-BC06-BA3114964FF0}">
      <formula1>INDIRECT("[RoutineMapDataValidations.xlsm]Description!C345#")</formula1>
    </dataValidation>
    <dataValidation type="list" allowBlank="1" showInputMessage="1" sqref="L353" xr:uid="{5194B96C-3EC0-4562-91C6-3E3BBA4972F5}">
      <formula1>INDIRECT("[RoutineMapDataValidations.xlsm]Description!C346#")</formula1>
    </dataValidation>
    <dataValidation type="list" allowBlank="1" showInputMessage="1" sqref="L354" xr:uid="{9A3F902D-8069-4799-9217-8A9F1A34B503}">
      <formula1>INDIRECT("[RoutineMapDataValidations.xlsm]Description!C347#")</formula1>
    </dataValidation>
    <dataValidation type="list" allowBlank="1" showInputMessage="1" sqref="L355" xr:uid="{C77519E1-00BC-45C1-8536-885BA3CE08F7}">
      <formula1>INDIRECT("[RoutineMapDataValidations.xlsm]Description!C348#")</formula1>
    </dataValidation>
    <dataValidation type="list" allowBlank="1" showInputMessage="1" sqref="L356" xr:uid="{229B27BD-39E5-4363-9371-2C07EB47F28D}">
      <formula1>INDIRECT("[RoutineMapDataValidations.xlsm]Description!C349#")</formula1>
    </dataValidation>
    <dataValidation type="list" allowBlank="1" showInputMessage="1" sqref="L357" xr:uid="{08AF2D06-96A1-4D64-A22F-C22910CF8060}">
      <formula1>INDIRECT("[RoutineMapDataValidations.xlsm]Description!C350#")</formula1>
    </dataValidation>
    <dataValidation type="list" allowBlank="1" showInputMessage="1" sqref="L358" xr:uid="{32C4FEA9-9985-47C9-B6CB-11C2B70CA2D7}">
      <formula1>INDIRECT("[RoutineMapDataValidations.xlsm]Description!C351#")</formula1>
    </dataValidation>
    <dataValidation type="list" allowBlank="1" showInputMessage="1" sqref="L359" xr:uid="{BE0C46C5-6155-4BA7-8DE1-C1AEABA15905}">
      <formula1>INDIRECT("[RoutineMapDataValidations.xlsm]Description!C352#")</formula1>
    </dataValidation>
    <dataValidation type="list" allowBlank="1" showInputMessage="1" sqref="L360" xr:uid="{58B86DD7-7DBF-4892-8E3D-536F09C06125}">
      <formula1>INDIRECT("[RoutineMapDataValidations.xlsm]Description!C353#")</formula1>
    </dataValidation>
    <dataValidation type="list" allowBlank="1" showInputMessage="1" sqref="L361" xr:uid="{98A264FB-4BE4-4F35-91AC-28EA20471ADC}">
      <formula1>INDIRECT("[RoutineMapDataValidations.xlsm]Description!C354#")</formula1>
    </dataValidation>
    <dataValidation type="list" allowBlank="1" showInputMessage="1" sqref="L362" xr:uid="{F69052BF-644A-4258-A7A7-1555B6593005}">
      <formula1>INDIRECT("[RoutineMapDataValidations.xlsm]Description!C355#")</formula1>
    </dataValidation>
    <dataValidation type="list" allowBlank="1" showInputMessage="1" sqref="L363" xr:uid="{03D073DF-6E5F-468B-91B1-B06ECE3C9420}">
      <formula1>INDIRECT("[RoutineMapDataValidations.xlsm]Description!C356#")</formula1>
    </dataValidation>
    <dataValidation type="list" allowBlank="1" showInputMessage="1" sqref="L364" xr:uid="{2F206889-C3AC-41AB-A38E-18A895D172F2}">
      <formula1>INDIRECT("[RoutineMapDataValidations.xlsm]Description!C357#")</formula1>
    </dataValidation>
    <dataValidation type="list" allowBlank="1" showInputMessage="1" sqref="L365" xr:uid="{7C4B4A62-8D44-497E-9275-B35F4036CE98}">
      <formula1>INDIRECT("[RoutineMapDataValidations.xlsm]Description!C358#")</formula1>
    </dataValidation>
    <dataValidation type="list" allowBlank="1" showInputMessage="1" sqref="L366" xr:uid="{52768F28-FA7D-402C-889B-96082F1D2170}">
      <formula1>INDIRECT("[RoutineMapDataValidations.xlsm]Description!C359#")</formula1>
    </dataValidation>
    <dataValidation type="list" allowBlank="1" showInputMessage="1" sqref="L367" xr:uid="{BCE14440-93FD-4840-A379-A642B0BB86E5}">
      <formula1>INDIRECT("[RoutineMapDataValidations.xlsm]Description!C360#")</formula1>
    </dataValidation>
    <dataValidation type="list" allowBlank="1" showInputMessage="1" sqref="L368" xr:uid="{E8931630-8CB9-4660-981D-5A3F6529B1B3}">
      <formula1>INDIRECT("[RoutineMapDataValidations.xlsm]Description!C361#")</formula1>
    </dataValidation>
    <dataValidation type="list" allowBlank="1" showInputMessage="1" sqref="L369" xr:uid="{D04615DD-AA83-4B60-9E9D-75CD41D92A01}">
      <formula1>INDIRECT("[RoutineMapDataValidations.xlsm]Description!C362#")</formula1>
    </dataValidation>
    <dataValidation type="list" allowBlank="1" showInputMessage="1" sqref="L370" xr:uid="{5E9B7A38-23F0-41B6-BE58-48579B558A7E}">
      <formula1>INDIRECT("[RoutineMapDataValidations.xlsm]Description!C363#")</formula1>
    </dataValidation>
    <dataValidation type="list" allowBlank="1" showInputMessage="1" sqref="L371" xr:uid="{89D9C7AD-D607-4A52-AC16-1D4AB6DFAC2D}">
      <formula1>INDIRECT("[RoutineMapDataValidations.xlsm]Description!C364#")</formula1>
    </dataValidation>
    <dataValidation type="list" allowBlank="1" showInputMessage="1" sqref="L372" xr:uid="{B1FB0EF7-4EDD-4B9E-B9B9-2BC2F7684F95}">
      <formula1>INDIRECT("[RoutineMapDataValidations.xlsm]Description!C365#")</formula1>
    </dataValidation>
    <dataValidation type="list" allowBlank="1" showInputMessage="1" sqref="L373" xr:uid="{E918B418-3D47-48C7-915A-85845F39890B}">
      <formula1>INDIRECT("[RoutineMapDataValidations.xlsm]Description!C366#")</formula1>
    </dataValidation>
    <dataValidation type="list" allowBlank="1" showInputMessage="1" sqref="L374" xr:uid="{A009E660-0A9D-4CE2-A8D2-E2EA38962B6B}">
      <formula1>INDIRECT("[RoutineMapDataValidations.xlsm]Description!C367#")</formula1>
    </dataValidation>
    <dataValidation type="list" allowBlank="1" showInputMessage="1" sqref="L375" xr:uid="{A14FC874-3D6A-43B7-A5FB-FFBF11EA5D16}">
      <formula1>INDIRECT("[RoutineMapDataValidations.xlsm]Description!C368#")</formula1>
    </dataValidation>
    <dataValidation type="list" allowBlank="1" showInputMessage="1" sqref="L376" xr:uid="{3A712B14-8857-422F-8D94-ACCA636887C1}">
      <formula1>INDIRECT("[RoutineMapDataValidations.xlsm]Description!C369#")</formula1>
    </dataValidation>
    <dataValidation type="list" allowBlank="1" showInputMessage="1" sqref="L377" xr:uid="{1CA7CE6C-3740-4C78-83EC-F3C0AEB48F7C}">
      <formula1>INDIRECT("[RoutineMapDataValidations.xlsm]Description!C370#")</formula1>
    </dataValidation>
    <dataValidation type="list" allowBlank="1" showInputMessage="1" sqref="L378" xr:uid="{70EAD532-AD58-46F1-A4A5-DB80EC304B37}">
      <formula1>INDIRECT("[RoutineMapDataValidations.xlsm]Description!C371#")</formula1>
    </dataValidation>
    <dataValidation type="list" allowBlank="1" showInputMessage="1" sqref="L379" xr:uid="{60122638-E6AC-4901-8D91-12245950E560}">
      <formula1>INDIRECT("[RoutineMapDataValidations.xlsm]Description!C372#")</formula1>
    </dataValidation>
    <dataValidation type="list" allowBlank="1" showInputMessage="1" sqref="L380" xr:uid="{DFB76BEB-0B07-4E6E-BBCA-3C83EEE726A2}">
      <formula1>INDIRECT("[RoutineMapDataValidations.xlsm]Description!C373#")</formula1>
    </dataValidation>
    <dataValidation type="list" allowBlank="1" showInputMessage="1" sqref="L381" xr:uid="{4067AD9B-D952-4C97-9EC2-CCC830EA103D}">
      <formula1>INDIRECT("[RoutineMapDataValidations.xlsm]Description!C374#")</formula1>
    </dataValidation>
    <dataValidation type="list" allowBlank="1" showInputMessage="1" sqref="L382" xr:uid="{631D791C-3579-4B72-BB7D-F60B178CBB73}">
      <formula1>INDIRECT("[RoutineMapDataValidations.xlsm]Description!C375#")</formula1>
    </dataValidation>
    <dataValidation type="list" allowBlank="1" showInputMessage="1" sqref="L383" xr:uid="{EC9A8423-F440-4814-A159-616F53A76A2A}">
      <formula1>INDIRECT("[RoutineMapDataValidations.xlsm]Description!C376#")</formula1>
    </dataValidation>
    <dataValidation type="list" allowBlank="1" showInputMessage="1" sqref="L384" xr:uid="{E7634E03-68AB-4860-A8BD-BC2473E608C5}">
      <formula1>INDIRECT("[RoutineMapDataValidations.xlsm]Description!C377#")</formula1>
    </dataValidation>
    <dataValidation type="list" allowBlank="1" showInputMessage="1" sqref="L385" xr:uid="{A68B49F3-01E7-4683-A2C4-63687268DDEF}">
      <formula1>INDIRECT("[RoutineMapDataValidations.xlsm]Description!C378#")</formula1>
    </dataValidation>
    <dataValidation type="list" allowBlank="1" showInputMessage="1" sqref="L386" xr:uid="{2CB2701C-7549-4277-AED1-8B3514D275EA}">
      <formula1>INDIRECT("[RoutineMapDataValidations.xlsm]Description!C379#")</formula1>
    </dataValidation>
    <dataValidation type="list" allowBlank="1" showInputMessage="1" sqref="L387" xr:uid="{A7BF977C-09A0-4317-95D8-BE19EFB8F764}">
      <formula1>INDIRECT("[RoutineMapDataValidations.xlsm]Description!C380#")</formula1>
    </dataValidation>
    <dataValidation type="list" allowBlank="1" showInputMessage="1" sqref="L388" xr:uid="{3ECDA985-C6F7-4934-8B88-543168E64A29}">
      <formula1>INDIRECT("[RoutineMapDataValidations.xlsm]Description!C381#")</formula1>
    </dataValidation>
    <dataValidation type="list" allowBlank="1" showInputMessage="1" sqref="L389" xr:uid="{25C95314-A4F1-4C48-920F-14C4BE3BF42C}">
      <formula1>INDIRECT("[RoutineMapDataValidations.xlsm]Description!C382#")</formula1>
    </dataValidation>
    <dataValidation type="list" allowBlank="1" showInputMessage="1" sqref="L390" xr:uid="{586A53BD-7129-4EA5-8327-00DFA0F11704}">
      <formula1>INDIRECT("[RoutineMapDataValidations.xlsm]Description!C383#")</formula1>
    </dataValidation>
    <dataValidation type="list" allowBlank="1" showInputMessage="1" sqref="L391" xr:uid="{8CA12861-6209-451E-8B0B-72554E7E27AC}">
      <formula1>INDIRECT("[RoutineMapDataValidations.xlsm]Description!C384#")</formula1>
    </dataValidation>
    <dataValidation type="list" allowBlank="1" showInputMessage="1" sqref="L392" xr:uid="{987F4EFE-3E28-4839-BB64-373ABEEED66D}">
      <formula1>INDIRECT("[RoutineMapDataValidations.xlsm]Description!C385#")</formula1>
    </dataValidation>
    <dataValidation type="list" allowBlank="1" showInputMessage="1" sqref="L393" xr:uid="{581C6A2B-7182-43D7-9938-820ACF9B3AFB}">
      <formula1>INDIRECT("[RoutineMapDataValidations.xlsm]Description!C386#")</formula1>
    </dataValidation>
    <dataValidation type="list" allowBlank="1" showInputMessage="1" sqref="L394" xr:uid="{0F30435B-A215-4018-A08C-42BAF71EDED0}">
      <formula1>INDIRECT("[RoutineMapDataValidations.xlsm]Description!C387#")</formula1>
    </dataValidation>
    <dataValidation type="list" allowBlank="1" showInputMessage="1" sqref="L395" xr:uid="{204540D9-CC98-4146-819E-60D35824389E}">
      <formula1>INDIRECT("[RoutineMapDataValidations.xlsm]Description!C388#")</formula1>
    </dataValidation>
    <dataValidation type="list" allowBlank="1" showInputMessage="1" sqref="L396" xr:uid="{EB761A7E-854F-4CEB-A387-82F618F212E8}">
      <formula1>INDIRECT("[RoutineMapDataValidations.xlsm]Description!C389#")</formula1>
    </dataValidation>
    <dataValidation type="list" allowBlank="1" showInputMessage="1" sqref="L397" xr:uid="{C872A526-B306-42F2-A274-6032800B84B2}">
      <formula1>INDIRECT("[RoutineMapDataValidations.xlsm]Description!C390#")</formula1>
    </dataValidation>
    <dataValidation type="list" allowBlank="1" showInputMessage="1" sqref="L398" xr:uid="{B68FB12C-1FD4-4C27-9399-C45D3355ADB7}">
      <formula1>INDIRECT("[RoutineMapDataValidations.xlsm]Description!C391#")</formula1>
    </dataValidation>
    <dataValidation type="list" allowBlank="1" showInputMessage="1" sqref="L399" xr:uid="{E8DB1020-B80C-46CF-851D-A97FDD4D527A}">
      <formula1>INDIRECT("[RoutineMapDataValidations.xlsm]Description!C392#")</formula1>
    </dataValidation>
    <dataValidation type="list" allowBlank="1" showInputMessage="1" sqref="L400" xr:uid="{6BB78C9B-A3C1-4803-AC9C-E7924430259F}">
      <formula1>INDIRECT("[RoutineMapDataValidations.xlsm]Description!C393#")</formula1>
    </dataValidation>
    <dataValidation type="list" allowBlank="1" showInputMessage="1" sqref="L401" xr:uid="{C10A7834-DAA0-4243-96E1-1230D28FD22D}">
      <formula1>INDIRECT("[RoutineMapDataValidations.xlsm]Description!C394#")</formula1>
    </dataValidation>
    <dataValidation type="list" allowBlank="1" showInputMessage="1" sqref="L402" xr:uid="{6D817377-5238-4B7A-927E-5139DC99B065}">
      <formula1>INDIRECT("[RoutineMapDataValidations.xlsm]Description!C395#")</formula1>
    </dataValidation>
    <dataValidation type="list" allowBlank="1" showInputMessage="1" sqref="L403" xr:uid="{FB895FAF-65C6-4A28-8F22-410DC4BCFAE2}">
      <formula1>INDIRECT("[RoutineMapDataValidations.xlsm]Description!C396#")</formula1>
    </dataValidation>
    <dataValidation type="list" allowBlank="1" showInputMessage="1" sqref="L404" xr:uid="{8AA489FF-B1EF-49C5-965E-50BB6DCFC019}">
      <formula1>INDIRECT("[RoutineMapDataValidations.xlsm]Description!C397#")</formula1>
    </dataValidation>
    <dataValidation type="list" allowBlank="1" showInputMessage="1" sqref="L405" xr:uid="{BC02BDFB-052D-41F2-9C68-F6D16A53B148}">
      <formula1>INDIRECT("[RoutineMapDataValidations.xlsm]Description!C398#")</formula1>
    </dataValidation>
    <dataValidation type="list" allowBlank="1" showInputMessage="1" sqref="L406" xr:uid="{322873E5-212B-4584-BDA7-0467FD5C2ADA}">
      <formula1>INDIRECT("[RoutineMapDataValidations.xlsm]Description!C399#")</formula1>
    </dataValidation>
    <dataValidation type="list" allowBlank="1" showInputMessage="1" sqref="L407" xr:uid="{E06F17F9-1A92-4B8B-8C0A-FAB246DDD299}">
      <formula1>INDIRECT("[RoutineMapDataValidations.xlsm]Description!C400#")</formula1>
    </dataValidation>
    <dataValidation type="list" allowBlank="1" showInputMessage="1" sqref="M9" xr:uid="{C2FEBCA4-B05B-46BE-BB36-2FBDC37CB058}">
      <formula1>INDIRECT("[RoutineMapDataValidations.xlsm]StandardComments!C2#")</formula1>
    </dataValidation>
    <dataValidation type="list" allowBlank="1" showInputMessage="1" sqref="M10" xr:uid="{9E45B47D-8466-4B58-9281-F6F75ADAA4DE}">
      <formula1>INDIRECT("[RoutineMapDataValidations.xlsm]StandardComments!C3#")</formula1>
    </dataValidation>
    <dataValidation type="list" allowBlank="1" showInputMessage="1" sqref="M11" xr:uid="{0093D452-76CB-4AB1-8319-8A798853E8E8}">
      <formula1>INDIRECT("[RoutineMapDataValidations.xlsm]StandardComments!C4#")</formula1>
    </dataValidation>
    <dataValidation type="list" allowBlank="1" showInputMessage="1" sqref="M12" xr:uid="{AE0BAD00-5795-489F-870E-5BE261955593}">
      <formula1>INDIRECT("[RoutineMapDataValidations.xlsm]StandardComments!C5#")</formula1>
    </dataValidation>
    <dataValidation type="list" allowBlank="1" showInputMessage="1" sqref="M13" xr:uid="{40500C1F-7F36-425B-9EBE-BB9F3B188CC3}">
      <formula1>INDIRECT("[RoutineMapDataValidations.xlsm]StandardComments!C6#")</formula1>
    </dataValidation>
    <dataValidation type="list" allowBlank="1" showInputMessage="1" sqref="M14" xr:uid="{80BF2E5A-1FD6-4042-AA7B-FCC8A9303BB8}">
      <formula1>INDIRECT("[RoutineMapDataValidations.xlsm]StandardComments!C7#")</formula1>
    </dataValidation>
    <dataValidation type="list" allowBlank="1" showInputMessage="1" sqref="M15" xr:uid="{48FD39FB-8324-45D0-A95C-826FFAED3565}">
      <formula1>INDIRECT("[RoutineMapDataValidations.xlsm]StandardComments!C8#")</formula1>
    </dataValidation>
    <dataValidation type="list" allowBlank="1" showInputMessage="1" sqref="M16" xr:uid="{DFB6CA46-B3DE-4CC5-806E-4AC03AC4E5D1}">
      <formula1>INDIRECT("[RoutineMapDataValidations.xlsm]StandardComments!C9#")</formula1>
    </dataValidation>
    <dataValidation type="list" allowBlank="1" showInputMessage="1" sqref="M17" xr:uid="{9DC7D953-2926-485D-AF05-D962F899FF5D}">
      <formula1>INDIRECT("[RoutineMapDataValidations.xlsm]StandardComments!C10#")</formula1>
    </dataValidation>
    <dataValidation type="list" allowBlank="1" showInputMessage="1" sqref="M18" xr:uid="{3B2974E2-C0E7-4F91-84EF-AD65003A85DA}">
      <formula1>INDIRECT("[RoutineMapDataValidations.xlsm]StandardComments!C11#")</formula1>
    </dataValidation>
    <dataValidation type="list" allowBlank="1" showInputMessage="1" sqref="M19" xr:uid="{6C591D3D-629A-485F-8EFF-4967E174BD25}">
      <formula1>INDIRECT("[RoutineMapDataValidations.xlsm]StandardComments!C12#")</formula1>
    </dataValidation>
    <dataValidation type="list" allowBlank="1" showInputMessage="1" sqref="M20" xr:uid="{CA897E35-52DC-42B3-AD68-78C2869D0466}">
      <formula1>INDIRECT("[RoutineMapDataValidations.xlsm]StandardComments!C13#")</formula1>
    </dataValidation>
    <dataValidation type="list" allowBlank="1" showInputMessage="1" sqref="M21" xr:uid="{1AD8380A-5A95-4F42-823E-94E906AE0157}">
      <formula1>INDIRECT("[RoutineMapDataValidations.xlsm]StandardComments!C14#")</formula1>
    </dataValidation>
    <dataValidation type="list" allowBlank="1" showInputMessage="1" sqref="M22" xr:uid="{F5096B0C-40DB-4659-948B-83885380C979}">
      <formula1>INDIRECT("[RoutineMapDataValidations.xlsm]StandardComments!C15#")</formula1>
    </dataValidation>
    <dataValidation type="list" allowBlank="1" showInputMessage="1" sqref="M23" xr:uid="{AFD6F44E-6592-4F72-9E49-6DB73AFBABE6}">
      <formula1>INDIRECT("[RoutineMapDataValidations.xlsm]StandardComments!C16#")</formula1>
    </dataValidation>
    <dataValidation type="list" allowBlank="1" showInputMessage="1" sqref="M24" xr:uid="{A4B8EC36-881B-4133-9908-0DB94978B886}">
      <formula1>INDIRECT("[RoutineMapDataValidations.xlsm]StandardComments!C17#")</formula1>
    </dataValidation>
    <dataValidation type="list" allowBlank="1" showInputMessage="1" sqref="M25" xr:uid="{6A705552-B0E0-4178-9658-EFBF7F97F236}">
      <formula1>INDIRECT("[RoutineMapDataValidations.xlsm]StandardComments!C18#")</formula1>
    </dataValidation>
    <dataValidation type="list" allowBlank="1" showInputMessage="1" sqref="M26" xr:uid="{50C49B2A-03BF-4ADC-95D3-1271C20F0171}">
      <formula1>INDIRECT("[RoutineMapDataValidations.xlsm]StandardComments!C19#")</formula1>
    </dataValidation>
    <dataValidation type="list" allowBlank="1" showInputMessage="1" sqref="M27" xr:uid="{2147A1F3-D19C-41E1-94E9-9CCA29FDC3E8}">
      <formula1>INDIRECT("[RoutineMapDataValidations.xlsm]StandardComments!C20#")</formula1>
    </dataValidation>
    <dataValidation type="list" allowBlank="1" showInputMessage="1" sqref="M28" xr:uid="{E70EF4B5-C2DA-497B-92B8-904DC23CBE31}">
      <formula1>INDIRECT("[RoutineMapDataValidations.xlsm]StandardComments!C21#")</formula1>
    </dataValidation>
    <dataValidation type="list" allowBlank="1" showInputMessage="1" sqref="M29" xr:uid="{2FACC0F1-C3EB-4399-90E1-48225AD0E090}">
      <formula1>INDIRECT("[RoutineMapDataValidations.xlsm]StandardComments!C22#")</formula1>
    </dataValidation>
    <dataValidation type="list" allowBlank="1" showInputMessage="1" sqref="M30" xr:uid="{69D9C676-81E7-40D7-BDE6-B148772740C3}">
      <formula1>INDIRECT("[RoutineMapDataValidations.xlsm]StandardComments!C23#")</formula1>
    </dataValidation>
    <dataValidation type="list" allowBlank="1" showInputMessage="1" sqref="M31" xr:uid="{85612680-99DA-4949-BCD9-FF57B165D3A0}">
      <formula1>INDIRECT("[RoutineMapDataValidations.xlsm]StandardComments!C24#")</formula1>
    </dataValidation>
    <dataValidation type="list" allowBlank="1" showInputMessage="1" sqref="M32" xr:uid="{1A75D15C-8E8D-44F4-BA7A-39DC57DC9336}">
      <formula1>INDIRECT("[RoutineMapDataValidations.xlsm]StandardComments!C25#")</formula1>
    </dataValidation>
    <dataValidation type="list" allowBlank="1" showInputMessage="1" sqref="M33" xr:uid="{7F92D0BB-500A-42AC-B4DF-BC4E47E874AB}">
      <formula1>INDIRECT("[RoutineMapDataValidations.xlsm]StandardComments!C26#")</formula1>
    </dataValidation>
    <dataValidation type="list" allowBlank="1" showInputMessage="1" sqref="M34" xr:uid="{4A4B7B5A-454F-44ED-8863-D67F2F30A9C1}">
      <formula1>INDIRECT("[RoutineMapDataValidations.xlsm]StandardComments!C27#")</formula1>
    </dataValidation>
    <dataValidation type="list" allowBlank="1" showInputMessage="1" sqref="M35" xr:uid="{529BA5B6-037D-4E3F-8165-1F78D5AF8454}">
      <formula1>INDIRECT("[RoutineMapDataValidations.xlsm]StandardComments!C28#")</formula1>
    </dataValidation>
    <dataValidation type="list" allowBlank="1" showInputMessage="1" sqref="M36" xr:uid="{2CA2AF95-8865-4015-8A97-6CEDBF8E87CD}">
      <formula1>INDIRECT("[RoutineMapDataValidations.xlsm]StandardComments!C29#")</formula1>
    </dataValidation>
    <dataValidation type="list" allowBlank="1" showInputMessage="1" sqref="M37" xr:uid="{AA869737-DEAF-472B-93F6-9122B8E6F986}">
      <formula1>INDIRECT("[RoutineMapDataValidations.xlsm]StandardComments!C30#")</formula1>
    </dataValidation>
    <dataValidation type="list" allowBlank="1" showInputMessage="1" sqref="M38" xr:uid="{3BB0D1D3-376A-40E6-8FF1-E17BDC29EC2C}">
      <formula1>INDIRECT("[RoutineMapDataValidations.xlsm]StandardComments!C31#")</formula1>
    </dataValidation>
    <dataValidation type="list" allowBlank="1" showInputMessage="1" sqref="M39" xr:uid="{C0D5477E-BA17-4E05-9537-0AFE60511C0E}">
      <formula1>INDIRECT("[RoutineMapDataValidations.xlsm]StandardComments!C32#")</formula1>
    </dataValidation>
    <dataValidation type="list" allowBlank="1" showInputMessage="1" sqref="M40" xr:uid="{932B13A9-0FB8-4CA1-9C7E-31E3FCA0E358}">
      <formula1>INDIRECT("[RoutineMapDataValidations.xlsm]StandardComments!C33#")</formula1>
    </dataValidation>
    <dataValidation type="list" allowBlank="1" showInputMessage="1" sqref="M41" xr:uid="{0F8DDBAA-A542-4C18-800E-16250306FEDF}">
      <formula1>INDIRECT("[RoutineMapDataValidations.xlsm]StandardComments!C34#")</formula1>
    </dataValidation>
    <dataValidation type="list" allowBlank="1" showInputMessage="1" sqref="M42" xr:uid="{694893AD-B311-41DA-9F0A-3A9F7291E0F1}">
      <formula1>INDIRECT("[RoutineMapDataValidations.xlsm]StandardComments!C35#")</formula1>
    </dataValidation>
    <dataValidation type="list" allowBlank="1" showInputMessage="1" sqref="M43" xr:uid="{561952A0-5EAD-4DB7-8D5A-CD793E6E7015}">
      <formula1>INDIRECT("[RoutineMapDataValidations.xlsm]StandardComments!C36#")</formula1>
    </dataValidation>
    <dataValidation type="list" allowBlank="1" showInputMessage="1" sqref="M44" xr:uid="{F6470253-10CC-4991-9563-65C550168AA6}">
      <formula1>INDIRECT("[RoutineMapDataValidations.xlsm]StandardComments!C37#")</formula1>
    </dataValidation>
    <dataValidation type="list" allowBlank="1" showInputMessage="1" sqref="M45" xr:uid="{B7349590-9163-4C9B-A158-393985060D76}">
      <formula1>INDIRECT("[RoutineMapDataValidations.xlsm]StandardComments!C38#")</formula1>
    </dataValidation>
    <dataValidation type="list" allowBlank="1" showInputMessage="1" sqref="M46" xr:uid="{DC3A07E5-6158-4640-9F96-3A399777F9E4}">
      <formula1>INDIRECT("[RoutineMapDataValidations.xlsm]StandardComments!C39#")</formula1>
    </dataValidation>
    <dataValidation type="list" allowBlank="1" showInputMessage="1" sqref="M47" xr:uid="{426E8009-6D1C-40E6-B49E-33DDFD302D9F}">
      <formula1>INDIRECT("[RoutineMapDataValidations.xlsm]StandardComments!C40#")</formula1>
    </dataValidation>
    <dataValidation type="list" allowBlank="1" showInputMessage="1" sqref="M48" xr:uid="{B4010149-8574-4542-80B8-351DB800D0B3}">
      <formula1>INDIRECT("[RoutineMapDataValidations.xlsm]StandardComments!C41#")</formula1>
    </dataValidation>
    <dataValidation type="list" allowBlank="1" showInputMessage="1" sqref="M49" xr:uid="{72316688-3BCA-4FA7-B252-99E1757A88D7}">
      <formula1>INDIRECT("[RoutineMapDataValidations.xlsm]StandardComments!C42#")</formula1>
    </dataValidation>
    <dataValidation type="list" allowBlank="1" showInputMessage="1" sqref="M50" xr:uid="{CEE17B33-4A7A-40E4-8F80-20861D0657BB}">
      <formula1>INDIRECT("[RoutineMapDataValidations.xlsm]StandardComments!C43#")</formula1>
    </dataValidation>
    <dataValidation type="list" allowBlank="1" showInputMessage="1" sqref="M51" xr:uid="{3C9A2264-7BEC-4B1A-B135-0CD2A19D4DA3}">
      <formula1>INDIRECT("[RoutineMapDataValidations.xlsm]StandardComments!C44#")</formula1>
    </dataValidation>
    <dataValidation type="list" allowBlank="1" showInputMessage="1" sqref="M52" xr:uid="{5271DCE1-18F5-4639-8F4E-02AA404C26DE}">
      <formula1>INDIRECT("[RoutineMapDataValidations.xlsm]StandardComments!C45#")</formula1>
    </dataValidation>
    <dataValidation type="list" allowBlank="1" showInputMessage="1" sqref="M53" xr:uid="{76395834-5C81-4E8B-A086-F1F0E467E7B9}">
      <formula1>INDIRECT("[RoutineMapDataValidations.xlsm]StandardComments!C46#")</formula1>
    </dataValidation>
    <dataValidation type="list" allowBlank="1" showInputMessage="1" sqref="M54" xr:uid="{3504CBAF-99C1-453A-A6F1-B85D2F492197}">
      <formula1>INDIRECT("[RoutineMapDataValidations.xlsm]StandardComments!C47#")</formula1>
    </dataValidation>
    <dataValidation type="list" allowBlank="1" showInputMessage="1" sqref="M55" xr:uid="{3EAEA249-F401-41FA-8132-7980CD13AB74}">
      <formula1>INDIRECT("[RoutineMapDataValidations.xlsm]StandardComments!C48#")</formula1>
    </dataValidation>
    <dataValidation type="list" allowBlank="1" showInputMessage="1" sqref="M56" xr:uid="{731E6592-EC05-4D8D-AFCE-6FFC70F601E4}">
      <formula1>INDIRECT("[RoutineMapDataValidations.xlsm]StandardComments!C49#")</formula1>
    </dataValidation>
    <dataValidation type="list" allowBlank="1" showInputMessage="1" sqref="M57" xr:uid="{821A514A-5EDD-4084-8B6C-21120F06F403}">
      <formula1>INDIRECT("[RoutineMapDataValidations.xlsm]StandardComments!C50#")</formula1>
    </dataValidation>
    <dataValidation type="list" allowBlank="1" showInputMessage="1" sqref="M58" xr:uid="{2881FB77-2104-4A8E-AC69-3865A0CB0841}">
      <formula1>INDIRECT("[RoutineMapDataValidations.xlsm]StandardComments!C51#")</formula1>
    </dataValidation>
    <dataValidation type="list" allowBlank="1" showInputMessage="1" sqref="M59" xr:uid="{85539046-620E-4BBD-9603-64B166C6D01C}">
      <formula1>INDIRECT("[RoutineMapDataValidations.xlsm]StandardComments!C52#")</formula1>
    </dataValidation>
    <dataValidation type="list" allowBlank="1" showInputMessage="1" sqref="M60" xr:uid="{0AEB9575-8842-4519-ADBB-48CF93BCC2B2}">
      <formula1>INDIRECT("[RoutineMapDataValidations.xlsm]StandardComments!C53#")</formula1>
    </dataValidation>
    <dataValidation type="list" allowBlank="1" showInputMessage="1" sqref="M61" xr:uid="{2051E823-0F13-4D9F-8EF2-84F8289FAA99}">
      <formula1>INDIRECT("[RoutineMapDataValidations.xlsm]StandardComments!C54#")</formula1>
    </dataValidation>
    <dataValidation type="list" allowBlank="1" showInputMessage="1" sqref="M62" xr:uid="{5E417876-C5AB-4AFD-A271-36F744BC928C}">
      <formula1>INDIRECT("[RoutineMapDataValidations.xlsm]StandardComments!C55#")</formula1>
    </dataValidation>
    <dataValidation type="list" allowBlank="1" showInputMessage="1" sqref="M63" xr:uid="{6443E2F2-114C-49BE-922B-74D52D53B6FF}">
      <formula1>INDIRECT("[RoutineMapDataValidations.xlsm]StandardComments!C56#")</formula1>
    </dataValidation>
    <dataValidation type="list" allowBlank="1" showInputMessage="1" sqref="M64" xr:uid="{C6A898AB-3E8B-4F7B-B4A7-90A28636FB0B}">
      <formula1>INDIRECT("[RoutineMapDataValidations.xlsm]StandardComments!C57#")</formula1>
    </dataValidation>
    <dataValidation type="list" allowBlank="1" showInputMessage="1" sqref="M65" xr:uid="{C4452BF8-CDE6-4189-BD3E-B51A0F47F5F6}">
      <formula1>INDIRECT("[RoutineMapDataValidations.xlsm]StandardComments!C58#")</formula1>
    </dataValidation>
    <dataValidation type="list" allowBlank="1" showInputMessage="1" sqref="M66" xr:uid="{165C2186-6124-4504-BA55-D23DA614E2E9}">
      <formula1>INDIRECT("[RoutineMapDataValidations.xlsm]StandardComments!C59#")</formula1>
    </dataValidation>
    <dataValidation type="list" allowBlank="1" showInputMessage="1" sqref="M67" xr:uid="{0B1AE978-5389-490D-A65D-5A58061B5076}">
      <formula1>INDIRECT("[RoutineMapDataValidations.xlsm]StandardComments!C60#")</formula1>
    </dataValidation>
    <dataValidation type="list" allowBlank="1" showInputMessage="1" sqref="M68" xr:uid="{9767F1A4-CD3A-4918-8127-1F049FB04272}">
      <formula1>INDIRECT("[RoutineMapDataValidations.xlsm]StandardComments!C61#")</formula1>
    </dataValidation>
    <dataValidation type="list" allowBlank="1" showInputMessage="1" sqref="M69" xr:uid="{87FD164A-D0E0-4820-A3ED-B7E7C173DA3F}">
      <formula1>INDIRECT("[RoutineMapDataValidations.xlsm]StandardComments!C62#")</formula1>
    </dataValidation>
    <dataValidation type="list" allowBlank="1" showInputMessage="1" sqref="M70" xr:uid="{1EFA820F-2AED-4284-8662-B5B0913D1C1B}">
      <formula1>INDIRECT("[RoutineMapDataValidations.xlsm]StandardComments!C63#")</formula1>
    </dataValidation>
    <dataValidation type="list" allowBlank="1" showInputMessage="1" sqref="M71" xr:uid="{C148D251-51F1-44DC-91CE-67E04DA3C38B}">
      <formula1>INDIRECT("[RoutineMapDataValidations.xlsm]StandardComments!C64#")</formula1>
    </dataValidation>
    <dataValidation type="list" allowBlank="1" showInputMessage="1" sqref="M72" xr:uid="{B00005DA-C126-48B1-B788-56742FA9CE97}">
      <formula1>INDIRECT("[RoutineMapDataValidations.xlsm]StandardComments!C65#")</formula1>
    </dataValidation>
    <dataValidation type="list" allowBlank="1" showInputMessage="1" sqref="M73" xr:uid="{E73B933D-9232-45D8-91DF-7A12AA0593EE}">
      <formula1>INDIRECT("[RoutineMapDataValidations.xlsm]StandardComments!C66#")</formula1>
    </dataValidation>
    <dataValidation type="list" allowBlank="1" showInputMessage="1" sqref="M74" xr:uid="{C79A5121-6DF6-409C-8BB5-98FF620CA1DE}">
      <formula1>INDIRECT("[RoutineMapDataValidations.xlsm]StandardComments!C67#")</formula1>
    </dataValidation>
    <dataValidation type="list" allowBlank="1" showInputMessage="1" sqref="M75" xr:uid="{4778C51B-D47C-4DED-BD83-31F3EDEF7598}">
      <formula1>INDIRECT("[RoutineMapDataValidations.xlsm]StandardComments!C68#")</formula1>
    </dataValidation>
    <dataValidation type="list" allowBlank="1" showInputMessage="1" sqref="M76" xr:uid="{F2186F44-EE33-4708-A5D6-6FE840A45665}">
      <formula1>INDIRECT("[RoutineMapDataValidations.xlsm]StandardComments!C69#")</formula1>
    </dataValidation>
    <dataValidation type="list" allowBlank="1" showInputMessage="1" sqref="M77" xr:uid="{B871802B-13C8-468C-89DF-EB05EB1CDF96}">
      <formula1>INDIRECT("[RoutineMapDataValidations.xlsm]StandardComments!C70#")</formula1>
    </dataValidation>
    <dataValidation type="list" allowBlank="1" showInputMessage="1" sqref="M78" xr:uid="{A8AE752E-1FA1-49AA-8B00-3B312C73B3A7}">
      <formula1>INDIRECT("[RoutineMapDataValidations.xlsm]StandardComments!C71#")</formula1>
    </dataValidation>
    <dataValidation type="list" allowBlank="1" showInputMessage="1" sqref="M79" xr:uid="{4FBC226A-4723-44DC-9249-7B3BB556F29C}">
      <formula1>INDIRECT("[RoutineMapDataValidations.xlsm]StandardComments!C72#")</formula1>
    </dataValidation>
    <dataValidation type="list" allowBlank="1" showInputMessage="1" sqref="M80" xr:uid="{1C34F0B9-1693-4547-96BC-637049D6DCDB}">
      <formula1>INDIRECT("[RoutineMapDataValidations.xlsm]StandardComments!C73#")</formula1>
    </dataValidation>
    <dataValidation type="list" allowBlank="1" showInputMessage="1" sqref="M81" xr:uid="{9B5CFBC4-5892-434E-9798-6200690E82B1}">
      <formula1>INDIRECT("[RoutineMapDataValidations.xlsm]StandardComments!C74#")</formula1>
    </dataValidation>
    <dataValidation type="list" allowBlank="1" showInputMessage="1" sqref="M82" xr:uid="{22F7C798-9DF9-406D-9FD4-C07784B46C31}">
      <formula1>INDIRECT("[RoutineMapDataValidations.xlsm]StandardComments!C75#")</formula1>
    </dataValidation>
    <dataValidation type="list" allowBlank="1" showInputMessage="1" sqref="M83" xr:uid="{16BD12F2-CC6C-4AF3-A602-732C07CCF11F}">
      <formula1>INDIRECT("[RoutineMapDataValidations.xlsm]StandardComments!C76#")</formula1>
    </dataValidation>
    <dataValidation type="list" allowBlank="1" showInputMessage="1" sqref="M84" xr:uid="{5C0DA5FF-BEF1-4694-B937-3075FFCB0820}">
      <formula1>INDIRECT("[RoutineMapDataValidations.xlsm]StandardComments!C77#")</formula1>
    </dataValidation>
    <dataValidation type="list" allowBlank="1" showInputMessage="1" sqref="M85" xr:uid="{CFD10D78-004D-4CFD-99EF-4F06C6DE7D37}">
      <formula1>INDIRECT("[RoutineMapDataValidations.xlsm]StandardComments!C78#")</formula1>
    </dataValidation>
    <dataValidation type="list" allowBlank="1" showInputMessage="1" sqref="M86" xr:uid="{F6E91DE7-4A6A-4B58-BBE9-F5792837A2BC}">
      <formula1>INDIRECT("[RoutineMapDataValidations.xlsm]StandardComments!C79#")</formula1>
    </dataValidation>
    <dataValidation type="list" allowBlank="1" showInputMessage="1" sqref="M87" xr:uid="{42DC3A6F-6F3D-4E79-A724-ACC379DE8A12}">
      <formula1>INDIRECT("[RoutineMapDataValidations.xlsm]StandardComments!C80#")</formula1>
    </dataValidation>
    <dataValidation type="list" allowBlank="1" showInputMessage="1" sqref="M88" xr:uid="{8345A3B6-C05B-428E-8827-025929840A70}">
      <formula1>INDIRECT("[RoutineMapDataValidations.xlsm]StandardComments!C81#")</formula1>
    </dataValidation>
    <dataValidation type="list" allowBlank="1" showInputMessage="1" sqref="M89" xr:uid="{E24DE2DF-BE46-404E-BE2E-94B5FC4E5123}">
      <formula1>INDIRECT("[RoutineMapDataValidations.xlsm]StandardComments!C82#")</formula1>
    </dataValidation>
    <dataValidation type="list" allowBlank="1" showInputMessage="1" sqref="M90" xr:uid="{BCBD219B-82B6-449F-A8FD-878A6833923D}">
      <formula1>INDIRECT("[RoutineMapDataValidations.xlsm]StandardComments!C83#")</formula1>
    </dataValidation>
    <dataValidation type="list" allowBlank="1" showInputMessage="1" sqref="M91" xr:uid="{05776075-DC1C-4117-95D6-548AB97EA920}">
      <formula1>INDIRECT("[RoutineMapDataValidations.xlsm]StandardComments!C84#")</formula1>
    </dataValidation>
    <dataValidation type="list" allowBlank="1" showInputMessage="1" sqref="M92" xr:uid="{CA754E96-888F-40B8-B4AD-5C741B2ECE80}">
      <formula1>INDIRECT("[RoutineMapDataValidations.xlsm]StandardComments!C85#")</formula1>
    </dataValidation>
    <dataValidation type="list" allowBlank="1" showInputMessage="1" sqref="M93" xr:uid="{8DF12458-1DC5-46D9-A772-46BA508B9026}">
      <formula1>INDIRECT("[RoutineMapDataValidations.xlsm]StandardComments!C86#")</formula1>
    </dataValidation>
    <dataValidation type="list" allowBlank="1" showInputMessage="1" sqref="M94" xr:uid="{A5A716CA-96CA-4FE0-ADBB-2EC011C3337B}">
      <formula1>INDIRECT("[RoutineMapDataValidations.xlsm]StandardComments!C87#")</formula1>
    </dataValidation>
    <dataValidation type="list" allowBlank="1" showInputMessage="1" sqref="M95" xr:uid="{3C22AB10-F882-407D-B57E-8D44C01C4D7C}">
      <formula1>INDIRECT("[RoutineMapDataValidations.xlsm]StandardComments!C88#")</formula1>
    </dataValidation>
    <dataValidation type="list" allowBlank="1" showInputMessage="1" sqref="M96" xr:uid="{A9FE1F44-3581-45D2-94CA-2454D4202A2D}">
      <formula1>INDIRECT("[RoutineMapDataValidations.xlsm]StandardComments!C89#")</formula1>
    </dataValidation>
    <dataValidation type="list" allowBlank="1" showInputMessage="1" sqref="M97" xr:uid="{B817232F-A370-4378-B6DB-86F0DB40AD9A}">
      <formula1>INDIRECT("[RoutineMapDataValidations.xlsm]StandardComments!C90#")</formula1>
    </dataValidation>
    <dataValidation type="list" allowBlank="1" showInputMessage="1" sqref="M98" xr:uid="{08613EEF-6B6A-43E6-96EA-98868DA032FC}">
      <formula1>INDIRECT("[RoutineMapDataValidations.xlsm]StandardComments!C91#")</formula1>
    </dataValidation>
    <dataValidation type="list" allowBlank="1" showInputMessage="1" sqref="M99" xr:uid="{1EF4E8B2-A6B0-4400-B5D7-8C8867B03CB0}">
      <formula1>INDIRECT("[RoutineMapDataValidations.xlsm]StandardComments!C92#")</formula1>
    </dataValidation>
    <dataValidation type="list" allowBlank="1" showInputMessage="1" sqref="M100" xr:uid="{66E529A4-F29A-46A4-9EAA-F405D49E8EBE}">
      <formula1>INDIRECT("[RoutineMapDataValidations.xlsm]StandardComments!C93#")</formula1>
    </dataValidation>
    <dataValidation type="list" allowBlank="1" showInputMessage="1" sqref="M101" xr:uid="{59FD3C9E-33BC-4085-9610-7377BBDA8771}">
      <formula1>INDIRECT("[RoutineMapDataValidations.xlsm]StandardComments!C94#")</formula1>
    </dataValidation>
    <dataValidation type="list" allowBlank="1" showInputMessage="1" sqref="M102" xr:uid="{F858FD93-4244-4016-AC03-9684E2759442}">
      <formula1>INDIRECT("[RoutineMapDataValidations.xlsm]StandardComments!C95#")</formula1>
    </dataValidation>
    <dataValidation type="list" allowBlank="1" showInputMessage="1" sqref="M103" xr:uid="{F62508C9-4B9B-4498-A76C-77D49CFC600B}">
      <formula1>INDIRECT("[RoutineMapDataValidations.xlsm]StandardComments!C96#")</formula1>
    </dataValidation>
    <dataValidation type="list" allowBlank="1" showInputMessage="1" sqref="M104" xr:uid="{6E826A5D-8EBE-4308-B9B6-CA7F659244FC}">
      <formula1>INDIRECT("[RoutineMapDataValidations.xlsm]StandardComments!C97#")</formula1>
    </dataValidation>
    <dataValidation type="list" allowBlank="1" showInputMessage="1" sqref="M105" xr:uid="{9F116459-69E9-4B88-98CB-75332E6104D0}">
      <formula1>INDIRECT("[RoutineMapDataValidations.xlsm]StandardComments!C98#")</formula1>
    </dataValidation>
    <dataValidation type="list" allowBlank="1" showInputMessage="1" sqref="M106" xr:uid="{845CE8D9-C2A5-4EF0-A861-BEBB26D90465}">
      <formula1>INDIRECT("[RoutineMapDataValidations.xlsm]StandardComments!C99#")</formula1>
    </dataValidation>
    <dataValidation type="list" allowBlank="1" showInputMessage="1" sqref="M107" xr:uid="{7AF7FF78-04AE-4C81-85F2-5865511F90CD}">
      <formula1>INDIRECT("[RoutineMapDataValidations.xlsm]StandardComments!C100#")</formula1>
    </dataValidation>
    <dataValidation type="list" allowBlank="1" showInputMessage="1" sqref="M108" xr:uid="{A7B67684-5557-4FF2-B7BA-3941899C664C}">
      <formula1>INDIRECT("[RoutineMapDataValidations.xlsm]StandardComments!C101#")</formula1>
    </dataValidation>
    <dataValidation type="list" allowBlank="1" showInputMessage="1" sqref="M109" xr:uid="{B1A9D050-12C9-480A-AE4E-0C4B6FA8CE20}">
      <formula1>INDIRECT("[RoutineMapDataValidations.xlsm]StandardComments!C102#")</formula1>
    </dataValidation>
    <dataValidation type="list" allowBlank="1" showInputMessage="1" sqref="M110" xr:uid="{95A237C7-1FF5-4D78-83E7-DA0D50B18D19}">
      <formula1>INDIRECT("[RoutineMapDataValidations.xlsm]StandardComments!C103#")</formula1>
    </dataValidation>
    <dataValidation type="list" allowBlank="1" showInputMessage="1" sqref="M111" xr:uid="{546B7275-DDD6-4BB2-AF46-3B171AEE143F}">
      <formula1>INDIRECT("[RoutineMapDataValidations.xlsm]StandardComments!C104#")</formula1>
    </dataValidation>
    <dataValidation type="list" allowBlank="1" showInputMessage="1" sqref="M112" xr:uid="{1202E0EF-C570-449E-A3C6-BA6F8BADEABF}">
      <formula1>INDIRECT("[RoutineMapDataValidations.xlsm]StandardComments!C105#")</formula1>
    </dataValidation>
    <dataValidation type="list" allowBlank="1" showInputMessage="1" sqref="M113" xr:uid="{88B2CE75-2B57-4CCD-8DDD-B763E8D40CB2}">
      <formula1>INDIRECT("[RoutineMapDataValidations.xlsm]StandardComments!C106#")</formula1>
    </dataValidation>
    <dataValidation type="list" allowBlank="1" showInputMessage="1" sqref="M114" xr:uid="{7B0A44DB-1111-4406-8047-E9A8CDE18CA1}">
      <formula1>INDIRECT("[RoutineMapDataValidations.xlsm]StandardComments!C107#")</formula1>
    </dataValidation>
    <dataValidation type="list" allowBlank="1" showInputMessage="1" sqref="M115" xr:uid="{C519AFEA-DC94-4756-A7DF-8E5B7A51D223}">
      <formula1>INDIRECT("[RoutineMapDataValidations.xlsm]StandardComments!C108#")</formula1>
    </dataValidation>
    <dataValidation type="list" allowBlank="1" showInputMessage="1" sqref="M116" xr:uid="{0F632CB1-563D-4810-ACBF-3CAD420890ED}">
      <formula1>INDIRECT("[RoutineMapDataValidations.xlsm]StandardComments!C109#")</formula1>
    </dataValidation>
    <dataValidation type="list" allowBlank="1" showInputMessage="1" sqref="M117" xr:uid="{2AF48B06-A080-435E-BA23-1091A8304F82}">
      <formula1>INDIRECT("[RoutineMapDataValidations.xlsm]StandardComments!C110#")</formula1>
    </dataValidation>
    <dataValidation type="list" allowBlank="1" showInputMessage="1" sqref="M118" xr:uid="{6061859A-24F0-42DA-9726-5E95143DF4D0}">
      <formula1>INDIRECT("[RoutineMapDataValidations.xlsm]StandardComments!C111#")</formula1>
    </dataValidation>
    <dataValidation type="list" allowBlank="1" showInputMessage="1" sqref="M119" xr:uid="{A8E62E6E-A9AE-4B81-9D3F-BFEA2D8413C1}">
      <formula1>INDIRECT("[RoutineMapDataValidations.xlsm]StandardComments!C112#")</formula1>
    </dataValidation>
    <dataValidation type="list" allowBlank="1" showInputMessage="1" sqref="M120" xr:uid="{7DFE9E0C-F10E-44D7-B420-1679197FCECC}">
      <formula1>INDIRECT("[RoutineMapDataValidations.xlsm]StandardComments!C113#")</formula1>
    </dataValidation>
    <dataValidation type="list" allowBlank="1" showInputMessage="1" sqref="M121" xr:uid="{6539F05F-13A1-4A76-AE5C-998EF30F7327}">
      <formula1>INDIRECT("[RoutineMapDataValidations.xlsm]StandardComments!C114#")</formula1>
    </dataValidation>
    <dataValidation type="list" allowBlank="1" showInputMessage="1" sqref="M122" xr:uid="{E2F5333E-0477-4FA7-A966-80C376104890}">
      <formula1>INDIRECT("[RoutineMapDataValidations.xlsm]StandardComments!C115#")</formula1>
    </dataValidation>
    <dataValidation type="list" allowBlank="1" showInputMessage="1" sqref="M123" xr:uid="{3778507D-3DCA-48FE-9957-940B6E0EDBA5}">
      <formula1>INDIRECT("[RoutineMapDataValidations.xlsm]StandardComments!C116#")</formula1>
    </dataValidation>
    <dataValidation type="list" allowBlank="1" showInputMessage="1" sqref="M124" xr:uid="{601B5BA5-5488-427D-9CCF-BB99BAA5984A}">
      <formula1>INDIRECT("[RoutineMapDataValidations.xlsm]StandardComments!C117#")</formula1>
    </dataValidation>
    <dataValidation type="list" allowBlank="1" showInputMessage="1" sqref="M125" xr:uid="{DE35DF66-AE8F-4E7F-919A-CA35DFD5E84E}">
      <formula1>INDIRECT("[RoutineMapDataValidations.xlsm]StandardComments!C118#")</formula1>
    </dataValidation>
    <dataValidation type="list" allowBlank="1" showInputMessage="1" sqref="M126" xr:uid="{6F858C89-4881-468B-AEBB-BDF1825343BC}">
      <formula1>INDIRECT("[RoutineMapDataValidations.xlsm]StandardComments!C119#")</formula1>
    </dataValidation>
    <dataValidation type="list" allowBlank="1" showInputMessage="1" sqref="M127" xr:uid="{8BE5CC02-9253-4EE9-86AA-73089BC9DF28}">
      <formula1>INDIRECT("[RoutineMapDataValidations.xlsm]StandardComments!C120#")</formula1>
    </dataValidation>
    <dataValidation type="list" allowBlank="1" showInputMessage="1" sqref="M128" xr:uid="{3CB08FC1-777D-4EE2-AE01-497C383D23D0}">
      <formula1>INDIRECT("[RoutineMapDataValidations.xlsm]StandardComments!C121#")</formula1>
    </dataValidation>
    <dataValidation type="list" allowBlank="1" showInputMessage="1" sqref="M129" xr:uid="{8ED86C8D-53C8-46AC-B0C9-F4463E443113}">
      <formula1>INDIRECT("[RoutineMapDataValidations.xlsm]StandardComments!C122#")</formula1>
    </dataValidation>
    <dataValidation type="list" allowBlank="1" showInputMessage="1" sqref="M130" xr:uid="{ECB88588-1C4E-41A7-B7BF-6E575492FB4C}">
      <formula1>INDIRECT("[RoutineMapDataValidations.xlsm]StandardComments!C123#")</formula1>
    </dataValidation>
    <dataValidation type="list" allowBlank="1" showInputMessage="1" sqref="M131" xr:uid="{0E3B8343-D268-4CC0-B54E-F15E27D21927}">
      <formula1>INDIRECT("[RoutineMapDataValidations.xlsm]StandardComments!C124#")</formula1>
    </dataValidation>
    <dataValidation type="list" allowBlank="1" showInputMessage="1" sqref="M132" xr:uid="{1087937B-71C1-4298-A9D2-5F81222192A8}">
      <formula1>INDIRECT("[RoutineMapDataValidations.xlsm]StandardComments!C125#")</formula1>
    </dataValidation>
    <dataValidation type="list" allowBlank="1" showInputMessage="1" sqref="M133" xr:uid="{5924BA99-CF57-4D20-A49B-071232703C1A}">
      <formula1>INDIRECT("[RoutineMapDataValidations.xlsm]StandardComments!C126#")</formula1>
    </dataValidation>
    <dataValidation type="list" allowBlank="1" showInputMessage="1" sqref="M134" xr:uid="{24DB1369-8B22-4469-A09F-0D466D00DC28}">
      <formula1>INDIRECT("[RoutineMapDataValidations.xlsm]StandardComments!C127#")</formula1>
    </dataValidation>
    <dataValidation type="list" allowBlank="1" showInputMessage="1" sqref="M135" xr:uid="{A80D50A1-CA83-4316-9C27-0529C7E5E5E9}">
      <formula1>INDIRECT("[RoutineMapDataValidations.xlsm]StandardComments!C128#")</formula1>
    </dataValidation>
    <dataValidation type="list" allowBlank="1" showInputMessage="1" sqref="M136" xr:uid="{E0C18E38-539A-4404-8FF6-B5D3EEF2CE64}">
      <formula1>INDIRECT("[RoutineMapDataValidations.xlsm]StandardComments!C129#")</formula1>
    </dataValidation>
    <dataValidation type="list" allowBlank="1" showInputMessage="1" sqref="M137" xr:uid="{1B8BB822-B525-4786-A981-1DAEE6C98F92}">
      <formula1>INDIRECT("[RoutineMapDataValidations.xlsm]StandardComments!C130#")</formula1>
    </dataValidation>
    <dataValidation type="list" allowBlank="1" showInputMessage="1" sqref="M138" xr:uid="{04F38DF5-8D68-4167-BBEC-2EDF2E345352}">
      <formula1>INDIRECT("[RoutineMapDataValidations.xlsm]StandardComments!C131#")</formula1>
    </dataValidation>
    <dataValidation type="list" allowBlank="1" showInputMessage="1" sqref="M139" xr:uid="{049C3F90-0100-481C-A178-8CD3139FC680}">
      <formula1>INDIRECT("[RoutineMapDataValidations.xlsm]StandardComments!C132#")</formula1>
    </dataValidation>
    <dataValidation type="list" allowBlank="1" showInputMessage="1" sqref="M140" xr:uid="{E7809E56-674A-430A-ADE2-DC8AE3509E59}">
      <formula1>INDIRECT("[RoutineMapDataValidations.xlsm]StandardComments!C133#")</formula1>
    </dataValidation>
    <dataValidation type="list" allowBlank="1" showInputMessage="1" sqref="M141" xr:uid="{856D4AAC-2F7C-484E-8855-9BE469894BFE}">
      <formula1>INDIRECT("[RoutineMapDataValidations.xlsm]StandardComments!C134#")</formula1>
    </dataValidation>
    <dataValidation type="list" allowBlank="1" showInputMessage="1" sqref="M142" xr:uid="{FCA1418C-D92A-424D-9827-77CABBD30F0A}">
      <formula1>INDIRECT("[RoutineMapDataValidations.xlsm]StandardComments!C135#")</formula1>
    </dataValidation>
    <dataValidation type="list" allowBlank="1" showInputMessage="1" sqref="M143" xr:uid="{E1558934-F9C3-49A7-B262-23DD32C259C2}">
      <formula1>INDIRECT("[RoutineMapDataValidations.xlsm]StandardComments!C136#")</formula1>
    </dataValidation>
    <dataValidation type="list" allowBlank="1" showInputMessage="1" sqref="M144" xr:uid="{4F6ADD55-4818-4848-81A6-55309506A05F}">
      <formula1>INDIRECT("[RoutineMapDataValidations.xlsm]StandardComments!C137#")</formula1>
    </dataValidation>
    <dataValidation type="list" allowBlank="1" showInputMessage="1" sqref="M145" xr:uid="{49DC4FF5-B125-4F2A-B1C7-7FC2AEB63B6A}">
      <formula1>INDIRECT("[RoutineMapDataValidations.xlsm]StandardComments!C138#")</formula1>
    </dataValidation>
    <dataValidation type="list" allowBlank="1" showInputMessage="1" sqref="M146" xr:uid="{EA9D5901-22F8-45B1-AA20-4686346B4E1D}">
      <formula1>INDIRECT("[RoutineMapDataValidations.xlsm]StandardComments!C139#")</formula1>
    </dataValidation>
    <dataValidation type="list" allowBlank="1" showInputMessage="1" sqref="M147" xr:uid="{6D9B0B90-7F4E-434F-8038-0834B596C1A2}">
      <formula1>INDIRECT("[RoutineMapDataValidations.xlsm]StandardComments!C140#")</formula1>
    </dataValidation>
    <dataValidation type="list" allowBlank="1" showInputMessage="1" sqref="M148" xr:uid="{9CD1FE1A-1C07-434C-9810-FBB44F140909}">
      <formula1>INDIRECT("[RoutineMapDataValidations.xlsm]StandardComments!C141#")</formula1>
    </dataValidation>
    <dataValidation type="list" allowBlank="1" showInputMessage="1" sqref="M149" xr:uid="{525BDE92-25B6-4AD8-B456-54B903621A53}">
      <formula1>INDIRECT("[RoutineMapDataValidations.xlsm]StandardComments!C142#")</formula1>
    </dataValidation>
    <dataValidation type="list" allowBlank="1" showInputMessage="1" sqref="M150" xr:uid="{F8046579-FE90-4C3A-94DC-6DC768D925F1}">
      <formula1>INDIRECT("[RoutineMapDataValidations.xlsm]StandardComments!C143#")</formula1>
    </dataValidation>
    <dataValidation type="list" allowBlank="1" showInputMessage="1" sqref="M151" xr:uid="{F090D19C-0627-4205-9C89-7B8E5696E1C2}">
      <formula1>INDIRECT("[RoutineMapDataValidations.xlsm]StandardComments!C144#")</formula1>
    </dataValidation>
    <dataValidation type="list" allowBlank="1" showInputMessage="1" sqref="M152" xr:uid="{615D4B4A-3CD6-4ACA-BDDF-CF2042774B3D}">
      <formula1>INDIRECT("[RoutineMapDataValidations.xlsm]StandardComments!C145#")</formula1>
    </dataValidation>
    <dataValidation type="list" allowBlank="1" showInputMessage="1" sqref="M153" xr:uid="{05DC4FC4-BDEA-4B2D-8CF9-E427E4C4691F}">
      <formula1>INDIRECT("[RoutineMapDataValidations.xlsm]StandardComments!C146#")</formula1>
    </dataValidation>
    <dataValidation type="list" allowBlank="1" showInputMessage="1" sqref="M154" xr:uid="{77046F03-BF42-4FEE-911F-8CCF19316CFE}">
      <formula1>INDIRECT("[RoutineMapDataValidations.xlsm]StandardComments!C147#")</formula1>
    </dataValidation>
    <dataValidation type="list" allowBlank="1" showInputMessage="1" sqref="M155" xr:uid="{F591D299-9F39-4EC5-A72B-767D7DC72089}">
      <formula1>INDIRECT("[RoutineMapDataValidations.xlsm]StandardComments!C148#")</formula1>
    </dataValidation>
    <dataValidation type="list" allowBlank="1" showInputMessage="1" sqref="M156" xr:uid="{7E00236F-3C8F-44D0-B78D-3D2A190BD1A5}">
      <formula1>INDIRECT("[RoutineMapDataValidations.xlsm]StandardComments!C149#")</formula1>
    </dataValidation>
    <dataValidation type="list" allowBlank="1" showInputMessage="1" sqref="M157" xr:uid="{4BA0D613-09B4-47C7-A631-4A5D4EFCA068}">
      <formula1>INDIRECT("[RoutineMapDataValidations.xlsm]StandardComments!C150#")</formula1>
    </dataValidation>
    <dataValidation type="list" allowBlank="1" showInputMessage="1" sqref="M158" xr:uid="{4FBC51FE-7606-4E3B-8CF9-642141C42CDB}">
      <formula1>INDIRECT("[RoutineMapDataValidations.xlsm]StandardComments!C151#")</formula1>
    </dataValidation>
    <dataValidation type="list" allowBlank="1" showInputMessage="1" sqref="M159" xr:uid="{A5E13BE1-D001-455C-9D78-B9F92B4975CF}">
      <formula1>INDIRECT("[RoutineMapDataValidations.xlsm]StandardComments!C152#")</formula1>
    </dataValidation>
    <dataValidation type="list" allowBlank="1" showInputMessage="1" sqref="M160" xr:uid="{24318040-FA0C-4B8E-A3FB-AB7291C0CE5C}">
      <formula1>INDIRECT("[RoutineMapDataValidations.xlsm]StandardComments!C153#")</formula1>
    </dataValidation>
    <dataValidation type="list" allowBlank="1" showInputMessage="1" sqref="M161" xr:uid="{2683FB8C-6715-4F43-B430-CC9636D89035}">
      <formula1>INDIRECT("[RoutineMapDataValidations.xlsm]StandardComments!C154#")</formula1>
    </dataValidation>
    <dataValidation type="list" allowBlank="1" showInputMessage="1" sqref="M162" xr:uid="{13E6746A-B768-48BC-8BE1-E173D0559D98}">
      <formula1>INDIRECT("[RoutineMapDataValidations.xlsm]StandardComments!C155#")</formula1>
    </dataValidation>
    <dataValidation type="list" allowBlank="1" showInputMessage="1" sqref="M163" xr:uid="{A0B96485-E4A8-4655-BEC0-64F5BDC92C5F}">
      <formula1>INDIRECT("[RoutineMapDataValidations.xlsm]StandardComments!C156#")</formula1>
    </dataValidation>
    <dataValidation type="list" allowBlank="1" showInputMessage="1" sqref="M164" xr:uid="{55EDE969-03A0-4190-9937-0ABA7FBCAC29}">
      <formula1>INDIRECT("[RoutineMapDataValidations.xlsm]StandardComments!C157#")</formula1>
    </dataValidation>
    <dataValidation type="list" allowBlank="1" showInputMessage="1" sqref="M165" xr:uid="{3F66F2BC-5FF2-4EF6-8441-6AFB4EF239A2}">
      <formula1>INDIRECT("[RoutineMapDataValidations.xlsm]StandardComments!C158#")</formula1>
    </dataValidation>
    <dataValidation type="list" allowBlank="1" showInputMessage="1" sqref="M166" xr:uid="{0990C411-8611-46B9-82D7-A198557288EC}">
      <formula1>INDIRECT("[RoutineMapDataValidations.xlsm]StandardComments!C159#")</formula1>
    </dataValidation>
    <dataValidation type="list" allowBlank="1" showInputMessage="1" sqref="M167" xr:uid="{003E24B9-7440-4C5E-852D-78D7B4418880}">
      <formula1>INDIRECT("[RoutineMapDataValidations.xlsm]StandardComments!C160#")</formula1>
    </dataValidation>
    <dataValidation type="list" allowBlank="1" showInputMessage="1" sqref="M168" xr:uid="{559B9837-D1CC-41CD-BD82-BBAD959B6EC7}">
      <formula1>INDIRECT("[RoutineMapDataValidations.xlsm]StandardComments!C161#")</formula1>
    </dataValidation>
    <dataValidation type="list" allowBlank="1" showInputMessage="1" sqref="M169" xr:uid="{530FB836-C585-4FCE-88C3-2D71669927F0}">
      <formula1>INDIRECT("[RoutineMapDataValidations.xlsm]StandardComments!C162#")</formula1>
    </dataValidation>
    <dataValidation type="list" allowBlank="1" showInputMessage="1" sqref="M170" xr:uid="{A73C98B9-F7E1-4FC2-80E3-50F7957816F2}">
      <formula1>INDIRECT("[RoutineMapDataValidations.xlsm]StandardComments!C163#")</formula1>
    </dataValidation>
    <dataValidation type="list" allowBlank="1" showInputMessage="1" sqref="M171" xr:uid="{E51D1C1E-154D-4A52-9A13-8E218D893299}">
      <formula1>INDIRECT("[RoutineMapDataValidations.xlsm]StandardComments!C164#")</formula1>
    </dataValidation>
    <dataValidation type="list" allowBlank="1" showInputMessage="1" sqref="M172" xr:uid="{328E85D4-4871-45AF-82AB-68D4CA5FF829}">
      <formula1>INDIRECT("[RoutineMapDataValidations.xlsm]StandardComments!C165#")</formula1>
    </dataValidation>
    <dataValidation type="list" allowBlank="1" showInputMessage="1" sqref="M173" xr:uid="{E068ADEF-B035-4184-9D9E-396BF698D8A8}">
      <formula1>INDIRECT("[RoutineMapDataValidations.xlsm]StandardComments!C166#")</formula1>
    </dataValidation>
    <dataValidation type="list" allowBlank="1" showInputMessage="1" sqref="M174" xr:uid="{09B5AB6A-6EA8-41E9-9573-04119E026512}">
      <formula1>INDIRECT("[RoutineMapDataValidations.xlsm]StandardComments!C167#")</formula1>
    </dataValidation>
    <dataValidation type="list" allowBlank="1" showInputMessage="1" sqref="M175" xr:uid="{46C08A1D-84C0-4760-88C4-52E2BAA548D8}">
      <formula1>INDIRECT("[RoutineMapDataValidations.xlsm]StandardComments!C168#")</formula1>
    </dataValidation>
    <dataValidation type="list" allowBlank="1" showInputMessage="1" sqref="M176" xr:uid="{E8413211-4C43-4D69-B2A1-53EDEAD28CFC}">
      <formula1>INDIRECT("[RoutineMapDataValidations.xlsm]StandardComments!C169#")</formula1>
    </dataValidation>
    <dataValidation type="list" allowBlank="1" showInputMessage="1" sqref="M177" xr:uid="{6D023A0D-42F5-47B8-9DBD-2B28C182321A}">
      <formula1>INDIRECT("[RoutineMapDataValidations.xlsm]StandardComments!C170#")</formula1>
    </dataValidation>
    <dataValidation type="list" allowBlank="1" showInputMessage="1" sqref="M178" xr:uid="{EBEC7029-D7D8-4861-8ACB-C20219073234}">
      <formula1>INDIRECT("[RoutineMapDataValidations.xlsm]StandardComments!C171#")</formula1>
    </dataValidation>
    <dataValidation type="list" allowBlank="1" showInputMessage="1" sqref="M179" xr:uid="{69205D13-8B41-44A1-9C54-556A24819B9F}">
      <formula1>INDIRECT("[RoutineMapDataValidations.xlsm]StandardComments!C172#")</formula1>
    </dataValidation>
    <dataValidation type="list" allowBlank="1" showInputMessage="1" sqref="M180" xr:uid="{00614991-5571-4A1D-89CB-F82AABB99F82}">
      <formula1>INDIRECT("[RoutineMapDataValidations.xlsm]StandardComments!C173#")</formula1>
    </dataValidation>
    <dataValidation type="list" allowBlank="1" showInputMessage="1" sqref="M181" xr:uid="{9369568F-F01F-4054-8204-3607B0697FA4}">
      <formula1>INDIRECT("[RoutineMapDataValidations.xlsm]StandardComments!C174#")</formula1>
    </dataValidation>
    <dataValidation type="list" allowBlank="1" showInputMessage="1" sqref="M182" xr:uid="{D3DD2DE3-F5A9-4FAA-9CC4-F1BE2052D48C}">
      <formula1>INDIRECT("[RoutineMapDataValidations.xlsm]StandardComments!C175#")</formula1>
    </dataValidation>
    <dataValidation type="list" allowBlank="1" showInputMessage="1" sqref="M183" xr:uid="{FCD4E16D-8719-499B-AF08-32D852BFF2B9}">
      <formula1>INDIRECT("[RoutineMapDataValidations.xlsm]StandardComments!C176#")</formula1>
    </dataValidation>
    <dataValidation type="list" allowBlank="1" showInputMessage="1" sqref="M184" xr:uid="{04A4FE41-785D-4AF0-919F-E9990D0726BA}">
      <formula1>INDIRECT("[RoutineMapDataValidations.xlsm]StandardComments!C177#")</formula1>
    </dataValidation>
    <dataValidation type="list" allowBlank="1" showInputMessage="1" sqref="M185" xr:uid="{481F87BA-3BE3-4AC9-A25E-B1FC2E009E0E}">
      <formula1>INDIRECT("[RoutineMapDataValidations.xlsm]StandardComments!C178#")</formula1>
    </dataValidation>
    <dataValidation type="list" allowBlank="1" showInputMessage="1" sqref="M186" xr:uid="{D3C563EB-85EE-4303-A161-09A3A11C933F}">
      <formula1>INDIRECT("[RoutineMapDataValidations.xlsm]StandardComments!C179#")</formula1>
    </dataValidation>
    <dataValidation type="list" allowBlank="1" showInputMessage="1" sqref="M187" xr:uid="{5BEC180E-AD97-477D-A4AA-216A96444032}">
      <formula1>INDIRECT("[RoutineMapDataValidations.xlsm]StandardComments!C180#")</formula1>
    </dataValidation>
    <dataValidation type="list" allowBlank="1" showInputMessage="1" sqref="M188" xr:uid="{5A170F12-3138-43B6-948A-49EF44AF1459}">
      <formula1>INDIRECT("[RoutineMapDataValidations.xlsm]StandardComments!C181#")</formula1>
    </dataValidation>
    <dataValidation type="list" allowBlank="1" showInputMessage="1" sqref="M189" xr:uid="{1224EC57-1223-4297-81DA-1D28BBD5E46D}">
      <formula1>INDIRECT("[RoutineMapDataValidations.xlsm]StandardComments!C182#")</formula1>
    </dataValidation>
    <dataValidation type="list" allowBlank="1" showInputMessage="1" sqref="M190" xr:uid="{64F9F901-032E-4049-8D61-3EBE73E782DE}">
      <formula1>INDIRECT("[RoutineMapDataValidations.xlsm]StandardComments!C183#")</formula1>
    </dataValidation>
    <dataValidation type="list" allowBlank="1" showInputMessage="1" sqref="M191" xr:uid="{55577F0B-23BF-4DFF-B074-C7324D8D9593}">
      <formula1>INDIRECT("[RoutineMapDataValidations.xlsm]StandardComments!C184#")</formula1>
    </dataValidation>
    <dataValidation type="list" allowBlank="1" showInputMessage="1" sqref="M192" xr:uid="{31FF57B8-9BF6-4A55-BD3E-ACFC0612228A}">
      <formula1>INDIRECT("[RoutineMapDataValidations.xlsm]StandardComments!C185#")</formula1>
    </dataValidation>
    <dataValidation type="list" allowBlank="1" showInputMessage="1" sqref="M193" xr:uid="{D48DF5CF-D8FA-49CC-B01A-EEED3CC55681}">
      <formula1>INDIRECT("[RoutineMapDataValidations.xlsm]StandardComments!C186#")</formula1>
    </dataValidation>
    <dataValidation type="list" allowBlank="1" showInputMessage="1" sqref="M194" xr:uid="{6B5E2E1B-D905-4904-96BA-F5E7CF53EFC3}">
      <formula1>INDIRECT("[RoutineMapDataValidations.xlsm]StandardComments!C187#")</formula1>
    </dataValidation>
    <dataValidation type="list" allowBlank="1" showInputMessage="1" sqref="M195" xr:uid="{7C98AB29-C99B-406B-A2F3-65547F311B02}">
      <formula1>INDIRECT("[RoutineMapDataValidations.xlsm]StandardComments!C188#")</formula1>
    </dataValidation>
    <dataValidation type="list" allowBlank="1" showInputMessage="1" sqref="M196" xr:uid="{8974EC40-7CB7-4056-938E-B15D0EBA7256}">
      <formula1>INDIRECT("[RoutineMapDataValidations.xlsm]StandardComments!C189#")</formula1>
    </dataValidation>
    <dataValidation type="list" allowBlank="1" showInputMessage="1" sqref="M197" xr:uid="{DBD5084F-9896-4D64-9740-0EB284C89F1D}">
      <formula1>INDIRECT("[RoutineMapDataValidations.xlsm]StandardComments!C190#")</formula1>
    </dataValidation>
    <dataValidation type="list" allowBlank="1" showInputMessage="1" sqref="M198" xr:uid="{060A7E80-FB29-45C7-9503-B0599170C0E5}">
      <formula1>INDIRECT("[RoutineMapDataValidations.xlsm]StandardComments!C191#")</formula1>
    </dataValidation>
    <dataValidation type="list" allowBlank="1" showInputMessage="1" sqref="M199" xr:uid="{1214F969-37B5-4D04-84FD-88A7A12874C2}">
      <formula1>INDIRECT("[RoutineMapDataValidations.xlsm]StandardComments!C192#")</formula1>
    </dataValidation>
    <dataValidation type="list" allowBlank="1" showInputMessage="1" sqref="M200" xr:uid="{8F77B7E0-0743-4B88-8E49-05260092EEB9}">
      <formula1>INDIRECT("[RoutineMapDataValidations.xlsm]StandardComments!C193#")</formula1>
    </dataValidation>
    <dataValidation type="list" allowBlank="1" showInputMessage="1" sqref="M201" xr:uid="{67E5740F-2841-4260-80F5-FDBBF0BD0D8E}">
      <formula1>INDIRECT("[RoutineMapDataValidations.xlsm]StandardComments!C194#")</formula1>
    </dataValidation>
    <dataValidation type="list" allowBlank="1" showInputMessage="1" sqref="M202" xr:uid="{A7FC1952-E560-43EA-A979-6F02E85E2802}">
      <formula1>INDIRECT("[RoutineMapDataValidations.xlsm]StandardComments!C195#")</formula1>
    </dataValidation>
    <dataValidation type="list" allowBlank="1" showInputMessage="1" sqref="M203" xr:uid="{D68FE263-4AB1-4272-90E2-A9697DF23EAB}">
      <formula1>INDIRECT("[RoutineMapDataValidations.xlsm]StandardComments!C196#")</formula1>
    </dataValidation>
    <dataValidation type="list" allowBlank="1" showInputMessage="1" sqref="M204" xr:uid="{790C2EB0-544A-4C5D-BC28-6D342F86C7FA}">
      <formula1>INDIRECT("[RoutineMapDataValidations.xlsm]StandardComments!C197#")</formula1>
    </dataValidation>
    <dataValidation type="list" allowBlank="1" showInputMessage="1" sqref="M205" xr:uid="{B13C1628-DC1D-48C7-9A6C-D53746D29C2C}">
      <formula1>INDIRECT("[RoutineMapDataValidations.xlsm]StandardComments!C198#")</formula1>
    </dataValidation>
    <dataValidation type="list" allowBlank="1" showInputMessage="1" sqref="M206" xr:uid="{93F72D7B-CCEF-44B3-8A12-720D98D79F02}">
      <formula1>INDIRECT("[RoutineMapDataValidations.xlsm]StandardComments!C199#")</formula1>
    </dataValidation>
    <dataValidation type="list" allowBlank="1" showInputMessage="1" sqref="M207" xr:uid="{2532FEDF-6911-4309-9007-90860424BB37}">
      <formula1>INDIRECT("[RoutineMapDataValidations.xlsm]StandardComments!C200#")</formula1>
    </dataValidation>
    <dataValidation type="list" allowBlank="1" showInputMessage="1" sqref="M208" xr:uid="{2C0A2F72-CF06-49DB-B329-ACB89C1446BE}">
      <formula1>INDIRECT("[RoutineMapDataValidations.xlsm]StandardComments!C201#")</formula1>
    </dataValidation>
    <dataValidation type="list" allowBlank="1" showInputMessage="1" sqref="M209" xr:uid="{EBD22CA0-BDEA-4FA6-98DD-75C28FDE1E21}">
      <formula1>INDIRECT("[RoutineMapDataValidations.xlsm]StandardComments!C202#")</formula1>
    </dataValidation>
    <dataValidation type="list" allowBlank="1" showInputMessage="1" sqref="M210" xr:uid="{69E446C0-716E-4FD3-8D59-697A125AC902}">
      <formula1>INDIRECT("[RoutineMapDataValidations.xlsm]StandardComments!C203#")</formula1>
    </dataValidation>
    <dataValidation type="list" allowBlank="1" showInputMessage="1" sqref="M211" xr:uid="{1E16A260-C293-44AB-A1CD-AC3F5A713ED5}">
      <formula1>INDIRECT("[RoutineMapDataValidations.xlsm]StandardComments!C204#")</formula1>
    </dataValidation>
    <dataValidation type="list" allowBlank="1" showInputMessage="1" sqref="M212" xr:uid="{35697627-74C0-4AE6-87AE-044F4AC1E58C}">
      <formula1>INDIRECT("[RoutineMapDataValidations.xlsm]StandardComments!C205#")</formula1>
    </dataValidation>
    <dataValidation type="list" allowBlank="1" showInputMessage="1" sqref="M213" xr:uid="{3322634E-E7F1-4E31-9F5B-49D3DEC9581E}">
      <formula1>INDIRECT("[RoutineMapDataValidations.xlsm]StandardComments!C206#")</formula1>
    </dataValidation>
    <dataValidation type="list" allowBlank="1" showInputMessage="1" sqref="M214" xr:uid="{17B9895A-97F6-4C21-9F25-2A6B7F895E8F}">
      <formula1>INDIRECT("[RoutineMapDataValidations.xlsm]StandardComments!C207#")</formula1>
    </dataValidation>
    <dataValidation type="list" allowBlank="1" showInputMessage="1" sqref="M215" xr:uid="{46847101-E35A-4942-BFD8-08826F793090}">
      <formula1>INDIRECT("[RoutineMapDataValidations.xlsm]StandardComments!C208#")</formula1>
    </dataValidation>
    <dataValidation type="list" allowBlank="1" showInputMessage="1" sqref="M216" xr:uid="{3D9DD44D-01AE-4272-801D-0A96E9E25049}">
      <formula1>INDIRECT("[RoutineMapDataValidations.xlsm]StandardComments!C209#")</formula1>
    </dataValidation>
    <dataValidation type="list" allowBlank="1" showInputMessage="1" sqref="M217" xr:uid="{674C82D3-FB82-4CA8-899E-5C5F27C9787D}">
      <formula1>INDIRECT("[RoutineMapDataValidations.xlsm]StandardComments!C210#")</formula1>
    </dataValidation>
    <dataValidation type="list" allowBlank="1" showInputMessage="1" sqref="M218" xr:uid="{883CC6B2-F7DB-4ED6-953D-823063DEE385}">
      <formula1>INDIRECT("[RoutineMapDataValidations.xlsm]StandardComments!C211#")</formula1>
    </dataValidation>
    <dataValidation type="list" allowBlank="1" showInputMessage="1" sqref="M219" xr:uid="{CE304466-C3C4-42FA-80E3-027D742140AB}">
      <formula1>INDIRECT("[RoutineMapDataValidations.xlsm]StandardComments!C212#")</formula1>
    </dataValidation>
    <dataValidation type="list" allowBlank="1" showInputMessage="1" sqref="M220" xr:uid="{6128701A-F32D-4B7C-9BF2-B2FE749416B6}">
      <formula1>INDIRECT("[RoutineMapDataValidations.xlsm]StandardComments!C213#")</formula1>
    </dataValidation>
    <dataValidation type="list" allowBlank="1" showInputMessage="1" sqref="M221" xr:uid="{90AB406C-E368-48CF-8845-7D7C3ADC7B74}">
      <formula1>INDIRECT("[RoutineMapDataValidations.xlsm]StandardComments!C214#")</formula1>
    </dataValidation>
    <dataValidation type="list" allowBlank="1" showInputMessage="1" sqref="M222" xr:uid="{9DCA71F1-AA2D-4354-9B6F-B97D57C00C7C}">
      <formula1>INDIRECT("[RoutineMapDataValidations.xlsm]StandardComments!C215#")</formula1>
    </dataValidation>
    <dataValidation type="list" allowBlank="1" showInputMessage="1" sqref="M223" xr:uid="{A14A7FA4-AD20-4517-ABB1-FF2D9546EDC4}">
      <formula1>INDIRECT("[RoutineMapDataValidations.xlsm]StandardComments!C216#")</formula1>
    </dataValidation>
    <dataValidation type="list" allowBlank="1" showInputMessage="1" sqref="M224" xr:uid="{E23A323D-B34B-446C-9576-B4A65FA6EA38}">
      <formula1>INDIRECT("[RoutineMapDataValidations.xlsm]StandardComments!C217#")</formula1>
    </dataValidation>
    <dataValidation type="list" allowBlank="1" showInputMessage="1" sqref="M225" xr:uid="{9DA1E5EB-47EF-4339-9C20-C935FB1DDAFF}">
      <formula1>INDIRECT("[RoutineMapDataValidations.xlsm]StandardComments!C218#")</formula1>
    </dataValidation>
    <dataValidation type="list" allowBlank="1" showInputMessage="1" sqref="M226" xr:uid="{1002C333-E3B0-4ADA-9494-F34BB1FC267E}">
      <formula1>INDIRECT("[RoutineMapDataValidations.xlsm]StandardComments!C219#")</formula1>
    </dataValidation>
    <dataValidation type="list" allowBlank="1" showInputMessage="1" sqref="M227" xr:uid="{FBEB5BB6-5A48-45A8-BEAA-BE2A107876CC}">
      <formula1>INDIRECT("[RoutineMapDataValidations.xlsm]StandardComments!C220#")</formula1>
    </dataValidation>
    <dataValidation type="list" allowBlank="1" showInputMessage="1" sqref="M228" xr:uid="{A478D6A1-A8EF-4E04-A1B2-D5028F41DE95}">
      <formula1>INDIRECT("[RoutineMapDataValidations.xlsm]StandardComments!C221#")</formula1>
    </dataValidation>
    <dataValidation type="list" allowBlank="1" showInputMessage="1" sqref="M229" xr:uid="{AE5AE930-2840-42AC-B067-EFEC0910430D}">
      <formula1>INDIRECT("[RoutineMapDataValidations.xlsm]StandardComments!C222#")</formula1>
    </dataValidation>
    <dataValidation type="list" allowBlank="1" showInputMessage="1" sqref="M230" xr:uid="{AC1370A8-F1BF-45A8-81E6-3503CB4F5D1A}">
      <formula1>INDIRECT("[RoutineMapDataValidations.xlsm]StandardComments!C223#")</formula1>
    </dataValidation>
    <dataValidation type="list" allowBlank="1" showInputMessage="1" sqref="M231" xr:uid="{640E5DBB-4D87-4985-812A-AD8558451374}">
      <formula1>INDIRECT("[RoutineMapDataValidations.xlsm]StandardComments!C224#")</formula1>
    </dataValidation>
    <dataValidation type="list" allowBlank="1" showInputMessage="1" sqref="M232" xr:uid="{5C8AEAB3-EE45-4CFC-B333-AC163692E29C}">
      <formula1>INDIRECT("[RoutineMapDataValidations.xlsm]StandardComments!C225#")</formula1>
    </dataValidation>
    <dataValidation type="list" allowBlank="1" showInputMessage="1" sqref="M233" xr:uid="{A1B2917E-394E-4635-ABD8-629AD69D2D6C}">
      <formula1>INDIRECT("[RoutineMapDataValidations.xlsm]StandardComments!C226#")</formula1>
    </dataValidation>
    <dataValidation type="list" allowBlank="1" showInputMessage="1" sqref="M234" xr:uid="{F1684440-9680-4613-AD9B-D23F89EBD483}">
      <formula1>INDIRECT("[RoutineMapDataValidations.xlsm]StandardComments!C227#")</formula1>
    </dataValidation>
    <dataValidation type="list" allowBlank="1" showInputMessage="1" sqref="M235" xr:uid="{FA328545-038D-49F8-8C03-79A6ABC2D74A}">
      <formula1>INDIRECT("[RoutineMapDataValidations.xlsm]StandardComments!C228#")</formula1>
    </dataValidation>
    <dataValidation type="list" allowBlank="1" showInputMessage="1" sqref="M236" xr:uid="{D316CE4F-2514-4CB6-B6CF-7C10C14E50E8}">
      <formula1>INDIRECT("[RoutineMapDataValidations.xlsm]StandardComments!C229#")</formula1>
    </dataValidation>
    <dataValidation type="list" allowBlank="1" showInputMessage="1" sqref="M237" xr:uid="{4710A0DC-F54A-40DA-BA51-063D533E19DF}">
      <formula1>INDIRECT("[RoutineMapDataValidations.xlsm]StandardComments!C230#")</formula1>
    </dataValidation>
    <dataValidation type="list" allowBlank="1" showInputMessage="1" sqref="M238" xr:uid="{54CC5A21-55C6-411C-A03E-93D8A339ACA8}">
      <formula1>INDIRECT("[RoutineMapDataValidations.xlsm]StandardComments!C231#")</formula1>
    </dataValidation>
    <dataValidation type="list" allowBlank="1" showInputMessage="1" sqref="M239" xr:uid="{9521BA32-3B6C-400A-8BD4-BD4A1C5F188A}">
      <formula1>INDIRECT("[RoutineMapDataValidations.xlsm]StandardComments!C232#")</formula1>
    </dataValidation>
    <dataValidation type="list" allowBlank="1" showInputMessage="1" sqref="M240" xr:uid="{5AF98BEF-6A9A-462C-B128-37AFA836081C}">
      <formula1>INDIRECT("[RoutineMapDataValidations.xlsm]StandardComments!C233#")</formula1>
    </dataValidation>
    <dataValidation type="list" allowBlank="1" showInputMessage="1" sqref="M241" xr:uid="{F39CE9F4-60D1-47E2-AF25-94DBEE12C281}">
      <formula1>INDIRECT("[RoutineMapDataValidations.xlsm]StandardComments!C234#")</formula1>
    </dataValidation>
    <dataValidation type="list" allowBlank="1" showInputMessage="1" sqref="M242" xr:uid="{D378D814-739A-4B0D-A6E9-A45107403F2B}">
      <formula1>INDIRECT("[RoutineMapDataValidations.xlsm]StandardComments!C235#")</formula1>
    </dataValidation>
    <dataValidation type="list" allowBlank="1" showInputMessage="1" sqref="M243" xr:uid="{9F96F47B-825A-4AA0-9A63-03B8AAD173C8}">
      <formula1>INDIRECT("[RoutineMapDataValidations.xlsm]StandardComments!C236#")</formula1>
    </dataValidation>
    <dataValidation type="list" allowBlank="1" showInputMessage="1" sqref="M244" xr:uid="{A394A12B-64C3-4DF3-A038-22AAB7577CA8}">
      <formula1>INDIRECT("[RoutineMapDataValidations.xlsm]StandardComments!C237#")</formula1>
    </dataValidation>
    <dataValidation type="list" allowBlank="1" showInputMessage="1" sqref="M245" xr:uid="{DC3A09FD-1169-41C7-8600-99C49A467679}">
      <formula1>INDIRECT("[RoutineMapDataValidations.xlsm]StandardComments!C238#")</formula1>
    </dataValidation>
    <dataValidation type="list" allowBlank="1" showInputMessage="1" sqref="M246" xr:uid="{EA675139-66E2-43FD-9414-8F54C0936210}">
      <formula1>INDIRECT("[RoutineMapDataValidations.xlsm]StandardComments!C239#")</formula1>
    </dataValidation>
    <dataValidation type="list" allowBlank="1" showInputMessage="1" sqref="M247" xr:uid="{FF8C87A8-045D-4CE7-B042-4B42B6F3E49A}">
      <formula1>INDIRECT("[RoutineMapDataValidations.xlsm]StandardComments!C240#")</formula1>
    </dataValidation>
    <dataValidation type="list" allowBlank="1" showInputMessage="1" sqref="M248" xr:uid="{026C8776-765E-439F-975C-EE1B4577698C}">
      <formula1>INDIRECT("[RoutineMapDataValidations.xlsm]StandardComments!C241#")</formula1>
    </dataValidation>
    <dataValidation type="list" allowBlank="1" showInputMessage="1" sqref="M249" xr:uid="{BD60B82C-C6C3-4FC1-8C81-32412D6C1746}">
      <formula1>INDIRECT("[RoutineMapDataValidations.xlsm]StandardComments!C242#")</formula1>
    </dataValidation>
    <dataValidation type="list" allowBlank="1" showInputMessage="1" sqref="M250" xr:uid="{586E3407-3368-49E3-945C-3FE3DD6EC0E1}">
      <formula1>INDIRECT("[RoutineMapDataValidations.xlsm]StandardComments!C243#")</formula1>
    </dataValidation>
    <dataValidation type="list" allowBlank="1" showInputMessage="1" sqref="M251" xr:uid="{24CDBD77-DA0D-4856-AB6F-E939E66D1D1A}">
      <formula1>INDIRECT("[RoutineMapDataValidations.xlsm]StandardComments!C244#")</formula1>
    </dataValidation>
    <dataValidation type="list" allowBlank="1" showInputMessage="1" sqref="M252" xr:uid="{697BFEA6-8CA7-4C7F-8AAE-A305A4284336}">
      <formula1>INDIRECT("[RoutineMapDataValidations.xlsm]StandardComments!C245#")</formula1>
    </dataValidation>
    <dataValidation type="list" allowBlank="1" showInputMessage="1" sqref="M253" xr:uid="{E785B1E8-0524-4E5F-88A0-9ADEB7E3326A}">
      <formula1>INDIRECT("[RoutineMapDataValidations.xlsm]StandardComments!C246#")</formula1>
    </dataValidation>
    <dataValidation type="list" allowBlank="1" showInputMessage="1" sqref="M254" xr:uid="{885299C3-BB99-4169-BC58-9C13AF625BC0}">
      <formula1>INDIRECT("[RoutineMapDataValidations.xlsm]StandardComments!C247#")</formula1>
    </dataValidation>
    <dataValidation type="list" allowBlank="1" showInputMessage="1" sqref="M255" xr:uid="{EE6B92EC-6793-4D4B-88A5-747DE8D78D19}">
      <formula1>INDIRECT("[RoutineMapDataValidations.xlsm]StandardComments!C248#")</formula1>
    </dataValidation>
    <dataValidation type="list" allowBlank="1" showInputMessage="1" sqref="M256" xr:uid="{643AD752-0C02-4F16-BAD3-03D4329654BB}">
      <formula1>INDIRECT("[RoutineMapDataValidations.xlsm]StandardComments!C249#")</formula1>
    </dataValidation>
    <dataValidation type="list" allowBlank="1" showInputMessage="1" sqref="M257" xr:uid="{3CC10427-C7AE-4C3D-81E2-2461DCC55005}">
      <formula1>INDIRECT("[RoutineMapDataValidations.xlsm]StandardComments!C250#")</formula1>
    </dataValidation>
    <dataValidation type="list" allowBlank="1" showInputMessage="1" sqref="M258" xr:uid="{F7A272E0-0BA9-47D5-9FA8-1097872A2CF1}">
      <formula1>INDIRECT("[RoutineMapDataValidations.xlsm]StandardComments!C251#")</formula1>
    </dataValidation>
    <dataValidation type="list" allowBlank="1" showInputMessage="1" sqref="M259" xr:uid="{0E820FD9-95CF-48A8-8B67-9EC0CB36468D}">
      <formula1>INDIRECT("[RoutineMapDataValidations.xlsm]StandardComments!C252#")</formula1>
    </dataValidation>
    <dataValidation type="list" allowBlank="1" showInputMessage="1" sqref="M260" xr:uid="{6E1D637E-0F03-44C1-AC3B-E710CB0A687D}">
      <formula1>INDIRECT("[RoutineMapDataValidations.xlsm]StandardComments!C253#")</formula1>
    </dataValidation>
    <dataValidation type="list" allowBlank="1" showInputMessage="1" sqref="M261" xr:uid="{9226E1FE-5E7C-4E40-A0A0-71ED560465F8}">
      <formula1>INDIRECT("[RoutineMapDataValidations.xlsm]StandardComments!C254#")</formula1>
    </dataValidation>
    <dataValidation type="list" allowBlank="1" showInputMessage="1" sqref="M262" xr:uid="{D146F379-1FAA-42AD-B095-662ABDD9FDD9}">
      <formula1>INDIRECT("[RoutineMapDataValidations.xlsm]StandardComments!C255#")</formula1>
    </dataValidation>
    <dataValidation type="list" allowBlank="1" showInputMessage="1" sqref="M263" xr:uid="{642400C5-377B-4542-B973-DDD29ACC8ECC}">
      <formula1>INDIRECT("[RoutineMapDataValidations.xlsm]StandardComments!C256#")</formula1>
    </dataValidation>
    <dataValidation type="list" allowBlank="1" showInputMessage="1" sqref="M264" xr:uid="{5D3C86BE-A2E0-46A0-8070-D3F1D9E06FEF}">
      <formula1>INDIRECT("[RoutineMapDataValidations.xlsm]StandardComments!C257#")</formula1>
    </dataValidation>
    <dataValidation type="list" allowBlank="1" showInputMessage="1" sqref="M265" xr:uid="{94740A1F-7A5F-441B-9DCD-D5A18B1B297F}">
      <formula1>INDIRECT("[RoutineMapDataValidations.xlsm]StandardComments!C258#")</formula1>
    </dataValidation>
    <dataValidation type="list" allowBlank="1" showInputMessage="1" sqref="M266" xr:uid="{9FF2428B-9B28-444C-9855-D6681761DF36}">
      <formula1>INDIRECT("[RoutineMapDataValidations.xlsm]StandardComments!C259#")</formula1>
    </dataValidation>
    <dataValidation type="list" allowBlank="1" showInputMessage="1" sqref="M267" xr:uid="{EC739FF3-15EA-4760-8B9D-B4832A677AC9}">
      <formula1>INDIRECT("[RoutineMapDataValidations.xlsm]StandardComments!C260#")</formula1>
    </dataValidation>
    <dataValidation type="list" allowBlank="1" showInputMessage="1" sqref="M268" xr:uid="{A3DFB7BF-6F72-4F88-BA44-C66074F88B5E}">
      <formula1>INDIRECT("[RoutineMapDataValidations.xlsm]StandardComments!C261#")</formula1>
    </dataValidation>
    <dataValidation type="list" allowBlank="1" showInputMessage="1" sqref="M269" xr:uid="{F883917C-0165-47B0-AD1D-D547F7CE17A3}">
      <formula1>INDIRECT("[RoutineMapDataValidations.xlsm]StandardComments!C262#")</formula1>
    </dataValidation>
    <dataValidation type="list" allowBlank="1" showInputMessage="1" sqref="M270" xr:uid="{BBA88C00-E591-41B1-A0DC-682FB641A997}">
      <formula1>INDIRECT("[RoutineMapDataValidations.xlsm]StandardComments!C263#")</formula1>
    </dataValidation>
    <dataValidation type="list" allowBlank="1" showInputMessage="1" sqref="M271" xr:uid="{0EF71421-5BD4-4CD6-9EFC-D1655313A00B}">
      <formula1>INDIRECT("[RoutineMapDataValidations.xlsm]StandardComments!C264#")</formula1>
    </dataValidation>
    <dataValidation type="list" allowBlank="1" showInputMessage="1" sqref="M272" xr:uid="{F516D63F-785D-406A-B489-812D75E42D1C}">
      <formula1>INDIRECT("[RoutineMapDataValidations.xlsm]StandardComments!C265#")</formula1>
    </dataValidation>
    <dataValidation type="list" allowBlank="1" showInputMessage="1" sqref="M273" xr:uid="{01A40BA9-42C8-4DD6-A381-6D549D4BAA39}">
      <formula1>INDIRECT("[RoutineMapDataValidations.xlsm]StandardComments!C266#")</formula1>
    </dataValidation>
    <dataValidation type="list" allowBlank="1" showInputMessage="1" sqref="M274" xr:uid="{1ECEC349-B963-40E3-9E85-B4031AB8770C}">
      <formula1>INDIRECT("[RoutineMapDataValidations.xlsm]StandardComments!C267#")</formula1>
    </dataValidation>
    <dataValidation type="list" allowBlank="1" showInputMessage="1" sqref="M275" xr:uid="{1A08364B-8F1F-4B55-A5A2-4491853B09FA}">
      <formula1>INDIRECT("[RoutineMapDataValidations.xlsm]StandardComments!C268#")</formula1>
    </dataValidation>
    <dataValidation type="list" allowBlank="1" showInputMessage="1" sqref="M276" xr:uid="{8C56648B-9D4D-4D8C-B47C-83B75B7E2754}">
      <formula1>INDIRECT("[RoutineMapDataValidations.xlsm]StandardComments!C269#")</formula1>
    </dataValidation>
    <dataValidation type="list" allowBlank="1" showInputMessage="1" sqref="M277" xr:uid="{DB419B25-15C9-4655-BCB2-60AAA7F70472}">
      <formula1>INDIRECT("[RoutineMapDataValidations.xlsm]StandardComments!C270#")</formula1>
    </dataValidation>
    <dataValidation type="list" allowBlank="1" showInputMessage="1" sqref="M278" xr:uid="{0032C77F-00D5-48A1-A182-38BC84329F71}">
      <formula1>INDIRECT("[RoutineMapDataValidations.xlsm]StandardComments!C271#")</formula1>
    </dataValidation>
    <dataValidation type="list" allowBlank="1" showInputMessage="1" sqref="M279" xr:uid="{FE56763A-C2E8-4209-A9C7-649CBD48B16A}">
      <formula1>INDIRECT("[RoutineMapDataValidations.xlsm]StandardComments!C272#")</formula1>
    </dataValidation>
    <dataValidation type="list" allowBlank="1" showInputMessage="1" sqref="M280" xr:uid="{00698A39-D9AC-4E32-AC25-19A5B276A347}">
      <formula1>INDIRECT("[RoutineMapDataValidations.xlsm]StandardComments!C273#")</formula1>
    </dataValidation>
    <dataValidation type="list" allowBlank="1" showInputMessage="1" sqref="M281" xr:uid="{AFEDF3BB-F558-439F-95B4-7135ACD5AB43}">
      <formula1>INDIRECT("[RoutineMapDataValidations.xlsm]StandardComments!C274#")</formula1>
    </dataValidation>
    <dataValidation type="list" allowBlank="1" showInputMessage="1" sqref="M282" xr:uid="{4BA83773-5825-4059-8357-2E66BCE162B7}">
      <formula1>INDIRECT("[RoutineMapDataValidations.xlsm]StandardComments!C275#")</formula1>
    </dataValidation>
    <dataValidation type="list" allowBlank="1" showInputMessage="1" sqref="M283" xr:uid="{F154A36E-3618-493B-A587-9193958F96E7}">
      <formula1>INDIRECT("[RoutineMapDataValidations.xlsm]StandardComments!C276#")</formula1>
    </dataValidation>
    <dataValidation type="list" allowBlank="1" showInputMessage="1" sqref="M284" xr:uid="{7025CA01-64ED-48B4-B72E-C154AA6456D9}">
      <formula1>INDIRECT("[RoutineMapDataValidations.xlsm]StandardComments!C277#")</formula1>
    </dataValidation>
    <dataValidation type="list" allowBlank="1" showInputMessage="1" sqref="M285" xr:uid="{AF54CFB4-A154-49B6-8DD6-A2EA2E821842}">
      <formula1>INDIRECT("[RoutineMapDataValidations.xlsm]StandardComments!C278#")</formula1>
    </dataValidation>
    <dataValidation type="list" allowBlank="1" showInputMessage="1" sqref="M286" xr:uid="{29AEEED7-F1C7-4F0E-BF12-6FF5D5344A7A}">
      <formula1>INDIRECT("[RoutineMapDataValidations.xlsm]StandardComments!C279#")</formula1>
    </dataValidation>
    <dataValidation type="list" allowBlank="1" showInputMessage="1" sqref="M287" xr:uid="{897C54A5-7A8B-4DE2-BF37-31C7E5B4CA2D}">
      <formula1>INDIRECT("[RoutineMapDataValidations.xlsm]StandardComments!C280#")</formula1>
    </dataValidation>
    <dataValidation type="list" allowBlank="1" showInputMessage="1" sqref="M288" xr:uid="{27A626F7-1922-4E7D-8CE2-A0752D6D780C}">
      <formula1>INDIRECT("[RoutineMapDataValidations.xlsm]StandardComments!C281#")</formula1>
    </dataValidation>
    <dataValidation type="list" allowBlank="1" showInputMessage="1" sqref="M289" xr:uid="{40A81EC0-F435-45ED-A922-B250665A3588}">
      <formula1>INDIRECT("[RoutineMapDataValidations.xlsm]StandardComments!C282#")</formula1>
    </dataValidation>
    <dataValidation type="list" allowBlank="1" showInputMessage="1" sqref="M290" xr:uid="{A1EDEFB0-18C8-4742-9A34-265F9C464E0A}">
      <formula1>INDIRECT("[RoutineMapDataValidations.xlsm]StandardComments!C283#")</formula1>
    </dataValidation>
    <dataValidation type="list" allowBlank="1" showInputMessage="1" sqref="M291" xr:uid="{404B4318-D794-4D3D-AB58-7D179844B8FC}">
      <formula1>INDIRECT("[RoutineMapDataValidations.xlsm]StandardComments!C284#")</formula1>
    </dataValidation>
    <dataValidation type="list" allowBlank="1" showInputMessage="1" sqref="M292" xr:uid="{5ABBE779-8539-4A9E-8A28-922B5610EAED}">
      <formula1>INDIRECT("[RoutineMapDataValidations.xlsm]StandardComments!C285#")</formula1>
    </dataValidation>
    <dataValidation type="list" allowBlank="1" showInputMessage="1" sqref="M293" xr:uid="{0EE11A7A-2232-49EE-81FB-687FBC767985}">
      <formula1>INDIRECT("[RoutineMapDataValidations.xlsm]StandardComments!C286#")</formula1>
    </dataValidation>
    <dataValidation type="list" allowBlank="1" showInputMessage="1" sqref="M294" xr:uid="{3F04B103-B925-48DB-A985-70CBF3FCB51C}">
      <formula1>INDIRECT("[RoutineMapDataValidations.xlsm]StandardComments!C287#")</formula1>
    </dataValidation>
    <dataValidation type="list" allowBlank="1" showInputMessage="1" sqref="M295" xr:uid="{CE3E200F-F158-489B-8EA4-23584AEB884F}">
      <formula1>INDIRECT("[RoutineMapDataValidations.xlsm]StandardComments!C288#")</formula1>
    </dataValidation>
    <dataValidation type="list" allowBlank="1" showInputMessage="1" sqref="M296" xr:uid="{9B646B80-3FB6-49E7-BE59-76ADF130FF0F}">
      <formula1>INDIRECT("[RoutineMapDataValidations.xlsm]StandardComments!C289#")</formula1>
    </dataValidation>
    <dataValidation type="list" allowBlank="1" showInputMessage="1" sqref="M297" xr:uid="{7159ACA1-6096-44D4-AC65-3306788AD9A9}">
      <formula1>INDIRECT("[RoutineMapDataValidations.xlsm]StandardComments!C290#")</formula1>
    </dataValidation>
    <dataValidation type="list" allowBlank="1" showInputMessage="1" sqref="M298" xr:uid="{AF8AA464-6962-4022-B79C-2AB4DAA4E8D6}">
      <formula1>INDIRECT("[RoutineMapDataValidations.xlsm]StandardComments!C291#")</formula1>
    </dataValidation>
    <dataValidation type="list" allowBlank="1" showInputMessage="1" sqref="M299" xr:uid="{2977A66E-B91C-42AD-BA2B-CD8A18D5CC4E}">
      <formula1>INDIRECT("[RoutineMapDataValidations.xlsm]StandardComments!C292#")</formula1>
    </dataValidation>
    <dataValidation type="list" allowBlank="1" showInputMessage="1" sqref="M300" xr:uid="{24AABD41-F23D-4587-B2A5-FA1F7D0CB05D}">
      <formula1>INDIRECT("[RoutineMapDataValidations.xlsm]StandardComments!C293#")</formula1>
    </dataValidation>
    <dataValidation type="list" allowBlank="1" showInputMessage="1" sqref="M301" xr:uid="{DC91C65E-D5FA-4957-ABE4-4EEEA798B5FB}">
      <formula1>INDIRECT("[RoutineMapDataValidations.xlsm]StandardComments!C294#")</formula1>
    </dataValidation>
    <dataValidation type="list" allowBlank="1" showInputMessage="1" sqref="M302" xr:uid="{654FD1D4-4089-4821-A850-17D3AD197242}">
      <formula1>INDIRECT("[RoutineMapDataValidations.xlsm]StandardComments!C295#")</formula1>
    </dataValidation>
    <dataValidation type="list" allowBlank="1" showInputMessage="1" sqref="M303" xr:uid="{D3924085-8294-425C-B355-41F23A2372EE}">
      <formula1>INDIRECT("[RoutineMapDataValidations.xlsm]StandardComments!C296#")</formula1>
    </dataValidation>
    <dataValidation type="list" allowBlank="1" showInputMessage="1" sqref="M304" xr:uid="{8329DDB7-A64E-4A05-BABD-3CAAD7AF109E}">
      <formula1>INDIRECT("[RoutineMapDataValidations.xlsm]StandardComments!C297#")</formula1>
    </dataValidation>
    <dataValidation type="list" allowBlank="1" showInputMessage="1" sqref="M305" xr:uid="{4F0DF5D7-91E8-4729-BC64-15F757DE1E23}">
      <formula1>INDIRECT("[RoutineMapDataValidations.xlsm]StandardComments!C298#")</formula1>
    </dataValidation>
    <dataValidation type="list" allowBlank="1" showInputMessage="1" sqref="M306" xr:uid="{E7956CF1-5415-4D25-A6DC-29D93AA4DC72}">
      <formula1>INDIRECT("[RoutineMapDataValidations.xlsm]StandardComments!C299#")</formula1>
    </dataValidation>
    <dataValidation type="list" allowBlank="1" showInputMessage="1" sqref="M307" xr:uid="{E80265B3-28EC-409D-B8ED-190105DA3889}">
      <formula1>INDIRECT("[RoutineMapDataValidations.xlsm]StandardComments!C300#")</formula1>
    </dataValidation>
    <dataValidation type="list" allowBlank="1" showInputMessage="1" sqref="M308" xr:uid="{74F9A5E2-541F-450A-A875-B9CB36DA806D}">
      <formula1>INDIRECT("[RoutineMapDataValidations.xlsm]StandardComments!C301#")</formula1>
    </dataValidation>
    <dataValidation type="list" allowBlank="1" showInputMessage="1" sqref="M309" xr:uid="{4A33ACA6-C5A4-4F37-BD30-2588BE6387AB}">
      <formula1>INDIRECT("[RoutineMapDataValidations.xlsm]StandardComments!C302#")</formula1>
    </dataValidation>
    <dataValidation type="list" allowBlank="1" showInputMessage="1" sqref="M310" xr:uid="{FA550D63-604D-44A4-B04F-E2A8091B8FC8}">
      <formula1>INDIRECT("[RoutineMapDataValidations.xlsm]StandardComments!C303#")</formula1>
    </dataValidation>
    <dataValidation type="list" allowBlank="1" showInputMessage="1" sqref="M311" xr:uid="{6E9B0F88-B6EC-4362-9246-C01253B31F68}">
      <formula1>INDIRECT("[RoutineMapDataValidations.xlsm]StandardComments!C304#")</formula1>
    </dataValidation>
    <dataValidation type="list" allowBlank="1" showInputMessage="1" sqref="M312" xr:uid="{1784924C-BE6E-4327-839E-36BCF577CCD8}">
      <formula1>INDIRECT("[RoutineMapDataValidations.xlsm]StandardComments!C305#")</formula1>
    </dataValidation>
    <dataValidation type="list" allowBlank="1" showInputMessage="1" sqref="M313" xr:uid="{D633A371-EBFA-47DB-AD90-A43BA0A1C02C}">
      <formula1>INDIRECT("[RoutineMapDataValidations.xlsm]StandardComments!C306#")</formula1>
    </dataValidation>
    <dataValidation type="list" allowBlank="1" showInputMessage="1" sqref="M314" xr:uid="{F11524AE-2397-4723-A55A-7F4731FBC7DA}">
      <formula1>INDIRECT("[RoutineMapDataValidations.xlsm]StandardComments!C307#")</formula1>
    </dataValidation>
    <dataValidation type="list" allowBlank="1" showInputMessage="1" sqref="M315" xr:uid="{4C1EE309-9F3E-4A82-9D4B-4B44A066DF63}">
      <formula1>INDIRECT("[RoutineMapDataValidations.xlsm]StandardComments!C308#")</formula1>
    </dataValidation>
    <dataValidation type="list" allowBlank="1" showInputMessage="1" sqref="M316" xr:uid="{1AA609E0-A471-48DE-9976-E3A22B506F82}">
      <formula1>INDIRECT("[RoutineMapDataValidations.xlsm]StandardComments!C309#")</formula1>
    </dataValidation>
    <dataValidation type="list" allowBlank="1" showInputMessage="1" sqref="M317" xr:uid="{11A59D0A-E0F7-4E63-A488-38F601CC1AD7}">
      <formula1>INDIRECT("[RoutineMapDataValidations.xlsm]StandardComments!C310#")</formula1>
    </dataValidation>
    <dataValidation type="list" allowBlank="1" showInputMessage="1" sqref="M318" xr:uid="{36F97758-FBC0-4FA6-A0E7-A84F710F43C1}">
      <formula1>INDIRECT("[RoutineMapDataValidations.xlsm]StandardComments!C311#")</formula1>
    </dataValidation>
    <dataValidation type="list" allowBlank="1" showInputMessage="1" sqref="M319" xr:uid="{F40CEF1D-6B97-4670-877A-9DD637264FE4}">
      <formula1>INDIRECT("[RoutineMapDataValidations.xlsm]StandardComments!C312#")</formula1>
    </dataValidation>
    <dataValidation type="list" allowBlank="1" showInputMessage="1" sqref="M320" xr:uid="{42A0779E-07FB-443C-A64D-430F20858EC5}">
      <formula1>INDIRECT("[RoutineMapDataValidations.xlsm]StandardComments!C313#")</formula1>
    </dataValidation>
    <dataValidation type="list" allowBlank="1" showInputMessage="1" sqref="M321" xr:uid="{89B6B114-BD6B-4643-A6BA-E8E80BA80EBC}">
      <formula1>INDIRECT("[RoutineMapDataValidations.xlsm]StandardComments!C314#")</formula1>
    </dataValidation>
    <dataValidation type="list" allowBlank="1" showInputMessage="1" sqref="M322" xr:uid="{9D3A095C-B891-472D-AEE1-01E1C33ADFBA}">
      <formula1>INDIRECT("[RoutineMapDataValidations.xlsm]StandardComments!C315#")</formula1>
    </dataValidation>
    <dataValidation type="list" allowBlank="1" showInputMessage="1" sqref="M323" xr:uid="{B78DC10D-504C-4862-B289-FEBC6F644716}">
      <formula1>INDIRECT("[RoutineMapDataValidations.xlsm]StandardComments!C316#")</formula1>
    </dataValidation>
    <dataValidation type="list" allowBlank="1" showInputMessage="1" sqref="M324" xr:uid="{76B8FE0C-D243-4831-ADF3-96C35FCEC79A}">
      <formula1>INDIRECT("[RoutineMapDataValidations.xlsm]StandardComments!C317#")</formula1>
    </dataValidation>
    <dataValidation type="list" allowBlank="1" showInputMessage="1" sqref="M325" xr:uid="{CEF0ED8A-2310-4F4D-A9C5-2484801C64D1}">
      <formula1>INDIRECT("[RoutineMapDataValidations.xlsm]StandardComments!C318#")</formula1>
    </dataValidation>
    <dataValidation type="list" allowBlank="1" showInputMessage="1" sqref="M326" xr:uid="{E6F503EA-92BD-4841-8265-59BEEE6F72CB}">
      <formula1>INDIRECT("[RoutineMapDataValidations.xlsm]StandardComments!C319#")</formula1>
    </dataValidation>
    <dataValidation type="list" allowBlank="1" showInputMessage="1" sqref="M327" xr:uid="{4E894DC3-C365-4791-B9C9-2020E2BD32E3}">
      <formula1>INDIRECT("[RoutineMapDataValidations.xlsm]StandardComments!C320#")</formula1>
    </dataValidation>
    <dataValidation type="list" allowBlank="1" showInputMessage="1" sqref="M328" xr:uid="{057CE8B1-0FC5-46DA-8E4D-93EB9EDC1261}">
      <formula1>INDIRECT("[RoutineMapDataValidations.xlsm]StandardComments!C321#")</formula1>
    </dataValidation>
    <dataValidation type="list" allowBlank="1" showInputMessage="1" sqref="M329" xr:uid="{861EA5F9-FE75-4C1D-AA4B-76A7CC7FD1DB}">
      <formula1>INDIRECT("[RoutineMapDataValidations.xlsm]StandardComments!C322#")</formula1>
    </dataValidation>
    <dataValidation type="list" allowBlank="1" showInputMessage="1" sqref="M330" xr:uid="{10D3D222-08F8-42CE-AE37-C8CDAC1DE97C}">
      <formula1>INDIRECT("[RoutineMapDataValidations.xlsm]StandardComments!C323#")</formula1>
    </dataValidation>
    <dataValidation type="list" allowBlank="1" showInputMessage="1" sqref="M331" xr:uid="{2675F1C0-FE73-4E7F-9DD2-3F12DD7DE3E8}">
      <formula1>INDIRECT("[RoutineMapDataValidations.xlsm]StandardComments!C324#")</formula1>
    </dataValidation>
    <dataValidation type="list" allowBlank="1" showInputMessage="1" sqref="M332" xr:uid="{20C1EAFB-C04F-418D-89A9-7B08BED2D05D}">
      <formula1>INDIRECT("[RoutineMapDataValidations.xlsm]StandardComments!C325#")</formula1>
    </dataValidation>
    <dataValidation type="list" allowBlank="1" showInputMessage="1" sqref="M333" xr:uid="{3D436EC1-4AEE-4108-902E-48C4CF34FF29}">
      <formula1>INDIRECT("[RoutineMapDataValidations.xlsm]StandardComments!C326#")</formula1>
    </dataValidation>
    <dataValidation type="list" allowBlank="1" showInputMessage="1" sqref="M334" xr:uid="{9E10BB61-A396-4563-901D-0865FA6272D2}">
      <formula1>INDIRECT("[RoutineMapDataValidations.xlsm]StandardComments!C327#")</formula1>
    </dataValidation>
    <dataValidation type="list" allowBlank="1" showInputMessage="1" sqref="M335" xr:uid="{66F483A0-FB78-4E44-8075-C22F3E2DCD80}">
      <formula1>INDIRECT("[RoutineMapDataValidations.xlsm]StandardComments!C328#")</formula1>
    </dataValidation>
    <dataValidation type="list" allowBlank="1" showInputMessage="1" sqref="M336" xr:uid="{CD5F93E8-3B17-40ED-935E-54F56ABE584D}">
      <formula1>INDIRECT("[RoutineMapDataValidations.xlsm]StandardComments!C329#")</formula1>
    </dataValidation>
    <dataValidation type="list" allowBlank="1" showInputMessage="1" sqref="M337" xr:uid="{D344AC7C-DCDD-47EE-A11B-4D8703B91159}">
      <formula1>INDIRECT("[RoutineMapDataValidations.xlsm]StandardComments!C330#")</formula1>
    </dataValidation>
    <dataValidation type="list" allowBlank="1" showInputMessage="1" sqref="M338" xr:uid="{5147B2CD-6DAC-4643-89F3-50DBB1E300CD}">
      <formula1>INDIRECT("[RoutineMapDataValidations.xlsm]StandardComments!C331#")</formula1>
    </dataValidation>
    <dataValidation type="list" allowBlank="1" showInputMessage="1" sqref="M339" xr:uid="{98D5E9C4-9447-4DC4-B0A8-1B296E8EA1A7}">
      <formula1>INDIRECT("[RoutineMapDataValidations.xlsm]StandardComments!C332#")</formula1>
    </dataValidation>
    <dataValidation type="list" allowBlank="1" showInputMessage="1" sqref="M340" xr:uid="{A63B2DD6-D2FA-4C19-AC4F-2AE32F4774EC}">
      <formula1>INDIRECT("[RoutineMapDataValidations.xlsm]StandardComments!C333#")</formula1>
    </dataValidation>
    <dataValidation type="list" allowBlank="1" showInputMessage="1" sqref="M341" xr:uid="{E0627CCD-CD9C-49E7-B807-04F8F0DF1E7C}">
      <formula1>INDIRECT("[RoutineMapDataValidations.xlsm]StandardComments!C334#")</formula1>
    </dataValidation>
    <dataValidation type="list" allowBlank="1" showInputMessage="1" sqref="M342" xr:uid="{0CCC7074-DD2F-4CDC-ACA3-682E2A5E5255}">
      <formula1>INDIRECT("[RoutineMapDataValidations.xlsm]StandardComments!C335#")</formula1>
    </dataValidation>
    <dataValidation type="list" allowBlank="1" showInputMessage="1" sqref="M343" xr:uid="{33BD9476-7E4D-41D9-B0E6-CA55EBF8B116}">
      <formula1>INDIRECT("[RoutineMapDataValidations.xlsm]StandardComments!C336#")</formula1>
    </dataValidation>
    <dataValidation type="list" allowBlank="1" showInputMessage="1" sqref="M344" xr:uid="{C0AF4493-AC16-4C5A-8939-56C249AC9680}">
      <formula1>INDIRECT("[RoutineMapDataValidations.xlsm]StandardComments!C337#")</formula1>
    </dataValidation>
    <dataValidation type="list" allowBlank="1" showInputMessage="1" sqref="M345" xr:uid="{C2DA6765-AD0E-496B-952A-B96AB59244DC}">
      <formula1>INDIRECT("[RoutineMapDataValidations.xlsm]StandardComments!C338#")</formula1>
    </dataValidation>
    <dataValidation type="list" allowBlank="1" showInputMessage="1" sqref="M346" xr:uid="{6081C6C3-B68C-492F-A958-FC8E2CFD1066}">
      <formula1>INDIRECT("[RoutineMapDataValidations.xlsm]StandardComments!C339#")</formula1>
    </dataValidation>
    <dataValidation type="list" allowBlank="1" showInputMessage="1" sqref="M347" xr:uid="{493CF82D-C2A1-4993-B0C0-068CDE84A892}">
      <formula1>INDIRECT("[RoutineMapDataValidations.xlsm]StandardComments!C340#")</formula1>
    </dataValidation>
    <dataValidation type="list" allowBlank="1" showInputMessage="1" sqref="M348" xr:uid="{1AD09731-A31C-4F2B-8CDC-44E71D687C71}">
      <formula1>INDIRECT("[RoutineMapDataValidations.xlsm]StandardComments!C341#")</formula1>
    </dataValidation>
    <dataValidation type="list" allowBlank="1" showInputMessage="1" sqref="M349" xr:uid="{48889FF8-6C83-4739-8809-694CDECDD089}">
      <formula1>INDIRECT("[RoutineMapDataValidations.xlsm]StandardComments!C342#")</formula1>
    </dataValidation>
    <dataValidation type="list" allowBlank="1" showInputMessage="1" sqref="M350" xr:uid="{3C0359CF-347C-4CB1-B761-E314BF675BAB}">
      <formula1>INDIRECT("[RoutineMapDataValidations.xlsm]StandardComments!C343#")</formula1>
    </dataValidation>
    <dataValidation type="list" allowBlank="1" showInputMessage="1" sqref="M351" xr:uid="{F326B04F-E162-4AB5-BB2B-E2BA9B721327}">
      <formula1>INDIRECT("[RoutineMapDataValidations.xlsm]StandardComments!C344#")</formula1>
    </dataValidation>
    <dataValidation type="list" allowBlank="1" showInputMessage="1" sqref="M352" xr:uid="{C259B694-010D-47E8-A970-CE8F8745CAC5}">
      <formula1>INDIRECT("[RoutineMapDataValidations.xlsm]StandardComments!C345#")</formula1>
    </dataValidation>
    <dataValidation type="list" allowBlank="1" showInputMessage="1" sqref="M353" xr:uid="{335A759D-E2C3-42D1-9634-024068E4C90A}">
      <formula1>INDIRECT("[RoutineMapDataValidations.xlsm]StandardComments!C346#")</formula1>
    </dataValidation>
    <dataValidation type="list" allowBlank="1" showInputMessage="1" sqref="M354" xr:uid="{C774AFB2-5648-4216-83EA-6DFEE27DC1FF}">
      <formula1>INDIRECT("[RoutineMapDataValidations.xlsm]StandardComments!C347#")</formula1>
    </dataValidation>
    <dataValidation type="list" allowBlank="1" showInputMessage="1" sqref="M355" xr:uid="{1B1585F1-E8CA-41BA-9560-750A30DD0826}">
      <formula1>INDIRECT("[RoutineMapDataValidations.xlsm]StandardComments!C348#")</formula1>
    </dataValidation>
    <dataValidation type="list" allowBlank="1" showInputMessage="1" sqref="M356" xr:uid="{84859A8B-37DF-4F37-939F-E756C5C3A5B3}">
      <formula1>INDIRECT("[RoutineMapDataValidations.xlsm]StandardComments!C349#")</formula1>
    </dataValidation>
    <dataValidation type="list" allowBlank="1" showInputMessage="1" sqref="M357" xr:uid="{7C385700-FCDD-43F5-B816-FBABA667DB37}">
      <formula1>INDIRECT("[RoutineMapDataValidations.xlsm]StandardComments!C350#")</formula1>
    </dataValidation>
    <dataValidation type="list" allowBlank="1" showInputMessage="1" sqref="M358" xr:uid="{D3003F73-1187-40AD-9CD8-404373BE5435}">
      <formula1>INDIRECT("[RoutineMapDataValidations.xlsm]StandardComments!C351#")</formula1>
    </dataValidation>
    <dataValidation type="list" allowBlank="1" showInputMessage="1" sqref="M359" xr:uid="{8CD85B12-C98F-4E53-972A-06244325C6BE}">
      <formula1>INDIRECT("[RoutineMapDataValidations.xlsm]StandardComments!C352#")</formula1>
    </dataValidation>
    <dataValidation type="list" allowBlank="1" showInputMessage="1" sqref="M360" xr:uid="{CCF35874-EBDF-4701-8035-677C1F5F66C8}">
      <formula1>INDIRECT("[RoutineMapDataValidations.xlsm]StandardComments!C353#")</formula1>
    </dataValidation>
    <dataValidation type="list" allowBlank="1" showInputMessage="1" sqref="M361" xr:uid="{BFDC0410-69F3-4440-94FD-4D89773B169A}">
      <formula1>INDIRECT("[RoutineMapDataValidations.xlsm]StandardComments!C354#")</formula1>
    </dataValidation>
    <dataValidation type="list" allowBlank="1" showInputMessage="1" sqref="M362" xr:uid="{8E420E61-AADC-4666-8BCE-18F0FC232A2B}">
      <formula1>INDIRECT("[RoutineMapDataValidations.xlsm]StandardComments!C355#")</formula1>
    </dataValidation>
    <dataValidation type="list" allowBlank="1" showInputMessage="1" sqref="M363" xr:uid="{254D47A5-56AD-41F9-A493-9039A2E8518B}">
      <formula1>INDIRECT("[RoutineMapDataValidations.xlsm]StandardComments!C356#")</formula1>
    </dataValidation>
    <dataValidation type="list" allowBlank="1" showInputMessage="1" sqref="M364" xr:uid="{6E65FE20-F8A6-43A2-95E1-B63951A5F084}">
      <formula1>INDIRECT("[RoutineMapDataValidations.xlsm]StandardComments!C357#")</formula1>
    </dataValidation>
    <dataValidation type="list" allowBlank="1" showInputMessage="1" sqref="M365" xr:uid="{A8BA1A15-E71D-4B20-9178-7F4F80508B2C}">
      <formula1>INDIRECT("[RoutineMapDataValidations.xlsm]StandardComments!C358#")</formula1>
    </dataValidation>
    <dataValidation type="list" allowBlank="1" showInputMessage="1" sqref="M366" xr:uid="{595F1036-FDAD-4D18-9277-CFD8C0784363}">
      <formula1>INDIRECT("[RoutineMapDataValidations.xlsm]StandardComments!C359#")</formula1>
    </dataValidation>
    <dataValidation type="list" allowBlank="1" showInputMessage="1" sqref="M367" xr:uid="{71514059-8747-4E5C-8D66-33A9C1E08ACB}">
      <formula1>INDIRECT("[RoutineMapDataValidations.xlsm]StandardComments!C360#")</formula1>
    </dataValidation>
    <dataValidation type="list" allowBlank="1" showInputMessage="1" sqref="M368" xr:uid="{DFE8373A-9D53-4DF1-9DE3-9D5BE0AA4969}">
      <formula1>INDIRECT("[RoutineMapDataValidations.xlsm]StandardComments!C361#")</formula1>
    </dataValidation>
    <dataValidation type="list" allowBlank="1" showInputMessage="1" sqref="M369" xr:uid="{605EC3DD-0992-4147-9698-0031781E4FB0}">
      <formula1>INDIRECT("[RoutineMapDataValidations.xlsm]StandardComments!C362#")</formula1>
    </dataValidation>
    <dataValidation type="list" allowBlank="1" showInputMessage="1" sqref="M370" xr:uid="{620CD41A-4D87-4DFC-BB27-E701D897E297}">
      <formula1>INDIRECT("[RoutineMapDataValidations.xlsm]StandardComments!C363#")</formula1>
    </dataValidation>
    <dataValidation type="list" allowBlank="1" showInputMessage="1" sqref="M371" xr:uid="{A34E170A-559D-4F1D-B6BA-310803FA006C}">
      <formula1>INDIRECT("[RoutineMapDataValidations.xlsm]StandardComments!C364#")</formula1>
    </dataValidation>
    <dataValidation type="list" allowBlank="1" showInputMessage="1" sqref="M372" xr:uid="{3FBC410A-B5E4-4A6B-A82B-F093BA51A1FB}">
      <formula1>INDIRECT("[RoutineMapDataValidations.xlsm]StandardComments!C365#")</formula1>
    </dataValidation>
    <dataValidation type="list" allowBlank="1" showInputMessage="1" sqref="M373" xr:uid="{1AB86814-6AAB-4CD3-ACED-1B49E47B1FAA}">
      <formula1>INDIRECT("[RoutineMapDataValidations.xlsm]StandardComments!C366#")</formula1>
    </dataValidation>
    <dataValidation type="list" allowBlank="1" showInputMessage="1" sqref="M374" xr:uid="{2A0A9F82-E549-4E9D-9622-C761DC62B093}">
      <formula1>INDIRECT("[RoutineMapDataValidations.xlsm]StandardComments!C367#")</formula1>
    </dataValidation>
    <dataValidation type="list" allowBlank="1" showInputMessage="1" sqref="M375" xr:uid="{6F801B51-D7CA-4E50-AAAB-51AF01E546A8}">
      <formula1>INDIRECT("[RoutineMapDataValidations.xlsm]StandardComments!C368#")</formula1>
    </dataValidation>
    <dataValidation type="list" allowBlank="1" showInputMessage="1" sqref="M376" xr:uid="{910C6C24-59AA-455D-AD90-C2C817F08F14}">
      <formula1>INDIRECT("[RoutineMapDataValidations.xlsm]StandardComments!C369#")</formula1>
    </dataValidation>
    <dataValidation type="list" allowBlank="1" showInputMessage="1" sqref="M377" xr:uid="{B3A2CE9B-7D1B-418C-BD13-72E31C0B3537}">
      <formula1>INDIRECT("[RoutineMapDataValidations.xlsm]StandardComments!C370#")</formula1>
    </dataValidation>
    <dataValidation type="list" allowBlank="1" showInputMessage="1" sqref="M378" xr:uid="{AB20A926-F7CB-4086-8933-0B58B5EBAF62}">
      <formula1>INDIRECT("[RoutineMapDataValidations.xlsm]StandardComments!C371#")</formula1>
    </dataValidation>
    <dataValidation type="list" allowBlank="1" showInputMessage="1" sqref="M379" xr:uid="{8BD5A2B5-1D9A-486A-8055-1482E2B66FFC}">
      <formula1>INDIRECT("[RoutineMapDataValidations.xlsm]StandardComments!C372#")</formula1>
    </dataValidation>
    <dataValidation type="list" allowBlank="1" showInputMessage="1" sqref="M380" xr:uid="{549DB5EF-78B0-46FD-A051-51999E61C6EA}">
      <formula1>INDIRECT("[RoutineMapDataValidations.xlsm]StandardComments!C373#")</formula1>
    </dataValidation>
    <dataValidation type="list" allowBlank="1" showInputMessage="1" sqref="M381" xr:uid="{5F620217-52EF-4D0D-AF9A-D3A4ACE2F618}">
      <formula1>INDIRECT("[RoutineMapDataValidations.xlsm]StandardComments!C374#")</formula1>
    </dataValidation>
    <dataValidation type="list" allowBlank="1" showInputMessage="1" sqref="M382" xr:uid="{E9482A3B-07D2-4C69-8E73-23D2AB66E379}">
      <formula1>INDIRECT("[RoutineMapDataValidations.xlsm]StandardComments!C375#")</formula1>
    </dataValidation>
    <dataValidation type="list" allowBlank="1" showInputMessage="1" sqref="M383" xr:uid="{461B0C4E-470E-4177-B1B7-87F30902F5C6}">
      <formula1>INDIRECT("[RoutineMapDataValidations.xlsm]StandardComments!C376#")</formula1>
    </dataValidation>
    <dataValidation type="list" allowBlank="1" showInputMessage="1" sqref="M384" xr:uid="{0D372862-F0D2-4067-B8D4-6AB56BC04DA7}">
      <formula1>INDIRECT("[RoutineMapDataValidations.xlsm]StandardComments!C377#")</formula1>
    </dataValidation>
    <dataValidation type="list" allowBlank="1" showInputMessage="1" sqref="M385" xr:uid="{79DE0318-391D-4208-B340-17EA179D2D90}">
      <formula1>INDIRECT("[RoutineMapDataValidations.xlsm]StandardComments!C378#")</formula1>
    </dataValidation>
    <dataValidation type="list" allowBlank="1" showInputMessage="1" sqref="M386" xr:uid="{0621812B-C3DB-4D73-B65B-2A8B0FE5148B}">
      <formula1>INDIRECT("[RoutineMapDataValidations.xlsm]StandardComments!C379#")</formula1>
    </dataValidation>
    <dataValidation type="list" allowBlank="1" showInputMessage="1" sqref="M387" xr:uid="{7874C983-E99F-477B-BCF3-17660FCC53A2}">
      <formula1>INDIRECT("[RoutineMapDataValidations.xlsm]StandardComments!C380#")</formula1>
    </dataValidation>
    <dataValidation type="list" allowBlank="1" showInputMessage="1" sqref="M388" xr:uid="{558C6851-2F3A-430C-947C-3E1BBB8BBCAA}">
      <formula1>INDIRECT("[RoutineMapDataValidations.xlsm]StandardComments!C381#")</formula1>
    </dataValidation>
    <dataValidation type="list" allowBlank="1" showInputMessage="1" sqref="M389" xr:uid="{F78DBE4C-E340-4020-A9D6-E84DAF1F5890}">
      <formula1>INDIRECT("[RoutineMapDataValidations.xlsm]StandardComments!C382#")</formula1>
    </dataValidation>
    <dataValidation type="list" allowBlank="1" showInputMessage="1" sqref="M390" xr:uid="{8CBDF018-C62D-4CF1-A77D-D0B1E2288A56}">
      <formula1>INDIRECT("[RoutineMapDataValidations.xlsm]StandardComments!C383#")</formula1>
    </dataValidation>
    <dataValidation type="list" allowBlank="1" showInputMessage="1" sqref="M391" xr:uid="{A1EF6F56-40C7-4CE4-8A34-7B3CE8FCD0B2}">
      <formula1>INDIRECT("[RoutineMapDataValidations.xlsm]StandardComments!C384#")</formula1>
    </dataValidation>
    <dataValidation type="list" allowBlank="1" showInputMessage="1" sqref="M392" xr:uid="{8EF78846-55D7-424E-868C-A1FAB6698B90}">
      <formula1>INDIRECT("[RoutineMapDataValidations.xlsm]StandardComments!C385#")</formula1>
    </dataValidation>
    <dataValidation type="list" allowBlank="1" showInputMessage="1" sqref="M393" xr:uid="{F38094BA-BD5F-427A-8540-1AC1CFE302E3}">
      <formula1>INDIRECT("[RoutineMapDataValidations.xlsm]StandardComments!C386#")</formula1>
    </dataValidation>
    <dataValidation type="list" allowBlank="1" showInputMessage="1" sqref="M394" xr:uid="{88EC9323-712A-48D2-AA11-7BAEA94E6102}">
      <formula1>INDIRECT("[RoutineMapDataValidations.xlsm]StandardComments!C387#")</formula1>
    </dataValidation>
    <dataValidation type="list" allowBlank="1" showInputMessage="1" sqref="M395" xr:uid="{234293C3-D60D-4EE5-9233-13A435A1C40B}">
      <formula1>INDIRECT("[RoutineMapDataValidations.xlsm]StandardComments!C388#")</formula1>
    </dataValidation>
    <dataValidation type="list" allowBlank="1" showInputMessage="1" sqref="M396" xr:uid="{8EC290D3-3E46-4FE1-A168-5A6A3A507E1E}">
      <formula1>INDIRECT("[RoutineMapDataValidations.xlsm]StandardComments!C389#")</formula1>
    </dataValidation>
    <dataValidation type="list" allowBlank="1" showInputMessage="1" sqref="M397" xr:uid="{032A1324-DDBD-4244-99C8-5BB307A3B5E9}">
      <formula1>INDIRECT("[RoutineMapDataValidations.xlsm]StandardComments!C390#")</formula1>
    </dataValidation>
    <dataValidation type="list" allowBlank="1" showInputMessage="1" sqref="M398" xr:uid="{58F808B1-3EE4-4EDD-ADA4-EB24842F7AB8}">
      <formula1>INDIRECT("[RoutineMapDataValidations.xlsm]StandardComments!C391#")</formula1>
    </dataValidation>
    <dataValidation type="list" allowBlank="1" showInputMessage="1" sqref="M399" xr:uid="{FEBB4B5F-C2CD-43D9-89C3-D37D632F477A}">
      <formula1>INDIRECT("[RoutineMapDataValidations.xlsm]StandardComments!C392#")</formula1>
    </dataValidation>
    <dataValidation type="list" allowBlank="1" showInputMessage="1" sqref="M400" xr:uid="{D4F15F88-3A83-4FF8-A9E9-185A6FFBA551}">
      <formula1>INDIRECT("[RoutineMapDataValidations.xlsm]StandardComments!C393#")</formula1>
    </dataValidation>
    <dataValidation type="list" allowBlank="1" showInputMessage="1" sqref="M401" xr:uid="{238A730A-9426-4D86-A676-4FFBAFD6695B}">
      <formula1>INDIRECT("[RoutineMapDataValidations.xlsm]StandardComments!C394#")</formula1>
    </dataValidation>
    <dataValidation type="list" allowBlank="1" showInputMessage="1" sqref="M402" xr:uid="{DBAB4C4F-C957-4066-8EDB-6FE9AE6C4EDC}">
      <formula1>INDIRECT("[RoutineMapDataValidations.xlsm]StandardComments!C395#")</formula1>
    </dataValidation>
    <dataValidation type="list" allowBlank="1" showInputMessage="1" sqref="M403" xr:uid="{B17FA65C-8CDF-4070-8C84-25F03B5B4AEA}">
      <formula1>INDIRECT("[RoutineMapDataValidations.xlsm]StandardComments!C396#")</formula1>
    </dataValidation>
    <dataValidation type="list" allowBlank="1" showInputMessage="1" sqref="M404" xr:uid="{C48F88D5-B814-450A-9CE9-25A6BDBEEFBA}">
      <formula1>INDIRECT("[RoutineMapDataValidations.xlsm]StandardComments!C397#")</formula1>
    </dataValidation>
    <dataValidation type="list" allowBlank="1" showInputMessage="1" sqref="M405" xr:uid="{C4CA33AE-7ED8-451C-B16E-B786A334D0C9}">
      <formula1>INDIRECT("[RoutineMapDataValidations.xlsm]StandardComments!C398#")</formula1>
    </dataValidation>
    <dataValidation type="list" allowBlank="1" showInputMessage="1" sqref="M406" xr:uid="{F1A9D941-E5A5-4A0E-A324-56D741735D16}">
      <formula1>INDIRECT("[RoutineMapDataValidations.xlsm]StandardComments!C399#")</formula1>
    </dataValidation>
    <dataValidation type="list" allowBlank="1" showInputMessage="1" sqref="M407" xr:uid="{59691729-EEFB-4058-869E-EA0F46567A92}">
      <formula1>INDIRECT("[RoutineMapDataValidations.xlsm]StandardComments!C400#")</formula1>
    </dataValidation>
    <dataValidation type="list" allowBlank="1" showInputMessage="1" showErrorMessage="1" sqref="N4:N400" xr:uid="{D5027DAF-11D6-4180-B7F6-9CC82CB8C27E}">
      <formula1>InspMethod</formula1>
    </dataValidation>
    <dataValidation type="list" allowBlank="1" showInputMessage="1" showErrorMessage="1" sqref="O4:O400" xr:uid="{B2903E9A-DC20-4257-AA35-AEAF4760325F}">
      <formula1>Frequency</formula1>
    </dataValidation>
    <dataValidation type="list" allowBlank="1" showInputMessage="1" showErrorMessage="1" sqref="T4:T400" xr:uid="{EB7A460C-168B-42A5-9CD7-E8DCA1A1F444}">
      <formula1>AxisOffset</formula1>
    </dataValidation>
    <dataValidation type="list" allowBlank="1" showInputMessage="1" showErrorMessage="1" sqref="U4:U400" xr:uid="{27B2E753-D5AE-4F8D-BA68-C64C13BDE268}">
      <formula1>MachineHead</formula1>
    </dataValidation>
    <dataValidation type="list" allowBlank="1" showInputMessage="1" showErrorMessage="1" sqref="G4:G10" xr:uid="{752F0DB1-4BC1-4148-B8F5-C28C62009EFA}">
      <formula1>FeatureType</formula1>
    </dataValidation>
    <dataValidation type="list" allowBlank="1" showInputMessage="1" showErrorMessage="1" sqref="G11:G500 T401:T499 P501:P661 U401:U500" xr:uid="{6C390239-1D7A-468C-9146-5D656E5EB22E}">
      <formula1>#REF!</formula1>
    </dataValidation>
    <dataValidation type="list" allowBlank="1" showInputMessage="1" sqref="L408:M500 N401:O500" xr:uid="{7160C2C6-C86F-450F-BA54-5499371BFD1E}">
      <formula1>_xlfn.ANCHORARRAY(#REF!)</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238</v>
      </c>
      <c r="B1" s="55"/>
      <c r="C1" s="55"/>
      <c r="D1" s="55"/>
      <c r="E1" s="55"/>
      <c r="F1" s="55"/>
      <c r="G1" s="55"/>
      <c r="H1" s="55"/>
      <c r="I1" s="56"/>
      <c r="K1" s="54" t="s">
        <v>237</v>
      </c>
      <c r="L1" s="62"/>
      <c r="M1" s="55"/>
      <c r="N1" s="55"/>
      <c r="O1" s="56"/>
      <c r="P1" s="71"/>
    </row>
    <row r="2" spans="1:16" s="53" customFormat="1" ht="18.75">
      <c r="A2" s="57" t="s">
        <v>239</v>
      </c>
      <c r="B2" s="58"/>
      <c r="C2" s="58"/>
      <c r="D2" s="58"/>
      <c r="E2" s="58"/>
      <c r="F2" s="58"/>
      <c r="G2" s="58"/>
      <c r="H2" s="58"/>
      <c r="I2" s="59"/>
      <c r="K2" s="57" t="s">
        <v>108</v>
      </c>
      <c r="L2" s="63"/>
      <c r="M2" s="58"/>
      <c r="N2" s="58"/>
      <c r="O2" s="59"/>
      <c r="P2" s="71"/>
    </row>
    <row r="3" spans="1:16" s="53" customFormat="1" ht="18.75">
      <c r="A3" s="57" t="s">
        <v>240</v>
      </c>
      <c r="B3" s="58"/>
      <c r="C3" s="58"/>
      <c r="D3" s="58"/>
      <c r="E3" s="58"/>
      <c r="F3" s="58"/>
      <c r="G3" s="58"/>
      <c r="H3" s="58"/>
      <c r="I3" s="59"/>
      <c r="K3" s="57" t="s">
        <v>184</v>
      </c>
      <c r="L3" s="63"/>
      <c r="M3" s="58"/>
      <c r="N3" s="58"/>
      <c r="O3" s="59"/>
      <c r="P3" s="71"/>
    </row>
    <row r="4" spans="1:16" s="53" customFormat="1" ht="18.75">
      <c r="A4" s="57"/>
      <c r="B4" s="58"/>
      <c r="C4" s="58"/>
      <c r="D4" s="58"/>
      <c r="E4" s="58"/>
      <c r="F4" s="58"/>
      <c r="G4" s="58"/>
      <c r="H4" s="58"/>
      <c r="I4" s="59"/>
      <c r="K4" s="57" t="s">
        <v>224</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01" t="s">
        <v>216</v>
      </c>
      <c r="B6" s="303"/>
      <c r="C6" s="303"/>
      <c r="D6" s="302"/>
      <c r="E6" s="39"/>
      <c r="F6" s="39"/>
      <c r="G6" s="39"/>
      <c r="H6" s="39"/>
      <c r="I6" s="50"/>
      <c r="K6" s="301" t="s">
        <v>217</v>
      </c>
      <c r="L6" s="302"/>
      <c r="M6" s="39"/>
      <c r="N6" s="301" t="s">
        <v>218</v>
      </c>
      <c r="O6" s="302"/>
      <c r="P6" s="40"/>
    </row>
    <row r="7" spans="1:16" ht="16.5" thickTop="1" thickBot="1">
      <c r="A7" s="43" t="s">
        <v>213</v>
      </c>
      <c r="B7" s="42">
        <v>7.8E-2</v>
      </c>
      <c r="C7" s="48"/>
      <c r="D7" s="50"/>
      <c r="E7" s="39"/>
      <c r="F7" s="39"/>
      <c r="G7" s="39"/>
      <c r="H7" s="39"/>
      <c r="I7" s="50"/>
      <c r="K7" s="43" t="s">
        <v>222</v>
      </c>
      <c r="L7" s="69">
        <f>$D$12</f>
        <v>7.5999999999999998E-2</v>
      </c>
      <c r="M7" s="39"/>
      <c r="N7" s="43" t="s">
        <v>222</v>
      </c>
      <c r="O7" s="69">
        <f>$D$12</f>
        <v>7.5999999999999998E-2</v>
      </c>
      <c r="P7" s="40"/>
    </row>
    <row r="8" spans="1:16" ht="16.5" thickTop="1" thickBot="1">
      <c r="A8" s="43" t="s">
        <v>211</v>
      </c>
      <c r="B8" s="42">
        <v>2E-3</v>
      </c>
      <c r="C8" s="48"/>
      <c r="D8" s="50"/>
      <c r="E8" s="39"/>
      <c r="F8" s="39"/>
      <c r="G8" s="39"/>
      <c r="H8" s="39"/>
      <c r="I8" s="50"/>
      <c r="K8" s="43" t="s">
        <v>99</v>
      </c>
      <c r="L8" s="69">
        <f>SUM(L7,L9)/2</f>
        <v>7.8E-2</v>
      </c>
      <c r="M8" s="39"/>
      <c r="N8" s="43" t="s">
        <v>99</v>
      </c>
      <c r="O8" s="69">
        <f>SUM(O7,O9)/2</f>
        <v>7.8E-2</v>
      </c>
      <c r="P8" s="40"/>
    </row>
    <row r="9" spans="1:16" ht="16.5" thickTop="1" thickBot="1">
      <c r="A9" s="43" t="s">
        <v>212</v>
      </c>
      <c r="B9" s="42">
        <v>2E-3</v>
      </c>
      <c r="C9" s="48"/>
      <c r="D9" s="50"/>
      <c r="E9" s="39"/>
      <c r="F9" s="39"/>
      <c r="G9" s="39"/>
      <c r="H9" s="39"/>
      <c r="I9" s="50"/>
      <c r="K9" s="43" t="s">
        <v>223</v>
      </c>
      <c r="L9" s="69">
        <f>$D$14</f>
        <v>0.08</v>
      </c>
      <c r="M9" s="39"/>
      <c r="N9" s="43" t="s">
        <v>223</v>
      </c>
      <c r="O9" s="69">
        <f>$D$14</f>
        <v>0.08</v>
      </c>
      <c r="P9" s="40"/>
    </row>
    <row r="10" spans="1:16" ht="16.5" thickTop="1" thickBot="1">
      <c r="A10" s="51" t="s">
        <v>220</v>
      </c>
      <c r="B10" s="52" t="s">
        <v>219</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183</v>
      </c>
      <c r="L11" s="46">
        <f>SUM(L9-L7)</f>
        <v>4.0000000000000036E-3</v>
      </c>
      <c r="M11" s="41"/>
      <c r="N11" s="45" t="s">
        <v>183</v>
      </c>
      <c r="O11" s="46">
        <f>SUM(O9-O7)</f>
        <v>4.0000000000000036E-3</v>
      </c>
      <c r="P11" s="40"/>
    </row>
    <row r="12" spans="1:16">
      <c r="A12" s="43" t="s">
        <v>215</v>
      </c>
      <c r="B12" s="67">
        <f>SUM(B7-(ABS(B9)))</f>
        <v>7.5999999999999998E-2</v>
      </c>
      <c r="C12" s="67" t="s">
        <v>221</v>
      </c>
      <c r="D12" s="69">
        <f>IF(B10="yes", B12/25.4, B12)</f>
        <v>7.5999999999999998E-2</v>
      </c>
      <c r="E12" s="39"/>
      <c r="F12" s="39"/>
      <c r="G12" s="39"/>
      <c r="H12" s="39"/>
      <c r="I12" s="50"/>
      <c r="K12" s="45" t="s">
        <v>182</v>
      </c>
      <c r="L12" s="46">
        <f>SUM((L11)*0.5)/2</f>
        <v>1.0000000000000009E-3</v>
      </c>
      <c r="M12" s="41"/>
      <c r="N12" s="45" t="s">
        <v>182</v>
      </c>
      <c r="O12" s="46">
        <f>SUM((O11)*0.75)/2</f>
        <v>1.5000000000000013E-3</v>
      </c>
      <c r="P12" s="40"/>
    </row>
    <row r="13" spans="1:16">
      <c r="A13" s="51" t="s">
        <v>99</v>
      </c>
      <c r="B13" s="67">
        <f>SUM(B14,B12)/2</f>
        <v>7.8E-2</v>
      </c>
      <c r="C13" s="67" t="s">
        <v>221</v>
      </c>
      <c r="D13" s="69">
        <f>IF(B10="yes", B13/25.4, B13)</f>
        <v>7.8E-2</v>
      </c>
      <c r="E13" s="39"/>
      <c r="F13" s="39"/>
      <c r="G13" s="39"/>
      <c r="H13" s="39"/>
      <c r="I13" s="50"/>
      <c r="K13" s="43" t="s">
        <v>106</v>
      </c>
      <c r="L13" s="69">
        <f>SUM(L8-L12)</f>
        <v>7.6999999999999999E-2</v>
      </c>
      <c r="M13" s="39"/>
      <c r="N13" s="43" t="s">
        <v>106</v>
      </c>
      <c r="O13" s="69">
        <f>SUM(O8-O12)</f>
        <v>7.6499999999999999E-2</v>
      </c>
      <c r="P13" s="40"/>
    </row>
    <row r="14" spans="1:16" ht="15.75" thickBot="1">
      <c r="A14" s="47" t="s">
        <v>214</v>
      </c>
      <c r="B14" s="68">
        <f>SUM(B7+(ABS(B8)))</f>
        <v>0.08</v>
      </c>
      <c r="C14" s="68" t="s">
        <v>221</v>
      </c>
      <c r="D14" s="70">
        <f>IF(B10="yes", B14/25.4, B14)</f>
        <v>0.08</v>
      </c>
      <c r="E14" s="60"/>
      <c r="F14" s="60"/>
      <c r="G14" s="60"/>
      <c r="H14" s="60"/>
      <c r="I14" s="61"/>
      <c r="K14" s="47" t="s">
        <v>107</v>
      </c>
      <c r="L14" s="70">
        <f>SUM(L8+L12)</f>
        <v>7.9000000000000001E-2</v>
      </c>
      <c r="M14" s="60"/>
      <c r="N14" s="47" t="s">
        <v>107</v>
      </c>
      <c r="O14" s="70">
        <f>SUM(O8+O12)</f>
        <v>7.9500000000000001E-2</v>
      </c>
      <c r="P14" s="40"/>
    </row>
    <row r="15" spans="1:16">
      <c r="L15" s="32"/>
    </row>
    <row r="16" spans="1:16">
      <c r="L16" s="32"/>
    </row>
    <row r="17" spans="1:20" ht="76.5" customHeight="1">
      <c r="A17" s="304" t="s">
        <v>259</v>
      </c>
      <c r="B17" s="305"/>
      <c r="C17" s="305"/>
      <c r="D17" s="305"/>
      <c r="E17" s="305"/>
      <c r="F17" s="305"/>
      <c r="G17" s="305"/>
      <c r="H17" s="305"/>
      <c r="I17" s="305"/>
      <c r="J17" s="305"/>
      <c r="K17" s="305"/>
      <c r="L17" s="305"/>
      <c r="M17" s="305"/>
      <c r="N17" s="305"/>
      <c r="O17" s="305"/>
      <c r="P17" s="305"/>
      <c r="Q17" s="305"/>
      <c r="R17" s="305"/>
      <c r="S17" s="305"/>
      <c r="T17" s="305"/>
    </row>
    <row r="18" spans="1:20">
      <c r="L18" s="32"/>
    </row>
    <row r="19" spans="1:20">
      <c r="B19" s="34" t="s">
        <v>102</v>
      </c>
      <c r="C19" s="34" t="s">
        <v>253</v>
      </c>
      <c r="D19" s="34" t="s">
        <v>330</v>
      </c>
      <c r="F19" s="4" t="s">
        <v>258</v>
      </c>
      <c r="G19" s="4" t="s">
        <v>255</v>
      </c>
      <c r="L19" s="32"/>
    </row>
    <row r="20" spans="1:20">
      <c r="B20" s="64">
        <f>$B$12</f>
        <v>7.5999999999999998E-2</v>
      </c>
      <c r="C20" s="64">
        <f>$B$13</f>
        <v>7.8E-2</v>
      </c>
      <c r="D20" s="64">
        <f>$B$14</f>
        <v>0.08</v>
      </c>
      <c r="F20" s="65" t="s">
        <v>254</v>
      </c>
      <c r="G20" s="66" t="str">
        <f>CONCATENATE("(",TEXT(L13,".0000")," ",TEXT(L14,".0000")," SET) (",TEXT(L7,".0000")," ",TEXT(L9,".0000")," FULL)")</f>
        <v>(.0770 .0790 SET) (.0760 .0800 FULL)</v>
      </c>
      <c r="L20" s="32"/>
    </row>
    <row r="21" spans="1:20">
      <c r="F21" s="30" t="s">
        <v>256</v>
      </c>
      <c r="G21" s="66" t="str">
        <f>CONCATENATE("(",TEXT(O13,".0000")," ",TEXT(O14,".0000")," SET) (",TEXT(L7,".0000")," ",TEXT(L9,".0000")," FULL)")</f>
        <v>(.0765 .0795 SET) (.0760 .0800 FULL)</v>
      </c>
      <c r="L21" s="32"/>
    </row>
    <row r="22" spans="1:20">
      <c r="F22" s="30" t="s">
        <v>257</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200-000000000000}">
      <formula1>#REF!</formula1>
    </dataValidation>
  </dataValidations>
  <pageMargins left="0.7" right="0.7" top="0.75" bottom="0.75" header="0.3" footer="0.3"/>
  <pageSetup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31" bestFit="1" customWidth="1"/>
    <col min="4" max="4" width="11.28515625" style="133" bestFit="1" customWidth="1"/>
    <col min="5" max="5" width="10" style="131" customWidth="1"/>
    <col min="6" max="6" width="11.5703125" style="133" bestFit="1" customWidth="1"/>
    <col min="7" max="8" width="19.28515625" style="134" customWidth="1"/>
    <col min="9" max="9" width="9.140625" style="131"/>
    <col min="10" max="10" width="10.85546875" style="131" bestFit="1" customWidth="1"/>
    <col min="11" max="11" width="9.5703125" style="131" bestFit="1" customWidth="1"/>
    <col min="12" max="12" width="11.28515625" style="132" bestFit="1" customWidth="1"/>
    <col min="13" max="13" width="43.7109375" style="73" customWidth="1"/>
    <col min="14" max="16384" width="9.140625" style="73"/>
  </cols>
  <sheetData>
    <row r="1" spans="1:13">
      <c r="A1" s="306" t="s">
        <v>339</v>
      </c>
      <c r="B1" s="306"/>
      <c r="C1" s="306"/>
      <c r="D1" s="306"/>
      <c r="E1" s="306"/>
      <c r="F1" s="306"/>
      <c r="G1" s="306"/>
      <c r="H1" s="306"/>
      <c r="I1" s="306"/>
      <c r="J1" s="306"/>
      <c r="K1" s="306"/>
      <c r="L1" s="306"/>
      <c r="M1" s="306"/>
    </row>
    <row r="2" spans="1:13">
      <c r="A2" s="31" t="s">
        <v>340</v>
      </c>
      <c r="B2" s="31" t="s">
        <v>341</v>
      </c>
      <c r="C2" s="127" t="s">
        <v>342</v>
      </c>
      <c r="D2" s="128" t="s">
        <v>343</v>
      </c>
      <c r="E2" s="127" t="s">
        <v>344</v>
      </c>
      <c r="F2" s="128" t="s">
        <v>345</v>
      </c>
      <c r="G2" s="15" t="s">
        <v>346</v>
      </c>
      <c r="H2" s="15" t="s">
        <v>347</v>
      </c>
      <c r="I2" s="127" t="s">
        <v>348</v>
      </c>
      <c r="J2" s="127" t="s">
        <v>349</v>
      </c>
      <c r="K2" s="127" t="s">
        <v>350</v>
      </c>
      <c r="L2" s="129" t="s">
        <v>351</v>
      </c>
      <c r="M2" s="31" t="s">
        <v>353</v>
      </c>
    </row>
    <row r="3" spans="1:13">
      <c r="A3" s="31">
        <v>4</v>
      </c>
      <c r="B3" s="31" t="s">
        <v>352</v>
      </c>
      <c r="C3" s="127">
        <f>SUM(D3-F3)</f>
        <v>0</v>
      </c>
      <c r="D3" s="128"/>
      <c r="E3" s="127">
        <f>SUM(D3+F3)</f>
        <v>0</v>
      </c>
      <c r="F3" s="128"/>
      <c r="G3" s="15"/>
      <c r="H3" s="15"/>
      <c r="I3" s="127">
        <f>SUM(C3-G3)</f>
        <v>0</v>
      </c>
      <c r="J3" s="127">
        <f>SUM(I3,K3)/2</f>
        <v>0</v>
      </c>
      <c r="K3" s="127">
        <f>SUM(E3-H3)</f>
        <v>0</v>
      </c>
      <c r="L3" s="129">
        <f>SUM(K3-I3)/2</f>
        <v>0</v>
      </c>
      <c r="M3" s="31"/>
    </row>
    <row r="4" spans="1:13">
      <c r="A4" s="31">
        <v>6</v>
      </c>
      <c r="B4" s="31" t="s">
        <v>352</v>
      </c>
      <c r="C4" s="127">
        <f t="shared" ref="C4:C6" si="0">SUM(D4-F4)</f>
        <v>0</v>
      </c>
      <c r="D4" s="128"/>
      <c r="E4" s="127">
        <f t="shared" ref="E4:E6" si="1">SUM(D4+F4)</f>
        <v>0</v>
      </c>
      <c r="F4" s="128"/>
      <c r="G4" s="15"/>
      <c r="H4" s="15"/>
      <c r="I4" s="127">
        <f t="shared" ref="I4:I6" si="2">SUM(C4-G4)</f>
        <v>0</v>
      </c>
      <c r="J4" s="127">
        <f>SUM(I4,K4)/2</f>
        <v>0</v>
      </c>
      <c r="K4" s="127">
        <f t="shared" ref="K4:K6" si="3">SUM(E4-H4)</f>
        <v>0</v>
      </c>
      <c r="L4" s="130">
        <f>SUM(K4-I4)/2</f>
        <v>0</v>
      </c>
      <c r="M4" s="31"/>
    </row>
    <row r="5" spans="1:13">
      <c r="A5" s="31">
        <v>7</v>
      </c>
      <c r="B5" s="31" t="s">
        <v>352</v>
      </c>
      <c r="C5" s="127">
        <f t="shared" si="0"/>
        <v>0</v>
      </c>
      <c r="D5" s="128"/>
      <c r="E5" s="127">
        <f t="shared" si="1"/>
        <v>0</v>
      </c>
      <c r="F5" s="128"/>
      <c r="G5" s="15"/>
      <c r="H5" s="15"/>
      <c r="I5" s="127">
        <f t="shared" si="2"/>
        <v>0</v>
      </c>
      <c r="J5" s="127">
        <f>SUM(I5,K5)/2</f>
        <v>0</v>
      </c>
      <c r="K5" s="127">
        <f t="shared" si="3"/>
        <v>0</v>
      </c>
      <c r="L5" s="130">
        <f>SUM(K5-I5)/2</f>
        <v>0</v>
      </c>
      <c r="M5" s="31"/>
    </row>
    <row r="6" spans="1:13">
      <c r="A6" s="31">
        <v>11</v>
      </c>
      <c r="B6" s="31" t="s">
        <v>352</v>
      </c>
      <c r="C6" s="127">
        <f t="shared" si="0"/>
        <v>0</v>
      </c>
      <c r="D6" s="128"/>
      <c r="E6" s="127">
        <f t="shared" si="1"/>
        <v>0</v>
      </c>
      <c r="F6" s="128"/>
      <c r="G6" s="15"/>
      <c r="H6" s="15"/>
      <c r="I6" s="127">
        <f t="shared" si="2"/>
        <v>0</v>
      </c>
      <c r="J6" s="127">
        <f>SUM(I6,K6)/2</f>
        <v>0</v>
      </c>
      <c r="K6" s="127">
        <f t="shared" si="3"/>
        <v>0</v>
      </c>
      <c r="L6" s="129">
        <f>SUM(K6-I6)/2</f>
        <v>0</v>
      </c>
      <c r="M6" s="31"/>
    </row>
    <row r="7" spans="1:13">
      <c r="A7" s="31"/>
      <c r="B7" s="31"/>
      <c r="C7" s="127"/>
      <c r="D7" s="128"/>
      <c r="E7" s="127"/>
      <c r="F7" s="128"/>
      <c r="G7" s="15"/>
      <c r="H7" s="15"/>
      <c r="I7" s="127"/>
      <c r="J7" s="127"/>
      <c r="K7" s="127"/>
      <c r="L7" s="129"/>
      <c r="M7" s="31"/>
    </row>
    <row r="8" spans="1:13">
      <c r="A8" s="31"/>
      <c r="B8" s="31"/>
      <c r="C8" s="127"/>
      <c r="D8" s="128"/>
      <c r="E8" s="127"/>
      <c r="F8" s="128"/>
      <c r="G8" s="15"/>
      <c r="H8" s="15"/>
      <c r="I8" s="127"/>
      <c r="K8" s="127"/>
    </row>
    <row r="9" spans="1:13">
      <c r="A9" s="31"/>
      <c r="B9" s="31"/>
      <c r="C9" s="127"/>
      <c r="D9" s="128"/>
      <c r="E9" s="127"/>
      <c r="F9" s="128"/>
      <c r="G9" s="15"/>
      <c r="H9" s="15"/>
      <c r="I9" s="127"/>
      <c r="K9" s="127"/>
    </row>
    <row r="10" spans="1:13">
      <c r="A10" s="31"/>
      <c r="B10" s="31"/>
      <c r="C10" s="127"/>
      <c r="D10" s="128"/>
      <c r="E10" s="127"/>
      <c r="F10" s="128"/>
      <c r="G10" s="15"/>
      <c r="H10" s="15"/>
      <c r="I10" s="127"/>
      <c r="K10" s="127"/>
    </row>
    <row r="11" spans="1:13">
      <c r="A11" s="31"/>
      <c r="B11" s="31"/>
      <c r="C11" s="127"/>
      <c r="D11" s="128"/>
      <c r="E11" s="127"/>
      <c r="F11" s="128"/>
      <c r="G11" s="15"/>
      <c r="H11" s="15"/>
      <c r="I11" s="127"/>
      <c r="K11" s="127"/>
    </row>
    <row r="12" spans="1:13">
      <c r="A12" s="31"/>
      <c r="B12" s="31"/>
      <c r="C12" s="127"/>
      <c r="D12" s="128"/>
      <c r="E12" s="127"/>
      <c r="F12" s="128"/>
      <c r="G12" s="15"/>
      <c r="H12" s="15"/>
      <c r="I12" s="127"/>
      <c r="K12" s="127"/>
    </row>
    <row r="13" spans="1:13">
      <c r="A13" s="31"/>
      <c r="B13" s="31"/>
      <c r="C13" s="127"/>
      <c r="D13" s="128"/>
      <c r="E13" s="127"/>
      <c r="F13" s="128"/>
      <c r="G13" s="15"/>
      <c r="H13" s="15"/>
      <c r="I13" s="127"/>
      <c r="K13" s="127"/>
    </row>
    <row r="14" spans="1:13">
      <c r="A14" s="31"/>
      <c r="B14" s="31"/>
      <c r="C14" s="127"/>
      <c r="D14" s="128"/>
      <c r="E14" s="127"/>
      <c r="F14" s="128"/>
      <c r="G14" s="15"/>
      <c r="H14" s="15"/>
      <c r="I14" s="127"/>
      <c r="K14" s="127"/>
    </row>
    <row r="15" spans="1:13">
      <c r="A15" s="31"/>
      <c r="B15" s="31"/>
      <c r="C15" s="127"/>
      <c r="D15" s="128"/>
      <c r="E15" s="127"/>
      <c r="F15" s="128"/>
      <c r="G15" s="15"/>
      <c r="H15" s="15"/>
      <c r="I15" s="127"/>
      <c r="K15" s="127"/>
    </row>
    <row r="16" spans="1:13">
      <c r="A16" s="31"/>
      <c r="B16" s="31"/>
      <c r="C16" s="127"/>
      <c r="D16" s="128"/>
      <c r="E16" s="127"/>
      <c r="F16" s="128"/>
      <c r="G16" s="15"/>
      <c r="H16" s="15"/>
      <c r="I16" s="127"/>
      <c r="K16" s="127"/>
    </row>
    <row r="17" spans="1:11">
      <c r="A17" s="31"/>
      <c r="B17" s="31"/>
      <c r="C17" s="127"/>
      <c r="D17" s="128"/>
      <c r="E17" s="127"/>
      <c r="F17" s="128"/>
      <c r="G17" s="15"/>
      <c r="H17" s="15"/>
      <c r="I17" s="127"/>
      <c r="K17" s="127"/>
    </row>
    <row r="18" spans="1:11">
      <c r="A18" s="31"/>
      <c r="B18" s="31"/>
      <c r="C18" s="127"/>
      <c r="D18" s="128"/>
      <c r="E18" s="127"/>
      <c r="F18" s="128"/>
      <c r="G18" s="15"/>
      <c r="H18" s="15"/>
      <c r="I18" s="127"/>
      <c r="K18" s="127"/>
    </row>
    <row r="19" spans="1:11">
      <c r="A19" s="31"/>
      <c r="B19" s="31"/>
      <c r="C19" s="127"/>
      <c r="D19" s="128"/>
      <c r="E19" s="127"/>
      <c r="F19" s="128"/>
      <c r="G19" s="15"/>
      <c r="H19" s="15"/>
      <c r="I19" s="127"/>
      <c r="K19" s="127"/>
    </row>
    <row r="20" spans="1:11">
      <c r="A20" s="31"/>
      <c r="B20" s="31"/>
      <c r="C20" s="127"/>
      <c r="D20" s="128"/>
      <c r="E20" s="127"/>
      <c r="F20" s="128"/>
      <c r="G20" s="15"/>
      <c r="H20" s="15"/>
      <c r="I20" s="127"/>
      <c r="K20" s="127"/>
    </row>
    <row r="21" spans="1:11">
      <c r="A21" s="31"/>
      <c r="B21" s="31"/>
      <c r="C21" s="127"/>
      <c r="D21" s="128"/>
      <c r="E21" s="127"/>
      <c r="F21" s="128"/>
      <c r="G21" s="15"/>
      <c r="H21" s="15"/>
      <c r="I21" s="127"/>
      <c r="K21" s="127"/>
    </row>
    <row r="22" spans="1:11">
      <c r="A22" s="31"/>
      <c r="B22" s="31"/>
      <c r="C22" s="127"/>
      <c r="D22" s="128"/>
      <c r="E22" s="127"/>
      <c r="F22" s="128"/>
      <c r="G22" s="15"/>
      <c r="H22" s="15"/>
      <c r="I22" s="127"/>
      <c r="K22" s="127"/>
    </row>
    <row r="23" spans="1:11">
      <c r="A23" s="31"/>
      <c r="B23" s="31"/>
      <c r="C23" s="127"/>
      <c r="D23" s="128"/>
      <c r="E23" s="127"/>
      <c r="F23" s="128"/>
      <c r="G23" s="15"/>
      <c r="H23" s="15"/>
      <c r="I23" s="127"/>
      <c r="K23" s="127"/>
    </row>
    <row r="24" spans="1:11">
      <c r="A24" s="31"/>
      <c r="B24" s="31"/>
      <c r="C24" s="127"/>
      <c r="D24" s="128"/>
      <c r="E24" s="127"/>
      <c r="F24" s="128"/>
      <c r="G24" s="15"/>
      <c r="H24" s="15"/>
      <c r="I24" s="127"/>
      <c r="K24" s="127"/>
    </row>
    <row r="25" spans="1:11">
      <c r="A25" s="31"/>
      <c r="B25" s="31"/>
      <c r="C25" s="127"/>
      <c r="D25" s="128"/>
      <c r="E25" s="127"/>
      <c r="F25" s="128"/>
      <c r="G25" s="15"/>
      <c r="H25" s="15"/>
      <c r="I25" s="127"/>
      <c r="K25" s="127"/>
    </row>
    <row r="26" spans="1:11">
      <c r="A26" s="31"/>
      <c r="B26" s="31"/>
      <c r="C26" s="127"/>
      <c r="D26" s="128"/>
      <c r="E26" s="127"/>
      <c r="F26" s="128"/>
      <c r="G26" s="15"/>
      <c r="H26" s="15"/>
      <c r="I26" s="127"/>
      <c r="K26" s="127"/>
    </row>
    <row r="27" spans="1:11">
      <c r="A27" s="31"/>
      <c r="B27" s="31"/>
      <c r="C27" s="127"/>
      <c r="D27" s="128"/>
      <c r="E27" s="127"/>
      <c r="F27" s="128"/>
      <c r="G27" s="15"/>
      <c r="H27" s="15"/>
      <c r="I27" s="127"/>
      <c r="K27" s="127"/>
    </row>
    <row r="28" spans="1:11">
      <c r="A28" s="31"/>
      <c r="B28" s="31"/>
      <c r="C28" s="127"/>
      <c r="D28" s="128"/>
      <c r="E28" s="127"/>
      <c r="F28" s="128"/>
      <c r="G28" s="15"/>
      <c r="H28" s="15"/>
      <c r="I28" s="127"/>
      <c r="K28" s="127"/>
    </row>
    <row r="29" spans="1:11">
      <c r="A29" s="31"/>
      <c r="B29" s="31"/>
      <c r="C29" s="127"/>
      <c r="D29" s="128"/>
      <c r="E29" s="127"/>
      <c r="F29" s="128"/>
      <c r="G29" s="15"/>
      <c r="H29" s="15"/>
      <c r="I29" s="127"/>
      <c r="K29" s="127"/>
    </row>
    <row r="30" spans="1:11">
      <c r="A30" s="31"/>
      <c r="B30" s="31"/>
      <c r="C30" s="127"/>
      <c r="D30" s="128"/>
      <c r="E30" s="127"/>
      <c r="F30" s="128"/>
      <c r="G30" s="15"/>
      <c r="H30" s="15"/>
      <c r="I30" s="127"/>
      <c r="K30" s="127"/>
    </row>
    <row r="31" spans="1:11">
      <c r="A31" s="31"/>
      <c r="B31" s="31"/>
      <c r="C31" s="127"/>
      <c r="D31" s="128"/>
      <c r="E31" s="127"/>
      <c r="F31" s="128"/>
      <c r="G31" s="15"/>
      <c r="H31" s="15"/>
      <c r="I31" s="127"/>
      <c r="K31" s="127"/>
    </row>
    <row r="32" spans="1:11">
      <c r="A32" s="31"/>
      <c r="B32" s="31"/>
      <c r="C32" s="127"/>
      <c r="D32" s="128"/>
      <c r="E32" s="127"/>
      <c r="F32" s="128"/>
      <c r="G32" s="15"/>
      <c r="H32" s="15"/>
      <c r="I32" s="127"/>
      <c r="K32" s="127"/>
    </row>
    <row r="33" spans="1:11">
      <c r="A33" s="31"/>
      <c r="B33" s="31"/>
      <c r="C33" s="127"/>
      <c r="D33" s="128"/>
      <c r="E33" s="127"/>
      <c r="F33" s="128"/>
      <c r="G33" s="15"/>
      <c r="H33" s="15"/>
      <c r="I33" s="127"/>
      <c r="K33" s="127"/>
    </row>
    <row r="34" spans="1:11">
      <c r="A34" s="31"/>
      <c r="B34" s="31"/>
      <c r="C34" s="127"/>
      <c r="D34" s="128"/>
      <c r="E34" s="127"/>
      <c r="F34" s="128"/>
      <c r="G34" s="15"/>
      <c r="H34" s="15"/>
      <c r="I34" s="127"/>
      <c r="K34" s="127"/>
    </row>
    <row r="35" spans="1:11">
      <c r="A35" s="31"/>
      <c r="B35" s="31"/>
      <c r="C35" s="127"/>
      <c r="D35" s="128"/>
      <c r="E35" s="127"/>
      <c r="F35" s="128"/>
      <c r="G35" s="15"/>
      <c r="H35" s="15"/>
      <c r="I35" s="127"/>
      <c r="K35" s="127"/>
    </row>
    <row r="36" spans="1:11">
      <c r="A36" s="31"/>
      <c r="B36" s="31"/>
      <c r="C36" s="127"/>
      <c r="D36" s="128"/>
      <c r="E36" s="127"/>
      <c r="F36" s="128"/>
      <c r="G36" s="15"/>
      <c r="H36" s="15"/>
      <c r="I36" s="127"/>
      <c r="K36" s="127"/>
    </row>
    <row r="37" spans="1:11">
      <c r="A37" s="31"/>
      <c r="B37" s="31"/>
      <c r="C37" s="127"/>
      <c r="D37" s="128"/>
      <c r="E37" s="127"/>
      <c r="F37" s="128"/>
      <c r="G37" s="15"/>
      <c r="H37" s="15"/>
      <c r="I37" s="127"/>
      <c r="K37" s="127"/>
    </row>
    <row r="38" spans="1:11">
      <c r="A38" s="31"/>
      <c r="B38" s="31"/>
      <c r="C38" s="127"/>
      <c r="D38" s="128"/>
      <c r="E38" s="127"/>
      <c r="F38" s="128"/>
      <c r="G38" s="15"/>
      <c r="H38" s="15"/>
      <c r="I38" s="127"/>
      <c r="K38" s="127"/>
    </row>
    <row r="39" spans="1:11">
      <c r="A39" s="31"/>
      <c r="B39" s="31"/>
      <c r="C39" s="127"/>
      <c r="D39" s="128"/>
      <c r="E39" s="127"/>
      <c r="F39" s="128"/>
      <c r="G39" s="15"/>
      <c r="H39" s="15"/>
      <c r="I39" s="127"/>
      <c r="K39" s="127"/>
    </row>
    <row r="40" spans="1:11">
      <c r="A40" s="31"/>
      <c r="B40" s="31"/>
      <c r="C40" s="127"/>
      <c r="D40" s="128"/>
      <c r="E40" s="127"/>
      <c r="F40" s="128"/>
      <c r="G40" s="15"/>
      <c r="H40" s="15"/>
      <c r="I40" s="127"/>
      <c r="K40" s="127"/>
    </row>
    <row r="41" spans="1:11">
      <c r="A41" s="31"/>
      <c r="B41" s="31"/>
      <c r="C41" s="127"/>
      <c r="D41" s="128"/>
      <c r="E41" s="127"/>
      <c r="F41" s="128"/>
      <c r="G41" s="15"/>
      <c r="H41" s="15"/>
      <c r="I41" s="127"/>
      <c r="K41" s="127"/>
    </row>
    <row r="42" spans="1:11">
      <c r="A42" s="31"/>
      <c r="B42" s="31"/>
      <c r="C42" s="127"/>
      <c r="D42" s="128"/>
      <c r="E42" s="127"/>
      <c r="F42" s="128"/>
      <c r="G42" s="15"/>
      <c r="H42" s="15"/>
      <c r="I42" s="127"/>
      <c r="K42" s="127"/>
    </row>
    <row r="43" spans="1:11">
      <c r="A43" s="31"/>
      <c r="B43" s="31"/>
      <c r="C43" s="127"/>
      <c r="D43" s="128"/>
      <c r="E43" s="127"/>
      <c r="F43" s="128"/>
      <c r="G43" s="15"/>
      <c r="H43" s="15"/>
      <c r="I43" s="127"/>
      <c r="K43" s="127"/>
    </row>
    <row r="44" spans="1:11">
      <c r="A44" s="31"/>
      <c r="B44" s="31"/>
      <c r="C44" s="127"/>
      <c r="D44" s="128"/>
      <c r="E44" s="127"/>
      <c r="F44" s="128"/>
      <c r="G44" s="15"/>
      <c r="H44" s="15"/>
      <c r="I44" s="127"/>
      <c r="K44" s="127"/>
    </row>
    <row r="45" spans="1:11">
      <c r="A45" s="31"/>
      <c r="B45" s="31"/>
      <c r="C45" s="127"/>
      <c r="D45" s="128"/>
      <c r="E45" s="127"/>
      <c r="F45" s="128"/>
      <c r="G45" s="15"/>
      <c r="H45" s="15"/>
      <c r="I45" s="127"/>
      <c r="K45" s="127"/>
    </row>
    <row r="46" spans="1:11">
      <c r="A46" s="31"/>
      <c r="B46" s="31"/>
      <c r="C46" s="127"/>
      <c r="D46" s="128"/>
      <c r="E46" s="127"/>
      <c r="F46" s="128"/>
      <c r="G46" s="15"/>
      <c r="H46" s="15"/>
      <c r="I46" s="127"/>
      <c r="K46" s="127"/>
    </row>
    <row r="47" spans="1:11">
      <c r="A47" s="31"/>
      <c r="B47" s="31"/>
      <c r="C47" s="127"/>
      <c r="D47" s="128"/>
      <c r="E47" s="127"/>
      <c r="F47" s="128"/>
      <c r="G47" s="15"/>
      <c r="H47" s="15"/>
      <c r="I47" s="127"/>
      <c r="K47" s="127"/>
    </row>
    <row r="48" spans="1:11">
      <c r="A48" s="31"/>
      <c r="B48" s="31"/>
      <c r="C48" s="127"/>
      <c r="D48" s="128"/>
      <c r="E48" s="127"/>
      <c r="F48" s="128"/>
      <c r="G48" s="15"/>
      <c r="H48" s="15"/>
      <c r="I48" s="127"/>
      <c r="K48" s="127"/>
    </row>
    <row r="49" spans="1:11">
      <c r="A49" s="31"/>
      <c r="B49" s="31"/>
      <c r="C49" s="127"/>
      <c r="D49" s="128"/>
      <c r="E49" s="127"/>
      <c r="F49" s="128"/>
      <c r="G49" s="15"/>
      <c r="H49" s="15"/>
      <c r="I49" s="127"/>
      <c r="K49" s="127"/>
    </row>
    <row r="50" spans="1:11">
      <c r="A50" s="31"/>
      <c r="B50" s="31"/>
      <c r="C50" s="127"/>
      <c r="D50" s="128"/>
      <c r="E50" s="127"/>
      <c r="F50" s="128"/>
      <c r="G50" s="15"/>
      <c r="H50" s="15"/>
      <c r="I50" s="127"/>
      <c r="K50" s="127"/>
    </row>
    <row r="51" spans="1:11">
      <c r="A51" s="31"/>
      <c r="B51" s="31"/>
      <c r="C51" s="127"/>
      <c r="D51" s="128"/>
      <c r="E51" s="127"/>
      <c r="F51" s="128"/>
      <c r="G51" s="15"/>
      <c r="H51" s="15"/>
      <c r="I51" s="127"/>
      <c r="K51" s="127"/>
    </row>
    <row r="52" spans="1:11">
      <c r="A52" s="31"/>
      <c r="B52" s="31"/>
      <c r="C52" s="127"/>
      <c r="D52" s="128"/>
      <c r="E52" s="127"/>
      <c r="F52" s="128"/>
      <c r="G52" s="15"/>
      <c r="H52" s="15"/>
      <c r="I52" s="127"/>
      <c r="K52" s="127"/>
    </row>
    <row r="53" spans="1:11">
      <c r="A53" s="31"/>
      <c r="B53" s="31"/>
      <c r="C53" s="127"/>
      <c r="D53" s="128"/>
      <c r="E53" s="127"/>
      <c r="F53" s="128"/>
      <c r="G53" s="15"/>
      <c r="H53" s="15"/>
      <c r="I53" s="127"/>
      <c r="K53" s="127"/>
    </row>
    <row r="54" spans="1:11">
      <c r="A54" s="31"/>
      <c r="B54" s="31"/>
      <c r="C54" s="127"/>
      <c r="D54" s="128"/>
      <c r="E54" s="127"/>
      <c r="F54" s="128"/>
      <c r="G54" s="15"/>
      <c r="H54" s="15"/>
      <c r="I54" s="127"/>
      <c r="K54" s="127"/>
    </row>
    <row r="55" spans="1:11">
      <c r="A55" s="31"/>
      <c r="B55" s="31"/>
      <c r="C55" s="127"/>
      <c r="D55" s="128"/>
      <c r="E55" s="127"/>
      <c r="F55" s="128"/>
      <c r="G55" s="15"/>
      <c r="H55" s="15"/>
      <c r="I55" s="127"/>
      <c r="K55" s="127"/>
    </row>
  </sheetData>
  <mergeCells count="1">
    <mergeCell ref="A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E1020"/>
  <sheetViews>
    <sheetView topLeftCell="E1" workbookViewId="0">
      <pane ySplit="2" topLeftCell="A3" activePane="bottomLeft" state="frozen"/>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3">
      <c r="A1" s="307" t="s">
        <v>191</v>
      </c>
      <c r="B1" s="308"/>
      <c r="C1" s="308"/>
      <c r="D1" s="308"/>
    </row>
    <row r="2" spans="1:83">
      <c r="A2" s="29" t="s">
        <v>93</v>
      </c>
      <c r="B2" s="158" t="s">
        <v>129</v>
      </c>
      <c r="D2" s="36" t="s">
        <v>233</v>
      </c>
      <c r="E2" t="s">
        <v>371</v>
      </c>
    </row>
    <row r="3" spans="1:83">
      <c r="A3" s="31">
        <v>1</v>
      </c>
      <c r="B3" s="155" t="s">
        <v>112</v>
      </c>
      <c r="D3" s="31" t="s">
        <v>113</v>
      </c>
      <c r="E3" s="73" t="str" cm="1">
        <f t="array" ref="E3">TRANSPOSE(_xlfn._xlws.SORT(_xlfn._xlws.FILTER(B3:B370,ISNUMBER(SEARCH('PartLib Table'!M9,B3:B370)),"not found")))</f>
        <v>T3 HD1 TOOL SFI</v>
      </c>
    </row>
    <row r="4" spans="1:83">
      <c r="A4" s="31">
        <v>2</v>
      </c>
      <c r="B4" s="155" t="s">
        <v>114</v>
      </c>
      <c r="D4" s="31" t="s">
        <v>115</v>
      </c>
      <c r="E4" s="73" t="str" cm="1">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3">
      <c r="A5" s="31">
        <v>3</v>
      </c>
      <c r="B5" s="155" t="s">
        <v>116</v>
      </c>
      <c r="D5" s="31" t="s">
        <v>145</v>
      </c>
      <c r="E5" s="73" t="str" cm="1">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3">
      <c r="A6" s="31">
        <v>4</v>
      </c>
      <c r="B6" s="155" t="s">
        <v>117</v>
      </c>
      <c r="D6" s="31" t="s">
        <v>118</v>
      </c>
      <c r="E6" s="73" t="str" cm="1">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3">
      <c r="A7" s="31">
        <v>5</v>
      </c>
      <c r="B7" s="155" t="s">
        <v>119</v>
      </c>
      <c r="D7" s="31" t="s">
        <v>126</v>
      </c>
      <c r="E7" s="73" t="str" cm="1">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3">
      <c r="A8" s="31">
        <v>6</v>
      </c>
      <c r="B8" s="155" t="s">
        <v>120</v>
      </c>
      <c r="D8" s="31" t="s">
        <v>141</v>
      </c>
      <c r="E8" s="73" t="str" cm="1">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3">
      <c r="A9" s="31">
        <v>7</v>
      </c>
      <c r="B9" s="155" t="s">
        <v>122</v>
      </c>
      <c r="C9" s="35"/>
      <c r="D9" s="31" t="s">
        <v>121</v>
      </c>
      <c r="E9" s="73" t="str" cm="1">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3">
      <c r="A10" s="31">
        <v>8</v>
      </c>
      <c r="B10" s="155" t="s">
        <v>125</v>
      </c>
      <c r="D10" s="31" t="s">
        <v>124</v>
      </c>
      <c r="E10" s="73" t="str" cm="1">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3">
      <c r="A11" s="31">
        <v>9</v>
      </c>
      <c r="B11" s="155" t="s">
        <v>268</v>
      </c>
      <c r="D11" s="31" t="s">
        <v>160</v>
      </c>
      <c r="E11" s="73" t="str" cm="1">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3">
      <c r="A12" s="31">
        <v>10</v>
      </c>
      <c r="B12" s="155" t="s">
        <v>127</v>
      </c>
      <c r="D12" s="31" t="s">
        <v>128</v>
      </c>
      <c r="E12" s="73" t="str" cm="1">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3">
      <c r="A13" s="31">
        <v>11</v>
      </c>
      <c r="B13" s="155" t="s">
        <v>130</v>
      </c>
      <c r="D13" s="31" t="s">
        <v>131</v>
      </c>
      <c r="E13" s="73" t="str" cm="1">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3">
      <c r="A14" s="31">
        <v>12</v>
      </c>
      <c r="B14" s="155" t="s">
        <v>132</v>
      </c>
      <c r="D14" s="31" t="s">
        <v>133</v>
      </c>
      <c r="E14" s="73" t="str" cm="1">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3">
      <c r="A15" s="31">
        <v>13</v>
      </c>
      <c r="B15" s="155" t="s">
        <v>134</v>
      </c>
      <c r="D15" s="31" t="s">
        <v>135</v>
      </c>
      <c r="E15" s="73" t="str" cm="1">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3">
      <c r="A16" s="31">
        <v>14</v>
      </c>
      <c r="B16" s="155" t="s">
        <v>136</v>
      </c>
      <c r="D16" s="31" t="s">
        <v>137</v>
      </c>
      <c r="E16" s="73" t="str" cm="1">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55" t="s">
        <v>139</v>
      </c>
      <c r="D17" s="31" t="s">
        <v>138</v>
      </c>
      <c r="E17" s="73" t="str" cm="1">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55" t="s">
        <v>267</v>
      </c>
      <c r="D18" s="31" t="s">
        <v>142</v>
      </c>
      <c r="E18" s="73" t="str" cm="1">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55" t="s">
        <v>144</v>
      </c>
      <c r="D19" s="31" t="s">
        <v>143</v>
      </c>
      <c r="E19" s="73" t="str" cm="1">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55" t="s">
        <v>147</v>
      </c>
      <c r="D20" s="31" t="s">
        <v>146</v>
      </c>
      <c r="E20" s="73" t="str" cm="1">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55" t="s">
        <v>148</v>
      </c>
      <c r="D21" s="31" t="s">
        <v>149</v>
      </c>
      <c r="E21" s="73" t="str" cm="1">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55" t="s">
        <v>151</v>
      </c>
      <c r="D22" s="31" t="s">
        <v>150</v>
      </c>
      <c r="E22" s="73" t="str" cm="1">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55" t="s">
        <v>153</v>
      </c>
      <c r="D23" s="31" t="s">
        <v>152</v>
      </c>
      <c r="E23" s="73" t="str" cm="1">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55" t="s">
        <v>154</v>
      </c>
      <c r="D24" s="31" t="s">
        <v>155</v>
      </c>
      <c r="E24" s="73" t="str" cm="1">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55" t="s">
        <v>157</v>
      </c>
      <c r="D25" s="31" t="s">
        <v>156</v>
      </c>
      <c r="E25" s="73" t="str" cm="1">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55" t="s">
        <v>159</v>
      </c>
      <c r="D26" s="31" t="s">
        <v>158</v>
      </c>
      <c r="E26" s="73" t="str" cm="1">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55" t="s">
        <v>162</v>
      </c>
      <c r="D27" s="31" t="s">
        <v>161</v>
      </c>
      <c r="E27" s="73" t="str" cm="1">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55" t="s">
        <v>33</v>
      </c>
      <c r="D28" s="31" t="s">
        <v>163</v>
      </c>
      <c r="E28" s="73" t="str" cm="1">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55" t="s">
        <v>165</v>
      </c>
      <c r="D29" s="31" t="s">
        <v>164</v>
      </c>
      <c r="E29" s="73" t="str" cm="1">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55" t="s">
        <v>167</v>
      </c>
      <c r="D30" s="31" t="s">
        <v>166</v>
      </c>
      <c r="E30" s="73" t="str" cm="1">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55" t="s">
        <v>169</v>
      </c>
      <c r="D31" s="31" t="s">
        <v>168</v>
      </c>
      <c r="E31" s="73" t="str" cm="1">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55" t="s">
        <v>171</v>
      </c>
      <c r="D32" s="31" t="s">
        <v>170</v>
      </c>
      <c r="E32" s="73" t="str" cm="1">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55" t="s">
        <v>172</v>
      </c>
      <c r="D33" s="31" t="s">
        <v>173</v>
      </c>
      <c r="E33" s="73" t="str" cm="1">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55" t="s">
        <v>175</v>
      </c>
      <c r="D34" s="31" t="s">
        <v>174</v>
      </c>
      <c r="E34" s="73" t="str" cm="1">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55" t="s">
        <v>177</v>
      </c>
      <c r="D35" s="31" t="s">
        <v>176</v>
      </c>
      <c r="E35" s="73" t="str" cm="1">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55" t="s">
        <v>179</v>
      </c>
      <c r="D36" s="31" t="s">
        <v>178</v>
      </c>
      <c r="E36" s="73" t="str" cm="1">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55" t="s">
        <v>181</v>
      </c>
      <c r="D37" s="31" t="s">
        <v>180</v>
      </c>
      <c r="E37" s="73" t="str" cm="1">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55" t="s">
        <v>185</v>
      </c>
      <c r="D38" s="31" t="s">
        <v>186</v>
      </c>
      <c r="E38" s="73" t="str" cm="1">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55" t="s">
        <v>187</v>
      </c>
      <c r="D39" s="31" t="s">
        <v>188</v>
      </c>
      <c r="E39" s="73" t="str" cm="1">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55" t="s">
        <v>189</v>
      </c>
      <c r="D40" s="31" t="s">
        <v>190</v>
      </c>
      <c r="E40" s="73" t="str" cm="1">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55" t="s">
        <v>194</v>
      </c>
      <c r="C41" s="38"/>
      <c r="D41" s="31" t="s">
        <v>193</v>
      </c>
      <c r="E41" s="73" t="str" cm="1">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55" t="s">
        <v>196</v>
      </c>
      <c r="C42" s="38"/>
      <c r="D42" s="31" t="s">
        <v>195</v>
      </c>
      <c r="E42" s="73" t="str" cm="1">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55" t="s">
        <v>198</v>
      </c>
      <c r="C43" s="38"/>
      <c r="D43" s="31" t="s">
        <v>197</v>
      </c>
      <c r="E43" s="73" t="str" cm="1">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55" t="s">
        <v>201</v>
      </c>
      <c r="C44" s="38"/>
      <c r="D44" s="31" t="s">
        <v>200</v>
      </c>
      <c r="E44" s="73" t="str" cm="1">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55" t="s">
        <v>204</v>
      </c>
      <c r="C45" s="38"/>
      <c r="D45" s="31" t="s">
        <v>203</v>
      </c>
      <c r="E45" s="73" t="str" cm="1">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55" t="s">
        <v>206</v>
      </c>
      <c r="C46" s="38"/>
      <c r="D46" s="31" t="s">
        <v>205</v>
      </c>
      <c r="E46" s="73" t="str" cm="1">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55" t="s">
        <v>208</v>
      </c>
      <c r="C47" s="38"/>
      <c r="D47" s="31" t="s">
        <v>207</v>
      </c>
      <c r="E47" s="73" t="str" cm="1">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55" t="s">
        <v>210</v>
      </c>
      <c r="D48" s="31" t="s">
        <v>209</v>
      </c>
      <c r="E48" s="73" t="str" cm="1">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55" t="s">
        <v>236</v>
      </c>
      <c r="D49" s="31" t="s">
        <v>225</v>
      </c>
      <c r="E49" s="73" t="str" cm="1">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55" t="s">
        <v>228</v>
      </c>
      <c r="C50" s="38"/>
      <c r="D50" s="31" t="s">
        <v>229</v>
      </c>
      <c r="E50" s="73" t="str" cm="1">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55" t="s">
        <v>227</v>
      </c>
      <c r="C51" s="38"/>
      <c r="D51" s="31" t="s">
        <v>226</v>
      </c>
      <c r="E51" s="73" t="str" cm="1">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55" t="s">
        <v>230</v>
      </c>
      <c r="C52" s="38"/>
      <c r="D52" s="31" t="s">
        <v>231</v>
      </c>
      <c r="E52" s="73" t="str" cm="1">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55" t="s">
        <v>241</v>
      </c>
      <c r="C53" s="38"/>
      <c r="D53" s="31" t="s">
        <v>232</v>
      </c>
      <c r="E53" s="73" t="str" cm="1">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55" t="s">
        <v>235</v>
      </c>
      <c r="C54" s="38"/>
      <c r="D54" s="31" t="s">
        <v>234</v>
      </c>
      <c r="E54" s="73" t="str" cm="1">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55" t="s">
        <v>243</v>
      </c>
      <c r="C55" s="38"/>
      <c r="D55" s="31" t="s">
        <v>242</v>
      </c>
      <c r="E55" s="73" t="str" cm="1">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55" t="s">
        <v>245</v>
      </c>
      <c r="C56" s="38"/>
      <c r="D56" s="31" t="s">
        <v>244</v>
      </c>
      <c r="E56" s="73" t="str" cm="1">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55" t="s">
        <v>247</v>
      </c>
      <c r="C57" s="38"/>
      <c r="D57" s="31" t="s">
        <v>246</v>
      </c>
      <c r="E57" s="73" t="str" cm="1">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55" t="s">
        <v>249</v>
      </c>
      <c r="C58" s="38"/>
      <c r="D58" s="31" t="s">
        <v>248</v>
      </c>
      <c r="E58" s="73" t="str" cm="1">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55" t="s">
        <v>33</v>
      </c>
      <c r="C59" s="38"/>
      <c r="D59" s="31" t="s">
        <v>250</v>
      </c>
      <c r="E59" s="73" t="str" cm="1">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55" t="s">
        <v>252</v>
      </c>
      <c r="C60" s="38"/>
      <c r="D60" s="31" t="s">
        <v>251</v>
      </c>
      <c r="E60" s="73" t="str" cm="1">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55" t="s">
        <v>261</v>
      </c>
      <c r="C61" s="38"/>
      <c r="D61" s="31" t="s">
        <v>260</v>
      </c>
      <c r="E61" s="73" t="str" cm="1">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55" t="s">
        <v>263</v>
      </c>
      <c r="C62" s="38"/>
      <c r="D62" s="31" t="s">
        <v>262</v>
      </c>
      <c r="E62" s="73" t="str" cm="1">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55" t="s">
        <v>264</v>
      </c>
      <c r="C63" s="38"/>
      <c r="D63" s="31" t="s">
        <v>266</v>
      </c>
      <c r="E63" s="73" t="str" cm="1">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55" t="s">
        <v>199</v>
      </c>
      <c r="C64" s="38"/>
      <c r="D64" s="31" t="s">
        <v>265</v>
      </c>
      <c r="E64" s="73" t="str" cm="1">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55" t="s">
        <v>268</v>
      </c>
      <c r="D65" s="31" t="s">
        <v>269</v>
      </c>
      <c r="E65" s="73" t="str" cm="1">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55" t="s">
        <v>277</v>
      </c>
      <c r="C66" s="38"/>
      <c r="D66" s="31" t="s">
        <v>278</v>
      </c>
      <c r="E66" s="73" t="str" cm="1">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55" t="s">
        <v>280</v>
      </c>
      <c r="C67" s="38"/>
      <c r="D67" s="31" t="s">
        <v>279</v>
      </c>
      <c r="E67" s="73" t="str" cm="1">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55" t="s">
        <v>281</v>
      </c>
      <c r="C68" s="38"/>
      <c r="D68" s="31" t="s">
        <v>282</v>
      </c>
      <c r="E68" s="73" t="str" cm="1">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55" t="s">
        <v>283</v>
      </c>
      <c r="C69" s="38"/>
      <c r="D69" s="31" t="s">
        <v>284</v>
      </c>
      <c r="E69" s="73" t="str" cm="1">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55" t="s">
        <v>303</v>
      </c>
      <c r="C70" s="38"/>
      <c r="D70" s="31" t="s">
        <v>302</v>
      </c>
      <c r="E70" s="73" t="str" cm="1">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56" t="s">
        <v>304</v>
      </c>
      <c r="D71" s="37" t="s">
        <v>305</v>
      </c>
      <c r="E71" s="73" t="str" cm="1">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55" t="s">
        <v>306</v>
      </c>
      <c r="C72" s="38"/>
      <c r="D72" s="31" t="s">
        <v>307</v>
      </c>
      <c r="E72" s="73" t="str" cm="1">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57" t="s">
        <v>309</v>
      </c>
      <c r="D73" s="78" t="s">
        <v>308</v>
      </c>
      <c r="E73" s="73" t="str" cm="1">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55" t="s">
        <v>311</v>
      </c>
      <c r="D74" s="31" t="s">
        <v>310</v>
      </c>
      <c r="E74" s="73" t="str" cm="1">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55" t="s">
        <v>313</v>
      </c>
      <c r="D75" s="31" t="s">
        <v>312</v>
      </c>
      <c r="E75" s="73" t="str" cm="1">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55" t="s">
        <v>372</v>
      </c>
      <c r="D76" s="31" t="s">
        <v>316</v>
      </c>
      <c r="E76" s="73" t="str" cm="1">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55" t="s">
        <v>318</v>
      </c>
      <c r="D77" s="31" t="s">
        <v>317</v>
      </c>
      <c r="E77" s="73" t="str" cm="1">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55" t="s">
        <v>373</v>
      </c>
      <c r="D78" s="31" t="s">
        <v>328</v>
      </c>
      <c r="E78" s="73" t="str" cm="1">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23">
        <v>77</v>
      </c>
      <c r="B79" s="155" t="s">
        <v>332</v>
      </c>
      <c r="D79" s="31" t="s">
        <v>331</v>
      </c>
      <c r="E79" s="73" t="str" cm="1">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23">
        <v>78</v>
      </c>
      <c r="B80" s="155" t="s">
        <v>334</v>
      </c>
      <c r="D80" s="31" t="s">
        <v>333</v>
      </c>
      <c r="E80" s="73" t="str" cm="1">
        <f t="array" ref="E80:G80">TRANSPOSE(_xlfn._xlws.SORT(_xlfn._xlws.FILTER(B80:B447,ISNUMBER(SEARCH('PartLib Table'!M86,B80:B447)),"not found")))</f>
        <v>Go Pin must pass through</v>
      </c>
      <c r="F80" t="str">
        <v>Go Pin, No Light, at Radius</v>
      </c>
      <c r="G80" t="str">
        <v>Rotate Part</v>
      </c>
    </row>
    <row r="81" spans="1:6">
      <c r="A81" s="123">
        <v>79</v>
      </c>
      <c r="B81" s="155" t="s">
        <v>337</v>
      </c>
      <c r="D81" s="31" t="s">
        <v>336</v>
      </c>
      <c r="E81" s="73" t="str" cm="1">
        <f t="array" ref="E81:F81">TRANSPOSE(_xlfn._xlws.SORT(_xlfn._xlws.FILTER(B81:B448,ISNUMBER(SEARCH('PartLib Table'!M87,B81:B448)),"not found")))</f>
        <v>Go Pin must pass through</v>
      </c>
      <c r="F81" t="str">
        <v>Go Pin, No Light, at Radius</v>
      </c>
    </row>
    <row r="82" spans="1:6">
      <c r="A82" s="123">
        <v>80</v>
      </c>
      <c r="B82" s="156" t="s">
        <v>357</v>
      </c>
      <c r="D82" s="31" t="s">
        <v>356</v>
      </c>
      <c r="E82" s="73" t="str" cm="1">
        <f t="array" ref="E82">TRANSPOSE(_xlfn._xlws.SORT(_xlfn._xlws.FILTER(B82:B449,ISNUMBER(SEARCH('PartLib Table'!M88,B82:B449)),"not found")))</f>
        <v>Go Pin must pass through</v>
      </c>
    </row>
    <row r="83" spans="1:6">
      <c r="B83" s="156"/>
      <c r="D83" s="31"/>
      <c r="E83" s="73" t="str" cm="1">
        <f t="array" ref="E83">TRANSPOSE(_xlfn._xlws.SORT(_xlfn._xlws.FILTER(B83:B450,ISNUMBER(SEARCH('PartLib Table'!M89,B83:B450)),"not found")))</f>
        <v>not found</v>
      </c>
    </row>
    <row r="84" spans="1:6">
      <c r="B84" s="31"/>
      <c r="D84" s="31"/>
      <c r="E84" s="73" t="str" cm="1">
        <f t="array" ref="E84">TRANSPOSE(_xlfn._xlws.SORT(_xlfn._xlws.FILTER(B84:B451,ISNUMBER(SEARCH('PartLib Table'!M90,B84:B451)),"not found")))</f>
        <v>not found</v>
      </c>
    </row>
    <row r="85" spans="1:6">
      <c r="B85" s="31"/>
      <c r="D85" s="31"/>
      <c r="E85" s="73" t="str" cm="1">
        <f t="array" ref="E85">TRANSPOSE(_xlfn._xlws.SORT(_xlfn._xlws.FILTER(B85:B452,ISNUMBER(SEARCH('PartLib Table'!M91,B85:B452)),"not found")))</f>
        <v>not found</v>
      </c>
    </row>
    <row r="86" spans="1:6">
      <c r="B86" s="31"/>
      <c r="D86" s="31"/>
      <c r="E86" s="73" t="str" cm="1">
        <f t="array" ref="E86">TRANSPOSE(_xlfn._xlws.SORT(_xlfn._xlws.FILTER(B86:B453,ISNUMBER(SEARCH('PartLib Table'!M92,B86:B453)),"not found")))</f>
        <v>not found</v>
      </c>
    </row>
    <row r="87" spans="1:6">
      <c r="B87" s="31"/>
      <c r="D87" s="31"/>
      <c r="E87" s="73" t="str" cm="1">
        <f t="array" ref="E87">TRANSPOSE(_xlfn._xlws.SORT(_xlfn._xlws.FILTER(B87:B454,ISNUMBER(SEARCH('PartLib Table'!M93,B87:B454)),"not found")))</f>
        <v>not found</v>
      </c>
    </row>
    <row r="88" spans="1:6">
      <c r="B88" s="31"/>
      <c r="D88" s="31"/>
      <c r="E88" s="73" t="str" cm="1">
        <f t="array" ref="E88">TRANSPOSE(_xlfn._xlws.SORT(_xlfn._xlws.FILTER(B88:B455,ISNUMBER(SEARCH('PartLib Table'!M94,B88:B455)),"not found")))</f>
        <v>not found</v>
      </c>
    </row>
    <row r="89" spans="1:6">
      <c r="B89" s="31"/>
      <c r="D89" s="31"/>
      <c r="E89" s="73" t="str" cm="1">
        <f t="array" ref="E89">TRANSPOSE(_xlfn._xlws.SORT(_xlfn._xlws.FILTER(B89:B456,ISNUMBER(SEARCH('PartLib Table'!M95,B89:B456)),"not found")))</f>
        <v>not found</v>
      </c>
    </row>
    <row r="90" spans="1:6">
      <c r="B90" s="31"/>
      <c r="D90" s="31"/>
      <c r="E90" s="73" t="str" cm="1">
        <f t="array" ref="E90">TRANSPOSE(_xlfn._xlws.SORT(_xlfn._xlws.FILTER(B90:B457,ISNUMBER(SEARCH('PartLib Table'!M96,B90:B457)),"not found")))</f>
        <v>not found</v>
      </c>
    </row>
    <row r="91" spans="1:6">
      <c r="B91" s="31"/>
      <c r="D91" s="31"/>
      <c r="E91" s="73" t="str" cm="1">
        <f t="array" ref="E91">TRANSPOSE(_xlfn._xlws.SORT(_xlfn._xlws.FILTER(B91:B458,ISNUMBER(SEARCH('PartLib Table'!M97,B91:B458)),"not found")))</f>
        <v>not found</v>
      </c>
    </row>
    <row r="92" spans="1:6">
      <c r="B92" s="31"/>
      <c r="D92" s="31"/>
      <c r="E92" s="73" t="str" cm="1">
        <f t="array" ref="E92">TRANSPOSE(_xlfn._xlws.SORT(_xlfn._xlws.FILTER(B92:B459,ISNUMBER(SEARCH('PartLib Table'!M98,B92:B459)),"not found")))</f>
        <v>not found</v>
      </c>
    </row>
    <row r="93" spans="1:6">
      <c r="B93" s="31"/>
      <c r="D93" s="31"/>
      <c r="E93" s="73" t="str" cm="1">
        <f t="array" ref="E93">TRANSPOSE(_xlfn._xlws.SORT(_xlfn._xlws.FILTER(B93:B460,ISNUMBER(SEARCH('PartLib Table'!M99,B93:B460)),"not found")))</f>
        <v>not found</v>
      </c>
    </row>
    <row r="94" spans="1:6">
      <c r="B94" s="31"/>
      <c r="D94" s="31"/>
      <c r="E94" s="73" t="str" cm="1">
        <f t="array" ref="E94">TRANSPOSE(_xlfn._xlws.SORT(_xlfn._xlws.FILTER(B94:B461,ISNUMBER(SEARCH('PartLib Table'!M100,B94:B461)),"not found")))</f>
        <v>not found</v>
      </c>
    </row>
    <row r="95" spans="1:6">
      <c r="B95" s="31"/>
      <c r="D95" s="31"/>
      <c r="E95" s="73" t="str" cm="1">
        <f t="array" ref="E95">TRANSPOSE(_xlfn._xlws.SORT(_xlfn._xlws.FILTER(B95:B462,ISNUMBER(SEARCH('PartLib Table'!M101,B95:B462)),"not found")))</f>
        <v>not found</v>
      </c>
    </row>
    <row r="96" spans="1:6">
      <c r="B96" s="31"/>
      <c r="D96" s="31"/>
      <c r="E96" s="73" t="str" cm="1">
        <f t="array" ref="E96">TRANSPOSE(_xlfn._xlws.SORT(_xlfn._xlws.FILTER(B96:B463,ISNUMBER(SEARCH('PartLib Table'!M102,B96:B463)),"not found")))</f>
        <v>not found</v>
      </c>
    </row>
    <row r="97" spans="2:5">
      <c r="B97" s="31"/>
      <c r="D97" s="31"/>
      <c r="E97" s="73" t="str" cm="1">
        <f t="array" ref="E97">TRANSPOSE(_xlfn._xlws.SORT(_xlfn._xlws.FILTER(B97:B464,ISNUMBER(SEARCH('PartLib Table'!M103,B97:B464)),"not found")))</f>
        <v>not found</v>
      </c>
    </row>
    <row r="98" spans="2:5">
      <c r="B98" s="31"/>
      <c r="D98" s="31"/>
      <c r="E98" s="73" t="str" cm="1">
        <f t="array" ref="E98">TRANSPOSE(_xlfn._xlws.SORT(_xlfn._xlws.FILTER(B98:B465,ISNUMBER(SEARCH('PartLib Table'!M104,B98:B465)),"not found")))</f>
        <v>not found</v>
      </c>
    </row>
    <row r="99" spans="2:5">
      <c r="B99" s="31"/>
      <c r="D99" s="31"/>
      <c r="E99" s="73" t="str" cm="1">
        <f t="array" ref="E99">TRANSPOSE(_xlfn._xlws.SORT(_xlfn._xlws.FILTER(B99:B466,ISNUMBER(SEARCH('PartLib Table'!M105,B99:B466)),"not found")))</f>
        <v>not found</v>
      </c>
    </row>
    <row r="100" spans="2:5">
      <c r="B100" s="31"/>
      <c r="D100" s="31"/>
      <c r="E100" s="73" t="str" cm="1">
        <f t="array" ref="E100">TRANSPOSE(_xlfn._xlws.SORT(_xlfn._xlws.FILTER(B100:B467,ISNUMBER(SEARCH('PartLib Table'!M106,B100:B467)),"not found")))</f>
        <v>not found</v>
      </c>
    </row>
    <row r="101" spans="2:5">
      <c r="B101" s="31"/>
      <c r="D101" s="31"/>
      <c r="E101" s="73" t="str" cm="1">
        <f t="array" ref="E101">TRANSPOSE(_xlfn._xlws.SORT(_xlfn._xlws.FILTER(B101:B468,ISNUMBER(SEARCH('PartLib Table'!M107,B101:B468)),"not found")))</f>
        <v>not found</v>
      </c>
    </row>
    <row r="102" spans="2:5">
      <c r="B102" s="31"/>
      <c r="D102" s="31"/>
      <c r="E102" s="73" t="str" cm="1">
        <f t="array" ref="E102">TRANSPOSE(_xlfn._xlws.SORT(_xlfn._xlws.FILTER(B102:B469,ISNUMBER(SEARCH('PartLib Table'!M108,B102:B469)),"not found")))</f>
        <v>not found</v>
      </c>
    </row>
    <row r="103" spans="2:5">
      <c r="B103" s="31"/>
      <c r="D103" s="31"/>
      <c r="E103" s="73" t="str" cm="1">
        <f t="array" ref="E103">TRANSPOSE(_xlfn._xlws.SORT(_xlfn._xlws.FILTER(B103:B470,ISNUMBER(SEARCH('PartLib Table'!M109,B103:B470)),"not found")))</f>
        <v>not found</v>
      </c>
    </row>
    <row r="104" spans="2:5">
      <c r="B104" s="31"/>
      <c r="D104" s="31"/>
      <c r="E104" s="73" t="str" cm="1">
        <f t="array" ref="E104">TRANSPOSE(_xlfn._xlws.SORT(_xlfn._xlws.FILTER(B104:B471,ISNUMBER(SEARCH('PartLib Table'!M110,B104:B471)),"not found")))</f>
        <v>not found</v>
      </c>
    </row>
    <row r="105" spans="2:5">
      <c r="B105" s="31"/>
      <c r="D105" s="31"/>
      <c r="E105" s="73" t="str" cm="1">
        <f t="array" ref="E105">TRANSPOSE(_xlfn._xlws.SORT(_xlfn._xlws.FILTER(B105:B472,ISNUMBER(SEARCH('PartLib Table'!M111,B105:B472)),"not found")))</f>
        <v>not found</v>
      </c>
    </row>
    <row r="106" spans="2:5">
      <c r="B106" s="31"/>
      <c r="D106" s="31"/>
      <c r="E106" s="73" t="str" cm="1">
        <f t="array" ref="E106">TRANSPOSE(_xlfn._xlws.SORT(_xlfn._xlws.FILTER(B106:B473,ISNUMBER(SEARCH('PartLib Table'!M112,B106:B473)),"not found")))</f>
        <v>not found</v>
      </c>
    </row>
    <row r="107" spans="2:5">
      <c r="B107" s="31"/>
      <c r="D107" s="31"/>
      <c r="E107" s="73" t="str" cm="1">
        <f t="array" ref="E107">TRANSPOSE(_xlfn._xlws.SORT(_xlfn._xlws.FILTER(B107:B474,ISNUMBER(SEARCH('PartLib Table'!M113,B107:B474)),"not found")))</f>
        <v>not found</v>
      </c>
    </row>
    <row r="108" spans="2:5">
      <c r="B108" s="31"/>
      <c r="D108" s="31"/>
      <c r="E108" s="73" t="str" cm="1">
        <f t="array" ref="E108">TRANSPOSE(_xlfn._xlws.SORT(_xlfn._xlws.FILTER(B108:B475,ISNUMBER(SEARCH('PartLib Table'!M114,B108:B475)),"not found")))</f>
        <v>not found</v>
      </c>
    </row>
    <row r="109" spans="2:5">
      <c r="B109" s="31"/>
      <c r="D109" s="31"/>
      <c r="E109" s="73" t="str" cm="1">
        <f t="array" ref="E109">TRANSPOSE(_xlfn._xlws.SORT(_xlfn._xlws.FILTER(B109:B476,ISNUMBER(SEARCH('PartLib Table'!M115,B109:B476)),"not found")))</f>
        <v>not found</v>
      </c>
    </row>
    <row r="110" spans="2:5">
      <c r="B110" s="31"/>
      <c r="D110" s="31"/>
      <c r="E110" s="73" t="str" cm="1">
        <f t="array" ref="E110">TRANSPOSE(_xlfn._xlws.SORT(_xlfn._xlws.FILTER(B110:B477,ISNUMBER(SEARCH('PartLib Table'!M116,B110:B477)),"not found")))</f>
        <v>not found</v>
      </c>
    </row>
    <row r="111" spans="2:5">
      <c r="B111" s="31"/>
      <c r="D111" s="31"/>
      <c r="E111" s="73" t="str" cm="1">
        <f t="array" ref="E111">TRANSPOSE(_xlfn._xlws.SORT(_xlfn._xlws.FILTER(B111:B478,ISNUMBER(SEARCH('PartLib Table'!M117,B111:B478)),"not found")))</f>
        <v>not found</v>
      </c>
    </row>
    <row r="112" spans="2:5">
      <c r="B112" s="31"/>
      <c r="D112" s="31"/>
      <c r="E112" s="73" t="str" cm="1">
        <f t="array" ref="E112">TRANSPOSE(_xlfn._xlws.SORT(_xlfn._xlws.FILTER(B112:B479,ISNUMBER(SEARCH('PartLib Table'!M118,B112:B479)),"not found")))</f>
        <v>not found</v>
      </c>
    </row>
    <row r="113" spans="2:5">
      <c r="B113" s="31"/>
      <c r="D113" s="31"/>
      <c r="E113" s="73" t="str" cm="1">
        <f t="array" ref="E113">TRANSPOSE(_xlfn._xlws.SORT(_xlfn._xlws.FILTER(B113:B480,ISNUMBER(SEARCH('PartLib Table'!M119,B113:B480)),"not found")))</f>
        <v>not found</v>
      </c>
    </row>
    <row r="114" spans="2:5">
      <c r="B114" s="31"/>
      <c r="D114" s="31"/>
      <c r="E114" s="73" t="str" cm="1">
        <f t="array" ref="E114">TRANSPOSE(_xlfn._xlws.SORT(_xlfn._xlws.FILTER(B114:B481,ISNUMBER(SEARCH('PartLib Table'!M120,B114:B481)),"not found")))</f>
        <v>not found</v>
      </c>
    </row>
    <row r="115" spans="2:5">
      <c r="B115" s="31"/>
      <c r="D115" s="31"/>
      <c r="E115" s="73" t="str" cm="1">
        <f t="array" ref="E115">TRANSPOSE(_xlfn._xlws.SORT(_xlfn._xlws.FILTER(B115:B482,ISNUMBER(SEARCH('PartLib Table'!M121,B115:B482)),"not found")))</f>
        <v>not found</v>
      </c>
    </row>
    <row r="116" spans="2:5">
      <c r="B116" s="31"/>
      <c r="D116" s="31"/>
      <c r="E116" s="73" t="str" cm="1">
        <f t="array" ref="E116">TRANSPOSE(_xlfn._xlws.SORT(_xlfn._xlws.FILTER(B116:B483,ISNUMBER(SEARCH('PartLib Table'!M122,B116:B483)),"not found")))</f>
        <v>not found</v>
      </c>
    </row>
    <row r="117" spans="2:5">
      <c r="B117" s="31"/>
      <c r="D117" s="31"/>
      <c r="E117" s="73" t="str" cm="1">
        <f t="array" ref="E117">TRANSPOSE(_xlfn._xlws.SORT(_xlfn._xlws.FILTER(B117:B484,ISNUMBER(SEARCH('PartLib Table'!M123,B117:B484)),"not found")))</f>
        <v>not found</v>
      </c>
    </row>
    <row r="118" spans="2:5">
      <c r="B118" s="31"/>
      <c r="D118" s="31"/>
      <c r="E118" s="73" t="str" cm="1">
        <f t="array" ref="E118">TRANSPOSE(_xlfn._xlws.SORT(_xlfn._xlws.FILTER(B118:B485,ISNUMBER(SEARCH('PartLib Table'!M124,B118:B485)),"not found")))</f>
        <v>not found</v>
      </c>
    </row>
    <row r="119" spans="2:5">
      <c r="B119" s="31"/>
      <c r="D119" s="31"/>
      <c r="E119" s="73" t="str" cm="1">
        <f t="array" ref="E119">TRANSPOSE(_xlfn._xlws.SORT(_xlfn._xlws.FILTER(B119:B486,ISNUMBER(SEARCH('PartLib Table'!M125,B119:B486)),"not found")))</f>
        <v>not found</v>
      </c>
    </row>
    <row r="120" spans="2:5">
      <c r="B120" s="31"/>
      <c r="D120" s="31"/>
      <c r="E120" s="73" t="str" cm="1">
        <f t="array" ref="E120">TRANSPOSE(_xlfn._xlws.SORT(_xlfn._xlws.FILTER(B120:B487,ISNUMBER(SEARCH('PartLib Table'!M126,B120:B487)),"not found")))</f>
        <v>not found</v>
      </c>
    </row>
    <row r="121" spans="2:5">
      <c r="B121" s="31"/>
      <c r="D121" s="31"/>
      <c r="E121" s="73" t="str" cm="1">
        <f t="array" ref="E121">TRANSPOSE(_xlfn._xlws.SORT(_xlfn._xlws.FILTER(B121:B488,ISNUMBER(SEARCH('PartLib Table'!M127,B121:B488)),"not found")))</f>
        <v>not found</v>
      </c>
    </row>
    <row r="122" spans="2:5">
      <c r="B122" s="31"/>
      <c r="D122" s="31"/>
      <c r="E122" s="73" t="str" cm="1">
        <f t="array" ref="E122">TRANSPOSE(_xlfn._xlws.SORT(_xlfn._xlws.FILTER(B122:B489,ISNUMBER(SEARCH('PartLib Table'!M128,B122:B489)),"not found")))</f>
        <v>not found</v>
      </c>
    </row>
    <row r="123" spans="2:5">
      <c r="B123" s="31"/>
      <c r="D123" s="31"/>
      <c r="E123" s="73" t="str" cm="1">
        <f t="array" ref="E123">TRANSPOSE(_xlfn._xlws.SORT(_xlfn._xlws.FILTER(B123:B490,ISNUMBER(SEARCH('PartLib Table'!M129,B123:B490)),"not found")))</f>
        <v>not found</v>
      </c>
    </row>
    <row r="124" spans="2:5">
      <c r="B124" s="31"/>
      <c r="D124" s="31"/>
      <c r="E124" s="73" t="str" cm="1">
        <f t="array" ref="E124">TRANSPOSE(_xlfn._xlws.SORT(_xlfn._xlws.FILTER(B124:B491,ISNUMBER(SEARCH('PartLib Table'!M130,B124:B491)),"not found")))</f>
        <v>not found</v>
      </c>
    </row>
    <row r="125" spans="2:5">
      <c r="B125" s="31"/>
      <c r="D125" s="31"/>
      <c r="E125" s="73" t="str" cm="1">
        <f t="array" ref="E125">TRANSPOSE(_xlfn._xlws.SORT(_xlfn._xlws.FILTER(B125:B492,ISNUMBER(SEARCH('PartLib Table'!M131,B125:B492)),"not found")))</f>
        <v>not found</v>
      </c>
    </row>
    <row r="126" spans="2:5">
      <c r="B126" s="31"/>
      <c r="D126" s="31"/>
      <c r="E126" s="73" t="str" cm="1">
        <f t="array" ref="E126">TRANSPOSE(_xlfn._xlws.SORT(_xlfn._xlws.FILTER(B126:B493,ISNUMBER(SEARCH('PartLib Table'!M132,B126:B493)),"not found")))</f>
        <v>not found</v>
      </c>
    </row>
    <row r="127" spans="2:5">
      <c r="B127" s="31"/>
      <c r="D127" s="31"/>
      <c r="E127" s="73" t="str" cm="1">
        <f t="array" ref="E127">TRANSPOSE(_xlfn._xlws.SORT(_xlfn._xlws.FILTER(B127:B494,ISNUMBER(SEARCH('PartLib Table'!M133,B127:B494)),"not found")))</f>
        <v>not found</v>
      </c>
    </row>
    <row r="128" spans="2:5">
      <c r="B128" s="31"/>
      <c r="D128" s="31"/>
      <c r="E128" s="73" t="str" cm="1">
        <f t="array" ref="E128">TRANSPOSE(_xlfn._xlws.SORT(_xlfn._xlws.FILTER(B128:B495,ISNUMBER(SEARCH('PartLib Table'!M134,B128:B495)),"not found")))</f>
        <v>not found</v>
      </c>
    </row>
    <row r="129" spans="2:5">
      <c r="B129" s="31"/>
      <c r="D129" s="31"/>
      <c r="E129" s="73" t="str" cm="1">
        <f t="array" ref="E129">TRANSPOSE(_xlfn._xlws.SORT(_xlfn._xlws.FILTER(B129:B496,ISNUMBER(SEARCH('PartLib Table'!M135,B129:B496)),"not found")))</f>
        <v>not found</v>
      </c>
    </row>
    <row r="130" spans="2:5">
      <c r="B130" s="31"/>
      <c r="D130" s="31"/>
      <c r="E130" s="73" t="str" cm="1">
        <f t="array" ref="E130">TRANSPOSE(_xlfn._xlws.SORT(_xlfn._xlws.FILTER(B130:B497,ISNUMBER(SEARCH('PartLib Table'!M136,B130:B497)),"not found")))</f>
        <v>not found</v>
      </c>
    </row>
    <row r="131" spans="2:5">
      <c r="B131" s="31"/>
      <c r="D131" s="31"/>
      <c r="E131" s="73" t="str" cm="1">
        <f t="array" ref="E131">TRANSPOSE(_xlfn._xlws.SORT(_xlfn._xlws.FILTER(B131:B498,ISNUMBER(SEARCH('PartLib Table'!M137,B131:B498)),"not found")))</f>
        <v>not found</v>
      </c>
    </row>
    <row r="132" spans="2:5">
      <c r="B132" s="31"/>
      <c r="D132" s="31"/>
      <c r="E132" s="73" t="str" cm="1">
        <f t="array" ref="E132">TRANSPOSE(_xlfn._xlws.SORT(_xlfn._xlws.FILTER(B132:B499,ISNUMBER(SEARCH('PartLib Table'!M138,B132:B499)),"not found")))</f>
        <v>not found</v>
      </c>
    </row>
    <row r="133" spans="2:5">
      <c r="B133" s="31"/>
      <c r="D133" s="31"/>
      <c r="E133" s="73" t="str" cm="1">
        <f t="array" ref="E133">TRANSPOSE(_xlfn._xlws.SORT(_xlfn._xlws.FILTER(B133:B500,ISNUMBER(SEARCH('PartLib Table'!M139,B133:B500)),"not found")))</f>
        <v>not found</v>
      </c>
    </row>
    <row r="134" spans="2:5">
      <c r="B134" s="31"/>
      <c r="D134" s="31"/>
      <c r="E134" s="73" t="str" cm="1">
        <f t="array" ref="E134">TRANSPOSE(_xlfn._xlws.SORT(_xlfn._xlws.FILTER(B134:B501,ISNUMBER(SEARCH('PartLib Table'!M140,B134:B501)),"not found")))</f>
        <v>not found</v>
      </c>
    </row>
    <row r="135" spans="2:5">
      <c r="B135" s="31"/>
      <c r="D135" s="31"/>
      <c r="E135" s="73" t="str" cm="1">
        <f t="array" ref="E135">TRANSPOSE(_xlfn._xlws.SORT(_xlfn._xlws.FILTER(B135:B502,ISNUMBER(SEARCH('PartLib Table'!M141,B135:B502)),"not found")))</f>
        <v>not found</v>
      </c>
    </row>
    <row r="136" spans="2:5">
      <c r="B136" s="31"/>
      <c r="D136" s="31"/>
      <c r="E136" s="73" t="str" cm="1">
        <f t="array" ref="E136">TRANSPOSE(_xlfn._xlws.SORT(_xlfn._xlws.FILTER(B136:B503,ISNUMBER(SEARCH('PartLib Table'!M142,B136:B503)),"not found")))</f>
        <v>not found</v>
      </c>
    </row>
    <row r="137" spans="2:5">
      <c r="B137" s="31"/>
      <c r="D137" s="31"/>
      <c r="E137" s="73" t="str" cm="1">
        <f t="array" ref="E137">TRANSPOSE(_xlfn._xlws.SORT(_xlfn._xlws.FILTER(B137:B504,ISNUMBER(SEARCH('PartLib Table'!M143,B137:B504)),"not found")))</f>
        <v>not found</v>
      </c>
    </row>
    <row r="138" spans="2:5">
      <c r="B138" s="31"/>
      <c r="D138" s="31"/>
      <c r="E138" s="73" t="str" cm="1">
        <f t="array" ref="E138">TRANSPOSE(_xlfn._xlws.SORT(_xlfn._xlws.FILTER(B138:B505,ISNUMBER(SEARCH('PartLib Table'!M144,B138:B505)),"not found")))</f>
        <v>not found</v>
      </c>
    </row>
    <row r="139" spans="2:5">
      <c r="B139" s="31"/>
      <c r="D139" s="31"/>
      <c r="E139" s="73" t="str" cm="1">
        <f t="array" ref="E139">TRANSPOSE(_xlfn._xlws.SORT(_xlfn._xlws.FILTER(B139:B506,ISNUMBER(SEARCH('PartLib Table'!M145,B139:B506)),"not found")))</f>
        <v>not found</v>
      </c>
    </row>
    <row r="140" spans="2:5">
      <c r="B140" s="31"/>
      <c r="D140" s="31"/>
      <c r="E140" s="73" t="str" cm="1">
        <f t="array" ref="E140">TRANSPOSE(_xlfn._xlws.SORT(_xlfn._xlws.FILTER(B140:B507,ISNUMBER(SEARCH('PartLib Table'!M146,B140:B507)),"not found")))</f>
        <v>not found</v>
      </c>
    </row>
    <row r="141" spans="2:5">
      <c r="B141" s="31"/>
      <c r="D141" s="31"/>
      <c r="E141" s="73" t="str" cm="1">
        <f t="array" ref="E141">TRANSPOSE(_xlfn._xlws.SORT(_xlfn._xlws.FILTER(B141:B508,ISNUMBER(SEARCH('PartLib Table'!M147,B141:B508)),"not found")))</f>
        <v>not found</v>
      </c>
    </row>
    <row r="142" spans="2:5">
      <c r="B142" s="31"/>
      <c r="D142" s="31"/>
      <c r="E142" s="73" t="str" cm="1">
        <f t="array" ref="E142">TRANSPOSE(_xlfn._xlws.SORT(_xlfn._xlws.FILTER(B142:B509,ISNUMBER(SEARCH('PartLib Table'!M148,B142:B509)),"not found")))</f>
        <v>not found</v>
      </c>
    </row>
    <row r="143" spans="2:5">
      <c r="B143" s="31"/>
      <c r="D143" s="31"/>
      <c r="E143" s="73" t="str" cm="1">
        <f t="array" ref="E143">TRANSPOSE(_xlfn._xlws.SORT(_xlfn._xlws.FILTER(B143:B510,ISNUMBER(SEARCH('PartLib Table'!M149,B143:B510)),"not found")))</f>
        <v>not found</v>
      </c>
    </row>
    <row r="144" spans="2:5">
      <c r="B144" s="31"/>
      <c r="D144" s="31"/>
      <c r="E144" s="73" t="str" cm="1">
        <f t="array" ref="E144">TRANSPOSE(_xlfn._xlws.SORT(_xlfn._xlws.FILTER(B144:B511,ISNUMBER(SEARCH('PartLib Table'!M150,B144:B511)),"not found")))</f>
        <v>not found</v>
      </c>
    </row>
    <row r="145" spans="2:5">
      <c r="B145" s="31"/>
      <c r="D145" s="31"/>
      <c r="E145" s="73" t="str" cm="1">
        <f t="array" ref="E145">TRANSPOSE(_xlfn._xlws.SORT(_xlfn._xlws.FILTER(B145:B512,ISNUMBER(SEARCH('PartLib Table'!M151,B145:B512)),"not found")))</f>
        <v>not found</v>
      </c>
    </row>
    <row r="146" spans="2:5">
      <c r="B146" s="31"/>
      <c r="D146" s="31"/>
      <c r="E146" s="73" t="str" cm="1">
        <f t="array" ref="E146">TRANSPOSE(_xlfn._xlws.SORT(_xlfn._xlws.FILTER(B146:B513,ISNUMBER(SEARCH('PartLib Table'!M152,B146:B513)),"not found")))</f>
        <v>not found</v>
      </c>
    </row>
    <row r="147" spans="2:5">
      <c r="B147" s="31"/>
      <c r="D147" s="31"/>
      <c r="E147" s="73" t="str" cm="1">
        <f t="array" ref="E147">TRANSPOSE(_xlfn._xlws.SORT(_xlfn._xlws.FILTER(B147:B514,ISNUMBER(SEARCH('PartLib Table'!M153,B147:B514)),"not found")))</f>
        <v>not found</v>
      </c>
    </row>
    <row r="148" spans="2:5">
      <c r="B148" s="31"/>
      <c r="D148" s="31"/>
      <c r="E148" s="73" t="str" cm="1">
        <f t="array" ref="E148">TRANSPOSE(_xlfn._xlws.SORT(_xlfn._xlws.FILTER(B148:B515,ISNUMBER(SEARCH('PartLib Table'!M154,B148:B515)),"not found")))</f>
        <v>not found</v>
      </c>
    </row>
    <row r="149" spans="2:5">
      <c r="B149" s="31"/>
      <c r="D149" s="31"/>
      <c r="E149" s="73" t="str" cm="1">
        <f t="array" ref="E149">TRANSPOSE(_xlfn._xlws.SORT(_xlfn._xlws.FILTER(B149:B516,ISNUMBER(SEARCH('PartLib Table'!M155,B149:B516)),"not found")))</f>
        <v>not found</v>
      </c>
    </row>
    <row r="150" spans="2:5">
      <c r="B150" s="31"/>
      <c r="D150" s="31"/>
      <c r="E150" s="73" t="str" cm="1">
        <f t="array" ref="E150">TRANSPOSE(_xlfn._xlws.SORT(_xlfn._xlws.FILTER(B150:B517,ISNUMBER(SEARCH('PartLib Table'!M156,B150:B517)),"not found")))</f>
        <v>not found</v>
      </c>
    </row>
    <row r="151" spans="2:5">
      <c r="B151" s="31"/>
      <c r="D151" s="31"/>
      <c r="E151" s="73" t="str" cm="1">
        <f t="array" ref="E151">TRANSPOSE(_xlfn._xlws.SORT(_xlfn._xlws.FILTER(B151:B518,ISNUMBER(SEARCH('PartLib Table'!M157,B151:B518)),"not found")))</f>
        <v>not found</v>
      </c>
    </row>
    <row r="152" spans="2:5">
      <c r="B152" s="31"/>
      <c r="D152" s="31"/>
      <c r="E152" s="73" t="str" cm="1">
        <f t="array" ref="E152">TRANSPOSE(_xlfn._xlws.SORT(_xlfn._xlws.FILTER(B152:B519,ISNUMBER(SEARCH('PartLib Table'!M158,B152:B519)),"not found")))</f>
        <v>not found</v>
      </c>
    </row>
    <row r="153" spans="2:5">
      <c r="B153" s="31"/>
      <c r="D153" s="31"/>
      <c r="E153" s="73" t="str" cm="1">
        <f t="array" ref="E153">TRANSPOSE(_xlfn._xlws.SORT(_xlfn._xlws.FILTER(B153:B520,ISNUMBER(SEARCH('PartLib Table'!M159,B153:B520)),"not found")))</f>
        <v>not found</v>
      </c>
    </row>
    <row r="154" spans="2:5">
      <c r="B154" s="31"/>
      <c r="D154" s="31"/>
      <c r="E154" s="73" t="str" cm="1">
        <f t="array" ref="E154">TRANSPOSE(_xlfn._xlws.SORT(_xlfn._xlws.FILTER(B154:B521,ISNUMBER(SEARCH('PartLib Table'!M160,B154:B521)),"not found")))</f>
        <v>not found</v>
      </c>
    </row>
    <row r="155" spans="2:5">
      <c r="B155" s="31"/>
      <c r="D155" s="31"/>
      <c r="E155" s="73" t="str" cm="1">
        <f t="array" ref="E155">TRANSPOSE(_xlfn._xlws.SORT(_xlfn._xlws.FILTER(B155:B522,ISNUMBER(SEARCH('PartLib Table'!M161,B155:B522)),"not found")))</f>
        <v>not found</v>
      </c>
    </row>
    <row r="156" spans="2:5">
      <c r="B156" s="31"/>
      <c r="D156" s="31"/>
      <c r="E156" s="73" t="str" cm="1">
        <f t="array" ref="E156">TRANSPOSE(_xlfn._xlws.SORT(_xlfn._xlws.FILTER(B156:B523,ISNUMBER(SEARCH('PartLib Table'!M162,B156:B523)),"not found")))</f>
        <v>not found</v>
      </c>
    </row>
    <row r="157" spans="2:5">
      <c r="B157" s="31"/>
      <c r="D157" s="31"/>
      <c r="E157" s="73" t="str" cm="1">
        <f t="array" ref="E157">TRANSPOSE(_xlfn._xlws.SORT(_xlfn._xlws.FILTER(B157:B524,ISNUMBER(SEARCH('PartLib Table'!M163,B157:B524)),"not found")))</f>
        <v>not found</v>
      </c>
    </row>
    <row r="158" spans="2:5">
      <c r="B158" s="31"/>
      <c r="D158" s="31"/>
      <c r="E158" s="73" t="str" cm="1">
        <f t="array" ref="E158">TRANSPOSE(_xlfn._xlws.SORT(_xlfn._xlws.FILTER(B158:B525,ISNUMBER(SEARCH('PartLib Table'!M164,B158:B525)),"not found")))</f>
        <v>not found</v>
      </c>
    </row>
    <row r="159" spans="2:5">
      <c r="B159" s="31"/>
      <c r="D159" s="31"/>
      <c r="E159" s="73" t="str" cm="1">
        <f t="array" ref="E159">TRANSPOSE(_xlfn._xlws.SORT(_xlfn._xlws.FILTER(B159:B526,ISNUMBER(SEARCH('PartLib Table'!M165,B159:B526)),"not found")))</f>
        <v>not found</v>
      </c>
    </row>
    <row r="160" spans="2:5">
      <c r="B160" s="31"/>
      <c r="D160" s="31"/>
      <c r="E160" s="73" t="str" cm="1">
        <f t="array" ref="E160">TRANSPOSE(_xlfn._xlws.SORT(_xlfn._xlws.FILTER(B160:B527,ISNUMBER(SEARCH('PartLib Table'!M166,B160:B527)),"not found")))</f>
        <v>not found</v>
      </c>
    </row>
    <row r="161" spans="2:5">
      <c r="B161" s="31"/>
      <c r="D161" s="31"/>
      <c r="E161" s="73" t="str" cm="1">
        <f t="array" ref="E161">TRANSPOSE(_xlfn._xlws.SORT(_xlfn._xlws.FILTER(B161:B528,ISNUMBER(SEARCH('PartLib Table'!M167,B161:B528)),"not found")))</f>
        <v>not found</v>
      </c>
    </row>
    <row r="162" spans="2:5">
      <c r="B162" s="31"/>
      <c r="D162" s="31"/>
      <c r="E162" s="73" t="str" cm="1">
        <f t="array" ref="E162">TRANSPOSE(_xlfn._xlws.SORT(_xlfn._xlws.FILTER(B162:B529,ISNUMBER(SEARCH('PartLib Table'!M168,B162:B529)),"not found")))</f>
        <v>not found</v>
      </c>
    </row>
    <row r="163" spans="2:5">
      <c r="B163" s="31"/>
      <c r="D163" s="31"/>
      <c r="E163" s="73" t="str" cm="1">
        <f t="array" ref="E163">TRANSPOSE(_xlfn._xlws.SORT(_xlfn._xlws.FILTER(B163:B530,ISNUMBER(SEARCH('PartLib Table'!M169,B163:B530)),"not found")))</f>
        <v>not found</v>
      </c>
    </row>
    <row r="164" spans="2:5">
      <c r="B164" s="31"/>
      <c r="D164" s="31"/>
      <c r="E164" s="73" t="str" cm="1">
        <f t="array" ref="E164">TRANSPOSE(_xlfn._xlws.SORT(_xlfn._xlws.FILTER(B164:B531,ISNUMBER(SEARCH('PartLib Table'!M170,B164:B531)),"not found")))</f>
        <v>not found</v>
      </c>
    </row>
    <row r="165" spans="2:5">
      <c r="B165" s="31"/>
      <c r="D165" s="31"/>
      <c r="E165" s="73" t="str" cm="1">
        <f t="array" ref="E165">TRANSPOSE(_xlfn._xlws.SORT(_xlfn._xlws.FILTER(B165:B532,ISNUMBER(SEARCH('PartLib Table'!M171,B165:B532)),"not found")))</f>
        <v>not found</v>
      </c>
    </row>
    <row r="166" spans="2:5">
      <c r="B166" s="31"/>
      <c r="D166" s="31"/>
      <c r="E166" s="73" t="str" cm="1">
        <f t="array" ref="E166">TRANSPOSE(_xlfn._xlws.SORT(_xlfn._xlws.FILTER(B166:B533,ISNUMBER(SEARCH('PartLib Table'!M172,B166:B533)),"not found")))</f>
        <v>not found</v>
      </c>
    </row>
    <row r="167" spans="2:5">
      <c r="B167" s="31"/>
      <c r="D167" s="31"/>
      <c r="E167" s="73" t="str" cm="1">
        <f t="array" ref="E167">TRANSPOSE(_xlfn._xlws.SORT(_xlfn._xlws.FILTER(B167:B534,ISNUMBER(SEARCH('PartLib Table'!M173,B167:B534)),"not found")))</f>
        <v>not found</v>
      </c>
    </row>
    <row r="168" spans="2:5">
      <c r="B168" s="31"/>
      <c r="D168" s="31"/>
      <c r="E168" s="73" t="str" cm="1">
        <f t="array" ref="E168">TRANSPOSE(_xlfn._xlws.SORT(_xlfn._xlws.FILTER(B168:B535,ISNUMBER(SEARCH('PartLib Table'!M174,B168:B535)),"not found")))</f>
        <v>not found</v>
      </c>
    </row>
    <row r="169" spans="2:5">
      <c r="B169" s="31"/>
      <c r="D169" s="31"/>
      <c r="E169" s="73" t="str" cm="1">
        <f t="array" ref="E169">TRANSPOSE(_xlfn._xlws.SORT(_xlfn._xlws.FILTER(B169:B536,ISNUMBER(SEARCH('PartLib Table'!M175,B169:B536)),"not found")))</f>
        <v>not found</v>
      </c>
    </row>
    <row r="170" spans="2:5">
      <c r="B170" s="31"/>
      <c r="D170" s="31"/>
      <c r="E170" s="73" t="str" cm="1">
        <f t="array" ref="E170">TRANSPOSE(_xlfn._xlws.SORT(_xlfn._xlws.FILTER(B170:B537,ISNUMBER(SEARCH('PartLib Table'!M176,B170:B537)),"not found")))</f>
        <v>not found</v>
      </c>
    </row>
    <row r="171" spans="2:5">
      <c r="B171" s="31"/>
      <c r="D171" s="31"/>
      <c r="E171" s="73" t="str" cm="1">
        <f t="array" ref="E171">TRANSPOSE(_xlfn._xlws.SORT(_xlfn._xlws.FILTER(B171:B538,ISNUMBER(SEARCH('PartLib Table'!M177,B171:B538)),"not found")))</f>
        <v>not found</v>
      </c>
    </row>
    <row r="172" spans="2:5">
      <c r="B172" s="31"/>
      <c r="D172" s="31"/>
      <c r="E172" s="73" t="str" cm="1">
        <f t="array" ref="E172">TRANSPOSE(_xlfn._xlws.SORT(_xlfn._xlws.FILTER(B172:B539,ISNUMBER(SEARCH('PartLib Table'!M178,B172:B539)),"not found")))</f>
        <v>not found</v>
      </c>
    </row>
    <row r="173" spans="2:5">
      <c r="B173" s="31"/>
      <c r="D173" s="31"/>
      <c r="E173" s="73" t="str" cm="1">
        <f t="array" ref="E173">TRANSPOSE(_xlfn._xlws.SORT(_xlfn._xlws.FILTER(B173:B540,ISNUMBER(SEARCH('PartLib Table'!M179,B173:B540)),"not found")))</f>
        <v>not found</v>
      </c>
    </row>
    <row r="174" spans="2:5">
      <c r="B174" s="31"/>
      <c r="D174" s="31"/>
      <c r="E174" s="73" t="str" cm="1">
        <f t="array" ref="E174">TRANSPOSE(_xlfn._xlws.SORT(_xlfn._xlws.FILTER(B174:B541,ISNUMBER(SEARCH('PartLib Table'!M180,B174:B541)),"not found")))</f>
        <v>not found</v>
      </c>
    </row>
    <row r="175" spans="2:5">
      <c r="B175" s="31"/>
      <c r="D175" s="31"/>
      <c r="E175" s="73" t="str" cm="1">
        <f t="array" ref="E175">TRANSPOSE(_xlfn._xlws.SORT(_xlfn._xlws.FILTER(B175:B542,ISNUMBER(SEARCH('PartLib Table'!M181,B175:B542)),"not found")))</f>
        <v>not found</v>
      </c>
    </row>
    <row r="176" spans="2:5">
      <c r="B176" s="31"/>
      <c r="D176" s="31"/>
      <c r="E176" s="73" t="str" cm="1">
        <f t="array" ref="E176">TRANSPOSE(_xlfn._xlws.SORT(_xlfn._xlws.FILTER(B176:B543,ISNUMBER(SEARCH('PartLib Table'!M182,B176:B543)),"not found")))</f>
        <v>not found</v>
      </c>
    </row>
    <row r="177" spans="2:5">
      <c r="B177" s="31"/>
      <c r="D177" s="31"/>
      <c r="E177" s="73" t="str" cm="1">
        <f t="array" ref="E177">TRANSPOSE(_xlfn._xlws.SORT(_xlfn._xlws.FILTER(B177:B544,ISNUMBER(SEARCH('PartLib Table'!M183,B177:B544)),"not found")))</f>
        <v>not found</v>
      </c>
    </row>
    <row r="178" spans="2:5">
      <c r="B178" s="31"/>
      <c r="D178" s="31"/>
      <c r="E178" s="73" t="str" cm="1">
        <f t="array" ref="E178">TRANSPOSE(_xlfn._xlws.SORT(_xlfn._xlws.FILTER(B178:B545,ISNUMBER(SEARCH('PartLib Table'!M184,B178:B545)),"not found")))</f>
        <v>not found</v>
      </c>
    </row>
    <row r="179" spans="2:5">
      <c r="B179" s="31"/>
      <c r="D179" s="31"/>
      <c r="E179" s="73" t="str" cm="1">
        <f t="array" ref="E179">TRANSPOSE(_xlfn._xlws.SORT(_xlfn._xlws.FILTER(B179:B546,ISNUMBER(SEARCH('PartLib Table'!M185,B179:B546)),"not found")))</f>
        <v>not found</v>
      </c>
    </row>
    <row r="180" spans="2:5">
      <c r="B180" s="31"/>
      <c r="D180" s="31"/>
      <c r="E180" s="73" t="str" cm="1">
        <f t="array" ref="E180">TRANSPOSE(_xlfn._xlws.SORT(_xlfn._xlws.FILTER(B180:B547,ISNUMBER(SEARCH('PartLib Table'!M186,B180:B547)),"not found")))</f>
        <v>not found</v>
      </c>
    </row>
    <row r="181" spans="2:5">
      <c r="B181" s="31"/>
      <c r="D181" s="31"/>
      <c r="E181" s="73" t="str" cm="1">
        <f t="array" ref="E181">TRANSPOSE(_xlfn._xlws.SORT(_xlfn._xlws.FILTER(B181:B548,ISNUMBER(SEARCH('PartLib Table'!M187,B181:B548)),"not found")))</f>
        <v>not found</v>
      </c>
    </row>
    <row r="182" spans="2:5">
      <c r="B182" s="31"/>
      <c r="D182" s="31"/>
      <c r="E182" s="73" t="str" cm="1">
        <f t="array" ref="E182">TRANSPOSE(_xlfn._xlws.SORT(_xlfn._xlws.FILTER(B182:B549,ISNUMBER(SEARCH('PartLib Table'!M188,B182:B549)),"not found")))</f>
        <v>not found</v>
      </c>
    </row>
    <row r="183" spans="2:5">
      <c r="B183" s="31"/>
      <c r="D183" s="31"/>
      <c r="E183" s="73" t="str" cm="1">
        <f t="array" ref="E183">TRANSPOSE(_xlfn._xlws.SORT(_xlfn._xlws.FILTER(B183:B550,ISNUMBER(SEARCH('PartLib Table'!M189,B183:B550)),"not found")))</f>
        <v>not found</v>
      </c>
    </row>
    <row r="184" spans="2:5">
      <c r="B184" s="31"/>
      <c r="D184" s="31"/>
      <c r="E184" s="73" t="str" cm="1">
        <f t="array" ref="E184">TRANSPOSE(_xlfn._xlws.SORT(_xlfn._xlws.FILTER(B184:B551,ISNUMBER(SEARCH('PartLib Table'!M190,B184:B551)),"not found")))</f>
        <v>not found</v>
      </c>
    </row>
    <row r="185" spans="2:5">
      <c r="B185" s="31"/>
      <c r="D185" s="31"/>
      <c r="E185" s="73" t="str" cm="1">
        <f t="array" ref="E185">TRANSPOSE(_xlfn._xlws.SORT(_xlfn._xlws.FILTER(B185:B552,ISNUMBER(SEARCH('PartLib Table'!M191,B185:B552)),"not found")))</f>
        <v>not found</v>
      </c>
    </row>
    <row r="186" spans="2:5">
      <c r="B186" s="31"/>
      <c r="D186" s="31"/>
      <c r="E186" s="73" t="str" cm="1">
        <f t="array" ref="E186">TRANSPOSE(_xlfn._xlws.SORT(_xlfn._xlws.FILTER(B186:B553,ISNUMBER(SEARCH('PartLib Table'!M192,B186:B553)),"not found")))</f>
        <v>not found</v>
      </c>
    </row>
    <row r="187" spans="2:5">
      <c r="B187" s="31"/>
      <c r="D187" s="31"/>
      <c r="E187" s="73" t="str" cm="1">
        <f t="array" ref="E187">TRANSPOSE(_xlfn._xlws.SORT(_xlfn._xlws.FILTER(B187:B554,ISNUMBER(SEARCH('PartLib Table'!M193,B187:B554)),"not found")))</f>
        <v>not found</v>
      </c>
    </row>
    <row r="188" spans="2:5">
      <c r="B188" s="31"/>
      <c r="D188" s="31"/>
      <c r="E188" s="73" t="str" cm="1">
        <f t="array" ref="E188">TRANSPOSE(_xlfn._xlws.SORT(_xlfn._xlws.FILTER(B188:B555,ISNUMBER(SEARCH('PartLib Table'!M194,B188:B555)),"not found")))</f>
        <v>not found</v>
      </c>
    </row>
    <row r="189" spans="2:5">
      <c r="B189" s="31"/>
      <c r="D189" s="31"/>
      <c r="E189" s="73" t="str" cm="1">
        <f t="array" ref="E189">TRANSPOSE(_xlfn._xlws.SORT(_xlfn._xlws.FILTER(B189:B556,ISNUMBER(SEARCH('PartLib Table'!M195,B189:B556)),"not found")))</f>
        <v>not found</v>
      </c>
    </row>
    <row r="190" spans="2:5">
      <c r="B190" s="31"/>
      <c r="D190" s="31"/>
      <c r="E190" s="73" t="str" cm="1">
        <f t="array" ref="E190">TRANSPOSE(_xlfn._xlws.SORT(_xlfn._xlws.FILTER(B190:B557,ISNUMBER(SEARCH('PartLib Table'!M196,B190:B557)),"not found")))</f>
        <v>not found</v>
      </c>
    </row>
    <row r="191" spans="2:5">
      <c r="B191" s="31"/>
      <c r="D191" s="31"/>
      <c r="E191" s="73" t="str" cm="1">
        <f t="array" ref="E191">TRANSPOSE(_xlfn._xlws.SORT(_xlfn._xlws.FILTER(B191:B558,ISNUMBER(SEARCH('PartLib Table'!M197,B191:B558)),"not found")))</f>
        <v>not found</v>
      </c>
    </row>
    <row r="192" spans="2:5">
      <c r="B192" s="31"/>
      <c r="D192" s="31"/>
      <c r="E192" s="73" t="str" cm="1">
        <f t="array" ref="E192">TRANSPOSE(_xlfn._xlws.SORT(_xlfn._xlws.FILTER(B192:B559,ISNUMBER(SEARCH('PartLib Table'!M198,B192:B559)),"not found")))</f>
        <v>not found</v>
      </c>
    </row>
    <row r="193" spans="2:5">
      <c r="B193" s="31"/>
      <c r="D193" s="31"/>
      <c r="E193" s="73" t="str" cm="1">
        <f t="array" ref="E193">TRANSPOSE(_xlfn._xlws.SORT(_xlfn._xlws.FILTER(B193:B560,ISNUMBER(SEARCH('PartLib Table'!M199,B193:B560)),"not found")))</f>
        <v>not found</v>
      </c>
    </row>
    <row r="194" spans="2:5">
      <c r="B194" s="31"/>
      <c r="D194" s="31"/>
      <c r="E194" s="73" t="str" cm="1">
        <f t="array" ref="E194">TRANSPOSE(_xlfn._xlws.SORT(_xlfn._xlws.FILTER(B194:B561,ISNUMBER(SEARCH('PartLib Table'!M200,B194:B561)),"not found")))</f>
        <v>not found</v>
      </c>
    </row>
    <row r="195" spans="2:5">
      <c r="B195" s="31"/>
      <c r="D195" s="31"/>
      <c r="E195" s="73" t="str" cm="1">
        <f t="array" ref="E195">TRANSPOSE(_xlfn._xlws.SORT(_xlfn._xlws.FILTER(B195:B562,ISNUMBER(SEARCH('PartLib Table'!M201,B195:B562)),"not found")))</f>
        <v>not found</v>
      </c>
    </row>
    <row r="196" spans="2:5">
      <c r="B196" s="31"/>
      <c r="D196" s="31"/>
      <c r="E196" s="73" t="str" cm="1">
        <f t="array" ref="E196">TRANSPOSE(_xlfn._xlws.SORT(_xlfn._xlws.FILTER(B196:B563,ISNUMBER(SEARCH('PartLib Table'!M202,B196:B563)),"not found")))</f>
        <v>not found</v>
      </c>
    </row>
    <row r="197" spans="2:5">
      <c r="B197" s="31"/>
      <c r="D197" s="31"/>
      <c r="E197" s="73" t="str" cm="1">
        <f t="array" ref="E197">TRANSPOSE(_xlfn._xlws.SORT(_xlfn._xlws.FILTER(B197:B564,ISNUMBER(SEARCH('PartLib Table'!M203,B197:B564)),"not found")))</f>
        <v>not found</v>
      </c>
    </row>
    <row r="198" spans="2:5">
      <c r="B198" s="31"/>
      <c r="D198" s="31"/>
      <c r="E198" s="73" t="str" cm="1">
        <f t="array" ref="E198">TRANSPOSE(_xlfn._xlws.SORT(_xlfn._xlws.FILTER(B198:B565,ISNUMBER(SEARCH('PartLib Table'!M204,B198:B565)),"not found")))</f>
        <v>not found</v>
      </c>
    </row>
    <row r="199" spans="2:5">
      <c r="B199" s="31"/>
      <c r="D199" s="31"/>
      <c r="E199" s="73" t="str" cm="1">
        <f t="array" ref="E199">TRANSPOSE(_xlfn._xlws.SORT(_xlfn._xlws.FILTER(B199:B566,ISNUMBER(SEARCH('PartLib Table'!M205,B199:B566)),"not found")))</f>
        <v>not found</v>
      </c>
    </row>
    <row r="200" spans="2:5">
      <c r="B200" s="31"/>
      <c r="D200" s="31"/>
      <c r="E200" s="73" t="str" cm="1">
        <f t="array" ref="E200">TRANSPOSE(_xlfn._xlws.SORT(_xlfn._xlws.FILTER(B200:B567,ISNUMBER(SEARCH('PartLib Table'!M206,B200:B567)),"not found")))</f>
        <v>not found</v>
      </c>
    </row>
    <row r="201" spans="2:5">
      <c r="B201" s="31"/>
      <c r="D201" s="31"/>
      <c r="E201" s="73" t="str" cm="1">
        <f t="array" ref="E201">TRANSPOSE(_xlfn._xlws.SORT(_xlfn._xlws.FILTER(B201:B568,ISNUMBER(SEARCH('PartLib Table'!M207,B201:B568)),"not found")))</f>
        <v>not found</v>
      </c>
    </row>
    <row r="202" spans="2:5">
      <c r="B202" s="31"/>
      <c r="D202" s="31"/>
      <c r="E202" s="73" t="str" cm="1">
        <f t="array" ref="E202">TRANSPOSE(_xlfn._xlws.SORT(_xlfn._xlws.FILTER(B202:B569,ISNUMBER(SEARCH('PartLib Table'!M208,B202:B569)),"not found")))</f>
        <v>not found</v>
      </c>
    </row>
    <row r="203" spans="2:5">
      <c r="B203" s="31"/>
      <c r="D203" s="31"/>
      <c r="E203" s="73" t="str" cm="1">
        <f t="array" ref="E203">TRANSPOSE(_xlfn._xlws.SORT(_xlfn._xlws.FILTER(B203:B570,ISNUMBER(SEARCH('PartLib Table'!M209,B203:B570)),"not found")))</f>
        <v>not found</v>
      </c>
    </row>
    <row r="204" spans="2:5">
      <c r="B204" s="31"/>
      <c r="D204" s="31"/>
      <c r="E204" s="73" t="str" cm="1">
        <f t="array" ref="E204">TRANSPOSE(_xlfn._xlws.SORT(_xlfn._xlws.FILTER(B204:B571,ISNUMBER(SEARCH('PartLib Table'!M210,B204:B571)),"not found")))</f>
        <v>not found</v>
      </c>
    </row>
    <row r="205" spans="2:5">
      <c r="B205" s="31"/>
      <c r="D205" s="31"/>
      <c r="E205" s="73" t="str" cm="1">
        <f t="array" ref="E205">TRANSPOSE(_xlfn._xlws.SORT(_xlfn._xlws.FILTER(B205:B572,ISNUMBER(SEARCH('PartLib Table'!M211,B205:B572)),"not found")))</f>
        <v>not found</v>
      </c>
    </row>
    <row r="206" spans="2:5">
      <c r="B206" s="31"/>
      <c r="D206" s="31"/>
      <c r="E206" s="73" t="str" cm="1">
        <f t="array" ref="E206">TRANSPOSE(_xlfn._xlws.SORT(_xlfn._xlws.FILTER(B206:B573,ISNUMBER(SEARCH('PartLib Table'!M212,B206:B573)),"not found")))</f>
        <v>not found</v>
      </c>
    </row>
    <row r="207" spans="2:5">
      <c r="B207" s="31"/>
      <c r="D207" s="31"/>
      <c r="E207" s="73" t="str" cm="1">
        <f t="array" ref="E207">TRANSPOSE(_xlfn._xlws.SORT(_xlfn._xlws.FILTER(B207:B574,ISNUMBER(SEARCH('PartLib Table'!M213,B207:B574)),"not found")))</f>
        <v>not found</v>
      </c>
    </row>
    <row r="208" spans="2:5">
      <c r="B208" s="31"/>
      <c r="D208" s="31"/>
      <c r="E208" s="73" t="str" cm="1">
        <f t="array" ref="E208">TRANSPOSE(_xlfn._xlws.SORT(_xlfn._xlws.FILTER(B208:B575,ISNUMBER(SEARCH('PartLib Table'!M214,B208:B575)),"not found")))</f>
        <v>not found</v>
      </c>
    </row>
    <row r="209" spans="2:5">
      <c r="B209" s="31"/>
      <c r="D209" s="31"/>
      <c r="E209" s="73" t="str" cm="1">
        <f t="array" ref="E209">TRANSPOSE(_xlfn._xlws.SORT(_xlfn._xlws.FILTER(B209:B576,ISNUMBER(SEARCH('PartLib Table'!M215,B209:B576)),"not found")))</f>
        <v>not found</v>
      </c>
    </row>
    <row r="210" spans="2:5">
      <c r="B210" s="31"/>
      <c r="D210" s="31"/>
      <c r="E210" s="73" t="str" cm="1">
        <f t="array" ref="E210">TRANSPOSE(_xlfn._xlws.SORT(_xlfn._xlws.FILTER(B210:B577,ISNUMBER(SEARCH('PartLib Table'!M216,B210:B577)),"not found")))</f>
        <v>not found</v>
      </c>
    </row>
    <row r="211" spans="2:5">
      <c r="B211" s="31"/>
      <c r="D211" s="31"/>
      <c r="E211" s="73" t="str" cm="1">
        <f t="array" ref="E211">TRANSPOSE(_xlfn._xlws.SORT(_xlfn._xlws.FILTER(B211:B578,ISNUMBER(SEARCH('PartLib Table'!M217,B211:B578)),"not found")))</f>
        <v>not found</v>
      </c>
    </row>
    <row r="212" spans="2:5">
      <c r="B212" s="31"/>
      <c r="D212" s="31"/>
      <c r="E212" s="73" t="str" cm="1">
        <f t="array" ref="E212">TRANSPOSE(_xlfn._xlws.SORT(_xlfn._xlws.FILTER(B212:B579,ISNUMBER(SEARCH('PartLib Table'!M218,B212:B579)),"not found")))</f>
        <v>not found</v>
      </c>
    </row>
    <row r="213" spans="2:5">
      <c r="B213" s="31"/>
      <c r="D213" s="31"/>
      <c r="E213" s="73" t="str" cm="1">
        <f t="array" ref="E213">TRANSPOSE(_xlfn._xlws.SORT(_xlfn._xlws.FILTER(B213:B580,ISNUMBER(SEARCH('PartLib Table'!M219,B213:B580)),"not found")))</f>
        <v>not found</v>
      </c>
    </row>
    <row r="214" spans="2:5">
      <c r="B214" s="31"/>
      <c r="D214" s="31"/>
      <c r="E214" s="73" t="str" cm="1">
        <f t="array" ref="E214">TRANSPOSE(_xlfn._xlws.SORT(_xlfn._xlws.FILTER(B214:B581,ISNUMBER(SEARCH('PartLib Table'!M220,B214:B581)),"not found")))</f>
        <v>not found</v>
      </c>
    </row>
    <row r="215" spans="2:5">
      <c r="B215" s="31"/>
      <c r="D215" s="31"/>
      <c r="E215" s="73" t="str" cm="1">
        <f t="array" ref="E215">TRANSPOSE(_xlfn._xlws.SORT(_xlfn._xlws.FILTER(B215:B582,ISNUMBER(SEARCH('PartLib Table'!M221,B215:B582)),"not found")))</f>
        <v>not found</v>
      </c>
    </row>
    <row r="216" spans="2:5">
      <c r="B216" s="31"/>
      <c r="D216" s="31"/>
      <c r="E216" s="73" t="str" cm="1">
        <f t="array" ref="E216">TRANSPOSE(_xlfn._xlws.SORT(_xlfn._xlws.FILTER(B216:B583,ISNUMBER(SEARCH('PartLib Table'!M222,B216:B583)),"not found")))</f>
        <v>not found</v>
      </c>
    </row>
    <row r="217" spans="2:5">
      <c r="B217" s="31"/>
      <c r="D217" s="31"/>
      <c r="E217" s="73" t="str" cm="1">
        <f t="array" ref="E217">TRANSPOSE(_xlfn._xlws.SORT(_xlfn._xlws.FILTER(B217:B584,ISNUMBER(SEARCH('PartLib Table'!M223,B217:B584)),"not found")))</f>
        <v>not found</v>
      </c>
    </row>
    <row r="218" spans="2:5">
      <c r="B218" s="31"/>
      <c r="D218" s="31"/>
      <c r="E218" s="73" t="str" cm="1">
        <f t="array" ref="E218">TRANSPOSE(_xlfn._xlws.SORT(_xlfn._xlws.FILTER(B218:B585,ISNUMBER(SEARCH('PartLib Table'!M224,B218:B585)),"not found")))</f>
        <v>not found</v>
      </c>
    </row>
    <row r="219" spans="2:5">
      <c r="B219" s="31"/>
      <c r="D219" s="31"/>
      <c r="E219" s="73" t="str" cm="1">
        <f t="array" ref="E219">TRANSPOSE(_xlfn._xlws.SORT(_xlfn._xlws.FILTER(B219:B586,ISNUMBER(SEARCH('PartLib Table'!M225,B219:B586)),"not found")))</f>
        <v>not found</v>
      </c>
    </row>
    <row r="220" spans="2:5">
      <c r="B220" s="31"/>
      <c r="D220" s="31"/>
      <c r="E220" s="73" t="str" cm="1">
        <f t="array" ref="E220">TRANSPOSE(_xlfn._xlws.SORT(_xlfn._xlws.FILTER(B220:B587,ISNUMBER(SEARCH('PartLib Table'!M226,B220:B587)),"not found")))</f>
        <v>not found</v>
      </c>
    </row>
    <row r="221" spans="2:5">
      <c r="B221" s="31"/>
      <c r="D221" s="31"/>
      <c r="E221" s="73" t="str" cm="1">
        <f t="array" ref="E221">TRANSPOSE(_xlfn._xlws.SORT(_xlfn._xlws.FILTER(B221:B588,ISNUMBER(SEARCH('PartLib Table'!M227,B221:B588)),"not found")))</f>
        <v>not found</v>
      </c>
    </row>
    <row r="222" spans="2:5">
      <c r="B222" s="31"/>
      <c r="D222" s="31"/>
      <c r="E222" s="73" t="str" cm="1">
        <f t="array" ref="E222">TRANSPOSE(_xlfn._xlws.SORT(_xlfn._xlws.FILTER(B222:B589,ISNUMBER(SEARCH('PartLib Table'!M228,B222:B589)),"not found")))</f>
        <v>not found</v>
      </c>
    </row>
    <row r="223" spans="2:5">
      <c r="B223" s="31"/>
      <c r="D223" s="31"/>
      <c r="E223" s="73" t="str" cm="1">
        <f t="array" ref="E223">TRANSPOSE(_xlfn._xlws.SORT(_xlfn._xlws.FILTER(B223:B590,ISNUMBER(SEARCH('PartLib Table'!M229,B223:B590)),"not found")))</f>
        <v>not found</v>
      </c>
    </row>
    <row r="224" spans="2:5">
      <c r="B224" s="31"/>
      <c r="D224" s="31"/>
      <c r="E224" s="73" t="str" cm="1">
        <f t="array" ref="E224">TRANSPOSE(_xlfn._xlws.SORT(_xlfn._xlws.FILTER(B224:B591,ISNUMBER(SEARCH('PartLib Table'!M230,B224:B591)),"not found")))</f>
        <v>not found</v>
      </c>
    </row>
    <row r="225" spans="2:5">
      <c r="B225" s="31"/>
      <c r="D225" s="31"/>
      <c r="E225" s="73" t="str" cm="1">
        <f t="array" ref="E225">TRANSPOSE(_xlfn._xlws.SORT(_xlfn._xlws.FILTER(B225:B592,ISNUMBER(SEARCH('PartLib Table'!M231,B225:B592)),"not found")))</f>
        <v>not found</v>
      </c>
    </row>
    <row r="226" spans="2:5">
      <c r="B226" s="31"/>
      <c r="D226" s="31"/>
      <c r="E226" s="73" t="str" cm="1">
        <f t="array" ref="E226">TRANSPOSE(_xlfn._xlws.SORT(_xlfn._xlws.FILTER(B226:B593,ISNUMBER(SEARCH('PartLib Table'!M232,B226:B593)),"not found")))</f>
        <v>not found</v>
      </c>
    </row>
    <row r="227" spans="2:5">
      <c r="B227" s="31"/>
      <c r="D227" s="31"/>
      <c r="E227" s="73" t="str" cm="1">
        <f t="array" ref="E227">TRANSPOSE(_xlfn._xlws.SORT(_xlfn._xlws.FILTER(B227:B594,ISNUMBER(SEARCH('PartLib Table'!M233,B227:B594)),"not found")))</f>
        <v>not found</v>
      </c>
    </row>
    <row r="228" spans="2:5">
      <c r="B228" s="31"/>
      <c r="D228" s="31"/>
      <c r="E228" s="73" t="str" cm="1">
        <f t="array" ref="E228">TRANSPOSE(_xlfn._xlws.SORT(_xlfn._xlws.FILTER(B228:B595,ISNUMBER(SEARCH('PartLib Table'!M234,B228:B595)),"not found")))</f>
        <v>not found</v>
      </c>
    </row>
    <row r="229" spans="2:5">
      <c r="B229" s="31"/>
      <c r="D229" s="31"/>
      <c r="E229" s="73" t="str" cm="1">
        <f t="array" ref="E229">TRANSPOSE(_xlfn._xlws.SORT(_xlfn._xlws.FILTER(B229:B596,ISNUMBER(SEARCH('PartLib Table'!M235,B229:B596)),"not found")))</f>
        <v>not found</v>
      </c>
    </row>
    <row r="230" spans="2:5">
      <c r="B230" s="31"/>
      <c r="D230" s="31"/>
      <c r="E230" s="73" t="str" cm="1">
        <f t="array" ref="E230">TRANSPOSE(_xlfn._xlws.SORT(_xlfn._xlws.FILTER(B230:B597,ISNUMBER(SEARCH('PartLib Table'!M236,B230:B597)),"not found")))</f>
        <v>not found</v>
      </c>
    </row>
    <row r="231" spans="2:5">
      <c r="B231" s="31"/>
      <c r="D231" s="31"/>
      <c r="E231" s="73" t="str" cm="1">
        <f t="array" ref="E231">TRANSPOSE(_xlfn._xlws.SORT(_xlfn._xlws.FILTER(B231:B598,ISNUMBER(SEARCH('PartLib Table'!M237,B231:B598)),"not found")))</f>
        <v>not found</v>
      </c>
    </row>
    <row r="232" spans="2:5">
      <c r="B232" s="31"/>
      <c r="D232" s="31"/>
      <c r="E232" s="73" t="str" cm="1">
        <f t="array" ref="E232">TRANSPOSE(_xlfn._xlws.SORT(_xlfn._xlws.FILTER(B232:B599,ISNUMBER(SEARCH('PartLib Table'!M238,B232:B599)),"not found")))</f>
        <v>not found</v>
      </c>
    </row>
    <row r="233" spans="2:5">
      <c r="B233" s="31"/>
      <c r="D233" s="31"/>
      <c r="E233" s="73" t="str" cm="1">
        <f t="array" ref="E233">TRANSPOSE(_xlfn._xlws.SORT(_xlfn._xlws.FILTER(B233:B600,ISNUMBER(SEARCH('PartLib Table'!M239,B233:B600)),"not found")))</f>
        <v>not found</v>
      </c>
    </row>
    <row r="234" spans="2:5">
      <c r="B234" s="31"/>
      <c r="D234" s="31"/>
      <c r="E234" s="73" t="str" cm="1">
        <f t="array" ref="E234">TRANSPOSE(_xlfn._xlws.SORT(_xlfn._xlws.FILTER(B234:B601,ISNUMBER(SEARCH('PartLib Table'!M240,B234:B601)),"not found")))</f>
        <v>not found</v>
      </c>
    </row>
    <row r="235" spans="2:5">
      <c r="B235" s="31"/>
      <c r="D235" s="31"/>
      <c r="E235" s="73" t="str" cm="1">
        <f t="array" ref="E235">TRANSPOSE(_xlfn._xlws.SORT(_xlfn._xlws.FILTER(B235:B602,ISNUMBER(SEARCH('PartLib Table'!M241,B235:B602)),"not found")))</f>
        <v>not found</v>
      </c>
    </row>
    <row r="236" spans="2:5">
      <c r="B236" s="31"/>
      <c r="D236" s="31"/>
      <c r="E236" s="73" t="str" cm="1">
        <f t="array" ref="E236">TRANSPOSE(_xlfn._xlws.SORT(_xlfn._xlws.FILTER(B236:B603,ISNUMBER(SEARCH('PartLib Table'!M242,B236:B603)),"not found")))</f>
        <v>not found</v>
      </c>
    </row>
    <row r="237" spans="2:5">
      <c r="B237" s="31"/>
      <c r="D237" s="31"/>
      <c r="E237" s="73" t="str" cm="1">
        <f t="array" ref="E237">TRANSPOSE(_xlfn._xlws.SORT(_xlfn._xlws.FILTER(B237:B604,ISNUMBER(SEARCH('PartLib Table'!M243,B237:B604)),"not found")))</f>
        <v>not found</v>
      </c>
    </row>
    <row r="238" spans="2:5">
      <c r="B238" s="31"/>
      <c r="D238" s="31"/>
      <c r="E238" s="73" t="str" cm="1">
        <f t="array" ref="E238">TRANSPOSE(_xlfn._xlws.SORT(_xlfn._xlws.FILTER(B238:B605,ISNUMBER(SEARCH('PartLib Table'!M244,B238:B605)),"not found")))</f>
        <v>not found</v>
      </c>
    </row>
    <row r="239" spans="2:5">
      <c r="B239" s="31"/>
      <c r="D239" s="31"/>
      <c r="E239" s="73" t="str" cm="1">
        <f t="array" ref="E239">TRANSPOSE(_xlfn._xlws.SORT(_xlfn._xlws.FILTER(B239:B606,ISNUMBER(SEARCH('PartLib Table'!M245,B239:B606)),"not found")))</f>
        <v>not found</v>
      </c>
    </row>
    <row r="240" spans="2:5">
      <c r="B240" s="31"/>
      <c r="D240" s="31"/>
      <c r="E240" s="73" t="str" cm="1">
        <f t="array" ref="E240">TRANSPOSE(_xlfn._xlws.SORT(_xlfn._xlws.FILTER(B240:B607,ISNUMBER(SEARCH('PartLib Table'!M246,B240:B607)),"not found")))</f>
        <v>not found</v>
      </c>
    </row>
    <row r="241" spans="2:5">
      <c r="B241" s="31"/>
      <c r="D241" s="31"/>
      <c r="E241" s="73" t="str" cm="1">
        <f t="array" ref="E241">TRANSPOSE(_xlfn._xlws.SORT(_xlfn._xlws.FILTER(B241:B608,ISNUMBER(SEARCH('PartLib Table'!M247,B241:B608)),"not found")))</f>
        <v>not found</v>
      </c>
    </row>
    <row r="242" spans="2:5">
      <c r="B242" s="31"/>
      <c r="D242" s="31"/>
      <c r="E242" s="73" t="str" cm="1">
        <f t="array" ref="E242">TRANSPOSE(_xlfn._xlws.SORT(_xlfn._xlws.FILTER(B242:B609,ISNUMBER(SEARCH('PartLib Table'!M248,B242:B609)),"not found")))</f>
        <v>not found</v>
      </c>
    </row>
    <row r="243" spans="2:5">
      <c r="B243" s="31"/>
      <c r="D243" s="31"/>
      <c r="E243" s="73" t="str" cm="1">
        <f t="array" ref="E243">TRANSPOSE(_xlfn._xlws.SORT(_xlfn._xlws.FILTER(B243:B610,ISNUMBER(SEARCH('PartLib Table'!M249,B243:B610)),"not found")))</f>
        <v>not found</v>
      </c>
    </row>
    <row r="244" spans="2:5">
      <c r="B244" s="31"/>
      <c r="D244" s="31"/>
      <c r="E244" s="73" t="str" cm="1">
        <f t="array" ref="E244">TRANSPOSE(_xlfn._xlws.SORT(_xlfn._xlws.FILTER(B244:B611,ISNUMBER(SEARCH('PartLib Table'!M250,B244:B611)),"not found")))</f>
        <v>not found</v>
      </c>
    </row>
    <row r="245" spans="2:5">
      <c r="B245" s="31"/>
      <c r="D245" s="31"/>
      <c r="E245" s="73" t="str" cm="1">
        <f t="array" ref="E245">TRANSPOSE(_xlfn._xlws.SORT(_xlfn._xlws.FILTER(B245:B612,ISNUMBER(SEARCH('PartLib Table'!M251,B245:B612)),"not found")))</f>
        <v>not found</v>
      </c>
    </row>
    <row r="246" spans="2:5">
      <c r="B246" s="31"/>
      <c r="D246" s="31"/>
      <c r="E246" s="73" t="str" cm="1">
        <f t="array" ref="E246">TRANSPOSE(_xlfn._xlws.SORT(_xlfn._xlws.FILTER(B246:B613,ISNUMBER(SEARCH('PartLib Table'!M252,B246:B613)),"not found")))</f>
        <v>not found</v>
      </c>
    </row>
    <row r="247" spans="2:5">
      <c r="B247" s="31"/>
      <c r="D247" s="31"/>
      <c r="E247" s="73" t="str" cm="1">
        <f t="array" ref="E247">TRANSPOSE(_xlfn._xlws.SORT(_xlfn._xlws.FILTER(B247:B614,ISNUMBER(SEARCH('PartLib Table'!M253,B247:B614)),"not found")))</f>
        <v>not found</v>
      </c>
    </row>
    <row r="248" spans="2:5">
      <c r="B248" s="31"/>
      <c r="D248" s="31"/>
      <c r="E248" s="73" t="str" cm="1">
        <f t="array" ref="E248">TRANSPOSE(_xlfn._xlws.SORT(_xlfn._xlws.FILTER(B248:B615,ISNUMBER(SEARCH('PartLib Table'!M254,B248:B615)),"not found")))</f>
        <v>not found</v>
      </c>
    </row>
    <row r="249" spans="2:5">
      <c r="B249" s="31"/>
      <c r="D249" s="31"/>
      <c r="E249" s="73" t="str" cm="1">
        <f t="array" ref="E249">TRANSPOSE(_xlfn._xlws.SORT(_xlfn._xlws.FILTER(B249:B616,ISNUMBER(SEARCH('PartLib Table'!M255,B249:B616)),"not found")))</f>
        <v>not found</v>
      </c>
    </row>
    <row r="250" spans="2:5">
      <c r="B250" s="31"/>
      <c r="D250" s="31"/>
      <c r="E250" s="73" t="str" cm="1">
        <f t="array" ref="E250">TRANSPOSE(_xlfn._xlws.SORT(_xlfn._xlws.FILTER(B250:B617,ISNUMBER(SEARCH('PartLib Table'!M256,B250:B617)),"not found")))</f>
        <v>not found</v>
      </c>
    </row>
    <row r="251" spans="2:5">
      <c r="B251" s="31"/>
      <c r="D251" s="31"/>
      <c r="E251" s="73" t="str" cm="1">
        <f t="array" ref="E251">TRANSPOSE(_xlfn._xlws.SORT(_xlfn._xlws.FILTER(B251:B618,ISNUMBER(SEARCH('PartLib Table'!M257,B251:B618)),"not found")))</f>
        <v>not found</v>
      </c>
    </row>
    <row r="252" spans="2:5">
      <c r="B252" s="31"/>
      <c r="D252" s="31"/>
      <c r="E252" s="73" t="str" cm="1">
        <f t="array" ref="E252">TRANSPOSE(_xlfn._xlws.SORT(_xlfn._xlws.FILTER(B252:B619,ISNUMBER(SEARCH('PartLib Table'!M258,B252:B619)),"not found")))</f>
        <v>not found</v>
      </c>
    </row>
    <row r="253" spans="2:5">
      <c r="B253" s="31"/>
      <c r="D253" s="31"/>
      <c r="E253" s="73" t="str" cm="1">
        <f t="array" ref="E253">TRANSPOSE(_xlfn._xlws.SORT(_xlfn._xlws.FILTER(B253:B620,ISNUMBER(SEARCH('PartLib Table'!M259,B253:B620)),"not found")))</f>
        <v>not found</v>
      </c>
    </row>
    <row r="254" spans="2:5">
      <c r="B254" s="31"/>
      <c r="D254" s="31"/>
      <c r="E254" s="73" t="str" cm="1">
        <f t="array" ref="E254">TRANSPOSE(_xlfn._xlws.SORT(_xlfn._xlws.FILTER(B254:B621,ISNUMBER(SEARCH('PartLib Table'!M260,B254:B621)),"not found")))</f>
        <v>not found</v>
      </c>
    </row>
    <row r="255" spans="2:5">
      <c r="B255" s="31"/>
      <c r="D255" s="31"/>
      <c r="E255" s="73" t="str" cm="1">
        <f t="array" ref="E255">TRANSPOSE(_xlfn._xlws.SORT(_xlfn._xlws.FILTER(B255:B622,ISNUMBER(SEARCH('PartLib Table'!M261,B255:B622)),"not found")))</f>
        <v>not found</v>
      </c>
    </row>
    <row r="256" spans="2:5">
      <c r="B256" s="31"/>
      <c r="D256" s="31"/>
      <c r="E256" s="73" t="str" cm="1">
        <f t="array" ref="E256">TRANSPOSE(_xlfn._xlws.SORT(_xlfn._xlws.FILTER(B256:B623,ISNUMBER(SEARCH('PartLib Table'!M262,B256:B623)),"not found")))</f>
        <v>not found</v>
      </c>
    </row>
    <row r="257" spans="2:5">
      <c r="B257" s="31"/>
      <c r="D257" s="31"/>
      <c r="E257" s="73" t="str" cm="1">
        <f t="array" ref="E257">TRANSPOSE(_xlfn._xlws.SORT(_xlfn._xlws.FILTER(B257:B624,ISNUMBER(SEARCH('PartLib Table'!M263,B257:B624)),"not found")))</f>
        <v>not found</v>
      </c>
    </row>
    <row r="258" spans="2:5">
      <c r="B258" s="31"/>
      <c r="D258" s="31"/>
      <c r="E258" s="73" t="str" cm="1">
        <f t="array" ref="E258">TRANSPOSE(_xlfn._xlws.SORT(_xlfn._xlws.FILTER(B258:B625,ISNUMBER(SEARCH('PartLib Table'!M264,B258:B625)),"not found")))</f>
        <v>not found</v>
      </c>
    </row>
    <row r="259" spans="2:5">
      <c r="B259" s="31"/>
      <c r="D259" s="31"/>
      <c r="E259" s="73" t="str" cm="1">
        <f t="array" ref="E259">TRANSPOSE(_xlfn._xlws.SORT(_xlfn._xlws.FILTER(B259:B626,ISNUMBER(SEARCH('PartLib Table'!M265,B259:B626)),"not found")))</f>
        <v>not found</v>
      </c>
    </row>
    <row r="260" spans="2:5">
      <c r="B260" s="31"/>
      <c r="D260" s="31"/>
      <c r="E260" s="73" t="str" cm="1">
        <f t="array" ref="E260">TRANSPOSE(_xlfn._xlws.SORT(_xlfn._xlws.FILTER(B260:B627,ISNUMBER(SEARCH('PartLib Table'!M266,B260:B627)),"not found")))</f>
        <v>not found</v>
      </c>
    </row>
    <row r="261" spans="2:5">
      <c r="B261" s="31"/>
      <c r="D261" s="31"/>
      <c r="E261" s="73" t="str" cm="1">
        <f t="array" ref="E261">TRANSPOSE(_xlfn._xlws.SORT(_xlfn._xlws.FILTER(B261:B628,ISNUMBER(SEARCH('PartLib Table'!M267,B261:B628)),"not found")))</f>
        <v>not found</v>
      </c>
    </row>
    <row r="262" spans="2:5">
      <c r="B262" s="31"/>
      <c r="D262" s="31"/>
      <c r="E262" s="73" t="str" cm="1">
        <f t="array" ref="E262">TRANSPOSE(_xlfn._xlws.SORT(_xlfn._xlws.FILTER(B262:B629,ISNUMBER(SEARCH('PartLib Table'!M268,B262:B629)),"not found")))</f>
        <v>not found</v>
      </c>
    </row>
    <row r="263" spans="2:5">
      <c r="B263" s="31"/>
      <c r="D263" s="31"/>
      <c r="E263" s="73" t="str" cm="1">
        <f t="array" ref="E263">TRANSPOSE(_xlfn._xlws.SORT(_xlfn._xlws.FILTER(B263:B630,ISNUMBER(SEARCH('PartLib Table'!M269,B263:B630)),"not found")))</f>
        <v>not found</v>
      </c>
    </row>
    <row r="264" spans="2:5">
      <c r="B264" s="31"/>
      <c r="D264" s="31"/>
      <c r="E264" s="73" t="str" cm="1">
        <f t="array" ref="E264">TRANSPOSE(_xlfn._xlws.SORT(_xlfn._xlws.FILTER(B264:B631,ISNUMBER(SEARCH('PartLib Table'!M270,B264:B631)),"not found")))</f>
        <v>not found</v>
      </c>
    </row>
    <row r="265" spans="2:5">
      <c r="B265" s="31"/>
      <c r="D265" s="31"/>
      <c r="E265" s="73" t="str" cm="1">
        <f t="array" ref="E265">TRANSPOSE(_xlfn._xlws.SORT(_xlfn._xlws.FILTER(B265:B632,ISNUMBER(SEARCH('PartLib Table'!M271,B265:B632)),"not found")))</f>
        <v>not found</v>
      </c>
    </row>
    <row r="266" spans="2:5">
      <c r="B266" s="31"/>
      <c r="D266" s="31"/>
      <c r="E266" s="73" t="str" cm="1">
        <f t="array" ref="E266">TRANSPOSE(_xlfn._xlws.SORT(_xlfn._xlws.FILTER(B266:B633,ISNUMBER(SEARCH('PartLib Table'!M272,B266:B633)),"not found")))</f>
        <v>not found</v>
      </c>
    </row>
    <row r="267" spans="2:5">
      <c r="B267" s="31"/>
      <c r="D267" s="31"/>
      <c r="E267" s="73" t="str" cm="1">
        <f t="array" ref="E267">TRANSPOSE(_xlfn._xlws.SORT(_xlfn._xlws.FILTER(B267:B634,ISNUMBER(SEARCH('PartLib Table'!M273,B267:B634)),"not found")))</f>
        <v>not found</v>
      </c>
    </row>
    <row r="268" spans="2:5">
      <c r="B268" s="31"/>
      <c r="D268" s="31"/>
      <c r="E268" s="73" t="str" cm="1">
        <f t="array" ref="E268">TRANSPOSE(_xlfn._xlws.SORT(_xlfn._xlws.FILTER(B268:B635,ISNUMBER(SEARCH('PartLib Table'!M274,B268:B635)),"not found")))</f>
        <v>not found</v>
      </c>
    </row>
    <row r="269" spans="2:5">
      <c r="B269" s="31"/>
      <c r="D269" s="31"/>
      <c r="E269" s="73" t="str" cm="1">
        <f t="array" ref="E269">TRANSPOSE(_xlfn._xlws.SORT(_xlfn._xlws.FILTER(B269:B636,ISNUMBER(SEARCH('PartLib Table'!M275,B269:B636)),"not found")))</f>
        <v>not found</v>
      </c>
    </row>
    <row r="270" spans="2:5">
      <c r="B270" s="31"/>
      <c r="D270" s="31"/>
      <c r="E270" s="73" t="str" cm="1">
        <f t="array" ref="E270">TRANSPOSE(_xlfn._xlws.SORT(_xlfn._xlws.FILTER(B270:B637,ISNUMBER(SEARCH('PartLib Table'!M276,B270:B637)),"not found")))</f>
        <v>not found</v>
      </c>
    </row>
    <row r="271" spans="2:5">
      <c r="B271" s="31"/>
      <c r="D271" s="31"/>
      <c r="E271" s="73" t="str" cm="1">
        <f t="array" ref="E271">TRANSPOSE(_xlfn._xlws.SORT(_xlfn._xlws.FILTER(B271:B638,ISNUMBER(SEARCH('PartLib Table'!M277,B271:B638)),"not found")))</f>
        <v>not found</v>
      </c>
    </row>
    <row r="272" spans="2:5">
      <c r="B272" s="31"/>
      <c r="D272" s="31"/>
      <c r="E272" s="73" t="str" cm="1">
        <f t="array" ref="E272">TRANSPOSE(_xlfn._xlws.SORT(_xlfn._xlws.FILTER(B272:B639,ISNUMBER(SEARCH('PartLib Table'!M278,B272:B639)),"not found")))</f>
        <v>not found</v>
      </c>
    </row>
    <row r="273" spans="2:5">
      <c r="B273" s="31"/>
      <c r="D273" s="31"/>
      <c r="E273" s="73" t="str" cm="1">
        <f t="array" ref="E273">TRANSPOSE(_xlfn._xlws.SORT(_xlfn._xlws.FILTER(B273:B640,ISNUMBER(SEARCH('PartLib Table'!M279,B273:B640)),"not found")))</f>
        <v>not found</v>
      </c>
    </row>
    <row r="274" spans="2:5">
      <c r="B274" s="31"/>
      <c r="D274" s="31"/>
      <c r="E274" s="73" t="str" cm="1">
        <f t="array" ref="E274">TRANSPOSE(_xlfn._xlws.SORT(_xlfn._xlws.FILTER(B274:B641,ISNUMBER(SEARCH('PartLib Table'!M280,B274:B641)),"not found")))</f>
        <v>not found</v>
      </c>
    </row>
    <row r="275" spans="2:5">
      <c r="B275" s="31"/>
      <c r="D275" s="31"/>
      <c r="E275" s="73" t="str" cm="1">
        <f t="array" ref="E275">TRANSPOSE(_xlfn._xlws.SORT(_xlfn._xlws.FILTER(B275:B642,ISNUMBER(SEARCH('PartLib Table'!M281,B275:B642)),"not found")))</f>
        <v>not found</v>
      </c>
    </row>
    <row r="276" spans="2:5">
      <c r="B276" s="31"/>
      <c r="D276" s="31"/>
      <c r="E276" s="73" t="str" cm="1">
        <f t="array" ref="E276">TRANSPOSE(_xlfn._xlws.SORT(_xlfn._xlws.FILTER(B276:B643,ISNUMBER(SEARCH('PartLib Table'!M282,B276:B643)),"not found")))</f>
        <v>not found</v>
      </c>
    </row>
    <row r="277" spans="2:5">
      <c r="B277" s="31"/>
      <c r="D277" s="31"/>
      <c r="E277" s="73" t="str" cm="1">
        <f t="array" ref="E277">TRANSPOSE(_xlfn._xlws.SORT(_xlfn._xlws.FILTER(B277:B644,ISNUMBER(SEARCH('PartLib Table'!M283,B277:B644)),"not found")))</f>
        <v>not found</v>
      </c>
    </row>
    <row r="278" spans="2:5">
      <c r="B278" s="31"/>
      <c r="D278" s="31"/>
      <c r="E278" s="73" t="str" cm="1">
        <f t="array" ref="E278">TRANSPOSE(_xlfn._xlws.SORT(_xlfn._xlws.FILTER(B278:B645,ISNUMBER(SEARCH('PartLib Table'!M284,B278:B645)),"not found")))</f>
        <v>not found</v>
      </c>
    </row>
    <row r="279" spans="2:5">
      <c r="B279" s="31"/>
      <c r="D279" s="31"/>
      <c r="E279" s="73" t="str" cm="1">
        <f t="array" ref="E279">TRANSPOSE(_xlfn._xlws.SORT(_xlfn._xlws.FILTER(B279:B646,ISNUMBER(SEARCH('PartLib Table'!M285,B279:B646)),"not found")))</f>
        <v>not found</v>
      </c>
    </row>
    <row r="280" spans="2:5">
      <c r="B280" s="31"/>
      <c r="D280" s="31"/>
      <c r="E280" s="73" t="str" cm="1">
        <f t="array" ref="E280">TRANSPOSE(_xlfn._xlws.SORT(_xlfn._xlws.FILTER(B280:B647,ISNUMBER(SEARCH('PartLib Table'!M286,B280:B647)),"not found")))</f>
        <v>not found</v>
      </c>
    </row>
    <row r="281" spans="2:5">
      <c r="B281" s="31"/>
      <c r="D281" s="31"/>
      <c r="E281" s="73" t="str" cm="1">
        <f t="array" ref="E281">TRANSPOSE(_xlfn._xlws.SORT(_xlfn._xlws.FILTER(B281:B648,ISNUMBER(SEARCH('PartLib Table'!M287,B281:B648)),"not found")))</f>
        <v>not found</v>
      </c>
    </row>
    <row r="282" spans="2:5">
      <c r="B282" s="31"/>
      <c r="D282" s="31"/>
      <c r="E282" s="73" t="str" cm="1">
        <f t="array" ref="E282">TRANSPOSE(_xlfn._xlws.SORT(_xlfn._xlws.FILTER(B282:B649,ISNUMBER(SEARCH('PartLib Table'!M288,B282:B649)),"not found")))</f>
        <v>not found</v>
      </c>
    </row>
    <row r="283" spans="2:5">
      <c r="B283" s="31"/>
      <c r="D283" s="31"/>
      <c r="E283" s="73" t="str" cm="1">
        <f t="array" ref="E283">TRANSPOSE(_xlfn._xlws.SORT(_xlfn._xlws.FILTER(B283:B650,ISNUMBER(SEARCH('PartLib Table'!M289,B283:B650)),"not found")))</f>
        <v>not found</v>
      </c>
    </row>
    <row r="284" spans="2:5">
      <c r="B284" s="31"/>
      <c r="D284" s="31"/>
      <c r="E284" s="73" t="str" cm="1">
        <f t="array" ref="E284">TRANSPOSE(_xlfn._xlws.SORT(_xlfn._xlws.FILTER(B284:B651,ISNUMBER(SEARCH('PartLib Table'!M290,B284:B651)),"not found")))</f>
        <v>not found</v>
      </c>
    </row>
    <row r="285" spans="2:5">
      <c r="B285" s="31"/>
      <c r="D285" s="31"/>
      <c r="E285" s="73" t="str" cm="1">
        <f t="array" ref="E285">TRANSPOSE(_xlfn._xlws.SORT(_xlfn._xlws.FILTER(B285:B652,ISNUMBER(SEARCH('PartLib Table'!M291,B285:B652)),"not found")))</f>
        <v>not found</v>
      </c>
    </row>
    <row r="286" spans="2:5">
      <c r="B286" s="31"/>
      <c r="D286" s="31"/>
      <c r="E286" s="73" t="str" cm="1">
        <f t="array" ref="E286">TRANSPOSE(_xlfn._xlws.SORT(_xlfn._xlws.FILTER(B286:B653,ISNUMBER(SEARCH('PartLib Table'!M292,B286:B653)),"not found")))</f>
        <v>not found</v>
      </c>
    </row>
    <row r="287" spans="2:5">
      <c r="B287" s="31"/>
      <c r="D287" s="31"/>
      <c r="E287" s="73" t="str" cm="1">
        <f t="array" ref="E287">TRANSPOSE(_xlfn._xlws.SORT(_xlfn._xlws.FILTER(B287:B654,ISNUMBER(SEARCH('PartLib Table'!M293,B287:B654)),"not found")))</f>
        <v>not found</v>
      </c>
    </row>
    <row r="288" spans="2:5">
      <c r="B288" s="31"/>
      <c r="D288" s="31"/>
      <c r="E288" s="73" t="str" cm="1">
        <f t="array" ref="E288">TRANSPOSE(_xlfn._xlws.SORT(_xlfn._xlws.FILTER(B288:B655,ISNUMBER(SEARCH('PartLib Table'!M294,B288:B655)),"not found")))</f>
        <v>not found</v>
      </c>
    </row>
    <row r="289" spans="2:5">
      <c r="B289" s="31"/>
      <c r="D289" s="31"/>
      <c r="E289" s="73" t="str" cm="1">
        <f t="array" ref="E289">TRANSPOSE(_xlfn._xlws.SORT(_xlfn._xlws.FILTER(B289:B656,ISNUMBER(SEARCH('PartLib Table'!M295,B289:B656)),"not found")))</f>
        <v>not found</v>
      </c>
    </row>
    <row r="290" spans="2:5">
      <c r="B290" s="31"/>
      <c r="D290" s="31"/>
      <c r="E290" s="73" t="str" cm="1">
        <f t="array" ref="E290">TRANSPOSE(_xlfn._xlws.SORT(_xlfn._xlws.FILTER(B290:B657,ISNUMBER(SEARCH('PartLib Table'!M296,B290:B657)),"not found")))</f>
        <v>not found</v>
      </c>
    </row>
    <row r="291" spans="2:5">
      <c r="B291" s="31"/>
      <c r="D291" s="31"/>
      <c r="E291" s="73" t="str" cm="1">
        <f t="array" ref="E291">TRANSPOSE(_xlfn._xlws.SORT(_xlfn._xlws.FILTER(B291:B658,ISNUMBER(SEARCH('PartLib Table'!M297,B291:B658)),"not found")))</f>
        <v>not found</v>
      </c>
    </row>
    <row r="292" spans="2:5">
      <c r="B292" s="31"/>
      <c r="D292" s="31"/>
      <c r="E292" s="73" t="str" cm="1">
        <f t="array" ref="E292">TRANSPOSE(_xlfn._xlws.SORT(_xlfn._xlws.FILTER(B292:B659,ISNUMBER(SEARCH('PartLib Table'!M298,B292:B659)),"not found")))</f>
        <v>not found</v>
      </c>
    </row>
    <row r="293" spans="2:5">
      <c r="B293" s="31"/>
      <c r="D293" s="31"/>
      <c r="E293" s="73" t="str" cm="1">
        <f t="array" ref="E293">TRANSPOSE(_xlfn._xlws.SORT(_xlfn._xlws.FILTER(B293:B660,ISNUMBER(SEARCH('PartLib Table'!M299,B293:B660)),"not found")))</f>
        <v>not found</v>
      </c>
    </row>
    <row r="294" spans="2:5">
      <c r="B294" s="31"/>
      <c r="D294" s="31"/>
      <c r="E294" s="73" t="str" cm="1">
        <f t="array" ref="E294">TRANSPOSE(_xlfn._xlws.SORT(_xlfn._xlws.FILTER(B294:B661,ISNUMBER(SEARCH('PartLib Table'!M300,B294:B661)),"not found")))</f>
        <v>not found</v>
      </c>
    </row>
    <row r="295" spans="2:5">
      <c r="B295" s="31"/>
      <c r="D295" s="31"/>
      <c r="E295" s="73" t="str" cm="1">
        <f t="array" ref="E295">TRANSPOSE(_xlfn._xlws.SORT(_xlfn._xlws.FILTER(B295:B662,ISNUMBER(SEARCH('PartLib Table'!M301,B295:B662)),"not found")))</f>
        <v>not found</v>
      </c>
    </row>
    <row r="296" spans="2:5">
      <c r="B296" s="31"/>
      <c r="D296" s="31"/>
      <c r="E296" s="73" t="str" cm="1">
        <f t="array" ref="E296">TRANSPOSE(_xlfn._xlws.SORT(_xlfn._xlws.FILTER(B296:B663,ISNUMBER(SEARCH('PartLib Table'!M302,B296:B663)),"not found")))</f>
        <v>not found</v>
      </c>
    </row>
    <row r="297" spans="2:5">
      <c r="B297" s="31"/>
      <c r="D297" s="31"/>
      <c r="E297" s="73" t="str" cm="1">
        <f t="array" ref="E297">TRANSPOSE(_xlfn._xlws.SORT(_xlfn._xlws.FILTER(B297:B664,ISNUMBER(SEARCH('PartLib Table'!M303,B297:B664)),"not found")))</f>
        <v>not found</v>
      </c>
    </row>
    <row r="298" spans="2:5">
      <c r="B298" s="31"/>
      <c r="D298" s="31"/>
      <c r="E298" s="73" t="str" cm="1">
        <f t="array" ref="E298">TRANSPOSE(_xlfn._xlws.SORT(_xlfn._xlws.FILTER(B298:B665,ISNUMBER(SEARCH('PartLib Table'!M304,B298:B665)),"not found")))</f>
        <v>not found</v>
      </c>
    </row>
    <row r="299" spans="2:5">
      <c r="B299" s="31"/>
      <c r="D299" s="31"/>
      <c r="E299" s="73" t="str" cm="1">
        <f t="array" ref="E299">TRANSPOSE(_xlfn._xlws.SORT(_xlfn._xlws.FILTER(B299:B666,ISNUMBER(SEARCH('PartLib Table'!M305,B299:B666)),"not found")))</f>
        <v>not found</v>
      </c>
    </row>
    <row r="300" spans="2:5">
      <c r="B300" s="31"/>
      <c r="D300" s="31"/>
      <c r="E300" s="73" t="str" cm="1">
        <f t="array" ref="E300">TRANSPOSE(_xlfn._xlws.SORT(_xlfn._xlws.FILTER(B300:B667,ISNUMBER(SEARCH('PartLib Table'!M306,B300:B667)),"not found")))</f>
        <v>not found</v>
      </c>
    </row>
    <row r="301" spans="2:5">
      <c r="B301" s="31"/>
      <c r="D301" s="31"/>
      <c r="E301" s="73" t="str" cm="1">
        <f t="array" ref="E301">TRANSPOSE(_xlfn._xlws.SORT(_xlfn._xlws.FILTER(B301:B668,ISNUMBER(SEARCH('PartLib Table'!M307,B301:B668)),"not found")))</f>
        <v>not found</v>
      </c>
    </row>
    <row r="302" spans="2:5">
      <c r="B302" s="31"/>
      <c r="D302" s="31"/>
      <c r="E302" s="73" t="str" cm="1">
        <f t="array" ref="E302">TRANSPOSE(_xlfn._xlws.SORT(_xlfn._xlws.FILTER(B302:B669,ISNUMBER(SEARCH('PartLib Table'!M308,B302:B669)),"not found")))</f>
        <v>not found</v>
      </c>
    </row>
    <row r="303" spans="2:5">
      <c r="B303" s="31"/>
      <c r="D303" s="31"/>
      <c r="E303" s="73" t="str" cm="1">
        <f t="array" ref="E303">TRANSPOSE(_xlfn._xlws.SORT(_xlfn._xlws.FILTER(B303:B670,ISNUMBER(SEARCH('PartLib Table'!M309,B303:B670)),"not found")))</f>
        <v>not found</v>
      </c>
    </row>
    <row r="304" spans="2:5">
      <c r="B304" s="31"/>
      <c r="D304" s="31"/>
      <c r="E304" s="73" t="str" cm="1">
        <f t="array" ref="E304">TRANSPOSE(_xlfn._xlws.SORT(_xlfn._xlws.FILTER(B304:B671,ISNUMBER(SEARCH('PartLib Table'!M310,B304:B671)),"not found")))</f>
        <v>not found</v>
      </c>
    </row>
    <row r="305" spans="2:5">
      <c r="B305" s="31"/>
      <c r="D305" s="31"/>
      <c r="E305" s="73" t="str" cm="1">
        <f t="array" ref="E305">TRANSPOSE(_xlfn._xlws.SORT(_xlfn._xlws.FILTER(B305:B672,ISNUMBER(SEARCH('PartLib Table'!M311,B305:B672)),"not found")))</f>
        <v>not found</v>
      </c>
    </row>
    <row r="306" spans="2:5">
      <c r="B306" s="31"/>
      <c r="D306" s="31"/>
      <c r="E306" s="73" t="str" cm="1">
        <f t="array" ref="E306">TRANSPOSE(_xlfn._xlws.SORT(_xlfn._xlws.FILTER(B306:B673,ISNUMBER(SEARCH('PartLib Table'!M312,B306:B673)),"not found")))</f>
        <v>not found</v>
      </c>
    </row>
    <row r="307" spans="2:5">
      <c r="B307" s="31"/>
      <c r="D307" s="31"/>
      <c r="E307" s="73" t="str" cm="1">
        <f t="array" ref="E307">TRANSPOSE(_xlfn._xlws.SORT(_xlfn._xlws.FILTER(B307:B674,ISNUMBER(SEARCH('PartLib Table'!M313,B307:B674)),"not found")))</f>
        <v>not found</v>
      </c>
    </row>
    <row r="308" spans="2:5">
      <c r="B308" s="31"/>
      <c r="D308" s="31"/>
      <c r="E308" s="73" t="str" cm="1">
        <f t="array" ref="E308">TRANSPOSE(_xlfn._xlws.SORT(_xlfn._xlws.FILTER(B308:B675,ISNUMBER(SEARCH('PartLib Table'!M314,B308:B675)),"not found")))</f>
        <v>not found</v>
      </c>
    </row>
    <row r="309" spans="2:5">
      <c r="B309" s="31"/>
      <c r="D309" s="31"/>
      <c r="E309" s="73" t="str" cm="1">
        <f t="array" ref="E309">TRANSPOSE(_xlfn._xlws.SORT(_xlfn._xlws.FILTER(B309:B676,ISNUMBER(SEARCH('PartLib Table'!M315,B309:B676)),"not found")))</f>
        <v>not found</v>
      </c>
    </row>
    <row r="310" spans="2:5">
      <c r="B310" s="31"/>
      <c r="D310" s="31"/>
      <c r="E310" s="73" t="str" cm="1">
        <f t="array" ref="E310">TRANSPOSE(_xlfn._xlws.SORT(_xlfn._xlws.FILTER(B310:B677,ISNUMBER(SEARCH('PartLib Table'!M316,B310:B677)),"not found")))</f>
        <v>not found</v>
      </c>
    </row>
    <row r="311" spans="2:5">
      <c r="B311" s="31"/>
      <c r="D311" s="31"/>
      <c r="E311" s="73" t="str" cm="1">
        <f t="array" ref="E311">TRANSPOSE(_xlfn._xlws.SORT(_xlfn._xlws.FILTER(B311:B678,ISNUMBER(SEARCH('PartLib Table'!M317,B311:B678)),"not found")))</f>
        <v>not found</v>
      </c>
    </row>
    <row r="312" spans="2:5">
      <c r="B312" s="31"/>
      <c r="D312" s="31"/>
      <c r="E312" s="73" t="str" cm="1">
        <f t="array" ref="E312">TRANSPOSE(_xlfn._xlws.SORT(_xlfn._xlws.FILTER(B312:B679,ISNUMBER(SEARCH('PartLib Table'!M318,B312:B679)),"not found")))</f>
        <v>not found</v>
      </c>
    </row>
    <row r="313" spans="2:5">
      <c r="B313" s="31"/>
      <c r="D313" s="31"/>
      <c r="E313" s="73" t="str" cm="1">
        <f t="array" ref="E313">TRANSPOSE(_xlfn._xlws.SORT(_xlfn._xlws.FILTER(B313:B680,ISNUMBER(SEARCH('PartLib Table'!M319,B313:B680)),"not found")))</f>
        <v>not found</v>
      </c>
    </row>
    <row r="314" spans="2:5">
      <c r="B314" s="31"/>
      <c r="D314" s="31"/>
      <c r="E314" s="73" t="str" cm="1">
        <f t="array" ref="E314">TRANSPOSE(_xlfn._xlws.SORT(_xlfn._xlws.FILTER(B314:B681,ISNUMBER(SEARCH('PartLib Table'!M320,B314:B681)),"not found")))</f>
        <v>not found</v>
      </c>
    </row>
    <row r="315" spans="2:5">
      <c r="B315" s="31"/>
      <c r="D315" s="31"/>
      <c r="E315" s="73" t="str" cm="1">
        <f t="array" ref="E315">TRANSPOSE(_xlfn._xlws.SORT(_xlfn._xlws.FILTER(B315:B682,ISNUMBER(SEARCH('PartLib Table'!M321,B315:B682)),"not found")))</f>
        <v>not found</v>
      </c>
    </row>
    <row r="316" spans="2:5">
      <c r="B316" s="31"/>
      <c r="D316" s="31"/>
      <c r="E316" s="73" t="str" cm="1">
        <f t="array" ref="E316">TRANSPOSE(_xlfn._xlws.SORT(_xlfn._xlws.FILTER(B316:B683,ISNUMBER(SEARCH('PartLib Table'!M322,B316:B683)),"not found")))</f>
        <v>not found</v>
      </c>
    </row>
    <row r="317" spans="2:5">
      <c r="B317" s="31"/>
      <c r="D317" s="31"/>
      <c r="E317" s="73" t="str" cm="1">
        <f t="array" ref="E317">TRANSPOSE(_xlfn._xlws.SORT(_xlfn._xlws.FILTER(B317:B684,ISNUMBER(SEARCH('PartLib Table'!M323,B317:B684)),"not found")))</f>
        <v>not found</v>
      </c>
    </row>
    <row r="318" spans="2:5">
      <c r="B318" s="31"/>
      <c r="D318" s="31"/>
      <c r="E318" s="73" t="str" cm="1">
        <f t="array" ref="E318">TRANSPOSE(_xlfn._xlws.SORT(_xlfn._xlws.FILTER(B318:B685,ISNUMBER(SEARCH('PartLib Table'!M324,B318:B685)),"not found")))</f>
        <v>not found</v>
      </c>
    </row>
    <row r="319" spans="2:5">
      <c r="B319" s="31"/>
      <c r="D319" s="31"/>
      <c r="E319" s="73" t="str" cm="1">
        <f t="array" ref="E319">TRANSPOSE(_xlfn._xlws.SORT(_xlfn._xlws.FILTER(B319:B686,ISNUMBER(SEARCH('PartLib Table'!M325,B319:B686)),"not found")))</f>
        <v>not found</v>
      </c>
    </row>
    <row r="320" spans="2:5">
      <c r="B320" s="31"/>
      <c r="D320" s="31"/>
      <c r="E320" s="73" t="str" cm="1">
        <f t="array" ref="E320">TRANSPOSE(_xlfn._xlws.SORT(_xlfn._xlws.FILTER(B320:B687,ISNUMBER(SEARCH('PartLib Table'!M326,B320:B687)),"not found")))</f>
        <v>not found</v>
      </c>
    </row>
    <row r="321" spans="2:5">
      <c r="B321" s="31"/>
      <c r="D321" s="31"/>
      <c r="E321" s="73" t="str" cm="1">
        <f t="array" ref="E321">TRANSPOSE(_xlfn._xlws.SORT(_xlfn._xlws.FILTER(B321:B688,ISNUMBER(SEARCH('PartLib Table'!M327,B321:B688)),"not found")))</f>
        <v>not found</v>
      </c>
    </row>
    <row r="322" spans="2:5">
      <c r="B322" s="31"/>
      <c r="D322" s="31"/>
      <c r="E322" s="73" t="str" cm="1">
        <f t="array" ref="E322">TRANSPOSE(_xlfn._xlws.SORT(_xlfn._xlws.FILTER(B322:B689,ISNUMBER(SEARCH('PartLib Table'!M328,B322:B689)),"not found")))</f>
        <v>not found</v>
      </c>
    </row>
    <row r="323" spans="2:5">
      <c r="B323" s="31"/>
      <c r="D323" s="31"/>
      <c r="E323" s="73" t="str" cm="1">
        <f t="array" ref="E323">TRANSPOSE(_xlfn._xlws.SORT(_xlfn._xlws.FILTER(B323:B690,ISNUMBER(SEARCH('PartLib Table'!M329,B323:B690)),"not found")))</f>
        <v>not found</v>
      </c>
    </row>
    <row r="324" spans="2:5">
      <c r="B324" s="31"/>
      <c r="D324" s="31"/>
      <c r="E324" s="73" t="str" cm="1">
        <f t="array" ref="E324">TRANSPOSE(_xlfn._xlws.SORT(_xlfn._xlws.FILTER(B324:B691,ISNUMBER(SEARCH('PartLib Table'!M330,B324:B691)),"not found")))</f>
        <v>not found</v>
      </c>
    </row>
    <row r="325" spans="2:5">
      <c r="B325" s="31"/>
      <c r="D325" s="31"/>
      <c r="E325" s="73" t="str" cm="1">
        <f t="array" ref="E325">TRANSPOSE(_xlfn._xlws.SORT(_xlfn._xlws.FILTER(B325:B692,ISNUMBER(SEARCH('PartLib Table'!M331,B325:B692)),"not found")))</f>
        <v>not found</v>
      </c>
    </row>
    <row r="326" spans="2:5">
      <c r="B326" s="31"/>
      <c r="D326" s="31"/>
      <c r="E326" s="73" t="str" cm="1">
        <f t="array" ref="E326">TRANSPOSE(_xlfn._xlws.SORT(_xlfn._xlws.FILTER(B326:B693,ISNUMBER(SEARCH('PartLib Table'!M332,B326:B693)),"not found")))</f>
        <v>not found</v>
      </c>
    </row>
    <row r="327" spans="2:5">
      <c r="B327" s="31"/>
      <c r="D327" s="31"/>
      <c r="E327" s="73" t="str" cm="1">
        <f t="array" ref="E327">TRANSPOSE(_xlfn._xlws.SORT(_xlfn._xlws.FILTER(B327:B694,ISNUMBER(SEARCH('PartLib Table'!M333,B327:B694)),"not found")))</f>
        <v>not found</v>
      </c>
    </row>
    <row r="328" spans="2:5">
      <c r="B328" s="31"/>
      <c r="D328" s="31"/>
      <c r="E328" s="73" t="str" cm="1">
        <f t="array" ref="E328">TRANSPOSE(_xlfn._xlws.SORT(_xlfn._xlws.FILTER(B328:B695,ISNUMBER(SEARCH('PartLib Table'!M334,B328:B695)),"not found")))</f>
        <v>not found</v>
      </c>
    </row>
    <row r="329" spans="2:5">
      <c r="B329" s="31"/>
      <c r="D329" s="31"/>
      <c r="E329" s="73" t="str" cm="1">
        <f t="array" ref="E329">TRANSPOSE(_xlfn._xlws.SORT(_xlfn._xlws.FILTER(B329:B696,ISNUMBER(SEARCH('PartLib Table'!M335,B329:B696)),"not found")))</f>
        <v>not found</v>
      </c>
    </row>
    <row r="330" spans="2:5">
      <c r="B330" s="31"/>
      <c r="D330" s="31"/>
      <c r="E330" s="73" t="str" cm="1">
        <f t="array" ref="E330">TRANSPOSE(_xlfn._xlws.SORT(_xlfn._xlws.FILTER(B330:B697,ISNUMBER(SEARCH('PartLib Table'!M336,B330:B697)),"not found")))</f>
        <v>not found</v>
      </c>
    </row>
    <row r="331" spans="2:5">
      <c r="B331" s="31"/>
      <c r="D331" s="31"/>
      <c r="E331" s="73" t="str" cm="1">
        <f t="array" ref="E331">TRANSPOSE(_xlfn._xlws.SORT(_xlfn._xlws.FILTER(B331:B698,ISNUMBER(SEARCH('PartLib Table'!M337,B331:B698)),"not found")))</f>
        <v>not found</v>
      </c>
    </row>
    <row r="332" spans="2:5">
      <c r="B332" s="31"/>
      <c r="D332" s="31"/>
      <c r="E332" s="73" t="str" cm="1">
        <f t="array" ref="E332">TRANSPOSE(_xlfn._xlws.SORT(_xlfn._xlws.FILTER(B332:B699,ISNUMBER(SEARCH('PartLib Table'!M338,B332:B699)),"not found")))</f>
        <v>not found</v>
      </c>
    </row>
    <row r="333" spans="2:5">
      <c r="B333" s="31"/>
      <c r="D333" s="31"/>
      <c r="E333" s="73" t="str" cm="1">
        <f t="array" ref="E333">TRANSPOSE(_xlfn._xlws.SORT(_xlfn._xlws.FILTER(B333:B700,ISNUMBER(SEARCH('PartLib Table'!M339,B333:B700)),"not found")))</f>
        <v>not found</v>
      </c>
    </row>
    <row r="334" spans="2:5">
      <c r="B334" s="31"/>
      <c r="D334" s="31"/>
      <c r="E334" s="73" t="str" cm="1">
        <f t="array" ref="E334">TRANSPOSE(_xlfn._xlws.SORT(_xlfn._xlws.FILTER(B334:B701,ISNUMBER(SEARCH('PartLib Table'!M340,B334:B701)),"not found")))</f>
        <v>not found</v>
      </c>
    </row>
    <row r="335" spans="2:5">
      <c r="B335" s="31"/>
      <c r="D335" s="31"/>
      <c r="E335" s="73" t="str" cm="1">
        <f t="array" ref="E335">TRANSPOSE(_xlfn._xlws.SORT(_xlfn._xlws.FILTER(B335:B702,ISNUMBER(SEARCH('PartLib Table'!M341,B335:B702)),"not found")))</f>
        <v>not found</v>
      </c>
    </row>
    <row r="336" spans="2:5">
      <c r="B336" s="31"/>
      <c r="D336" s="31"/>
      <c r="E336" s="73" t="str" cm="1">
        <f t="array" ref="E336">TRANSPOSE(_xlfn._xlws.SORT(_xlfn._xlws.FILTER(B336:B703,ISNUMBER(SEARCH('PartLib Table'!M342,B336:B703)),"not found")))</f>
        <v>not found</v>
      </c>
    </row>
    <row r="337" spans="2:5">
      <c r="B337" s="31"/>
      <c r="D337" s="31"/>
      <c r="E337" s="73" t="str" cm="1">
        <f t="array" ref="E337">TRANSPOSE(_xlfn._xlws.SORT(_xlfn._xlws.FILTER(B337:B704,ISNUMBER(SEARCH('PartLib Table'!M343,B337:B704)),"not found")))</f>
        <v>not found</v>
      </c>
    </row>
    <row r="338" spans="2:5">
      <c r="B338" s="31"/>
      <c r="D338" s="31"/>
      <c r="E338" s="73" t="str" cm="1">
        <f t="array" ref="E338">TRANSPOSE(_xlfn._xlws.SORT(_xlfn._xlws.FILTER(B338:B705,ISNUMBER(SEARCH('PartLib Table'!M344,B338:B705)),"not found")))</f>
        <v>not found</v>
      </c>
    </row>
    <row r="339" spans="2:5">
      <c r="B339" s="31"/>
      <c r="D339" s="31"/>
      <c r="E339" s="73" t="str" cm="1">
        <f t="array" ref="E339">TRANSPOSE(_xlfn._xlws.SORT(_xlfn._xlws.FILTER(B339:B706,ISNUMBER(SEARCH('PartLib Table'!M345,B339:B706)),"not found")))</f>
        <v>not found</v>
      </c>
    </row>
    <row r="340" spans="2:5">
      <c r="B340" s="31"/>
      <c r="D340" s="31"/>
      <c r="E340" s="73" t="str" cm="1">
        <f t="array" ref="E340">TRANSPOSE(_xlfn._xlws.SORT(_xlfn._xlws.FILTER(B340:B707,ISNUMBER(SEARCH('PartLib Table'!M346,B340:B707)),"not found")))</f>
        <v>not found</v>
      </c>
    </row>
    <row r="341" spans="2:5">
      <c r="B341" s="31"/>
      <c r="D341" s="31"/>
      <c r="E341" s="73" t="str" cm="1">
        <f t="array" ref="E341">TRANSPOSE(_xlfn._xlws.SORT(_xlfn._xlws.FILTER(B341:B708,ISNUMBER(SEARCH('PartLib Table'!M347,B341:B708)),"not found")))</f>
        <v>not found</v>
      </c>
    </row>
    <row r="342" spans="2:5">
      <c r="B342" s="31"/>
      <c r="D342" s="31"/>
      <c r="E342" s="73" t="str" cm="1">
        <f t="array" ref="E342">TRANSPOSE(_xlfn._xlws.SORT(_xlfn._xlws.FILTER(B342:B709,ISNUMBER(SEARCH('PartLib Table'!M348,B342:B709)),"not found")))</f>
        <v>not found</v>
      </c>
    </row>
    <row r="343" spans="2:5">
      <c r="B343" s="31"/>
      <c r="D343" s="31"/>
      <c r="E343" s="73" t="str" cm="1">
        <f t="array" ref="E343">TRANSPOSE(_xlfn._xlws.SORT(_xlfn._xlws.FILTER(B343:B710,ISNUMBER(SEARCH('PartLib Table'!M349,B343:B710)),"not found")))</f>
        <v>not found</v>
      </c>
    </row>
    <row r="344" spans="2:5">
      <c r="B344" s="31"/>
      <c r="D344" s="31"/>
      <c r="E344" s="73" t="str" cm="1">
        <f t="array" ref="E344">TRANSPOSE(_xlfn._xlws.SORT(_xlfn._xlws.FILTER(B344:B711,ISNUMBER(SEARCH('PartLib Table'!M350,B344:B711)),"not found")))</f>
        <v>not found</v>
      </c>
    </row>
    <row r="345" spans="2:5">
      <c r="B345" s="31"/>
      <c r="D345" s="31"/>
      <c r="E345" s="73" t="str" cm="1">
        <f t="array" ref="E345">TRANSPOSE(_xlfn._xlws.SORT(_xlfn._xlws.FILTER(B345:B712,ISNUMBER(SEARCH('PartLib Table'!M351,B345:B712)),"not found")))</f>
        <v>not found</v>
      </c>
    </row>
    <row r="346" spans="2:5">
      <c r="B346" s="31"/>
      <c r="D346" s="31"/>
      <c r="E346" s="73" t="str" cm="1">
        <f t="array" ref="E346">TRANSPOSE(_xlfn._xlws.SORT(_xlfn._xlws.FILTER(B346:B713,ISNUMBER(SEARCH('PartLib Table'!M352,B346:B713)),"not found")))</f>
        <v>not found</v>
      </c>
    </row>
    <row r="347" spans="2:5">
      <c r="B347" s="31"/>
      <c r="D347" s="31"/>
      <c r="E347" s="73" t="str" cm="1">
        <f t="array" ref="E347">TRANSPOSE(_xlfn._xlws.SORT(_xlfn._xlws.FILTER(B347:B714,ISNUMBER(SEARCH('PartLib Table'!M353,B347:B714)),"not found")))</f>
        <v>not found</v>
      </c>
    </row>
    <row r="348" spans="2:5">
      <c r="B348" s="31"/>
      <c r="D348" s="31"/>
      <c r="E348" s="73" t="str" cm="1">
        <f t="array" ref="E348">TRANSPOSE(_xlfn._xlws.SORT(_xlfn._xlws.FILTER(B348:B715,ISNUMBER(SEARCH('PartLib Table'!M354,B348:B715)),"not found")))</f>
        <v>not found</v>
      </c>
    </row>
    <row r="349" spans="2:5">
      <c r="B349" s="31"/>
      <c r="D349" s="31"/>
      <c r="E349" s="73" t="str" cm="1">
        <f t="array" ref="E349">TRANSPOSE(_xlfn._xlws.SORT(_xlfn._xlws.FILTER(B349:B716,ISNUMBER(SEARCH('PartLib Table'!M355,B349:B716)),"not found")))</f>
        <v>not found</v>
      </c>
    </row>
    <row r="350" spans="2:5">
      <c r="B350" s="31"/>
      <c r="D350" s="31"/>
      <c r="E350" s="73" t="str" cm="1">
        <f t="array" ref="E350">TRANSPOSE(_xlfn._xlws.SORT(_xlfn._xlws.FILTER(B350:B717,ISNUMBER(SEARCH('PartLib Table'!M356,B350:B717)),"not found")))</f>
        <v>not found</v>
      </c>
    </row>
    <row r="351" spans="2:5">
      <c r="B351" s="31"/>
      <c r="D351" s="31"/>
      <c r="E351" s="73" t="str" cm="1">
        <f t="array" ref="E351">TRANSPOSE(_xlfn._xlws.SORT(_xlfn._xlws.FILTER(B351:B718,ISNUMBER(SEARCH('PartLib Table'!M357,B351:B718)),"not found")))</f>
        <v>not found</v>
      </c>
    </row>
    <row r="352" spans="2:5">
      <c r="B352" s="31"/>
      <c r="D352" s="31"/>
      <c r="E352" s="73" t="str" cm="1">
        <f t="array" ref="E352">TRANSPOSE(_xlfn._xlws.SORT(_xlfn._xlws.FILTER(B352:B719,ISNUMBER(SEARCH('PartLib Table'!M358,B352:B719)),"not found")))</f>
        <v>not found</v>
      </c>
    </row>
    <row r="353" spans="2:5">
      <c r="B353" s="31"/>
      <c r="D353" s="31"/>
      <c r="E353" s="73" t="str" cm="1">
        <f t="array" ref="E353">TRANSPOSE(_xlfn._xlws.SORT(_xlfn._xlws.FILTER(B353:B720,ISNUMBER(SEARCH('PartLib Table'!M359,B353:B720)),"not found")))</f>
        <v>not found</v>
      </c>
    </row>
    <row r="354" spans="2:5">
      <c r="B354" s="31"/>
      <c r="D354" s="31"/>
      <c r="E354" s="73" t="str" cm="1">
        <f t="array" ref="E354">TRANSPOSE(_xlfn._xlws.SORT(_xlfn._xlws.FILTER(B354:B721,ISNUMBER(SEARCH('PartLib Table'!M360,B354:B721)),"not found")))</f>
        <v>not found</v>
      </c>
    </row>
    <row r="355" spans="2:5">
      <c r="B355" s="31"/>
      <c r="D355" s="31"/>
      <c r="E355" s="73" t="str" cm="1">
        <f t="array" ref="E355">TRANSPOSE(_xlfn._xlws.SORT(_xlfn._xlws.FILTER(B355:B722,ISNUMBER(SEARCH('PartLib Table'!M361,B355:B722)),"not found")))</f>
        <v>not found</v>
      </c>
    </row>
    <row r="356" spans="2:5">
      <c r="B356" s="31"/>
      <c r="D356" s="31"/>
      <c r="E356" s="73" t="str" cm="1">
        <f t="array" ref="E356">TRANSPOSE(_xlfn._xlws.SORT(_xlfn._xlws.FILTER(B356:B723,ISNUMBER(SEARCH('PartLib Table'!M362,B356:B723)),"not found")))</f>
        <v>not found</v>
      </c>
    </row>
    <row r="357" spans="2:5">
      <c r="B357" s="31"/>
      <c r="D357" s="31"/>
      <c r="E357" s="73" t="str" cm="1">
        <f t="array" ref="E357">TRANSPOSE(_xlfn._xlws.SORT(_xlfn._xlws.FILTER(B357:B724,ISNUMBER(SEARCH('PartLib Table'!M363,B357:B724)),"not found")))</f>
        <v>not found</v>
      </c>
    </row>
    <row r="358" spans="2:5">
      <c r="B358" s="31"/>
      <c r="D358" s="31"/>
      <c r="E358" s="73" t="str" cm="1">
        <f t="array" ref="E358">TRANSPOSE(_xlfn._xlws.SORT(_xlfn._xlws.FILTER(B358:B725,ISNUMBER(SEARCH('PartLib Table'!M364,B358:B725)),"not found")))</f>
        <v>not found</v>
      </c>
    </row>
    <row r="359" spans="2:5">
      <c r="B359" s="31"/>
      <c r="D359" s="31"/>
      <c r="E359" s="73" t="str" cm="1">
        <f t="array" ref="E359">TRANSPOSE(_xlfn._xlws.SORT(_xlfn._xlws.FILTER(B359:B726,ISNUMBER(SEARCH('PartLib Table'!M365,B359:B726)),"not found")))</f>
        <v>not found</v>
      </c>
    </row>
    <row r="360" spans="2:5">
      <c r="B360" s="31"/>
      <c r="D360" s="31"/>
      <c r="E360" s="73" t="str" cm="1">
        <f t="array" ref="E360">TRANSPOSE(_xlfn._xlws.SORT(_xlfn._xlws.FILTER(B360:B727,ISNUMBER(SEARCH('PartLib Table'!M366,B360:B727)),"not found")))</f>
        <v>not found</v>
      </c>
    </row>
    <row r="361" spans="2:5">
      <c r="B361" s="31"/>
      <c r="D361" s="31"/>
      <c r="E361" s="73" t="str" cm="1">
        <f t="array" ref="E361">TRANSPOSE(_xlfn._xlws.SORT(_xlfn._xlws.FILTER(B361:B728,ISNUMBER(SEARCH('PartLib Table'!M367,B361:B728)),"not found")))</f>
        <v>not found</v>
      </c>
    </row>
    <row r="362" spans="2:5">
      <c r="B362" s="31"/>
      <c r="D362" s="31"/>
      <c r="E362" s="73" t="str" cm="1">
        <f t="array" ref="E362">TRANSPOSE(_xlfn._xlws.SORT(_xlfn._xlws.FILTER(B362:B729,ISNUMBER(SEARCH('PartLib Table'!M368,B362:B729)),"not found")))</f>
        <v>not found</v>
      </c>
    </row>
    <row r="363" spans="2:5">
      <c r="B363" s="31"/>
      <c r="D363" s="31"/>
      <c r="E363" s="73" t="str" cm="1">
        <f t="array" ref="E363">TRANSPOSE(_xlfn._xlws.SORT(_xlfn._xlws.FILTER(B363:B730,ISNUMBER(SEARCH('PartLib Table'!M369,B363:B730)),"not found")))</f>
        <v>not found</v>
      </c>
    </row>
    <row r="364" spans="2:5">
      <c r="B364" s="31"/>
      <c r="D364" s="31"/>
      <c r="E364" s="73" t="str" cm="1">
        <f t="array" ref="E364">TRANSPOSE(_xlfn._xlws.SORT(_xlfn._xlws.FILTER(B364:B731,ISNUMBER(SEARCH('PartLib Table'!M370,B364:B731)),"not found")))</f>
        <v>not found</v>
      </c>
    </row>
    <row r="365" spans="2:5">
      <c r="B365" s="31"/>
      <c r="D365" s="31"/>
      <c r="E365" s="73" t="str" cm="1">
        <f t="array" ref="E365">TRANSPOSE(_xlfn._xlws.SORT(_xlfn._xlws.FILTER(B365:B732,ISNUMBER(SEARCH('PartLib Table'!M371,B365:B732)),"not found")))</f>
        <v>not found</v>
      </c>
    </row>
    <row r="366" spans="2:5">
      <c r="B366" s="31"/>
      <c r="D366" s="31"/>
      <c r="E366" s="73" t="str" cm="1">
        <f t="array" ref="E366">TRANSPOSE(_xlfn._xlws.SORT(_xlfn._xlws.FILTER(B366:B733,ISNUMBER(SEARCH('PartLib Table'!M372,B366:B733)),"not found")))</f>
        <v>not found</v>
      </c>
    </row>
    <row r="367" spans="2:5">
      <c r="B367" s="31"/>
      <c r="D367" s="31"/>
      <c r="E367" s="73" t="str" cm="1">
        <f t="array" ref="E367">TRANSPOSE(_xlfn._xlws.SORT(_xlfn._xlws.FILTER(B367:B734,ISNUMBER(SEARCH('PartLib Table'!M373,B367:B734)),"not found")))</f>
        <v>not found</v>
      </c>
    </row>
    <row r="368" spans="2:5">
      <c r="B368" s="31"/>
      <c r="D368" s="31"/>
      <c r="E368" s="73" t="str" cm="1">
        <f t="array" ref="E368">TRANSPOSE(_xlfn._xlws.SORT(_xlfn._xlws.FILTER(B368:B735,ISNUMBER(SEARCH('PartLib Table'!M374,B368:B735)),"not found")))</f>
        <v>not found</v>
      </c>
    </row>
    <row r="369" spans="2:5">
      <c r="B369" s="31"/>
      <c r="D369" s="31"/>
      <c r="E369" s="73" t="str" cm="1">
        <f t="array" ref="E369">TRANSPOSE(_xlfn._xlws.SORT(_xlfn._xlws.FILTER(B369:B736,ISNUMBER(SEARCH('PartLib Table'!M375,B369:B736)),"not found")))</f>
        <v>not found</v>
      </c>
    </row>
    <row r="370" spans="2:5">
      <c r="B370" s="31"/>
      <c r="D370" s="31"/>
      <c r="E370" s="73" t="str" cm="1">
        <f t="array" ref="E370">TRANSPOSE(_xlfn._xlws.SORT(_xlfn._xlws.FILTER(B370:B737,ISNUMBER(SEARCH('PartLib Table'!M376,B370:B737)),"not found")))</f>
        <v>not found</v>
      </c>
    </row>
    <row r="371" spans="2:5">
      <c r="B371" s="31"/>
      <c r="D371" s="31"/>
      <c r="E371" s="73" t="str" cm="1">
        <f t="array" ref="E371">TRANSPOSE(_xlfn._xlws.SORT(_xlfn._xlws.FILTER(B371:B738,ISNUMBER(SEARCH('PartLib Table'!M377,B371:B738)),"not found")))</f>
        <v>not found</v>
      </c>
    </row>
    <row r="372" spans="2:5">
      <c r="B372" s="31"/>
      <c r="D372" s="31"/>
      <c r="E372" s="73" t="str" cm="1">
        <f t="array" ref="E372">TRANSPOSE(_xlfn._xlws.SORT(_xlfn._xlws.FILTER(B372:B739,ISNUMBER(SEARCH('PartLib Table'!M378,B372:B739)),"not found")))</f>
        <v>not found</v>
      </c>
    </row>
    <row r="373" spans="2:5">
      <c r="B373" s="31"/>
      <c r="D373" s="31"/>
      <c r="E373" s="73" t="str" cm="1">
        <f t="array" ref="E373">TRANSPOSE(_xlfn._xlws.SORT(_xlfn._xlws.FILTER(B373:B740,ISNUMBER(SEARCH('PartLib Table'!M379,B373:B740)),"not found")))</f>
        <v>not found</v>
      </c>
    </row>
    <row r="374" spans="2:5">
      <c r="B374" s="31"/>
      <c r="D374" s="31"/>
      <c r="E374" s="73" t="str" cm="1">
        <f t="array" ref="E374">TRANSPOSE(_xlfn._xlws.SORT(_xlfn._xlws.FILTER(B374:B741,ISNUMBER(SEARCH('PartLib Table'!M380,B374:B741)),"not found")))</f>
        <v>not found</v>
      </c>
    </row>
    <row r="375" spans="2:5">
      <c r="B375" s="31"/>
      <c r="D375" s="31"/>
      <c r="E375" s="73" t="str" cm="1">
        <f t="array" ref="E375">TRANSPOSE(_xlfn._xlws.SORT(_xlfn._xlws.FILTER(B375:B742,ISNUMBER(SEARCH('PartLib Table'!M381,B375:B742)),"not found")))</f>
        <v>not found</v>
      </c>
    </row>
    <row r="376" spans="2:5">
      <c r="B376" s="31"/>
      <c r="D376" s="31"/>
      <c r="E376" s="73" t="str" cm="1">
        <f t="array" ref="E376">TRANSPOSE(_xlfn._xlws.SORT(_xlfn._xlws.FILTER(B376:B743,ISNUMBER(SEARCH('PartLib Table'!M382,B376:B743)),"not found")))</f>
        <v>not found</v>
      </c>
    </row>
    <row r="377" spans="2:5">
      <c r="B377" s="31"/>
      <c r="D377" s="31"/>
      <c r="E377" s="73" t="str" cm="1">
        <f t="array" ref="E377">TRANSPOSE(_xlfn._xlws.SORT(_xlfn._xlws.FILTER(B377:B744,ISNUMBER(SEARCH('PartLib Table'!M383,B377:B744)),"not found")))</f>
        <v>not found</v>
      </c>
    </row>
    <row r="378" spans="2:5">
      <c r="B378" s="31"/>
      <c r="D378" s="31"/>
      <c r="E378" s="73" t="str" cm="1">
        <f t="array" ref="E378">TRANSPOSE(_xlfn._xlws.SORT(_xlfn._xlws.FILTER(B378:B745,ISNUMBER(SEARCH('PartLib Table'!M384,B378:B745)),"not found")))</f>
        <v>not found</v>
      </c>
    </row>
    <row r="379" spans="2:5">
      <c r="B379" s="31"/>
      <c r="D379" s="31"/>
      <c r="E379" s="73" t="str" cm="1">
        <f t="array" ref="E379">TRANSPOSE(_xlfn._xlws.SORT(_xlfn._xlws.FILTER(B379:B746,ISNUMBER(SEARCH('PartLib Table'!M385,B379:B746)),"not found")))</f>
        <v>not found</v>
      </c>
    </row>
    <row r="380" spans="2:5">
      <c r="B380" s="31"/>
      <c r="D380" s="31"/>
      <c r="E380" s="73" t="str" cm="1">
        <f t="array" ref="E380">TRANSPOSE(_xlfn._xlws.SORT(_xlfn._xlws.FILTER(B380:B747,ISNUMBER(SEARCH('PartLib Table'!M386,B380:B747)),"not found")))</f>
        <v>not found</v>
      </c>
    </row>
    <row r="381" spans="2:5">
      <c r="B381" s="31"/>
      <c r="D381" s="31"/>
      <c r="E381" s="73" t="str" cm="1">
        <f t="array" ref="E381">TRANSPOSE(_xlfn._xlws.SORT(_xlfn._xlws.FILTER(B381:B748,ISNUMBER(SEARCH('PartLib Table'!M387,B381:B748)),"not found")))</f>
        <v>not found</v>
      </c>
    </row>
    <row r="382" spans="2:5">
      <c r="B382" s="31"/>
      <c r="D382" s="31"/>
      <c r="E382" s="73" t="str" cm="1">
        <f t="array" ref="E382">TRANSPOSE(_xlfn._xlws.SORT(_xlfn._xlws.FILTER(B382:B749,ISNUMBER(SEARCH('PartLib Table'!M388,B382:B749)),"not found")))</f>
        <v>not found</v>
      </c>
    </row>
    <row r="383" spans="2:5">
      <c r="B383" s="31"/>
      <c r="D383" s="31"/>
      <c r="E383" s="73" t="str" cm="1">
        <f t="array" ref="E383">TRANSPOSE(_xlfn._xlws.SORT(_xlfn._xlws.FILTER(B383:B750,ISNUMBER(SEARCH('PartLib Table'!M389,B383:B750)),"not found")))</f>
        <v>not found</v>
      </c>
    </row>
    <row r="384" spans="2:5">
      <c r="B384" s="31"/>
      <c r="D384" s="31"/>
      <c r="E384" s="73" t="str" cm="1">
        <f t="array" ref="E384">TRANSPOSE(_xlfn._xlws.SORT(_xlfn._xlws.FILTER(B384:B751,ISNUMBER(SEARCH('PartLib Table'!M390,B384:B751)),"not found")))</f>
        <v>not found</v>
      </c>
    </row>
    <row r="385" spans="2:5">
      <c r="B385" s="31"/>
      <c r="D385" s="31"/>
      <c r="E385" s="73" t="str" cm="1">
        <f t="array" ref="E385">TRANSPOSE(_xlfn._xlws.SORT(_xlfn._xlws.FILTER(B385:B752,ISNUMBER(SEARCH('PartLib Table'!M391,B385:B752)),"not found")))</f>
        <v>not found</v>
      </c>
    </row>
    <row r="386" spans="2:5">
      <c r="B386" s="31"/>
      <c r="D386" s="31"/>
      <c r="E386" s="73" t="str" cm="1">
        <f t="array" ref="E386">TRANSPOSE(_xlfn._xlws.SORT(_xlfn._xlws.FILTER(B386:B753,ISNUMBER(SEARCH('PartLib Table'!M392,B386:B753)),"not found")))</f>
        <v>not found</v>
      </c>
    </row>
    <row r="387" spans="2:5">
      <c r="B387" s="31"/>
      <c r="D387" s="31"/>
      <c r="E387" s="73" t="str" cm="1">
        <f t="array" ref="E387">TRANSPOSE(_xlfn._xlws.SORT(_xlfn._xlws.FILTER(B387:B754,ISNUMBER(SEARCH('PartLib Table'!M393,B387:B754)),"not found")))</f>
        <v>not found</v>
      </c>
    </row>
    <row r="388" spans="2:5">
      <c r="B388" s="31"/>
      <c r="D388" s="31"/>
      <c r="E388" s="73" t="str" cm="1">
        <f t="array" ref="E388">TRANSPOSE(_xlfn._xlws.SORT(_xlfn._xlws.FILTER(B388:B755,ISNUMBER(SEARCH('PartLib Table'!M394,B388:B755)),"not found")))</f>
        <v>not found</v>
      </c>
    </row>
    <row r="389" spans="2:5">
      <c r="B389" s="31"/>
      <c r="D389" s="31"/>
      <c r="E389" s="73" t="str" cm="1">
        <f t="array" ref="E389">TRANSPOSE(_xlfn._xlws.SORT(_xlfn._xlws.FILTER(B389:B756,ISNUMBER(SEARCH('PartLib Table'!M395,B389:B756)),"not found")))</f>
        <v>not found</v>
      </c>
    </row>
    <row r="390" spans="2:5">
      <c r="B390" s="31"/>
      <c r="D390" s="31"/>
      <c r="E390" s="73" t="str" cm="1">
        <f t="array" ref="E390">TRANSPOSE(_xlfn._xlws.SORT(_xlfn._xlws.FILTER(B390:B757,ISNUMBER(SEARCH('PartLib Table'!M396,B390:B757)),"not found")))</f>
        <v>not found</v>
      </c>
    </row>
    <row r="391" spans="2:5">
      <c r="B391" s="31"/>
      <c r="D391" s="31"/>
      <c r="E391" s="73" t="str" cm="1">
        <f t="array" ref="E391">TRANSPOSE(_xlfn._xlws.SORT(_xlfn._xlws.FILTER(B391:B758,ISNUMBER(SEARCH('PartLib Table'!M397,B391:B758)),"not found")))</f>
        <v>not found</v>
      </c>
    </row>
    <row r="392" spans="2:5">
      <c r="B392" s="31"/>
      <c r="D392" s="31"/>
      <c r="E392" s="73" t="str" cm="1">
        <f t="array" ref="E392">TRANSPOSE(_xlfn._xlws.SORT(_xlfn._xlws.FILTER(B392:B759,ISNUMBER(SEARCH('PartLib Table'!M398,B392:B759)),"not found")))</f>
        <v>not found</v>
      </c>
    </row>
    <row r="393" spans="2:5">
      <c r="B393" s="31"/>
      <c r="D393" s="31"/>
      <c r="E393" s="73" t="str" cm="1">
        <f t="array" ref="E393">TRANSPOSE(_xlfn._xlws.SORT(_xlfn._xlws.FILTER(B393:B760,ISNUMBER(SEARCH('PartLib Table'!M399,B393:B760)),"not found")))</f>
        <v>not found</v>
      </c>
    </row>
    <row r="394" spans="2:5">
      <c r="B394" s="31"/>
      <c r="D394" s="31"/>
      <c r="E394" s="73" t="str" cm="1">
        <f t="array" ref="E394">TRANSPOSE(_xlfn._xlws.SORT(_xlfn._xlws.FILTER(B394:B761,ISNUMBER(SEARCH('PartLib Table'!M400,B394:B761)),"not found")))</f>
        <v>not found</v>
      </c>
    </row>
    <row r="395" spans="2:5">
      <c r="B395" s="31"/>
      <c r="D395" s="31"/>
      <c r="E395" s="73" t="str" cm="1">
        <f t="array" ref="E395">TRANSPOSE(_xlfn._xlws.SORT(_xlfn._xlws.FILTER(B395:B762,ISNUMBER(SEARCH('PartLib Table'!M401,B395:B762)),"not found")))</f>
        <v>not found</v>
      </c>
    </row>
    <row r="396" spans="2:5">
      <c r="B396" s="31"/>
      <c r="D396" s="31"/>
      <c r="E396" s="73" t="str" cm="1">
        <f t="array" ref="E396">TRANSPOSE(_xlfn._xlws.SORT(_xlfn._xlws.FILTER(B396:B763,ISNUMBER(SEARCH('PartLib Table'!M402,B396:B763)),"not found")))</f>
        <v>not found</v>
      </c>
    </row>
    <row r="397" spans="2:5">
      <c r="B397" s="31"/>
      <c r="D397" s="31"/>
      <c r="E397" s="73" t="str" cm="1">
        <f t="array" ref="E397">TRANSPOSE(_xlfn._xlws.SORT(_xlfn._xlws.FILTER(B397:B764,ISNUMBER(SEARCH('PartLib Table'!M403,B397:B764)),"not found")))</f>
        <v>not found</v>
      </c>
    </row>
    <row r="398" spans="2:5">
      <c r="B398" s="31"/>
      <c r="D398" s="31"/>
      <c r="E398" s="73" t="str" cm="1">
        <f t="array" ref="E398">TRANSPOSE(_xlfn._xlws.SORT(_xlfn._xlws.FILTER(B398:B765,ISNUMBER(SEARCH('PartLib Table'!M404,B398:B765)),"not found")))</f>
        <v>not found</v>
      </c>
    </row>
    <row r="399" spans="2:5">
      <c r="B399" s="31"/>
      <c r="D399" s="31"/>
      <c r="E399" s="73" t="str" cm="1">
        <f t="array" ref="E399">TRANSPOSE(_xlfn._xlws.SORT(_xlfn._xlws.FILTER(B399:B766,ISNUMBER(SEARCH('PartLib Table'!M405,B399:B766)),"not found")))</f>
        <v>not found</v>
      </c>
    </row>
    <row r="400" spans="2:5">
      <c r="B400" s="31"/>
      <c r="D400" s="31"/>
      <c r="E400" s="73" t="str" cm="1">
        <f t="array" ref="E400">TRANSPOSE(_xlfn._xlws.SORT(_xlfn._xlws.FILTER(B400:B767,ISNUMBER(SEARCH('PartLib Table'!M406,B400:B767)),"not found")))</f>
        <v>not found</v>
      </c>
    </row>
    <row r="401" spans="2:5">
      <c r="B401" s="31"/>
      <c r="D401" s="31"/>
      <c r="E401" s="73" t="str" cm="1">
        <f t="array" ref="E401">TRANSPOSE(_xlfn._xlws.SORT(_xlfn._xlws.FILTER(B401:B768,ISNUMBER(SEARCH('PartLib Table'!M407,B401:B768)),"not found")))</f>
        <v>not found</v>
      </c>
    </row>
    <row r="402" spans="2:5">
      <c r="B402" s="31"/>
      <c r="D402" s="31"/>
      <c r="E402" s="73" t="str" cm="1">
        <f t="array" ref="E402">TRANSPOSE(_xlfn._xlws.SORT(_xlfn._xlws.FILTER(B402:B769,ISNUMBER(SEARCH('PartLib Table'!M408,B402:B769)),"not found")))</f>
        <v>not found</v>
      </c>
    </row>
    <row r="403" spans="2:5">
      <c r="B403" s="31"/>
      <c r="D403" s="31"/>
      <c r="E403" s="73" t="str" cm="1">
        <f t="array" ref="E403">TRANSPOSE(_xlfn._xlws.SORT(_xlfn._xlws.FILTER(B403:B770,ISNUMBER(SEARCH('PartLib Table'!M409,B403:B770)),"not found")))</f>
        <v>not found</v>
      </c>
    </row>
    <row r="404" spans="2:5">
      <c r="B404" s="31"/>
      <c r="D404" s="31"/>
      <c r="E404" s="73" t="str" cm="1">
        <f t="array" ref="E404">TRANSPOSE(_xlfn._xlws.SORT(_xlfn._xlws.FILTER(B404:B771,ISNUMBER(SEARCH('PartLib Table'!M410,B404:B771)),"not found")))</f>
        <v>not found</v>
      </c>
    </row>
    <row r="405" spans="2:5">
      <c r="B405" s="31"/>
      <c r="D405" s="31"/>
      <c r="E405" s="73" t="str" cm="1">
        <f t="array" ref="E405">TRANSPOSE(_xlfn._xlws.SORT(_xlfn._xlws.FILTER(B405:B772,ISNUMBER(SEARCH('PartLib Table'!M411,B405:B772)),"not found")))</f>
        <v>not found</v>
      </c>
    </row>
    <row r="406" spans="2:5">
      <c r="B406" s="31"/>
      <c r="D406" s="31"/>
      <c r="E406" s="73" t="str" cm="1">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78" customWidth="1"/>
    <col min="7" max="7" width="14.140625" style="76" bestFit="1" customWidth="1"/>
    <col min="8" max="8" width="17.28515625" style="76" bestFit="1" customWidth="1"/>
    <col min="9" max="16384" width="9.140625" style="76"/>
  </cols>
  <sheetData>
    <row r="1" spans="1:8">
      <c r="A1" s="149" t="str">
        <f>'PartLib Table'!C3</f>
        <v>Characteristic Name</v>
      </c>
      <c r="B1" s="77" t="str">
        <f>'PartLib Table'!K3</f>
        <v>BALLOON NO.</v>
      </c>
      <c r="C1" s="77" t="str">
        <f>'PartLib Table'!L3</f>
        <v>Characteristic
DESCRIPTION &amp; Gauge Name</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t="str">
        <f>'PartLib Table'!L9</f>
        <v>debu</v>
      </c>
      <c r="D7" s="77" t="str">
        <f>'PartLib Table'!M9</f>
        <v>tool</v>
      </c>
      <c r="E7" s="77" t="str">
        <f>'PartLib Table'!N9</f>
        <v>Visual</v>
      </c>
      <c r="F7" s="75" t="str">
        <f>'PartLib Table'!O9</f>
        <v>1 X SHIFT</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78">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78">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78">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78">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78">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78">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78">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78">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78">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78">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78">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78">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78">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78">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78">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78">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78">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78">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78">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78">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78">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78">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78">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78">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78">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78">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78">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78">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78">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78">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78">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78">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78">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78">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78">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78">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78">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78">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78">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78">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78">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78">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78">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78">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78">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78">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78">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78">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78">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78">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78">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78">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78">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78">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78">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78">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78">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78">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78">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78">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78">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78">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78">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78">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78">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78">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78">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78">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78">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78">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78">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78">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78">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78">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78">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78">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78">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78">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78">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78">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78">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78">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78">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78">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78">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78">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78">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78">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78">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78">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78">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78">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78">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78">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78">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78">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78">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78">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78">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78">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78">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78">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78">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78">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78">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78">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78">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78">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78">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78">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78">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78">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78">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78">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78">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78">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78">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78">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78">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78">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78">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78">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78">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78">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78">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78">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78">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78">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78">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78">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78">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78">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78">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78">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78">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78">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78">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78">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78">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78">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78">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78">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78">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78">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78">
        <f>'PartLib Table'!O500</f>
        <v>0</v>
      </c>
      <c r="G498" s="76">
        <f>'PartLib Table'!P500</f>
        <v>0</v>
      </c>
      <c r="H498" s="76">
        <f>'PartLib Table'!Q500</f>
        <v>0</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D23" sqref="D23:F23"/>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26" t="s">
        <v>388</v>
      </c>
      <c r="B1" s="327"/>
      <c r="C1" s="327"/>
      <c r="D1" s="327"/>
      <c r="E1" s="327"/>
      <c r="F1" s="327"/>
    </row>
    <row r="2" spans="1:6" s="73" customFormat="1">
      <c r="A2" s="309" t="s">
        <v>400</v>
      </c>
      <c r="B2" s="309"/>
      <c r="C2" s="309"/>
      <c r="D2" s="309" t="s">
        <v>401</v>
      </c>
      <c r="E2" s="309"/>
      <c r="F2" s="309"/>
    </row>
    <row r="3" spans="1:6" s="73" customFormat="1">
      <c r="A3" s="316" t="s">
        <v>386</v>
      </c>
      <c r="B3" s="316"/>
      <c r="C3" s="316"/>
      <c r="D3" s="316" t="s">
        <v>386</v>
      </c>
      <c r="E3" s="316"/>
      <c r="F3" s="316"/>
    </row>
    <row r="4" spans="1:6" ht="45">
      <c r="A4" s="160" t="s">
        <v>374</v>
      </c>
      <c r="B4" s="161" t="s">
        <v>376</v>
      </c>
      <c r="C4" s="161" t="s">
        <v>382</v>
      </c>
      <c r="D4" s="160" t="s">
        <v>374</v>
      </c>
      <c r="E4" s="161" t="s">
        <v>376</v>
      </c>
      <c r="F4" s="161" t="s">
        <v>402</v>
      </c>
    </row>
    <row r="5" spans="1:6">
      <c r="A5" s="162" t="s">
        <v>375</v>
      </c>
      <c r="B5" s="31" t="s">
        <v>377</v>
      </c>
      <c r="C5" s="31" t="s">
        <v>109</v>
      </c>
      <c r="D5" s="162" t="s">
        <v>403</v>
      </c>
      <c r="E5" s="31" t="s">
        <v>404</v>
      </c>
      <c r="F5" s="171"/>
    </row>
    <row r="6" spans="1:6">
      <c r="A6" s="162" t="s">
        <v>375</v>
      </c>
      <c r="B6" s="31" t="s">
        <v>378</v>
      </c>
      <c r="C6" s="31" t="s">
        <v>110</v>
      </c>
      <c r="D6" s="162" t="s">
        <v>405</v>
      </c>
      <c r="E6" s="31" t="s">
        <v>406</v>
      </c>
      <c r="F6" s="171"/>
    </row>
    <row r="7" spans="1:6" s="73" customFormat="1">
      <c r="A7" s="162" t="s">
        <v>375</v>
      </c>
      <c r="B7" s="31" t="s">
        <v>391</v>
      </c>
      <c r="C7" s="31" t="s">
        <v>110</v>
      </c>
      <c r="D7" s="162" t="s">
        <v>407</v>
      </c>
      <c r="E7" s="31" t="s">
        <v>408</v>
      </c>
      <c r="F7" s="171"/>
    </row>
    <row r="8" spans="1:6">
      <c r="A8" s="162" t="s">
        <v>375</v>
      </c>
      <c r="B8" s="31" t="s">
        <v>379</v>
      </c>
      <c r="C8" s="31" t="s">
        <v>111</v>
      </c>
      <c r="D8" s="173" t="s">
        <v>415</v>
      </c>
      <c r="E8" s="2" t="s">
        <v>367</v>
      </c>
      <c r="F8" s="171"/>
    </row>
    <row r="9" spans="1:6">
      <c r="A9" s="162" t="s">
        <v>375</v>
      </c>
      <c r="B9" s="31" t="s">
        <v>380</v>
      </c>
      <c r="C9" s="31"/>
      <c r="D9" s="173" t="s">
        <v>416</v>
      </c>
      <c r="E9" s="2" t="s">
        <v>368</v>
      </c>
      <c r="F9" s="171"/>
    </row>
    <row r="10" spans="1:6">
      <c r="A10" s="162" t="s">
        <v>375</v>
      </c>
      <c r="B10" s="31" t="s">
        <v>381</v>
      </c>
      <c r="C10" s="31"/>
      <c r="D10" s="172"/>
      <c r="E10" s="171"/>
      <c r="F10" s="171"/>
    </row>
    <row r="11" spans="1:6">
      <c r="A11" s="162" t="s">
        <v>375</v>
      </c>
      <c r="B11" s="31" t="s">
        <v>368</v>
      </c>
      <c r="C11" s="31" t="s">
        <v>109</v>
      </c>
      <c r="D11" s="172"/>
      <c r="E11" s="171"/>
      <c r="F11" s="171"/>
    </row>
    <row r="12" spans="1:6">
      <c r="A12" s="162" t="s">
        <v>375</v>
      </c>
      <c r="B12" s="31" t="s">
        <v>367</v>
      </c>
      <c r="C12" s="31" t="s">
        <v>109</v>
      </c>
      <c r="D12" s="172"/>
      <c r="E12" s="171"/>
      <c r="F12" s="171"/>
    </row>
    <row r="13" spans="1:6">
      <c r="A13" s="317" t="s">
        <v>383</v>
      </c>
      <c r="B13" s="318"/>
      <c r="C13" s="319"/>
      <c r="D13" s="317" t="s">
        <v>383</v>
      </c>
      <c r="E13" s="318"/>
      <c r="F13" s="319"/>
    </row>
    <row r="14" spans="1:6">
      <c r="A14" s="313" t="s">
        <v>384</v>
      </c>
      <c r="B14" s="314"/>
      <c r="C14" s="315"/>
      <c r="D14" s="313" t="s">
        <v>410</v>
      </c>
      <c r="E14" s="314"/>
      <c r="F14" s="315"/>
    </row>
    <row r="15" spans="1:6">
      <c r="A15" s="313" t="s">
        <v>385</v>
      </c>
      <c r="B15" s="314"/>
      <c r="C15" s="315"/>
      <c r="D15" s="313" t="s">
        <v>411</v>
      </c>
      <c r="E15" s="314"/>
      <c r="F15" s="315"/>
    </row>
    <row r="16" spans="1:6">
      <c r="A16" s="316" t="s">
        <v>418</v>
      </c>
      <c r="B16" s="316"/>
      <c r="C16" s="316"/>
      <c r="D16" s="317" t="s">
        <v>417</v>
      </c>
      <c r="E16" s="318"/>
      <c r="F16" s="319"/>
    </row>
    <row r="17" spans="1:6">
      <c r="A17" s="313" t="s">
        <v>389</v>
      </c>
      <c r="B17" s="314"/>
      <c r="C17" s="315"/>
      <c r="D17" s="313" t="s">
        <v>409</v>
      </c>
      <c r="E17" s="314"/>
      <c r="F17" s="315"/>
    </row>
    <row r="18" spans="1:6">
      <c r="A18" s="313" t="s">
        <v>390</v>
      </c>
      <c r="B18" s="314"/>
      <c r="C18" s="315"/>
      <c r="D18" s="313" t="s">
        <v>414</v>
      </c>
      <c r="E18" s="314"/>
      <c r="F18" s="315"/>
    </row>
    <row r="19" spans="1:6">
      <c r="A19" s="316" t="s">
        <v>419</v>
      </c>
      <c r="B19" s="316"/>
      <c r="C19" s="316"/>
      <c r="D19" s="329"/>
      <c r="E19" s="330"/>
      <c r="F19" s="331"/>
    </row>
    <row r="20" spans="1:6">
      <c r="A20" s="313" t="s">
        <v>392</v>
      </c>
      <c r="B20" s="314"/>
      <c r="C20" s="315"/>
      <c r="D20" s="323"/>
      <c r="E20" s="324"/>
      <c r="F20" s="325"/>
    </row>
    <row r="21" spans="1:6" ht="16.5" customHeight="1">
      <c r="A21" s="313" t="s">
        <v>393</v>
      </c>
      <c r="B21" s="314"/>
      <c r="C21" s="315"/>
      <c r="D21" s="323"/>
      <c r="E21" s="324"/>
      <c r="F21" s="325"/>
    </row>
    <row r="22" spans="1:6" s="73" customFormat="1">
      <c r="A22" s="317" t="s">
        <v>383</v>
      </c>
      <c r="B22" s="318"/>
      <c r="C22" s="319"/>
      <c r="D22" s="317" t="s">
        <v>383</v>
      </c>
      <c r="E22" s="318"/>
      <c r="F22" s="319"/>
    </row>
    <row r="23" spans="1:6" s="73" customFormat="1" ht="15" customHeight="1">
      <c r="A23" s="313" t="s">
        <v>384</v>
      </c>
      <c r="B23" s="314"/>
      <c r="C23" s="315"/>
      <c r="D23" s="313" t="s">
        <v>412</v>
      </c>
      <c r="E23" s="314"/>
      <c r="F23" s="315"/>
    </row>
    <row r="24" spans="1:6" ht="15" customHeight="1">
      <c r="A24" s="313" t="s">
        <v>385</v>
      </c>
      <c r="B24" s="314"/>
      <c r="C24" s="315"/>
      <c r="D24" s="313" t="s">
        <v>413</v>
      </c>
      <c r="E24" s="314"/>
      <c r="F24" s="315"/>
    </row>
    <row r="25" spans="1:6" ht="15" customHeight="1">
      <c r="A25" s="316" t="s">
        <v>387</v>
      </c>
      <c r="B25" s="316"/>
      <c r="C25" s="316"/>
      <c r="D25" s="328" t="s">
        <v>387</v>
      </c>
      <c r="E25" s="328"/>
      <c r="F25" s="328"/>
    </row>
    <row r="26" spans="1:6">
      <c r="A26" s="313" t="s">
        <v>389</v>
      </c>
      <c r="B26" s="314"/>
      <c r="C26" s="315"/>
      <c r="D26" s="323" t="s">
        <v>389</v>
      </c>
      <c r="E26" s="324"/>
      <c r="F26" s="325"/>
    </row>
    <row r="27" spans="1:6">
      <c r="A27" s="313" t="s">
        <v>390</v>
      </c>
      <c r="B27" s="314"/>
      <c r="C27" s="315"/>
      <c r="D27" s="323" t="s">
        <v>390</v>
      </c>
      <c r="E27" s="324"/>
      <c r="F27" s="325"/>
    </row>
    <row r="28" spans="1:6">
      <c r="A28" s="320"/>
      <c r="B28" s="321"/>
      <c r="C28" s="322"/>
    </row>
    <row r="29" spans="1:6" ht="15" customHeight="1">
      <c r="A29" s="310" t="s">
        <v>399</v>
      </c>
      <c r="B29" s="311"/>
      <c r="C29" s="312"/>
    </row>
    <row r="30" spans="1:6" ht="15" customHeight="1">
      <c r="A30" s="168" t="s">
        <v>394</v>
      </c>
      <c r="B30" s="169"/>
      <c r="C30" s="170"/>
    </row>
    <row r="31" spans="1:6">
      <c r="A31" s="317" t="s">
        <v>397</v>
      </c>
      <c r="B31" s="318"/>
      <c r="C31" s="319"/>
    </row>
    <row r="32" spans="1:6">
      <c r="A32" s="317" t="s">
        <v>383</v>
      </c>
      <c r="B32" s="318"/>
      <c r="C32" s="319"/>
    </row>
    <row r="33" spans="1:3" ht="15" customHeight="1">
      <c r="A33" s="165" t="s">
        <v>395</v>
      </c>
      <c r="B33" s="166"/>
      <c r="C33" s="167"/>
    </row>
    <row r="34" spans="1:3">
      <c r="A34" s="165" t="s">
        <v>396</v>
      </c>
      <c r="B34" s="166"/>
      <c r="C34" s="167"/>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63" customWidth="1"/>
    <col min="2" max="2" width="10" style="261" customWidth="1"/>
    <col min="3" max="3" width="9.140625" style="262"/>
    <col min="4" max="4" width="12.7109375" style="261" customWidth="1"/>
    <col min="5" max="16384" width="9.140625" style="261"/>
  </cols>
  <sheetData>
    <row r="1" spans="1:4" ht="30">
      <c r="A1" s="273" t="s">
        <v>676</v>
      </c>
      <c r="B1" s="272" t="s">
        <v>675</v>
      </c>
      <c r="C1" s="271" t="s">
        <v>674</v>
      </c>
      <c r="D1" s="270" t="s">
        <v>673</v>
      </c>
    </row>
    <row r="2" spans="1:4">
      <c r="A2" s="269" t="s">
        <v>672</v>
      </c>
      <c r="B2" s="267">
        <v>-7320</v>
      </c>
      <c r="C2" s="268" t="s">
        <v>671</v>
      </c>
      <c r="D2" s="267" t="s">
        <v>670</v>
      </c>
    </row>
    <row r="3" spans="1:4">
      <c r="A3" s="269" t="s">
        <v>669</v>
      </c>
      <c r="B3" s="267">
        <v>-7314</v>
      </c>
      <c r="C3" s="268" t="s">
        <v>668</v>
      </c>
      <c r="D3" s="267" t="s">
        <v>148</v>
      </c>
    </row>
    <row r="4" spans="1:4">
      <c r="A4" s="269" t="s">
        <v>667</v>
      </c>
      <c r="B4" s="267">
        <v>-7326</v>
      </c>
      <c r="C4" s="268" t="s">
        <v>666</v>
      </c>
      <c r="D4" s="267" t="s">
        <v>665</v>
      </c>
    </row>
    <row r="5" spans="1:4">
      <c r="A5" s="269" t="s">
        <v>664</v>
      </c>
      <c r="B5" s="267">
        <v>-7318</v>
      </c>
      <c r="C5" s="268" t="s">
        <v>663</v>
      </c>
      <c r="D5" s="267" t="s">
        <v>662</v>
      </c>
    </row>
    <row r="6" spans="1:4">
      <c r="A6" s="269" t="s">
        <v>661</v>
      </c>
      <c r="B6" s="267">
        <v>-7319</v>
      </c>
      <c r="C6" s="268" t="s">
        <v>660</v>
      </c>
      <c r="D6" s="267" t="s">
        <v>659</v>
      </c>
    </row>
    <row r="7" spans="1:4">
      <c r="A7" s="269" t="s">
        <v>658</v>
      </c>
      <c r="B7" s="267">
        <v>-7324</v>
      </c>
      <c r="C7" s="268" t="s">
        <v>657</v>
      </c>
      <c r="D7" s="267" t="s">
        <v>656</v>
      </c>
    </row>
    <row r="8" spans="1:4">
      <c r="A8" s="269" t="s">
        <v>655</v>
      </c>
      <c r="B8" s="267">
        <v>-7307</v>
      </c>
      <c r="C8" s="268" t="s">
        <v>654</v>
      </c>
      <c r="D8" s="267" t="s">
        <v>653</v>
      </c>
    </row>
    <row r="9" spans="1:4">
      <c r="A9" s="269" t="s">
        <v>652</v>
      </c>
      <c r="B9" s="267">
        <v>-7306</v>
      </c>
      <c r="C9" s="268" t="s">
        <v>651</v>
      </c>
      <c r="D9" s="267" t="s">
        <v>302</v>
      </c>
    </row>
    <row r="10" spans="1:4">
      <c r="A10" s="269" t="s">
        <v>650</v>
      </c>
      <c r="B10" s="267">
        <v>-7321</v>
      </c>
      <c r="C10" s="268" t="s">
        <v>649</v>
      </c>
      <c r="D10" s="267" t="s">
        <v>648</v>
      </c>
    </row>
    <row r="11" spans="1:4">
      <c r="A11" s="269" t="s">
        <v>647</v>
      </c>
      <c r="B11" s="267">
        <v>-7313</v>
      </c>
      <c r="C11" s="268" t="s">
        <v>646</v>
      </c>
      <c r="D11" s="267" t="s">
        <v>645</v>
      </c>
    </row>
    <row r="12" spans="1:4">
      <c r="A12" s="269" t="s">
        <v>644</v>
      </c>
      <c r="B12" s="267">
        <v>-7311</v>
      </c>
      <c r="C12" s="268" t="s">
        <v>643</v>
      </c>
      <c r="D12" s="267" t="s">
        <v>642</v>
      </c>
    </row>
    <row r="13" spans="1:4">
      <c r="A13" s="269" t="s">
        <v>641</v>
      </c>
      <c r="B13" s="267">
        <v>-7317</v>
      </c>
      <c r="C13" s="268" t="s">
        <v>640</v>
      </c>
      <c r="D13" s="267" t="s">
        <v>639</v>
      </c>
    </row>
    <row r="14" spans="1:4">
      <c r="A14" s="269" t="s">
        <v>638</v>
      </c>
      <c r="B14" s="267">
        <v>-7327</v>
      </c>
      <c r="C14" s="268" t="s">
        <v>637</v>
      </c>
      <c r="D14" s="267" t="s">
        <v>636</v>
      </c>
    </row>
    <row r="15" spans="1:4">
      <c r="A15" s="269" t="s">
        <v>635</v>
      </c>
      <c r="B15" s="267">
        <v>-7323</v>
      </c>
      <c r="C15" s="268" t="s">
        <v>634</v>
      </c>
      <c r="D15" s="267" t="s">
        <v>633</v>
      </c>
    </row>
    <row r="16" spans="1:4">
      <c r="A16" s="269" t="s">
        <v>632</v>
      </c>
      <c r="B16" s="267">
        <v>-8146</v>
      </c>
      <c r="C16" s="268" t="s">
        <v>631</v>
      </c>
      <c r="D16" s="267" t="s">
        <v>631</v>
      </c>
    </row>
    <row r="17" spans="1:4">
      <c r="A17" s="269" t="s">
        <v>630</v>
      </c>
      <c r="B17" s="267">
        <v>-8160</v>
      </c>
      <c r="C17" s="268" t="s">
        <v>497</v>
      </c>
      <c r="D17" s="267" t="s">
        <v>497</v>
      </c>
    </row>
    <row r="18" spans="1:4">
      <c r="A18" s="269" t="s">
        <v>629</v>
      </c>
      <c r="B18" s="267">
        <v>-8150</v>
      </c>
      <c r="C18" s="268" t="s">
        <v>628</v>
      </c>
      <c r="D18" s="267" t="s">
        <v>628</v>
      </c>
    </row>
    <row r="19" spans="1:4">
      <c r="A19" s="269" t="s">
        <v>627</v>
      </c>
      <c r="B19" s="267">
        <v>-8152</v>
      </c>
      <c r="C19" s="268" t="s">
        <v>626</v>
      </c>
      <c r="D19" s="267" t="s">
        <v>626</v>
      </c>
    </row>
    <row r="20" spans="1:4">
      <c r="A20" s="269" t="s">
        <v>625</v>
      </c>
      <c r="B20" s="267">
        <v>-8151</v>
      </c>
      <c r="C20" s="268" t="s">
        <v>624</v>
      </c>
      <c r="D20" s="267" t="s">
        <v>624</v>
      </c>
    </row>
    <row r="21" spans="1:4">
      <c r="A21" s="269" t="s">
        <v>623</v>
      </c>
      <c r="B21" s="267">
        <v>-8149</v>
      </c>
      <c r="C21" s="268" t="s">
        <v>622</v>
      </c>
      <c r="D21" s="267" t="s">
        <v>622</v>
      </c>
    </row>
    <row r="22" spans="1:4">
      <c r="A22" s="269" t="s">
        <v>621</v>
      </c>
      <c r="B22" s="267">
        <v>-8144</v>
      </c>
      <c r="C22" s="268">
        <v>0</v>
      </c>
      <c r="D22" s="267">
        <v>0</v>
      </c>
    </row>
    <row r="23" spans="1:4">
      <c r="A23" s="269" t="s">
        <v>620</v>
      </c>
      <c r="B23" s="267">
        <v>-8143</v>
      </c>
      <c r="C23" s="268">
        <v>1</v>
      </c>
      <c r="D23" s="267">
        <v>1</v>
      </c>
    </row>
    <row r="24" spans="1:4">
      <c r="A24" s="269" t="s">
        <v>619</v>
      </c>
      <c r="B24" s="267">
        <v>-8142</v>
      </c>
      <c r="C24" s="268">
        <v>2</v>
      </c>
      <c r="D24" s="267">
        <v>2</v>
      </c>
    </row>
    <row r="25" spans="1:4">
      <c r="A25" s="269" t="s">
        <v>618</v>
      </c>
      <c r="B25" s="267">
        <v>-8141</v>
      </c>
      <c r="C25" s="268">
        <v>3</v>
      </c>
      <c r="D25" s="267">
        <v>3</v>
      </c>
    </row>
    <row r="26" spans="1:4">
      <c r="A26" s="269" t="s">
        <v>617</v>
      </c>
      <c r="B26" s="267">
        <v>-8140</v>
      </c>
      <c r="C26" s="268">
        <v>4</v>
      </c>
      <c r="D26" s="267">
        <v>4</v>
      </c>
    </row>
    <row r="27" spans="1:4">
      <c r="A27" s="269" t="s">
        <v>616</v>
      </c>
      <c r="B27" s="267">
        <v>-8139</v>
      </c>
      <c r="C27" s="268">
        <v>5</v>
      </c>
      <c r="D27" s="267">
        <v>5</v>
      </c>
    </row>
    <row r="28" spans="1:4">
      <c r="A28" s="269" t="s">
        <v>615</v>
      </c>
      <c r="B28" s="267">
        <v>-8138</v>
      </c>
      <c r="C28" s="268">
        <v>6</v>
      </c>
      <c r="D28" s="267">
        <v>6</v>
      </c>
    </row>
    <row r="29" spans="1:4">
      <c r="A29" s="269" t="s">
        <v>614</v>
      </c>
      <c r="B29" s="267">
        <v>-8137</v>
      </c>
      <c r="C29" s="268">
        <v>7</v>
      </c>
      <c r="D29" s="267">
        <v>7</v>
      </c>
    </row>
    <row r="30" spans="1:4">
      <c r="A30" s="269" t="s">
        <v>613</v>
      </c>
      <c r="B30" s="267">
        <v>-8136</v>
      </c>
      <c r="C30" s="268">
        <v>8</v>
      </c>
      <c r="D30" s="267">
        <v>8</v>
      </c>
    </row>
    <row r="31" spans="1:4">
      <c r="A31" s="269" t="s">
        <v>612</v>
      </c>
      <c r="B31" s="267">
        <v>-8135</v>
      </c>
      <c r="C31" s="268">
        <v>9</v>
      </c>
      <c r="D31" s="267">
        <v>9</v>
      </c>
    </row>
    <row r="32" spans="1:4">
      <c r="A32" s="269" t="s">
        <v>611</v>
      </c>
      <c r="B32" s="267">
        <v>-8068</v>
      </c>
      <c r="C32" s="268" t="s">
        <v>610</v>
      </c>
      <c r="D32" s="267" t="s">
        <v>610</v>
      </c>
    </row>
    <row r="33" spans="1:4">
      <c r="A33" s="269" t="s">
        <v>609</v>
      </c>
      <c r="B33" s="267">
        <v>-8127</v>
      </c>
      <c r="C33" s="268" t="s">
        <v>364</v>
      </c>
      <c r="D33" s="267" t="s">
        <v>364</v>
      </c>
    </row>
    <row r="34" spans="1:4">
      <c r="A34" s="269" t="s">
        <v>608</v>
      </c>
      <c r="B34" s="267">
        <v>-8126</v>
      </c>
      <c r="C34" s="268" t="s">
        <v>365</v>
      </c>
      <c r="D34" s="267" t="s">
        <v>365</v>
      </c>
    </row>
    <row r="35" spans="1:4">
      <c r="A35" s="269" t="s">
        <v>607</v>
      </c>
      <c r="B35" s="267">
        <v>-8125</v>
      </c>
      <c r="C35" s="268" t="s">
        <v>366</v>
      </c>
      <c r="D35" s="267" t="s">
        <v>366</v>
      </c>
    </row>
    <row r="36" spans="1:4">
      <c r="A36" s="269" t="s">
        <v>606</v>
      </c>
      <c r="B36" s="267">
        <v>-8124</v>
      </c>
      <c r="C36" s="268" t="s">
        <v>605</v>
      </c>
      <c r="D36" s="267" t="s">
        <v>605</v>
      </c>
    </row>
    <row r="37" spans="1:4">
      <c r="A37" s="269" t="s">
        <v>604</v>
      </c>
      <c r="B37" s="267">
        <v>-8123</v>
      </c>
      <c r="C37" s="268" t="s">
        <v>603</v>
      </c>
      <c r="D37" s="267" t="s">
        <v>603</v>
      </c>
    </row>
    <row r="38" spans="1:4">
      <c r="A38" s="269" t="s">
        <v>602</v>
      </c>
      <c r="B38" s="267">
        <v>-8122</v>
      </c>
      <c r="C38" s="268" t="s">
        <v>601</v>
      </c>
      <c r="D38" s="267" t="s">
        <v>601</v>
      </c>
    </row>
    <row r="39" spans="1:4">
      <c r="A39" s="269" t="s">
        <v>600</v>
      </c>
      <c r="B39" s="267">
        <v>-8121</v>
      </c>
      <c r="C39" s="268" t="s">
        <v>599</v>
      </c>
      <c r="D39" s="267" t="s">
        <v>599</v>
      </c>
    </row>
    <row r="40" spans="1:4">
      <c r="A40" s="269" t="s">
        <v>598</v>
      </c>
      <c r="B40" s="267">
        <v>-8120</v>
      </c>
      <c r="C40" s="268" t="s">
        <v>406</v>
      </c>
      <c r="D40" s="267" t="s">
        <v>406</v>
      </c>
    </row>
    <row r="41" spans="1:4">
      <c r="A41" s="269" t="s">
        <v>597</v>
      </c>
      <c r="B41" s="267">
        <v>-8119</v>
      </c>
      <c r="C41" s="268" t="s">
        <v>596</v>
      </c>
      <c r="D41" s="267" t="s">
        <v>596</v>
      </c>
    </row>
    <row r="42" spans="1:4">
      <c r="A42" s="269" t="s">
        <v>595</v>
      </c>
      <c r="B42" s="267">
        <v>-8118</v>
      </c>
      <c r="C42" s="268" t="s">
        <v>594</v>
      </c>
      <c r="D42" s="267" t="s">
        <v>594</v>
      </c>
    </row>
    <row r="43" spans="1:4">
      <c r="A43" s="269" t="s">
        <v>593</v>
      </c>
      <c r="B43" s="267">
        <v>-8117</v>
      </c>
      <c r="C43" s="268" t="s">
        <v>592</v>
      </c>
      <c r="D43" s="267" t="s">
        <v>592</v>
      </c>
    </row>
    <row r="44" spans="1:4">
      <c r="A44" s="269" t="s">
        <v>591</v>
      </c>
      <c r="B44" s="267">
        <v>-8116</v>
      </c>
      <c r="C44" s="268" t="s">
        <v>590</v>
      </c>
      <c r="D44" s="267" t="s">
        <v>590</v>
      </c>
    </row>
    <row r="45" spans="1:4">
      <c r="A45" s="269" t="s">
        <v>589</v>
      </c>
      <c r="B45" s="267">
        <v>-8115</v>
      </c>
      <c r="C45" s="268" t="s">
        <v>588</v>
      </c>
      <c r="D45" s="267" t="s">
        <v>588</v>
      </c>
    </row>
    <row r="46" spans="1:4">
      <c r="A46" s="269" t="s">
        <v>587</v>
      </c>
      <c r="B46" s="267">
        <v>-8114</v>
      </c>
      <c r="C46" s="268" t="s">
        <v>586</v>
      </c>
      <c r="D46" s="267" t="s">
        <v>586</v>
      </c>
    </row>
    <row r="47" spans="1:4">
      <c r="A47" s="269" t="s">
        <v>585</v>
      </c>
      <c r="B47" s="267">
        <v>-8113</v>
      </c>
      <c r="C47" s="268" t="s">
        <v>584</v>
      </c>
      <c r="D47" s="267" t="s">
        <v>584</v>
      </c>
    </row>
    <row r="48" spans="1:4">
      <c r="A48" s="269" t="s">
        <v>583</v>
      </c>
      <c r="B48" s="267">
        <v>-8112</v>
      </c>
      <c r="C48" s="268" t="s">
        <v>582</v>
      </c>
      <c r="D48" s="267" t="s">
        <v>582</v>
      </c>
    </row>
    <row r="49" spans="1:4">
      <c r="A49" s="269" t="s">
        <v>581</v>
      </c>
      <c r="B49" s="267">
        <v>-8111</v>
      </c>
      <c r="C49" s="268" t="s">
        <v>580</v>
      </c>
      <c r="D49" s="267" t="s">
        <v>580</v>
      </c>
    </row>
    <row r="50" spans="1:4">
      <c r="A50" s="269" t="s">
        <v>579</v>
      </c>
      <c r="B50" s="267">
        <v>-8110</v>
      </c>
      <c r="C50" s="268" t="s">
        <v>369</v>
      </c>
      <c r="D50" s="267" t="s">
        <v>369</v>
      </c>
    </row>
    <row r="51" spans="1:4">
      <c r="A51" s="269" t="s">
        <v>578</v>
      </c>
      <c r="B51" s="267">
        <v>-8109</v>
      </c>
      <c r="C51" s="268" t="s">
        <v>577</v>
      </c>
      <c r="D51" s="267" t="s">
        <v>577</v>
      </c>
    </row>
    <row r="52" spans="1:4">
      <c r="A52" s="269" t="s">
        <v>576</v>
      </c>
      <c r="B52" s="267">
        <v>-8108</v>
      </c>
      <c r="C52" s="268" t="s">
        <v>575</v>
      </c>
      <c r="D52" s="267" t="s">
        <v>575</v>
      </c>
    </row>
    <row r="53" spans="1:4">
      <c r="A53" s="269" t="s">
        <v>574</v>
      </c>
      <c r="B53" s="267">
        <v>-8107</v>
      </c>
      <c r="C53" s="268" t="s">
        <v>539</v>
      </c>
      <c r="D53" s="267" t="s">
        <v>539</v>
      </c>
    </row>
    <row r="54" spans="1:4">
      <c r="A54" s="269" t="s">
        <v>573</v>
      </c>
      <c r="B54" s="267">
        <v>-8106</v>
      </c>
      <c r="C54" s="268" t="s">
        <v>572</v>
      </c>
      <c r="D54" s="267" t="s">
        <v>572</v>
      </c>
    </row>
    <row r="55" spans="1:4">
      <c r="A55" s="269" t="s">
        <v>571</v>
      </c>
      <c r="B55" s="267">
        <v>-8105</v>
      </c>
      <c r="C55" s="268" t="s">
        <v>570</v>
      </c>
      <c r="D55" s="267" t="s">
        <v>570</v>
      </c>
    </row>
    <row r="56" spans="1:4">
      <c r="A56" s="269" t="s">
        <v>569</v>
      </c>
      <c r="B56" s="267">
        <v>-8104</v>
      </c>
      <c r="C56" s="268" t="s">
        <v>95</v>
      </c>
      <c r="D56" s="267" t="s">
        <v>95</v>
      </c>
    </row>
    <row r="57" spans="1:4">
      <c r="A57" s="269" t="s">
        <v>568</v>
      </c>
      <c r="B57" s="267">
        <v>-8103</v>
      </c>
      <c r="C57" s="268" t="s">
        <v>362</v>
      </c>
      <c r="D57" s="267" t="s">
        <v>362</v>
      </c>
    </row>
    <row r="58" spans="1:4">
      <c r="A58" s="269" t="s">
        <v>567</v>
      </c>
      <c r="B58" s="267">
        <v>-8102</v>
      </c>
      <c r="C58" s="268" t="s">
        <v>363</v>
      </c>
      <c r="D58" s="267" t="s">
        <v>363</v>
      </c>
    </row>
    <row r="59" spans="1:4">
      <c r="A59" s="269" t="s">
        <v>566</v>
      </c>
      <c r="B59" s="267">
        <v>-7305</v>
      </c>
      <c r="C59" s="268" t="s">
        <v>565</v>
      </c>
      <c r="D59" s="267" t="s">
        <v>564</v>
      </c>
    </row>
    <row r="60" spans="1:4">
      <c r="A60" s="269" t="s">
        <v>563</v>
      </c>
      <c r="B60" s="267">
        <v>-7315</v>
      </c>
      <c r="C60" s="268" t="s">
        <v>562</v>
      </c>
      <c r="D60" s="267" t="s">
        <v>561</v>
      </c>
    </row>
    <row r="61" spans="1:4">
      <c r="A61" s="269" t="s">
        <v>560</v>
      </c>
      <c r="B61" s="267">
        <v>-7302</v>
      </c>
      <c r="C61" s="268" t="s">
        <v>559</v>
      </c>
      <c r="D61" s="267" t="s">
        <v>558</v>
      </c>
    </row>
    <row r="62" spans="1:4">
      <c r="A62" s="269" t="s">
        <v>557</v>
      </c>
      <c r="B62" s="267">
        <v>-7316</v>
      </c>
      <c r="C62" s="268" t="s">
        <v>556</v>
      </c>
      <c r="D62" s="267" t="s">
        <v>555</v>
      </c>
    </row>
    <row r="63" spans="1:4">
      <c r="A63" s="269" t="s">
        <v>554</v>
      </c>
      <c r="B63" s="267">
        <v>-7201</v>
      </c>
      <c r="C63" s="268" t="s">
        <v>553</v>
      </c>
      <c r="D63" s="267" t="s">
        <v>552</v>
      </c>
    </row>
    <row r="64" spans="1:4">
      <c r="A64" s="269" t="s">
        <v>551</v>
      </c>
      <c r="B64" s="267">
        <v>-7308</v>
      </c>
      <c r="C64" s="268" t="s">
        <v>550</v>
      </c>
      <c r="D64" s="267" t="s">
        <v>549</v>
      </c>
    </row>
    <row r="65" spans="1:4">
      <c r="A65" s="269" t="s">
        <v>548</v>
      </c>
      <c r="B65" s="267">
        <v>-7322</v>
      </c>
      <c r="C65" s="268" t="s">
        <v>547</v>
      </c>
      <c r="D65" s="267" t="s">
        <v>546</v>
      </c>
    </row>
    <row r="66" spans="1:4">
      <c r="A66" s="269" t="s">
        <v>545</v>
      </c>
      <c r="B66" s="267">
        <v>-7309</v>
      </c>
      <c r="C66" s="268" t="s">
        <v>535</v>
      </c>
      <c r="D66" s="267" t="s">
        <v>544</v>
      </c>
    </row>
    <row r="67" spans="1:4">
      <c r="A67" s="269" t="s">
        <v>543</v>
      </c>
      <c r="B67" s="267">
        <v>-7312</v>
      </c>
      <c r="C67" s="268" t="s">
        <v>542</v>
      </c>
      <c r="D67" s="267" t="s">
        <v>541</v>
      </c>
    </row>
    <row r="68" spans="1:4">
      <c r="A68" s="269" t="s">
        <v>540</v>
      </c>
      <c r="B68" s="267">
        <v>-7155</v>
      </c>
      <c r="C68" s="268" t="s">
        <v>539</v>
      </c>
      <c r="D68" s="267" t="s">
        <v>538</v>
      </c>
    </row>
    <row r="69" spans="1:4">
      <c r="A69" s="266" t="s">
        <v>537</v>
      </c>
      <c r="B69" s="264">
        <v>-7386</v>
      </c>
      <c r="C69" s="265" t="s">
        <v>536</v>
      </c>
      <c r="D69" s="264" t="s">
        <v>535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customSheetView>
  </customSheetViews>
  <pageMargins left="0.7" right="0.7" top="0.75" bottom="0.75" header="0.3" footer="0.3"/>
</worksheet>
</file>

<file path=customUI/customUI14.xml><?xml version="1.0" encoding="utf-8"?>
<customUI xmlns="http://schemas.microsoft.com/office/2009/07/customui" onLoad="RibbonCommands.Ribbon_OnLoad">
  <ribbon startFromScratch="false">
    <tabs>
      <tab id="mlTab" label="MeasurLink">
        <group id="grpData" label="Data">
          <button id="ExportQIF" label="Export to QIF" imageMso="RevertXSLTMenu" size="large"/>
          <button id="RoutineMapImport" label="Import Routine Map" imageMso="AdpDiagramAddRelatedTables" size="large"/>
          <button id="DataValidations" label="Load Data Validations" imageMso="NoteLinkReLink" size="large" onAction="RibbonCommands.LoadDataValidations"/>
        </group>
        <group id="grpFeatures" label="Features">
          <button id="BuildFormula" label="Build Variable Feature Formula" imageMso="ShapeSheetEditFormula" size="large"/>
          <button id="WorkflowVariables10" label="Hide Features Conditionally" imageMso="WorkflowVariables" size="large"/>
        </group>
        <group id="grpRoutines" label="Routines">
          <button id="InsertOperation" label="Insert Machining Operation" imageMso="GroupAddOptions" size="large"/>
          <button id="DeleteRoutines" label="Delete Routines" imageMso="DeleteColumns"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Variables</vt:lpstr>
      <vt:lpstr>IEX-DATA</vt:lpstr>
      <vt:lpstr>PartLib Table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Dieckman, Mark</dc:creator>
  <cp:lastModifiedBy>Dieckman, Mark</cp:lastModifiedBy>
  <cp:lastPrinted>2021-01-06T20:52:52Z</cp:lastPrinted>
  <dcterms:created xsi:type="dcterms:W3CDTF">2019-10-31T13:55:17Z</dcterms:created>
  <dcterms:modified xsi:type="dcterms:W3CDTF">2021-08-09T20:27:10Z</dcterms:modified>
</cp:coreProperties>
</file>